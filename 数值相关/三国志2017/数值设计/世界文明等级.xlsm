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24226"/>
  <mc:AlternateContent xmlns:mc="http://schemas.openxmlformats.org/markup-compatibility/2006">
    <mc:Choice Requires="x15">
      <x15ac:absPath xmlns:x15ac="http://schemas.microsoft.com/office/spreadsheetml/2010/11/ac" url="F:\slg_cehua\trunk\数值文档\数值设计\"/>
    </mc:Choice>
  </mc:AlternateContent>
  <xr:revisionPtr revIDLastSave="0" documentId="13_ncr:1_{D830190B-119D-44AE-B02B-C1EF96FABDF6}" xr6:coauthVersionLast="45" xr6:coauthVersionMax="45" xr10:uidLastSave="{00000000-0000-0000-0000-000000000000}"/>
  <bookViews>
    <workbookView xWindow="-120" yWindow="-120" windowWidth="29040" windowHeight="15840" tabRatio="899" activeTab="3" xr2:uid="{00000000-000D-0000-FFFF-FFFF00000000}"/>
  </bookViews>
  <sheets>
    <sheet name="节奏总纲" sheetId="18" r:id="rId1"/>
    <sheet name="其他调用" sheetId="91" r:id="rId2"/>
    <sheet name="设计思路" sheetId="92" r:id="rId3"/>
    <sheet name="BUFF设计" sheetId="93" r:id="rId4"/>
    <sheet name="武将升星（废弃）" sheetId="50" state="hidden" r:id="rId5"/>
    <sheet name="Sheet2" sheetId="48" state="hidden" r:id="rId6"/>
    <sheet name="武将觉醒(废弃）" sheetId="51" state="hidden" r:id="rId7"/>
    <sheet name="属性分配（废弃）" sheetId="47" state="hidden" r:id="rId8"/>
  </sheets>
  <functionGroups builtInGroupCount="19"/>
  <externalReferences>
    <externalReference r:id="rId9"/>
    <externalReference r:id="rId10"/>
    <externalReference r:id="rId11"/>
  </externalReferences>
  <calcPr calcId="191029"/>
  <customWorkbookViews>
    <customWorkbookView name="admin - 个人视图" guid="{459B7961-6E0F-4AD2-B1C7-0898323A2E74}" mergeInterval="0" personalView="1" maximized="1" windowWidth="1920" windowHeight="804" activeSheetId="3"/>
  </customWorkbookViews>
</workbook>
</file>

<file path=xl/calcChain.xml><?xml version="1.0" encoding="utf-8"?>
<calcChain xmlns="http://schemas.openxmlformats.org/spreadsheetml/2006/main">
  <c r="AX49" i="93" l="1"/>
  <c r="AY49" i="93"/>
  <c r="AZ49" i="93"/>
  <c r="BA49" i="93"/>
  <c r="AX50" i="93"/>
  <c r="AY50" i="93"/>
  <c r="AZ50" i="93"/>
  <c r="BA50" i="93"/>
  <c r="AX51" i="93"/>
  <c r="AY51" i="93"/>
  <c r="AZ51" i="93"/>
  <c r="BA51" i="93"/>
  <c r="AX52" i="93"/>
  <c r="AY52" i="93"/>
  <c r="AZ52" i="93"/>
  <c r="BA52" i="93"/>
  <c r="AX53" i="93"/>
  <c r="AY53" i="93"/>
  <c r="AZ53" i="93"/>
  <c r="BA53" i="93"/>
  <c r="AX54" i="93"/>
  <c r="AY54" i="93"/>
  <c r="AZ54" i="93"/>
  <c r="BA54" i="93"/>
  <c r="AX55" i="93"/>
  <c r="AY55" i="93"/>
  <c r="AZ55" i="93"/>
  <c r="BA55" i="93"/>
  <c r="AX56" i="93"/>
  <c r="AY56" i="93"/>
  <c r="AZ56" i="93"/>
  <c r="BA56" i="93"/>
  <c r="AX57" i="93"/>
  <c r="AY57" i="93"/>
  <c r="AZ57" i="93"/>
  <c r="BA57" i="93"/>
  <c r="AX58" i="93"/>
  <c r="AY58" i="93"/>
  <c r="AZ58" i="93"/>
  <c r="BA58" i="93"/>
  <c r="AX59" i="93"/>
  <c r="AY59" i="93"/>
  <c r="AZ59" i="93"/>
  <c r="BA59" i="93"/>
  <c r="AX60" i="93"/>
  <c r="AY60" i="93"/>
  <c r="AZ60" i="93"/>
  <c r="BA60" i="93"/>
  <c r="AY48" i="93"/>
  <c r="AZ48" i="93"/>
  <c r="BA48" i="93"/>
  <c r="AX48" i="93"/>
  <c r="AM49" i="93"/>
  <c r="AN49" i="93"/>
  <c r="AO49" i="93"/>
  <c r="AP49" i="93"/>
  <c r="AM50" i="93"/>
  <c r="AN50" i="93"/>
  <c r="AO50" i="93"/>
  <c r="AP50" i="93"/>
  <c r="AM51" i="93"/>
  <c r="AN51" i="93"/>
  <c r="AO51" i="93"/>
  <c r="AP51" i="93"/>
  <c r="AM52" i="93"/>
  <c r="AN52" i="93"/>
  <c r="AO52" i="93"/>
  <c r="AP52" i="93"/>
  <c r="AM53" i="93"/>
  <c r="AN53" i="93"/>
  <c r="AO53" i="93"/>
  <c r="AP53" i="93"/>
  <c r="AM54" i="93"/>
  <c r="AN54" i="93"/>
  <c r="AO54" i="93"/>
  <c r="AP54" i="93"/>
  <c r="AM55" i="93"/>
  <c r="AN55" i="93"/>
  <c r="AO55" i="93"/>
  <c r="AP55" i="93"/>
  <c r="AM56" i="93"/>
  <c r="AN56" i="93"/>
  <c r="AO56" i="93"/>
  <c r="AP56" i="93"/>
  <c r="AM57" i="93"/>
  <c r="AN57" i="93"/>
  <c r="AO57" i="93"/>
  <c r="AP57" i="93"/>
  <c r="AM58" i="93"/>
  <c r="AN58" i="93"/>
  <c r="AO58" i="93"/>
  <c r="AP58" i="93"/>
  <c r="AM59" i="93"/>
  <c r="AN59" i="93"/>
  <c r="AO59" i="93"/>
  <c r="AP59" i="93"/>
  <c r="AM60" i="93"/>
  <c r="AN60" i="93"/>
  <c r="AO60" i="93"/>
  <c r="AP60" i="93"/>
  <c r="AN48" i="93"/>
  <c r="AO48" i="93"/>
  <c r="AP48" i="93"/>
  <c r="AM48" i="93"/>
  <c r="AB49" i="93"/>
  <c r="AC49" i="93"/>
  <c r="AD49" i="93"/>
  <c r="AE49" i="93"/>
  <c r="AB50" i="93"/>
  <c r="AC50" i="93"/>
  <c r="AD50" i="93"/>
  <c r="AE50" i="93"/>
  <c r="AB51" i="93"/>
  <c r="AC51" i="93"/>
  <c r="AD51" i="93"/>
  <c r="AE51" i="93"/>
  <c r="AB52" i="93"/>
  <c r="AC52" i="93"/>
  <c r="AD52" i="93"/>
  <c r="AE52" i="93"/>
  <c r="AB53" i="93"/>
  <c r="AC53" i="93"/>
  <c r="AD53" i="93"/>
  <c r="AE53" i="93"/>
  <c r="AB54" i="93"/>
  <c r="AC54" i="93"/>
  <c r="AD54" i="93"/>
  <c r="AE54" i="93"/>
  <c r="AB55" i="93"/>
  <c r="AC55" i="93"/>
  <c r="AD55" i="93"/>
  <c r="AE55" i="93"/>
  <c r="AB56" i="93"/>
  <c r="AC56" i="93"/>
  <c r="AD56" i="93"/>
  <c r="AE56" i="93"/>
  <c r="AB57" i="93"/>
  <c r="AC57" i="93"/>
  <c r="AD57" i="93"/>
  <c r="AE57" i="93"/>
  <c r="AB58" i="93"/>
  <c r="AC58" i="93"/>
  <c r="AD58" i="93"/>
  <c r="AE58" i="93"/>
  <c r="AB59" i="93"/>
  <c r="AC59" i="93"/>
  <c r="AD59" i="93"/>
  <c r="AE59" i="93"/>
  <c r="AB60" i="93"/>
  <c r="AC60" i="93"/>
  <c r="AD60" i="93"/>
  <c r="AE60" i="93"/>
  <c r="AC48" i="93"/>
  <c r="AD48" i="93"/>
  <c r="AE48" i="93"/>
  <c r="AB48" i="93"/>
  <c r="Q49" i="93"/>
  <c r="R49" i="93"/>
  <c r="S49" i="93"/>
  <c r="T49" i="93"/>
  <c r="Q50" i="93"/>
  <c r="R50" i="93"/>
  <c r="S50" i="93"/>
  <c r="T50" i="93"/>
  <c r="Q51" i="93"/>
  <c r="R51" i="93"/>
  <c r="S51" i="93"/>
  <c r="T51" i="93"/>
  <c r="Q52" i="93"/>
  <c r="R52" i="93"/>
  <c r="S52" i="93"/>
  <c r="T52" i="93"/>
  <c r="Q53" i="93"/>
  <c r="R53" i="93"/>
  <c r="S53" i="93"/>
  <c r="T53" i="93"/>
  <c r="Q54" i="93"/>
  <c r="R54" i="93"/>
  <c r="S54" i="93"/>
  <c r="T54" i="93"/>
  <c r="Q55" i="93"/>
  <c r="R55" i="93"/>
  <c r="S55" i="93"/>
  <c r="T55" i="93"/>
  <c r="Q56" i="93"/>
  <c r="R56" i="93"/>
  <c r="S56" i="93"/>
  <c r="T56" i="93"/>
  <c r="Q57" i="93"/>
  <c r="R57" i="93"/>
  <c r="S57" i="93"/>
  <c r="T57" i="93"/>
  <c r="Q58" i="93"/>
  <c r="R58" i="93"/>
  <c r="S58" i="93"/>
  <c r="T58" i="93"/>
  <c r="Q59" i="93"/>
  <c r="R59" i="93"/>
  <c r="S59" i="93"/>
  <c r="T59" i="93"/>
  <c r="Q60" i="93"/>
  <c r="R60" i="93"/>
  <c r="S60" i="93"/>
  <c r="T60" i="93"/>
  <c r="R48" i="93"/>
  <c r="S48" i="93"/>
  <c r="T48" i="93"/>
  <c r="Q48" i="93"/>
  <c r="DC7" i="91" l="1"/>
  <c r="DD7" i="91"/>
  <c r="DE7" i="91"/>
  <c r="DF7" i="91"/>
  <c r="DG7" i="91"/>
  <c r="DC8" i="91"/>
  <c r="DD8" i="91"/>
  <c r="DE8" i="91"/>
  <c r="DF8" i="91"/>
  <c r="DG8" i="91"/>
  <c r="DC9" i="91"/>
  <c r="DD9" i="91"/>
  <c r="DE9" i="91"/>
  <c r="DF9" i="91"/>
  <c r="DG9" i="91"/>
  <c r="DC10" i="91"/>
  <c r="DD10" i="91"/>
  <c r="DE10" i="91"/>
  <c r="DF10" i="91"/>
  <c r="DG10" i="91"/>
  <c r="DC11" i="91"/>
  <c r="DD11" i="91"/>
  <c r="DE11" i="91"/>
  <c r="DF11" i="91"/>
  <c r="DG11" i="91"/>
  <c r="DC12" i="91"/>
  <c r="DD12" i="91"/>
  <c r="DE12" i="91"/>
  <c r="DF12" i="91"/>
  <c r="DG12" i="91"/>
  <c r="DC13" i="91"/>
  <c r="DD13" i="91"/>
  <c r="DE13" i="91"/>
  <c r="DF13" i="91"/>
  <c r="DG13" i="91"/>
  <c r="DC14" i="91"/>
  <c r="DD14" i="91"/>
  <c r="DE14" i="91"/>
  <c r="DF14" i="91"/>
  <c r="DG14" i="91"/>
  <c r="DC15" i="91"/>
  <c r="DD15" i="91"/>
  <c r="DE15" i="91"/>
  <c r="DF15" i="91"/>
  <c r="DG15" i="91"/>
  <c r="DC16" i="91"/>
  <c r="DD16" i="91"/>
  <c r="DE16" i="91"/>
  <c r="DF16" i="91"/>
  <c r="DG16" i="91"/>
  <c r="DC17" i="91"/>
  <c r="DD17" i="91"/>
  <c r="DE17" i="91"/>
  <c r="DF17" i="91"/>
  <c r="DG17" i="91"/>
  <c r="DC18" i="91"/>
  <c r="DD18" i="91"/>
  <c r="DE18" i="91"/>
  <c r="DF18" i="91"/>
  <c r="DG18" i="91"/>
  <c r="DC19" i="91"/>
  <c r="DD19" i="91"/>
  <c r="DE19" i="91"/>
  <c r="DF19" i="91"/>
  <c r="DG19" i="91"/>
  <c r="DC20" i="91"/>
  <c r="DD20" i="91"/>
  <c r="DE20" i="91"/>
  <c r="DF20" i="91"/>
  <c r="DG20" i="91"/>
  <c r="DC21" i="91"/>
  <c r="DD21" i="91"/>
  <c r="DE21" i="91"/>
  <c r="DF21" i="91"/>
  <c r="DG21" i="91"/>
  <c r="DC22" i="91"/>
  <c r="DD22" i="91"/>
  <c r="DE22" i="91"/>
  <c r="DF22" i="91"/>
  <c r="DG22" i="91"/>
  <c r="DC23" i="91"/>
  <c r="DD23" i="91"/>
  <c r="DE23" i="91"/>
  <c r="DF23" i="91"/>
  <c r="DG23" i="91"/>
  <c r="DC24" i="91"/>
  <c r="DD24" i="91"/>
  <c r="DE24" i="91"/>
  <c r="DF24" i="91"/>
  <c r="DG24" i="91"/>
  <c r="DC25" i="91"/>
  <c r="DD25" i="91"/>
  <c r="DE25" i="91"/>
  <c r="DF25" i="91"/>
  <c r="DG25" i="91"/>
  <c r="DC26" i="91"/>
  <c r="DD26" i="91"/>
  <c r="DE26" i="91"/>
  <c r="DF26" i="91"/>
  <c r="DG26" i="91"/>
  <c r="DC27" i="91"/>
  <c r="DD27" i="91"/>
  <c r="DE27" i="91"/>
  <c r="DF27" i="91"/>
  <c r="DG27" i="91"/>
  <c r="DC28" i="91"/>
  <c r="DD28" i="91"/>
  <c r="DE28" i="91"/>
  <c r="DF28" i="91"/>
  <c r="DG28" i="91"/>
  <c r="DC29" i="91"/>
  <c r="DD29" i="91"/>
  <c r="DE29" i="91"/>
  <c r="DF29" i="91"/>
  <c r="DG29" i="91"/>
  <c r="DC30" i="91"/>
  <c r="DD30" i="91"/>
  <c r="DE30" i="91"/>
  <c r="DF30" i="91"/>
  <c r="DG30" i="91"/>
  <c r="DC31" i="91"/>
  <c r="DD31" i="91"/>
  <c r="DE31" i="91"/>
  <c r="DF31" i="91"/>
  <c r="DG31" i="91"/>
  <c r="DC32" i="91"/>
  <c r="DD32" i="91"/>
  <c r="DE32" i="91"/>
  <c r="DF32" i="91"/>
  <c r="DG32" i="91"/>
  <c r="DC33" i="91"/>
  <c r="DD33" i="91"/>
  <c r="DE33" i="91"/>
  <c r="DF33" i="91"/>
  <c r="DG33" i="91"/>
  <c r="DC34" i="91"/>
  <c r="DD34" i="91"/>
  <c r="DE34" i="91"/>
  <c r="DF34" i="91"/>
  <c r="DG34" i="91"/>
  <c r="DC35" i="91"/>
  <c r="DD35" i="91"/>
  <c r="DE35" i="91"/>
  <c r="DF35" i="91"/>
  <c r="DG35" i="91"/>
  <c r="DC36" i="91"/>
  <c r="DD36" i="91"/>
  <c r="DE36" i="91"/>
  <c r="DF36" i="91"/>
  <c r="DG36" i="91"/>
  <c r="DC37" i="91"/>
  <c r="DD37" i="91"/>
  <c r="DE37" i="91"/>
  <c r="DF37" i="91"/>
  <c r="DG37" i="91"/>
  <c r="DC38" i="91"/>
  <c r="DD38" i="91"/>
  <c r="DE38" i="91"/>
  <c r="DF38" i="91"/>
  <c r="DG38" i="91"/>
  <c r="DC39" i="91"/>
  <c r="DD39" i="91"/>
  <c r="DE39" i="91"/>
  <c r="DF39" i="91"/>
  <c r="DG39" i="91"/>
  <c r="DC40" i="91"/>
  <c r="DD40" i="91"/>
  <c r="DE40" i="91"/>
  <c r="DF40" i="91"/>
  <c r="DG40" i="91"/>
  <c r="DC41" i="91"/>
  <c r="DD41" i="91"/>
  <c r="DE41" i="91"/>
  <c r="DF41" i="91"/>
  <c r="DG41" i="91"/>
  <c r="DC42" i="91"/>
  <c r="DD42" i="91"/>
  <c r="DE42" i="91"/>
  <c r="DF42" i="91"/>
  <c r="DG42" i="91"/>
  <c r="DC43" i="91"/>
  <c r="DD43" i="91"/>
  <c r="DE43" i="91"/>
  <c r="DF43" i="91"/>
  <c r="DG43" i="91"/>
  <c r="DC44" i="91"/>
  <c r="DD44" i="91"/>
  <c r="DE44" i="91"/>
  <c r="DF44" i="91"/>
  <c r="DG44" i="91"/>
  <c r="DC45" i="91"/>
  <c r="DD45" i="91"/>
  <c r="DE45" i="91"/>
  <c r="DF45" i="91"/>
  <c r="DG45" i="91"/>
  <c r="DC46" i="91"/>
  <c r="DD46" i="91"/>
  <c r="DE46" i="91"/>
  <c r="DF46" i="91"/>
  <c r="DG46" i="91"/>
  <c r="DC47" i="91"/>
  <c r="DD47" i="91"/>
  <c r="DE47" i="91"/>
  <c r="DF47" i="91"/>
  <c r="DG47" i="91"/>
  <c r="DC48" i="91"/>
  <c r="DD48" i="91"/>
  <c r="DE48" i="91"/>
  <c r="DF48" i="91"/>
  <c r="DG48" i="91"/>
  <c r="DC49" i="91"/>
  <c r="DD49" i="91"/>
  <c r="DE49" i="91"/>
  <c r="DF49" i="91"/>
  <c r="DG49" i="91"/>
  <c r="DC50" i="91"/>
  <c r="DD50" i="91"/>
  <c r="DE50" i="91"/>
  <c r="DF50" i="91"/>
  <c r="DG50" i="91"/>
  <c r="DC51" i="91"/>
  <c r="DD51" i="91"/>
  <c r="DE51" i="91"/>
  <c r="DF51" i="91"/>
  <c r="DG51" i="91"/>
  <c r="DC52" i="91"/>
  <c r="DD52" i="91"/>
  <c r="DE52" i="91"/>
  <c r="DF52" i="91"/>
  <c r="DG52" i="91"/>
  <c r="DC53" i="91"/>
  <c r="DD53" i="91"/>
  <c r="DE53" i="91"/>
  <c r="DF53" i="91"/>
  <c r="DG53" i="91"/>
  <c r="DC54" i="91"/>
  <c r="DD54" i="91"/>
  <c r="DE54" i="91"/>
  <c r="DF54" i="91"/>
  <c r="DG54" i="91"/>
  <c r="DC55" i="91"/>
  <c r="DD55" i="91"/>
  <c r="DE55" i="91"/>
  <c r="DF55" i="91"/>
  <c r="DG55" i="91"/>
  <c r="DC56" i="91"/>
  <c r="DD56" i="91"/>
  <c r="DE56" i="91"/>
  <c r="DF56" i="91"/>
  <c r="DG56" i="91"/>
  <c r="DC57" i="91"/>
  <c r="DD57" i="91"/>
  <c r="DE57" i="91"/>
  <c r="DF57" i="91"/>
  <c r="DG57" i="91"/>
  <c r="DC58" i="91"/>
  <c r="DD58" i="91"/>
  <c r="DE58" i="91"/>
  <c r="DF58" i="91"/>
  <c r="DG58" i="91"/>
  <c r="DC59" i="91"/>
  <c r="DD59" i="91"/>
  <c r="DE59" i="91"/>
  <c r="DF59" i="91"/>
  <c r="DG59" i="91"/>
  <c r="DC60" i="91"/>
  <c r="DD60" i="91"/>
  <c r="DE60" i="91"/>
  <c r="DF60" i="91"/>
  <c r="DG60" i="91"/>
  <c r="DC61" i="91"/>
  <c r="DD61" i="91"/>
  <c r="DE61" i="91"/>
  <c r="DF61" i="91"/>
  <c r="DG61" i="91"/>
  <c r="DC62" i="91"/>
  <c r="DD62" i="91"/>
  <c r="DE62" i="91"/>
  <c r="DF62" i="91"/>
  <c r="DG62" i="91"/>
  <c r="DC63" i="91"/>
  <c r="DD63" i="91"/>
  <c r="DE63" i="91"/>
  <c r="DF63" i="91"/>
  <c r="DG63" i="91"/>
  <c r="DC64" i="91"/>
  <c r="DD64" i="91"/>
  <c r="DE64" i="91"/>
  <c r="DF64" i="91"/>
  <c r="DG64" i="91"/>
  <c r="DC65" i="91"/>
  <c r="DD65" i="91"/>
  <c r="DE65" i="91"/>
  <c r="DF65" i="91"/>
  <c r="DG65" i="91"/>
  <c r="DC66" i="91"/>
  <c r="DD66" i="91"/>
  <c r="DE66" i="91"/>
  <c r="DF66" i="91"/>
  <c r="DG66" i="91"/>
  <c r="DC67" i="91"/>
  <c r="DD67" i="91"/>
  <c r="DE67" i="91"/>
  <c r="DF67" i="91"/>
  <c r="DG67" i="91"/>
  <c r="DC68" i="91"/>
  <c r="DD68" i="91"/>
  <c r="DE68" i="91"/>
  <c r="DF68" i="91"/>
  <c r="DG68" i="91"/>
  <c r="DC69" i="91"/>
  <c r="DD69" i="91"/>
  <c r="DE69" i="91"/>
  <c r="DF69" i="91"/>
  <c r="DG69" i="91"/>
  <c r="DC70" i="91"/>
  <c r="DD70" i="91"/>
  <c r="DE70" i="91"/>
  <c r="DF70" i="91"/>
  <c r="DG70" i="91"/>
  <c r="DC71" i="91"/>
  <c r="DD71" i="91"/>
  <c r="DE71" i="91"/>
  <c r="DF71" i="91"/>
  <c r="DG71" i="91"/>
  <c r="DC72" i="91"/>
  <c r="DD72" i="91"/>
  <c r="DE72" i="91"/>
  <c r="DF72" i="91"/>
  <c r="DG72" i="91"/>
  <c r="DC73" i="91"/>
  <c r="DD73" i="91"/>
  <c r="DE73" i="91"/>
  <c r="DF73" i="91"/>
  <c r="DG73" i="91"/>
  <c r="DC74" i="91"/>
  <c r="DD74" i="91"/>
  <c r="DE74" i="91"/>
  <c r="DF74" i="91"/>
  <c r="DG74" i="91"/>
  <c r="DC75" i="91"/>
  <c r="DD75" i="91"/>
  <c r="DE75" i="91"/>
  <c r="DF75" i="91"/>
  <c r="DG75" i="91"/>
  <c r="DC76" i="91"/>
  <c r="DD76" i="91"/>
  <c r="DE76" i="91"/>
  <c r="DF76" i="91"/>
  <c r="DG76" i="91"/>
  <c r="DC77" i="91"/>
  <c r="DD77" i="91"/>
  <c r="DE77" i="91"/>
  <c r="DF77" i="91"/>
  <c r="DG77" i="91"/>
  <c r="DC78" i="91"/>
  <c r="DD78" i="91"/>
  <c r="DE78" i="91"/>
  <c r="DF78" i="91"/>
  <c r="DG78" i="91"/>
  <c r="DC79" i="91"/>
  <c r="DD79" i="91"/>
  <c r="DE79" i="91"/>
  <c r="DF79" i="91"/>
  <c r="DG79" i="91"/>
  <c r="DC80" i="91"/>
  <c r="DD80" i="91"/>
  <c r="DE80" i="91"/>
  <c r="DF80" i="91"/>
  <c r="DG80" i="91"/>
  <c r="DC81" i="91"/>
  <c r="DD81" i="91"/>
  <c r="DE81" i="91"/>
  <c r="DF81" i="91"/>
  <c r="DG81" i="91"/>
  <c r="DC82" i="91"/>
  <c r="DD82" i="91"/>
  <c r="DE82" i="91"/>
  <c r="DF82" i="91"/>
  <c r="DG82" i="91"/>
  <c r="DC83" i="91"/>
  <c r="DD83" i="91"/>
  <c r="DE83" i="91"/>
  <c r="DF83" i="91"/>
  <c r="DG83" i="91"/>
  <c r="DC84" i="91"/>
  <c r="DD84" i="91"/>
  <c r="DE84" i="91"/>
  <c r="DF84" i="91"/>
  <c r="DG84" i="91"/>
  <c r="DC85" i="91"/>
  <c r="DD85" i="91"/>
  <c r="DE85" i="91"/>
  <c r="DF85" i="91"/>
  <c r="DG85" i="91"/>
  <c r="DC86" i="91"/>
  <c r="DD86" i="91"/>
  <c r="DE86" i="91"/>
  <c r="DF86" i="91"/>
  <c r="DG86" i="91"/>
  <c r="DC87" i="91"/>
  <c r="DD87" i="91"/>
  <c r="DE87" i="91"/>
  <c r="DF87" i="91"/>
  <c r="DG87" i="91"/>
  <c r="DC88" i="91"/>
  <c r="DD88" i="91"/>
  <c r="DE88" i="91"/>
  <c r="DF88" i="91"/>
  <c r="DG88" i="91"/>
  <c r="DC89" i="91"/>
  <c r="DD89" i="91"/>
  <c r="DE89" i="91"/>
  <c r="DF89" i="91"/>
  <c r="DG89" i="91"/>
  <c r="DC90" i="91"/>
  <c r="DD90" i="91"/>
  <c r="DE90" i="91"/>
  <c r="DF90" i="91"/>
  <c r="DG90" i="91"/>
  <c r="DC91" i="91"/>
  <c r="DD91" i="91"/>
  <c r="DE91" i="91"/>
  <c r="DF91" i="91"/>
  <c r="DG91" i="91"/>
  <c r="DC92" i="91"/>
  <c r="DD92" i="91"/>
  <c r="DE92" i="91"/>
  <c r="DF92" i="91"/>
  <c r="DG92" i="91"/>
  <c r="DC93" i="91"/>
  <c r="DD93" i="91"/>
  <c r="DE93" i="91"/>
  <c r="DF93" i="91"/>
  <c r="DG93" i="91"/>
  <c r="DC94" i="91"/>
  <c r="DD94" i="91"/>
  <c r="DE94" i="91"/>
  <c r="DF94" i="91"/>
  <c r="DG94" i="91"/>
  <c r="DC95" i="91"/>
  <c r="DD95" i="91"/>
  <c r="DE95" i="91"/>
  <c r="DF95" i="91"/>
  <c r="DG95" i="91"/>
  <c r="DC96" i="91"/>
  <c r="DD96" i="91"/>
  <c r="DE96" i="91"/>
  <c r="DF96" i="91"/>
  <c r="DG96" i="91"/>
  <c r="DC97" i="91"/>
  <c r="DD97" i="91"/>
  <c r="DE97" i="91"/>
  <c r="DF97" i="91"/>
  <c r="DG97" i="91"/>
  <c r="DC98" i="91"/>
  <c r="DD98" i="91"/>
  <c r="DE98" i="91"/>
  <c r="DF98" i="91"/>
  <c r="DG98" i="91"/>
  <c r="DC99" i="91"/>
  <c r="DD99" i="91"/>
  <c r="DE99" i="91"/>
  <c r="DF99" i="91"/>
  <c r="DG99" i="91"/>
  <c r="DC100" i="91"/>
  <c r="DD100" i="91"/>
  <c r="DE100" i="91"/>
  <c r="DF100" i="91"/>
  <c r="DG100" i="91"/>
  <c r="DC101" i="91"/>
  <c r="DD101" i="91"/>
  <c r="DE101" i="91"/>
  <c r="DF101" i="91"/>
  <c r="DG101" i="91"/>
  <c r="DC102" i="91"/>
  <c r="DD102" i="91"/>
  <c r="DE102" i="91"/>
  <c r="DF102" i="91"/>
  <c r="DG102" i="91"/>
  <c r="DC103" i="91"/>
  <c r="DD103" i="91"/>
  <c r="DE103" i="91"/>
  <c r="DF103" i="91"/>
  <c r="DG103" i="91"/>
  <c r="DC104" i="91"/>
  <c r="DD104" i="91"/>
  <c r="DE104" i="91"/>
  <c r="DF104" i="91"/>
  <c r="DG104" i="91"/>
  <c r="DC105" i="91"/>
  <c r="DD105" i="91"/>
  <c r="DE105" i="91"/>
  <c r="DF105" i="91"/>
  <c r="DG105" i="91"/>
  <c r="DC106" i="91"/>
  <c r="DD106" i="91"/>
  <c r="DE106" i="91"/>
  <c r="DF106" i="91"/>
  <c r="DG106" i="91"/>
  <c r="DC107" i="91"/>
  <c r="DD107" i="91"/>
  <c r="DE107" i="91"/>
  <c r="DF107" i="91"/>
  <c r="DG107" i="91"/>
  <c r="DC108" i="91"/>
  <c r="DD108" i="91"/>
  <c r="DE108" i="91"/>
  <c r="DF108" i="91"/>
  <c r="DG108" i="91"/>
  <c r="DC109" i="91"/>
  <c r="DD109" i="91"/>
  <c r="DE109" i="91"/>
  <c r="DF109" i="91"/>
  <c r="DG109" i="91"/>
  <c r="DC110" i="91"/>
  <c r="DD110" i="91"/>
  <c r="DE110" i="91"/>
  <c r="DF110" i="91"/>
  <c r="DG110" i="91"/>
  <c r="DC111" i="91"/>
  <c r="DD111" i="91"/>
  <c r="DE111" i="91"/>
  <c r="DF111" i="91"/>
  <c r="DG111" i="91"/>
  <c r="DC112" i="91"/>
  <c r="DD112" i="91"/>
  <c r="DE112" i="91"/>
  <c r="DF112" i="91"/>
  <c r="DG112" i="91"/>
  <c r="DC113" i="91"/>
  <c r="DD113" i="91"/>
  <c r="DE113" i="91"/>
  <c r="DF113" i="91"/>
  <c r="DG113" i="91"/>
  <c r="DC114" i="91"/>
  <c r="DD114" i="91"/>
  <c r="DE114" i="91"/>
  <c r="DF114" i="91"/>
  <c r="DG114" i="91"/>
  <c r="DC115" i="91"/>
  <c r="DD115" i="91"/>
  <c r="DE115" i="91"/>
  <c r="DF115" i="91"/>
  <c r="DG115" i="91"/>
  <c r="DC116" i="91"/>
  <c r="DD116" i="91"/>
  <c r="DE116" i="91"/>
  <c r="DF116" i="91"/>
  <c r="DG116" i="91"/>
  <c r="DC117" i="91"/>
  <c r="DD117" i="91"/>
  <c r="DE117" i="91"/>
  <c r="DF117" i="91"/>
  <c r="DG117" i="91"/>
  <c r="DC118" i="91"/>
  <c r="DD118" i="91"/>
  <c r="DE118" i="91"/>
  <c r="DF118" i="91"/>
  <c r="DG118" i="91"/>
  <c r="DC119" i="91"/>
  <c r="DD119" i="91"/>
  <c r="DE119" i="91"/>
  <c r="DF119" i="91"/>
  <c r="DG119" i="91"/>
  <c r="DC120" i="91"/>
  <c r="DD120" i="91"/>
  <c r="DE120" i="91"/>
  <c r="DF120" i="91"/>
  <c r="DG120" i="91"/>
  <c r="DC121" i="91"/>
  <c r="DD121" i="91"/>
  <c r="DE121" i="91"/>
  <c r="DF121" i="91"/>
  <c r="DG121" i="91"/>
  <c r="DC122" i="91"/>
  <c r="DD122" i="91"/>
  <c r="DE122" i="91"/>
  <c r="DF122" i="91"/>
  <c r="DG122" i="91"/>
  <c r="DC123" i="91"/>
  <c r="DD123" i="91"/>
  <c r="DE123" i="91"/>
  <c r="DF123" i="91"/>
  <c r="DG123" i="91"/>
  <c r="DC124" i="91"/>
  <c r="DD124" i="91"/>
  <c r="DE124" i="91"/>
  <c r="DF124" i="91"/>
  <c r="DG124" i="91"/>
  <c r="DC125" i="91"/>
  <c r="DD125" i="91"/>
  <c r="DE125" i="91"/>
  <c r="DF125" i="91"/>
  <c r="DG125" i="91"/>
  <c r="DC126" i="91"/>
  <c r="DD126" i="91"/>
  <c r="DE126" i="91"/>
  <c r="DF126" i="91"/>
  <c r="DG126" i="91"/>
  <c r="DC127" i="91"/>
  <c r="DD127" i="91"/>
  <c r="DE127" i="91"/>
  <c r="DF127" i="91"/>
  <c r="DG127" i="91"/>
  <c r="DC128" i="91"/>
  <c r="DD128" i="91"/>
  <c r="DE128" i="91"/>
  <c r="DF128" i="91"/>
  <c r="DG128" i="91"/>
  <c r="DC129" i="91"/>
  <c r="DD129" i="91"/>
  <c r="DE129" i="91"/>
  <c r="DF129" i="91"/>
  <c r="DG129" i="91"/>
  <c r="DC130" i="91"/>
  <c r="DD130" i="91"/>
  <c r="DE130" i="91"/>
  <c r="DF130" i="91"/>
  <c r="DG130" i="91"/>
  <c r="DC131" i="91"/>
  <c r="DD131" i="91"/>
  <c r="DE131" i="91"/>
  <c r="DF131" i="91"/>
  <c r="DG131" i="91"/>
  <c r="DC132" i="91"/>
  <c r="DD132" i="91"/>
  <c r="DE132" i="91"/>
  <c r="DF132" i="91"/>
  <c r="DG132" i="91"/>
  <c r="DC133" i="91"/>
  <c r="DD133" i="91"/>
  <c r="DE133" i="91"/>
  <c r="DF133" i="91"/>
  <c r="DG133" i="91"/>
  <c r="DC134" i="91"/>
  <c r="DD134" i="91"/>
  <c r="DE134" i="91"/>
  <c r="DF134" i="91"/>
  <c r="DG134" i="91"/>
  <c r="DC135" i="91"/>
  <c r="DD135" i="91"/>
  <c r="DE135" i="91"/>
  <c r="DF135" i="91"/>
  <c r="DG135" i="91"/>
  <c r="DC136" i="91"/>
  <c r="DD136" i="91"/>
  <c r="DE136" i="91"/>
  <c r="DF136" i="91"/>
  <c r="DG136" i="91"/>
  <c r="DC137" i="91"/>
  <c r="DD137" i="91"/>
  <c r="DE137" i="91"/>
  <c r="DF137" i="91"/>
  <c r="DG137" i="91"/>
  <c r="DC138" i="91"/>
  <c r="DD138" i="91"/>
  <c r="DE138" i="91"/>
  <c r="DF138" i="91"/>
  <c r="DG138" i="91"/>
  <c r="DC139" i="91"/>
  <c r="DD139" i="91"/>
  <c r="DE139" i="91"/>
  <c r="DF139" i="91"/>
  <c r="DG139" i="91"/>
  <c r="DC140" i="91"/>
  <c r="DD140" i="91"/>
  <c r="DE140" i="91"/>
  <c r="DF140" i="91"/>
  <c r="DG140" i="91"/>
  <c r="DC141" i="91"/>
  <c r="DD141" i="91"/>
  <c r="DE141" i="91"/>
  <c r="DF141" i="91"/>
  <c r="DG141" i="91"/>
  <c r="DC142" i="91"/>
  <c r="DD142" i="91"/>
  <c r="DE142" i="91"/>
  <c r="DF142" i="91"/>
  <c r="DG142" i="91"/>
  <c r="DC143" i="91"/>
  <c r="DD143" i="91"/>
  <c r="DE143" i="91"/>
  <c r="DF143" i="91"/>
  <c r="DG143" i="91"/>
  <c r="DC144" i="91"/>
  <c r="DD144" i="91"/>
  <c r="DE144" i="91"/>
  <c r="DF144" i="91"/>
  <c r="DG144" i="91"/>
  <c r="DC145" i="91"/>
  <c r="DD145" i="91"/>
  <c r="DE145" i="91"/>
  <c r="DF145" i="91"/>
  <c r="DG145" i="91"/>
  <c r="DC146" i="91"/>
  <c r="DD146" i="91"/>
  <c r="DE146" i="91"/>
  <c r="DF146" i="91"/>
  <c r="DG146" i="91"/>
  <c r="DC147" i="91"/>
  <c r="DD147" i="91"/>
  <c r="DE147" i="91"/>
  <c r="DF147" i="91"/>
  <c r="DG147" i="91"/>
  <c r="DC148" i="91"/>
  <c r="DD148" i="91"/>
  <c r="DE148" i="91"/>
  <c r="DF148" i="91"/>
  <c r="DG148" i="91"/>
  <c r="DC149" i="91"/>
  <c r="DD149" i="91"/>
  <c r="DE149" i="91"/>
  <c r="DF149" i="91"/>
  <c r="DG149" i="91"/>
  <c r="DC150" i="91"/>
  <c r="DD150" i="91"/>
  <c r="DE150" i="91"/>
  <c r="DF150" i="91"/>
  <c r="DG150" i="91"/>
  <c r="DC151" i="91"/>
  <c r="DD151" i="91"/>
  <c r="DE151" i="91"/>
  <c r="DF151" i="91"/>
  <c r="DG151" i="91"/>
  <c r="DC152" i="91"/>
  <c r="DD152" i="91"/>
  <c r="DE152" i="91"/>
  <c r="DF152" i="91"/>
  <c r="DG152" i="91"/>
  <c r="DC153" i="91"/>
  <c r="DD153" i="91"/>
  <c r="DE153" i="91"/>
  <c r="DF153" i="91"/>
  <c r="DG153" i="91"/>
  <c r="DC154" i="91"/>
  <c r="DD154" i="91"/>
  <c r="DE154" i="91"/>
  <c r="DF154" i="91"/>
  <c r="DG154" i="91"/>
  <c r="DC155" i="91"/>
  <c r="DD155" i="91"/>
  <c r="DE155" i="91"/>
  <c r="DF155" i="91"/>
  <c r="DG155" i="91"/>
  <c r="DC156" i="91"/>
  <c r="DD156" i="91"/>
  <c r="DE156" i="91"/>
  <c r="DF156" i="91"/>
  <c r="DG156" i="91"/>
  <c r="DC157" i="91"/>
  <c r="DD157" i="91"/>
  <c r="DE157" i="91"/>
  <c r="DF157" i="91"/>
  <c r="DG157" i="91"/>
  <c r="DC158" i="91"/>
  <c r="DD158" i="91"/>
  <c r="DE158" i="91"/>
  <c r="DF158" i="91"/>
  <c r="DG158" i="91"/>
  <c r="DC159" i="91"/>
  <c r="DD159" i="91"/>
  <c r="DE159" i="91"/>
  <c r="DF159" i="91"/>
  <c r="DG159" i="91"/>
  <c r="DC160" i="91"/>
  <c r="DD160" i="91"/>
  <c r="DE160" i="91"/>
  <c r="DF160" i="91"/>
  <c r="DG160" i="91"/>
  <c r="DC161" i="91"/>
  <c r="DD161" i="91"/>
  <c r="DE161" i="91"/>
  <c r="DF161" i="91"/>
  <c r="DG161" i="91"/>
  <c r="DC162" i="91"/>
  <c r="DD162" i="91"/>
  <c r="DE162" i="91"/>
  <c r="DF162" i="91"/>
  <c r="DG162" i="91"/>
  <c r="DC163" i="91"/>
  <c r="DD163" i="91"/>
  <c r="DE163" i="91"/>
  <c r="DF163" i="91"/>
  <c r="DG163" i="91"/>
  <c r="DC164" i="91"/>
  <c r="DD164" i="91"/>
  <c r="DE164" i="91"/>
  <c r="DF164" i="91"/>
  <c r="DG164" i="91"/>
  <c r="DC165" i="91"/>
  <c r="DD165" i="91"/>
  <c r="DE165" i="91"/>
  <c r="DF165" i="91"/>
  <c r="DG165" i="91"/>
  <c r="DD6" i="91"/>
  <c r="DE6" i="91"/>
  <c r="DF6" i="91"/>
  <c r="DG6" i="91"/>
  <c r="DC6" i="91"/>
  <c r="CV6" i="91" l="1"/>
  <c r="CV7" i="91" s="1"/>
  <c r="CV8" i="91" s="1"/>
  <c r="CV9" i="91" s="1"/>
  <c r="CV10" i="91" s="1"/>
  <c r="CV11" i="91" s="1"/>
  <c r="CV12" i="91" s="1"/>
  <c r="CV13" i="91" s="1"/>
  <c r="CV14" i="91" s="1"/>
  <c r="CV15" i="91" s="1"/>
  <c r="CV16" i="91" s="1"/>
  <c r="CV17" i="91" s="1"/>
  <c r="CV18" i="91" s="1"/>
  <c r="CV19" i="91" s="1"/>
  <c r="CV20" i="91" s="1"/>
  <c r="CV21" i="91" s="1"/>
  <c r="CV22" i="91" s="1"/>
  <c r="CV23" i="91" s="1"/>
  <c r="CV24" i="91" s="1"/>
  <c r="CV25" i="91" s="1"/>
  <c r="CV26" i="91" s="1"/>
  <c r="CV27" i="91" s="1"/>
  <c r="CV28" i="91" s="1"/>
  <c r="CV29" i="91" s="1"/>
  <c r="CV30" i="91" s="1"/>
  <c r="CV31" i="91" s="1"/>
  <c r="CV32" i="91" s="1"/>
  <c r="CV33" i="91" s="1"/>
  <c r="CV34" i="91" s="1"/>
  <c r="CV35" i="91" s="1"/>
  <c r="CV36" i="91" s="1"/>
  <c r="CV37" i="91" s="1"/>
  <c r="CV38" i="91" s="1"/>
  <c r="CV39" i="91" s="1"/>
  <c r="CV40" i="91" s="1"/>
  <c r="CV41" i="91" s="1"/>
  <c r="CV42" i="91" s="1"/>
  <c r="CV43" i="91" s="1"/>
  <c r="CV44" i="91" s="1"/>
  <c r="CV45" i="91" s="1"/>
  <c r="CV46" i="91" s="1"/>
  <c r="CV47" i="91" s="1"/>
  <c r="CV48" i="91" s="1"/>
  <c r="CV49" i="91" s="1"/>
  <c r="CV50" i="91" s="1"/>
  <c r="CV51" i="91" s="1"/>
  <c r="CV52" i="91" s="1"/>
  <c r="CV53" i="91" s="1"/>
  <c r="CV54" i="91" s="1"/>
  <c r="CV55" i="91" s="1"/>
  <c r="CV56" i="91" s="1"/>
  <c r="CV57" i="91" s="1"/>
  <c r="CV58" i="91" s="1"/>
  <c r="CV59" i="91" s="1"/>
  <c r="CV60" i="91" s="1"/>
  <c r="CV61" i="91" s="1"/>
  <c r="CV62" i="91" s="1"/>
  <c r="CV63" i="91" s="1"/>
  <c r="CV64" i="91" s="1"/>
  <c r="CV65" i="91" s="1"/>
  <c r="CV66" i="91" s="1"/>
  <c r="CV67" i="91" s="1"/>
  <c r="CV68" i="91" s="1"/>
  <c r="CV69" i="91" s="1"/>
  <c r="CV70" i="91" s="1"/>
  <c r="CV71" i="91" s="1"/>
  <c r="CV72" i="91" s="1"/>
  <c r="CV73" i="91" s="1"/>
  <c r="CV74" i="91" s="1"/>
  <c r="CV75" i="91" s="1"/>
  <c r="CV76" i="91" s="1"/>
  <c r="CV77" i="91" s="1"/>
  <c r="CV78" i="91" s="1"/>
  <c r="CV79" i="91" s="1"/>
  <c r="CV80" i="91" s="1"/>
  <c r="CV81" i="91" s="1"/>
  <c r="CV82" i="91" s="1"/>
  <c r="CV83" i="91" s="1"/>
  <c r="CV84" i="91" s="1"/>
  <c r="CV85" i="91" s="1"/>
  <c r="CV86" i="91" s="1"/>
  <c r="CV87" i="91" s="1"/>
  <c r="CV88" i="91" s="1"/>
  <c r="CV89" i="91" s="1"/>
  <c r="CV90" i="91" s="1"/>
  <c r="CV91" i="91" s="1"/>
  <c r="CV92" i="91" s="1"/>
  <c r="CV93" i="91" s="1"/>
  <c r="CV94" i="91" s="1"/>
  <c r="CV95" i="91" s="1"/>
  <c r="CV96" i="91" s="1"/>
  <c r="CV97" i="91" s="1"/>
  <c r="CV98" i="91" s="1"/>
  <c r="CV99" i="91" s="1"/>
  <c r="CV100" i="91" s="1"/>
  <c r="CV101" i="91" s="1"/>
  <c r="CV102" i="91" s="1"/>
  <c r="CV103" i="91" s="1"/>
  <c r="CV104" i="91" s="1"/>
  <c r="CV105" i="91" s="1"/>
  <c r="CV106" i="91" s="1"/>
  <c r="CV107" i="91" s="1"/>
  <c r="CV108" i="91" s="1"/>
  <c r="CV109" i="91" s="1"/>
  <c r="CV110" i="91" s="1"/>
  <c r="CV111" i="91" s="1"/>
  <c r="CV112" i="91" s="1"/>
  <c r="CV113" i="91" s="1"/>
  <c r="CV114" i="91" s="1"/>
  <c r="CV115" i="91" s="1"/>
  <c r="CV116" i="91" s="1"/>
  <c r="CV117" i="91" s="1"/>
  <c r="CV118" i="91" s="1"/>
  <c r="CV119" i="91" s="1"/>
  <c r="CV120" i="91" s="1"/>
  <c r="CV121" i="91" s="1"/>
  <c r="CV122" i="91" s="1"/>
  <c r="CV123" i="91" s="1"/>
  <c r="CV124" i="91" s="1"/>
  <c r="CV125" i="91" s="1"/>
  <c r="CV126" i="91" s="1"/>
  <c r="CV127" i="91" s="1"/>
  <c r="CV128" i="91" s="1"/>
  <c r="CV129" i="91" s="1"/>
  <c r="CV130" i="91" s="1"/>
  <c r="CV131" i="91" s="1"/>
  <c r="CV132" i="91" s="1"/>
  <c r="CV133" i="91" s="1"/>
  <c r="CV134" i="91" s="1"/>
  <c r="CV135" i="91" s="1"/>
  <c r="CV136" i="91" s="1"/>
  <c r="CV137" i="91" s="1"/>
  <c r="CV138" i="91" s="1"/>
  <c r="CV139" i="91" s="1"/>
  <c r="CV140" i="91" s="1"/>
  <c r="CV141" i="91" s="1"/>
  <c r="CV142" i="91" s="1"/>
  <c r="CV143" i="91" s="1"/>
  <c r="CV144" i="91" s="1"/>
  <c r="CV145" i="91" s="1"/>
  <c r="CV146" i="91" s="1"/>
  <c r="CV147" i="91" s="1"/>
  <c r="CV148" i="91" s="1"/>
  <c r="CV149" i="91" s="1"/>
  <c r="CV150" i="91" s="1"/>
  <c r="CV151" i="91" s="1"/>
  <c r="CV152" i="91" s="1"/>
  <c r="CV153" i="91" s="1"/>
  <c r="CV154" i="91" s="1"/>
  <c r="CV155" i="91" s="1"/>
  <c r="CV156" i="91" s="1"/>
  <c r="CV157" i="91" s="1"/>
  <c r="CV158" i="91" s="1"/>
  <c r="CV159" i="91" s="1"/>
  <c r="CV160" i="91" s="1"/>
  <c r="CV161" i="91" s="1"/>
  <c r="CV162" i="91" s="1"/>
  <c r="CV163" i="91" s="1"/>
  <c r="CV164" i="91" s="1"/>
  <c r="CV165" i="91" s="1"/>
  <c r="CW6" i="91"/>
  <c r="CW7" i="91" s="1"/>
  <c r="CW8" i="91" s="1"/>
  <c r="CW9" i="91" s="1"/>
  <c r="CW10" i="91" s="1"/>
  <c r="CW11" i="91" s="1"/>
  <c r="CW12" i="91" s="1"/>
  <c r="CW13" i="91" s="1"/>
  <c r="CW14" i="91" s="1"/>
  <c r="CW15" i="91" s="1"/>
  <c r="CW16" i="91" s="1"/>
  <c r="CW17" i="91" s="1"/>
  <c r="CW18" i="91" s="1"/>
  <c r="CW19" i="91" s="1"/>
  <c r="CW20" i="91" s="1"/>
  <c r="CW21" i="91" s="1"/>
  <c r="CW22" i="91" s="1"/>
  <c r="CW23" i="91" s="1"/>
  <c r="CW24" i="91" s="1"/>
  <c r="CW25" i="91" s="1"/>
  <c r="CW26" i="91" s="1"/>
  <c r="CW27" i="91" s="1"/>
  <c r="CW28" i="91" s="1"/>
  <c r="CW29" i="91" s="1"/>
  <c r="CW30" i="91" s="1"/>
  <c r="CW31" i="91" s="1"/>
  <c r="CW32" i="91" s="1"/>
  <c r="CW33" i="91" s="1"/>
  <c r="CW34" i="91" s="1"/>
  <c r="CW35" i="91" s="1"/>
  <c r="CW36" i="91" s="1"/>
  <c r="CW37" i="91" s="1"/>
  <c r="CW38" i="91" s="1"/>
  <c r="CW39" i="91" s="1"/>
  <c r="CW40" i="91" s="1"/>
  <c r="CW41" i="91" s="1"/>
  <c r="CW42" i="91" s="1"/>
  <c r="CW43" i="91" s="1"/>
  <c r="CW44" i="91" s="1"/>
  <c r="CW45" i="91" s="1"/>
  <c r="CW46" i="91" s="1"/>
  <c r="CW47" i="91" s="1"/>
  <c r="CW48" i="91" s="1"/>
  <c r="CW49" i="91" s="1"/>
  <c r="CW50" i="91" s="1"/>
  <c r="CW51" i="91" s="1"/>
  <c r="CW52" i="91" s="1"/>
  <c r="CW53" i="91" s="1"/>
  <c r="CW54" i="91" s="1"/>
  <c r="CW55" i="91" s="1"/>
  <c r="CW56" i="91" s="1"/>
  <c r="CW57" i="91" s="1"/>
  <c r="CW58" i="91" s="1"/>
  <c r="CW59" i="91" s="1"/>
  <c r="CW60" i="91" s="1"/>
  <c r="CW61" i="91" s="1"/>
  <c r="CW62" i="91" s="1"/>
  <c r="CW63" i="91" s="1"/>
  <c r="CW64" i="91" s="1"/>
  <c r="CW65" i="91" s="1"/>
  <c r="CW66" i="91" s="1"/>
  <c r="CW67" i="91" s="1"/>
  <c r="CW68" i="91" s="1"/>
  <c r="CW69" i="91" s="1"/>
  <c r="CW70" i="91" s="1"/>
  <c r="CW71" i="91" s="1"/>
  <c r="CW72" i="91" s="1"/>
  <c r="CW73" i="91" s="1"/>
  <c r="CW74" i="91" s="1"/>
  <c r="CW75" i="91" s="1"/>
  <c r="CW76" i="91" s="1"/>
  <c r="CW77" i="91" s="1"/>
  <c r="CW78" i="91" s="1"/>
  <c r="CW79" i="91" s="1"/>
  <c r="CW80" i="91" s="1"/>
  <c r="CW81" i="91" s="1"/>
  <c r="CW82" i="91" s="1"/>
  <c r="CW83" i="91" s="1"/>
  <c r="CW84" i="91" s="1"/>
  <c r="CW85" i="91" s="1"/>
  <c r="CW86" i="91" s="1"/>
  <c r="CW87" i="91" s="1"/>
  <c r="CW88" i="91" s="1"/>
  <c r="CW89" i="91" s="1"/>
  <c r="CW90" i="91" s="1"/>
  <c r="CW91" i="91" s="1"/>
  <c r="CW92" i="91" s="1"/>
  <c r="CW93" i="91" s="1"/>
  <c r="CW94" i="91" s="1"/>
  <c r="CW95" i="91" s="1"/>
  <c r="CW96" i="91" s="1"/>
  <c r="CW97" i="91" s="1"/>
  <c r="CW98" i="91" s="1"/>
  <c r="CW99" i="91" s="1"/>
  <c r="CW100" i="91" s="1"/>
  <c r="CW101" i="91" s="1"/>
  <c r="CW102" i="91" s="1"/>
  <c r="CW103" i="91" s="1"/>
  <c r="CW104" i="91" s="1"/>
  <c r="CW105" i="91" s="1"/>
  <c r="CW106" i="91" s="1"/>
  <c r="CW107" i="91" s="1"/>
  <c r="CW108" i="91" s="1"/>
  <c r="CW109" i="91" s="1"/>
  <c r="CW110" i="91" s="1"/>
  <c r="CW111" i="91" s="1"/>
  <c r="CW112" i="91" s="1"/>
  <c r="CW113" i="91" s="1"/>
  <c r="CW114" i="91" s="1"/>
  <c r="CW115" i="91" s="1"/>
  <c r="CW116" i="91" s="1"/>
  <c r="CW117" i="91" s="1"/>
  <c r="CW118" i="91" s="1"/>
  <c r="CW119" i="91" s="1"/>
  <c r="CW120" i="91" s="1"/>
  <c r="CW121" i="91" s="1"/>
  <c r="CW122" i="91" s="1"/>
  <c r="CW123" i="91" s="1"/>
  <c r="CW124" i="91" s="1"/>
  <c r="CW125" i="91" s="1"/>
  <c r="CW126" i="91" s="1"/>
  <c r="CW127" i="91" s="1"/>
  <c r="CW128" i="91" s="1"/>
  <c r="CW129" i="91" s="1"/>
  <c r="CW130" i="91" s="1"/>
  <c r="CW131" i="91" s="1"/>
  <c r="CW132" i="91" s="1"/>
  <c r="CW133" i="91" s="1"/>
  <c r="CW134" i="91" s="1"/>
  <c r="CW135" i="91" s="1"/>
  <c r="CW136" i="91" s="1"/>
  <c r="CW137" i="91" s="1"/>
  <c r="CW138" i="91" s="1"/>
  <c r="CW139" i="91" s="1"/>
  <c r="CW140" i="91" s="1"/>
  <c r="CW141" i="91" s="1"/>
  <c r="CW142" i="91" s="1"/>
  <c r="CW143" i="91" s="1"/>
  <c r="CW144" i="91" s="1"/>
  <c r="CW145" i="91" s="1"/>
  <c r="CW146" i="91" s="1"/>
  <c r="CW147" i="91" s="1"/>
  <c r="CW148" i="91" s="1"/>
  <c r="CW149" i="91" s="1"/>
  <c r="CW150" i="91" s="1"/>
  <c r="CW151" i="91" s="1"/>
  <c r="CW152" i="91" s="1"/>
  <c r="CW153" i="91" s="1"/>
  <c r="CW154" i="91" s="1"/>
  <c r="CW155" i="91" s="1"/>
  <c r="CW156" i="91" s="1"/>
  <c r="CW157" i="91" s="1"/>
  <c r="CW158" i="91" s="1"/>
  <c r="CW159" i="91" s="1"/>
  <c r="CW160" i="91" s="1"/>
  <c r="CW161" i="91" s="1"/>
  <c r="CW162" i="91" s="1"/>
  <c r="CW163" i="91" s="1"/>
  <c r="CW164" i="91" s="1"/>
  <c r="CW165" i="91" s="1"/>
  <c r="CX6" i="91"/>
  <c r="CX7" i="91" s="1"/>
  <c r="CX8" i="91" s="1"/>
  <c r="CX9" i="91" s="1"/>
  <c r="CX10" i="91" s="1"/>
  <c r="CX11" i="91" s="1"/>
  <c r="CX12" i="91" s="1"/>
  <c r="CX13" i="91" s="1"/>
  <c r="CX14" i="91" s="1"/>
  <c r="CX15" i="91" s="1"/>
  <c r="CX16" i="91" s="1"/>
  <c r="CX17" i="91" s="1"/>
  <c r="CX18" i="91" s="1"/>
  <c r="CX19" i="91" s="1"/>
  <c r="CX20" i="91" s="1"/>
  <c r="CX21" i="91" s="1"/>
  <c r="CX22" i="91" s="1"/>
  <c r="CX23" i="91" s="1"/>
  <c r="CX24" i="91" s="1"/>
  <c r="CX25" i="91" s="1"/>
  <c r="CX26" i="91" s="1"/>
  <c r="CX27" i="91" s="1"/>
  <c r="CX28" i="91" s="1"/>
  <c r="CX29" i="91" s="1"/>
  <c r="CX30" i="91" s="1"/>
  <c r="CX31" i="91" s="1"/>
  <c r="CX32" i="91" s="1"/>
  <c r="CX33" i="91" s="1"/>
  <c r="CX34" i="91" s="1"/>
  <c r="CX35" i="91" s="1"/>
  <c r="CX36" i="91" s="1"/>
  <c r="CX37" i="91" s="1"/>
  <c r="CX38" i="91" s="1"/>
  <c r="CX39" i="91" s="1"/>
  <c r="CX40" i="91" s="1"/>
  <c r="CX41" i="91" s="1"/>
  <c r="CX42" i="91" s="1"/>
  <c r="CX43" i="91" s="1"/>
  <c r="CX44" i="91" s="1"/>
  <c r="CX45" i="91" s="1"/>
  <c r="CX46" i="91" s="1"/>
  <c r="CX47" i="91" s="1"/>
  <c r="CX48" i="91" s="1"/>
  <c r="CX49" i="91" s="1"/>
  <c r="CX50" i="91" s="1"/>
  <c r="CX51" i="91" s="1"/>
  <c r="CX52" i="91" s="1"/>
  <c r="CX53" i="91" s="1"/>
  <c r="CX54" i="91" s="1"/>
  <c r="CX55" i="91" s="1"/>
  <c r="CX56" i="91" s="1"/>
  <c r="CX57" i="91" s="1"/>
  <c r="CX58" i="91" s="1"/>
  <c r="CX59" i="91" s="1"/>
  <c r="CX60" i="91" s="1"/>
  <c r="CX61" i="91" s="1"/>
  <c r="CX62" i="91" s="1"/>
  <c r="CX63" i="91" s="1"/>
  <c r="CX64" i="91" s="1"/>
  <c r="CX65" i="91" s="1"/>
  <c r="CX66" i="91" s="1"/>
  <c r="CX67" i="91" s="1"/>
  <c r="CX68" i="91" s="1"/>
  <c r="CX69" i="91" s="1"/>
  <c r="CX70" i="91" s="1"/>
  <c r="CX71" i="91" s="1"/>
  <c r="CX72" i="91" s="1"/>
  <c r="CX73" i="91" s="1"/>
  <c r="CX74" i="91" s="1"/>
  <c r="CX75" i="91" s="1"/>
  <c r="CX76" i="91" s="1"/>
  <c r="CX77" i="91" s="1"/>
  <c r="CX78" i="91" s="1"/>
  <c r="CX79" i="91" s="1"/>
  <c r="CX80" i="91" s="1"/>
  <c r="CX81" i="91" s="1"/>
  <c r="CX82" i="91" s="1"/>
  <c r="CX83" i="91" s="1"/>
  <c r="CX84" i="91" s="1"/>
  <c r="CX85" i="91" s="1"/>
  <c r="CX86" i="91" s="1"/>
  <c r="CX87" i="91" s="1"/>
  <c r="CX88" i="91" s="1"/>
  <c r="CX89" i="91" s="1"/>
  <c r="CX90" i="91" s="1"/>
  <c r="CX91" i="91" s="1"/>
  <c r="CX92" i="91" s="1"/>
  <c r="CX93" i="91" s="1"/>
  <c r="CX94" i="91" s="1"/>
  <c r="CX95" i="91" s="1"/>
  <c r="CX96" i="91" s="1"/>
  <c r="CX97" i="91" s="1"/>
  <c r="CX98" i="91" s="1"/>
  <c r="CX99" i="91" s="1"/>
  <c r="CX100" i="91" s="1"/>
  <c r="CX101" i="91" s="1"/>
  <c r="CX102" i="91" s="1"/>
  <c r="CX103" i="91" s="1"/>
  <c r="CX104" i="91" s="1"/>
  <c r="CX105" i="91" s="1"/>
  <c r="CX106" i="91" s="1"/>
  <c r="CX107" i="91" s="1"/>
  <c r="CX108" i="91" s="1"/>
  <c r="CX109" i="91" s="1"/>
  <c r="CX110" i="91" s="1"/>
  <c r="CX111" i="91" s="1"/>
  <c r="CX112" i="91" s="1"/>
  <c r="CX113" i="91" s="1"/>
  <c r="CX114" i="91" s="1"/>
  <c r="CX115" i="91" s="1"/>
  <c r="CX116" i="91" s="1"/>
  <c r="CX117" i="91" s="1"/>
  <c r="CX118" i="91" s="1"/>
  <c r="CX119" i="91" s="1"/>
  <c r="CX120" i="91" s="1"/>
  <c r="CX121" i="91" s="1"/>
  <c r="CX122" i="91" s="1"/>
  <c r="CX123" i="91" s="1"/>
  <c r="CX124" i="91" s="1"/>
  <c r="CX125" i="91" s="1"/>
  <c r="CX126" i="91" s="1"/>
  <c r="CX127" i="91" s="1"/>
  <c r="CX128" i="91" s="1"/>
  <c r="CX129" i="91" s="1"/>
  <c r="CX130" i="91" s="1"/>
  <c r="CX131" i="91" s="1"/>
  <c r="CX132" i="91" s="1"/>
  <c r="CX133" i="91" s="1"/>
  <c r="CX134" i="91" s="1"/>
  <c r="CX135" i="91" s="1"/>
  <c r="CX136" i="91" s="1"/>
  <c r="CX137" i="91" s="1"/>
  <c r="CX138" i="91" s="1"/>
  <c r="CX139" i="91" s="1"/>
  <c r="CX140" i="91" s="1"/>
  <c r="CX141" i="91" s="1"/>
  <c r="CX142" i="91" s="1"/>
  <c r="CX143" i="91" s="1"/>
  <c r="CX144" i="91" s="1"/>
  <c r="CX145" i="91" s="1"/>
  <c r="CX146" i="91" s="1"/>
  <c r="CX147" i="91" s="1"/>
  <c r="CX148" i="91" s="1"/>
  <c r="CX149" i="91" s="1"/>
  <c r="CX150" i="91" s="1"/>
  <c r="CX151" i="91" s="1"/>
  <c r="CX152" i="91" s="1"/>
  <c r="CX153" i="91" s="1"/>
  <c r="CX154" i="91" s="1"/>
  <c r="CX155" i="91" s="1"/>
  <c r="CX156" i="91" s="1"/>
  <c r="CX157" i="91" s="1"/>
  <c r="CX158" i="91" s="1"/>
  <c r="CX159" i="91" s="1"/>
  <c r="CX160" i="91" s="1"/>
  <c r="CX161" i="91" s="1"/>
  <c r="CX162" i="91" s="1"/>
  <c r="CX163" i="91" s="1"/>
  <c r="CX164" i="91" s="1"/>
  <c r="CX165" i="91" s="1"/>
  <c r="CY6" i="91"/>
  <c r="CY7" i="91" s="1"/>
  <c r="CY8" i="91" s="1"/>
  <c r="CY9" i="91" s="1"/>
  <c r="CY10" i="91" s="1"/>
  <c r="CY11" i="91" s="1"/>
  <c r="CY12" i="91" s="1"/>
  <c r="CY13" i="91" s="1"/>
  <c r="CY14" i="91" s="1"/>
  <c r="CY15" i="91" s="1"/>
  <c r="CY16" i="91" s="1"/>
  <c r="CY17" i="91" s="1"/>
  <c r="CY18" i="91" s="1"/>
  <c r="CY19" i="91" s="1"/>
  <c r="CY20" i="91" s="1"/>
  <c r="CY21" i="91" s="1"/>
  <c r="CY22" i="91" s="1"/>
  <c r="CY23" i="91" s="1"/>
  <c r="CY24" i="91" s="1"/>
  <c r="CY25" i="91" s="1"/>
  <c r="CY26" i="91" s="1"/>
  <c r="CY27" i="91" s="1"/>
  <c r="CY28" i="91" s="1"/>
  <c r="CY29" i="91" s="1"/>
  <c r="CY30" i="91" s="1"/>
  <c r="CY31" i="91" s="1"/>
  <c r="CY32" i="91" s="1"/>
  <c r="CY33" i="91" s="1"/>
  <c r="CY34" i="91" s="1"/>
  <c r="CY35" i="91" s="1"/>
  <c r="CY36" i="91" s="1"/>
  <c r="CY37" i="91" s="1"/>
  <c r="CY38" i="91" s="1"/>
  <c r="CY39" i="91" s="1"/>
  <c r="CY40" i="91" s="1"/>
  <c r="CY41" i="91" s="1"/>
  <c r="CY42" i="91" s="1"/>
  <c r="CY43" i="91" s="1"/>
  <c r="CY44" i="91" s="1"/>
  <c r="CY45" i="91" s="1"/>
  <c r="CY46" i="91" s="1"/>
  <c r="CY47" i="91" s="1"/>
  <c r="CY48" i="91" s="1"/>
  <c r="CY49" i="91" s="1"/>
  <c r="CY50" i="91" s="1"/>
  <c r="CY51" i="91" s="1"/>
  <c r="CY52" i="91" s="1"/>
  <c r="CY53" i="91" s="1"/>
  <c r="CY54" i="91" s="1"/>
  <c r="CY55" i="91" s="1"/>
  <c r="CY56" i="91" s="1"/>
  <c r="CY57" i="91" s="1"/>
  <c r="CY58" i="91" s="1"/>
  <c r="CY59" i="91" s="1"/>
  <c r="CY60" i="91" s="1"/>
  <c r="CY61" i="91" s="1"/>
  <c r="CY62" i="91" s="1"/>
  <c r="CY63" i="91" s="1"/>
  <c r="CY64" i="91" s="1"/>
  <c r="CY65" i="91" s="1"/>
  <c r="CY66" i="91" s="1"/>
  <c r="CY67" i="91" s="1"/>
  <c r="CY68" i="91" s="1"/>
  <c r="CY69" i="91" s="1"/>
  <c r="CY70" i="91" s="1"/>
  <c r="CY71" i="91" s="1"/>
  <c r="CY72" i="91" s="1"/>
  <c r="CY73" i="91" s="1"/>
  <c r="CY74" i="91" s="1"/>
  <c r="CY75" i="91" s="1"/>
  <c r="CY76" i="91" s="1"/>
  <c r="CY77" i="91" s="1"/>
  <c r="CY78" i="91" s="1"/>
  <c r="CY79" i="91" s="1"/>
  <c r="CY80" i="91" s="1"/>
  <c r="CY81" i="91" s="1"/>
  <c r="CY82" i="91" s="1"/>
  <c r="CY83" i="91" s="1"/>
  <c r="CY84" i="91" s="1"/>
  <c r="CY85" i="91" s="1"/>
  <c r="CY86" i="91" s="1"/>
  <c r="CY87" i="91" s="1"/>
  <c r="CY88" i="91" s="1"/>
  <c r="CY89" i="91" s="1"/>
  <c r="CY90" i="91" s="1"/>
  <c r="CY91" i="91" s="1"/>
  <c r="CY92" i="91" s="1"/>
  <c r="CY93" i="91" s="1"/>
  <c r="CY94" i="91" s="1"/>
  <c r="CY95" i="91" s="1"/>
  <c r="CY96" i="91" s="1"/>
  <c r="CY97" i="91" s="1"/>
  <c r="CY98" i="91" s="1"/>
  <c r="CY99" i="91" s="1"/>
  <c r="CY100" i="91" s="1"/>
  <c r="CY101" i="91" s="1"/>
  <c r="CY102" i="91" s="1"/>
  <c r="CY103" i="91" s="1"/>
  <c r="CY104" i="91" s="1"/>
  <c r="CY105" i="91" s="1"/>
  <c r="CY106" i="91" s="1"/>
  <c r="CY107" i="91" s="1"/>
  <c r="CY108" i="91" s="1"/>
  <c r="CY109" i="91" s="1"/>
  <c r="CY110" i="91" s="1"/>
  <c r="CY111" i="91" s="1"/>
  <c r="CY112" i="91" s="1"/>
  <c r="CY113" i="91" s="1"/>
  <c r="CY114" i="91" s="1"/>
  <c r="CY115" i="91" s="1"/>
  <c r="CY116" i="91" s="1"/>
  <c r="CY117" i="91" s="1"/>
  <c r="CY118" i="91" s="1"/>
  <c r="CY119" i="91" s="1"/>
  <c r="CY120" i="91" s="1"/>
  <c r="CY121" i="91" s="1"/>
  <c r="CY122" i="91" s="1"/>
  <c r="CY123" i="91" s="1"/>
  <c r="CY124" i="91" s="1"/>
  <c r="CY125" i="91" s="1"/>
  <c r="CY126" i="91" s="1"/>
  <c r="CY127" i="91" s="1"/>
  <c r="CY128" i="91" s="1"/>
  <c r="CY129" i="91" s="1"/>
  <c r="CY130" i="91" s="1"/>
  <c r="CY131" i="91" s="1"/>
  <c r="CY132" i="91" s="1"/>
  <c r="CY133" i="91" s="1"/>
  <c r="CY134" i="91" s="1"/>
  <c r="CY135" i="91" s="1"/>
  <c r="CY136" i="91" s="1"/>
  <c r="CY137" i="91" s="1"/>
  <c r="CY138" i="91" s="1"/>
  <c r="CY139" i="91" s="1"/>
  <c r="CY140" i="91" s="1"/>
  <c r="CY141" i="91" s="1"/>
  <c r="CY142" i="91" s="1"/>
  <c r="CY143" i="91" s="1"/>
  <c r="CY144" i="91" s="1"/>
  <c r="CY145" i="91" s="1"/>
  <c r="CY146" i="91" s="1"/>
  <c r="CY147" i="91" s="1"/>
  <c r="CY148" i="91" s="1"/>
  <c r="CY149" i="91" s="1"/>
  <c r="CY150" i="91" s="1"/>
  <c r="CY151" i="91" s="1"/>
  <c r="CY152" i="91" s="1"/>
  <c r="CY153" i="91" s="1"/>
  <c r="CY154" i="91" s="1"/>
  <c r="CY155" i="91" s="1"/>
  <c r="CY156" i="91" s="1"/>
  <c r="CY157" i="91" s="1"/>
  <c r="CY158" i="91" s="1"/>
  <c r="CY159" i="91" s="1"/>
  <c r="CY160" i="91" s="1"/>
  <c r="CY161" i="91" s="1"/>
  <c r="CY162" i="91" s="1"/>
  <c r="CY163" i="91" s="1"/>
  <c r="CY164" i="91" s="1"/>
  <c r="CY165" i="91" s="1"/>
  <c r="CU6" i="91"/>
  <c r="CU7" i="91" s="1"/>
  <c r="CU8" i="91" s="1"/>
  <c r="CU9" i="91" s="1"/>
  <c r="CU10" i="91" s="1"/>
  <c r="CU11" i="91" s="1"/>
  <c r="CU12" i="91" s="1"/>
  <c r="CU13" i="91" s="1"/>
  <c r="CU14" i="91" s="1"/>
  <c r="CU15" i="91" s="1"/>
  <c r="CU16" i="91" s="1"/>
  <c r="CU17" i="91" s="1"/>
  <c r="CU18" i="91" s="1"/>
  <c r="CU19" i="91" s="1"/>
  <c r="CU20" i="91" s="1"/>
  <c r="CU21" i="91" s="1"/>
  <c r="CU22" i="91" s="1"/>
  <c r="CU23" i="91" s="1"/>
  <c r="CU24" i="91" s="1"/>
  <c r="CU25" i="91" s="1"/>
  <c r="CU26" i="91" s="1"/>
  <c r="CU27" i="91" s="1"/>
  <c r="CU28" i="91" s="1"/>
  <c r="CU29" i="91" s="1"/>
  <c r="CU30" i="91" s="1"/>
  <c r="CU31" i="91" s="1"/>
  <c r="CU32" i="91" s="1"/>
  <c r="CU33" i="91" s="1"/>
  <c r="CU34" i="91" s="1"/>
  <c r="CU35" i="91" s="1"/>
  <c r="CU36" i="91" s="1"/>
  <c r="CU37" i="91" s="1"/>
  <c r="CU38" i="91" s="1"/>
  <c r="CU39" i="91" s="1"/>
  <c r="CU40" i="91" s="1"/>
  <c r="CU41" i="91" s="1"/>
  <c r="CU42" i="91" s="1"/>
  <c r="CU43" i="91" s="1"/>
  <c r="CU44" i="91" s="1"/>
  <c r="CU45" i="91" s="1"/>
  <c r="CU46" i="91" s="1"/>
  <c r="CU47" i="91" s="1"/>
  <c r="CU48" i="91" s="1"/>
  <c r="CU49" i="91" s="1"/>
  <c r="CU50" i="91" s="1"/>
  <c r="CU51" i="91" s="1"/>
  <c r="CU52" i="91" s="1"/>
  <c r="CU53" i="91" s="1"/>
  <c r="CU54" i="91" s="1"/>
  <c r="CU55" i="91" s="1"/>
  <c r="CU56" i="91" s="1"/>
  <c r="CU57" i="91" s="1"/>
  <c r="CU58" i="91" s="1"/>
  <c r="CU59" i="91" s="1"/>
  <c r="CU60" i="91" s="1"/>
  <c r="CU61" i="91" s="1"/>
  <c r="CU62" i="91" s="1"/>
  <c r="CU63" i="91" s="1"/>
  <c r="CU64" i="91" s="1"/>
  <c r="CU65" i="91" s="1"/>
  <c r="CU66" i="91" s="1"/>
  <c r="CU67" i="91" s="1"/>
  <c r="CU68" i="91" s="1"/>
  <c r="CU69" i="91" s="1"/>
  <c r="CU70" i="91" s="1"/>
  <c r="CU71" i="91" s="1"/>
  <c r="CU72" i="91" s="1"/>
  <c r="CU73" i="91" s="1"/>
  <c r="CU74" i="91" s="1"/>
  <c r="CU75" i="91" s="1"/>
  <c r="CU76" i="91" s="1"/>
  <c r="CU77" i="91" s="1"/>
  <c r="CU78" i="91" s="1"/>
  <c r="CU79" i="91" s="1"/>
  <c r="CU80" i="91" s="1"/>
  <c r="CU81" i="91" s="1"/>
  <c r="CU82" i="91" s="1"/>
  <c r="CU83" i="91" s="1"/>
  <c r="CU84" i="91" s="1"/>
  <c r="CU85" i="91" s="1"/>
  <c r="CU86" i="91" s="1"/>
  <c r="CU87" i="91" s="1"/>
  <c r="CU88" i="91" s="1"/>
  <c r="CU89" i="91" s="1"/>
  <c r="CU90" i="91" s="1"/>
  <c r="CU91" i="91" s="1"/>
  <c r="CU92" i="91" s="1"/>
  <c r="CU93" i="91" s="1"/>
  <c r="CU94" i="91" s="1"/>
  <c r="CU95" i="91" s="1"/>
  <c r="CU96" i="91" s="1"/>
  <c r="CU97" i="91" s="1"/>
  <c r="CU98" i="91" s="1"/>
  <c r="CU99" i="91" s="1"/>
  <c r="CU100" i="91" s="1"/>
  <c r="CU101" i="91" s="1"/>
  <c r="CU102" i="91" s="1"/>
  <c r="CU103" i="91" s="1"/>
  <c r="CU104" i="91" s="1"/>
  <c r="CU105" i="91" s="1"/>
  <c r="CU106" i="91" s="1"/>
  <c r="CU107" i="91" s="1"/>
  <c r="CU108" i="91" s="1"/>
  <c r="CU109" i="91" s="1"/>
  <c r="CU110" i="91" s="1"/>
  <c r="CU111" i="91" s="1"/>
  <c r="CU112" i="91" s="1"/>
  <c r="CU113" i="91" s="1"/>
  <c r="CU114" i="91" s="1"/>
  <c r="CU115" i="91" s="1"/>
  <c r="CU116" i="91" s="1"/>
  <c r="CU117" i="91" s="1"/>
  <c r="CU118" i="91" s="1"/>
  <c r="CU119" i="91" s="1"/>
  <c r="CU120" i="91" s="1"/>
  <c r="CU121" i="91" s="1"/>
  <c r="CU122" i="91" s="1"/>
  <c r="CU123" i="91" s="1"/>
  <c r="CU124" i="91" s="1"/>
  <c r="CU125" i="91" s="1"/>
  <c r="CU126" i="91" s="1"/>
  <c r="CU127" i="91" s="1"/>
  <c r="CU128" i="91" s="1"/>
  <c r="CU129" i="91" s="1"/>
  <c r="CU130" i="91" s="1"/>
  <c r="CU131" i="91" s="1"/>
  <c r="CU132" i="91" s="1"/>
  <c r="CU133" i="91" s="1"/>
  <c r="CU134" i="91" s="1"/>
  <c r="CU135" i="91" s="1"/>
  <c r="CU136" i="91" s="1"/>
  <c r="CU137" i="91" s="1"/>
  <c r="CU138" i="91" s="1"/>
  <c r="CU139" i="91" s="1"/>
  <c r="CU140" i="91" s="1"/>
  <c r="CU141" i="91" s="1"/>
  <c r="CU142" i="91" s="1"/>
  <c r="CU143" i="91" s="1"/>
  <c r="CU144" i="91" s="1"/>
  <c r="CU145" i="91" s="1"/>
  <c r="CU146" i="91" s="1"/>
  <c r="CU147" i="91" s="1"/>
  <c r="CU148" i="91" s="1"/>
  <c r="CU149" i="91" s="1"/>
  <c r="CU150" i="91" s="1"/>
  <c r="CU151" i="91" s="1"/>
  <c r="CU152" i="91" s="1"/>
  <c r="CU153" i="91" s="1"/>
  <c r="CU154" i="91" s="1"/>
  <c r="CU155" i="91" s="1"/>
  <c r="CU156" i="91" s="1"/>
  <c r="CU157" i="91" s="1"/>
  <c r="CU158" i="91" s="1"/>
  <c r="CU159" i="91" s="1"/>
  <c r="CU160" i="91" s="1"/>
  <c r="CU161" i="91" s="1"/>
  <c r="CU162" i="91" s="1"/>
  <c r="CU163" i="91" s="1"/>
  <c r="CU164" i="91" s="1"/>
  <c r="CU165" i="91" s="1"/>
  <c r="BW7" i="91" l="1"/>
  <c r="BX7" i="91"/>
  <c r="BY7" i="91"/>
  <c r="BZ7" i="91"/>
  <c r="CA7" i="91"/>
  <c r="BW8" i="91"/>
  <c r="BX8" i="91"/>
  <c r="BY8" i="91"/>
  <c r="BZ8" i="91"/>
  <c r="CA8" i="91"/>
  <c r="BW9" i="91"/>
  <c r="BX9" i="91"/>
  <c r="BY9" i="91"/>
  <c r="BZ9" i="91"/>
  <c r="CA9" i="91"/>
  <c r="BW10" i="91"/>
  <c r="BX10" i="91"/>
  <c r="BY10" i="91"/>
  <c r="BZ10" i="91"/>
  <c r="CA10" i="91"/>
  <c r="BW11" i="91"/>
  <c r="BX11" i="91"/>
  <c r="BY11" i="91"/>
  <c r="BZ11" i="91"/>
  <c r="CA11" i="91"/>
  <c r="BW12" i="91"/>
  <c r="BX12" i="91"/>
  <c r="BY12" i="91"/>
  <c r="BZ12" i="91"/>
  <c r="CA12" i="91"/>
  <c r="BW13" i="91"/>
  <c r="BX13" i="91"/>
  <c r="BY13" i="91"/>
  <c r="BZ13" i="91"/>
  <c r="CA13" i="91"/>
  <c r="BW14" i="91"/>
  <c r="BX14" i="91"/>
  <c r="BY14" i="91"/>
  <c r="BZ14" i="91"/>
  <c r="CA14" i="91"/>
  <c r="BW15" i="91"/>
  <c r="BX15" i="91"/>
  <c r="BY15" i="91"/>
  <c r="BZ15" i="91"/>
  <c r="CA15" i="91"/>
  <c r="BW16" i="91"/>
  <c r="BX16" i="91"/>
  <c r="BY16" i="91"/>
  <c r="BZ16" i="91"/>
  <c r="CA16" i="91"/>
  <c r="BW17" i="91"/>
  <c r="BX17" i="91"/>
  <c r="BY17" i="91"/>
  <c r="BZ17" i="91"/>
  <c r="CA17" i="91"/>
  <c r="BW18" i="91"/>
  <c r="BX18" i="91"/>
  <c r="BY18" i="91"/>
  <c r="BZ18" i="91"/>
  <c r="CA18" i="91"/>
  <c r="BW19" i="91"/>
  <c r="BX19" i="91"/>
  <c r="BY19" i="91"/>
  <c r="BZ19" i="91"/>
  <c r="CA19" i="91"/>
  <c r="BW20" i="91"/>
  <c r="BX20" i="91"/>
  <c r="BY20" i="91"/>
  <c r="BZ20" i="91"/>
  <c r="CA20" i="91"/>
  <c r="BW21" i="91"/>
  <c r="BX21" i="91"/>
  <c r="BY21" i="91"/>
  <c r="BZ21" i="91"/>
  <c r="CA21" i="91"/>
  <c r="BW22" i="91"/>
  <c r="BX22" i="91"/>
  <c r="BY22" i="91"/>
  <c r="BZ22" i="91"/>
  <c r="CA22" i="91"/>
  <c r="BW23" i="91"/>
  <c r="BX23" i="91"/>
  <c r="BY23" i="91"/>
  <c r="BZ23" i="91"/>
  <c r="CA23" i="91"/>
  <c r="BW24" i="91"/>
  <c r="BX24" i="91"/>
  <c r="BY24" i="91"/>
  <c r="BZ24" i="91"/>
  <c r="CA24" i="91"/>
  <c r="BW25" i="91"/>
  <c r="BX25" i="91"/>
  <c r="BY25" i="91"/>
  <c r="BZ25" i="91"/>
  <c r="CA25" i="91"/>
  <c r="BW26" i="91"/>
  <c r="BX26" i="91"/>
  <c r="BY26" i="91"/>
  <c r="BZ26" i="91"/>
  <c r="CA26" i="91"/>
  <c r="BW27" i="91"/>
  <c r="BX27" i="91"/>
  <c r="BY27" i="91"/>
  <c r="BZ27" i="91"/>
  <c r="CA27" i="91"/>
  <c r="BW28" i="91"/>
  <c r="BX28" i="91"/>
  <c r="BY28" i="91"/>
  <c r="BZ28" i="91"/>
  <c r="CA28" i="91"/>
  <c r="BW29" i="91"/>
  <c r="BX29" i="91"/>
  <c r="BY29" i="91"/>
  <c r="BZ29" i="91"/>
  <c r="CA29" i="91"/>
  <c r="BW30" i="91"/>
  <c r="BX30" i="91"/>
  <c r="BY30" i="91"/>
  <c r="BZ30" i="91"/>
  <c r="CA30" i="91"/>
  <c r="BW31" i="91"/>
  <c r="BX31" i="91"/>
  <c r="BY31" i="91"/>
  <c r="BZ31" i="91"/>
  <c r="CA31" i="91"/>
  <c r="BW32" i="91"/>
  <c r="BX32" i="91"/>
  <c r="BY32" i="91"/>
  <c r="BZ32" i="91"/>
  <c r="CA32" i="91"/>
  <c r="BW33" i="91"/>
  <c r="BX33" i="91"/>
  <c r="BY33" i="91"/>
  <c r="BZ33" i="91"/>
  <c r="CA33" i="91"/>
  <c r="BW34" i="91"/>
  <c r="BX34" i="91"/>
  <c r="BY34" i="91"/>
  <c r="BZ34" i="91"/>
  <c r="CA34" i="91"/>
  <c r="BW35" i="91"/>
  <c r="BX35" i="91"/>
  <c r="BY35" i="91"/>
  <c r="BZ35" i="91"/>
  <c r="CA35" i="91"/>
  <c r="BW36" i="91"/>
  <c r="BX36" i="91"/>
  <c r="BY36" i="91"/>
  <c r="BZ36" i="91"/>
  <c r="CA36" i="91"/>
  <c r="BW37" i="91"/>
  <c r="BX37" i="91"/>
  <c r="BY37" i="91"/>
  <c r="BZ37" i="91"/>
  <c r="CA37" i="91"/>
  <c r="BW38" i="91"/>
  <c r="BX38" i="91"/>
  <c r="BY38" i="91"/>
  <c r="BZ38" i="91"/>
  <c r="CA38" i="91"/>
  <c r="BW39" i="91"/>
  <c r="BX39" i="91"/>
  <c r="BY39" i="91"/>
  <c r="BZ39" i="91"/>
  <c r="CA39" i="91"/>
  <c r="BW40" i="91"/>
  <c r="BX40" i="91"/>
  <c r="BY40" i="91"/>
  <c r="BZ40" i="91"/>
  <c r="CA40" i="91"/>
  <c r="BW41" i="91"/>
  <c r="BX41" i="91"/>
  <c r="BY41" i="91"/>
  <c r="BZ41" i="91"/>
  <c r="CA41" i="91"/>
  <c r="BW42" i="91"/>
  <c r="BX42" i="91"/>
  <c r="BY42" i="91"/>
  <c r="BZ42" i="91"/>
  <c r="CA42" i="91"/>
  <c r="BW43" i="91"/>
  <c r="BX43" i="91"/>
  <c r="BY43" i="91"/>
  <c r="BZ43" i="91"/>
  <c r="CA43" i="91"/>
  <c r="BW44" i="91"/>
  <c r="BX44" i="91"/>
  <c r="BY44" i="91"/>
  <c r="BZ44" i="91"/>
  <c r="CA44" i="91"/>
  <c r="BW45" i="91"/>
  <c r="BX45" i="91"/>
  <c r="BY45" i="91"/>
  <c r="BZ45" i="91"/>
  <c r="CA45" i="91"/>
  <c r="BW46" i="91"/>
  <c r="BX46" i="91"/>
  <c r="BY46" i="91"/>
  <c r="BZ46" i="91"/>
  <c r="CA46" i="91"/>
  <c r="BW47" i="91"/>
  <c r="BX47" i="91"/>
  <c r="BY47" i="91"/>
  <c r="BZ47" i="91"/>
  <c r="CA47" i="91"/>
  <c r="BW48" i="91"/>
  <c r="BX48" i="91"/>
  <c r="BY48" i="91"/>
  <c r="BZ48" i="91"/>
  <c r="CA48" i="91"/>
  <c r="BW49" i="91"/>
  <c r="BX49" i="91"/>
  <c r="BY49" i="91"/>
  <c r="BZ49" i="91"/>
  <c r="CA49" i="91"/>
  <c r="BW50" i="91"/>
  <c r="BX50" i="91"/>
  <c r="BY50" i="91"/>
  <c r="BZ50" i="91"/>
  <c r="CA50" i="91"/>
  <c r="BW51" i="91"/>
  <c r="BX51" i="91"/>
  <c r="BY51" i="91"/>
  <c r="BZ51" i="91"/>
  <c r="CA51" i="91"/>
  <c r="BW52" i="91"/>
  <c r="BX52" i="91"/>
  <c r="BY52" i="91"/>
  <c r="BZ52" i="91"/>
  <c r="CA52" i="91"/>
  <c r="BW53" i="91"/>
  <c r="BX53" i="91"/>
  <c r="BY53" i="91"/>
  <c r="BZ53" i="91"/>
  <c r="CA53" i="91"/>
  <c r="BW54" i="91"/>
  <c r="BX54" i="91"/>
  <c r="BY54" i="91"/>
  <c r="BZ54" i="91"/>
  <c r="CA54" i="91"/>
  <c r="BW55" i="91"/>
  <c r="BX55" i="91"/>
  <c r="BY55" i="91"/>
  <c r="BZ55" i="91"/>
  <c r="CA55" i="91"/>
  <c r="BW56" i="91"/>
  <c r="BX56" i="91"/>
  <c r="BY56" i="91"/>
  <c r="BZ56" i="91"/>
  <c r="CA56" i="91"/>
  <c r="BW57" i="91"/>
  <c r="BX57" i="91"/>
  <c r="BY57" i="91"/>
  <c r="BZ57" i="91"/>
  <c r="CA57" i="91"/>
  <c r="BW58" i="91"/>
  <c r="BX58" i="91"/>
  <c r="BY58" i="91"/>
  <c r="BZ58" i="91"/>
  <c r="CA58" i="91"/>
  <c r="BW59" i="91"/>
  <c r="BX59" i="91"/>
  <c r="BY59" i="91"/>
  <c r="BZ59" i="91"/>
  <c r="CA59" i="91"/>
  <c r="BW60" i="91"/>
  <c r="BX60" i="91"/>
  <c r="BY60" i="91"/>
  <c r="BZ60" i="91"/>
  <c r="CA60" i="91"/>
  <c r="BW61" i="91"/>
  <c r="BX61" i="91"/>
  <c r="BY61" i="91"/>
  <c r="BZ61" i="91"/>
  <c r="CA61" i="91"/>
  <c r="BW62" i="91"/>
  <c r="BX62" i="91"/>
  <c r="BY62" i="91"/>
  <c r="BZ62" i="91"/>
  <c r="CA62" i="91"/>
  <c r="BW63" i="91"/>
  <c r="BX63" i="91"/>
  <c r="BY63" i="91"/>
  <c r="BZ63" i="91"/>
  <c r="CA63" i="91"/>
  <c r="BW64" i="91"/>
  <c r="BX64" i="91"/>
  <c r="BY64" i="91"/>
  <c r="BZ64" i="91"/>
  <c r="CA64" i="91"/>
  <c r="BW65" i="91"/>
  <c r="BX65" i="91"/>
  <c r="BY65" i="91"/>
  <c r="BZ65" i="91"/>
  <c r="CA65" i="91"/>
  <c r="BW66" i="91"/>
  <c r="BX66" i="91"/>
  <c r="BY66" i="91"/>
  <c r="BZ66" i="91"/>
  <c r="CA66" i="91"/>
  <c r="BW67" i="91"/>
  <c r="BX67" i="91"/>
  <c r="BY67" i="91"/>
  <c r="BZ67" i="91"/>
  <c r="CA67" i="91"/>
  <c r="BW68" i="91"/>
  <c r="BX68" i="91"/>
  <c r="BY68" i="91"/>
  <c r="BZ68" i="91"/>
  <c r="CA68" i="91"/>
  <c r="BW69" i="91"/>
  <c r="BX69" i="91"/>
  <c r="BY69" i="91"/>
  <c r="BZ69" i="91"/>
  <c r="CA69" i="91"/>
  <c r="BW70" i="91"/>
  <c r="BX70" i="91"/>
  <c r="BY70" i="91"/>
  <c r="BZ70" i="91"/>
  <c r="CA70" i="91"/>
  <c r="BW71" i="91"/>
  <c r="BX71" i="91"/>
  <c r="BY71" i="91"/>
  <c r="BZ71" i="91"/>
  <c r="CA71" i="91"/>
  <c r="BW72" i="91"/>
  <c r="BX72" i="91"/>
  <c r="BY72" i="91"/>
  <c r="BZ72" i="91"/>
  <c r="CA72" i="91"/>
  <c r="BW73" i="91"/>
  <c r="BX73" i="91"/>
  <c r="BY73" i="91"/>
  <c r="BZ73" i="91"/>
  <c r="CA73" i="91"/>
  <c r="BW74" i="91"/>
  <c r="BX74" i="91"/>
  <c r="BY74" i="91"/>
  <c r="BZ74" i="91"/>
  <c r="CA74" i="91"/>
  <c r="BW75" i="91"/>
  <c r="BX75" i="91"/>
  <c r="BY75" i="91"/>
  <c r="BZ75" i="91"/>
  <c r="CA75" i="91"/>
  <c r="BW76" i="91"/>
  <c r="BX76" i="91"/>
  <c r="BY76" i="91"/>
  <c r="BZ76" i="91"/>
  <c r="CA76" i="91"/>
  <c r="BW77" i="91"/>
  <c r="BX77" i="91"/>
  <c r="BY77" i="91"/>
  <c r="BZ77" i="91"/>
  <c r="CA77" i="91"/>
  <c r="BW78" i="91"/>
  <c r="BX78" i="91"/>
  <c r="BY78" i="91"/>
  <c r="BZ78" i="91"/>
  <c r="CA78" i="91"/>
  <c r="BW79" i="91"/>
  <c r="BX79" i="91"/>
  <c r="BY79" i="91"/>
  <c r="BZ79" i="91"/>
  <c r="CA79" i="91"/>
  <c r="BW80" i="91"/>
  <c r="BX80" i="91"/>
  <c r="BY80" i="91"/>
  <c r="BZ80" i="91"/>
  <c r="CA80" i="91"/>
  <c r="BW81" i="91"/>
  <c r="BX81" i="91"/>
  <c r="BY81" i="91"/>
  <c r="BZ81" i="91"/>
  <c r="CA81" i="91"/>
  <c r="BW82" i="91"/>
  <c r="BX82" i="91"/>
  <c r="BY82" i="91"/>
  <c r="BZ82" i="91"/>
  <c r="CA82" i="91"/>
  <c r="BW83" i="91"/>
  <c r="BX83" i="91"/>
  <c r="BY83" i="91"/>
  <c r="BZ83" i="91"/>
  <c r="CA83" i="91"/>
  <c r="BW84" i="91"/>
  <c r="BX84" i="91"/>
  <c r="BY84" i="91"/>
  <c r="BZ84" i="91"/>
  <c r="CA84" i="91"/>
  <c r="BW85" i="91"/>
  <c r="BX85" i="91"/>
  <c r="BY85" i="91"/>
  <c r="BZ85" i="91"/>
  <c r="CA85" i="91"/>
  <c r="BW86" i="91"/>
  <c r="BX86" i="91"/>
  <c r="BY86" i="91"/>
  <c r="BZ86" i="91"/>
  <c r="CA86" i="91"/>
  <c r="BW87" i="91"/>
  <c r="BX87" i="91"/>
  <c r="BY87" i="91"/>
  <c r="BZ87" i="91"/>
  <c r="CA87" i="91"/>
  <c r="BW88" i="91"/>
  <c r="BX88" i="91"/>
  <c r="BY88" i="91"/>
  <c r="BZ88" i="91"/>
  <c r="CA88" i="91"/>
  <c r="BW89" i="91"/>
  <c r="BX89" i="91"/>
  <c r="BY89" i="91"/>
  <c r="BZ89" i="91"/>
  <c r="CA89" i="91"/>
  <c r="BW90" i="91"/>
  <c r="BX90" i="91"/>
  <c r="BY90" i="91"/>
  <c r="BZ90" i="91"/>
  <c r="CA90" i="91"/>
  <c r="BW91" i="91"/>
  <c r="BX91" i="91"/>
  <c r="BY91" i="91"/>
  <c r="BZ91" i="91"/>
  <c r="CA91" i="91"/>
  <c r="BW92" i="91"/>
  <c r="BX92" i="91"/>
  <c r="BY92" i="91"/>
  <c r="BZ92" i="91"/>
  <c r="CA92" i="91"/>
  <c r="BW93" i="91"/>
  <c r="BX93" i="91"/>
  <c r="BY93" i="91"/>
  <c r="BZ93" i="91"/>
  <c r="CA93" i="91"/>
  <c r="BW94" i="91"/>
  <c r="BX94" i="91"/>
  <c r="BY94" i="91"/>
  <c r="BZ94" i="91"/>
  <c r="CA94" i="91"/>
  <c r="BW95" i="91"/>
  <c r="BX95" i="91"/>
  <c r="BY95" i="91"/>
  <c r="BZ95" i="91"/>
  <c r="CA95" i="91"/>
  <c r="BW96" i="91"/>
  <c r="BX96" i="91"/>
  <c r="BY96" i="91"/>
  <c r="BZ96" i="91"/>
  <c r="CA96" i="91"/>
  <c r="BW97" i="91"/>
  <c r="BX97" i="91"/>
  <c r="BY97" i="91"/>
  <c r="BZ97" i="91"/>
  <c r="CA97" i="91"/>
  <c r="BW98" i="91"/>
  <c r="BX98" i="91"/>
  <c r="BY98" i="91"/>
  <c r="BZ98" i="91"/>
  <c r="CA98" i="91"/>
  <c r="BW99" i="91"/>
  <c r="BX99" i="91"/>
  <c r="BY99" i="91"/>
  <c r="BZ99" i="91"/>
  <c r="CA99" i="91"/>
  <c r="BW100" i="91"/>
  <c r="BX100" i="91"/>
  <c r="BY100" i="91"/>
  <c r="BZ100" i="91"/>
  <c r="CA100" i="91"/>
  <c r="BW101" i="91"/>
  <c r="BX101" i="91"/>
  <c r="BY101" i="91"/>
  <c r="BZ101" i="91"/>
  <c r="CA101" i="91"/>
  <c r="BW102" i="91"/>
  <c r="BX102" i="91"/>
  <c r="BY102" i="91"/>
  <c r="BZ102" i="91"/>
  <c r="CA102" i="91"/>
  <c r="BW103" i="91"/>
  <c r="BX103" i="91"/>
  <c r="BY103" i="91"/>
  <c r="BZ103" i="91"/>
  <c r="CA103" i="91"/>
  <c r="BW104" i="91"/>
  <c r="BX104" i="91"/>
  <c r="BY104" i="91"/>
  <c r="BZ104" i="91"/>
  <c r="CA104" i="91"/>
  <c r="BW105" i="91"/>
  <c r="BX105" i="91"/>
  <c r="BY105" i="91"/>
  <c r="BZ105" i="91"/>
  <c r="CA105" i="91"/>
  <c r="BW106" i="91"/>
  <c r="BX106" i="91"/>
  <c r="BY106" i="91"/>
  <c r="BZ106" i="91"/>
  <c r="CA106" i="91"/>
  <c r="BW107" i="91"/>
  <c r="BX107" i="91"/>
  <c r="BY107" i="91"/>
  <c r="BZ107" i="91"/>
  <c r="CA107" i="91"/>
  <c r="BW108" i="91"/>
  <c r="BX108" i="91"/>
  <c r="BY108" i="91"/>
  <c r="BZ108" i="91"/>
  <c r="CA108" i="91"/>
  <c r="BW109" i="91"/>
  <c r="BX109" i="91"/>
  <c r="BY109" i="91"/>
  <c r="BZ109" i="91"/>
  <c r="CA109" i="91"/>
  <c r="BW110" i="91"/>
  <c r="BX110" i="91"/>
  <c r="BY110" i="91"/>
  <c r="BZ110" i="91"/>
  <c r="CA110" i="91"/>
  <c r="BW111" i="91"/>
  <c r="BX111" i="91"/>
  <c r="BY111" i="91"/>
  <c r="BZ111" i="91"/>
  <c r="CA111" i="91"/>
  <c r="BW112" i="91"/>
  <c r="BX112" i="91"/>
  <c r="BY112" i="91"/>
  <c r="BZ112" i="91"/>
  <c r="CA112" i="91"/>
  <c r="BW113" i="91"/>
  <c r="BX113" i="91"/>
  <c r="BY113" i="91"/>
  <c r="BZ113" i="91"/>
  <c r="CA113" i="91"/>
  <c r="BW114" i="91"/>
  <c r="BX114" i="91"/>
  <c r="BY114" i="91"/>
  <c r="BZ114" i="91"/>
  <c r="CA114" i="91"/>
  <c r="BW115" i="91"/>
  <c r="BX115" i="91"/>
  <c r="BY115" i="91"/>
  <c r="BZ115" i="91"/>
  <c r="CA115" i="91"/>
  <c r="BW116" i="91"/>
  <c r="BX116" i="91"/>
  <c r="BY116" i="91"/>
  <c r="BZ116" i="91"/>
  <c r="CA116" i="91"/>
  <c r="BW117" i="91"/>
  <c r="BX117" i="91"/>
  <c r="BY117" i="91"/>
  <c r="BZ117" i="91"/>
  <c r="CA117" i="91"/>
  <c r="BW118" i="91"/>
  <c r="BX118" i="91"/>
  <c r="BY118" i="91"/>
  <c r="BZ118" i="91"/>
  <c r="CA118" i="91"/>
  <c r="BW119" i="91"/>
  <c r="BX119" i="91"/>
  <c r="BY119" i="91"/>
  <c r="BZ119" i="91"/>
  <c r="CA119" i="91"/>
  <c r="BW120" i="91"/>
  <c r="BX120" i="91"/>
  <c r="BY120" i="91"/>
  <c r="BZ120" i="91"/>
  <c r="CA120" i="91"/>
  <c r="BW121" i="91"/>
  <c r="BX121" i="91"/>
  <c r="BY121" i="91"/>
  <c r="BZ121" i="91"/>
  <c r="CA121" i="91"/>
  <c r="BW122" i="91"/>
  <c r="BX122" i="91"/>
  <c r="BY122" i="91"/>
  <c r="BZ122" i="91"/>
  <c r="CA122" i="91"/>
  <c r="BW123" i="91"/>
  <c r="BX123" i="91"/>
  <c r="BY123" i="91"/>
  <c r="BZ123" i="91"/>
  <c r="CA123" i="91"/>
  <c r="BW124" i="91"/>
  <c r="BX124" i="91"/>
  <c r="BY124" i="91"/>
  <c r="BZ124" i="91"/>
  <c r="CA124" i="91"/>
  <c r="BW125" i="91"/>
  <c r="BX125" i="91"/>
  <c r="BY125" i="91"/>
  <c r="BZ125" i="91"/>
  <c r="CA125" i="91"/>
  <c r="BW126" i="91"/>
  <c r="BX126" i="91"/>
  <c r="BY126" i="91"/>
  <c r="BZ126" i="91"/>
  <c r="CA126" i="91"/>
  <c r="BW127" i="91"/>
  <c r="BX127" i="91"/>
  <c r="BY127" i="91"/>
  <c r="BZ127" i="91"/>
  <c r="CA127" i="91"/>
  <c r="BW128" i="91"/>
  <c r="BX128" i="91"/>
  <c r="BY128" i="91"/>
  <c r="BZ128" i="91"/>
  <c r="CA128" i="91"/>
  <c r="BW129" i="91"/>
  <c r="BX129" i="91"/>
  <c r="BY129" i="91"/>
  <c r="BZ129" i="91"/>
  <c r="CA129" i="91"/>
  <c r="BW130" i="91"/>
  <c r="BX130" i="91"/>
  <c r="BY130" i="91"/>
  <c r="BZ130" i="91"/>
  <c r="CA130" i="91"/>
  <c r="BW131" i="91"/>
  <c r="BX131" i="91"/>
  <c r="BY131" i="91"/>
  <c r="BZ131" i="91"/>
  <c r="CA131" i="91"/>
  <c r="BW132" i="91"/>
  <c r="BX132" i="91"/>
  <c r="BY132" i="91"/>
  <c r="BZ132" i="91"/>
  <c r="CA132" i="91"/>
  <c r="BW133" i="91"/>
  <c r="BX133" i="91"/>
  <c r="BY133" i="91"/>
  <c r="BZ133" i="91"/>
  <c r="CA133" i="91"/>
  <c r="BW134" i="91"/>
  <c r="BX134" i="91"/>
  <c r="BY134" i="91"/>
  <c r="BZ134" i="91"/>
  <c r="CA134" i="91"/>
  <c r="BW135" i="91"/>
  <c r="BX135" i="91"/>
  <c r="BY135" i="91"/>
  <c r="BZ135" i="91"/>
  <c r="CA135" i="91"/>
  <c r="BW136" i="91"/>
  <c r="BX136" i="91"/>
  <c r="BY136" i="91"/>
  <c r="BZ136" i="91"/>
  <c r="CA136" i="91"/>
  <c r="BW137" i="91"/>
  <c r="BX137" i="91"/>
  <c r="BY137" i="91"/>
  <c r="BZ137" i="91"/>
  <c r="CA137" i="91"/>
  <c r="BW138" i="91"/>
  <c r="BX138" i="91"/>
  <c r="BY138" i="91"/>
  <c r="BZ138" i="91"/>
  <c r="CA138" i="91"/>
  <c r="BW139" i="91"/>
  <c r="BX139" i="91"/>
  <c r="BY139" i="91"/>
  <c r="BZ139" i="91"/>
  <c r="CA139" i="91"/>
  <c r="BW140" i="91"/>
  <c r="BX140" i="91"/>
  <c r="BY140" i="91"/>
  <c r="BZ140" i="91"/>
  <c r="CA140" i="91"/>
  <c r="BW141" i="91"/>
  <c r="BX141" i="91"/>
  <c r="BY141" i="91"/>
  <c r="BZ141" i="91"/>
  <c r="CA141" i="91"/>
  <c r="BW142" i="91"/>
  <c r="BX142" i="91"/>
  <c r="BY142" i="91"/>
  <c r="BZ142" i="91"/>
  <c r="CA142" i="91"/>
  <c r="BW143" i="91"/>
  <c r="BX143" i="91"/>
  <c r="BY143" i="91"/>
  <c r="BZ143" i="91"/>
  <c r="CA143" i="91"/>
  <c r="BW144" i="91"/>
  <c r="BX144" i="91"/>
  <c r="BY144" i="91"/>
  <c r="BZ144" i="91"/>
  <c r="CA144" i="91"/>
  <c r="BW145" i="91"/>
  <c r="BX145" i="91"/>
  <c r="BY145" i="91"/>
  <c r="BZ145" i="91"/>
  <c r="CA145" i="91"/>
  <c r="BW146" i="91"/>
  <c r="BX146" i="91"/>
  <c r="BY146" i="91"/>
  <c r="BZ146" i="91"/>
  <c r="CA146" i="91"/>
  <c r="BW147" i="91"/>
  <c r="BX147" i="91"/>
  <c r="BY147" i="91"/>
  <c r="BZ147" i="91"/>
  <c r="CA147" i="91"/>
  <c r="BW148" i="91"/>
  <c r="BX148" i="91"/>
  <c r="BY148" i="91"/>
  <c r="BZ148" i="91"/>
  <c r="CA148" i="91"/>
  <c r="BW149" i="91"/>
  <c r="BX149" i="91"/>
  <c r="BY149" i="91"/>
  <c r="BZ149" i="91"/>
  <c r="CA149" i="91"/>
  <c r="BW150" i="91"/>
  <c r="BX150" i="91"/>
  <c r="BY150" i="91"/>
  <c r="BZ150" i="91"/>
  <c r="CA150" i="91"/>
  <c r="BW151" i="91"/>
  <c r="BX151" i="91"/>
  <c r="BY151" i="91"/>
  <c r="BZ151" i="91"/>
  <c r="CA151" i="91"/>
  <c r="BW152" i="91"/>
  <c r="BX152" i="91"/>
  <c r="BY152" i="91"/>
  <c r="BZ152" i="91"/>
  <c r="CA152" i="91"/>
  <c r="BW153" i="91"/>
  <c r="BX153" i="91"/>
  <c r="BY153" i="91"/>
  <c r="BZ153" i="91"/>
  <c r="CA153" i="91"/>
  <c r="BW154" i="91"/>
  <c r="BX154" i="91"/>
  <c r="BY154" i="91"/>
  <c r="BZ154" i="91"/>
  <c r="CA154" i="91"/>
  <c r="BW155" i="91"/>
  <c r="BX155" i="91"/>
  <c r="BY155" i="91"/>
  <c r="BZ155" i="91"/>
  <c r="CA155" i="91"/>
  <c r="BW156" i="91"/>
  <c r="BX156" i="91"/>
  <c r="BY156" i="91"/>
  <c r="BZ156" i="91"/>
  <c r="CA156" i="91"/>
  <c r="BW157" i="91"/>
  <c r="BX157" i="91"/>
  <c r="BY157" i="91"/>
  <c r="BZ157" i="91"/>
  <c r="CA157" i="91"/>
  <c r="BW158" i="91"/>
  <c r="BX158" i="91"/>
  <c r="BY158" i="91"/>
  <c r="BZ158" i="91"/>
  <c r="CA158" i="91"/>
  <c r="BW159" i="91"/>
  <c r="BX159" i="91"/>
  <c r="BY159" i="91"/>
  <c r="BZ159" i="91"/>
  <c r="CA159" i="91"/>
  <c r="BW160" i="91"/>
  <c r="BX160" i="91"/>
  <c r="BY160" i="91"/>
  <c r="BZ160" i="91"/>
  <c r="CA160" i="91"/>
  <c r="BW161" i="91"/>
  <c r="BX161" i="91"/>
  <c r="BY161" i="91"/>
  <c r="BZ161" i="91"/>
  <c r="CA161" i="91"/>
  <c r="BW162" i="91"/>
  <c r="BX162" i="91"/>
  <c r="BY162" i="91"/>
  <c r="BZ162" i="91"/>
  <c r="CA162" i="91"/>
  <c r="BW163" i="91"/>
  <c r="BX163" i="91"/>
  <c r="BY163" i="91"/>
  <c r="BZ163" i="91"/>
  <c r="CA163" i="91"/>
  <c r="BW164" i="91"/>
  <c r="BX164" i="91"/>
  <c r="BY164" i="91"/>
  <c r="BZ164" i="91"/>
  <c r="CA164" i="91"/>
  <c r="BW165" i="91"/>
  <c r="BX165" i="91"/>
  <c r="BY165" i="91"/>
  <c r="BZ165" i="91"/>
  <c r="CA165" i="91"/>
  <c r="BX6" i="91"/>
  <c r="BY6" i="91"/>
  <c r="BZ6" i="91"/>
  <c r="CA6" i="91"/>
  <c r="BW6" i="91"/>
  <c r="CM7" i="91" l="1"/>
  <c r="CN7" i="91"/>
  <c r="CO7" i="91"/>
  <c r="CP7" i="91"/>
  <c r="CQ7" i="91"/>
  <c r="CM8" i="91"/>
  <c r="CN8" i="91"/>
  <c r="CO8" i="91"/>
  <c r="CP8" i="91"/>
  <c r="CQ8" i="91"/>
  <c r="CM9" i="91"/>
  <c r="CN9" i="91"/>
  <c r="CO9" i="91"/>
  <c r="CP9" i="91"/>
  <c r="CQ9" i="91"/>
  <c r="CM10" i="91"/>
  <c r="CN10" i="91"/>
  <c r="CO10" i="91"/>
  <c r="CP10" i="91"/>
  <c r="CQ10" i="91"/>
  <c r="CM11" i="91"/>
  <c r="CN11" i="91"/>
  <c r="CO11" i="91"/>
  <c r="CP11" i="91"/>
  <c r="CQ11" i="91"/>
  <c r="CM12" i="91"/>
  <c r="CN12" i="91"/>
  <c r="CO12" i="91"/>
  <c r="CP12" i="91"/>
  <c r="CQ12" i="91"/>
  <c r="CM13" i="91"/>
  <c r="CN13" i="91"/>
  <c r="CO13" i="91"/>
  <c r="CP13" i="91"/>
  <c r="CQ13" i="91"/>
  <c r="CM14" i="91"/>
  <c r="CN14" i="91"/>
  <c r="CO14" i="91"/>
  <c r="CP14" i="91"/>
  <c r="CQ14" i="91"/>
  <c r="CM15" i="91"/>
  <c r="CN15" i="91"/>
  <c r="CO15" i="91"/>
  <c r="CP15" i="91"/>
  <c r="CQ15" i="91"/>
  <c r="CM16" i="91"/>
  <c r="CN16" i="91"/>
  <c r="CO16" i="91"/>
  <c r="CP16" i="91"/>
  <c r="CQ16" i="91"/>
  <c r="CM17" i="91"/>
  <c r="CN17" i="91"/>
  <c r="CO17" i="91"/>
  <c r="CP17" i="91"/>
  <c r="CQ17" i="91"/>
  <c r="CM18" i="91"/>
  <c r="CN18" i="91"/>
  <c r="CO18" i="91"/>
  <c r="CP18" i="91"/>
  <c r="CQ18" i="91"/>
  <c r="CM19" i="91"/>
  <c r="CN19" i="91"/>
  <c r="CO19" i="91"/>
  <c r="CP19" i="91"/>
  <c r="CQ19" i="91"/>
  <c r="CM20" i="91"/>
  <c r="CN20" i="91"/>
  <c r="CO20" i="91"/>
  <c r="CP20" i="91"/>
  <c r="CQ20" i="91"/>
  <c r="CM21" i="91"/>
  <c r="CN21" i="91"/>
  <c r="CO21" i="91"/>
  <c r="CP21" i="91"/>
  <c r="CQ21" i="91"/>
  <c r="CM22" i="91"/>
  <c r="CN22" i="91"/>
  <c r="CO22" i="91"/>
  <c r="CP22" i="91"/>
  <c r="CQ22" i="91"/>
  <c r="CM23" i="91"/>
  <c r="CN23" i="91"/>
  <c r="CO23" i="91"/>
  <c r="CP23" i="91"/>
  <c r="CQ23" i="91"/>
  <c r="CM24" i="91"/>
  <c r="CN24" i="91"/>
  <c r="CO24" i="91"/>
  <c r="CP24" i="91"/>
  <c r="CQ24" i="91"/>
  <c r="CM25" i="91"/>
  <c r="CN25" i="91"/>
  <c r="CO25" i="91"/>
  <c r="CP25" i="91"/>
  <c r="CQ25" i="91"/>
  <c r="CM26" i="91"/>
  <c r="CN26" i="91"/>
  <c r="CO26" i="91"/>
  <c r="CP26" i="91"/>
  <c r="CQ26" i="91"/>
  <c r="CM27" i="91"/>
  <c r="CN27" i="91"/>
  <c r="CO27" i="91"/>
  <c r="CP27" i="91"/>
  <c r="CQ27" i="91"/>
  <c r="CM28" i="91"/>
  <c r="CN28" i="91"/>
  <c r="CO28" i="91"/>
  <c r="CP28" i="91"/>
  <c r="CQ28" i="91"/>
  <c r="CM29" i="91"/>
  <c r="CN29" i="91"/>
  <c r="CO29" i="91"/>
  <c r="CP29" i="91"/>
  <c r="CQ29" i="91"/>
  <c r="CM30" i="91"/>
  <c r="CN30" i="91"/>
  <c r="CO30" i="91"/>
  <c r="CP30" i="91"/>
  <c r="CQ30" i="91"/>
  <c r="CM31" i="91"/>
  <c r="CN31" i="91"/>
  <c r="CO31" i="91"/>
  <c r="CP31" i="91"/>
  <c r="CQ31" i="91"/>
  <c r="CM32" i="91"/>
  <c r="CN32" i="91"/>
  <c r="CO32" i="91"/>
  <c r="CP32" i="91"/>
  <c r="CQ32" i="91"/>
  <c r="CM33" i="91"/>
  <c r="CN33" i="91"/>
  <c r="CO33" i="91"/>
  <c r="CP33" i="91"/>
  <c r="CQ33" i="91"/>
  <c r="CM34" i="91"/>
  <c r="CN34" i="91"/>
  <c r="CO34" i="91"/>
  <c r="CP34" i="91"/>
  <c r="CQ34" i="91"/>
  <c r="CM35" i="91"/>
  <c r="CN35" i="91"/>
  <c r="CO35" i="91"/>
  <c r="CP35" i="91"/>
  <c r="CQ35" i="91"/>
  <c r="CM36" i="91"/>
  <c r="CN36" i="91"/>
  <c r="CO36" i="91"/>
  <c r="CP36" i="91"/>
  <c r="CQ36" i="91"/>
  <c r="CM37" i="91"/>
  <c r="CN37" i="91"/>
  <c r="CO37" i="91"/>
  <c r="CP37" i="91"/>
  <c r="CQ37" i="91"/>
  <c r="CM38" i="91"/>
  <c r="CN38" i="91"/>
  <c r="CO38" i="91"/>
  <c r="CP38" i="91"/>
  <c r="CQ38" i="91"/>
  <c r="CM39" i="91"/>
  <c r="CN39" i="91"/>
  <c r="CO39" i="91"/>
  <c r="CP39" i="91"/>
  <c r="CQ39" i="91"/>
  <c r="CM40" i="91"/>
  <c r="CN40" i="91"/>
  <c r="CO40" i="91"/>
  <c r="CP40" i="91"/>
  <c r="CQ40" i="91"/>
  <c r="CM41" i="91"/>
  <c r="CN41" i="91"/>
  <c r="CO41" i="91"/>
  <c r="CP41" i="91"/>
  <c r="CQ41" i="91"/>
  <c r="CM42" i="91"/>
  <c r="CN42" i="91"/>
  <c r="CO42" i="91"/>
  <c r="CP42" i="91"/>
  <c r="CQ42" i="91"/>
  <c r="CM43" i="91"/>
  <c r="CN43" i="91"/>
  <c r="CO43" i="91"/>
  <c r="CP43" i="91"/>
  <c r="CQ43" i="91"/>
  <c r="CM44" i="91"/>
  <c r="CN44" i="91"/>
  <c r="CO44" i="91"/>
  <c r="CP44" i="91"/>
  <c r="CQ44" i="91"/>
  <c r="CM45" i="91"/>
  <c r="CN45" i="91"/>
  <c r="CO45" i="91"/>
  <c r="CP45" i="91"/>
  <c r="CQ45" i="91"/>
  <c r="CM46" i="91"/>
  <c r="CN46" i="91"/>
  <c r="CO46" i="91"/>
  <c r="CP46" i="91"/>
  <c r="CQ46" i="91"/>
  <c r="CM47" i="91"/>
  <c r="CN47" i="91"/>
  <c r="CO47" i="91"/>
  <c r="CP47" i="91"/>
  <c r="CQ47" i="91"/>
  <c r="CM48" i="91"/>
  <c r="CN48" i="91"/>
  <c r="CO48" i="91"/>
  <c r="CP48" i="91"/>
  <c r="CQ48" i="91"/>
  <c r="CM49" i="91"/>
  <c r="CN49" i="91"/>
  <c r="CO49" i="91"/>
  <c r="CP49" i="91"/>
  <c r="CQ49" i="91"/>
  <c r="CM50" i="91"/>
  <c r="CN50" i="91"/>
  <c r="CO50" i="91"/>
  <c r="CP50" i="91"/>
  <c r="CQ50" i="91"/>
  <c r="CM51" i="91"/>
  <c r="CN51" i="91"/>
  <c r="CO51" i="91"/>
  <c r="CP51" i="91"/>
  <c r="CQ51" i="91"/>
  <c r="CM52" i="91"/>
  <c r="CN52" i="91"/>
  <c r="CO52" i="91"/>
  <c r="CP52" i="91"/>
  <c r="CQ52" i="91"/>
  <c r="CM53" i="91"/>
  <c r="CN53" i="91"/>
  <c r="CO53" i="91"/>
  <c r="CP53" i="91"/>
  <c r="CQ53" i="91"/>
  <c r="CM54" i="91"/>
  <c r="CN54" i="91"/>
  <c r="CO54" i="91"/>
  <c r="CP54" i="91"/>
  <c r="CQ54" i="91"/>
  <c r="CM55" i="91"/>
  <c r="CN55" i="91"/>
  <c r="CO55" i="91"/>
  <c r="CP55" i="91"/>
  <c r="CQ55" i="91"/>
  <c r="CM56" i="91"/>
  <c r="CN56" i="91"/>
  <c r="CO56" i="91"/>
  <c r="CP56" i="91"/>
  <c r="CQ56" i="91"/>
  <c r="CM57" i="91"/>
  <c r="CN57" i="91"/>
  <c r="CO57" i="91"/>
  <c r="CP57" i="91"/>
  <c r="CQ57" i="91"/>
  <c r="CM58" i="91"/>
  <c r="CN58" i="91"/>
  <c r="CO58" i="91"/>
  <c r="CP58" i="91"/>
  <c r="CQ58" i="91"/>
  <c r="CM59" i="91"/>
  <c r="CN59" i="91"/>
  <c r="CO59" i="91"/>
  <c r="CP59" i="91"/>
  <c r="CQ59" i="91"/>
  <c r="CM60" i="91"/>
  <c r="CN60" i="91"/>
  <c r="CO60" i="91"/>
  <c r="CP60" i="91"/>
  <c r="CQ60" i="91"/>
  <c r="CM61" i="91"/>
  <c r="CN61" i="91"/>
  <c r="CO61" i="91"/>
  <c r="CP61" i="91"/>
  <c r="CQ61" i="91"/>
  <c r="CM62" i="91"/>
  <c r="CN62" i="91"/>
  <c r="CO62" i="91"/>
  <c r="CP62" i="91"/>
  <c r="CQ62" i="91"/>
  <c r="CM63" i="91"/>
  <c r="CN63" i="91"/>
  <c r="CO63" i="91"/>
  <c r="CP63" i="91"/>
  <c r="CQ63" i="91"/>
  <c r="CM64" i="91"/>
  <c r="CN64" i="91"/>
  <c r="CO64" i="91"/>
  <c r="CP64" i="91"/>
  <c r="CQ64" i="91"/>
  <c r="CM65" i="91"/>
  <c r="CN65" i="91"/>
  <c r="CO65" i="91"/>
  <c r="CP65" i="91"/>
  <c r="CQ65" i="91"/>
  <c r="CM66" i="91"/>
  <c r="CN66" i="91"/>
  <c r="CO66" i="91"/>
  <c r="CP66" i="91"/>
  <c r="CQ66" i="91"/>
  <c r="CM67" i="91"/>
  <c r="CN67" i="91"/>
  <c r="CO67" i="91"/>
  <c r="CP67" i="91"/>
  <c r="CQ67" i="91"/>
  <c r="CM68" i="91"/>
  <c r="CN68" i="91"/>
  <c r="CO68" i="91"/>
  <c r="CP68" i="91"/>
  <c r="CQ68" i="91"/>
  <c r="CM69" i="91"/>
  <c r="CN69" i="91"/>
  <c r="CO69" i="91"/>
  <c r="CP69" i="91"/>
  <c r="CQ69" i="91"/>
  <c r="CM70" i="91"/>
  <c r="CN70" i="91"/>
  <c r="CO70" i="91"/>
  <c r="CP70" i="91"/>
  <c r="CQ70" i="91"/>
  <c r="CM71" i="91"/>
  <c r="CN71" i="91"/>
  <c r="CO71" i="91"/>
  <c r="CP71" i="91"/>
  <c r="CQ71" i="91"/>
  <c r="CM72" i="91"/>
  <c r="CN72" i="91"/>
  <c r="CO72" i="91"/>
  <c r="CP72" i="91"/>
  <c r="CQ72" i="91"/>
  <c r="CM73" i="91"/>
  <c r="CN73" i="91"/>
  <c r="CO73" i="91"/>
  <c r="CP73" i="91"/>
  <c r="CQ73" i="91"/>
  <c r="CM74" i="91"/>
  <c r="CN74" i="91"/>
  <c r="CO74" i="91"/>
  <c r="CP74" i="91"/>
  <c r="CQ74" i="91"/>
  <c r="CM75" i="91"/>
  <c r="CN75" i="91"/>
  <c r="CO75" i="91"/>
  <c r="CP75" i="91"/>
  <c r="CQ75" i="91"/>
  <c r="CM76" i="91"/>
  <c r="CN76" i="91"/>
  <c r="CO76" i="91"/>
  <c r="CP76" i="91"/>
  <c r="CQ76" i="91"/>
  <c r="CM77" i="91"/>
  <c r="CN77" i="91"/>
  <c r="CO77" i="91"/>
  <c r="CP77" i="91"/>
  <c r="CQ77" i="91"/>
  <c r="CM78" i="91"/>
  <c r="CN78" i="91"/>
  <c r="CO78" i="91"/>
  <c r="CP78" i="91"/>
  <c r="CQ78" i="91"/>
  <c r="CM79" i="91"/>
  <c r="CN79" i="91"/>
  <c r="CO79" i="91"/>
  <c r="CP79" i="91"/>
  <c r="CQ79" i="91"/>
  <c r="CM80" i="91"/>
  <c r="CN80" i="91"/>
  <c r="CO80" i="91"/>
  <c r="CP80" i="91"/>
  <c r="CQ80" i="91"/>
  <c r="CM81" i="91"/>
  <c r="CN81" i="91"/>
  <c r="CO81" i="91"/>
  <c r="CP81" i="91"/>
  <c r="CQ81" i="91"/>
  <c r="CM82" i="91"/>
  <c r="CN82" i="91"/>
  <c r="CO82" i="91"/>
  <c r="CP82" i="91"/>
  <c r="CQ82" i="91"/>
  <c r="CM83" i="91"/>
  <c r="CN83" i="91"/>
  <c r="CO83" i="91"/>
  <c r="CP83" i="91"/>
  <c r="CQ83" i="91"/>
  <c r="CM84" i="91"/>
  <c r="CN84" i="91"/>
  <c r="CO84" i="91"/>
  <c r="CP84" i="91"/>
  <c r="CQ84" i="91"/>
  <c r="CM85" i="91"/>
  <c r="CN85" i="91"/>
  <c r="CO85" i="91"/>
  <c r="CP85" i="91"/>
  <c r="CQ85" i="91"/>
  <c r="CM86" i="91"/>
  <c r="CN86" i="91"/>
  <c r="CO86" i="91"/>
  <c r="CP86" i="91"/>
  <c r="CQ86" i="91"/>
  <c r="CM87" i="91"/>
  <c r="CN87" i="91"/>
  <c r="CO87" i="91"/>
  <c r="CP87" i="91"/>
  <c r="CQ87" i="91"/>
  <c r="CM88" i="91"/>
  <c r="CN88" i="91"/>
  <c r="CO88" i="91"/>
  <c r="CP88" i="91"/>
  <c r="CQ88" i="91"/>
  <c r="CM89" i="91"/>
  <c r="CN89" i="91"/>
  <c r="CO89" i="91"/>
  <c r="CP89" i="91"/>
  <c r="CQ89" i="91"/>
  <c r="CM90" i="91"/>
  <c r="CN90" i="91"/>
  <c r="CO90" i="91"/>
  <c r="CP90" i="91"/>
  <c r="CQ90" i="91"/>
  <c r="CM91" i="91"/>
  <c r="CN91" i="91"/>
  <c r="CO91" i="91"/>
  <c r="CP91" i="91"/>
  <c r="CQ91" i="91"/>
  <c r="CM92" i="91"/>
  <c r="CN92" i="91"/>
  <c r="CO92" i="91"/>
  <c r="CP92" i="91"/>
  <c r="CQ92" i="91"/>
  <c r="CM93" i="91"/>
  <c r="CN93" i="91"/>
  <c r="CO93" i="91"/>
  <c r="CP93" i="91"/>
  <c r="CQ93" i="91"/>
  <c r="CM94" i="91"/>
  <c r="CN94" i="91"/>
  <c r="CO94" i="91"/>
  <c r="CP94" i="91"/>
  <c r="CQ94" i="91"/>
  <c r="CM95" i="91"/>
  <c r="CN95" i="91"/>
  <c r="CO95" i="91"/>
  <c r="CP95" i="91"/>
  <c r="CQ95" i="91"/>
  <c r="CM96" i="91"/>
  <c r="CN96" i="91"/>
  <c r="CO96" i="91"/>
  <c r="CP96" i="91"/>
  <c r="CQ96" i="91"/>
  <c r="CM97" i="91"/>
  <c r="CN97" i="91"/>
  <c r="CO97" i="91"/>
  <c r="CP97" i="91"/>
  <c r="CQ97" i="91"/>
  <c r="CM98" i="91"/>
  <c r="CN98" i="91"/>
  <c r="CO98" i="91"/>
  <c r="CP98" i="91"/>
  <c r="CQ98" i="91"/>
  <c r="CM99" i="91"/>
  <c r="CN99" i="91"/>
  <c r="CO99" i="91"/>
  <c r="CP99" i="91"/>
  <c r="CQ99" i="91"/>
  <c r="CM100" i="91"/>
  <c r="CN100" i="91"/>
  <c r="CO100" i="91"/>
  <c r="CP100" i="91"/>
  <c r="CQ100" i="91"/>
  <c r="CM101" i="91"/>
  <c r="CN101" i="91"/>
  <c r="CO101" i="91"/>
  <c r="CP101" i="91"/>
  <c r="CQ101" i="91"/>
  <c r="CM102" i="91"/>
  <c r="CN102" i="91"/>
  <c r="CO102" i="91"/>
  <c r="CP102" i="91"/>
  <c r="CQ102" i="91"/>
  <c r="CM103" i="91"/>
  <c r="CN103" i="91"/>
  <c r="CO103" i="91"/>
  <c r="CP103" i="91"/>
  <c r="CQ103" i="91"/>
  <c r="CM104" i="91"/>
  <c r="CN104" i="91"/>
  <c r="CO104" i="91"/>
  <c r="CP104" i="91"/>
  <c r="CQ104" i="91"/>
  <c r="CM105" i="91"/>
  <c r="CN105" i="91"/>
  <c r="CO105" i="91"/>
  <c r="CP105" i="91"/>
  <c r="CQ105" i="91"/>
  <c r="CM106" i="91"/>
  <c r="CN106" i="91"/>
  <c r="CO106" i="91"/>
  <c r="CP106" i="91"/>
  <c r="CQ106" i="91"/>
  <c r="CM107" i="91"/>
  <c r="CN107" i="91"/>
  <c r="CO107" i="91"/>
  <c r="CP107" i="91"/>
  <c r="CQ107" i="91"/>
  <c r="CM108" i="91"/>
  <c r="CN108" i="91"/>
  <c r="CO108" i="91"/>
  <c r="CP108" i="91"/>
  <c r="CQ108" i="91"/>
  <c r="CM109" i="91"/>
  <c r="CN109" i="91"/>
  <c r="CO109" i="91"/>
  <c r="CP109" i="91"/>
  <c r="CQ109" i="91"/>
  <c r="CM110" i="91"/>
  <c r="CN110" i="91"/>
  <c r="CO110" i="91"/>
  <c r="CP110" i="91"/>
  <c r="CQ110" i="91"/>
  <c r="CM111" i="91"/>
  <c r="CN111" i="91"/>
  <c r="CO111" i="91"/>
  <c r="CP111" i="91"/>
  <c r="CQ111" i="91"/>
  <c r="CM112" i="91"/>
  <c r="CN112" i="91"/>
  <c r="CO112" i="91"/>
  <c r="CP112" i="91"/>
  <c r="CQ112" i="91"/>
  <c r="CM113" i="91"/>
  <c r="CN113" i="91"/>
  <c r="CO113" i="91"/>
  <c r="CP113" i="91"/>
  <c r="CQ113" i="91"/>
  <c r="CM114" i="91"/>
  <c r="CN114" i="91"/>
  <c r="CO114" i="91"/>
  <c r="CP114" i="91"/>
  <c r="CQ114" i="91"/>
  <c r="CM115" i="91"/>
  <c r="CN115" i="91"/>
  <c r="CO115" i="91"/>
  <c r="CP115" i="91"/>
  <c r="CQ115" i="91"/>
  <c r="CM116" i="91"/>
  <c r="CN116" i="91"/>
  <c r="CO116" i="91"/>
  <c r="CP116" i="91"/>
  <c r="CQ116" i="91"/>
  <c r="CM117" i="91"/>
  <c r="CN117" i="91"/>
  <c r="CO117" i="91"/>
  <c r="CP117" i="91"/>
  <c r="CQ117" i="91"/>
  <c r="CM118" i="91"/>
  <c r="CN118" i="91"/>
  <c r="CO118" i="91"/>
  <c r="CP118" i="91"/>
  <c r="CQ118" i="91"/>
  <c r="CM119" i="91"/>
  <c r="CN119" i="91"/>
  <c r="CO119" i="91"/>
  <c r="CP119" i="91"/>
  <c r="CQ119" i="91"/>
  <c r="CM120" i="91"/>
  <c r="CN120" i="91"/>
  <c r="CO120" i="91"/>
  <c r="CP120" i="91"/>
  <c r="CQ120" i="91"/>
  <c r="CM121" i="91"/>
  <c r="CN121" i="91"/>
  <c r="CO121" i="91"/>
  <c r="CP121" i="91"/>
  <c r="CQ121" i="91"/>
  <c r="CM122" i="91"/>
  <c r="CN122" i="91"/>
  <c r="CO122" i="91"/>
  <c r="CP122" i="91"/>
  <c r="CQ122" i="91"/>
  <c r="CM123" i="91"/>
  <c r="CN123" i="91"/>
  <c r="CO123" i="91"/>
  <c r="CP123" i="91"/>
  <c r="CQ123" i="91"/>
  <c r="CM124" i="91"/>
  <c r="CN124" i="91"/>
  <c r="CO124" i="91"/>
  <c r="CP124" i="91"/>
  <c r="CQ124" i="91"/>
  <c r="CM125" i="91"/>
  <c r="CN125" i="91"/>
  <c r="CO125" i="91"/>
  <c r="CP125" i="91"/>
  <c r="CQ125" i="91"/>
  <c r="CM126" i="91"/>
  <c r="CN126" i="91"/>
  <c r="CO126" i="91"/>
  <c r="CP126" i="91"/>
  <c r="CQ126" i="91"/>
  <c r="CM127" i="91"/>
  <c r="CN127" i="91"/>
  <c r="CO127" i="91"/>
  <c r="CP127" i="91"/>
  <c r="CQ127" i="91"/>
  <c r="CM128" i="91"/>
  <c r="CN128" i="91"/>
  <c r="CO128" i="91"/>
  <c r="CP128" i="91"/>
  <c r="CQ128" i="91"/>
  <c r="CM129" i="91"/>
  <c r="CN129" i="91"/>
  <c r="CO129" i="91"/>
  <c r="CP129" i="91"/>
  <c r="CQ129" i="91"/>
  <c r="CM130" i="91"/>
  <c r="CN130" i="91"/>
  <c r="CO130" i="91"/>
  <c r="CP130" i="91"/>
  <c r="CQ130" i="91"/>
  <c r="CM131" i="91"/>
  <c r="CN131" i="91"/>
  <c r="CO131" i="91"/>
  <c r="CP131" i="91"/>
  <c r="CQ131" i="91"/>
  <c r="CM132" i="91"/>
  <c r="CN132" i="91"/>
  <c r="CO132" i="91"/>
  <c r="CP132" i="91"/>
  <c r="CQ132" i="91"/>
  <c r="CM133" i="91"/>
  <c r="CN133" i="91"/>
  <c r="CO133" i="91"/>
  <c r="CP133" i="91"/>
  <c r="CQ133" i="91"/>
  <c r="CM134" i="91"/>
  <c r="CN134" i="91"/>
  <c r="CO134" i="91"/>
  <c r="CP134" i="91"/>
  <c r="CQ134" i="91"/>
  <c r="CM135" i="91"/>
  <c r="CN135" i="91"/>
  <c r="CO135" i="91"/>
  <c r="CP135" i="91"/>
  <c r="CQ135" i="91"/>
  <c r="CM136" i="91"/>
  <c r="CN136" i="91"/>
  <c r="CO136" i="91"/>
  <c r="CP136" i="91"/>
  <c r="CQ136" i="91"/>
  <c r="CM137" i="91"/>
  <c r="CN137" i="91"/>
  <c r="CO137" i="91"/>
  <c r="CP137" i="91"/>
  <c r="CQ137" i="91"/>
  <c r="CM138" i="91"/>
  <c r="CN138" i="91"/>
  <c r="CO138" i="91"/>
  <c r="CP138" i="91"/>
  <c r="CQ138" i="91"/>
  <c r="CM139" i="91"/>
  <c r="CN139" i="91"/>
  <c r="CO139" i="91"/>
  <c r="CP139" i="91"/>
  <c r="CQ139" i="91"/>
  <c r="CM140" i="91"/>
  <c r="CN140" i="91"/>
  <c r="CO140" i="91"/>
  <c r="CP140" i="91"/>
  <c r="CQ140" i="91"/>
  <c r="CM141" i="91"/>
  <c r="CN141" i="91"/>
  <c r="CO141" i="91"/>
  <c r="CP141" i="91"/>
  <c r="CQ141" i="91"/>
  <c r="CM142" i="91"/>
  <c r="CN142" i="91"/>
  <c r="CO142" i="91"/>
  <c r="CP142" i="91"/>
  <c r="CQ142" i="91"/>
  <c r="CM143" i="91"/>
  <c r="CN143" i="91"/>
  <c r="CO143" i="91"/>
  <c r="CP143" i="91"/>
  <c r="CQ143" i="91"/>
  <c r="CM144" i="91"/>
  <c r="CN144" i="91"/>
  <c r="CO144" i="91"/>
  <c r="CP144" i="91"/>
  <c r="CQ144" i="91"/>
  <c r="CM145" i="91"/>
  <c r="CN145" i="91"/>
  <c r="CO145" i="91"/>
  <c r="CP145" i="91"/>
  <c r="CQ145" i="91"/>
  <c r="CM146" i="91"/>
  <c r="CN146" i="91"/>
  <c r="CO146" i="91"/>
  <c r="CP146" i="91"/>
  <c r="CQ146" i="91"/>
  <c r="CM147" i="91"/>
  <c r="CN147" i="91"/>
  <c r="CO147" i="91"/>
  <c r="CP147" i="91"/>
  <c r="CQ147" i="91"/>
  <c r="CM148" i="91"/>
  <c r="CN148" i="91"/>
  <c r="CO148" i="91"/>
  <c r="CP148" i="91"/>
  <c r="CQ148" i="91"/>
  <c r="CM149" i="91"/>
  <c r="CN149" i="91"/>
  <c r="CO149" i="91"/>
  <c r="CP149" i="91"/>
  <c r="CQ149" i="91"/>
  <c r="CM150" i="91"/>
  <c r="CN150" i="91"/>
  <c r="CO150" i="91"/>
  <c r="CP150" i="91"/>
  <c r="CQ150" i="91"/>
  <c r="CM151" i="91"/>
  <c r="CN151" i="91"/>
  <c r="CO151" i="91"/>
  <c r="CP151" i="91"/>
  <c r="CQ151" i="91"/>
  <c r="CM152" i="91"/>
  <c r="CN152" i="91"/>
  <c r="CO152" i="91"/>
  <c r="CP152" i="91"/>
  <c r="CQ152" i="91"/>
  <c r="CM153" i="91"/>
  <c r="CN153" i="91"/>
  <c r="CO153" i="91"/>
  <c r="CP153" i="91"/>
  <c r="CQ153" i="91"/>
  <c r="CM154" i="91"/>
  <c r="CN154" i="91"/>
  <c r="CO154" i="91"/>
  <c r="CP154" i="91"/>
  <c r="CQ154" i="91"/>
  <c r="CM155" i="91"/>
  <c r="CN155" i="91"/>
  <c r="CO155" i="91"/>
  <c r="CP155" i="91"/>
  <c r="CQ155" i="91"/>
  <c r="CM156" i="91"/>
  <c r="CN156" i="91"/>
  <c r="CO156" i="91"/>
  <c r="CP156" i="91"/>
  <c r="CQ156" i="91"/>
  <c r="CM157" i="91"/>
  <c r="CN157" i="91"/>
  <c r="CO157" i="91"/>
  <c r="CP157" i="91"/>
  <c r="CQ157" i="91"/>
  <c r="CM158" i="91"/>
  <c r="CN158" i="91"/>
  <c r="CO158" i="91"/>
  <c r="CP158" i="91"/>
  <c r="CQ158" i="91"/>
  <c r="CM159" i="91"/>
  <c r="CN159" i="91"/>
  <c r="CO159" i="91"/>
  <c r="CP159" i="91"/>
  <c r="CQ159" i="91"/>
  <c r="CM160" i="91"/>
  <c r="CN160" i="91"/>
  <c r="CO160" i="91"/>
  <c r="CP160" i="91"/>
  <c r="CQ160" i="91"/>
  <c r="CM161" i="91"/>
  <c r="CN161" i="91"/>
  <c r="CO161" i="91"/>
  <c r="CP161" i="91"/>
  <c r="CQ161" i="91"/>
  <c r="CM162" i="91"/>
  <c r="CN162" i="91"/>
  <c r="CO162" i="91"/>
  <c r="CP162" i="91"/>
  <c r="CQ162" i="91"/>
  <c r="CM163" i="91"/>
  <c r="CN163" i="91"/>
  <c r="CO163" i="91"/>
  <c r="CP163" i="91"/>
  <c r="CQ163" i="91"/>
  <c r="CM164" i="91"/>
  <c r="CN164" i="91"/>
  <c r="CO164" i="91"/>
  <c r="CP164" i="91"/>
  <c r="CQ164" i="91"/>
  <c r="CM165" i="91"/>
  <c r="CN165" i="91"/>
  <c r="CO165" i="91"/>
  <c r="CP165" i="91"/>
  <c r="CQ165" i="91"/>
  <c r="CN6" i="91"/>
  <c r="CO6" i="91"/>
  <c r="CP6" i="91"/>
  <c r="CQ6" i="91"/>
  <c r="CM6" i="91"/>
  <c r="CE7" i="91"/>
  <c r="CF7" i="91"/>
  <c r="CG7" i="91"/>
  <c r="CH7" i="91"/>
  <c r="CI7" i="91"/>
  <c r="CE8" i="91"/>
  <c r="CF8" i="91"/>
  <c r="CG8" i="91"/>
  <c r="CH8" i="91"/>
  <c r="CI8" i="91"/>
  <c r="CE9" i="91"/>
  <c r="CF9" i="91"/>
  <c r="CG9" i="91"/>
  <c r="CH9" i="91"/>
  <c r="CI9" i="91"/>
  <c r="CE10" i="91"/>
  <c r="CF10" i="91"/>
  <c r="CG10" i="91"/>
  <c r="CH10" i="91"/>
  <c r="CI10" i="91"/>
  <c r="CE11" i="91"/>
  <c r="CF11" i="91"/>
  <c r="CG11" i="91"/>
  <c r="CH11" i="91"/>
  <c r="CI11" i="91"/>
  <c r="CE12" i="91"/>
  <c r="CF12" i="91"/>
  <c r="CG12" i="91"/>
  <c r="CH12" i="91"/>
  <c r="CI12" i="91"/>
  <c r="CE13" i="91"/>
  <c r="CF13" i="91"/>
  <c r="CG13" i="91"/>
  <c r="CH13" i="91"/>
  <c r="CI13" i="91"/>
  <c r="CE14" i="91"/>
  <c r="CF14" i="91"/>
  <c r="CG14" i="91"/>
  <c r="CH14" i="91"/>
  <c r="CI14" i="91"/>
  <c r="CE15" i="91"/>
  <c r="CF15" i="91"/>
  <c r="CG15" i="91"/>
  <c r="CH15" i="91"/>
  <c r="CI15" i="91"/>
  <c r="CE16" i="91"/>
  <c r="CF16" i="91"/>
  <c r="CG16" i="91"/>
  <c r="CH16" i="91"/>
  <c r="CI16" i="91"/>
  <c r="CE17" i="91"/>
  <c r="CF17" i="91"/>
  <c r="CG17" i="91"/>
  <c r="CH17" i="91"/>
  <c r="CI17" i="91"/>
  <c r="CE18" i="91"/>
  <c r="CF18" i="91"/>
  <c r="CG18" i="91"/>
  <c r="CH18" i="91"/>
  <c r="CI18" i="91"/>
  <c r="CE19" i="91"/>
  <c r="CF19" i="91"/>
  <c r="CG19" i="91"/>
  <c r="CH19" i="91"/>
  <c r="CI19" i="91"/>
  <c r="CE20" i="91"/>
  <c r="CF20" i="91"/>
  <c r="CG20" i="91"/>
  <c r="CH20" i="91"/>
  <c r="CI20" i="91"/>
  <c r="CE21" i="91"/>
  <c r="CF21" i="91"/>
  <c r="CG21" i="91"/>
  <c r="CH21" i="91"/>
  <c r="CI21" i="91"/>
  <c r="CE22" i="91"/>
  <c r="CF22" i="91"/>
  <c r="CG22" i="91"/>
  <c r="CH22" i="91"/>
  <c r="CI22" i="91"/>
  <c r="CE23" i="91"/>
  <c r="CF23" i="91"/>
  <c r="CG23" i="91"/>
  <c r="CH23" i="91"/>
  <c r="CI23" i="91"/>
  <c r="CE24" i="91"/>
  <c r="CF24" i="91"/>
  <c r="CG24" i="91"/>
  <c r="CH24" i="91"/>
  <c r="CI24" i="91"/>
  <c r="CE25" i="91"/>
  <c r="CF25" i="91"/>
  <c r="CG25" i="91"/>
  <c r="CH25" i="91"/>
  <c r="CI25" i="91"/>
  <c r="CE26" i="91"/>
  <c r="CF26" i="91"/>
  <c r="CG26" i="91"/>
  <c r="CH26" i="91"/>
  <c r="CI26" i="91"/>
  <c r="CE27" i="91"/>
  <c r="CF27" i="91"/>
  <c r="CG27" i="91"/>
  <c r="CH27" i="91"/>
  <c r="CI27" i="91"/>
  <c r="CE28" i="91"/>
  <c r="CF28" i="91"/>
  <c r="CG28" i="91"/>
  <c r="CH28" i="91"/>
  <c r="CI28" i="91"/>
  <c r="CE29" i="91"/>
  <c r="CF29" i="91"/>
  <c r="CG29" i="91"/>
  <c r="CH29" i="91"/>
  <c r="CI29" i="91"/>
  <c r="CE30" i="91"/>
  <c r="CF30" i="91"/>
  <c r="CG30" i="91"/>
  <c r="CH30" i="91"/>
  <c r="CI30" i="91"/>
  <c r="CE31" i="91"/>
  <c r="CF31" i="91"/>
  <c r="CG31" i="91"/>
  <c r="CH31" i="91"/>
  <c r="CI31" i="91"/>
  <c r="CE32" i="91"/>
  <c r="CF32" i="91"/>
  <c r="CG32" i="91"/>
  <c r="CH32" i="91"/>
  <c r="CI32" i="91"/>
  <c r="CE33" i="91"/>
  <c r="CF33" i="91"/>
  <c r="CG33" i="91"/>
  <c r="CH33" i="91"/>
  <c r="CI33" i="91"/>
  <c r="CE34" i="91"/>
  <c r="CF34" i="91"/>
  <c r="CG34" i="91"/>
  <c r="CH34" i="91"/>
  <c r="CI34" i="91"/>
  <c r="CE35" i="91"/>
  <c r="CF35" i="91"/>
  <c r="CG35" i="91"/>
  <c r="CH35" i="91"/>
  <c r="CI35" i="91"/>
  <c r="CE36" i="91"/>
  <c r="CF36" i="91"/>
  <c r="CG36" i="91"/>
  <c r="CH36" i="91"/>
  <c r="CI36" i="91"/>
  <c r="CE37" i="91"/>
  <c r="CF37" i="91"/>
  <c r="CG37" i="91"/>
  <c r="CH37" i="91"/>
  <c r="CI37" i="91"/>
  <c r="CE38" i="91"/>
  <c r="CF38" i="91"/>
  <c r="CG38" i="91"/>
  <c r="CH38" i="91"/>
  <c r="CI38" i="91"/>
  <c r="CE39" i="91"/>
  <c r="CF39" i="91"/>
  <c r="CG39" i="91"/>
  <c r="CH39" i="91"/>
  <c r="CI39" i="91"/>
  <c r="CE40" i="91"/>
  <c r="CF40" i="91"/>
  <c r="CG40" i="91"/>
  <c r="CH40" i="91"/>
  <c r="CI40" i="91"/>
  <c r="CE41" i="91"/>
  <c r="CF41" i="91"/>
  <c r="CG41" i="91"/>
  <c r="CH41" i="91"/>
  <c r="CI41" i="91"/>
  <c r="CE42" i="91"/>
  <c r="CF42" i="91"/>
  <c r="CG42" i="91"/>
  <c r="CH42" i="91"/>
  <c r="CI42" i="91"/>
  <c r="CE43" i="91"/>
  <c r="CF43" i="91"/>
  <c r="CG43" i="91"/>
  <c r="CH43" i="91"/>
  <c r="CI43" i="91"/>
  <c r="CE44" i="91"/>
  <c r="CF44" i="91"/>
  <c r="CG44" i="91"/>
  <c r="CH44" i="91"/>
  <c r="CI44" i="91"/>
  <c r="CE45" i="91"/>
  <c r="CF45" i="91"/>
  <c r="CG45" i="91"/>
  <c r="CH45" i="91"/>
  <c r="CI45" i="91"/>
  <c r="CE46" i="91"/>
  <c r="CF46" i="91"/>
  <c r="CG46" i="91"/>
  <c r="CH46" i="91"/>
  <c r="CI46" i="91"/>
  <c r="CE47" i="91"/>
  <c r="CF47" i="91"/>
  <c r="CG47" i="91"/>
  <c r="CH47" i="91"/>
  <c r="CI47" i="91"/>
  <c r="CE48" i="91"/>
  <c r="CF48" i="91"/>
  <c r="CG48" i="91"/>
  <c r="CH48" i="91"/>
  <c r="CI48" i="91"/>
  <c r="CE49" i="91"/>
  <c r="CF49" i="91"/>
  <c r="CG49" i="91"/>
  <c r="CH49" i="91"/>
  <c r="CI49" i="91"/>
  <c r="CE50" i="91"/>
  <c r="CF50" i="91"/>
  <c r="CG50" i="91"/>
  <c r="CH50" i="91"/>
  <c r="CI50" i="91"/>
  <c r="CE51" i="91"/>
  <c r="CF51" i="91"/>
  <c r="CG51" i="91"/>
  <c r="CH51" i="91"/>
  <c r="CI51" i="91"/>
  <c r="CE52" i="91"/>
  <c r="CF52" i="91"/>
  <c r="CG52" i="91"/>
  <c r="CH52" i="91"/>
  <c r="CI52" i="91"/>
  <c r="CE53" i="91"/>
  <c r="CF53" i="91"/>
  <c r="CG53" i="91"/>
  <c r="CH53" i="91"/>
  <c r="CI53" i="91"/>
  <c r="CE54" i="91"/>
  <c r="CF54" i="91"/>
  <c r="CG54" i="91"/>
  <c r="CH54" i="91"/>
  <c r="CI54" i="91"/>
  <c r="CE55" i="91"/>
  <c r="CF55" i="91"/>
  <c r="CG55" i="91"/>
  <c r="CH55" i="91"/>
  <c r="CI55" i="91"/>
  <c r="CE56" i="91"/>
  <c r="CF56" i="91"/>
  <c r="CG56" i="91"/>
  <c r="CH56" i="91"/>
  <c r="CI56" i="91"/>
  <c r="CE57" i="91"/>
  <c r="CF57" i="91"/>
  <c r="CG57" i="91"/>
  <c r="CH57" i="91"/>
  <c r="CI57" i="91"/>
  <c r="CE58" i="91"/>
  <c r="CF58" i="91"/>
  <c r="CG58" i="91"/>
  <c r="CH58" i="91"/>
  <c r="CI58" i="91"/>
  <c r="CE59" i="91"/>
  <c r="CF59" i="91"/>
  <c r="CG59" i="91"/>
  <c r="CH59" i="91"/>
  <c r="CI59" i="91"/>
  <c r="CE60" i="91"/>
  <c r="CF60" i="91"/>
  <c r="CG60" i="91"/>
  <c r="CH60" i="91"/>
  <c r="CI60" i="91"/>
  <c r="CE61" i="91"/>
  <c r="CF61" i="91"/>
  <c r="CG61" i="91"/>
  <c r="CH61" i="91"/>
  <c r="CI61" i="91"/>
  <c r="CE62" i="91"/>
  <c r="CF62" i="91"/>
  <c r="CG62" i="91"/>
  <c r="CH62" i="91"/>
  <c r="CI62" i="91"/>
  <c r="CE63" i="91"/>
  <c r="CF63" i="91"/>
  <c r="CG63" i="91"/>
  <c r="CH63" i="91"/>
  <c r="CI63" i="91"/>
  <c r="CE64" i="91"/>
  <c r="CF64" i="91"/>
  <c r="CG64" i="91"/>
  <c r="CH64" i="91"/>
  <c r="CI64" i="91"/>
  <c r="CE65" i="91"/>
  <c r="CF65" i="91"/>
  <c r="CG65" i="91"/>
  <c r="CH65" i="91"/>
  <c r="CI65" i="91"/>
  <c r="CE66" i="91"/>
  <c r="CF66" i="91"/>
  <c r="CG66" i="91"/>
  <c r="CH66" i="91"/>
  <c r="CI66" i="91"/>
  <c r="CE67" i="91"/>
  <c r="CF67" i="91"/>
  <c r="CG67" i="91"/>
  <c r="CH67" i="91"/>
  <c r="CI67" i="91"/>
  <c r="CE68" i="91"/>
  <c r="CF68" i="91"/>
  <c r="CG68" i="91"/>
  <c r="CH68" i="91"/>
  <c r="CI68" i="91"/>
  <c r="CE69" i="91"/>
  <c r="CF69" i="91"/>
  <c r="CG69" i="91"/>
  <c r="CH69" i="91"/>
  <c r="CI69" i="91"/>
  <c r="CE70" i="91"/>
  <c r="CF70" i="91"/>
  <c r="CG70" i="91"/>
  <c r="CH70" i="91"/>
  <c r="CI70" i="91"/>
  <c r="CE71" i="91"/>
  <c r="CF71" i="91"/>
  <c r="CG71" i="91"/>
  <c r="CH71" i="91"/>
  <c r="CI71" i="91"/>
  <c r="CE72" i="91"/>
  <c r="CF72" i="91"/>
  <c r="CG72" i="91"/>
  <c r="CH72" i="91"/>
  <c r="CI72" i="91"/>
  <c r="CE73" i="91"/>
  <c r="CF73" i="91"/>
  <c r="CG73" i="91"/>
  <c r="CH73" i="91"/>
  <c r="CI73" i="91"/>
  <c r="CE74" i="91"/>
  <c r="CF74" i="91"/>
  <c r="CG74" i="91"/>
  <c r="CH74" i="91"/>
  <c r="CI74" i="91"/>
  <c r="CE75" i="91"/>
  <c r="CF75" i="91"/>
  <c r="CG75" i="91"/>
  <c r="CH75" i="91"/>
  <c r="CI75" i="91"/>
  <c r="CE76" i="91"/>
  <c r="CF76" i="91"/>
  <c r="CG76" i="91"/>
  <c r="CH76" i="91"/>
  <c r="CI76" i="91"/>
  <c r="CE77" i="91"/>
  <c r="CF77" i="91"/>
  <c r="CG77" i="91"/>
  <c r="CH77" i="91"/>
  <c r="CI77" i="91"/>
  <c r="CE78" i="91"/>
  <c r="CF78" i="91"/>
  <c r="CG78" i="91"/>
  <c r="CH78" i="91"/>
  <c r="CI78" i="91"/>
  <c r="CE79" i="91"/>
  <c r="CF79" i="91"/>
  <c r="CG79" i="91"/>
  <c r="CH79" i="91"/>
  <c r="CI79" i="91"/>
  <c r="CE80" i="91"/>
  <c r="CF80" i="91"/>
  <c r="CG80" i="91"/>
  <c r="CH80" i="91"/>
  <c r="CI80" i="91"/>
  <c r="CE81" i="91"/>
  <c r="CF81" i="91"/>
  <c r="CG81" i="91"/>
  <c r="CH81" i="91"/>
  <c r="CI81" i="91"/>
  <c r="CE82" i="91"/>
  <c r="CF82" i="91"/>
  <c r="CG82" i="91"/>
  <c r="CH82" i="91"/>
  <c r="CI82" i="91"/>
  <c r="CE83" i="91"/>
  <c r="CF83" i="91"/>
  <c r="CG83" i="91"/>
  <c r="CH83" i="91"/>
  <c r="CI83" i="91"/>
  <c r="CE84" i="91"/>
  <c r="CF84" i="91"/>
  <c r="CG84" i="91"/>
  <c r="CH84" i="91"/>
  <c r="CI84" i="91"/>
  <c r="CE85" i="91"/>
  <c r="CF85" i="91"/>
  <c r="CG85" i="91"/>
  <c r="CH85" i="91"/>
  <c r="CI85" i="91"/>
  <c r="CE86" i="91"/>
  <c r="CF86" i="91"/>
  <c r="CG86" i="91"/>
  <c r="CH86" i="91"/>
  <c r="CI86" i="91"/>
  <c r="CE87" i="91"/>
  <c r="CF87" i="91"/>
  <c r="CG87" i="91"/>
  <c r="CH87" i="91"/>
  <c r="CI87" i="91"/>
  <c r="CE88" i="91"/>
  <c r="CF88" i="91"/>
  <c r="CG88" i="91"/>
  <c r="CH88" i="91"/>
  <c r="CI88" i="91"/>
  <c r="CE89" i="91"/>
  <c r="CF89" i="91"/>
  <c r="CG89" i="91"/>
  <c r="CH89" i="91"/>
  <c r="CI89" i="91"/>
  <c r="CE90" i="91"/>
  <c r="CF90" i="91"/>
  <c r="CG90" i="91"/>
  <c r="CH90" i="91"/>
  <c r="CI90" i="91"/>
  <c r="CE91" i="91"/>
  <c r="CF91" i="91"/>
  <c r="CG91" i="91"/>
  <c r="CH91" i="91"/>
  <c r="CI91" i="91"/>
  <c r="CE92" i="91"/>
  <c r="CF92" i="91"/>
  <c r="CG92" i="91"/>
  <c r="CH92" i="91"/>
  <c r="CI92" i="91"/>
  <c r="CE93" i="91"/>
  <c r="CF93" i="91"/>
  <c r="CG93" i="91"/>
  <c r="CH93" i="91"/>
  <c r="CI93" i="91"/>
  <c r="CE94" i="91"/>
  <c r="CF94" i="91"/>
  <c r="CG94" i="91"/>
  <c r="CH94" i="91"/>
  <c r="CI94" i="91"/>
  <c r="CE95" i="91"/>
  <c r="CF95" i="91"/>
  <c r="CG95" i="91"/>
  <c r="CH95" i="91"/>
  <c r="CI95" i="91"/>
  <c r="CE96" i="91"/>
  <c r="CF96" i="91"/>
  <c r="CG96" i="91"/>
  <c r="CH96" i="91"/>
  <c r="CI96" i="91"/>
  <c r="CE97" i="91"/>
  <c r="CF97" i="91"/>
  <c r="CG97" i="91"/>
  <c r="CH97" i="91"/>
  <c r="CI97" i="91"/>
  <c r="CE98" i="91"/>
  <c r="CF98" i="91"/>
  <c r="CG98" i="91"/>
  <c r="CH98" i="91"/>
  <c r="CI98" i="91"/>
  <c r="CE99" i="91"/>
  <c r="CF99" i="91"/>
  <c r="CG99" i="91"/>
  <c r="CH99" i="91"/>
  <c r="CI99" i="91"/>
  <c r="CE100" i="91"/>
  <c r="CF100" i="91"/>
  <c r="CG100" i="91"/>
  <c r="CH100" i="91"/>
  <c r="CI100" i="91"/>
  <c r="CE101" i="91"/>
  <c r="CF101" i="91"/>
  <c r="CG101" i="91"/>
  <c r="CH101" i="91"/>
  <c r="CI101" i="91"/>
  <c r="CE102" i="91"/>
  <c r="CF102" i="91"/>
  <c r="CG102" i="91"/>
  <c r="CH102" i="91"/>
  <c r="CI102" i="91"/>
  <c r="CE103" i="91"/>
  <c r="CF103" i="91"/>
  <c r="CG103" i="91"/>
  <c r="CH103" i="91"/>
  <c r="CI103" i="91"/>
  <c r="CE104" i="91"/>
  <c r="CF104" i="91"/>
  <c r="CG104" i="91"/>
  <c r="CH104" i="91"/>
  <c r="CI104" i="91"/>
  <c r="CE105" i="91"/>
  <c r="CF105" i="91"/>
  <c r="CG105" i="91"/>
  <c r="CH105" i="91"/>
  <c r="CI105" i="91"/>
  <c r="CE106" i="91"/>
  <c r="CF106" i="91"/>
  <c r="CG106" i="91"/>
  <c r="CH106" i="91"/>
  <c r="CI106" i="91"/>
  <c r="CE107" i="91"/>
  <c r="CF107" i="91"/>
  <c r="CG107" i="91"/>
  <c r="CH107" i="91"/>
  <c r="CI107" i="91"/>
  <c r="CE108" i="91"/>
  <c r="CF108" i="91"/>
  <c r="CG108" i="91"/>
  <c r="CH108" i="91"/>
  <c r="CI108" i="91"/>
  <c r="CE109" i="91"/>
  <c r="CF109" i="91"/>
  <c r="CG109" i="91"/>
  <c r="CH109" i="91"/>
  <c r="CI109" i="91"/>
  <c r="CE110" i="91"/>
  <c r="CF110" i="91"/>
  <c r="CG110" i="91"/>
  <c r="CH110" i="91"/>
  <c r="CI110" i="91"/>
  <c r="CE111" i="91"/>
  <c r="CF111" i="91"/>
  <c r="CG111" i="91"/>
  <c r="CH111" i="91"/>
  <c r="CI111" i="91"/>
  <c r="CE112" i="91"/>
  <c r="CF112" i="91"/>
  <c r="CG112" i="91"/>
  <c r="CH112" i="91"/>
  <c r="CI112" i="91"/>
  <c r="CE113" i="91"/>
  <c r="CF113" i="91"/>
  <c r="CG113" i="91"/>
  <c r="CH113" i="91"/>
  <c r="CI113" i="91"/>
  <c r="CE114" i="91"/>
  <c r="CF114" i="91"/>
  <c r="CG114" i="91"/>
  <c r="CH114" i="91"/>
  <c r="CI114" i="91"/>
  <c r="CE115" i="91"/>
  <c r="CF115" i="91"/>
  <c r="CG115" i="91"/>
  <c r="CH115" i="91"/>
  <c r="CI115" i="91"/>
  <c r="CE116" i="91"/>
  <c r="CF116" i="91"/>
  <c r="CG116" i="91"/>
  <c r="CH116" i="91"/>
  <c r="CI116" i="91"/>
  <c r="CE117" i="91"/>
  <c r="CF117" i="91"/>
  <c r="CG117" i="91"/>
  <c r="CH117" i="91"/>
  <c r="CI117" i="91"/>
  <c r="CE118" i="91"/>
  <c r="CF118" i="91"/>
  <c r="CG118" i="91"/>
  <c r="CH118" i="91"/>
  <c r="CI118" i="91"/>
  <c r="CE119" i="91"/>
  <c r="CF119" i="91"/>
  <c r="CG119" i="91"/>
  <c r="CH119" i="91"/>
  <c r="CI119" i="91"/>
  <c r="CE120" i="91"/>
  <c r="CF120" i="91"/>
  <c r="CG120" i="91"/>
  <c r="CH120" i="91"/>
  <c r="CI120" i="91"/>
  <c r="CE121" i="91"/>
  <c r="CF121" i="91"/>
  <c r="CG121" i="91"/>
  <c r="CH121" i="91"/>
  <c r="CI121" i="91"/>
  <c r="CE122" i="91"/>
  <c r="CF122" i="91"/>
  <c r="CG122" i="91"/>
  <c r="CH122" i="91"/>
  <c r="CI122" i="91"/>
  <c r="CE123" i="91"/>
  <c r="CF123" i="91"/>
  <c r="CG123" i="91"/>
  <c r="CH123" i="91"/>
  <c r="CI123" i="91"/>
  <c r="CE124" i="91"/>
  <c r="CF124" i="91"/>
  <c r="CG124" i="91"/>
  <c r="CH124" i="91"/>
  <c r="CI124" i="91"/>
  <c r="CE125" i="91"/>
  <c r="CF125" i="91"/>
  <c r="CG125" i="91"/>
  <c r="CH125" i="91"/>
  <c r="CI125" i="91"/>
  <c r="CE126" i="91"/>
  <c r="CF126" i="91"/>
  <c r="CG126" i="91"/>
  <c r="CH126" i="91"/>
  <c r="CI126" i="91"/>
  <c r="CE127" i="91"/>
  <c r="CF127" i="91"/>
  <c r="CG127" i="91"/>
  <c r="CH127" i="91"/>
  <c r="CI127" i="91"/>
  <c r="CE128" i="91"/>
  <c r="CF128" i="91"/>
  <c r="CG128" i="91"/>
  <c r="CH128" i="91"/>
  <c r="CI128" i="91"/>
  <c r="CE129" i="91"/>
  <c r="CF129" i="91"/>
  <c r="CG129" i="91"/>
  <c r="CH129" i="91"/>
  <c r="CI129" i="91"/>
  <c r="CE130" i="91"/>
  <c r="CF130" i="91"/>
  <c r="CG130" i="91"/>
  <c r="CH130" i="91"/>
  <c r="CI130" i="91"/>
  <c r="CE131" i="91"/>
  <c r="CF131" i="91"/>
  <c r="CG131" i="91"/>
  <c r="CH131" i="91"/>
  <c r="CI131" i="91"/>
  <c r="CE132" i="91"/>
  <c r="CF132" i="91"/>
  <c r="CG132" i="91"/>
  <c r="CH132" i="91"/>
  <c r="CI132" i="91"/>
  <c r="CE133" i="91"/>
  <c r="CF133" i="91"/>
  <c r="CG133" i="91"/>
  <c r="CH133" i="91"/>
  <c r="CI133" i="91"/>
  <c r="CE134" i="91"/>
  <c r="CF134" i="91"/>
  <c r="CG134" i="91"/>
  <c r="CH134" i="91"/>
  <c r="CI134" i="91"/>
  <c r="CE135" i="91"/>
  <c r="CF135" i="91"/>
  <c r="CG135" i="91"/>
  <c r="CH135" i="91"/>
  <c r="CI135" i="91"/>
  <c r="CE136" i="91"/>
  <c r="CF136" i="91"/>
  <c r="CG136" i="91"/>
  <c r="CH136" i="91"/>
  <c r="CI136" i="91"/>
  <c r="CE137" i="91"/>
  <c r="CF137" i="91"/>
  <c r="CG137" i="91"/>
  <c r="CH137" i="91"/>
  <c r="CI137" i="91"/>
  <c r="CE138" i="91"/>
  <c r="CF138" i="91"/>
  <c r="CG138" i="91"/>
  <c r="CH138" i="91"/>
  <c r="CI138" i="91"/>
  <c r="CE139" i="91"/>
  <c r="CF139" i="91"/>
  <c r="CG139" i="91"/>
  <c r="CH139" i="91"/>
  <c r="CI139" i="91"/>
  <c r="CE140" i="91"/>
  <c r="CF140" i="91"/>
  <c r="CG140" i="91"/>
  <c r="CH140" i="91"/>
  <c r="CI140" i="91"/>
  <c r="CE141" i="91"/>
  <c r="CF141" i="91"/>
  <c r="CG141" i="91"/>
  <c r="CH141" i="91"/>
  <c r="CI141" i="91"/>
  <c r="CE142" i="91"/>
  <c r="CF142" i="91"/>
  <c r="CG142" i="91"/>
  <c r="CH142" i="91"/>
  <c r="CI142" i="91"/>
  <c r="CE143" i="91"/>
  <c r="CF143" i="91"/>
  <c r="CG143" i="91"/>
  <c r="CH143" i="91"/>
  <c r="CI143" i="91"/>
  <c r="CE144" i="91"/>
  <c r="CF144" i="91"/>
  <c r="CG144" i="91"/>
  <c r="CH144" i="91"/>
  <c r="CI144" i="91"/>
  <c r="CE145" i="91"/>
  <c r="CF145" i="91"/>
  <c r="CG145" i="91"/>
  <c r="CH145" i="91"/>
  <c r="CI145" i="91"/>
  <c r="CE146" i="91"/>
  <c r="CF146" i="91"/>
  <c r="CG146" i="91"/>
  <c r="CH146" i="91"/>
  <c r="CI146" i="91"/>
  <c r="CE147" i="91"/>
  <c r="CF147" i="91"/>
  <c r="CG147" i="91"/>
  <c r="CH147" i="91"/>
  <c r="CI147" i="91"/>
  <c r="CE148" i="91"/>
  <c r="CF148" i="91"/>
  <c r="CG148" i="91"/>
  <c r="CH148" i="91"/>
  <c r="CI148" i="91"/>
  <c r="CE149" i="91"/>
  <c r="CF149" i="91"/>
  <c r="CG149" i="91"/>
  <c r="CH149" i="91"/>
  <c r="CI149" i="91"/>
  <c r="CE150" i="91"/>
  <c r="CF150" i="91"/>
  <c r="CG150" i="91"/>
  <c r="CH150" i="91"/>
  <c r="CI150" i="91"/>
  <c r="CE151" i="91"/>
  <c r="CF151" i="91"/>
  <c r="CG151" i="91"/>
  <c r="CH151" i="91"/>
  <c r="CI151" i="91"/>
  <c r="CE152" i="91"/>
  <c r="CF152" i="91"/>
  <c r="CG152" i="91"/>
  <c r="CH152" i="91"/>
  <c r="CI152" i="91"/>
  <c r="CE153" i="91"/>
  <c r="CF153" i="91"/>
  <c r="CG153" i="91"/>
  <c r="CH153" i="91"/>
  <c r="CI153" i="91"/>
  <c r="CE154" i="91"/>
  <c r="CF154" i="91"/>
  <c r="CG154" i="91"/>
  <c r="CH154" i="91"/>
  <c r="CI154" i="91"/>
  <c r="CE155" i="91"/>
  <c r="CF155" i="91"/>
  <c r="CG155" i="91"/>
  <c r="CH155" i="91"/>
  <c r="CI155" i="91"/>
  <c r="CE156" i="91"/>
  <c r="CF156" i="91"/>
  <c r="CG156" i="91"/>
  <c r="CH156" i="91"/>
  <c r="CI156" i="91"/>
  <c r="CE157" i="91"/>
  <c r="CF157" i="91"/>
  <c r="CG157" i="91"/>
  <c r="CH157" i="91"/>
  <c r="CI157" i="91"/>
  <c r="CE158" i="91"/>
  <c r="CF158" i="91"/>
  <c r="CG158" i="91"/>
  <c r="CH158" i="91"/>
  <c r="CI158" i="91"/>
  <c r="CE159" i="91"/>
  <c r="CF159" i="91"/>
  <c r="CG159" i="91"/>
  <c r="CH159" i="91"/>
  <c r="CI159" i="91"/>
  <c r="CE160" i="91"/>
  <c r="CF160" i="91"/>
  <c r="CG160" i="91"/>
  <c r="CH160" i="91"/>
  <c r="CI160" i="91"/>
  <c r="CE161" i="91"/>
  <c r="CF161" i="91"/>
  <c r="CG161" i="91"/>
  <c r="CH161" i="91"/>
  <c r="CI161" i="91"/>
  <c r="CE162" i="91"/>
  <c r="CF162" i="91"/>
  <c r="CG162" i="91"/>
  <c r="CH162" i="91"/>
  <c r="CI162" i="91"/>
  <c r="CE163" i="91"/>
  <c r="CF163" i="91"/>
  <c r="CG163" i="91"/>
  <c r="CH163" i="91"/>
  <c r="CI163" i="91"/>
  <c r="CE164" i="91"/>
  <c r="CF164" i="91"/>
  <c r="CG164" i="91"/>
  <c r="CH164" i="91"/>
  <c r="CI164" i="91"/>
  <c r="CE165" i="91"/>
  <c r="CF165" i="91"/>
  <c r="CG165" i="91"/>
  <c r="CH165" i="91"/>
  <c r="CI165" i="91"/>
  <c r="CF6" i="91"/>
  <c r="CG6" i="91"/>
  <c r="CH6" i="91"/>
  <c r="CI6" i="91"/>
  <c r="CE6" i="91"/>
  <c r="BO7" i="91" l="1"/>
  <c r="BP7" i="91"/>
  <c r="BQ7" i="91"/>
  <c r="BR7" i="91"/>
  <c r="BS7" i="91"/>
  <c r="BO8" i="91"/>
  <c r="BP8" i="91"/>
  <c r="BQ8" i="91"/>
  <c r="BR8" i="91"/>
  <c r="BS8" i="91"/>
  <c r="BO9" i="91"/>
  <c r="BP9" i="91"/>
  <c r="BQ9" i="91"/>
  <c r="BR9" i="91"/>
  <c r="BS9" i="91"/>
  <c r="BO10" i="91"/>
  <c r="BP10" i="91"/>
  <c r="BQ10" i="91"/>
  <c r="BR10" i="91"/>
  <c r="BS10" i="91"/>
  <c r="BO11" i="91"/>
  <c r="BP11" i="91"/>
  <c r="BQ11" i="91"/>
  <c r="BR11" i="91"/>
  <c r="BS11" i="91"/>
  <c r="BO12" i="91"/>
  <c r="BP12" i="91"/>
  <c r="BQ12" i="91"/>
  <c r="BR12" i="91"/>
  <c r="BS12" i="91"/>
  <c r="BO13" i="91"/>
  <c r="BP13" i="91"/>
  <c r="BQ13" i="91"/>
  <c r="BR13" i="91"/>
  <c r="BS13" i="91"/>
  <c r="BO14" i="91"/>
  <c r="BP14" i="91"/>
  <c r="BQ14" i="91"/>
  <c r="BR14" i="91"/>
  <c r="BS14" i="91"/>
  <c r="BO15" i="91"/>
  <c r="BP15" i="91"/>
  <c r="BQ15" i="91"/>
  <c r="BR15" i="91"/>
  <c r="BS15" i="91"/>
  <c r="BO16" i="91"/>
  <c r="BP16" i="91"/>
  <c r="BQ16" i="91"/>
  <c r="BR16" i="91"/>
  <c r="BS16" i="91"/>
  <c r="BO17" i="91"/>
  <c r="BP17" i="91"/>
  <c r="BQ17" i="91"/>
  <c r="BR17" i="91"/>
  <c r="BS17" i="91"/>
  <c r="BO18" i="91"/>
  <c r="BP18" i="91"/>
  <c r="BQ18" i="91"/>
  <c r="BR18" i="91"/>
  <c r="BS18" i="91"/>
  <c r="BO19" i="91"/>
  <c r="BP19" i="91"/>
  <c r="BQ19" i="91"/>
  <c r="BR19" i="91"/>
  <c r="BS19" i="91"/>
  <c r="BO20" i="91"/>
  <c r="BP20" i="91"/>
  <c r="BQ20" i="91"/>
  <c r="BR20" i="91"/>
  <c r="BS20" i="91"/>
  <c r="BO21" i="91"/>
  <c r="BP21" i="91"/>
  <c r="BQ21" i="91"/>
  <c r="BR21" i="91"/>
  <c r="BS21" i="91"/>
  <c r="BO22" i="91"/>
  <c r="BP22" i="91"/>
  <c r="BQ22" i="91"/>
  <c r="BR22" i="91"/>
  <c r="BS22" i="91"/>
  <c r="BO23" i="91"/>
  <c r="BP23" i="91"/>
  <c r="BQ23" i="91"/>
  <c r="BR23" i="91"/>
  <c r="BS23" i="91"/>
  <c r="BO24" i="91"/>
  <c r="BP24" i="91"/>
  <c r="BQ24" i="91"/>
  <c r="BR24" i="91"/>
  <c r="BS24" i="91"/>
  <c r="BO25" i="91"/>
  <c r="BP25" i="91"/>
  <c r="BQ25" i="91"/>
  <c r="BR25" i="91"/>
  <c r="BS25" i="91"/>
  <c r="BO26" i="91"/>
  <c r="BP26" i="91"/>
  <c r="BQ26" i="91"/>
  <c r="BR26" i="91"/>
  <c r="BS26" i="91"/>
  <c r="BO27" i="91"/>
  <c r="BP27" i="91"/>
  <c r="BQ27" i="91"/>
  <c r="BR27" i="91"/>
  <c r="BS27" i="91"/>
  <c r="BO28" i="91"/>
  <c r="BP28" i="91"/>
  <c r="BQ28" i="91"/>
  <c r="BR28" i="91"/>
  <c r="BS28" i="91"/>
  <c r="BO29" i="91"/>
  <c r="BP29" i="91"/>
  <c r="BQ29" i="91"/>
  <c r="BR29" i="91"/>
  <c r="BS29" i="91"/>
  <c r="BO30" i="91"/>
  <c r="BP30" i="91"/>
  <c r="BQ30" i="91"/>
  <c r="BR30" i="91"/>
  <c r="BS30" i="91"/>
  <c r="BO31" i="91"/>
  <c r="BP31" i="91"/>
  <c r="BQ31" i="91"/>
  <c r="BR31" i="91"/>
  <c r="BS31" i="91"/>
  <c r="BO32" i="91"/>
  <c r="BP32" i="91"/>
  <c r="BQ32" i="91"/>
  <c r="BR32" i="91"/>
  <c r="BS32" i="91"/>
  <c r="BO33" i="91"/>
  <c r="BP33" i="91"/>
  <c r="BQ33" i="91"/>
  <c r="BR33" i="91"/>
  <c r="BS33" i="91"/>
  <c r="BO34" i="91"/>
  <c r="BP34" i="91"/>
  <c r="BQ34" i="91"/>
  <c r="BR34" i="91"/>
  <c r="BS34" i="91"/>
  <c r="BO35" i="91"/>
  <c r="BP35" i="91"/>
  <c r="BQ35" i="91"/>
  <c r="BR35" i="91"/>
  <c r="BS35" i="91"/>
  <c r="BO36" i="91"/>
  <c r="BP36" i="91"/>
  <c r="BQ36" i="91"/>
  <c r="BR36" i="91"/>
  <c r="BS36" i="91"/>
  <c r="BO37" i="91"/>
  <c r="BP37" i="91"/>
  <c r="BQ37" i="91"/>
  <c r="BR37" i="91"/>
  <c r="BS37" i="91"/>
  <c r="BO38" i="91"/>
  <c r="BP38" i="91"/>
  <c r="BQ38" i="91"/>
  <c r="BR38" i="91"/>
  <c r="BS38" i="91"/>
  <c r="BO39" i="91"/>
  <c r="BP39" i="91"/>
  <c r="BQ39" i="91"/>
  <c r="BR39" i="91"/>
  <c r="BS39" i="91"/>
  <c r="BO40" i="91"/>
  <c r="BP40" i="91"/>
  <c r="BQ40" i="91"/>
  <c r="BR40" i="91"/>
  <c r="BS40" i="91"/>
  <c r="BO41" i="91"/>
  <c r="BP41" i="91"/>
  <c r="BQ41" i="91"/>
  <c r="BR41" i="91"/>
  <c r="BS41" i="91"/>
  <c r="BO42" i="91"/>
  <c r="BP42" i="91"/>
  <c r="BQ42" i="91"/>
  <c r="BR42" i="91"/>
  <c r="BS42" i="91"/>
  <c r="BO43" i="91"/>
  <c r="BP43" i="91"/>
  <c r="BQ43" i="91"/>
  <c r="BR43" i="91"/>
  <c r="BS43" i="91"/>
  <c r="BO44" i="91"/>
  <c r="BP44" i="91"/>
  <c r="BQ44" i="91"/>
  <c r="BR44" i="91"/>
  <c r="BS44" i="91"/>
  <c r="BO45" i="91"/>
  <c r="BP45" i="91"/>
  <c r="BQ45" i="91"/>
  <c r="BR45" i="91"/>
  <c r="BS45" i="91"/>
  <c r="BO46" i="91"/>
  <c r="BP46" i="91"/>
  <c r="BQ46" i="91"/>
  <c r="BR46" i="91"/>
  <c r="BS46" i="91"/>
  <c r="BO47" i="91"/>
  <c r="BP47" i="91"/>
  <c r="BQ47" i="91"/>
  <c r="BR47" i="91"/>
  <c r="BS47" i="91"/>
  <c r="BO48" i="91"/>
  <c r="BP48" i="91"/>
  <c r="BQ48" i="91"/>
  <c r="BR48" i="91"/>
  <c r="BS48" i="91"/>
  <c r="BO49" i="91"/>
  <c r="BP49" i="91"/>
  <c r="BQ49" i="91"/>
  <c r="BR49" i="91"/>
  <c r="BS49" i="91"/>
  <c r="BO50" i="91"/>
  <c r="BP50" i="91"/>
  <c r="BQ50" i="91"/>
  <c r="BR50" i="91"/>
  <c r="BS50" i="91"/>
  <c r="BO51" i="91"/>
  <c r="BP51" i="91"/>
  <c r="BQ51" i="91"/>
  <c r="BR51" i="91"/>
  <c r="BS51" i="91"/>
  <c r="BO52" i="91"/>
  <c r="BP52" i="91"/>
  <c r="BQ52" i="91"/>
  <c r="BR52" i="91"/>
  <c r="BS52" i="91"/>
  <c r="BO53" i="91"/>
  <c r="BP53" i="91"/>
  <c r="BQ53" i="91"/>
  <c r="BR53" i="91"/>
  <c r="BS53" i="91"/>
  <c r="BO54" i="91"/>
  <c r="BP54" i="91"/>
  <c r="BQ54" i="91"/>
  <c r="BR54" i="91"/>
  <c r="BS54" i="91"/>
  <c r="BO55" i="91"/>
  <c r="BP55" i="91"/>
  <c r="BQ55" i="91"/>
  <c r="BR55" i="91"/>
  <c r="BS55" i="91"/>
  <c r="BO56" i="91"/>
  <c r="BP56" i="91"/>
  <c r="BQ56" i="91"/>
  <c r="BR56" i="91"/>
  <c r="BS56" i="91"/>
  <c r="BO57" i="91"/>
  <c r="BP57" i="91"/>
  <c r="BQ57" i="91"/>
  <c r="BR57" i="91"/>
  <c r="BS57" i="91"/>
  <c r="BO58" i="91"/>
  <c r="BP58" i="91"/>
  <c r="BQ58" i="91"/>
  <c r="BR58" i="91"/>
  <c r="BS58" i="91"/>
  <c r="BO59" i="91"/>
  <c r="BP59" i="91"/>
  <c r="BQ59" i="91"/>
  <c r="BR59" i="91"/>
  <c r="BS59" i="91"/>
  <c r="BO60" i="91"/>
  <c r="BP60" i="91"/>
  <c r="BQ60" i="91"/>
  <c r="BR60" i="91"/>
  <c r="BS60" i="91"/>
  <c r="BO61" i="91"/>
  <c r="BP61" i="91"/>
  <c r="BQ61" i="91"/>
  <c r="BR61" i="91"/>
  <c r="BS61" i="91"/>
  <c r="BO62" i="91"/>
  <c r="BP62" i="91"/>
  <c r="BQ62" i="91"/>
  <c r="BR62" i="91"/>
  <c r="BS62" i="91"/>
  <c r="BO63" i="91"/>
  <c r="BP63" i="91"/>
  <c r="BQ63" i="91"/>
  <c r="BR63" i="91"/>
  <c r="BS63" i="91"/>
  <c r="BO64" i="91"/>
  <c r="BP64" i="91"/>
  <c r="BQ64" i="91"/>
  <c r="BR64" i="91"/>
  <c r="BS64" i="91"/>
  <c r="BO65" i="91"/>
  <c r="BP65" i="91"/>
  <c r="BQ65" i="91"/>
  <c r="BR65" i="91"/>
  <c r="BS65" i="91"/>
  <c r="BO66" i="91"/>
  <c r="BP66" i="91"/>
  <c r="BQ66" i="91"/>
  <c r="BR66" i="91"/>
  <c r="BS66" i="91"/>
  <c r="BO67" i="91"/>
  <c r="BP67" i="91"/>
  <c r="BQ67" i="91"/>
  <c r="BR67" i="91"/>
  <c r="BS67" i="91"/>
  <c r="BO68" i="91"/>
  <c r="BP68" i="91"/>
  <c r="BQ68" i="91"/>
  <c r="BR68" i="91"/>
  <c r="BS68" i="91"/>
  <c r="BO69" i="91"/>
  <c r="BP69" i="91"/>
  <c r="BQ69" i="91"/>
  <c r="BR69" i="91"/>
  <c r="BS69" i="91"/>
  <c r="BO70" i="91"/>
  <c r="BP70" i="91"/>
  <c r="BQ70" i="91"/>
  <c r="BR70" i="91"/>
  <c r="BS70" i="91"/>
  <c r="BO71" i="91"/>
  <c r="BP71" i="91"/>
  <c r="BQ71" i="91"/>
  <c r="BR71" i="91"/>
  <c r="BS71" i="91"/>
  <c r="BO72" i="91"/>
  <c r="BP72" i="91"/>
  <c r="BQ72" i="91"/>
  <c r="BR72" i="91"/>
  <c r="BS72" i="91"/>
  <c r="BO73" i="91"/>
  <c r="BP73" i="91"/>
  <c r="BQ73" i="91"/>
  <c r="BR73" i="91"/>
  <c r="BS73" i="91"/>
  <c r="BO74" i="91"/>
  <c r="BP74" i="91"/>
  <c r="BQ74" i="91"/>
  <c r="BR74" i="91"/>
  <c r="BS74" i="91"/>
  <c r="BO75" i="91"/>
  <c r="BP75" i="91"/>
  <c r="BQ75" i="91"/>
  <c r="BR75" i="91"/>
  <c r="BS75" i="91"/>
  <c r="BO76" i="91"/>
  <c r="BP76" i="91"/>
  <c r="BQ76" i="91"/>
  <c r="BR76" i="91"/>
  <c r="BS76" i="91"/>
  <c r="BO77" i="91"/>
  <c r="BP77" i="91"/>
  <c r="BQ77" i="91"/>
  <c r="BR77" i="91"/>
  <c r="BS77" i="91"/>
  <c r="BO78" i="91"/>
  <c r="BP78" i="91"/>
  <c r="BQ78" i="91"/>
  <c r="BR78" i="91"/>
  <c r="BS78" i="91"/>
  <c r="BO79" i="91"/>
  <c r="BP79" i="91"/>
  <c r="BQ79" i="91"/>
  <c r="BR79" i="91"/>
  <c r="BS79" i="91"/>
  <c r="BO80" i="91"/>
  <c r="BP80" i="91"/>
  <c r="BQ80" i="91"/>
  <c r="BR80" i="91"/>
  <c r="BS80" i="91"/>
  <c r="BO81" i="91"/>
  <c r="BP81" i="91"/>
  <c r="BQ81" i="91"/>
  <c r="BR81" i="91"/>
  <c r="BS81" i="91"/>
  <c r="BO82" i="91"/>
  <c r="BP82" i="91"/>
  <c r="BQ82" i="91"/>
  <c r="BR82" i="91"/>
  <c r="BS82" i="91"/>
  <c r="BO83" i="91"/>
  <c r="BP83" i="91"/>
  <c r="BQ83" i="91"/>
  <c r="BR83" i="91"/>
  <c r="BS83" i="91"/>
  <c r="BO84" i="91"/>
  <c r="BP84" i="91"/>
  <c r="BQ84" i="91"/>
  <c r="BR84" i="91"/>
  <c r="BS84" i="91"/>
  <c r="BO85" i="91"/>
  <c r="BP85" i="91"/>
  <c r="BQ85" i="91"/>
  <c r="BR85" i="91"/>
  <c r="BS85" i="91"/>
  <c r="BO86" i="91"/>
  <c r="BP86" i="91"/>
  <c r="BQ86" i="91"/>
  <c r="BR86" i="91"/>
  <c r="BS86" i="91"/>
  <c r="BO87" i="91"/>
  <c r="BP87" i="91"/>
  <c r="BQ87" i="91"/>
  <c r="BR87" i="91"/>
  <c r="BS87" i="91"/>
  <c r="BO88" i="91"/>
  <c r="BP88" i="91"/>
  <c r="BQ88" i="91"/>
  <c r="BR88" i="91"/>
  <c r="BS88" i="91"/>
  <c r="BO89" i="91"/>
  <c r="BP89" i="91"/>
  <c r="BQ89" i="91"/>
  <c r="BR89" i="91"/>
  <c r="BS89" i="91"/>
  <c r="BO90" i="91"/>
  <c r="BP90" i="91"/>
  <c r="BQ90" i="91"/>
  <c r="BR90" i="91"/>
  <c r="BS90" i="91"/>
  <c r="BO91" i="91"/>
  <c r="BP91" i="91"/>
  <c r="BQ91" i="91"/>
  <c r="BR91" i="91"/>
  <c r="BS91" i="91"/>
  <c r="BO92" i="91"/>
  <c r="BP92" i="91"/>
  <c r="BQ92" i="91"/>
  <c r="BR92" i="91"/>
  <c r="BS92" i="91"/>
  <c r="BO93" i="91"/>
  <c r="BP93" i="91"/>
  <c r="BQ93" i="91"/>
  <c r="BR93" i="91"/>
  <c r="BS93" i="91"/>
  <c r="BO94" i="91"/>
  <c r="BP94" i="91"/>
  <c r="BQ94" i="91"/>
  <c r="BR94" i="91"/>
  <c r="BS94" i="91"/>
  <c r="BO95" i="91"/>
  <c r="BP95" i="91"/>
  <c r="BQ95" i="91"/>
  <c r="BR95" i="91"/>
  <c r="BS95" i="91"/>
  <c r="BO96" i="91"/>
  <c r="BP96" i="91"/>
  <c r="BQ96" i="91"/>
  <c r="BR96" i="91"/>
  <c r="BS96" i="91"/>
  <c r="BO97" i="91"/>
  <c r="BP97" i="91"/>
  <c r="BQ97" i="91"/>
  <c r="BR97" i="91"/>
  <c r="BS97" i="91"/>
  <c r="BO98" i="91"/>
  <c r="BP98" i="91"/>
  <c r="BQ98" i="91"/>
  <c r="BR98" i="91"/>
  <c r="BS98" i="91"/>
  <c r="BO99" i="91"/>
  <c r="BP99" i="91"/>
  <c r="BQ99" i="91"/>
  <c r="BR99" i="91"/>
  <c r="BS99" i="91"/>
  <c r="BO100" i="91"/>
  <c r="BP100" i="91"/>
  <c r="BQ100" i="91"/>
  <c r="BR100" i="91"/>
  <c r="BS100" i="91"/>
  <c r="BO101" i="91"/>
  <c r="BP101" i="91"/>
  <c r="BQ101" i="91"/>
  <c r="BR101" i="91"/>
  <c r="BS101" i="91"/>
  <c r="BO102" i="91"/>
  <c r="BP102" i="91"/>
  <c r="BQ102" i="91"/>
  <c r="BR102" i="91"/>
  <c r="BS102" i="91"/>
  <c r="BO103" i="91"/>
  <c r="BP103" i="91"/>
  <c r="BQ103" i="91"/>
  <c r="BR103" i="91"/>
  <c r="BS103" i="91"/>
  <c r="BO104" i="91"/>
  <c r="BP104" i="91"/>
  <c r="BQ104" i="91"/>
  <c r="BR104" i="91"/>
  <c r="BS104" i="91"/>
  <c r="BO105" i="91"/>
  <c r="BP105" i="91"/>
  <c r="BQ105" i="91"/>
  <c r="BR105" i="91"/>
  <c r="BS105" i="91"/>
  <c r="BO106" i="91"/>
  <c r="BP106" i="91"/>
  <c r="BQ106" i="91"/>
  <c r="BR106" i="91"/>
  <c r="BS106" i="91"/>
  <c r="BO107" i="91"/>
  <c r="BP107" i="91"/>
  <c r="BQ107" i="91"/>
  <c r="BR107" i="91"/>
  <c r="BS107" i="91"/>
  <c r="BO108" i="91"/>
  <c r="BP108" i="91"/>
  <c r="BQ108" i="91"/>
  <c r="BR108" i="91"/>
  <c r="BS108" i="91"/>
  <c r="BO109" i="91"/>
  <c r="BP109" i="91"/>
  <c r="BQ109" i="91"/>
  <c r="BR109" i="91"/>
  <c r="BS109" i="91"/>
  <c r="BO110" i="91"/>
  <c r="BP110" i="91"/>
  <c r="BQ110" i="91"/>
  <c r="BR110" i="91"/>
  <c r="BS110" i="91"/>
  <c r="BO111" i="91"/>
  <c r="BP111" i="91"/>
  <c r="BQ111" i="91"/>
  <c r="BR111" i="91"/>
  <c r="BS111" i="91"/>
  <c r="BO112" i="91"/>
  <c r="BP112" i="91"/>
  <c r="BQ112" i="91"/>
  <c r="BR112" i="91"/>
  <c r="BS112" i="91"/>
  <c r="BO113" i="91"/>
  <c r="BP113" i="91"/>
  <c r="BQ113" i="91"/>
  <c r="BR113" i="91"/>
  <c r="BS113" i="91"/>
  <c r="BO114" i="91"/>
  <c r="BP114" i="91"/>
  <c r="BQ114" i="91"/>
  <c r="BR114" i="91"/>
  <c r="BS114" i="91"/>
  <c r="BO115" i="91"/>
  <c r="BP115" i="91"/>
  <c r="BQ115" i="91"/>
  <c r="BR115" i="91"/>
  <c r="BS115" i="91"/>
  <c r="BO116" i="91"/>
  <c r="BP116" i="91"/>
  <c r="BQ116" i="91"/>
  <c r="BR116" i="91"/>
  <c r="BS116" i="91"/>
  <c r="BO117" i="91"/>
  <c r="BP117" i="91"/>
  <c r="BQ117" i="91"/>
  <c r="BR117" i="91"/>
  <c r="BS117" i="91"/>
  <c r="BO118" i="91"/>
  <c r="BP118" i="91"/>
  <c r="BQ118" i="91"/>
  <c r="BR118" i="91"/>
  <c r="BS118" i="91"/>
  <c r="BO119" i="91"/>
  <c r="BP119" i="91"/>
  <c r="BQ119" i="91"/>
  <c r="BR119" i="91"/>
  <c r="BS119" i="91"/>
  <c r="BO120" i="91"/>
  <c r="BP120" i="91"/>
  <c r="BQ120" i="91"/>
  <c r="BR120" i="91"/>
  <c r="BS120" i="91"/>
  <c r="BO121" i="91"/>
  <c r="BP121" i="91"/>
  <c r="BQ121" i="91"/>
  <c r="BR121" i="91"/>
  <c r="BS121" i="91"/>
  <c r="BO122" i="91"/>
  <c r="BP122" i="91"/>
  <c r="BQ122" i="91"/>
  <c r="BR122" i="91"/>
  <c r="BS122" i="91"/>
  <c r="BO123" i="91"/>
  <c r="BP123" i="91"/>
  <c r="BQ123" i="91"/>
  <c r="BR123" i="91"/>
  <c r="BS123" i="91"/>
  <c r="BO124" i="91"/>
  <c r="BP124" i="91"/>
  <c r="BQ124" i="91"/>
  <c r="BR124" i="91"/>
  <c r="BS124" i="91"/>
  <c r="BO125" i="91"/>
  <c r="BP125" i="91"/>
  <c r="BQ125" i="91"/>
  <c r="BR125" i="91"/>
  <c r="BS125" i="91"/>
  <c r="BO126" i="91"/>
  <c r="BP126" i="91"/>
  <c r="BQ126" i="91"/>
  <c r="BR126" i="91"/>
  <c r="BS126" i="91"/>
  <c r="BO127" i="91"/>
  <c r="BP127" i="91"/>
  <c r="BQ127" i="91"/>
  <c r="BR127" i="91"/>
  <c r="BS127" i="91"/>
  <c r="BO128" i="91"/>
  <c r="BP128" i="91"/>
  <c r="BQ128" i="91"/>
  <c r="BR128" i="91"/>
  <c r="BS128" i="91"/>
  <c r="BO129" i="91"/>
  <c r="BP129" i="91"/>
  <c r="BQ129" i="91"/>
  <c r="BR129" i="91"/>
  <c r="BS129" i="91"/>
  <c r="BO130" i="91"/>
  <c r="BP130" i="91"/>
  <c r="BQ130" i="91"/>
  <c r="BR130" i="91"/>
  <c r="BS130" i="91"/>
  <c r="BO131" i="91"/>
  <c r="BP131" i="91"/>
  <c r="BQ131" i="91"/>
  <c r="BR131" i="91"/>
  <c r="BS131" i="91"/>
  <c r="BO132" i="91"/>
  <c r="BP132" i="91"/>
  <c r="BQ132" i="91"/>
  <c r="BR132" i="91"/>
  <c r="BS132" i="91"/>
  <c r="BO133" i="91"/>
  <c r="BP133" i="91"/>
  <c r="BQ133" i="91"/>
  <c r="BR133" i="91"/>
  <c r="BS133" i="91"/>
  <c r="BO134" i="91"/>
  <c r="BP134" i="91"/>
  <c r="BQ134" i="91"/>
  <c r="BR134" i="91"/>
  <c r="BS134" i="91"/>
  <c r="BO135" i="91"/>
  <c r="BP135" i="91"/>
  <c r="BQ135" i="91"/>
  <c r="BR135" i="91"/>
  <c r="BS135" i="91"/>
  <c r="BO136" i="91"/>
  <c r="BP136" i="91"/>
  <c r="BQ136" i="91"/>
  <c r="BR136" i="91"/>
  <c r="BS136" i="91"/>
  <c r="BO137" i="91"/>
  <c r="BP137" i="91"/>
  <c r="BQ137" i="91"/>
  <c r="BR137" i="91"/>
  <c r="BS137" i="91"/>
  <c r="BO138" i="91"/>
  <c r="BP138" i="91"/>
  <c r="BQ138" i="91"/>
  <c r="BR138" i="91"/>
  <c r="BS138" i="91"/>
  <c r="BO139" i="91"/>
  <c r="BP139" i="91"/>
  <c r="BQ139" i="91"/>
  <c r="BR139" i="91"/>
  <c r="BS139" i="91"/>
  <c r="BO140" i="91"/>
  <c r="BP140" i="91"/>
  <c r="BQ140" i="91"/>
  <c r="BR140" i="91"/>
  <c r="BS140" i="91"/>
  <c r="BO141" i="91"/>
  <c r="BP141" i="91"/>
  <c r="BQ141" i="91"/>
  <c r="BR141" i="91"/>
  <c r="BS141" i="91"/>
  <c r="BO142" i="91"/>
  <c r="BP142" i="91"/>
  <c r="BQ142" i="91"/>
  <c r="BR142" i="91"/>
  <c r="BS142" i="91"/>
  <c r="BO143" i="91"/>
  <c r="BP143" i="91"/>
  <c r="BQ143" i="91"/>
  <c r="BR143" i="91"/>
  <c r="BS143" i="91"/>
  <c r="BO144" i="91"/>
  <c r="BP144" i="91"/>
  <c r="BQ144" i="91"/>
  <c r="BR144" i="91"/>
  <c r="BS144" i="91"/>
  <c r="BO145" i="91"/>
  <c r="BP145" i="91"/>
  <c r="BQ145" i="91"/>
  <c r="BR145" i="91"/>
  <c r="BS145" i="91"/>
  <c r="BO146" i="91"/>
  <c r="BP146" i="91"/>
  <c r="BQ146" i="91"/>
  <c r="BR146" i="91"/>
  <c r="BS146" i="91"/>
  <c r="BO147" i="91"/>
  <c r="BP147" i="91"/>
  <c r="BQ147" i="91"/>
  <c r="BR147" i="91"/>
  <c r="BS147" i="91"/>
  <c r="BO148" i="91"/>
  <c r="BP148" i="91"/>
  <c r="BQ148" i="91"/>
  <c r="BR148" i="91"/>
  <c r="BS148" i="91"/>
  <c r="BO149" i="91"/>
  <c r="BP149" i="91"/>
  <c r="BQ149" i="91"/>
  <c r="BR149" i="91"/>
  <c r="BS149" i="91"/>
  <c r="BO150" i="91"/>
  <c r="BP150" i="91"/>
  <c r="BQ150" i="91"/>
  <c r="BR150" i="91"/>
  <c r="BS150" i="91"/>
  <c r="BO151" i="91"/>
  <c r="BP151" i="91"/>
  <c r="BQ151" i="91"/>
  <c r="BR151" i="91"/>
  <c r="BS151" i="91"/>
  <c r="BO152" i="91"/>
  <c r="BP152" i="91"/>
  <c r="BQ152" i="91"/>
  <c r="BR152" i="91"/>
  <c r="BS152" i="91"/>
  <c r="BO153" i="91"/>
  <c r="BP153" i="91"/>
  <c r="BQ153" i="91"/>
  <c r="BR153" i="91"/>
  <c r="BS153" i="91"/>
  <c r="BO154" i="91"/>
  <c r="BP154" i="91"/>
  <c r="BQ154" i="91"/>
  <c r="BR154" i="91"/>
  <c r="BS154" i="91"/>
  <c r="BO155" i="91"/>
  <c r="BP155" i="91"/>
  <c r="BQ155" i="91"/>
  <c r="BR155" i="91"/>
  <c r="BS155" i="91"/>
  <c r="BO156" i="91"/>
  <c r="BP156" i="91"/>
  <c r="BQ156" i="91"/>
  <c r="BR156" i="91"/>
  <c r="BS156" i="91"/>
  <c r="BO157" i="91"/>
  <c r="BP157" i="91"/>
  <c r="BQ157" i="91"/>
  <c r="BR157" i="91"/>
  <c r="BS157" i="91"/>
  <c r="BO158" i="91"/>
  <c r="BP158" i="91"/>
  <c r="BQ158" i="91"/>
  <c r="BR158" i="91"/>
  <c r="BS158" i="91"/>
  <c r="BO159" i="91"/>
  <c r="BP159" i="91"/>
  <c r="BQ159" i="91"/>
  <c r="BR159" i="91"/>
  <c r="BS159" i="91"/>
  <c r="BO160" i="91"/>
  <c r="BP160" i="91"/>
  <c r="BQ160" i="91"/>
  <c r="BR160" i="91"/>
  <c r="BS160" i="91"/>
  <c r="BO161" i="91"/>
  <c r="BP161" i="91"/>
  <c r="BQ161" i="91"/>
  <c r="BR161" i="91"/>
  <c r="BS161" i="91"/>
  <c r="BO162" i="91"/>
  <c r="BP162" i="91"/>
  <c r="BQ162" i="91"/>
  <c r="BR162" i="91"/>
  <c r="BS162" i="91"/>
  <c r="BO163" i="91"/>
  <c r="BP163" i="91"/>
  <c r="BQ163" i="91"/>
  <c r="BR163" i="91"/>
  <c r="BS163" i="91"/>
  <c r="BO164" i="91"/>
  <c r="BP164" i="91"/>
  <c r="BQ164" i="91"/>
  <c r="BR164" i="91"/>
  <c r="BS164" i="91"/>
  <c r="BO165" i="91"/>
  <c r="BP165" i="91"/>
  <c r="BQ165" i="91"/>
  <c r="BR165" i="91"/>
  <c r="BS165" i="91"/>
  <c r="BP6" i="91"/>
  <c r="BQ6" i="91"/>
  <c r="BR6" i="91"/>
  <c r="BS6" i="91"/>
  <c r="BO6" i="91"/>
  <c r="AM54" i="18" l="1"/>
  <c r="AN54" i="18"/>
  <c r="AO54" i="18"/>
  <c r="AP54" i="18"/>
  <c r="AQ54" i="18"/>
  <c r="AT54" i="18"/>
  <c r="AU54" i="18"/>
  <c r="AV54" i="18"/>
  <c r="AW54" i="18"/>
  <c r="AX54" i="18"/>
  <c r="AM55" i="18"/>
  <c r="AN55" i="18"/>
  <c r="AO55" i="18"/>
  <c r="AP55" i="18"/>
  <c r="AQ55" i="18"/>
  <c r="AT55" i="18"/>
  <c r="AU55" i="18"/>
  <c r="AV55" i="18"/>
  <c r="AW55" i="18"/>
  <c r="AX55" i="18"/>
  <c r="AM56" i="18"/>
  <c r="AN56" i="18"/>
  <c r="AO56" i="18"/>
  <c r="AP56" i="18"/>
  <c r="AQ56" i="18"/>
  <c r="AT56" i="18"/>
  <c r="AU56" i="18"/>
  <c r="AV56" i="18"/>
  <c r="AW56" i="18"/>
  <c r="AX56" i="18"/>
  <c r="AM57" i="18"/>
  <c r="AN57" i="18"/>
  <c r="AO57" i="18"/>
  <c r="AP57" i="18"/>
  <c r="AQ57" i="18"/>
  <c r="AT57" i="18"/>
  <c r="AU57" i="18"/>
  <c r="AV57" i="18"/>
  <c r="AW57" i="18"/>
  <c r="AX57" i="18"/>
  <c r="AM58" i="18"/>
  <c r="AN58" i="18"/>
  <c r="AO58" i="18"/>
  <c r="AP58" i="18"/>
  <c r="AQ58" i="18"/>
  <c r="AT58" i="18"/>
  <c r="AU58" i="18"/>
  <c r="AV58" i="18"/>
  <c r="AW58" i="18"/>
  <c r="AX58" i="18"/>
  <c r="AM59" i="18"/>
  <c r="AN59" i="18"/>
  <c r="AO59" i="18"/>
  <c r="AP59" i="18"/>
  <c r="AQ59" i="18"/>
  <c r="AT59" i="18"/>
  <c r="AU59" i="18"/>
  <c r="AV59" i="18"/>
  <c r="AW59" i="18"/>
  <c r="AX59" i="18"/>
  <c r="AM60" i="18"/>
  <c r="AN60" i="18"/>
  <c r="AO60" i="18"/>
  <c r="AP60" i="18"/>
  <c r="AQ60" i="18"/>
  <c r="AT60" i="18"/>
  <c r="AU60" i="18"/>
  <c r="AV60" i="18"/>
  <c r="AW60" i="18"/>
  <c r="AX60" i="18"/>
  <c r="AM61" i="18"/>
  <c r="AN61" i="18"/>
  <c r="AO61" i="18"/>
  <c r="AP61" i="18"/>
  <c r="AQ61" i="18"/>
  <c r="AT61" i="18"/>
  <c r="AU61" i="18"/>
  <c r="AV61" i="18"/>
  <c r="AW61" i="18"/>
  <c r="AX61" i="18"/>
  <c r="AM62" i="18"/>
  <c r="AN62" i="18"/>
  <c r="AO62" i="18"/>
  <c r="AP62" i="18"/>
  <c r="AQ62" i="18"/>
  <c r="AT62" i="18"/>
  <c r="AU62" i="18"/>
  <c r="AV62" i="18"/>
  <c r="AW62" i="18"/>
  <c r="AX62" i="18"/>
  <c r="AM63" i="18"/>
  <c r="AN63" i="18"/>
  <c r="AO63" i="18"/>
  <c r="AP63" i="18"/>
  <c r="AQ63" i="18"/>
  <c r="AT63" i="18"/>
  <c r="AU63" i="18"/>
  <c r="AV63" i="18"/>
  <c r="AW63" i="18"/>
  <c r="AX63" i="18"/>
  <c r="AM64" i="18"/>
  <c r="AN64" i="18"/>
  <c r="AO64" i="18"/>
  <c r="AP64" i="18"/>
  <c r="AQ64" i="18"/>
  <c r="AT64" i="18"/>
  <c r="AU64" i="18"/>
  <c r="AV64" i="18"/>
  <c r="AW64" i="18"/>
  <c r="AX64" i="18"/>
  <c r="AM65" i="18"/>
  <c r="AN65" i="18"/>
  <c r="AO65" i="18"/>
  <c r="AP65" i="18"/>
  <c r="AQ65" i="18"/>
  <c r="AT65" i="18"/>
  <c r="AU65" i="18"/>
  <c r="AV65" i="18"/>
  <c r="AW65" i="18"/>
  <c r="AX65" i="18"/>
  <c r="AM66" i="18"/>
  <c r="AN66" i="18"/>
  <c r="AO66" i="18"/>
  <c r="AP66" i="18"/>
  <c r="AQ66" i="18"/>
  <c r="AT66" i="18"/>
  <c r="AU66" i="18"/>
  <c r="AV66" i="18"/>
  <c r="AW66" i="18"/>
  <c r="AX66" i="18"/>
  <c r="AM67" i="18"/>
  <c r="AN67" i="18"/>
  <c r="AO67" i="18"/>
  <c r="AP67" i="18"/>
  <c r="AQ67" i="18"/>
  <c r="AT67" i="18"/>
  <c r="AU67" i="18"/>
  <c r="AV67" i="18"/>
  <c r="AW67" i="18"/>
  <c r="AX67" i="18"/>
  <c r="AM68" i="18"/>
  <c r="AN68" i="18"/>
  <c r="AO68" i="18"/>
  <c r="AP68" i="18"/>
  <c r="AQ68" i="18"/>
  <c r="AT68" i="18"/>
  <c r="AU68" i="18"/>
  <c r="AV68" i="18"/>
  <c r="AW68" i="18"/>
  <c r="AX68" i="18"/>
  <c r="AM69" i="18"/>
  <c r="AN69" i="18"/>
  <c r="AO69" i="18"/>
  <c r="AP69" i="18"/>
  <c r="AQ69" i="18"/>
  <c r="AT69" i="18"/>
  <c r="AU69" i="18"/>
  <c r="AV69" i="18"/>
  <c r="AW69" i="18"/>
  <c r="AX69" i="18"/>
  <c r="AM70" i="18"/>
  <c r="AN70" i="18"/>
  <c r="AO70" i="18"/>
  <c r="AP70" i="18"/>
  <c r="AQ70" i="18"/>
  <c r="AT70" i="18"/>
  <c r="AU70" i="18"/>
  <c r="AV70" i="18"/>
  <c r="AW70" i="18"/>
  <c r="AX70" i="18"/>
  <c r="AM71" i="18"/>
  <c r="AN71" i="18"/>
  <c r="AO71" i="18"/>
  <c r="AP71" i="18"/>
  <c r="AQ71" i="18"/>
  <c r="AT71" i="18"/>
  <c r="AU71" i="18"/>
  <c r="AV71" i="18"/>
  <c r="AW71" i="18"/>
  <c r="AX71" i="18"/>
  <c r="AM72" i="18"/>
  <c r="AN72" i="18"/>
  <c r="AO72" i="18"/>
  <c r="AP72" i="18"/>
  <c r="AQ72" i="18"/>
  <c r="AT72" i="18"/>
  <c r="AU72" i="18"/>
  <c r="AV72" i="18"/>
  <c r="AW72" i="18"/>
  <c r="AX72" i="18"/>
  <c r="AM73" i="18"/>
  <c r="AN73" i="18"/>
  <c r="AO73" i="18"/>
  <c r="AP73" i="18"/>
  <c r="AQ73" i="18"/>
  <c r="AT73" i="18"/>
  <c r="AU73" i="18"/>
  <c r="AV73" i="18"/>
  <c r="AW73" i="18"/>
  <c r="AX73" i="18"/>
  <c r="AM74" i="18"/>
  <c r="AN74" i="18"/>
  <c r="AO74" i="18"/>
  <c r="AP74" i="18"/>
  <c r="AQ74" i="18"/>
  <c r="AT74" i="18"/>
  <c r="AU74" i="18"/>
  <c r="AV74" i="18"/>
  <c r="AW74" i="18"/>
  <c r="AX74" i="18"/>
  <c r="AM75" i="18"/>
  <c r="AN75" i="18"/>
  <c r="AO75" i="18"/>
  <c r="AP75" i="18"/>
  <c r="AQ75" i="18"/>
  <c r="AT75" i="18"/>
  <c r="AU75" i="18"/>
  <c r="AV75" i="18"/>
  <c r="AW75" i="18"/>
  <c r="AX75" i="18"/>
  <c r="AM76" i="18"/>
  <c r="AN76" i="18"/>
  <c r="AO76" i="18"/>
  <c r="AP76" i="18"/>
  <c r="AQ76" i="18"/>
  <c r="AT76" i="18"/>
  <c r="AU76" i="18"/>
  <c r="AV76" i="18"/>
  <c r="AW76" i="18"/>
  <c r="AX76" i="18"/>
  <c r="AM77" i="18"/>
  <c r="AN77" i="18"/>
  <c r="AO77" i="18"/>
  <c r="AP77" i="18"/>
  <c r="AQ77" i="18"/>
  <c r="AT77" i="18"/>
  <c r="AU77" i="18"/>
  <c r="AV77" i="18"/>
  <c r="AW77" i="18"/>
  <c r="AX77" i="18"/>
  <c r="AM78" i="18"/>
  <c r="AN78" i="18"/>
  <c r="AO78" i="18"/>
  <c r="AP78" i="18"/>
  <c r="AQ78" i="18"/>
  <c r="AT78" i="18"/>
  <c r="AU78" i="18"/>
  <c r="AV78" i="18"/>
  <c r="AW78" i="18"/>
  <c r="AX78" i="18"/>
  <c r="AM79" i="18"/>
  <c r="AN79" i="18"/>
  <c r="AO79" i="18"/>
  <c r="AP79" i="18"/>
  <c r="AQ79" i="18"/>
  <c r="AT79" i="18"/>
  <c r="AU79" i="18"/>
  <c r="AV79" i="18"/>
  <c r="AW79" i="18"/>
  <c r="AX79" i="18"/>
  <c r="AM80" i="18"/>
  <c r="AN80" i="18"/>
  <c r="AO80" i="18"/>
  <c r="AP80" i="18"/>
  <c r="AQ80" i="18"/>
  <c r="AT80" i="18"/>
  <c r="AU80" i="18"/>
  <c r="AV80" i="18"/>
  <c r="AW80" i="18"/>
  <c r="AX80" i="18"/>
  <c r="AM81" i="18"/>
  <c r="AN81" i="18"/>
  <c r="AO81" i="18"/>
  <c r="AP81" i="18"/>
  <c r="AQ81" i="18"/>
  <c r="AT81" i="18"/>
  <c r="AU81" i="18"/>
  <c r="AV81" i="18"/>
  <c r="AW81" i="18"/>
  <c r="AX81" i="18"/>
  <c r="AM82" i="18"/>
  <c r="AN82" i="18"/>
  <c r="AO82" i="18"/>
  <c r="AP82" i="18"/>
  <c r="AQ82" i="18"/>
  <c r="AT82" i="18"/>
  <c r="AU82" i="18"/>
  <c r="AV82" i="18"/>
  <c r="AW82" i="18"/>
  <c r="AX82" i="18"/>
  <c r="AM83" i="18"/>
  <c r="AN83" i="18"/>
  <c r="AO83" i="18"/>
  <c r="AP83" i="18"/>
  <c r="AQ83" i="18"/>
  <c r="AT83" i="18"/>
  <c r="AU83" i="18"/>
  <c r="AV83" i="18"/>
  <c r="AW83" i="18"/>
  <c r="AX83" i="18"/>
  <c r="G17" i="93"/>
  <c r="F17" i="93"/>
  <c r="I20" i="93"/>
  <c r="G19" i="93"/>
  <c r="E19" i="93"/>
  <c r="E15" i="93"/>
  <c r="E16" i="93"/>
  <c r="E20" i="93"/>
  <c r="F20" i="93"/>
  <c r="F16" i="93"/>
  <c r="H20" i="93"/>
  <c r="G20" i="93"/>
  <c r="F18" i="93"/>
  <c r="I19" i="93"/>
  <c r="H18" i="93"/>
  <c r="E18" i="93"/>
  <c r="E17" i="93"/>
  <c r="H19" i="93"/>
  <c r="G18" i="93"/>
  <c r="F19" i="93"/>
  <c r="F58" i="93" l="1"/>
  <c r="F57" i="93"/>
  <c r="F56" i="93"/>
  <c r="F60" i="93"/>
  <c r="F59" i="93"/>
  <c r="G59" i="93"/>
  <c r="H60" i="93"/>
  <c r="H59" i="93"/>
  <c r="I60" i="93"/>
  <c r="G58" i="93"/>
  <c r="G57" i="93"/>
  <c r="I59" i="93"/>
  <c r="H58" i="93"/>
  <c r="G60" i="93"/>
  <c r="BF165" i="91"/>
  <c r="BG165" i="91"/>
  <c r="BF166" i="91"/>
  <c r="BG166" i="91"/>
  <c r="BF144" i="91"/>
  <c r="BG144" i="91"/>
  <c r="BF145" i="91"/>
  <c r="BG145" i="91"/>
  <c r="BF146" i="91"/>
  <c r="BG146" i="91"/>
  <c r="BF147" i="91"/>
  <c r="BG147" i="91"/>
  <c r="BF148" i="91"/>
  <c r="BG148" i="91"/>
  <c r="BF149" i="91"/>
  <c r="BG149" i="91"/>
  <c r="BF150" i="91"/>
  <c r="BG150" i="91"/>
  <c r="BF151" i="91"/>
  <c r="BG151" i="91"/>
  <c r="BF152" i="91"/>
  <c r="BG152" i="91"/>
  <c r="BF153" i="91"/>
  <c r="BG153" i="91"/>
  <c r="BF154" i="91"/>
  <c r="BG154" i="91"/>
  <c r="BF155" i="91"/>
  <c r="BG155" i="91"/>
  <c r="BF156" i="91"/>
  <c r="BG156" i="91"/>
  <c r="BF157" i="91"/>
  <c r="BG157" i="91"/>
  <c r="BF158" i="91"/>
  <c r="BG158" i="91"/>
  <c r="BF159" i="91"/>
  <c r="BG159" i="91"/>
  <c r="BF160" i="91"/>
  <c r="BG160" i="91"/>
  <c r="BF161" i="91"/>
  <c r="BG161" i="91"/>
  <c r="BF162" i="91"/>
  <c r="BG162" i="91"/>
  <c r="BF163" i="91"/>
  <c r="BG163" i="91"/>
  <c r="BF164" i="91"/>
  <c r="BG164" i="91"/>
  <c r="BF132" i="91"/>
  <c r="BG132" i="91"/>
  <c r="BF133" i="91"/>
  <c r="BG133" i="91"/>
  <c r="BF134" i="91"/>
  <c r="BG134" i="91"/>
  <c r="BF135" i="91"/>
  <c r="BG135" i="91"/>
  <c r="BF136" i="91"/>
  <c r="BG136" i="91"/>
  <c r="BF137" i="91"/>
  <c r="BG137" i="91"/>
  <c r="BF138" i="91"/>
  <c r="BG138" i="91"/>
  <c r="BF139" i="91"/>
  <c r="BG139" i="91"/>
  <c r="BG140" i="91"/>
  <c r="BF141" i="91"/>
  <c r="BG141" i="91"/>
  <c r="BF142" i="91"/>
  <c r="BG142" i="91"/>
  <c r="BF143" i="91"/>
  <c r="BG143" i="91"/>
  <c r="BF79" i="91"/>
  <c r="BG79" i="91"/>
  <c r="BF80" i="91"/>
  <c r="BG80" i="91"/>
  <c r="BF81" i="91"/>
  <c r="BG81" i="91"/>
  <c r="BF82" i="91"/>
  <c r="BG82" i="91"/>
  <c r="BF83" i="91"/>
  <c r="BG83" i="91"/>
  <c r="BF84" i="91"/>
  <c r="BG84" i="91"/>
  <c r="BF85" i="91"/>
  <c r="BG85" i="91"/>
  <c r="BF86" i="91"/>
  <c r="BG86" i="91"/>
  <c r="BF87" i="91"/>
  <c r="BG87" i="91"/>
  <c r="BF88" i="91"/>
  <c r="BG88" i="91"/>
  <c r="BF89" i="91"/>
  <c r="BG89" i="91"/>
  <c r="BF90" i="91"/>
  <c r="BG90" i="91"/>
  <c r="BF91" i="91"/>
  <c r="BG91" i="91"/>
  <c r="BF92" i="91"/>
  <c r="BG92" i="91"/>
  <c r="BF93" i="91"/>
  <c r="BG93" i="91"/>
  <c r="BF94" i="91"/>
  <c r="BG94" i="91"/>
  <c r="BF95" i="91"/>
  <c r="BG95" i="91"/>
  <c r="BF96" i="91"/>
  <c r="BG96" i="91"/>
  <c r="BF97" i="91"/>
  <c r="BG97" i="91"/>
  <c r="BF98" i="91"/>
  <c r="BG98" i="91"/>
  <c r="BF99" i="91"/>
  <c r="BG99" i="91"/>
  <c r="BF100" i="91"/>
  <c r="BG100" i="91"/>
  <c r="BF101" i="91"/>
  <c r="BG101" i="91"/>
  <c r="BF102" i="91"/>
  <c r="BG102" i="91"/>
  <c r="BF103" i="91"/>
  <c r="BG103" i="91"/>
  <c r="BF104" i="91"/>
  <c r="BG104" i="91"/>
  <c r="BF105" i="91"/>
  <c r="BG105" i="91"/>
  <c r="BF106" i="91"/>
  <c r="BG106" i="91"/>
  <c r="BF107" i="91"/>
  <c r="BG107" i="91"/>
  <c r="BF108" i="91"/>
  <c r="BG108" i="91"/>
  <c r="BF109" i="91"/>
  <c r="BG109" i="91"/>
  <c r="BF110" i="91"/>
  <c r="BG110" i="91"/>
  <c r="BF111" i="91"/>
  <c r="BG111" i="91"/>
  <c r="BF112" i="91"/>
  <c r="BG112" i="91"/>
  <c r="BF113" i="91"/>
  <c r="BG113" i="91"/>
  <c r="BF114" i="91"/>
  <c r="BG114" i="91"/>
  <c r="BF115" i="91"/>
  <c r="BG115" i="91"/>
  <c r="BF116" i="91"/>
  <c r="BG116" i="91"/>
  <c r="BF117" i="91"/>
  <c r="BG117" i="91"/>
  <c r="BF118" i="91"/>
  <c r="BG118" i="91"/>
  <c r="BF119" i="91"/>
  <c r="BG119" i="91"/>
  <c r="BF120" i="91"/>
  <c r="BG120" i="91"/>
  <c r="BF121" i="91"/>
  <c r="BG121" i="91"/>
  <c r="BF122" i="91"/>
  <c r="BG122" i="91"/>
  <c r="BF123" i="91"/>
  <c r="BG123" i="91"/>
  <c r="BF124" i="91"/>
  <c r="BG124" i="91"/>
  <c r="BF125" i="91"/>
  <c r="BG125" i="91"/>
  <c r="BF126" i="91"/>
  <c r="BG126" i="91"/>
  <c r="BF127" i="91"/>
  <c r="BG127" i="91"/>
  <c r="BF128" i="91"/>
  <c r="BG128" i="91"/>
  <c r="BF129" i="91"/>
  <c r="BG129" i="91"/>
  <c r="BF130" i="91"/>
  <c r="BG130" i="91"/>
  <c r="BF131" i="91"/>
  <c r="BG131" i="91"/>
  <c r="BF24" i="91"/>
  <c r="BG24" i="91"/>
  <c r="BF25" i="91"/>
  <c r="BG25" i="91"/>
  <c r="BF26" i="91"/>
  <c r="BG26" i="91"/>
  <c r="BF27" i="91"/>
  <c r="BG27" i="91"/>
  <c r="BF28" i="91"/>
  <c r="BG28" i="91"/>
  <c r="BF29" i="91"/>
  <c r="BG29" i="91"/>
  <c r="BF30" i="91"/>
  <c r="BG30" i="91"/>
  <c r="BF31" i="91"/>
  <c r="BG31" i="91"/>
  <c r="BF32" i="91"/>
  <c r="BG32" i="91"/>
  <c r="BF33" i="91"/>
  <c r="BG33" i="91"/>
  <c r="BF34" i="91"/>
  <c r="BG34" i="91"/>
  <c r="BF35" i="91"/>
  <c r="BG35" i="91"/>
  <c r="BF36" i="91"/>
  <c r="BG36" i="91"/>
  <c r="BF37" i="91"/>
  <c r="BG37" i="91"/>
  <c r="BF38" i="91"/>
  <c r="BG38" i="91"/>
  <c r="BF39" i="91"/>
  <c r="BG39" i="91"/>
  <c r="BF40" i="91"/>
  <c r="BG40" i="91"/>
  <c r="BF41" i="91"/>
  <c r="BG41" i="91"/>
  <c r="BF42" i="91"/>
  <c r="BG42" i="91"/>
  <c r="BF43" i="91"/>
  <c r="BG43" i="91"/>
  <c r="BF44" i="91"/>
  <c r="BG44" i="91"/>
  <c r="BF45" i="91"/>
  <c r="BG45" i="91"/>
  <c r="BF46" i="91"/>
  <c r="BG46" i="91"/>
  <c r="BF47" i="91"/>
  <c r="BG47" i="91"/>
  <c r="BF48" i="91"/>
  <c r="BG48" i="91"/>
  <c r="BF49" i="91"/>
  <c r="BG49" i="91"/>
  <c r="BF50" i="91"/>
  <c r="BG50" i="91"/>
  <c r="BF51" i="91"/>
  <c r="BG51" i="91"/>
  <c r="BF52" i="91"/>
  <c r="BG52" i="91"/>
  <c r="BF53" i="91"/>
  <c r="BG53" i="91"/>
  <c r="BF54" i="91"/>
  <c r="BG54" i="91"/>
  <c r="BF55" i="91"/>
  <c r="BG55" i="91"/>
  <c r="BF56" i="91"/>
  <c r="BG56" i="91"/>
  <c r="BF57" i="91"/>
  <c r="BG57" i="91"/>
  <c r="BF58" i="91"/>
  <c r="BG58" i="91"/>
  <c r="BF59" i="91"/>
  <c r="BG59" i="91"/>
  <c r="BF60" i="91"/>
  <c r="BG60" i="91"/>
  <c r="BF61" i="91"/>
  <c r="BG61" i="91"/>
  <c r="BF62" i="91"/>
  <c r="BG62" i="91"/>
  <c r="BF63" i="91"/>
  <c r="BG63" i="91"/>
  <c r="BF64" i="91"/>
  <c r="BG64" i="91"/>
  <c r="BF65" i="91"/>
  <c r="BG65" i="91"/>
  <c r="BF66" i="91"/>
  <c r="BG66" i="91"/>
  <c r="BF67" i="91"/>
  <c r="BG67" i="91"/>
  <c r="BF68" i="91"/>
  <c r="BG68" i="91"/>
  <c r="BF69" i="91"/>
  <c r="BG69" i="91"/>
  <c r="BF70" i="91"/>
  <c r="BG70" i="91"/>
  <c r="BF71" i="91"/>
  <c r="BG71" i="91"/>
  <c r="BF72" i="91"/>
  <c r="BG72" i="91"/>
  <c r="BF73" i="91"/>
  <c r="BG73" i="91"/>
  <c r="BF74" i="91"/>
  <c r="BG74" i="91"/>
  <c r="BF75" i="91"/>
  <c r="BG75" i="91"/>
  <c r="BF76" i="91"/>
  <c r="BG76" i="91"/>
  <c r="BF77" i="91"/>
  <c r="BG77" i="91"/>
  <c r="BF78" i="91"/>
  <c r="BG78" i="91"/>
  <c r="BF8" i="91"/>
  <c r="BG8" i="91"/>
  <c r="BF9" i="91"/>
  <c r="BG9" i="91"/>
  <c r="BF10" i="91"/>
  <c r="BG10" i="91"/>
  <c r="BF11" i="91"/>
  <c r="BG11" i="91"/>
  <c r="BF12" i="91"/>
  <c r="BG12" i="91"/>
  <c r="BF13" i="91"/>
  <c r="BG13" i="91"/>
  <c r="BF14" i="91"/>
  <c r="BG14" i="91"/>
  <c r="BF15" i="91"/>
  <c r="BG15" i="91"/>
  <c r="BF16" i="91"/>
  <c r="BG16" i="91"/>
  <c r="BF17" i="91"/>
  <c r="BG17" i="91"/>
  <c r="BF18" i="91"/>
  <c r="BG18" i="91"/>
  <c r="BF19" i="91"/>
  <c r="BG19" i="91"/>
  <c r="BF20" i="91"/>
  <c r="BG20" i="91"/>
  <c r="BF21" i="91"/>
  <c r="BG21" i="91"/>
  <c r="BF22" i="91"/>
  <c r="BG22" i="91"/>
  <c r="BF23" i="91"/>
  <c r="BG23" i="91"/>
  <c r="BG7" i="91"/>
  <c r="BF7" i="91"/>
  <c r="AX8" i="91" l="1"/>
  <c r="AY8" i="91"/>
  <c r="AZ8" i="91"/>
  <c r="BA8" i="91"/>
  <c r="BB8" i="91"/>
  <c r="AX9" i="91"/>
  <c r="AY9" i="91"/>
  <c r="AZ9" i="91"/>
  <c r="BA9" i="91"/>
  <c r="BB9" i="91"/>
  <c r="AX10" i="91"/>
  <c r="AY10" i="91"/>
  <c r="AZ10" i="91"/>
  <c r="BA10" i="91"/>
  <c r="BB10" i="91"/>
  <c r="AX11" i="91"/>
  <c r="AY11" i="91"/>
  <c r="AZ11" i="91"/>
  <c r="BA11" i="91"/>
  <c r="BB11" i="91"/>
  <c r="AX12" i="91"/>
  <c r="AY12" i="91"/>
  <c r="AZ12" i="91"/>
  <c r="BA12" i="91"/>
  <c r="BB12" i="91"/>
  <c r="AX13" i="91"/>
  <c r="AY13" i="91"/>
  <c r="AZ13" i="91"/>
  <c r="BA13" i="91"/>
  <c r="BB13" i="91"/>
  <c r="AX14" i="91"/>
  <c r="AY14" i="91"/>
  <c r="AZ14" i="91"/>
  <c r="BA14" i="91"/>
  <c r="BB14" i="91"/>
  <c r="AX15" i="91"/>
  <c r="AY15" i="91"/>
  <c r="AZ15" i="91"/>
  <c r="BA15" i="91"/>
  <c r="BB15" i="91"/>
  <c r="AX16" i="91"/>
  <c r="AY16" i="91"/>
  <c r="AZ16" i="91"/>
  <c r="BA16" i="91"/>
  <c r="BB16" i="91"/>
  <c r="AX17" i="91"/>
  <c r="AY17" i="91"/>
  <c r="AZ17" i="91"/>
  <c r="BA17" i="91"/>
  <c r="BB17" i="91"/>
  <c r="AX18" i="91"/>
  <c r="AY18" i="91"/>
  <c r="AZ18" i="91"/>
  <c r="BA18" i="91"/>
  <c r="BB18" i="91"/>
  <c r="AX19" i="91"/>
  <c r="AY19" i="91"/>
  <c r="AZ19" i="91"/>
  <c r="BA19" i="91"/>
  <c r="BB19" i="91"/>
  <c r="AX20" i="91"/>
  <c r="AY20" i="91"/>
  <c r="AZ20" i="91"/>
  <c r="BA20" i="91"/>
  <c r="BB20" i="91"/>
  <c r="AX21" i="91"/>
  <c r="AY21" i="91"/>
  <c r="AZ21" i="91"/>
  <c r="BA21" i="91"/>
  <c r="BB21" i="91"/>
  <c r="AX22" i="91"/>
  <c r="AY22" i="91"/>
  <c r="AZ22" i="91"/>
  <c r="BA22" i="91"/>
  <c r="BB22" i="91"/>
  <c r="AX23" i="91"/>
  <c r="AY23" i="91"/>
  <c r="AZ23" i="91"/>
  <c r="BA23" i="91"/>
  <c r="BB23" i="91"/>
  <c r="AX24" i="91"/>
  <c r="AY24" i="91"/>
  <c r="AZ24" i="91"/>
  <c r="BA24" i="91"/>
  <c r="BB24" i="91"/>
  <c r="AX25" i="91"/>
  <c r="AY25" i="91"/>
  <c r="AZ25" i="91"/>
  <c r="BA25" i="91"/>
  <c r="BB25" i="91"/>
  <c r="AX26" i="91"/>
  <c r="AY26" i="91"/>
  <c r="AZ26" i="91"/>
  <c r="BA26" i="91"/>
  <c r="BB26" i="91"/>
  <c r="AX27" i="91"/>
  <c r="AY27" i="91"/>
  <c r="AZ27" i="91"/>
  <c r="BA27" i="91"/>
  <c r="BB27" i="91"/>
  <c r="AX28" i="91"/>
  <c r="AY28" i="91"/>
  <c r="AZ28" i="91"/>
  <c r="BA28" i="91"/>
  <c r="BB28" i="91"/>
  <c r="AX29" i="91"/>
  <c r="AY29" i="91"/>
  <c r="AZ29" i="91"/>
  <c r="BA29" i="91"/>
  <c r="BB29" i="91"/>
  <c r="AX30" i="91"/>
  <c r="AY30" i="91"/>
  <c r="AZ30" i="91"/>
  <c r="BA30" i="91"/>
  <c r="BB30" i="91"/>
  <c r="AX31" i="91"/>
  <c r="AY31" i="91"/>
  <c r="AZ31" i="91"/>
  <c r="BA31" i="91"/>
  <c r="BB31" i="91"/>
  <c r="AX32" i="91"/>
  <c r="AY32" i="91"/>
  <c r="AZ32" i="91"/>
  <c r="BA32" i="91"/>
  <c r="BB32" i="91"/>
  <c r="AX33" i="91"/>
  <c r="AY33" i="91"/>
  <c r="AZ33" i="91"/>
  <c r="BA33" i="91"/>
  <c r="BB33" i="91"/>
  <c r="AX34" i="91"/>
  <c r="AY34" i="91"/>
  <c r="AZ34" i="91"/>
  <c r="BA34" i="91"/>
  <c r="BB34" i="91"/>
  <c r="AX35" i="91"/>
  <c r="AY35" i="91"/>
  <c r="AZ35" i="91"/>
  <c r="BA35" i="91"/>
  <c r="BB35" i="91"/>
  <c r="AX36" i="91"/>
  <c r="AY36" i="91"/>
  <c r="AZ36" i="91"/>
  <c r="BA36" i="91"/>
  <c r="BB36" i="91"/>
  <c r="AX37" i="91"/>
  <c r="AY37" i="91"/>
  <c r="AZ37" i="91"/>
  <c r="BA37" i="91"/>
  <c r="BB37" i="91"/>
  <c r="AX38" i="91"/>
  <c r="AY38" i="91"/>
  <c r="AZ38" i="91"/>
  <c r="BA38" i="91"/>
  <c r="BB38" i="91"/>
  <c r="AX39" i="91"/>
  <c r="AY39" i="91"/>
  <c r="AZ39" i="91"/>
  <c r="BA39" i="91"/>
  <c r="BB39" i="91"/>
  <c r="AX40" i="91"/>
  <c r="AY40" i="91"/>
  <c r="AZ40" i="91"/>
  <c r="BA40" i="91"/>
  <c r="BB40" i="91"/>
  <c r="AX41" i="91"/>
  <c r="AY41" i="91"/>
  <c r="AZ41" i="91"/>
  <c r="BA41" i="91"/>
  <c r="BB41" i="91"/>
  <c r="AX42" i="91"/>
  <c r="AY42" i="91"/>
  <c r="AZ42" i="91"/>
  <c r="BA42" i="91"/>
  <c r="BB42" i="91"/>
  <c r="AX43" i="91"/>
  <c r="AY43" i="91"/>
  <c r="AZ43" i="91"/>
  <c r="BA43" i="91"/>
  <c r="BB43" i="91"/>
  <c r="AX44" i="91"/>
  <c r="AY44" i="91"/>
  <c r="AZ44" i="91"/>
  <c r="BA44" i="91"/>
  <c r="BB44" i="91"/>
  <c r="AX45" i="91"/>
  <c r="AY45" i="91"/>
  <c r="AZ45" i="91"/>
  <c r="BA45" i="91"/>
  <c r="BB45" i="91"/>
  <c r="AX46" i="91"/>
  <c r="AY46" i="91"/>
  <c r="AZ46" i="91"/>
  <c r="BA46" i="91"/>
  <c r="BB46" i="91"/>
  <c r="AX47" i="91"/>
  <c r="AY47" i="91"/>
  <c r="AZ47" i="91"/>
  <c r="BA47" i="91"/>
  <c r="BB47" i="91"/>
  <c r="AX48" i="91"/>
  <c r="AY48" i="91"/>
  <c r="AZ48" i="91"/>
  <c r="BA48" i="91"/>
  <c r="BB48" i="91"/>
  <c r="AX49" i="91"/>
  <c r="AY49" i="91"/>
  <c r="AZ49" i="91"/>
  <c r="BA49" i="91"/>
  <c r="BB49" i="91"/>
  <c r="AX50" i="91"/>
  <c r="AY50" i="91"/>
  <c r="AZ50" i="91"/>
  <c r="BA50" i="91"/>
  <c r="BB50" i="91"/>
  <c r="AX51" i="91"/>
  <c r="AY51" i="91"/>
  <c r="AZ51" i="91"/>
  <c r="BA51" i="91"/>
  <c r="BB51" i="91"/>
  <c r="AX52" i="91"/>
  <c r="AY52" i="91"/>
  <c r="AZ52" i="91"/>
  <c r="BA52" i="91"/>
  <c r="BB52" i="91"/>
  <c r="AX53" i="91"/>
  <c r="AY53" i="91"/>
  <c r="AZ53" i="91"/>
  <c r="BA53" i="91"/>
  <c r="BB53" i="91"/>
  <c r="AX54" i="91"/>
  <c r="AY54" i="91"/>
  <c r="AZ54" i="91"/>
  <c r="BA54" i="91"/>
  <c r="BB54" i="91"/>
  <c r="AX55" i="91"/>
  <c r="AY55" i="91"/>
  <c r="AZ55" i="91"/>
  <c r="BA55" i="91"/>
  <c r="BB55" i="91"/>
  <c r="AX56" i="91"/>
  <c r="AY56" i="91"/>
  <c r="AZ56" i="91"/>
  <c r="BA56" i="91"/>
  <c r="BB56" i="91"/>
  <c r="AX57" i="91"/>
  <c r="AY57" i="91"/>
  <c r="AZ57" i="91"/>
  <c r="BA57" i="91"/>
  <c r="BB57" i="91"/>
  <c r="AX58" i="91"/>
  <c r="AY58" i="91"/>
  <c r="AZ58" i="91"/>
  <c r="BA58" i="91"/>
  <c r="BB58" i="91"/>
  <c r="AX59" i="91"/>
  <c r="AY59" i="91"/>
  <c r="AZ59" i="91"/>
  <c r="BA59" i="91"/>
  <c r="BB59" i="91"/>
  <c r="AX60" i="91"/>
  <c r="AY60" i="91"/>
  <c r="AZ60" i="91"/>
  <c r="BA60" i="91"/>
  <c r="BB60" i="91"/>
  <c r="AX61" i="91"/>
  <c r="AY61" i="91"/>
  <c r="AZ61" i="91"/>
  <c r="BA61" i="91"/>
  <c r="BB61" i="91"/>
  <c r="AX62" i="91"/>
  <c r="AY62" i="91"/>
  <c r="AZ62" i="91"/>
  <c r="BA62" i="91"/>
  <c r="BB62" i="91"/>
  <c r="AX63" i="91"/>
  <c r="AY63" i="91"/>
  <c r="AZ63" i="91"/>
  <c r="BA63" i="91"/>
  <c r="BB63" i="91"/>
  <c r="AX64" i="91"/>
  <c r="AY64" i="91"/>
  <c r="AZ64" i="91"/>
  <c r="BA64" i="91"/>
  <c r="BB64" i="91"/>
  <c r="AX65" i="91"/>
  <c r="AY65" i="91"/>
  <c r="AZ65" i="91"/>
  <c r="BA65" i="91"/>
  <c r="BB65" i="91"/>
  <c r="AX66" i="91"/>
  <c r="AY66" i="91"/>
  <c r="AZ66" i="91"/>
  <c r="BA66" i="91"/>
  <c r="BB66" i="91"/>
  <c r="AX67" i="91"/>
  <c r="AY67" i="91"/>
  <c r="AZ67" i="91"/>
  <c r="BA67" i="91"/>
  <c r="BB67" i="91"/>
  <c r="AX68" i="91"/>
  <c r="AY68" i="91"/>
  <c r="AZ68" i="91"/>
  <c r="BA68" i="91"/>
  <c r="BB68" i="91"/>
  <c r="AX69" i="91"/>
  <c r="AY69" i="91"/>
  <c r="AZ69" i="91"/>
  <c r="BA69" i="91"/>
  <c r="BB69" i="91"/>
  <c r="AX70" i="91"/>
  <c r="AY70" i="91"/>
  <c r="AZ70" i="91"/>
  <c r="BA70" i="91"/>
  <c r="BB70" i="91"/>
  <c r="AX71" i="91"/>
  <c r="AY71" i="91"/>
  <c r="AZ71" i="91"/>
  <c r="BA71" i="91"/>
  <c r="BB71" i="91"/>
  <c r="AX72" i="91"/>
  <c r="AY72" i="91"/>
  <c r="AZ72" i="91"/>
  <c r="BA72" i="91"/>
  <c r="BB72" i="91"/>
  <c r="AX73" i="91"/>
  <c r="AY73" i="91"/>
  <c r="AZ73" i="91"/>
  <c r="BA73" i="91"/>
  <c r="BB73" i="91"/>
  <c r="AX74" i="91"/>
  <c r="AY74" i="91"/>
  <c r="AZ74" i="91"/>
  <c r="BA74" i="91"/>
  <c r="BB74" i="91"/>
  <c r="AX75" i="91"/>
  <c r="AY75" i="91"/>
  <c r="AZ75" i="91"/>
  <c r="BA75" i="91"/>
  <c r="BB75" i="91"/>
  <c r="AX76" i="91"/>
  <c r="AY76" i="91"/>
  <c r="AZ76" i="91"/>
  <c r="BA76" i="91"/>
  <c r="BB76" i="91"/>
  <c r="AX77" i="91"/>
  <c r="AY77" i="91"/>
  <c r="AZ77" i="91"/>
  <c r="BA77" i="91"/>
  <c r="BB77" i="91"/>
  <c r="AX78" i="91"/>
  <c r="AY78" i="91"/>
  <c r="AZ78" i="91"/>
  <c r="BA78" i="91"/>
  <c r="BB78" i="91"/>
  <c r="AX79" i="91"/>
  <c r="AY79" i="91"/>
  <c r="AZ79" i="91"/>
  <c r="BA79" i="91"/>
  <c r="BB79" i="91"/>
  <c r="AX80" i="91"/>
  <c r="AY80" i="91"/>
  <c r="AZ80" i="91"/>
  <c r="BA80" i="91"/>
  <c r="BB80" i="91"/>
  <c r="AX81" i="91"/>
  <c r="AY81" i="91"/>
  <c r="AZ81" i="91"/>
  <c r="BA81" i="91"/>
  <c r="BB81" i="91"/>
  <c r="AX82" i="91"/>
  <c r="AY82" i="91"/>
  <c r="AZ82" i="91"/>
  <c r="BA82" i="91"/>
  <c r="BB82" i="91"/>
  <c r="AX83" i="91"/>
  <c r="AY83" i="91"/>
  <c r="AZ83" i="91"/>
  <c r="BA83" i="91"/>
  <c r="BB83" i="91"/>
  <c r="AX84" i="91"/>
  <c r="AY84" i="91"/>
  <c r="AZ84" i="91"/>
  <c r="BA84" i="91"/>
  <c r="BB84" i="91"/>
  <c r="AX85" i="91"/>
  <c r="AY85" i="91"/>
  <c r="AZ85" i="91"/>
  <c r="BA85" i="91"/>
  <c r="BB85" i="91"/>
  <c r="AX86" i="91"/>
  <c r="AY86" i="91"/>
  <c r="AZ86" i="91"/>
  <c r="BA86" i="91"/>
  <c r="BB86" i="91"/>
  <c r="AX87" i="91"/>
  <c r="AY87" i="91"/>
  <c r="AZ87" i="91"/>
  <c r="BA87" i="91"/>
  <c r="BB87" i="91"/>
  <c r="AX88" i="91"/>
  <c r="AY88" i="91"/>
  <c r="AZ88" i="91"/>
  <c r="BA88" i="91"/>
  <c r="BB88" i="91"/>
  <c r="AX89" i="91"/>
  <c r="AY89" i="91"/>
  <c r="AZ89" i="91"/>
  <c r="BA89" i="91"/>
  <c r="BB89" i="91"/>
  <c r="AX90" i="91"/>
  <c r="AY90" i="91"/>
  <c r="AZ90" i="91"/>
  <c r="BA90" i="91"/>
  <c r="BB90" i="91"/>
  <c r="AX91" i="91"/>
  <c r="AY91" i="91"/>
  <c r="AZ91" i="91"/>
  <c r="BA91" i="91"/>
  <c r="BB91" i="91"/>
  <c r="AX92" i="91"/>
  <c r="AY92" i="91"/>
  <c r="AZ92" i="91"/>
  <c r="BA92" i="91"/>
  <c r="BB92" i="91"/>
  <c r="AX93" i="91"/>
  <c r="AY93" i="91"/>
  <c r="AZ93" i="91"/>
  <c r="BA93" i="91"/>
  <c r="BB93" i="91"/>
  <c r="AX94" i="91"/>
  <c r="AY94" i="91"/>
  <c r="AZ94" i="91"/>
  <c r="BA94" i="91"/>
  <c r="BB94" i="91"/>
  <c r="AX95" i="91"/>
  <c r="AY95" i="91"/>
  <c r="AZ95" i="91"/>
  <c r="BA95" i="91"/>
  <c r="BB95" i="91"/>
  <c r="AX96" i="91"/>
  <c r="AY96" i="91"/>
  <c r="AZ96" i="91"/>
  <c r="BA96" i="91"/>
  <c r="BB96" i="91"/>
  <c r="AX97" i="91"/>
  <c r="AY97" i="91"/>
  <c r="AZ97" i="91"/>
  <c r="BA97" i="91"/>
  <c r="BB97" i="91"/>
  <c r="AX98" i="91"/>
  <c r="AY98" i="91"/>
  <c r="AZ98" i="91"/>
  <c r="BA98" i="91"/>
  <c r="BB98" i="91"/>
  <c r="AX99" i="91"/>
  <c r="AY99" i="91"/>
  <c r="AZ99" i="91"/>
  <c r="BA99" i="91"/>
  <c r="BB99" i="91"/>
  <c r="AX100" i="91"/>
  <c r="AY100" i="91"/>
  <c r="AZ100" i="91"/>
  <c r="BA100" i="91"/>
  <c r="BB100" i="91"/>
  <c r="AX101" i="91"/>
  <c r="AY101" i="91"/>
  <c r="AZ101" i="91"/>
  <c r="BA101" i="91"/>
  <c r="BB101" i="91"/>
  <c r="AX102" i="91"/>
  <c r="AY102" i="91"/>
  <c r="AZ102" i="91"/>
  <c r="BA102" i="91"/>
  <c r="BB102" i="91"/>
  <c r="AX103" i="91"/>
  <c r="AY103" i="91"/>
  <c r="AZ103" i="91"/>
  <c r="BA103" i="91"/>
  <c r="BB103" i="91"/>
  <c r="AX104" i="91"/>
  <c r="AY104" i="91"/>
  <c r="AZ104" i="91"/>
  <c r="BA104" i="91"/>
  <c r="BB104" i="91"/>
  <c r="AX105" i="91"/>
  <c r="AY105" i="91"/>
  <c r="AZ105" i="91"/>
  <c r="BA105" i="91"/>
  <c r="BB105" i="91"/>
  <c r="AX106" i="91"/>
  <c r="AY106" i="91"/>
  <c r="AZ106" i="91"/>
  <c r="BA106" i="91"/>
  <c r="BB106" i="91"/>
  <c r="AX107" i="91"/>
  <c r="AY107" i="91"/>
  <c r="AZ107" i="91"/>
  <c r="BA107" i="91"/>
  <c r="BB107" i="91"/>
  <c r="AX108" i="91"/>
  <c r="AY108" i="91"/>
  <c r="AZ108" i="91"/>
  <c r="BA108" i="91"/>
  <c r="BB108" i="91"/>
  <c r="AX109" i="91"/>
  <c r="AY109" i="91"/>
  <c r="AZ109" i="91"/>
  <c r="BA109" i="91"/>
  <c r="BB109" i="91"/>
  <c r="AX110" i="91"/>
  <c r="AY110" i="91"/>
  <c r="AZ110" i="91"/>
  <c r="BA110" i="91"/>
  <c r="BB110" i="91"/>
  <c r="AX111" i="91"/>
  <c r="AY111" i="91"/>
  <c r="AZ111" i="91"/>
  <c r="BA111" i="91"/>
  <c r="BB111" i="91"/>
  <c r="AX112" i="91"/>
  <c r="AY112" i="91"/>
  <c r="AZ112" i="91"/>
  <c r="BA112" i="91"/>
  <c r="BB112" i="91"/>
  <c r="AX113" i="91"/>
  <c r="AY113" i="91"/>
  <c r="AZ113" i="91"/>
  <c r="BA113" i="91"/>
  <c r="BB113" i="91"/>
  <c r="AX114" i="91"/>
  <c r="AY114" i="91"/>
  <c r="AZ114" i="91"/>
  <c r="BA114" i="91"/>
  <c r="BB114" i="91"/>
  <c r="AX115" i="91"/>
  <c r="AY115" i="91"/>
  <c r="AZ115" i="91"/>
  <c r="BA115" i="91"/>
  <c r="BB115" i="91"/>
  <c r="AX116" i="91"/>
  <c r="AY116" i="91"/>
  <c r="AZ116" i="91"/>
  <c r="BA116" i="91"/>
  <c r="BB116" i="91"/>
  <c r="AX117" i="91"/>
  <c r="AY117" i="91"/>
  <c r="AZ117" i="91"/>
  <c r="BA117" i="91"/>
  <c r="BB117" i="91"/>
  <c r="AX118" i="91"/>
  <c r="AY118" i="91"/>
  <c r="AZ118" i="91"/>
  <c r="BA118" i="91"/>
  <c r="BB118" i="91"/>
  <c r="AX119" i="91"/>
  <c r="AY119" i="91"/>
  <c r="AZ119" i="91"/>
  <c r="BA119" i="91"/>
  <c r="BB119" i="91"/>
  <c r="AX120" i="91"/>
  <c r="AY120" i="91"/>
  <c r="AZ120" i="91"/>
  <c r="BA120" i="91"/>
  <c r="BB120" i="91"/>
  <c r="AX121" i="91"/>
  <c r="AY121" i="91"/>
  <c r="AZ121" i="91"/>
  <c r="BA121" i="91"/>
  <c r="BB121" i="91"/>
  <c r="AX122" i="91"/>
  <c r="AY122" i="91"/>
  <c r="AZ122" i="91"/>
  <c r="BA122" i="91"/>
  <c r="BB122" i="91"/>
  <c r="AX123" i="91"/>
  <c r="AY123" i="91"/>
  <c r="AZ123" i="91"/>
  <c r="BA123" i="91"/>
  <c r="BB123" i="91"/>
  <c r="AX124" i="91"/>
  <c r="AY124" i="91"/>
  <c r="AZ124" i="91"/>
  <c r="BA124" i="91"/>
  <c r="BB124" i="91"/>
  <c r="AX125" i="91"/>
  <c r="AY125" i="91"/>
  <c r="AZ125" i="91"/>
  <c r="BA125" i="91"/>
  <c r="BB125" i="91"/>
  <c r="AX126" i="91"/>
  <c r="AY126" i="91"/>
  <c r="AZ126" i="91"/>
  <c r="BA126" i="91"/>
  <c r="BB126" i="91"/>
  <c r="AX127" i="91"/>
  <c r="AY127" i="91"/>
  <c r="AZ127" i="91"/>
  <c r="BA127" i="91"/>
  <c r="BB127" i="91"/>
  <c r="AX128" i="91"/>
  <c r="AY128" i="91"/>
  <c r="AZ128" i="91"/>
  <c r="BA128" i="91"/>
  <c r="BB128" i="91"/>
  <c r="AX129" i="91"/>
  <c r="AY129" i="91"/>
  <c r="AZ129" i="91"/>
  <c r="BA129" i="91"/>
  <c r="BB129" i="91"/>
  <c r="AX130" i="91"/>
  <c r="AY130" i="91"/>
  <c r="AZ130" i="91"/>
  <c r="BA130" i="91"/>
  <c r="BB130" i="91"/>
  <c r="AX131" i="91"/>
  <c r="AY131" i="91"/>
  <c r="AZ131" i="91"/>
  <c r="BA131" i="91"/>
  <c r="BB131" i="91"/>
  <c r="AX132" i="91"/>
  <c r="AY132" i="91"/>
  <c r="AZ132" i="91"/>
  <c r="BA132" i="91"/>
  <c r="BB132" i="91"/>
  <c r="AX133" i="91"/>
  <c r="AY133" i="91"/>
  <c r="AZ133" i="91"/>
  <c r="BA133" i="91"/>
  <c r="BB133" i="91"/>
  <c r="AX134" i="91"/>
  <c r="AY134" i="91"/>
  <c r="AZ134" i="91"/>
  <c r="BA134" i="91"/>
  <c r="BB134" i="91"/>
  <c r="AX135" i="91"/>
  <c r="AY135" i="91"/>
  <c r="AZ135" i="91"/>
  <c r="BA135" i="91"/>
  <c r="BB135" i="91"/>
  <c r="AX136" i="91"/>
  <c r="AY136" i="91"/>
  <c r="AZ136" i="91"/>
  <c r="BA136" i="91"/>
  <c r="BB136" i="91"/>
  <c r="AX137" i="91"/>
  <c r="AY137" i="91"/>
  <c r="AZ137" i="91"/>
  <c r="BA137" i="91"/>
  <c r="BB137" i="91"/>
  <c r="AX138" i="91"/>
  <c r="AY138" i="91"/>
  <c r="AZ138" i="91"/>
  <c r="BA138" i="91"/>
  <c r="BB138" i="91"/>
  <c r="AX139" i="91"/>
  <c r="AY139" i="91"/>
  <c r="AZ139" i="91"/>
  <c r="BA139" i="91"/>
  <c r="BB139" i="91"/>
  <c r="AX140" i="91"/>
  <c r="AY140" i="91"/>
  <c r="AZ140" i="91"/>
  <c r="BA140" i="91"/>
  <c r="BB140" i="91"/>
  <c r="AX141" i="91"/>
  <c r="AY141" i="91"/>
  <c r="AZ141" i="91"/>
  <c r="BA141" i="91"/>
  <c r="BB141" i="91"/>
  <c r="AX142" i="91"/>
  <c r="AY142" i="91"/>
  <c r="AZ142" i="91"/>
  <c r="BA142" i="91"/>
  <c r="BB142" i="91"/>
  <c r="AX143" i="91"/>
  <c r="AY143" i="91"/>
  <c r="AZ143" i="91"/>
  <c r="BA143" i="91"/>
  <c r="BB143" i="91"/>
  <c r="AX144" i="91"/>
  <c r="AY144" i="91"/>
  <c r="AZ144" i="91"/>
  <c r="BA144" i="91"/>
  <c r="BB144" i="91"/>
  <c r="AX145" i="91"/>
  <c r="AY145" i="91"/>
  <c r="AZ145" i="91"/>
  <c r="BA145" i="91"/>
  <c r="BB145" i="91"/>
  <c r="AX146" i="91"/>
  <c r="AY146" i="91"/>
  <c r="AZ146" i="91"/>
  <c r="BA146" i="91"/>
  <c r="BB146" i="91"/>
  <c r="AX147" i="91"/>
  <c r="AY147" i="91"/>
  <c r="AZ147" i="91"/>
  <c r="BA147" i="91"/>
  <c r="BB147" i="91"/>
  <c r="AX148" i="91"/>
  <c r="AY148" i="91"/>
  <c r="AZ148" i="91"/>
  <c r="BA148" i="91"/>
  <c r="BB148" i="91"/>
  <c r="AX149" i="91"/>
  <c r="AY149" i="91"/>
  <c r="AZ149" i="91"/>
  <c r="BA149" i="91"/>
  <c r="BB149" i="91"/>
  <c r="AX150" i="91"/>
  <c r="AY150" i="91"/>
  <c r="AZ150" i="91"/>
  <c r="BA150" i="91"/>
  <c r="BB150" i="91"/>
  <c r="AX151" i="91"/>
  <c r="AY151" i="91"/>
  <c r="AZ151" i="91"/>
  <c r="BA151" i="91"/>
  <c r="BB151" i="91"/>
  <c r="AX152" i="91"/>
  <c r="AY152" i="91"/>
  <c r="AZ152" i="91"/>
  <c r="BA152" i="91"/>
  <c r="BB152" i="91"/>
  <c r="AX153" i="91"/>
  <c r="AY153" i="91"/>
  <c r="AZ153" i="91"/>
  <c r="BA153" i="91"/>
  <c r="BB153" i="91"/>
  <c r="AX154" i="91"/>
  <c r="AY154" i="91"/>
  <c r="AZ154" i="91"/>
  <c r="BA154" i="91"/>
  <c r="BB154" i="91"/>
  <c r="AX155" i="91"/>
  <c r="AY155" i="91"/>
  <c r="AZ155" i="91"/>
  <c r="BA155" i="91"/>
  <c r="BB155" i="91"/>
  <c r="AX156" i="91"/>
  <c r="AY156" i="91"/>
  <c r="AZ156" i="91"/>
  <c r="BA156" i="91"/>
  <c r="BB156" i="91"/>
  <c r="AX157" i="91"/>
  <c r="AY157" i="91"/>
  <c r="AZ157" i="91"/>
  <c r="BA157" i="91"/>
  <c r="BB157" i="91"/>
  <c r="AX158" i="91"/>
  <c r="AY158" i="91"/>
  <c r="AZ158" i="91"/>
  <c r="BA158" i="91"/>
  <c r="BB158" i="91"/>
  <c r="AX159" i="91"/>
  <c r="AY159" i="91"/>
  <c r="AZ159" i="91"/>
  <c r="BA159" i="91"/>
  <c r="BB159" i="91"/>
  <c r="AX160" i="91"/>
  <c r="AY160" i="91"/>
  <c r="AZ160" i="91"/>
  <c r="BA160" i="91"/>
  <c r="BB160" i="91"/>
  <c r="AX161" i="91"/>
  <c r="AY161" i="91"/>
  <c r="AZ161" i="91"/>
  <c r="BA161" i="91"/>
  <c r="BB161" i="91"/>
  <c r="AX162" i="91"/>
  <c r="AY162" i="91"/>
  <c r="AZ162" i="91"/>
  <c r="BA162" i="91"/>
  <c r="BB162" i="91"/>
  <c r="AX163" i="91"/>
  <c r="AY163" i="91"/>
  <c r="AZ163" i="91"/>
  <c r="BA163" i="91"/>
  <c r="BB163" i="91"/>
  <c r="AX164" i="91"/>
  <c r="AY164" i="91"/>
  <c r="AZ164" i="91"/>
  <c r="BA164" i="91"/>
  <c r="BB164" i="91"/>
  <c r="AX165" i="91"/>
  <c r="AY165" i="91"/>
  <c r="AZ165" i="91"/>
  <c r="BA165" i="91"/>
  <c r="BB165" i="91"/>
  <c r="AX166" i="91"/>
  <c r="AY166" i="91"/>
  <c r="AZ166" i="91"/>
  <c r="BA166" i="91"/>
  <c r="BB166" i="91"/>
  <c r="AY7" i="91"/>
  <c r="AZ7" i="91"/>
  <c r="BA7" i="91"/>
  <c r="BB7" i="91"/>
  <c r="AX7" i="91"/>
  <c r="R26" i="91"/>
  <c r="AS225" i="91" l="1"/>
  <c r="AR225" i="91"/>
  <c r="AQ225" i="91"/>
  <c r="AP225" i="91"/>
  <c r="AO225" i="91"/>
  <c r="AM225" i="91"/>
  <c r="AL225" i="91"/>
  <c r="AS224" i="91"/>
  <c r="AR224" i="91"/>
  <c r="AQ224" i="91"/>
  <c r="AP224" i="91"/>
  <c r="AO224" i="91"/>
  <c r="AM224" i="91"/>
  <c r="AL224" i="91"/>
  <c r="AS223" i="91"/>
  <c r="AR223" i="91"/>
  <c r="AQ223" i="91"/>
  <c r="AP223" i="91"/>
  <c r="AO223" i="91"/>
  <c r="AM223" i="91"/>
  <c r="AL223" i="91"/>
  <c r="AS222" i="91"/>
  <c r="AR222" i="91"/>
  <c r="AQ222" i="91"/>
  <c r="AP222" i="91"/>
  <c r="AO222" i="91"/>
  <c r="AM222" i="91"/>
  <c r="AL222" i="91"/>
  <c r="AS221" i="91"/>
  <c r="AR221" i="91"/>
  <c r="AQ221" i="91"/>
  <c r="AP221" i="91"/>
  <c r="AO221" i="91"/>
  <c r="AM221" i="91"/>
  <c r="AL221" i="91"/>
  <c r="AS220" i="91"/>
  <c r="AR220" i="91"/>
  <c r="AQ220" i="91"/>
  <c r="AP220" i="91"/>
  <c r="AO220" i="91"/>
  <c r="AM220" i="91"/>
  <c r="AL220" i="91"/>
  <c r="AS219" i="91"/>
  <c r="AR219" i="91"/>
  <c r="AQ219" i="91"/>
  <c r="AP219" i="91"/>
  <c r="AO219" i="91"/>
  <c r="AM219" i="91"/>
  <c r="AL219" i="91"/>
  <c r="AS218" i="91"/>
  <c r="AR218" i="91"/>
  <c r="AQ218" i="91"/>
  <c r="AP218" i="91"/>
  <c r="AO218" i="91"/>
  <c r="AM218" i="91"/>
  <c r="AL218" i="91"/>
  <c r="AS217" i="91"/>
  <c r="AR217" i="91"/>
  <c r="AQ217" i="91"/>
  <c r="AP217" i="91"/>
  <c r="AO217" i="91"/>
  <c r="AM217" i="91"/>
  <c r="AL217" i="91"/>
  <c r="AS216" i="91"/>
  <c r="AR216" i="91"/>
  <c r="AQ216" i="91"/>
  <c r="AP216" i="91"/>
  <c r="AO216" i="91"/>
  <c r="AM216" i="91"/>
  <c r="AL216" i="91"/>
  <c r="AS215" i="91"/>
  <c r="AR215" i="91"/>
  <c r="AQ215" i="91"/>
  <c r="AP215" i="91"/>
  <c r="AO215" i="91"/>
  <c r="AM215" i="91"/>
  <c r="AL215" i="91"/>
  <c r="AS214" i="91"/>
  <c r="AR214" i="91"/>
  <c r="AQ214" i="91"/>
  <c r="AP214" i="91"/>
  <c r="AO214" i="91"/>
  <c r="AM214" i="91"/>
  <c r="AL214" i="91"/>
  <c r="AS213" i="91"/>
  <c r="AR213" i="91"/>
  <c r="AQ213" i="91"/>
  <c r="AP213" i="91"/>
  <c r="AO213" i="91"/>
  <c r="AM213" i="91"/>
  <c r="AL213" i="91"/>
  <c r="AS212" i="91"/>
  <c r="AR212" i="91"/>
  <c r="AQ212" i="91"/>
  <c r="AP212" i="91"/>
  <c r="AO212" i="91"/>
  <c r="AM212" i="91"/>
  <c r="AL212" i="91"/>
  <c r="AS211" i="91"/>
  <c r="AR211" i="91"/>
  <c r="AQ211" i="91"/>
  <c r="AP211" i="91"/>
  <c r="AO211" i="91"/>
  <c r="AM211" i="91"/>
  <c r="AL211" i="91"/>
  <c r="AS210" i="91"/>
  <c r="AR210" i="91"/>
  <c r="AQ210" i="91"/>
  <c r="AP210" i="91"/>
  <c r="AO210" i="91"/>
  <c r="AM210" i="91"/>
  <c r="AL210" i="91"/>
  <c r="AS209" i="91"/>
  <c r="AR209" i="91"/>
  <c r="AQ209" i="91"/>
  <c r="AP209" i="91"/>
  <c r="AO209" i="91"/>
  <c r="AM209" i="91"/>
  <c r="AL209" i="91"/>
  <c r="AS208" i="91"/>
  <c r="AR208" i="91"/>
  <c r="AQ208" i="91"/>
  <c r="AP208" i="91"/>
  <c r="AO208" i="91"/>
  <c r="AM208" i="91"/>
  <c r="AL208" i="91"/>
  <c r="AS207" i="91"/>
  <c r="AR207" i="91"/>
  <c r="AQ207" i="91"/>
  <c r="AP207" i="91"/>
  <c r="AO207" i="91"/>
  <c r="AM207" i="91"/>
  <c r="AL207" i="91"/>
  <c r="AS206" i="91"/>
  <c r="AR206" i="91"/>
  <c r="AQ206" i="91"/>
  <c r="AP206" i="91"/>
  <c r="AO206" i="91"/>
  <c r="AM206" i="91"/>
  <c r="AL206" i="91"/>
  <c r="AS205" i="91"/>
  <c r="AR205" i="91"/>
  <c r="AQ205" i="91"/>
  <c r="AP205" i="91"/>
  <c r="AO205" i="91"/>
  <c r="AM205" i="91"/>
  <c r="AL205" i="91"/>
  <c r="AS204" i="91"/>
  <c r="AR204" i="91"/>
  <c r="AQ204" i="91"/>
  <c r="AP204" i="91"/>
  <c r="AO204" i="91"/>
  <c r="AM204" i="91"/>
  <c r="AL204" i="91"/>
  <c r="AS203" i="91"/>
  <c r="AR203" i="91"/>
  <c r="AQ203" i="91"/>
  <c r="AP203" i="91"/>
  <c r="AO203" i="91"/>
  <c r="AM203" i="91"/>
  <c r="AL203" i="91"/>
  <c r="AS202" i="91"/>
  <c r="AR202" i="91"/>
  <c r="AQ202" i="91"/>
  <c r="AP202" i="91"/>
  <c r="AO202" i="91"/>
  <c r="AM202" i="91"/>
  <c r="AL202" i="91"/>
  <c r="AS201" i="91"/>
  <c r="AR201" i="91"/>
  <c r="AQ201" i="91"/>
  <c r="AP201" i="91"/>
  <c r="AO201" i="91"/>
  <c r="AM201" i="91"/>
  <c r="AL201" i="91"/>
  <c r="AS200" i="91"/>
  <c r="AR200" i="91"/>
  <c r="AQ200" i="91"/>
  <c r="AP200" i="91"/>
  <c r="AO200" i="91"/>
  <c r="AM200" i="91"/>
  <c r="AL200" i="91"/>
  <c r="AS199" i="91"/>
  <c r="AR199" i="91"/>
  <c r="AQ199" i="91"/>
  <c r="AP199" i="91"/>
  <c r="AO199" i="91"/>
  <c r="AM199" i="91"/>
  <c r="AL199" i="91"/>
  <c r="AS198" i="91"/>
  <c r="AR198" i="91"/>
  <c r="AQ198" i="91"/>
  <c r="AP198" i="91"/>
  <c r="AO198" i="91"/>
  <c r="AM198" i="91"/>
  <c r="AL198" i="91"/>
  <c r="AS197" i="91"/>
  <c r="AR197" i="91"/>
  <c r="AQ197" i="91"/>
  <c r="AP197" i="91"/>
  <c r="AO197" i="91"/>
  <c r="AM197" i="91"/>
  <c r="AL197" i="91"/>
  <c r="AS196" i="91"/>
  <c r="AR196" i="91"/>
  <c r="AQ196" i="91"/>
  <c r="AP196" i="91"/>
  <c r="AO196" i="91"/>
  <c r="AM196" i="91"/>
  <c r="AL196" i="91"/>
  <c r="AS195" i="91"/>
  <c r="AR195" i="91"/>
  <c r="AQ195" i="91"/>
  <c r="AP195" i="91"/>
  <c r="AO195" i="91"/>
  <c r="AM195" i="91"/>
  <c r="AL195" i="91"/>
  <c r="AS194" i="91"/>
  <c r="AR194" i="91"/>
  <c r="AQ194" i="91"/>
  <c r="AP194" i="91"/>
  <c r="AO194" i="91"/>
  <c r="AM194" i="91"/>
  <c r="AL194" i="91"/>
  <c r="AS193" i="91"/>
  <c r="AR193" i="91"/>
  <c r="AQ193" i="91"/>
  <c r="AP193" i="91"/>
  <c r="AO193" i="91"/>
  <c r="AM193" i="91"/>
  <c r="AL193" i="91"/>
  <c r="AS192" i="91"/>
  <c r="AR192" i="91"/>
  <c r="AQ192" i="91"/>
  <c r="AP192" i="91"/>
  <c r="AO192" i="91"/>
  <c r="AM192" i="91"/>
  <c r="AL192" i="91"/>
  <c r="AS191" i="91"/>
  <c r="AR191" i="91"/>
  <c r="AQ191" i="91"/>
  <c r="AP191" i="91"/>
  <c r="AO191" i="91"/>
  <c r="AM191" i="91"/>
  <c r="AL191" i="91"/>
  <c r="AS190" i="91"/>
  <c r="AR190" i="91"/>
  <c r="AQ190" i="91"/>
  <c r="AP190" i="91"/>
  <c r="AO190" i="91"/>
  <c r="AM190" i="91"/>
  <c r="AL190" i="91"/>
  <c r="AS189" i="91"/>
  <c r="AR189" i="91"/>
  <c r="AQ189" i="91"/>
  <c r="AP189" i="91"/>
  <c r="AO189" i="91"/>
  <c r="AM189" i="91"/>
  <c r="AL189" i="91"/>
  <c r="AS188" i="91"/>
  <c r="AR188" i="91"/>
  <c r="AQ188" i="91"/>
  <c r="AP188" i="91"/>
  <c r="AO188" i="91"/>
  <c r="AM188" i="91"/>
  <c r="AL188" i="91"/>
  <c r="AS187" i="91"/>
  <c r="AR187" i="91"/>
  <c r="AQ187" i="91"/>
  <c r="AP187" i="91"/>
  <c r="AO187" i="91"/>
  <c r="AM187" i="91"/>
  <c r="AL187" i="91"/>
  <c r="AS180" i="91"/>
  <c r="AR180" i="91"/>
  <c r="AQ180" i="91"/>
  <c r="AP180" i="91"/>
  <c r="AO180" i="91"/>
  <c r="AM180" i="91"/>
  <c r="AL180" i="91"/>
  <c r="AS179" i="91"/>
  <c r="AR179" i="91"/>
  <c r="AQ179" i="91"/>
  <c r="AP179" i="91"/>
  <c r="AO179" i="91"/>
  <c r="AM179" i="91"/>
  <c r="AL179" i="91"/>
  <c r="AS178" i="91"/>
  <c r="AR178" i="91"/>
  <c r="AQ178" i="91"/>
  <c r="AP178" i="91"/>
  <c r="AO178" i="91"/>
  <c r="AM178" i="91"/>
  <c r="AL178" i="91"/>
  <c r="AS177" i="91"/>
  <c r="AR177" i="91"/>
  <c r="AQ177" i="91"/>
  <c r="AP177" i="91"/>
  <c r="AO177" i="91"/>
  <c r="AM177" i="91"/>
  <c r="AL177" i="91"/>
  <c r="AS176" i="91"/>
  <c r="AR176" i="91"/>
  <c r="AQ176" i="91"/>
  <c r="AP176" i="91"/>
  <c r="AO176" i="91"/>
  <c r="AM176" i="91"/>
  <c r="AL176" i="91"/>
  <c r="AS175" i="91"/>
  <c r="AR175" i="91"/>
  <c r="AQ175" i="91"/>
  <c r="AP175" i="91"/>
  <c r="AO175" i="91"/>
  <c r="AM175" i="91"/>
  <c r="AL175" i="91"/>
  <c r="AS174" i="91"/>
  <c r="AR174" i="91"/>
  <c r="AQ174" i="91"/>
  <c r="AP174" i="91"/>
  <c r="AO174" i="91"/>
  <c r="AM174" i="91"/>
  <c r="AL174" i="91"/>
  <c r="AS173" i="91"/>
  <c r="AR173" i="91"/>
  <c r="AQ173" i="91"/>
  <c r="AP173" i="91"/>
  <c r="AO173" i="91"/>
  <c r="AM173" i="91"/>
  <c r="AL173" i="91"/>
  <c r="AS172" i="91"/>
  <c r="AR172" i="91"/>
  <c r="AQ172" i="91"/>
  <c r="AP172" i="91"/>
  <c r="AO172" i="91"/>
  <c r="AM172" i="91"/>
  <c r="AL172" i="91"/>
  <c r="AS171" i="91"/>
  <c r="AR171" i="91"/>
  <c r="AQ171" i="91"/>
  <c r="AP171" i="91"/>
  <c r="AO171" i="91"/>
  <c r="AM171" i="91"/>
  <c r="AL171" i="91"/>
  <c r="AS170" i="91"/>
  <c r="AR170" i="91"/>
  <c r="AQ170" i="91"/>
  <c r="AP170" i="91"/>
  <c r="AO170" i="91"/>
  <c r="AM170" i="91"/>
  <c r="AL170" i="91"/>
  <c r="AS169" i="91"/>
  <c r="AR169" i="91"/>
  <c r="AQ169" i="91"/>
  <c r="AP169" i="91"/>
  <c r="AO169" i="91"/>
  <c r="AM169" i="91"/>
  <c r="AL169" i="91"/>
  <c r="AS168" i="91"/>
  <c r="AR168" i="91"/>
  <c r="AQ168" i="91"/>
  <c r="AP168" i="91"/>
  <c r="AO168" i="91"/>
  <c r="AM168" i="91"/>
  <c r="AL168" i="91"/>
  <c r="AS167" i="91"/>
  <c r="AR167" i="91"/>
  <c r="AQ167" i="91"/>
  <c r="AP167" i="91"/>
  <c r="AO167" i="91"/>
  <c r="AM167" i="91"/>
  <c r="AL167" i="91"/>
  <c r="AS166" i="91"/>
  <c r="AR166" i="91"/>
  <c r="AQ166" i="91"/>
  <c r="AP166" i="91"/>
  <c r="AO166" i="91"/>
  <c r="AM166" i="91"/>
  <c r="AL166" i="91"/>
  <c r="AS165" i="91"/>
  <c r="AR165" i="91"/>
  <c r="AQ165" i="91"/>
  <c r="AP165" i="91"/>
  <c r="AO165" i="91"/>
  <c r="AM165" i="91"/>
  <c r="AL165" i="91"/>
  <c r="AS164" i="91"/>
  <c r="AR164" i="91"/>
  <c r="AQ164" i="91"/>
  <c r="AP164" i="91"/>
  <c r="AO164" i="91"/>
  <c r="AM164" i="91"/>
  <c r="AL164" i="91"/>
  <c r="AS163" i="91"/>
  <c r="AR163" i="91"/>
  <c r="AQ163" i="91"/>
  <c r="AP163" i="91"/>
  <c r="AO163" i="91"/>
  <c r="AM163" i="91"/>
  <c r="AL163" i="91"/>
  <c r="AS162" i="91"/>
  <c r="AR162" i="91"/>
  <c r="AQ162" i="91"/>
  <c r="AP162" i="91"/>
  <c r="AO162" i="91"/>
  <c r="AM162" i="91"/>
  <c r="AL162" i="91"/>
  <c r="AS161" i="91"/>
  <c r="AR161" i="91"/>
  <c r="AQ161" i="91"/>
  <c r="AP161" i="91"/>
  <c r="AO161" i="91"/>
  <c r="AM161" i="91"/>
  <c r="AL161" i="91"/>
  <c r="AS160" i="91"/>
  <c r="AR160" i="91"/>
  <c r="AQ160" i="91"/>
  <c r="AP160" i="91"/>
  <c r="AO160" i="91"/>
  <c r="AM160" i="91"/>
  <c r="AL160" i="91"/>
  <c r="AS159" i="91"/>
  <c r="AR159" i="91"/>
  <c r="AQ159" i="91"/>
  <c r="AP159" i="91"/>
  <c r="AO159" i="91"/>
  <c r="AM159" i="91"/>
  <c r="AL159" i="91"/>
  <c r="AS158" i="91"/>
  <c r="AR158" i="91"/>
  <c r="AQ158" i="91"/>
  <c r="AP158" i="91"/>
  <c r="AO158" i="91"/>
  <c r="AM158" i="91"/>
  <c r="AL158" i="91"/>
  <c r="AS157" i="91"/>
  <c r="AR157" i="91"/>
  <c r="AQ157" i="91"/>
  <c r="AP157" i="91"/>
  <c r="AO157" i="91"/>
  <c r="AM157" i="91"/>
  <c r="AL157" i="91"/>
  <c r="AS156" i="91"/>
  <c r="AR156" i="91"/>
  <c r="AQ156" i="91"/>
  <c r="AP156" i="91"/>
  <c r="AO156" i="91"/>
  <c r="AM156" i="91"/>
  <c r="AL156" i="91"/>
  <c r="AS155" i="91"/>
  <c r="AR155" i="91"/>
  <c r="AQ155" i="91"/>
  <c r="AP155" i="91"/>
  <c r="AO155" i="91"/>
  <c r="AM155" i="91"/>
  <c r="AL155" i="91"/>
  <c r="AS154" i="91"/>
  <c r="AR154" i="91"/>
  <c r="AQ154" i="91"/>
  <c r="AP154" i="91"/>
  <c r="AO154" i="91"/>
  <c r="AM154" i="91"/>
  <c r="AL154" i="91"/>
  <c r="AS153" i="91"/>
  <c r="AR153" i="91"/>
  <c r="AQ153" i="91"/>
  <c r="AP153" i="91"/>
  <c r="AO153" i="91"/>
  <c r="AM153" i="91"/>
  <c r="AL153" i="91"/>
  <c r="AS152" i="91"/>
  <c r="AR152" i="91"/>
  <c r="AQ152" i="91"/>
  <c r="AP152" i="91"/>
  <c r="AO152" i="91"/>
  <c r="AM152" i="91"/>
  <c r="AL152" i="91"/>
  <c r="AS151" i="91"/>
  <c r="AR151" i="91"/>
  <c r="AQ151" i="91"/>
  <c r="AP151" i="91"/>
  <c r="AO151" i="91"/>
  <c r="AM151" i="91"/>
  <c r="AL151" i="91"/>
  <c r="AS150" i="91"/>
  <c r="AR150" i="91"/>
  <c r="AQ150" i="91"/>
  <c r="AP150" i="91"/>
  <c r="AO150" i="91"/>
  <c r="AM150" i="91"/>
  <c r="AL150" i="91"/>
  <c r="AS149" i="91"/>
  <c r="AR149" i="91"/>
  <c r="AQ149" i="91"/>
  <c r="AP149" i="91"/>
  <c r="AO149" i="91"/>
  <c r="AM149" i="91"/>
  <c r="AL149" i="91"/>
  <c r="AS148" i="91"/>
  <c r="AR148" i="91"/>
  <c r="AQ148" i="91"/>
  <c r="AP148" i="91"/>
  <c r="AO148" i="91"/>
  <c r="AM148" i="91"/>
  <c r="AL148" i="91"/>
  <c r="AS147" i="91"/>
  <c r="AR147" i="91"/>
  <c r="AQ147" i="91"/>
  <c r="AP147" i="91"/>
  <c r="AO147" i="91"/>
  <c r="AM147" i="91"/>
  <c r="AL147" i="91"/>
  <c r="AS146" i="91"/>
  <c r="AR146" i="91"/>
  <c r="AQ146" i="91"/>
  <c r="AP146" i="91"/>
  <c r="AO146" i="91"/>
  <c r="AM146" i="91"/>
  <c r="AL146" i="91"/>
  <c r="AS145" i="91"/>
  <c r="AR145" i="91"/>
  <c r="AQ145" i="91"/>
  <c r="AP145" i="91"/>
  <c r="AO145" i="91"/>
  <c r="AM145" i="91"/>
  <c r="AL145" i="91"/>
  <c r="AS144" i="91"/>
  <c r="AR144" i="91"/>
  <c r="AQ144" i="91"/>
  <c r="AP144" i="91"/>
  <c r="AO144" i="91"/>
  <c r="AM144" i="91"/>
  <c r="AL144" i="91"/>
  <c r="AS143" i="91"/>
  <c r="AR143" i="91"/>
  <c r="AQ143" i="91"/>
  <c r="AP143" i="91"/>
  <c r="AO143" i="91"/>
  <c r="AM143" i="91"/>
  <c r="AL143" i="91"/>
  <c r="AS142" i="91"/>
  <c r="AR142" i="91"/>
  <c r="AQ142" i="91"/>
  <c r="AP142" i="91"/>
  <c r="AO142" i="91"/>
  <c r="AM142" i="91"/>
  <c r="AL142" i="91"/>
  <c r="AS135" i="91"/>
  <c r="AR135" i="91"/>
  <c r="AQ135" i="91"/>
  <c r="AP135" i="91"/>
  <c r="AO135" i="91"/>
  <c r="AM135" i="91"/>
  <c r="AL135" i="91"/>
  <c r="AS134" i="91"/>
  <c r="AR134" i="91"/>
  <c r="AQ134" i="91"/>
  <c r="AP134" i="91"/>
  <c r="AO134" i="91"/>
  <c r="AM134" i="91"/>
  <c r="AL134" i="91"/>
  <c r="AS133" i="91"/>
  <c r="AR133" i="91"/>
  <c r="AQ133" i="91"/>
  <c r="AP133" i="91"/>
  <c r="AO133" i="91"/>
  <c r="AM133" i="91"/>
  <c r="AL133" i="91"/>
  <c r="AS132" i="91"/>
  <c r="AR132" i="91"/>
  <c r="AQ132" i="91"/>
  <c r="AP132" i="91"/>
  <c r="AO132" i="91"/>
  <c r="AM132" i="91"/>
  <c r="AL132" i="91"/>
  <c r="AS131" i="91"/>
  <c r="AR131" i="91"/>
  <c r="AQ131" i="91"/>
  <c r="AP131" i="91"/>
  <c r="AO131" i="91"/>
  <c r="AM131" i="91"/>
  <c r="AL131" i="91"/>
  <c r="AS130" i="91"/>
  <c r="AR130" i="91"/>
  <c r="AQ130" i="91"/>
  <c r="AP130" i="91"/>
  <c r="AO130" i="91"/>
  <c r="AM130" i="91"/>
  <c r="AL130" i="91"/>
  <c r="AS129" i="91"/>
  <c r="AR129" i="91"/>
  <c r="AQ129" i="91"/>
  <c r="AP129" i="91"/>
  <c r="AO129" i="91"/>
  <c r="AM129" i="91"/>
  <c r="AL129" i="91"/>
  <c r="AS128" i="91"/>
  <c r="AR128" i="91"/>
  <c r="AQ128" i="91"/>
  <c r="AP128" i="91"/>
  <c r="AO128" i="91"/>
  <c r="AM128" i="91"/>
  <c r="AL128" i="91"/>
  <c r="AS127" i="91"/>
  <c r="AR127" i="91"/>
  <c r="AQ127" i="91"/>
  <c r="AP127" i="91"/>
  <c r="AO127" i="91"/>
  <c r="AM127" i="91"/>
  <c r="AL127" i="91"/>
  <c r="AS126" i="91"/>
  <c r="AR126" i="91"/>
  <c r="AQ126" i="91"/>
  <c r="AP126" i="91"/>
  <c r="AO126" i="91"/>
  <c r="AM126" i="91"/>
  <c r="AL126" i="91"/>
  <c r="AS125" i="91"/>
  <c r="AR125" i="91"/>
  <c r="AQ125" i="91"/>
  <c r="AP125" i="91"/>
  <c r="AO125" i="91"/>
  <c r="AM125" i="91"/>
  <c r="AL125" i="91"/>
  <c r="AS124" i="91"/>
  <c r="AR124" i="91"/>
  <c r="AQ124" i="91"/>
  <c r="AP124" i="91"/>
  <c r="AO124" i="91"/>
  <c r="AM124" i="91"/>
  <c r="AL124" i="91"/>
  <c r="AS123" i="91"/>
  <c r="AR123" i="91"/>
  <c r="AQ123" i="91"/>
  <c r="AP123" i="91"/>
  <c r="AO123" i="91"/>
  <c r="AM123" i="91"/>
  <c r="AL123" i="91"/>
  <c r="AS122" i="91"/>
  <c r="AR122" i="91"/>
  <c r="AQ122" i="91"/>
  <c r="AP122" i="91"/>
  <c r="AO122" i="91"/>
  <c r="AM122" i="91"/>
  <c r="AL122" i="91"/>
  <c r="AS121" i="91"/>
  <c r="AR121" i="91"/>
  <c r="AQ121" i="91"/>
  <c r="AP121" i="91"/>
  <c r="AO121" i="91"/>
  <c r="AM121" i="91"/>
  <c r="AL121" i="91"/>
  <c r="AS120" i="91"/>
  <c r="AR120" i="91"/>
  <c r="AQ120" i="91"/>
  <c r="AP120" i="91"/>
  <c r="AO120" i="91"/>
  <c r="AM120" i="91"/>
  <c r="AL120" i="91"/>
  <c r="AS119" i="91"/>
  <c r="AR119" i="91"/>
  <c r="AQ119" i="91"/>
  <c r="AP119" i="91"/>
  <c r="AO119" i="91"/>
  <c r="AM119" i="91"/>
  <c r="AL119" i="91"/>
  <c r="AS118" i="91"/>
  <c r="AR118" i="91"/>
  <c r="AQ118" i="91"/>
  <c r="AP118" i="91"/>
  <c r="AO118" i="91"/>
  <c r="AM118" i="91"/>
  <c r="AL118" i="91"/>
  <c r="AS117" i="91"/>
  <c r="AR117" i="91"/>
  <c r="AQ117" i="91"/>
  <c r="AP117" i="91"/>
  <c r="AO117" i="91"/>
  <c r="AM117" i="91"/>
  <c r="AL117" i="91"/>
  <c r="AS116" i="91"/>
  <c r="AR116" i="91"/>
  <c r="AQ116" i="91"/>
  <c r="AP116" i="91"/>
  <c r="AO116" i="91"/>
  <c r="AM116" i="91"/>
  <c r="AL116" i="91"/>
  <c r="AS115" i="91"/>
  <c r="AR115" i="91"/>
  <c r="AQ115" i="91"/>
  <c r="AP115" i="91"/>
  <c r="AO115" i="91"/>
  <c r="AM115" i="91"/>
  <c r="AL115" i="91"/>
  <c r="AS114" i="91"/>
  <c r="AR114" i="91"/>
  <c r="AQ114" i="91"/>
  <c r="AP114" i="91"/>
  <c r="AO114" i="91"/>
  <c r="AM114" i="91"/>
  <c r="AL114" i="91"/>
  <c r="AS113" i="91"/>
  <c r="AR113" i="91"/>
  <c r="AQ113" i="91"/>
  <c r="AP113" i="91"/>
  <c r="AO113" i="91"/>
  <c r="AM113" i="91"/>
  <c r="AL113" i="91"/>
  <c r="AS112" i="91"/>
  <c r="AR112" i="91"/>
  <c r="AQ112" i="91"/>
  <c r="AP112" i="91"/>
  <c r="AO112" i="91"/>
  <c r="AM112" i="91"/>
  <c r="AL112" i="91"/>
  <c r="AS111" i="91"/>
  <c r="AR111" i="91"/>
  <c r="AQ111" i="91"/>
  <c r="AP111" i="91"/>
  <c r="AO111" i="91"/>
  <c r="AM111" i="91"/>
  <c r="AL111" i="91"/>
  <c r="AS110" i="91"/>
  <c r="AR110" i="91"/>
  <c r="AQ110" i="91"/>
  <c r="AP110" i="91"/>
  <c r="AO110" i="91"/>
  <c r="AM110" i="91"/>
  <c r="AL110" i="91"/>
  <c r="AS109" i="91"/>
  <c r="AR109" i="91"/>
  <c r="AQ109" i="91"/>
  <c r="AP109" i="91"/>
  <c r="AO109" i="91"/>
  <c r="AM109" i="91"/>
  <c r="AL109" i="91"/>
  <c r="AS108" i="91"/>
  <c r="AR108" i="91"/>
  <c r="AQ108" i="91"/>
  <c r="AP108" i="91"/>
  <c r="AO108" i="91"/>
  <c r="AM108" i="91"/>
  <c r="AL108" i="91"/>
  <c r="AS107" i="91"/>
  <c r="AR107" i="91"/>
  <c r="AQ107" i="91"/>
  <c r="AP107" i="91"/>
  <c r="AO107" i="91"/>
  <c r="AM107" i="91"/>
  <c r="AL107" i="91"/>
  <c r="AS106" i="91"/>
  <c r="AR106" i="91"/>
  <c r="AQ106" i="91"/>
  <c r="AP106" i="91"/>
  <c r="AO106" i="91"/>
  <c r="AM106" i="91"/>
  <c r="AL106" i="91"/>
  <c r="AS105" i="91"/>
  <c r="AR105" i="91"/>
  <c r="AQ105" i="91"/>
  <c r="AP105" i="91"/>
  <c r="AO105" i="91"/>
  <c r="AM105" i="91"/>
  <c r="AL105" i="91"/>
  <c r="AS104" i="91"/>
  <c r="AR104" i="91"/>
  <c r="AQ104" i="91"/>
  <c r="AP104" i="91"/>
  <c r="AO104" i="91"/>
  <c r="AM104" i="91"/>
  <c r="AL104" i="91"/>
  <c r="AS103" i="91"/>
  <c r="AR103" i="91"/>
  <c r="AQ103" i="91"/>
  <c r="AP103" i="91"/>
  <c r="AO103" i="91"/>
  <c r="AM103" i="91"/>
  <c r="AL103" i="91"/>
  <c r="AS102" i="91"/>
  <c r="AR102" i="91"/>
  <c r="AQ102" i="91"/>
  <c r="AP102" i="91"/>
  <c r="AO102" i="91"/>
  <c r="AM102" i="91"/>
  <c r="AL102" i="91"/>
  <c r="AS101" i="91"/>
  <c r="AR101" i="91"/>
  <c r="AQ101" i="91"/>
  <c r="AP101" i="91"/>
  <c r="AO101" i="91"/>
  <c r="AM101" i="91"/>
  <c r="AL101" i="91"/>
  <c r="AS100" i="91"/>
  <c r="AR100" i="91"/>
  <c r="AQ100" i="91"/>
  <c r="AP100" i="91"/>
  <c r="AO100" i="91"/>
  <c r="AM100" i="91"/>
  <c r="AL100" i="91"/>
  <c r="AS99" i="91"/>
  <c r="AR99" i="91"/>
  <c r="AQ99" i="91"/>
  <c r="AP99" i="91"/>
  <c r="AO99" i="91"/>
  <c r="AM99" i="91"/>
  <c r="AL99" i="91"/>
  <c r="AS98" i="91"/>
  <c r="AR98" i="91"/>
  <c r="AQ98" i="91"/>
  <c r="AP98" i="91"/>
  <c r="AO98" i="91"/>
  <c r="AM98" i="91"/>
  <c r="AL98" i="91"/>
  <c r="AS97" i="91"/>
  <c r="AR97" i="91"/>
  <c r="AQ97" i="91"/>
  <c r="AP97" i="91"/>
  <c r="AO97" i="91"/>
  <c r="AM97" i="91"/>
  <c r="AL97" i="91"/>
  <c r="AS90" i="91"/>
  <c r="AR90" i="91"/>
  <c r="AQ90" i="91"/>
  <c r="AP90" i="91"/>
  <c r="AO90" i="91"/>
  <c r="AM90" i="91"/>
  <c r="AL90" i="91"/>
  <c r="AS89" i="91"/>
  <c r="AR89" i="91"/>
  <c r="AQ89" i="91"/>
  <c r="AP89" i="91"/>
  <c r="AO89" i="91"/>
  <c r="AM89" i="91"/>
  <c r="AL89" i="91"/>
  <c r="AS88" i="91"/>
  <c r="AR88" i="91"/>
  <c r="AQ88" i="91"/>
  <c r="AP88" i="91"/>
  <c r="AO88" i="91"/>
  <c r="AM88" i="91"/>
  <c r="AL88" i="91"/>
  <c r="AS87" i="91"/>
  <c r="AR87" i="91"/>
  <c r="AQ87" i="91"/>
  <c r="AP87" i="91"/>
  <c r="AO87" i="91"/>
  <c r="AM87" i="91"/>
  <c r="AL87" i="91"/>
  <c r="AS86" i="91"/>
  <c r="AR86" i="91"/>
  <c r="AQ86" i="91"/>
  <c r="AP86" i="91"/>
  <c r="AO86" i="91"/>
  <c r="AM86" i="91"/>
  <c r="AL86" i="91"/>
  <c r="AS85" i="91"/>
  <c r="AR85" i="91"/>
  <c r="AQ85" i="91"/>
  <c r="AP85" i="91"/>
  <c r="AO85" i="91"/>
  <c r="AM85" i="91"/>
  <c r="AL85" i="91"/>
  <c r="AS84" i="91"/>
  <c r="AR84" i="91"/>
  <c r="AQ84" i="91"/>
  <c r="AP84" i="91"/>
  <c r="AO84" i="91"/>
  <c r="AM84" i="91"/>
  <c r="AL84" i="91"/>
  <c r="AS83" i="91"/>
  <c r="AR83" i="91"/>
  <c r="AQ83" i="91"/>
  <c r="AP83" i="91"/>
  <c r="AO83" i="91"/>
  <c r="AM83" i="91"/>
  <c r="AL83" i="91"/>
  <c r="AS82" i="91"/>
  <c r="AR82" i="91"/>
  <c r="AQ82" i="91"/>
  <c r="AP82" i="91"/>
  <c r="AO82" i="91"/>
  <c r="AM82" i="91"/>
  <c r="AL82" i="91"/>
  <c r="AS81" i="91"/>
  <c r="AR81" i="91"/>
  <c r="AQ81" i="91"/>
  <c r="AP81" i="91"/>
  <c r="AO81" i="91"/>
  <c r="AM81" i="91"/>
  <c r="AL81" i="91"/>
  <c r="AS80" i="91"/>
  <c r="AR80" i="91"/>
  <c r="AQ80" i="91"/>
  <c r="AP80" i="91"/>
  <c r="AO80" i="91"/>
  <c r="AM80" i="91"/>
  <c r="AL80" i="91"/>
  <c r="AS79" i="91"/>
  <c r="AR79" i="91"/>
  <c r="AQ79" i="91"/>
  <c r="AP79" i="91"/>
  <c r="AO79" i="91"/>
  <c r="AM79" i="91"/>
  <c r="AL79" i="91"/>
  <c r="AS78" i="91"/>
  <c r="AR78" i="91"/>
  <c r="AQ78" i="91"/>
  <c r="AP78" i="91"/>
  <c r="AO78" i="91"/>
  <c r="AM78" i="91"/>
  <c r="AL78" i="91"/>
  <c r="AS77" i="91"/>
  <c r="AR77" i="91"/>
  <c r="AQ77" i="91"/>
  <c r="AP77" i="91"/>
  <c r="AO77" i="91"/>
  <c r="AM77" i="91"/>
  <c r="AL77" i="91"/>
  <c r="AS76" i="91"/>
  <c r="AR76" i="91"/>
  <c r="AQ76" i="91"/>
  <c r="AP76" i="91"/>
  <c r="AO76" i="91"/>
  <c r="AM76" i="91"/>
  <c r="AL76" i="91"/>
  <c r="AS75" i="91"/>
  <c r="AR75" i="91"/>
  <c r="AQ75" i="91"/>
  <c r="AP75" i="91"/>
  <c r="AO75" i="91"/>
  <c r="AM75" i="91"/>
  <c r="AL75" i="91"/>
  <c r="AS74" i="91"/>
  <c r="AR74" i="91"/>
  <c r="AQ74" i="91"/>
  <c r="AP74" i="91"/>
  <c r="AO74" i="91"/>
  <c r="AM74" i="91"/>
  <c r="AL74" i="91"/>
  <c r="AS73" i="91"/>
  <c r="AR73" i="91"/>
  <c r="AQ73" i="91"/>
  <c r="AP73" i="91"/>
  <c r="AO73" i="91"/>
  <c r="AM73" i="91"/>
  <c r="AL73" i="91"/>
  <c r="AS72" i="91"/>
  <c r="AR72" i="91"/>
  <c r="AQ72" i="91"/>
  <c r="AP72" i="91"/>
  <c r="AO72" i="91"/>
  <c r="AM72" i="91"/>
  <c r="AL72" i="91"/>
  <c r="AS71" i="91"/>
  <c r="AR71" i="91"/>
  <c r="AQ71" i="91"/>
  <c r="AP71" i="91"/>
  <c r="AO71" i="91"/>
  <c r="AM71" i="91"/>
  <c r="AL71" i="91"/>
  <c r="AS70" i="91"/>
  <c r="AR70" i="91"/>
  <c r="AQ70" i="91"/>
  <c r="AP70" i="91"/>
  <c r="AO70" i="91"/>
  <c r="AM70" i="91"/>
  <c r="AL70" i="91"/>
  <c r="AS69" i="91"/>
  <c r="AR69" i="91"/>
  <c r="AQ69" i="91"/>
  <c r="AP69" i="91"/>
  <c r="AO69" i="91"/>
  <c r="AM69" i="91"/>
  <c r="AL69" i="91"/>
  <c r="AS68" i="91"/>
  <c r="AR68" i="91"/>
  <c r="AQ68" i="91"/>
  <c r="AP68" i="91"/>
  <c r="AO68" i="91"/>
  <c r="AM68" i="91"/>
  <c r="AL68" i="91"/>
  <c r="AS67" i="91"/>
  <c r="AR67" i="91"/>
  <c r="AQ67" i="91"/>
  <c r="AP67" i="91"/>
  <c r="AO67" i="91"/>
  <c r="AM67" i="91"/>
  <c r="AL67" i="91"/>
  <c r="AS66" i="91"/>
  <c r="AR66" i="91"/>
  <c r="AQ66" i="91"/>
  <c r="AP66" i="91"/>
  <c r="AO66" i="91"/>
  <c r="AM66" i="91"/>
  <c r="AL66" i="91"/>
  <c r="AS65" i="91"/>
  <c r="AR65" i="91"/>
  <c r="AQ65" i="91"/>
  <c r="AP65" i="91"/>
  <c r="AO65" i="91"/>
  <c r="AM65" i="91"/>
  <c r="AL65" i="91"/>
  <c r="AS64" i="91"/>
  <c r="AR64" i="91"/>
  <c r="AQ64" i="91"/>
  <c r="AP64" i="91"/>
  <c r="AO64" i="91"/>
  <c r="AM64" i="91"/>
  <c r="AL64" i="91"/>
  <c r="AS63" i="91"/>
  <c r="AR63" i="91"/>
  <c r="AQ63" i="91"/>
  <c r="AP63" i="91"/>
  <c r="AO63" i="91"/>
  <c r="AM63" i="91"/>
  <c r="AL63" i="91"/>
  <c r="AS62" i="91"/>
  <c r="AR62" i="91"/>
  <c r="AQ62" i="91"/>
  <c r="AP62" i="91"/>
  <c r="AO62" i="91"/>
  <c r="AM62" i="91"/>
  <c r="AL62" i="91"/>
  <c r="AS61" i="91"/>
  <c r="AR61" i="91"/>
  <c r="AQ61" i="91"/>
  <c r="AP61" i="91"/>
  <c r="AO61" i="91"/>
  <c r="AM61" i="91"/>
  <c r="AL61" i="91"/>
  <c r="AS60" i="91"/>
  <c r="AR60" i="91"/>
  <c r="AQ60" i="91"/>
  <c r="AP60" i="91"/>
  <c r="AO60" i="91"/>
  <c r="AM60" i="91"/>
  <c r="AL60" i="91"/>
  <c r="AS59" i="91"/>
  <c r="AR59" i="91"/>
  <c r="AQ59" i="91"/>
  <c r="AP59" i="91"/>
  <c r="AO59" i="91"/>
  <c r="AM59" i="91"/>
  <c r="AL59" i="91"/>
  <c r="AS58" i="91"/>
  <c r="AR58" i="91"/>
  <c r="AQ58" i="91"/>
  <c r="AP58" i="91"/>
  <c r="AO58" i="91"/>
  <c r="AM58" i="91"/>
  <c r="AL58" i="91"/>
  <c r="AS57" i="91"/>
  <c r="AR57" i="91"/>
  <c r="AQ57" i="91"/>
  <c r="AP57" i="91"/>
  <c r="AO57" i="91"/>
  <c r="AM57" i="91"/>
  <c r="AL57" i="91"/>
  <c r="AS56" i="91"/>
  <c r="AR56" i="91"/>
  <c r="AQ56" i="91"/>
  <c r="AP56" i="91"/>
  <c r="AO56" i="91"/>
  <c r="AM56" i="91"/>
  <c r="AL56" i="91"/>
  <c r="AS55" i="91"/>
  <c r="AR55" i="91"/>
  <c r="AQ55" i="91"/>
  <c r="AP55" i="91"/>
  <c r="AO55" i="91"/>
  <c r="AM55" i="91"/>
  <c r="AL55" i="91"/>
  <c r="AS54" i="91"/>
  <c r="AR54" i="91"/>
  <c r="AQ54" i="91"/>
  <c r="AP54" i="91"/>
  <c r="AO54" i="91"/>
  <c r="AM54" i="91"/>
  <c r="AL54" i="91"/>
  <c r="AS53" i="91"/>
  <c r="AR53" i="91"/>
  <c r="AQ53" i="91"/>
  <c r="AP53" i="91"/>
  <c r="AO53" i="91"/>
  <c r="AM53" i="91"/>
  <c r="AL53" i="91"/>
  <c r="AS52" i="91"/>
  <c r="AR52" i="91"/>
  <c r="AQ52" i="91"/>
  <c r="AP52" i="91"/>
  <c r="AO52" i="91"/>
  <c r="AM52" i="91"/>
  <c r="AL52" i="91"/>
  <c r="AO8" i="91"/>
  <c r="AP8" i="91"/>
  <c r="AQ8" i="91"/>
  <c r="AR8" i="91"/>
  <c r="AS8" i="91"/>
  <c r="AO9" i="91"/>
  <c r="AP9" i="91"/>
  <c r="AQ9" i="91"/>
  <c r="AR9" i="91"/>
  <c r="AS9" i="91"/>
  <c r="AO10" i="91"/>
  <c r="AP10" i="91"/>
  <c r="AQ10" i="91"/>
  <c r="AR10" i="91"/>
  <c r="AS10" i="91"/>
  <c r="AO11" i="91"/>
  <c r="AP11" i="91"/>
  <c r="AQ11" i="91"/>
  <c r="AR11" i="91"/>
  <c r="AS11" i="91"/>
  <c r="AO12" i="91"/>
  <c r="AP12" i="91"/>
  <c r="AQ12" i="91"/>
  <c r="AR12" i="91"/>
  <c r="AS12" i="91"/>
  <c r="AO13" i="91"/>
  <c r="AP13" i="91"/>
  <c r="AQ13" i="91"/>
  <c r="AR13" i="91"/>
  <c r="AS13" i="91"/>
  <c r="AO14" i="91"/>
  <c r="AP14" i="91"/>
  <c r="AQ14" i="91"/>
  <c r="AR14" i="91"/>
  <c r="AS14" i="91"/>
  <c r="AO15" i="91"/>
  <c r="AP15" i="91"/>
  <c r="AQ15" i="91"/>
  <c r="AR15" i="91"/>
  <c r="AS15" i="91"/>
  <c r="AO16" i="91"/>
  <c r="AP16" i="91"/>
  <c r="AQ16" i="91"/>
  <c r="AR16" i="91"/>
  <c r="AS16" i="91"/>
  <c r="AO17" i="91"/>
  <c r="AP17" i="91"/>
  <c r="AQ17" i="91"/>
  <c r="AR17" i="91"/>
  <c r="AS17" i="91"/>
  <c r="AO18" i="91"/>
  <c r="AP18" i="91"/>
  <c r="AQ18" i="91"/>
  <c r="AR18" i="91"/>
  <c r="AS18" i="91"/>
  <c r="AO19" i="91"/>
  <c r="AP19" i="91"/>
  <c r="AQ19" i="91"/>
  <c r="AR19" i="91"/>
  <c r="AS19" i="91"/>
  <c r="AO20" i="91"/>
  <c r="AP20" i="91"/>
  <c r="AQ20" i="91"/>
  <c r="AR20" i="91"/>
  <c r="AS20" i="91"/>
  <c r="AO21" i="91"/>
  <c r="AP21" i="91"/>
  <c r="AQ21" i="91"/>
  <c r="AR21" i="91"/>
  <c r="AS21" i="91"/>
  <c r="AO22" i="91"/>
  <c r="AP22" i="91"/>
  <c r="AQ22" i="91"/>
  <c r="AR22" i="91"/>
  <c r="AS22" i="91"/>
  <c r="AO23" i="91"/>
  <c r="AP23" i="91"/>
  <c r="AQ23" i="91"/>
  <c r="AR23" i="91"/>
  <c r="AS23" i="91"/>
  <c r="AO24" i="91"/>
  <c r="AP24" i="91"/>
  <c r="AQ24" i="91"/>
  <c r="AR24" i="91"/>
  <c r="AS24" i="91"/>
  <c r="AO25" i="91"/>
  <c r="AP25" i="91"/>
  <c r="AQ25" i="91"/>
  <c r="AR25" i="91"/>
  <c r="AS25" i="91"/>
  <c r="AO26" i="91"/>
  <c r="AP26" i="91"/>
  <c r="AQ26" i="91"/>
  <c r="AR26" i="91"/>
  <c r="AS26" i="91"/>
  <c r="AO27" i="91"/>
  <c r="AP27" i="91"/>
  <c r="AQ27" i="91"/>
  <c r="AR27" i="91"/>
  <c r="AS27" i="91"/>
  <c r="AO28" i="91"/>
  <c r="AP28" i="91"/>
  <c r="AQ28" i="91"/>
  <c r="AR28" i="91"/>
  <c r="AS28" i="91"/>
  <c r="AO29" i="91"/>
  <c r="AP29" i="91"/>
  <c r="AQ29" i="91"/>
  <c r="AR29" i="91"/>
  <c r="AS29" i="91"/>
  <c r="AO30" i="91"/>
  <c r="AP30" i="91"/>
  <c r="AQ30" i="91"/>
  <c r="AR30" i="91"/>
  <c r="AS30" i="91"/>
  <c r="AO31" i="91"/>
  <c r="AP31" i="91"/>
  <c r="AQ31" i="91"/>
  <c r="AR31" i="91"/>
  <c r="AS31" i="91"/>
  <c r="AO32" i="91"/>
  <c r="AP32" i="91"/>
  <c r="AQ32" i="91"/>
  <c r="AR32" i="91"/>
  <c r="AS32" i="91"/>
  <c r="AO33" i="91"/>
  <c r="AP33" i="91"/>
  <c r="AQ33" i="91"/>
  <c r="AR33" i="91"/>
  <c r="AS33" i="91"/>
  <c r="AO34" i="91"/>
  <c r="AP34" i="91"/>
  <c r="AQ34" i="91"/>
  <c r="AR34" i="91"/>
  <c r="AS34" i="91"/>
  <c r="AO35" i="91"/>
  <c r="AP35" i="91"/>
  <c r="AQ35" i="91"/>
  <c r="AR35" i="91"/>
  <c r="AS35" i="91"/>
  <c r="AO36" i="91"/>
  <c r="AP36" i="91"/>
  <c r="AQ36" i="91"/>
  <c r="AR36" i="91"/>
  <c r="AS36" i="91"/>
  <c r="AO37" i="91"/>
  <c r="AP37" i="91"/>
  <c r="AQ37" i="91"/>
  <c r="AR37" i="91"/>
  <c r="AS37" i="91"/>
  <c r="AO38" i="91"/>
  <c r="AP38" i="91"/>
  <c r="AQ38" i="91"/>
  <c r="AR38" i="91"/>
  <c r="AS38" i="91"/>
  <c r="AO39" i="91"/>
  <c r="AP39" i="91"/>
  <c r="AQ39" i="91"/>
  <c r="AR39" i="91"/>
  <c r="AS39" i="91"/>
  <c r="AO40" i="91"/>
  <c r="AP40" i="91"/>
  <c r="AQ40" i="91"/>
  <c r="AR40" i="91"/>
  <c r="AS40" i="91"/>
  <c r="AO41" i="91"/>
  <c r="AP41" i="91"/>
  <c r="AQ41" i="91"/>
  <c r="AR41" i="91"/>
  <c r="AS41" i="91"/>
  <c r="AO42" i="91"/>
  <c r="AP42" i="91"/>
  <c r="AQ42" i="91"/>
  <c r="AR42" i="91"/>
  <c r="AS42" i="91"/>
  <c r="AO43" i="91"/>
  <c r="AP43" i="91"/>
  <c r="AQ43" i="91"/>
  <c r="AR43" i="91"/>
  <c r="AS43" i="91"/>
  <c r="AO44" i="91"/>
  <c r="AP44" i="91"/>
  <c r="AQ44" i="91"/>
  <c r="AR44" i="91"/>
  <c r="AS44" i="91"/>
  <c r="AO45" i="91"/>
  <c r="AP45" i="91"/>
  <c r="AQ45" i="91"/>
  <c r="AR45" i="91"/>
  <c r="AS45" i="91"/>
  <c r="AS7" i="91"/>
  <c r="AR7" i="91"/>
  <c r="AQ7" i="91"/>
  <c r="AP7" i="91"/>
  <c r="AO7" i="91"/>
  <c r="AL8" i="91"/>
  <c r="AM8" i="91"/>
  <c r="AL9" i="91"/>
  <c r="AM9" i="91"/>
  <c r="AL10" i="91"/>
  <c r="AM10" i="91"/>
  <c r="AL11" i="91"/>
  <c r="AM11" i="91"/>
  <c r="AL12" i="91"/>
  <c r="AM12" i="91"/>
  <c r="AL13" i="91"/>
  <c r="AM13" i="91"/>
  <c r="AL14" i="91"/>
  <c r="AM14" i="91"/>
  <c r="AL15" i="91"/>
  <c r="AM15" i="91"/>
  <c r="AL16" i="91"/>
  <c r="AM16" i="91"/>
  <c r="AL17" i="91"/>
  <c r="AM17" i="91"/>
  <c r="AL18" i="91"/>
  <c r="AM18" i="91"/>
  <c r="AL19" i="91"/>
  <c r="AM19" i="91"/>
  <c r="AL20" i="91"/>
  <c r="AM20" i="91"/>
  <c r="AL21" i="91"/>
  <c r="AM21" i="91"/>
  <c r="AL22" i="91"/>
  <c r="AM22" i="91"/>
  <c r="AL23" i="91"/>
  <c r="AM23" i="91"/>
  <c r="AL24" i="91"/>
  <c r="AM24" i="91"/>
  <c r="AL25" i="91"/>
  <c r="AM25" i="91"/>
  <c r="AL26" i="91"/>
  <c r="AM26" i="91"/>
  <c r="AL27" i="91"/>
  <c r="AM27" i="91"/>
  <c r="AL28" i="91"/>
  <c r="AM28" i="91"/>
  <c r="AL29" i="91"/>
  <c r="AM29" i="91"/>
  <c r="AL30" i="91"/>
  <c r="AM30" i="91"/>
  <c r="AL31" i="91"/>
  <c r="AM31" i="91"/>
  <c r="AL32" i="91"/>
  <c r="AM32" i="91"/>
  <c r="AL33" i="91"/>
  <c r="AM33" i="91"/>
  <c r="AL34" i="91"/>
  <c r="AM34" i="91"/>
  <c r="AL35" i="91"/>
  <c r="AM35" i="91"/>
  <c r="AL36" i="91"/>
  <c r="AM36" i="91"/>
  <c r="AL37" i="91"/>
  <c r="AM37" i="91"/>
  <c r="AL38" i="91"/>
  <c r="AM38" i="91"/>
  <c r="AL39" i="91"/>
  <c r="AM39" i="91"/>
  <c r="AL40" i="91"/>
  <c r="AM40" i="91"/>
  <c r="AL41" i="91"/>
  <c r="AM41" i="91"/>
  <c r="AL42" i="91"/>
  <c r="AM42" i="91"/>
  <c r="AL43" i="91"/>
  <c r="AM43" i="91"/>
  <c r="AL44" i="91"/>
  <c r="AM44" i="91"/>
  <c r="AL45" i="91"/>
  <c r="AM45" i="91"/>
  <c r="AM7" i="91"/>
  <c r="AL7" i="91"/>
  <c r="T100" i="18" l="1"/>
  <c r="N135" i="18" l="1"/>
  <c r="P135" i="18"/>
  <c r="Q135" i="18"/>
  <c r="R135" i="18"/>
  <c r="S135" i="18"/>
  <c r="T135" i="18"/>
  <c r="W135" i="18"/>
  <c r="X135" i="18"/>
  <c r="Y135" i="18"/>
  <c r="Z135" i="18"/>
  <c r="AA135" i="18"/>
  <c r="N136" i="18"/>
  <c r="P136" i="18"/>
  <c r="Q136" i="18"/>
  <c r="R136" i="18"/>
  <c r="S136" i="18"/>
  <c r="T136" i="18"/>
  <c r="W136" i="18"/>
  <c r="X136" i="18"/>
  <c r="Y136" i="18"/>
  <c r="Z136" i="18"/>
  <c r="AA136" i="18"/>
  <c r="N137" i="18"/>
  <c r="P137" i="18"/>
  <c r="Q137" i="18"/>
  <c r="R137" i="18"/>
  <c r="S137" i="18"/>
  <c r="T137" i="18"/>
  <c r="W137" i="18"/>
  <c r="X137" i="18"/>
  <c r="Y137" i="18"/>
  <c r="Z137" i="18"/>
  <c r="AA137" i="18"/>
  <c r="N138" i="18"/>
  <c r="P138" i="18"/>
  <c r="Q138" i="18"/>
  <c r="R138" i="18"/>
  <c r="S138" i="18"/>
  <c r="T138" i="18"/>
  <c r="W138" i="18"/>
  <c r="X138" i="18"/>
  <c r="Y138" i="18"/>
  <c r="Z138" i="18"/>
  <c r="AA138" i="18"/>
  <c r="N139" i="18"/>
  <c r="P139" i="18"/>
  <c r="Q139" i="18"/>
  <c r="R139" i="18"/>
  <c r="S139" i="18"/>
  <c r="T139" i="18"/>
  <c r="W139" i="18"/>
  <c r="X139" i="18"/>
  <c r="Y139" i="18"/>
  <c r="Z139" i="18"/>
  <c r="AA139" i="18"/>
  <c r="N140" i="18"/>
  <c r="P140" i="18"/>
  <c r="Q140" i="18"/>
  <c r="R140" i="18"/>
  <c r="S140" i="18"/>
  <c r="T140" i="18"/>
  <c r="W140" i="18"/>
  <c r="X140" i="18"/>
  <c r="Y140" i="18"/>
  <c r="Z140" i="18"/>
  <c r="AA140" i="18"/>
  <c r="N141" i="18"/>
  <c r="P141" i="18"/>
  <c r="Q141" i="18"/>
  <c r="R141" i="18"/>
  <c r="S141" i="18"/>
  <c r="T141" i="18"/>
  <c r="W141" i="18"/>
  <c r="X141" i="18"/>
  <c r="Y141" i="18"/>
  <c r="Z141" i="18"/>
  <c r="AA141" i="18"/>
  <c r="N142" i="18"/>
  <c r="P142" i="18"/>
  <c r="Q142" i="18"/>
  <c r="R142" i="18"/>
  <c r="S142" i="18"/>
  <c r="T142" i="18"/>
  <c r="W142" i="18"/>
  <c r="X142" i="18"/>
  <c r="Y142" i="18"/>
  <c r="Z142" i="18"/>
  <c r="AA142" i="18"/>
  <c r="N143" i="18"/>
  <c r="P143" i="18"/>
  <c r="Q143" i="18"/>
  <c r="R143" i="18"/>
  <c r="S143" i="18"/>
  <c r="T143" i="18"/>
  <c r="W143" i="18"/>
  <c r="X143" i="18"/>
  <c r="Y143" i="18"/>
  <c r="Z143" i="18"/>
  <c r="AA143" i="18"/>
  <c r="N144" i="18"/>
  <c r="P144" i="18"/>
  <c r="Q144" i="18"/>
  <c r="R144" i="18"/>
  <c r="S144" i="18"/>
  <c r="T144" i="18"/>
  <c r="W144" i="18"/>
  <c r="X144" i="18"/>
  <c r="Y144" i="18"/>
  <c r="Z144" i="18"/>
  <c r="AA144" i="18"/>
  <c r="N145" i="18"/>
  <c r="P145" i="18"/>
  <c r="Q145" i="18"/>
  <c r="R145" i="18"/>
  <c r="S145" i="18"/>
  <c r="T145" i="18"/>
  <c r="W145" i="18"/>
  <c r="X145" i="18"/>
  <c r="Y145" i="18"/>
  <c r="Z145" i="18"/>
  <c r="AA145" i="18"/>
  <c r="N146" i="18"/>
  <c r="P146" i="18"/>
  <c r="Q146" i="18"/>
  <c r="R146" i="18"/>
  <c r="S146" i="18"/>
  <c r="T146" i="18"/>
  <c r="W146" i="18"/>
  <c r="X146" i="18"/>
  <c r="Y146" i="18"/>
  <c r="Z146" i="18"/>
  <c r="AA146" i="18"/>
  <c r="N147" i="18"/>
  <c r="P147" i="18"/>
  <c r="Q147" i="18"/>
  <c r="R147" i="18"/>
  <c r="S147" i="18"/>
  <c r="T147" i="18"/>
  <c r="W147" i="18"/>
  <c r="X147" i="18"/>
  <c r="Y147" i="18"/>
  <c r="Z147" i="18"/>
  <c r="AA147" i="18"/>
  <c r="N148" i="18"/>
  <c r="P148" i="18"/>
  <c r="Q148" i="18"/>
  <c r="R148" i="18"/>
  <c r="S148" i="18"/>
  <c r="T148" i="18"/>
  <c r="W148" i="18"/>
  <c r="X148" i="18"/>
  <c r="Y148" i="18"/>
  <c r="Z148" i="18"/>
  <c r="AA148" i="18"/>
  <c r="N149" i="18"/>
  <c r="P149" i="18"/>
  <c r="Q149" i="18"/>
  <c r="R149" i="18"/>
  <c r="S149" i="18"/>
  <c r="T149" i="18"/>
  <c r="W149" i="18"/>
  <c r="X149" i="18"/>
  <c r="Y149" i="18"/>
  <c r="Z149" i="18"/>
  <c r="AA149" i="18"/>
  <c r="N150" i="18"/>
  <c r="P150" i="18"/>
  <c r="Q150" i="18"/>
  <c r="R150" i="18"/>
  <c r="S150" i="18"/>
  <c r="T150" i="18"/>
  <c r="W150" i="18"/>
  <c r="X150" i="18"/>
  <c r="Y150" i="18"/>
  <c r="Z150" i="18"/>
  <c r="AA150" i="18"/>
  <c r="N151" i="18"/>
  <c r="P151" i="18"/>
  <c r="Q151" i="18"/>
  <c r="R151" i="18"/>
  <c r="S151" i="18"/>
  <c r="T151" i="18"/>
  <c r="W151" i="18"/>
  <c r="X151" i="18"/>
  <c r="Y151" i="18"/>
  <c r="Z151" i="18"/>
  <c r="AA151" i="18"/>
  <c r="N152" i="18"/>
  <c r="P152" i="18"/>
  <c r="Q152" i="18"/>
  <c r="R152" i="18"/>
  <c r="S152" i="18"/>
  <c r="T152" i="18"/>
  <c r="W152" i="18"/>
  <c r="X152" i="18"/>
  <c r="Y152" i="18"/>
  <c r="Z152" i="18"/>
  <c r="AA152" i="18"/>
  <c r="N153" i="18"/>
  <c r="P153" i="18"/>
  <c r="Q153" i="18"/>
  <c r="R153" i="18"/>
  <c r="S153" i="18"/>
  <c r="T153" i="18"/>
  <c r="W153" i="18"/>
  <c r="X153" i="18"/>
  <c r="Y153" i="18"/>
  <c r="Z153" i="18"/>
  <c r="AA153" i="18"/>
  <c r="N154" i="18"/>
  <c r="P154" i="18"/>
  <c r="Q154" i="18"/>
  <c r="R154" i="18"/>
  <c r="S154" i="18"/>
  <c r="T154" i="18"/>
  <c r="W154" i="18"/>
  <c r="X154" i="18"/>
  <c r="Y154" i="18"/>
  <c r="Z154" i="18"/>
  <c r="AA154" i="18"/>
  <c r="N155" i="18"/>
  <c r="P155" i="18"/>
  <c r="Q155" i="18"/>
  <c r="R155" i="18"/>
  <c r="S155" i="18"/>
  <c r="T155" i="18"/>
  <c r="W155" i="18"/>
  <c r="X155" i="18"/>
  <c r="Y155" i="18"/>
  <c r="Z155" i="18"/>
  <c r="AA155" i="18"/>
  <c r="N156" i="18"/>
  <c r="P156" i="18"/>
  <c r="Q156" i="18"/>
  <c r="R156" i="18"/>
  <c r="S156" i="18"/>
  <c r="T156" i="18"/>
  <c r="W156" i="18"/>
  <c r="X156" i="18"/>
  <c r="Y156" i="18"/>
  <c r="Z156" i="18"/>
  <c r="AA156" i="18"/>
  <c r="N157" i="18"/>
  <c r="P157" i="18"/>
  <c r="Q157" i="18"/>
  <c r="R157" i="18"/>
  <c r="S157" i="18"/>
  <c r="T157" i="18"/>
  <c r="W157" i="18"/>
  <c r="X157" i="18"/>
  <c r="Y157" i="18"/>
  <c r="Z157" i="18"/>
  <c r="AA157" i="18"/>
  <c r="N158" i="18"/>
  <c r="P158" i="18"/>
  <c r="Q158" i="18"/>
  <c r="R158" i="18"/>
  <c r="S158" i="18"/>
  <c r="T158" i="18"/>
  <c r="W158" i="18"/>
  <c r="X158" i="18"/>
  <c r="Y158" i="18"/>
  <c r="Z158" i="18"/>
  <c r="AA158" i="18"/>
  <c r="N159" i="18"/>
  <c r="P159" i="18"/>
  <c r="Q159" i="18"/>
  <c r="R159" i="18"/>
  <c r="S159" i="18"/>
  <c r="T159" i="18"/>
  <c r="W159" i="18"/>
  <c r="X159" i="18"/>
  <c r="Y159" i="18"/>
  <c r="Z159" i="18"/>
  <c r="AA159" i="18"/>
  <c r="N160" i="18"/>
  <c r="P160" i="18"/>
  <c r="Q160" i="18"/>
  <c r="R160" i="18"/>
  <c r="S160" i="18"/>
  <c r="T160" i="18"/>
  <c r="W160" i="18"/>
  <c r="X160" i="18"/>
  <c r="Y160" i="18"/>
  <c r="Z160" i="18"/>
  <c r="AA160" i="18"/>
  <c r="N161" i="18"/>
  <c r="P161" i="18"/>
  <c r="Q161" i="18"/>
  <c r="R161" i="18"/>
  <c r="S161" i="18"/>
  <c r="T161" i="18"/>
  <c r="W161" i="18"/>
  <c r="X161" i="18"/>
  <c r="Y161" i="18"/>
  <c r="Z161" i="18"/>
  <c r="AA161" i="18"/>
  <c r="N162" i="18"/>
  <c r="P162" i="18"/>
  <c r="Q162" i="18"/>
  <c r="R162" i="18"/>
  <c r="S162" i="18"/>
  <c r="T162" i="18"/>
  <c r="W162" i="18"/>
  <c r="X162" i="18"/>
  <c r="Y162" i="18"/>
  <c r="Z162" i="18"/>
  <c r="AA162" i="18"/>
  <c r="N163" i="18"/>
  <c r="P163" i="18"/>
  <c r="Q163" i="18"/>
  <c r="R163" i="18"/>
  <c r="S163" i="18"/>
  <c r="T163" i="18"/>
  <c r="W163" i="18"/>
  <c r="X163" i="18"/>
  <c r="Y163" i="18"/>
  <c r="Z163" i="18"/>
  <c r="AA163" i="18"/>
  <c r="N114" i="18"/>
  <c r="P114" i="18"/>
  <c r="Q114" i="18"/>
  <c r="R114" i="18"/>
  <c r="S114" i="18"/>
  <c r="T114" i="18"/>
  <c r="W114" i="18"/>
  <c r="X114" i="18"/>
  <c r="Y114" i="18"/>
  <c r="Z114" i="18"/>
  <c r="AA114" i="18"/>
  <c r="N115" i="18"/>
  <c r="P115" i="18"/>
  <c r="Q115" i="18"/>
  <c r="R115" i="18"/>
  <c r="S115" i="18"/>
  <c r="T115" i="18"/>
  <c r="W115" i="18"/>
  <c r="X115" i="18"/>
  <c r="Y115" i="18"/>
  <c r="Z115" i="18"/>
  <c r="AA115" i="18"/>
  <c r="N116" i="18"/>
  <c r="P116" i="18"/>
  <c r="Q116" i="18"/>
  <c r="R116" i="18"/>
  <c r="S116" i="18"/>
  <c r="T116" i="18"/>
  <c r="W116" i="18"/>
  <c r="X116" i="18"/>
  <c r="Y116" i="18"/>
  <c r="Z116" i="18"/>
  <c r="AA116" i="18"/>
  <c r="N117" i="18"/>
  <c r="P117" i="18"/>
  <c r="Q117" i="18"/>
  <c r="R117" i="18"/>
  <c r="S117" i="18"/>
  <c r="T117" i="18"/>
  <c r="W117" i="18"/>
  <c r="X117" i="18"/>
  <c r="Y117" i="18"/>
  <c r="Z117" i="18"/>
  <c r="AA117" i="18"/>
  <c r="N118" i="18"/>
  <c r="P118" i="18"/>
  <c r="Q118" i="18"/>
  <c r="R118" i="18"/>
  <c r="S118" i="18"/>
  <c r="T118" i="18"/>
  <c r="W118" i="18"/>
  <c r="X118" i="18"/>
  <c r="Y118" i="18"/>
  <c r="Z118" i="18"/>
  <c r="AA118" i="18"/>
  <c r="N119" i="18"/>
  <c r="P119" i="18"/>
  <c r="Q119" i="18"/>
  <c r="R119" i="18"/>
  <c r="S119" i="18"/>
  <c r="T119" i="18"/>
  <c r="W119" i="18"/>
  <c r="X119" i="18"/>
  <c r="Y119" i="18"/>
  <c r="Z119" i="18"/>
  <c r="AA119" i="18"/>
  <c r="N120" i="18"/>
  <c r="P120" i="18"/>
  <c r="Q120" i="18"/>
  <c r="R120" i="18"/>
  <c r="S120" i="18"/>
  <c r="T120" i="18"/>
  <c r="W120" i="18"/>
  <c r="X120" i="18"/>
  <c r="Y120" i="18"/>
  <c r="Z120" i="18"/>
  <c r="AA120" i="18"/>
  <c r="N121" i="18"/>
  <c r="P121" i="18"/>
  <c r="Q121" i="18"/>
  <c r="R121" i="18"/>
  <c r="S121" i="18"/>
  <c r="T121" i="18"/>
  <c r="W121" i="18"/>
  <c r="X121" i="18"/>
  <c r="Y121" i="18"/>
  <c r="Z121" i="18"/>
  <c r="AA121" i="18"/>
  <c r="N122" i="18"/>
  <c r="P122" i="18"/>
  <c r="Q122" i="18"/>
  <c r="R122" i="18"/>
  <c r="S122" i="18"/>
  <c r="T122" i="18"/>
  <c r="W122" i="18"/>
  <c r="X122" i="18"/>
  <c r="Y122" i="18"/>
  <c r="Z122" i="18"/>
  <c r="AA122" i="18"/>
  <c r="N123" i="18"/>
  <c r="P123" i="18"/>
  <c r="Q123" i="18"/>
  <c r="R123" i="18"/>
  <c r="S123" i="18"/>
  <c r="T123" i="18"/>
  <c r="W123" i="18"/>
  <c r="X123" i="18"/>
  <c r="Y123" i="18"/>
  <c r="Z123" i="18"/>
  <c r="AA123" i="18"/>
  <c r="N124" i="18"/>
  <c r="P124" i="18"/>
  <c r="Q124" i="18"/>
  <c r="R124" i="18"/>
  <c r="S124" i="18"/>
  <c r="T124" i="18"/>
  <c r="W124" i="18"/>
  <c r="X124" i="18"/>
  <c r="Y124" i="18"/>
  <c r="Z124" i="18"/>
  <c r="AA124" i="18"/>
  <c r="N125" i="18"/>
  <c r="P125" i="18"/>
  <c r="Q125" i="18"/>
  <c r="R125" i="18"/>
  <c r="S125" i="18"/>
  <c r="T125" i="18"/>
  <c r="W125" i="18"/>
  <c r="X125" i="18"/>
  <c r="Y125" i="18"/>
  <c r="Z125" i="18"/>
  <c r="AA125" i="18"/>
  <c r="N126" i="18"/>
  <c r="P126" i="18"/>
  <c r="Q126" i="18"/>
  <c r="R126" i="18"/>
  <c r="S126" i="18"/>
  <c r="T126" i="18"/>
  <c r="W126" i="18"/>
  <c r="X126" i="18"/>
  <c r="Y126" i="18"/>
  <c r="Z126" i="18"/>
  <c r="AA126" i="18"/>
  <c r="N127" i="18"/>
  <c r="P127" i="18"/>
  <c r="Q127" i="18"/>
  <c r="R127" i="18"/>
  <c r="S127" i="18"/>
  <c r="T127" i="18"/>
  <c r="W127" i="18"/>
  <c r="X127" i="18"/>
  <c r="Y127" i="18"/>
  <c r="Z127" i="18"/>
  <c r="AA127" i="18"/>
  <c r="N128" i="18"/>
  <c r="P128" i="18"/>
  <c r="Q128" i="18"/>
  <c r="R128" i="18"/>
  <c r="S128" i="18"/>
  <c r="T128" i="18"/>
  <c r="W128" i="18"/>
  <c r="X128" i="18"/>
  <c r="Y128" i="18"/>
  <c r="Z128" i="18"/>
  <c r="AA128" i="18"/>
  <c r="N129" i="18"/>
  <c r="P129" i="18"/>
  <c r="Q129" i="18"/>
  <c r="R129" i="18"/>
  <c r="S129" i="18"/>
  <c r="T129" i="18"/>
  <c r="W129" i="18"/>
  <c r="X129" i="18"/>
  <c r="Y129" i="18"/>
  <c r="Z129" i="18"/>
  <c r="AA129" i="18"/>
  <c r="N130" i="18"/>
  <c r="P130" i="18"/>
  <c r="Q130" i="18"/>
  <c r="R130" i="18"/>
  <c r="S130" i="18"/>
  <c r="T130" i="18"/>
  <c r="W130" i="18"/>
  <c r="X130" i="18"/>
  <c r="Y130" i="18"/>
  <c r="Z130" i="18"/>
  <c r="AA130" i="18"/>
  <c r="N131" i="18"/>
  <c r="P131" i="18"/>
  <c r="Q131" i="18"/>
  <c r="R131" i="18"/>
  <c r="S131" i="18"/>
  <c r="T131" i="18"/>
  <c r="W131" i="18"/>
  <c r="X131" i="18"/>
  <c r="Y131" i="18"/>
  <c r="Z131" i="18"/>
  <c r="AA131" i="18"/>
  <c r="N132" i="18"/>
  <c r="P132" i="18"/>
  <c r="Q132" i="18"/>
  <c r="R132" i="18"/>
  <c r="S132" i="18"/>
  <c r="T132" i="18"/>
  <c r="W132" i="18"/>
  <c r="X132" i="18"/>
  <c r="Y132" i="18"/>
  <c r="Z132" i="18"/>
  <c r="AA132" i="18"/>
  <c r="N133" i="18"/>
  <c r="P133" i="18"/>
  <c r="Q133" i="18"/>
  <c r="R133" i="18"/>
  <c r="S133" i="18"/>
  <c r="T133" i="18"/>
  <c r="W133" i="18"/>
  <c r="X133" i="18"/>
  <c r="Y133" i="18"/>
  <c r="Z133" i="18"/>
  <c r="AA133" i="18"/>
  <c r="N134" i="18"/>
  <c r="P134" i="18"/>
  <c r="Q134" i="18"/>
  <c r="R134" i="18"/>
  <c r="S134" i="18"/>
  <c r="T134" i="18"/>
  <c r="W134" i="18"/>
  <c r="X134" i="18"/>
  <c r="Y134" i="18"/>
  <c r="Z134" i="18"/>
  <c r="AA134" i="18"/>
  <c r="Q5" i="91" l="1"/>
  <c r="R5" i="91"/>
  <c r="S5" i="91"/>
  <c r="T5" i="91"/>
  <c r="U5" i="91"/>
  <c r="V5" i="91"/>
  <c r="W5" i="91"/>
  <c r="X5" i="91"/>
  <c r="Y5" i="91"/>
  <c r="Z5" i="91"/>
  <c r="Q6" i="91"/>
  <c r="R6" i="91"/>
  <c r="S6" i="91"/>
  <c r="T6" i="91"/>
  <c r="U6" i="91"/>
  <c r="V6" i="91"/>
  <c r="W6" i="91"/>
  <c r="X6" i="91"/>
  <c r="Y6" i="91"/>
  <c r="Z6" i="91"/>
  <c r="Q7" i="91"/>
  <c r="R7" i="91"/>
  <c r="S7" i="91"/>
  <c r="T7" i="91"/>
  <c r="U7" i="91"/>
  <c r="V7" i="91"/>
  <c r="W7" i="91"/>
  <c r="X7" i="91"/>
  <c r="Y7" i="91"/>
  <c r="Z7" i="91"/>
  <c r="Q8" i="91"/>
  <c r="R8" i="91"/>
  <c r="S8" i="91"/>
  <c r="T8" i="91"/>
  <c r="U8" i="91"/>
  <c r="V8" i="91"/>
  <c r="W8" i="91"/>
  <c r="X8" i="91"/>
  <c r="Y8" i="91"/>
  <c r="Z8" i="91"/>
  <c r="Q9" i="91"/>
  <c r="R9" i="91"/>
  <c r="S9" i="91"/>
  <c r="T9" i="91"/>
  <c r="U9" i="91"/>
  <c r="V9" i="91"/>
  <c r="W9" i="91"/>
  <c r="X9" i="91"/>
  <c r="Y9" i="91"/>
  <c r="Z9" i="91"/>
  <c r="Q10" i="91"/>
  <c r="R10" i="91"/>
  <c r="S10" i="91"/>
  <c r="T10" i="91"/>
  <c r="U10" i="91"/>
  <c r="V10" i="91"/>
  <c r="W10" i="91"/>
  <c r="X10" i="91"/>
  <c r="Y10" i="91"/>
  <c r="Z10" i="91"/>
  <c r="Q11" i="91"/>
  <c r="R11" i="91"/>
  <c r="S11" i="91"/>
  <c r="T11" i="91"/>
  <c r="U11" i="91"/>
  <c r="V11" i="91"/>
  <c r="W11" i="91"/>
  <c r="X11" i="91"/>
  <c r="Y11" i="91"/>
  <c r="Z11" i="91"/>
  <c r="Q12" i="91"/>
  <c r="R12" i="91"/>
  <c r="S12" i="91"/>
  <c r="T12" i="91"/>
  <c r="U12" i="91"/>
  <c r="V12" i="91"/>
  <c r="W12" i="91"/>
  <c r="X12" i="91"/>
  <c r="Y12" i="91"/>
  <c r="Z12" i="91"/>
  <c r="Q13" i="91"/>
  <c r="R13" i="91"/>
  <c r="S13" i="91"/>
  <c r="T13" i="91"/>
  <c r="U13" i="91"/>
  <c r="V13" i="91"/>
  <c r="W13" i="91"/>
  <c r="X13" i="91"/>
  <c r="Y13" i="91"/>
  <c r="Z13" i="91"/>
  <c r="Q14" i="91"/>
  <c r="R14" i="91"/>
  <c r="S14" i="91"/>
  <c r="T14" i="91"/>
  <c r="U14" i="91"/>
  <c r="V14" i="91"/>
  <c r="W14" i="91"/>
  <c r="X14" i="91"/>
  <c r="Y14" i="91"/>
  <c r="Z14" i="91"/>
  <c r="Q15" i="91"/>
  <c r="R15" i="91"/>
  <c r="S15" i="91"/>
  <c r="T15" i="91"/>
  <c r="U15" i="91"/>
  <c r="V15" i="91"/>
  <c r="W15" i="91"/>
  <c r="X15" i="91"/>
  <c r="Y15" i="91"/>
  <c r="Z15" i="91"/>
  <c r="Q16" i="91"/>
  <c r="R16" i="91"/>
  <c r="S16" i="91"/>
  <c r="T16" i="91"/>
  <c r="U16" i="91"/>
  <c r="V16" i="91"/>
  <c r="W16" i="91"/>
  <c r="X16" i="91"/>
  <c r="Y16" i="91"/>
  <c r="Z16" i="91"/>
  <c r="Q17" i="91"/>
  <c r="R17" i="91"/>
  <c r="S17" i="91"/>
  <c r="T17" i="91"/>
  <c r="U17" i="91"/>
  <c r="V17" i="91"/>
  <c r="W17" i="91"/>
  <c r="X17" i="91"/>
  <c r="Y17" i="91"/>
  <c r="Z17" i="91"/>
  <c r="Q18" i="91"/>
  <c r="R18" i="91"/>
  <c r="S18" i="91"/>
  <c r="T18" i="91"/>
  <c r="U18" i="91"/>
  <c r="V18" i="91"/>
  <c r="W18" i="91"/>
  <c r="X18" i="91"/>
  <c r="Y18" i="91"/>
  <c r="Z18" i="91"/>
  <c r="Q19" i="91"/>
  <c r="R19" i="91"/>
  <c r="S19" i="91"/>
  <c r="T19" i="91"/>
  <c r="U19" i="91"/>
  <c r="V19" i="91"/>
  <c r="W19" i="91"/>
  <c r="X19" i="91"/>
  <c r="Y19" i="91"/>
  <c r="Z19" i="91"/>
  <c r="Q20" i="91"/>
  <c r="R20" i="91"/>
  <c r="S20" i="91"/>
  <c r="T20" i="91"/>
  <c r="U20" i="91"/>
  <c r="V20" i="91"/>
  <c r="W20" i="91"/>
  <c r="X20" i="91"/>
  <c r="Y20" i="91"/>
  <c r="Z20" i="91"/>
  <c r="Q21" i="91"/>
  <c r="R21" i="91"/>
  <c r="S21" i="91"/>
  <c r="T21" i="91"/>
  <c r="U21" i="91"/>
  <c r="V21" i="91"/>
  <c r="W21" i="91"/>
  <c r="X21" i="91"/>
  <c r="Y21" i="91"/>
  <c r="Z21" i="91"/>
  <c r="Q22" i="91"/>
  <c r="R22" i="91"/>
  <c r="S22" i="91"/>
  <c r="T22" i="91"/>
  <c r="U22" i="91"/>
  <c r="V22" i="91"/>
  <c r="W22" i="91"/>
  <c r="X22" i="91"/>
  <c r="Y22" i="91"/>
  <c r="Z22" i="91"/>
  <c r="Q23" i="91"/>
  <c r="R23" i="91"/>
  <c r="S23" i="91"/>
  <c r="T23" i="91"/>
  <c r="U23" i="91"/>
  <c r="V23" i="91"/>
  <c r="W23" i="91"/>
  <c r="X23" i="91"/>
  <c r="Y23" i="91"/>
  <c r="Z23" i="91"/>
  <c r="Q24" i="91"/>
  <c r="R24" i="91"/>
  <c r="S24" i="91"/>
  <c r="T24" i="91"/>
  <c r="U24" i="91"/>
  <c r="V24" i="91"/>
  <c r="W24" i="91"/>
  <c r="X24" i="91"/>
  <c r="Y24" i="91"/>
  <c r="Z24" i="91"/>
  <c r="Q25" i="91"/>
  <c r="R25" i="91"/>
  <c r="S25" i="91"/>
  <c r="T25" i="91"/>
  <c r="U25" i="91"/>
  <c r="V25" i="91"/>
  <c r="W25" i="91"/>
  <c r="X25" i="91"/>
  <c r="Y25" i="91"/>
  <c r="Z25" i="91"/>
  <c r="Q26" i="91"/>
  <c r="S26" i="91"/>
  <c r="T26" i="91"/>
  <c r="U26" i="91"/>
  <c r="V26" i="91"/>
  <c r="W26" i="91"/>
  <c r="X26" i="91"/>
  <c r="Y26" i="91"/>
  <c r="Z26" i="91"/>
  <c r="Q27" i="91"/>
  <c r="R27" i="91"/>
  <c r="S27" i="91"/>
  <c r="T27" i="91"/>
  <c r="U27" i="91"/>
  <c r="V27" i="91"/>
  <c r="W27" i="91"/>
  <c r="X27" i="91"/>
  <c r="Y27" i="91"/>
  <c r="Z27" i="91"/>
  <c r="Q28" i="91"/>
  <c r="R28" i="91"/>
  <c r="S28" i="91"/>
  <c r="T28" i="91"/>
  <c r="U28" i="91"/>
  <c r="V28" i="91"/>
  <c r="W28" i="91"/>
  <c r="X28" i="91"/>
  <c r="Y28" i="91"/>
  <c r="Z28" i="91"/>
  <c r="Q29" i="91"/>
  <c r="R29" i="91"/>
  <c r="S29" i="91"/>
  <c r="T29" i="91"/>
  <c r="U29" i="91"/>
  <c r="V29" i="91"/>
  <c r="W29" i="91"/>
  <c r="X29" i="91"/>
  <c r="Y29" i="91"/>
  <c r="Z29" i="91"/>
  <c r="Q30" i="91"/>
  <c r="R30" i="91"/>
  <c r="S30" i="91"/>
  <c r="T30" i="91"/>
  <c r="U30" i="91"/>
  <c r="V30" i="91"/>
  <c r="W30" i="91"/>
  <c r="X30" i="91"/>
  <c r="Y30" i="91"/>
  <c r="Z30" i="91"/>
  <c r="Q31" i="91"/>
  <c r="R31" i="91"/>
  <c r="S31" i="91"/>
  <c r="T31" i="91"/>
  <c r="U31" i="91"/>
  <c r="V31" i="91"/>
  <c r="W31" i="91"/>
  <c r="X31" i="91"/>
  <c r="Y31" i="91"/>
  <c r="Z31" i="91"/>
  <c r="Q32" i="91"/>
  <c r="R32" i="91"/>
  <c r="S32" i="91"/>
  <c r="T32" i="91"/>
  <c r="U32" i="91"/>
  <c r="V32" i="91"/>
  <c r="W32" i="91"/>
  <c r="X32" i="91"/>
  <c r="Y32" i="91"/>
  <c r="Z32" i="91"/>
  <c r="Q33" i="91"/>
  <c r="R33" i="91"/>
  <c r="S33" i="91"/>
  <c r="T33" i="91"/>
  <c r="U33" i="91"/>
  <c r="V33" i="91"/>
  <c r="W33" i="91"/>
  <c r="X33" i="91"/>
  <c r="Y33" i="91"/>
  <c r="Z33" i="91"/>
  <c r="Q34" i="91"/>
  <c r="R34" i="91"/>
  <c r="S34" i="91"/>
  <c r="T34" i="91"/>
  <c r="U34" i="91"/>
  <c r="V34" i="91"/>
  <c r="W34" i="91"/>
  <c r="X34" i="91"/>
  <c r="Y34" i="91"/>
  <c r="Z34" i="91"/>
  <c r="Q35" i="91"/>
  <c r="R35" i="91"/>
  <c r="S35" i="91"/>
  <c r="T35" i="91"/>
  <c r="U35" i="91"/>
  <c r="V35" i="91"/>
  <c r="W35" i="91"/>
  <c r="X35" i="91"/>
  <c r="Y35" i="91"/>
  <c r="Z35" i="91"/>
  <c r="Q36" i="91"/>
  <c r="R36" i="91"/>
  <c r="S36" i="91"/>
  <c r="T36" i="91"/>
  <c r="U36" i="91"/>
  <c r="V36" i="91"/>
  <c r="W36" i="91"/>
  <c r="X36" i="91"/>
  <c r="Y36" i="91"/>
  <c r="Z36" i="91"/>
  <c r="Q37" i="91"/>
  <c r="R37" i="91"/>
  <c r="S37" i="91"/>
  <c r="T37" i="91"/>
  <c r="U37" i="91"/>
  <c r="V37" i="91"/>
  <c r="W37" i="91"/>
  <c r="X37" i="91"/>
  <c r="Y37" i="91"/>
  <c r="Z37" i="91"/>
  <c r="Q38" i="91"/>
  <c r="R38" i="91"/>
  <c r="S38" i="91"/>
  <c r="T38" i="91"/>
  <c r="U38" i="91"/>
  <c r="V38" i="91"/>
  <c r="W38" i="91"/>
  <c r="X38" i="91"/>
  <c r="Y38" i="91"/>
  <c r="Z38" i="91"/>
  <c r="Q39" i="91"/>
  <c r="R39" i="91"/>
  <c r="S39" i="91"/>
  <c r="T39" i="91"/>
  <c r="U39" i="91"/>
  <c r="V39" i="91"/>
  <c r="W39" i="91"/>
  <c r="X39" i="91"/>
  <c r="Y39" i="91"/>
  <c r="Z39" i="91"/>
  <c r="Q40" i="91"/>
  <c r="R40" i="91"/>
  <c r="S40" i="91"/>
  <c r="T40" i="91"/>
  <c r="U40" i="91"/>
  <c r="V40" i="91"/>
  <c r="W40" i="91"/>
  <c r="X40" i="91"/>
  <c r="Y40" i="91"/>
  <c r="Z40" i="91"/>
  <c r="Q41" i="91"/>
  <c r="R41" i="91"/>
  <c r="S41" i="91"/>
  <c r="T41" i="91"/>
  <c r="U41" i="91"/>
  <c r="V41" i="91"/>
  <c r="W41" i="91"/>
  <c r="X41" i="91"/>
  <c r="Y41" i="91"/>
  <c r="Z41" i="91"/>
  <c r="Q42" i="91"/>
  <c r="R42" i="91"/>
  <c r="S42" i="91"/>
  <c r="T42" i="91"/>
  <c r="U42" i="91"/>
  <c r="V42" i="91"/>
  <c r="W42" i="91"/>
  <c r="X42" i="91"/>
  <c r="Y42" i="91"/>
  <c r="Z42" i="91"/>
  <c r="Q43" i="91"/>
  <c r="R43" i="91"/>
  <c r="S43" i="91"/>
  <c r="T43" i="91"/>
  <c r="U43" i="91"/>
  <c r="V43" i="91"/>
  <c r="W43" i="91"/>
  <c r="X43" i="91"/>
  <c r="Y43" i="91"/>
  <c r="Z43" i="91"/>
  <c r="Q44" i="91"/>
  <c r="R44" i="91"/>
  <c r="S44" i="91"/>
  <c r="T44" i="91"/>
  <c r="U44" i="91"/>
  <c r="V44" i="91"/>
  <c r="W44" i="91"/>
  <c r="X44" i="91"/>
  <c r="Y44" i="91"/>
  <c r="Z44" i="91"/>
  <c r="Q45" i="91"/>
  <c r="R45" i="91"/>
  <c r="S45" i="91"/>
  <c r="T45" i="91"/>
  <c r="U45" i="91"/>
  <c r="V45" i="91"/>
  <c r="W45" i="91"/>
  <c r="X45" i="91"/>
  <c r="Y45" i="91"/>
  <c r="Z45" i="91"/>
  <c r="Q46" i="91"/>
  <c r="R46" i="91"/>
  <c r="S46" i="91"/>
  <c r="T46" i="91"/>
  <c r="U46" i="91"/>
  <c r="V46" i="91"/>
  <c r="W46" i="91"/>
  <c r="X46" i="91"/>
  <c r="Y46" i="91"/>
  <c r="Z46" i="91"/>
  <c r="Q47" i="91"/>
  <c r="R47" i="91"/>
  <c r="S47" i="91"/>
  <c r="T47" i="91"/>
  <c r="U47" i="91"/>
  <c r="V47" i="91"/>
  <c r="W47" i="91"/>
  <c r="X47" i="91"/>
  <c r="Y47" i="91"/>
  <c r="Z47" i="91"/>
  <c r="Q48" i="91"/>
  <c r="R48" i="91"/>
  <c r="S48" i="91"/>
  <c r="T48" i="91"/>
  <c r="U48" i="91"/>
  <c r="V48" i="91"/>
  <c r="W48" i="91"/>
  <c r="X48" i="91"/>
  <c r="Y48" i="91"/>
  <c r="Z48" i="91"/>
  <c r="Q49" i="91"/>
  <c r="R49" i="91"/>
  <c r="S49" i="91"/>
  <c r="T49" i="91"/>
  <c r="U49" i="91"/>
  <c r="V49" i="91"/>
  <c r="W49" i="91"/>
  <c r="X49" i="91"/>
  <c r="Y49" i="91"/>
  <c r="Z49" i="91"/>
  <c r="Q50" i="91"/>
  <c r="R50" i="91"/>
  <c r="S50" i="91"/>
  <c r="T50" i="91"/>
  <c r="U50" i="91"/>
  <c r="V50" i="91"/>
  <c r="W50" i="91"/>
  <c r="X50" i="91"/>
  <c r="Y50" i="91"/>
  <c r="Z50" i="91"/>
  <c r="Q51" i="91"/>
  <c r="R51" i="91"/>
  <c r="S51" i="91"/>
  <c r="T51" i="91"/>
  <c r="U51" i="91"/>
  <c r="V51" i="91"/>
  <c r="W51" i="91"/>
  <c r="X51" i="91"/>
  <c r="Y51" i="91"/>
  <c r="Z51" i="91"/>
  <c r="Q52" i="91"/>
  <c r="R52" i="91"/>
  <c r="S52" i="91"/>
  <c r="T52" i="91"/>
  <c r="U52" i="91"/>
  <c r="V52" i="91"/>
  <c r="W52" i="91"/>
  <c r="X52" i="91"/>
  <c r="Y52" i="91"/>
  <c r="Z52" i="91"/>
  <c r="Q53" i="91"/>
  <c r="R53" i="91"/>
  <c r="S53" i="91"/>
  <c r="T53" i="91"/>
  <c r="U53" i="91"/>
  <c r="V53" i="91"/>
  <c r="W53" i="91"/>
  <c r="X53" i="91"/>
  <c r="Y53" i="91"/>
  <c r="Z53" i="91"/>
  <c r="Q54" i="91"/>
  <c r="R54" i="91"/>
  <c r="S54" i="91"/>
  <c r="T54" i="91"/>
  <c r="U54" i="91"/>
  <c r="V54" i="91"/>
  <c r="W54" i="91"/>
  <c r="X54" i="91"/>
  <c r="Y54" i="91"/>
  <c r="Z54" i="91"/>
  <c r="Q55" i="91"/>
  <c r="R55" i="91"/>
  <c r="S55" i="91"/>
  <c r="T55" i="91"/>
  <c r="U55" i="91"/>
  <c r="V55" i="91"/>
  <c r="W55" i="91"/>
  <c r="X55" i="91"/>
  <c r="Y55" i="91"/>
  <c r="Z55" i="91"/>
  <c r="Q56" i="91"/>
  <c r="R56" i="91"/>
  <c r="S56" i="91"/>
  <c r="T56" i="91"/>
  <c r="U56" i="91"/>
  <c r="V56" i="91"/>
  <c r="W56" i="91"/>
  <c r="X56" i="91"/>
  <c r="Y56" i="91"/>
  <c r="Z56" i="91"/>
  <c r="Q57" i="91"/>
  <c r="R57" i="91"/>
  <c r="S57" i="91"/>
  <c r="T57" i="91"/>
  <c r="U57" i="91"/>
  <c r="V57" i="91"/>
  <c r="W57" i="91"/>
  <c r="X57" i="91"/>
  <c r="Y57" i="91"/>
  <c r="Z57" i="91"/>
  <c r="Q58" i="91"/>
  <c r="R58" i="91"/>
  <c r="S58" i="91"/>
  <c r="T58" i="91"/>
  <c r="U58" i="91"/>
  <c r="V58" i="91"/>
  <c r="W58" i="91"/>
  <c r="X58" i="91"/>
  <c r="Y58" i="91"/>
  <c r="Z58" i="91"/>
  <c r="Q59" i="91"/>
  <c r="R59" i="91"/>
  <c r="S59" i="91"/>
  <c r="T59" i="91"/>
  <c r="U59" i="91"/>
  <c r="V59" i="91"/>
  <c r="W59" i="91"/>
  <c r="X59" i="91"/>
  <c r="Y59" i="91"/>
  <c r="Z59" i="91"/>
  <c r="Q60" i="91"/>
  <c r="R60" i="91"/>
  <c r="S60" i="91"/>
  <c r="T60" i="91"/>
  <c r="U60" i="91"/>
  <c r="V60" i="91"/>
  <c r="W60" i="91"/>
  <c r="X60" i="91"/>
  <c r="Y60" i="91"/>
  <c r="Z60" i="91"/>
  <c r="Q61" i="91"/>
  <c r="R61" i="91"/>
  <c r="S61" i="91"/>
  <c r="T61" i="91"/>
  <c r="U61" i="91"/>
  <c r="V61" i="91"/>
  <c r="W61" i="91"/>
  <c r="X61" i="91"/>
  <c r="Y61" i="91"/>
  <c r="Z61" i="91"/>
  <c r="Q62" i="91"/>
  <c r="R62" i="91"/>
  <c r="S62" i="91"/>
  <c r="T62" i="91"/>
  <c r="U62" i="91"/>
  <c r="V62" i="91"/>
  <c r="W62" i="91"/>
  <c r="X62" i="91"/>
  <c r="Y62" i="91"/>
  <c r="Z62" i="91"/>
  <c r="Q63" i="91"/>
  <c r="R63" i="91"/>
  <c r="S63" i="91"/>
  <c r="T63" i="91"/>
  <c r="U63" i="91"/>
  <c r="V63" i="91"/>
  <c r="W63" i="91"/>
  <c r="X63" i="91"/>
  <c r="Y63" i="91"/>
  <c r="Z63" i="91"/>
  <c r="Q64" i="91"/>
  <c r="R64" i="91"/>
  <c r="S64" i="91"/>
  <c r="T64" i="91"/>
  <c r="U64" i="91"/>
  <c r="V64" i="91"/>
  <c r="W64" i="91"/>
  <c r="X64" i="91"/>
  <c r="Y64" i="91"/>
  <c r="Z64" i="91"/>
  <c r="Q65" i="91"/>
  <c r="R65" i="91"/>
  <c r="S65" i="91"/>
  <c r="T65" i="91"/>
  <c r="U65" i="91"/>
  <c r="V65" i="91"/>
  <c r="W65" i="91"/>
  <c r="X65" i="91"/>
  <c r="Y65" i="91"/>
  <c r="Z65" i="91"/>
  <c r="Q66" i="91"/>
  <c r="R66" i="91"/>
  <c r="S66" i="91"/>
  <c r="T66" i="91"/>
  <c r="U66" i="91"/>
  <c r="V66" i="91"/>
  <c r="W66" i="91"/>
  <c r="X66" i="91"/>
  <c r="Y66" i="91"/>
  <c r="Z66" i="91"/>
  <c r="Q67" i="91"/>
  <c r="R67" i="91"/>
  <c r="S67" i="91"/>
  <c r="T67" i="91"/>
  <c r="U67" i="91"/>
  <c r="V67" i="91"/>
  <c r="W67" i="91"/>
  <c r="X67" i="91"/>
  <c r="Y67" i="91"/>
  <c r="Z67" i="91"/>
  <c r="Q68" i="91"/>
  <c r="R68" i="91"/>
  <c r="S68" i="91"/>
  <c r="T68" i="91"/>
  <c r="U68" i="91"/>
  <c r="V68" i="91"/>
  <c r="W68" i="91"/>
  <c r="X68" i="91"/>
  <c r="Y68" i="91"/>
  <c r="Z68" i="91"/>
  <c r="Q69" i="91"/>
  <c r="R69" i="91"/>
  <c r="S69" i="91"/>
  <c r="T69" i="91"/>
  <c r="U69" i="91"/>
  <c r="V69" i="91"/>
  <c r="W69" i="91"/>
  <c r="X69" i="91"/>
  <c r="Y69" i="91"/>
  <c r="Z69" i="91"/>
  <c r="Q70" i="91"/>
  <c r="R70" i="91"/>
  <c r="S70" i="91"/>
  <c r="T70" i="91"/>
  <c r="U70" i="91"/>
  <c r="V70" i="91"/>
  <c r="W70" i="91"/>
  <c r="X70" i="91"/>
  <c r="Y70" i="91"/>
  <c r="Z70" i="91"/>
  <c r="Q71" i="91"/>
  <c r="R71" i="91"/>
  <c r="S71" i="91"/>
  <c r="T71" i="91"/>
  <c r="U71" i="91"/>
  <c r="V71" i="91"/>
  <c r="W71" i="91"/>
  <c r="X71" i="91"/>
  <c r="Y71" i="91"/>
  <c r="Z71" i="91"/>
  <c r="Q72" i="91"/>
  <c r="R72" i="91"/>
  <c r="S72" i="91"/>
  <c r="T72" i="91"/>
  <c r="U72" i="91"/>
  <c r="V72" i="91"/>
  <c r="W72" i="91"/>
  <c r="X72" i="91"/>
  <c r="Y72" i="91"/>
  <c r="Z72" i="91"/>
  <c r="Q73" i="91"/>
  <c r="R73" i="91"/>
  <c r="S73" i="91"/>
  <c r="T73" i="91"/>
  <c r="U73" i="91"/>
  <c r="V73" i="91"/>
  <c r="W73" i="91"/>
  <c r="X73" i="91"/>
  <c r="Y73" i="91"/>
  <c r="Z73" i="91"/>
  <c r="Q74" i="91"/>
  <c r="R74" i="91"/>
  <c r="S74" i="91"/>
  <c r="T74" i="91"/>
  <c r="U74" i="91"/>
  <c r="V74" i="91"/>
  <c r="W74" i="91"/>
  <c r="X74" i="91"/>
  <c r="Y74" i="91"/>
  <c r="Z74" i="91"/>
  <c r="Q75" i="91"/>
  <c r="R75" i="91"/>
  <c r="S75" i="91"/>
  <c r="T75" i="91"/>
  <c r="U75" i="91"/>
  <c r="V75" i="91"/>
  <c r="W75" i="91"/>
  <c r="X75" i="91"/>
  <c r="Y75" i="91"/>
  <c r="Z75" i="91"/>
  <c r="Q76" i="91"/>
  <c r="R76" i="91"/>
  <c r="S76" i="91"/>
  <c r="T76" i="91"/>
  <c r="U76" i="91"/>
  <c r="V76" i="91"/>
  <c r="W76" i="91"/>
  <c r="X76" i="91"/>
  <c r="Y76" i="91"/>
  <c r="Z76" i="91"/>
  <c r="Q77" i="91"/>
  <c r="R77" i="91"/>
  <c r="S77" i="91"/>
  <c r="T77" i="91"/>
  <c r="U77" i="91"/>
  <c r="V77" i="91"/>
  <c r="W77" i="91"/>
  <c r="X77" i="91"/>
  <c r="Y77" i="91"/>
  <c r="Z77" i="91"/>
  <c r="Q78" i="91"/>
  <c r="R78" i="91"/>
  <c r="S78" i="91"/>
  <c r="T78" i="91"/>
  <c r="U78" i="91"/>
  <c r="V78" i="91"/>
  <c r="W78" i="91"/>
  <c r="X78" i="91"/>
  <c r="Y78" i="91"/>
  <c r="Z78" i="91"/>
  <c r="Q79" i="91"/>
  <c r="R79" i="91"/>
  <c r="S79" i="91"/>
  <c r="T79" i="91"/>
  <c r="U79" i="91"/>
  <c r="V79" i="91"/>
  <c r="W79" i="91"/>
  <c r="X79" i="91"/>
  <c r="Y79" i="91"/>
  <c r="Z79" i="91"/>
  <c r="Q80" i="91"/>
  <c r="R80" i="91"/>
  <c r="S80" i="91"/>
  <c r="T80" i="91"/>
  <c r="U80" i="91"/>
  <c r="V80" i="91"/>
  <c r="W80" i="91"/>
  <c r="X80" i="91"/>
  <c r="Y80" i="91"/>
  <c r="Z80" i="91"/>
  <c r="Q81" i="91"/>
  <c r="R81" i="91"/>
  <c r="S81" i="91"/>
  <c r="T81" i="91"/>
  <c r="U81" i="91"/>
  <c r="V81" i="91"/>
  <c r="W81" i="91"/>
  <c r="X81" i="91"/>
  <c r="Y81" i="91"/>
  <c r="Z81" i="91"/>
  <c r="Q82" i="91"/>
  <c r="R82" i="91"/>
  <c r="S82" i="91"/>
  <c r="T82" i="91"/>
  <c r="U82" i="91"/>
  <c r="V82" i="91"/>
  <c r="W82" i="91"/>
  <c r="X82" i="91"/>
  <c r="Y82" i="91"/>
  <c r="Z82" i="91"/>
  <c r="Q83" i="91"/>
  <c r="R83" i="91"/>
  <c r="S83" i="91"/>
  <c r="T83" i="91"/>
  <c r="U83" i="91"/>
  <c r="V83" i="91"/>
  <c r="W83" i="91"/>
  <c r="X83" i="91"/>
  <c r="Y83" i="91"/>
  <c r="Z83" i="91"/>
  <c r="Q84" i="91"/>
  <c r="R84" i="91"/>
  <c r="S84" i="91"/>
  <c r="T84" i="91"/>
  <c r="U84" i="91"/>
  <c r="V84" i="91"/>
  <c r="W84" i="91"/>
  <c r="X84" i="91"/>
  <c r="Y84" i="91"/>
  <c r="Z84" i="91"/>
  <c r="Q85" i="91"/>
  <c r="R85" i="91"/>
  <c r="S85" i="91"/>
  <c r="T85" i="91"/>
  <c r="U85" i="91"/>
  <c r="V85" i="91"/>
  <c r="W85" i="91"/>
  <c r="X85" i="91"/>
  <c r="Y85" i="91"/>
  <c r="Z85" i="91"/>
  <c r="Q86" i="91"/>
  <c r="R86" i="91"/>
  <c r="S86" i="91"/>
  <c r="T86" i="91"/>
  <c r="U86" i="91"/>
  <c r="V86" i="91"/>
  <c r="W86" i="91"/>
  <c r="X86" i="91"/>
  <c r="Y86" i="91"/>
  <c r="Z86" i="91"/>
  <c r="Q87" i="91"/>
  <c r="R87" i="91"/>
  <c r="S87" i="91"/>
  <c r="T87" i="91"/>
  <c r="U87" i="91"/>
  <c r="V87" i="91"/>
  <c r="W87" i="91"/>
  <c r="X87" i="91"/>
  <c r="Y87" i="91"/>
  <c r="Z87" i="91"/>
  <c r="Q88" i="91"/>
  <c r="R88" i="91"/>
  <c r="S88" i="91"/>
  <c r="T88" i="91"/>
  <c r="U88" i="91"/>
  <c r="V88" i="91"/>
  <c r="W88" i="91"/>
  <c r="X88" i="91"/>
  <c r="Y88" i="91"/>
  <c r="Z88" i="91"/>
  <c r="Q89" i="91"/>
  <c r="R89" i="91"/>
  <c r="S89" i="91"/>
  <c r="T89" i="91"/>
  <c r="U89" i="91"/>
  <c r="V89" i="91"/>
  <c r="W89" i="91"/>
  <c r="X89" i="91"/>
  <c r="Y89" i="91"/>
  <c r="Z89" i="91"/>
  <c r="Q90" i="91"/>
  <c r="R90" i="91"/>
  <c r="S90" i="91"/>
  <c r="T90" i="91"/>
  <c r="U90" i="91"/>
  <c r="V90" i="91"/>
  <c r="W90" i="91"/>
  <c r="X90" i="91"/>
  <c r="Y90" i="91"/>
  <c r="Z90" i="91"/>
  <c r="Q91" i="91"/>
  <c r="R91" i="91"/>
  <c r="S91" i="91"/>
  <c r="T91" i="91"/>
  <c r="U91" i="91"/>
  <c r="V91" i="91"/>
  <c r="W91" i="91"/>
  <c r="X91" i="91"/>
  <c r="Y91" i="91"/>
  <c r="Z91" i="91"/>
  <c r="Q92" i="91"/>
  <c r="R92" i="91"/>
  <c r="S92" i="91"/>
  <c r="T92" i="91"/>
  <c r="U92" i="91"/>
  <c r="V92" i="91"/>
  <c r="W92" i="91"/>
  <c r="X92" i="91"/>
  <c r="Y92" i="91"/>
  <c r="Z92" i="91"/>
  <c r="Q93" i="91"/>
  <c r="R93" i="91"/>
  <c r="S93" i="91"/>
  <c r="T93" i="91"/>
  <c r="U93" i="91"/>
  <c r="V93" i="91"/>
  <c r="W93" i="91"/>
  <c r="X93" i="91"/>
  <c r="Y93" i="91"/>
  <c r="Z93" i="91"/>
  <c r="Q94" i="91"/>
  <c r="R94" i="91"/>
  <c r="S94" i="91"/>
  <c r="T94" i="91"/>
  <c r="U94" i="91"/>
  <c r="V94" i="91"/>
  <c r="W94" i="91"/>
  <c r="X94" i="91"/>
  <c r="Y94" i="91"/>
  <c r="Z94" i="91"/>
  <c r="Q95" i="91"/>
  <c r="R95" i="91"/>
  <c r="S95" i="91"/>
  <c r="T95" i="91"/>
  <c r="U95" i="91"/>
  <c r="V95" i="91"/>
  <c r="W95" i="91"/>
  <c r="X95" i="91"/>
  <c r="Y95" i="91"/>
  <c r="Z95" i="91"/>
  <c r="Q96" i="91"/>
  <c r="R96" i="91"/>
  <c r="S96" i="91"/>
  <c r="T96" i="91"/>
  <c r="U96" i="91"/>
  <c r="V96" i="91"/>
  <c r="W96" i="91"/>
  <c r="X96" i="91"/>
  <c r="Y96" i="91"/>
  <c r="Z96" i="91"/>
  <c r="Q97" i="91"/>
  <c r="R97" i="91"/>
  <c r="S97" i="91"/>
  <c r="T97" i="91"/>
  <c r="U97" i="91"/>
  <c r="V97" i="91"/>
  <c r="W97" i="91"/>
  <c r="X97" i="91"/>
  <c r="Y97" i="91"/>
  <c r="Z97" i="91"/>
  <c r="Q98" i="91"/>
  <c r="R98" i="91"/>
  <c r="S98" i="91"/>
  <c r="T98" i="91"/>
  <c r="U98" i="91"/>
  <c r="V98" i="91"/>
  <c r="W98" i="91"/>
  <c r="X98" i="91"/>
  <c r="Y98" i="91"/>
  <c r="Z98" i="91"/>
  <c r="Q99" i="91"/>
  <c r="R99" i="91"/>
  <c r="S99" i="91"/>
  <c r="T99" i="91"/>
  <c r="U99" i="91"/>
  <c r="V99" i="91"/>
  <c r="W99" i="91"/>
  <c r="X99" i="91"/>
  <c r="Y99" i="91"/>
  <c r="Z99" i="91"/>
  <c r="Q100" i="91"/>
  <c r="R100" i="91"/>
  <c r="S100" i="91"/>
  <c r="T100" i="91"/>
  <c r="U100" i="91"/>
  <c r="V100" i="91"/>
  <c r="W100" i="91"/>
  <c r="X100" i="91"/>
  <c r="Y100" i="91"/>
  <c r="Z100" i="91"/>
  <c r="Q101" i="91"/>
  <c r="R101" i="91"/>
  <c r="S101" i="91"/>
  <c r="T101" i="91"/>
  <c r="U101" i="91"/>
  <c r="V101" i="91"/>
  <c r="W101" i="91"/>
  <c r="X101" i="91"/>
  <c r="Y101" i="91"/>
  <c r="Z101" i="91"/>
  <c r="Q102" i="91"/>
  <c r="R102" i="91"/>
  <c r="S102" i="91"/>
  <c r="T102" i="91"/>
  <c r="U102" i="91"/>
  <c r="V102" i="91"/>
  <c r="W102" i="91"/>
  <c r="X102" i="91"/>
  <c r="Y102" i="91"/>
  <c r="Z102" i="91"/>
  <c r="Q103" i="91"/>
  <c r="R103" i="91"/>
  <c r="S103" i="91"/>
  <c r="T103" i="91"/>
  <c r="U103" i="91"/>
  <c r="V103" i="91"/>
  <c r="W103" i="91"/>
  <c r="X103" i="91"/>
  <c r="Y103" i="91"/>
  <c r="Z103" i="91"/>
  <c r="Q104" i="91"/>
  <c r="R104" i="91"/>
  <c r="S104" i="91"/>
  <c r="T104" i="91"/>
  <c r="U104" i="91"/>
  <c r="V104" i="91"/>
  <c r="W104" i="91"/>
  <c r="X104" i="91"/>
  <c r="Y104" i="91"/>
  <c r="Z104" i="91"/>
  <c r="Q105" i="91"/>
  <c r="R105" i="91"/>
  <c r="S105" i="91"/>
  <c r="T105" i="91"/>
  <c r="U105" i="91"/>
  <c r="V105" i="91"/>
  <c r="W105" i="91"/>
  <c r="X105" i="91"/>
  <c r="Y105" i="91"/>
  <c r="Z105" i="91"/>
  <c r="Q106" i="91"/>
  <c r="R106" i="91"/>
  <c r="S106" i="91"/>
  <c r="T106" i="91"/>
  <c r="U106" i="91"/>
  <c r="V106" i="91"/>
  <c r="W106" i="91"/>
  <c r="X106" i="91"/>
  <c r="Y106" i="91"/>
  <c r="Z106" i="91"/>
  <c r="Q107" i="91"/>
  <c r="R107" i="91"/>
  <c r="S107" i="91"/>
  <c r="T107" i="91"/>
  <c r="U107" i="91"/>
  <c r="V107" i="91"/>
  <c r="W107" i="91"/>
  <c r="X107" i="91"/>
  <c r="Y107" i="91"/>
  <c r="Z107" i="91"/>
  <c r="Q108" i="91"/>
  <c r="R108" i="91"/>
  <c r="S108" i="91"/>
  <c r="T108" i="91"/>
  <c r="U108" i="91"/>
  <c r="V108" i="91"/>
  <c r="W108" i="91"/>
  <c r="X108" i="91"/>
  <c r="Y108" i="91"/>
  <c r="Z108" i="91"/>
  <c r="Q109" i="91"/>
  <c r="R109" i="91"/>
  <c r="S109" i="91"/>
  <c r="T109" i="91"/>
  <c r="U109" i="91"/>
  <c r="V109" i="91"/>
  <c r="W109" i="91"/>
  <c r="X109" i="91"/>
  <c r="Y109" i="91"/>
  <c r="Z109" i="91"/>
  <c r="Q110" i="91"/>
  <c r="R110" i="91"/>
  <c r="S110" i="91"/>
  <c r="T110" i="91"/>
  <c r="U110" i="91"/>
  <c r="V110" i="91"/>
  <c r="W110" i="91"/>
  <c r="X110" i="91"/>
  <c r="Y110" i="91"/>
  <c r="Z110" i="91"/>
  <c r="Q111" i="91"/>
  <c r="R111" i="91"/>
  <c r="S111" i="91"/>
  <c r="T111" i="91"/>
  <c r="U111" i="91"/>
  <c r="V111" i="91"/>
  <c r="W111" i="91"/>
  <c r="X111" i="91"/>
  <c r="Y111" i="91"/>
  <c r="Z111" i="91"/>
  <c r="Q112" i="91"/>
  <c r="R112" i="91"/>
  <c r="S112" i="91"/>
  <c r="T112" i="91"/>
  <c r="U112" i="91"/>
  <c r="V112" i="91"/>
  <c r="W112" i="91"/>
  <c r="X112" i="91"/>
  <c r="Y112" i="91"/>
  <c r="Z112" i="91"/>
  <c r="Q113" i="91"/>
  <c r="R113" i="91"/>
  <c r="S113" i="91"/>
  <c r="T113" i="91"/>
  <c r="U113" i="91"/>
  <c r="V113" i="91"/>
  <c r="W113" i="91"/>
  <c r="X113" i="91"/>
  <c r="Y113" i="91"/>
  <c r="Z113" i="91"/>
  <c r="Q114" i="91"/>
  <c r="R114" i="91"/>
  <c r="S114" i="91"/>
  <c r="T114" i="91"/>
  <c r="U114" i="91"/>
  <c r="V114" i="91"/>
  <c r="W114" i="91"/>
  <c r="X114" i="91"/>
  <c r="Y114" i="91"/>
  <c r="Z114" i="91"/>
  <c r="Q115" i="91"/>
  <c r="R115" i="91"/>
  <c r="S115" i="91"/>
  <c r="T115" i="91"/>
  <c r="U115" i="91"/>
  <c r="V115" i="91"/>
  <c r="W115" i="91"/>
  <c r="X115" i="91"/>
  <c r="Y115" i="91"/>
  <c r="Z115" i="91"/>
  <c r="Q116" i="91"/>
  <c r="R116" i="91"/>
  <c r="S116" i="91"/>
  <c r="T116" i="91"/>
  <c r="U116" i="91"/>
  <c r="V116" i="91"/>
  <c r="W116" i="91"/>
  <c r="X116" i="91"/>
  <c r="Y116" i="91"/>
  <c r="Z116" i="91"/>
  <c r="Q117" i="91"/>
  <c r="R117" i="91"/>
  <c r="S117" i="91"/>
  <c r="T117" i="91"/>
  <c r="U117" i="91"/>
  <c r="V117" i="91"/>
  <c r="W117" i="91"/>
  <c r="X117" i="91"/>
  <c r="Y117" i="91"/>
  <c r="Z117" i="91"/>
  <c r="Q118" i="91"/>
  <c r="R118" i="91"/>
  <c r="S118" i="91"/>
  <c r="T118" i="91"/>
  <c r="U118" i="91"/>
  <c r="V118" i="91"/>
  <c r="W118" i="91"/>
  <c r="X118" i="91"/>
  <c r="Y118" i="91"/>
  <c r="Z118" i="91"/>
  <c r="Q119" i="91"/>
  <c r="R119" i="91"/>
  <c r="S119" i="91"/>
  <c r="T119" i="91"/>
  <c r="U119" i="91"/>
  <c r="V119" i="91"/>
  <c r="W119" i="91"/>
  <c r="X119" i="91"/>
  <c r="Y119" i="91"/>
  <c r="Z119" i="91"/>
  <c r="Q120" i="91"/>
  <c r="R120" i="91"/>
  <c r="S120" i="91"/>
  <c r="T120" i="91"/>
  <c r="U120" i="91"/>
  <c r="V120" i="91"/>
  <c r="W120" i="91"/>
  <c r="X120" i="91"/>
  <c r="Y120" i="91"/>
  <c r="Z120" i="91"/>
  <c r="Q121" i="91"/>
  <c r="R121" i="91"/>
  <c r="S121" i="91"/>
  <c r="T121" i="91"/>
  <c r="U121" i="91"/>
  <c r="V121" i="91"/>
  <c r="W121" i="91"/>
  <c r="X121" i="91"/>
  <c r="Y121" i="91"/>
  <c r="Z121" i="91"/>
  <c r="Q122" i="91"/>
  <c r="R122" i="91"/>
  <c r="S122" i="91"/>
  <c r="T122" i="91"/>
  <c r="U122" i="91"/>
  <c r="V122" i="91"/>
  <c r="W122" i="91"/>
  <c r="X122" i="91"/>
  <c r="Y122" i="91"/>
  <c r="Z122" i="91"/>
  <c r="Q123" i="91"/>
  <c r="R123" i="91"/>
  <c r="S123" i="91"/>
  <c r="T123" i="91"/>
  <c r="U123" i="91"/>
  <c r="V123" i="91"/>
  <c r="W123" i="91"/>
  <c r="X123" i="91"/>
  <c r="Y123" i="91"/>
  <c r="Z123" i="91"/>
  <c r="Q124" i="91"/>
  <c r="R124" i="91"/>
  <c r="S124" i="91"/>
  <c r="T124" i="91"/>
  <c r="U124" i="91"/>
  <c r="V124" i="91"/>
  <c r="W124" i="91"/>
  <c r="X124" i="91"/>
  <c r="Y124" i="91"/>
  <c r="Z124" i="91"/>
  <c r="Q125" i="91"/>
  <c r="R125" i="91"/>
  <c r="S125" i="91"/>
  <c r="T125" i="91"/>
  <c r="U125" i="91"/>
  <c r="V125" i="91"/>
  <c r="W125" i="91"/>
  <c r="X125" i="91"/>
  <c r="Y125" i="91"/>
  <c r="Z125" i="91"/>
  <c r="Q126" i="91"/>
  <c r="R126" i="91"/>
  <c r="S126" i="91"/>
  <c r="T126" i="91"/>
  <c r="U126" i="91"/>
  <c r="V126" i="91"/>
  <c r="W126" i="91"/>
  <c r="X126" i="91"/>
  <c r="Y126" i="91"/>
  <c r="Z126" i="91"/>
  <c r="Q127" i="91"/>
  <c r="R127" i="91"/>
  <c r="S127" i="91"/>
  <c r="T127" i="91"/>
  <c r="U127" i="91"/>
  <c r="V127" i="91"/>
  <c r="W127" i="91"/>
  <c r="X127" i="91"/>
  <c r="Y127" i="91"/>
  <c r="Z127" i="91"/>
  <c r="Q128" i="91"/>
  <c r="R128" i="91"/>
  <c r="S128" i="91"/>
  <c r="T128" i="91"/>
  <c r="U128" i="91"/>
  <c r="V128" i="91"/>
  <c r="W128" i="91"/>
  <c r="X128" i="91"/>
  <c r="Y128" i="91"/>
  <c r="Z128" i="91"/>
  <c r="Q129" i="91"/>
  <c r="R129" i="91"/>
  <c r="S129" i="91"/>
  <c r="T129" i="91"/>
  <c r="U129" i="91"/>
  <c r="V129" i="91"/>
  <c r="W129" i="91"/>
  <c r="X129" i="91"/>
  <c r="Y129" i="91"/>
  <c r="Z129" i="91"/>
  <c r="Q130" i="91"/>
  <c r="R130" i="91"/>
  <c r="S130" i="91"/>
  <c r="T130" i="91"/>
  <c r="U130" i="91"/>
  <c r="V130" i="91"/>
  <c r="W130" i="91"/>
  <c r="X130" i="91"/>
  <c r="Y130" i="91"/>
  <c r="Z130" i="91"/>
  <c r="Q131" i="91"/>
  <c r="R131" i="91"/>
  <c r="S131" i="91"/>
  <c r="T131" i="91"/>
  <c r="U131" i="91"/>
  <c r="V131" i="91"/>
  <c r="W131" i="91"/>
  <c r="X131" i="91"/>
  <c r="Y131" i="91"/>
  <c r="Z131" i="91"/>
  <c r="Q132" i="91"/>
  <c r="R132" i="91"/>
  <c r="S132" i="91"/>
  <c r="T132" i="91"/>
  <c r="U132" i="91"/>
  <c r="V132" i="91"/>
  <c r="W132" i="91"/>
  <c r="X132" i="91"/>
  <c r="Y132" i="91"/>
  <c r="Z132" i="91"/>
  <c r="Q133" i="91"/>
  <c r="R133" i="91"/>
  <c r="S133" i="91"/>
  <c r="T133" i="91"/>
  <c r="U133" i="91"/>
  <c r="V133" i="91"/>
  <c r="W133" i="91"/>
  <c r="X133" i="91"/>
  <c r="Y133" i="91"/>
  <c r="Z133" i="91"/>
  <c r="Q134" i="91"/>
  <c r="R134" i="91"/>
  <c r="S134" i="91"/>
  <c r="T134" i="91"/>
  <c r="U134" i="91"/>
  <c r="V134" i="91"/>
  <c r="W134" i="91"/>
  <c r="X134" i="91"/>
  <c r="Y134" i="91"/>
  <c r="Z134" i="91"/>
  <c r="Q135" i="91"/>
  <c r="R135" i="91"/>
  <c r="S135" i="91"/>
  <c r="T135" i="91"/>
  <c r="U135" i="91"/>
  <c r="V135" i="91"/>
  <c r="W135" i="91"/>
  <c r="X135" i="91"/>
  <c r="Y135" i="91"/>
  <c r="Z135" i="91"/>
  <c r="Q136" i="91"/>
  <c r="R136" i="91"/>
  <c r="S136" i="91"/>
  <c r="T136" i="91"/>
  <c r="U136" i="91"/>
  <c r="V136" i="91"/>
  <c r="W136" i="91"/>
  <c r="X136" i="91"/>
  <c r="Y136" i="91"/>
  <c r="Z136" i="91"/>
  <c r="Q137" i="91"/>
  <c r="R137" i="91"/>
  <c r="S137" i="91"/>
  <c r="T137" i="91"/>
  <c r="U137" i="91"/>
  <c r="V137" i="91"/>
  <c r="W137" i="91"/>
  <c r="X137" i="91"/>
  <c r="Y137" i="91"/>
  <c r="Z137" i="91"/>
  <c r="Q138" i="91"/>
  <c r="R138" i="91"/>
  <c r="S138" i="91"/>
  <c r="T138" i="91"/>
  <c r="U138" i="91"/>
  <c r="V138" i="91"/>
  <c r="W138" i="91"/>
  <c r="X138" i="91"/>
  <c r="Y138" i="91"/>
  <c r="Z138" i="91"/>
  <c r="Q139" i="91"/>
  <c r="R139" i="91"/>
  <c r="S139" i="91"/>
  <c r="T139" i="91"/>
  <c r="U139" i="91"/>
  <c r="V139" i="91"/>
  <c r="W139" i="91"/>
  <c r="X139" i="91"/>
  <c r="Y139" i="91"/>
  <c r="Z139" i="91"/>
  <c r="Q140" i="91"/>
  <c r="R140" i="91"/>
  <c r="S140" i="91"/>
  <c r="T140" i="91"/>
  <c r="U140" i="91"/>
  <c r="V140" i="91"/>
  <c r="W140" i="91"/>
  <c r="X140" i="91"/>
  <c r="Y140" i="91"/>
  <c r="Z140" i="91"/>
  <c r="Q141" i="91"/>
  <c r="R141" i="91"/>
  <c r="S141" i="91"/>
  <c r="T141" i="91"/>
  <c r="U141" i="91"/>
  <c r="V141" i="91"/>
  <c r="W141" i="91"/>
  <c r="X141" i="91"/>
  <c r="Y141" i="91"/>
  <c r="Z141" i="91"/>
  <c r="Q142" i="91"/>
  <c r="R142" i="91"/>
  <c r="S142" i="91"/>
  <c r="T142" i="91"/>
  <c r="U142" i="91"/>
  <c r="V142" i="91"/>
  <c r="W142" i="91"/>
  <c r="X142" i="91"/>
  <c r="Y142" i="91"/>
  <c r="Z142" i="91"/>
  <c r="Q143" i="91"/>
  <c r="R143" i="91"/>
  <c r="S143" i="91"/>
  <c r="T143" i="91"/>
  <c r="U143" i="91"/>
  <c r="V143" i="91"/>
  <c r="W143" i="91"/>
  <c r="X143" i="91"/>
  <c r="Y143" i="91"/>
  <c r="Z143" i="91"/>
  <c r="Q144" i="91"/>
  <c r="R144" i="91"/>
  <c r="S144" i="91"/>
  <c r="T144" i="91"/>
  <c r="U144" i="91"/>
  <c r="V144" i="91"/>
  <c r="W144" i="91"/>
  <c r="X144" i="91"/>
  <c r="Y144" i="91"/>
  <c r="Z144" i="91"/>
  <c r="Q145" i="91"/>
  <c r="R145" i="91"/>
  <c r="S145" i="91"/>
  <c r="T145" i="91"/>
  <c r="U145" i="91"/>
  <c r="V145" i="91"/>
  <c r="W145" i="91"/>
  <c r="X145" i="91"/>
  <c r="Y145" i="91"/>
  <c r="Z145" i="91"/>
  <c r="Q146" i="91"/>
  <c r="R146" i="91"/>
  <c r="S146" i="91"/>
  <c r="T146" i="91"/>
  <c r="U146" i="91"/>
  <c r="V146" i="91"/>
  <c r="W146" i="91"/>
  <c r="X146" i="91"/>
  <c r="Y146" i="91"/>
  <c r="Z146" i="91"/>
  <c r="Q147" i="91"/>
  <c r="R147" i="91"/>
  <c r="S147" i="91"/>
  <c r="T147" i="91"/>
  <c r="U147" i="91"/>
  <c r="V147" i="91"/>
  <c r="W147" i="91"/>
  <c r="X147" i="91"/>
  <c r="Y147" i="91"/>
  <c r="Z147" i="91"/>
  <c r="Q148" i="91"/>
  <c r="R148" i="91"/>
  <c r="S148" i="91"/>
  <c r="T148" i="91"/>
  <c r="U148" i="91"/>
  <c r="V148" i="91"/>
  <c r="W148" i="91"/>
  <c r="X148" i="91"/>
  <c r="Y148" i="91"/>
  <c r="Z148" i="91"/>
  <c r="Q149" i="91"/>
  <c r="R149" i="91"/>
  <c r="S149" i="91"/>
  <c r="T149" i="91"/>
  <c r="U149" i="91"/>
  <c r="V149" i="91"/>
  <c r="W149" i="91"/>
  <c r="X149" i="91"/>
  <c r="Y149" i="91"/>
  <c r="Z149" i="91"/>
  <c r="Q150" i="91"/>
  <c r="R150" i="91"/>
  <c r="S150" i="91"/>
  <c r="T150" i="91"/>
  <c r="U150" i="91"/>
  <c r="V150" i="91"/>
  <c r="W150" i="91"/>
  <c r="X150" i="91"/>
  <c r="Y150" i="91"/>
  <c r="Z150" i="91"/>
  <c r="Q151" i="91"/>
  <c r="R151" i="91"/>
  <c r="S151" i="91"/>
  <c r="T151" i="91"/>
  <c r="U151" i="91"/>
  <c r="V151" i="91"/>
  <c r="W151" i="91"/>
  <c r="X151" i="91"/>
  <c r="Y151" i="91"/>
  <c r="Z151" i="91"/>
  <c r="Q152" i="91"/>
  <c r="R152" i="91"/>
  <c r="S152" i="91"/>
  <c r="T152" i="91"/>
  <c r="U152" i="91"/>
  <c r="V152" i="91"/>
  <c r="W152" i="91"/>
  <c r="X152" i="91"/>
  <c r="Y152" i="91"/>
  <c r="Z152" i="91"/>
  <c r="Q153" i="91"/>
  <c r="R153" i="91"/>
  <c r="S153" i="91"/>
  <c r="T153" i="91"/>
  <c r="U153" i="91"/>
  <c r="V153" i="91"/>
  <c r="W153" i="91"/>
  <c r="X153" i="91"/>
  <c r="Y153" i="91"/>
  <c r="Z153" i="91"/>
  <c r="Q154" i="91"/>
  <c r="R154" i="91"/>
  <c r="S154" i="91"/>
  <c r="T154" i="91"/>
  <c r="U154" i="91"/>
  <c r="V154" i="91"/>
  <c r="W154" i="91"/>
  <c r="X154" i="91"/>
  <c r="Y154" i="91"/>
  <c r="Z154" i="91"/>
  <c r="Q155" i="91"/>
  <c r="R155" i="91"/>
  <c r="S155" i="91"/>
  <c r="T155" i="91"/>
  <c r="U155" i="91"/>
  <c r="V155" i="91"/>
  <c r="W155" i="91"/>
  <c r="X155" i="91"/>
  <c r="Y155" i="91"/>
  <c r="Z155" i="91"/>
  <c r="Q156" i="91"/>
  <c r="R156" i="91"/>
  <c r="S156" i="91"/>
  <c r="T156" i="91"/>
  <c r="U156" i="91"/>
  <c r="V156" i="91"/>
  <c r="W156" i="91"/>
  <c r="X156" i="91"/>
  <c r="Y156" i="91"/>
  <c r="Z156" i="91"/>
  <c r="Q157" i="91"/>
  <c r="R157" i="91"/>
  <c r="S157" i="91"/>
  <c r="T157" i="91"/>
  <c r="U157" i="91"/>
  <c r="V157" i="91"/>
  <c r="W157" i="91"/>
  <c r="X157" i="91"/>
  <c r="Y157" i="91"/>
  <c r="Z157" i="91"/>
  <c r="Q158" i="91"/>
  <c r="R158" i="91"/>
  <c r="S158" i="91"/>
  <c r="T158" i="91"/>
  <c r="U158" i="91"/>
  <c r="V158" i="91"/>
  <c r="W158" i="91"/>
  <c r="X158" i="91"/>
  <c r="Y158" i="91"/>
  <c r="Z158" i="91"/>
  <c r="Q159" i="91"/>
  <c r="R159" i="91"/>
  <c r="S159" i="91"/>
  <c r="T159" i="91"/>
  <c r="U159" i="91"/>
  <c r="V159" i="91"/>
  <c r="W159" i="91"/>
  <c r="X159" i="91"/>
  <c r="Y159" i="91"/>
  <c r="Z159" i="91"/>
  <c r="Q160" i="91"/>
  <c r="R160" i="91"/>
  <c r="S160" i="91"/>
  <c r="T160" i="91"/>
  <c r="U160" i="91"/>
  <c r="V160" i="91"/>
  <c r="W160" i="91"/>
  <c r="X160" i="91"/>
  <c r="Y160" i="91"/>
  <c r="Z160" i="91"/>
  <c r="Q161" i="91"/>
  <c r="R161" i="91"/>
  <c r="S161" i="91"/>
  <c r="T161" i="91"/>
  <c r="U161" i="91"/>
  <c r="V161" i="91"/>
  <c r="W161" i="91"/>
  <c r="X161" i="91"/>
  <c r="Y161" i="91"/>
  <c r="Z161" i="91"/>
  <c r="Q162" i="91"/>
  <c r="R162" i="91"/>
  <c r="S162" i="91"/>
  <c r="T162" i="91"/>
  <c r="U162" i="91"/>
  <c r="V162" i="91"/>
  <c r="W162" i="91"/>
  <c r="X162" i="91"/>
  <c r="Y162" i="91"/>
  <c r="Z162" i="91"/>
  <c r="Q163" i="91"/>
  <c r="R163" i="91"/>
  <c r="S163" i="91"/>
  <c r="T163" i="91"/>
  <c r="U163" i="91"/>
  <c r="V163" i="91"/>
  <c r="W163" i="91"/>
  <c r="X163" i="91"/>
  <c r="Y163" i="91"/>
  <c r="Z163" i="91"/>
  <c r="R4" i="91"/>
  <c r="S4" i="91"/>
  <c r="T4" i="91"/>
  <c r="U4" i="91"/>
  <c r="V4" i="91"/>
  <c r="W4" i="91"/>
  <c r="X4" i="91"/>
  <c r="Y4" i="91"/>
  <c r="Z4" i="91"/>
  <c r="Q4" i="91"/>
  <c r="N4" i="18" l="1"/>
  <c r="N5" i="18"/>
  <c r="N6" i="18"/>
  <c r="N7" i="18"/>
  <c r="N8" i="18"/>
  <c r="N9" i="18"/>
  <c r="N10" i="18"/>
  <c r="N11" i="18"/>
  <c r="N12" i="18"/>
  <c r="N13" i="18"/>
  <c r="N14" i="18"/>
  <c r="N15" i="18"/>
  <c r="N16" i="18"/>
  <c r="N17" i="18"/>
  <c r="N18" i="18"/>
  <c r="N19" i="18"/>
  <c r="N20" i="18"/>
  <c r="N21" i="18"/>
  <c r="N22" i="18"/>
  <c r="N23" i="18"/>
  <c r="N24" i="18"/>
  <c r="N25" i="18"/>
  <c r="N26" i="18"/>
  <c r="N27" i="18"/>
  <c r="N28" i="18"/>
  <c r="N29" i="18"/>
  <c r="N30" i="18"/>
  <c r="N31" i="18"/>
  <c r="N32" i="18"/>
  <c r="N33" i="18"/>
  <c r="N34" i="18"/>
  <c r="N35" i="18"/>
  <c r="N36" i="18"/>
  <c r="N37" i="18"/>
  <c r="N38" i="18"/>
  <c r="N39" i="18"/>
  <c r="N40" i="18"/>
  <c r="N41" i="18"/>
  <c r="N42" i="18"/>
  <c r="N43" i="18"/>
  <c r="N44" i="18"/>
  <c r="N45" i="18"/>
  <c r="N46" i="18"/>
  <c r="N47" i="18"/>
  <c r="N48" i="18"/>
  <c r="N49" i="18"/>
  <c r="N50" i="18"/>
  <c r="N51" i="18"/>
  <c r="N52" i="18"/>
  <c r="N53" i="18"/>
  <c r="N54" i="18"/>
  <c r="N55" i="18"/>
  <c r="N56" i="18"/>
  <c r="N57" i="18"/>
  <c r="N58" i="18"/>
  <c r="N59" i="18"/>
  <c r="N60" i="18"/>
  <c r="N61" i="18"/>
  <c r="N62" i="18"/>
  <c r="N63" i="18"/>
  <c r="N64" i="18"/>
  <c r="N65" i="18"/>
  <c r="N66" i="18"/>
  <c r="N67" i="18"/>
  <c r="N68" i="18"/>
  <c r="N69" i="18"/>
  <c r="N70" i="18"/>
  <c r="N71" i="18"/>
  <c r="N72" i="18"/>
  <c r="N73" i="18"/>
  <c r="N74" i="18"/>
  <c r="N75" i="18"/>
  <c r="N76" i="18"/>
  <c r="N77" i="18"/>
  <c r="N78" i="18"/>
  <c r="N79" i="18"/>
  <c r="N80" i="18"/>
  <c r="N81" i="18"/>
  <c r="N82" i="18"/>
  <c r="N83" i="18"/>
  <c r="N84" i="18"/>
  <c r="N85" i="18"/>
  <c r="N86" i="18"/>
  <c r="N87" i="18"/>
  <c r="N88" i="18"/>
  <c r="N89" i="18"/>
  <c r="N90" i="18"/>
  <c r="N91" i="18"/>
  <c r="N92" i="18"/>
  <c r="N93" i="18"/>
  <c r="N94" i="18"/>
  <c r="N95" i="18"/>
  <c r="N96" i="18"/>
  <c r="N97" i="18"/>
  <c r="N98" i="18"/>
  <c r="N99" i="18"/>
  <c r="N100" i="18"/>
  <c r="N101" i="18"/>
  <c r="N102" i="18"/>
  <c r="N103" i="18"/>
  <c r="N104" i="18"/>
  <c r="N105" i="18"/>
  <c r="N106" i="18"/>
  <c r="N107" i="18"/>
  <c r="N108" i="18"/>
  <c r="N109" i="18"/>
  <c r="N110" i="18"/>
  <c r="N111" i="18"/>
  <c r="N112" i="18"/>
  <c r="N113" i="18"/>
  <c r="N3" i="18"/>
  <c r="AD363" i="18"/>
  <c r="AD362" i="18"/>
  <c r="AD361" i="18"/>
  <c r="AD360" i="18"/>
  <c r="AD359" i="18"/>
  <c r="AD358" i="18"/>
  <c r="AD357" i="18"/>
  <c r="AD356" i="18"/>
  <c r="AD355" i="18"/>
  <c r="AD354" i="18"/>
  <c r="AD353" i="18"/>
  <c r="AD352" i="18"/>
  <c r="AD351" i="18"/>
  <c r="AD350" i="18"/>
  <c r="AD349" i="18"/>
  <c r="AD348" i="18"/>
  <c r="AD347" i="18"/>
  <c r="AD346" i="18"/>
  <c r="AD345" i="18"/>
  <c r="AD344" i="18"/>
  <c r="AD343" i="18"/>
  <c r="AD342" i="18"/>
  <c r="AD341" i="18"/>
  <c r="AD340" i="18"/>
  <c r="AD339" i="18"/>
  <c r="AD338" i="18"/>
  <c r="AD337" i="18"/>
  <c r="AD336" i="18"/>
  <c r="AD335" i="18"/>
  <c r="AD334" i="18"/>
  <c r="AD333" i="18"/>
  <c r="AD332" i="18"/>
  <c r="AD331" i="18"/>
  <c r="AD330" i="18"/>
  <c r="AD329" i="18"/>
  <c r="AD328" i="18"/>
  <c r="AD327" i="18"/>
  <c r="AD326" i="18"/>
  <c r="AD325" i="18"/>
  <c r="AD324" i="18"/>
  <c r="AD323" i="18"/>
  <c r="AD322" i="18"/>
  <c r="AD321" i="18"/>
  <c r="AD320" i="18"/>
  <c r="AD319" i="18"/>
  <c r="AD318" i="18"/>
  <c r="AD317" i="18"/>
  <c r="AD316" i="18"/>
  <c r="AD315" i="18"/>
  <c r="AD314" i="18"/>
  <c r="AD313" i="18"/>
  <c r="AD312" i="18"/>
  <c r="AD311" i="18"/>
  <c r="AD310" i="18"/>
  <c r="AD309" i="18"/>
  <c r="AD308" i="18"/>
  <c r="AD307" i="18"/>
  <c r="AD306" i="18"/>
  <c r="AD305" i="18"/>
  <c r="AD304" i="18"/>
  <c r="AD303" i="18"/>
  <c r="AD302" i="18"/>
  <c r="AD301" i="18"/>
  <c r="AD300" i="18"/>
  <c r="AD299" i="18"/>
  <c r="AD298" i="18"/>
  <c r="AD297" i="18"/>
  <c r="AD296" i="18"/>
  <c r="AD295" i="18"/>
  <c r="AD294" i="18"/>
  <c r="AD293" i="18"/>
  <c r="AD292" i="18"/>
  <c r="AD291" i="18"/>
  <c r="AD290" i="18"/>
  <c r="AD289" i="18"/>
  <c r="AD288" i="18"/>
  <c r="AD287" i="18"/>
  <c r="AD286" i="18"/>
  <c r="AD285" i="18"/>
  <c r="AD284" i="18"/>
  <c r="AD283" i="18"/>
  <c r="AD282" i="18"/>
  <c r="AD281" i="18"/>
  <c r="AD280" i="18"/>
  <c r="AD279" i="18"/>
  <c r="AD278" i="18"/>
  <c r="AD277" i="18"/>
  <c r="AD276" i="18"/>
  <c r="AD275" i="18"/>
  <c r="AD274" i="18"/>
  <c r="AD273" i="18"/>
  <c r="AD272" i="18"/>
  <c r="AD271" i="18"/>
  <c r="AD270" i="18"/>
  <c r="AD269" i="18"/>
  <c r="AD268" i="18"/>
  <c r="AD267" i="18"/>
  <c r="AD266" i="18"/>
  <c r="AD265" i="18"/>
  <c r="AD264" i="18"/>
  <c r="AD263" i="18"/>
  <c r="AD262" i="18"/>
  <c r="AD261" i="18"/>
  <c r="AD260" i="18"/>
  <c r="AD259" i="18"/>
  <c r="AD258" i="18"/>
  <c r="AD257" i="18"/>
  <c r="AD256" i="18"/>
  <c r="AD255" i="18"/>
  <c r="AD254" i="18"/>
  <c r="AD253" i="18"/>
  <c r="AD252" i="18"/>
  <c r="AD251" i="18"/>
  <c r="AD250" i="18"/>
  <c r="AD249" i="18"/>
  <c r="AD248" i="18"/>
  <c r="AD247" i="18"/>
  <c r="AD246" i="18"/>
  <c r="AD245" i="18"/>
  <c r="AD244" i="18"/>
  <c r="AD243" i="18"/>
  <c r="AD242" i="18"/>
  <c r="AD241" i="18"/>
  <c r="AD240" i="18"/>
  <c r="AD239" i="18"/>
  <c r="AD238" i="18"/>
  <c r="AD237" i="18"/>
  <c r="AD236" i="18"/>
  <c r="AD235" i="18"/>
  <c r="AD234" i="18"/>
  <c r="AD233" i="18"/>
  <c r="AD232" i="18"/>
  <c r="AD231" i="18"/>
  <c r="AD230" i="18"/>
  <c r="AD229" i="18"/>
  <c r="AD228" i="18"/>
  <c r="AD227" i="18"/>
  <c r="AD226" i="18"/>
  <c r="AD225" i="18"/>
  <c r="AD224" i="18"/>
  <c r="AD223" i="18"/>
  <c r="AD222" i="18"/>
  <c r="AD221" i="18"/>
  <c r="AD220" i="18"/>
  <c r="AD219" i="18"/>
  <c r="AD218" i="18"/>
  <c r="AD217" i="18"/>
  <c r="AD216" i="18"/>
  <c r="AD215" i="18"/>
  <c r="AD214" i="18"/>
  <c r="AD213" i="18"/>
  <c r="AD212" i="18"/>
  <c r="AD211" i="18"/>
  <c r="AD210" i="18"/>
  <c r="AD209" i="18"/>
  <c r="AD208" i="18"/>
  <c r="AD207" i="18"/>
  <c r="AD206" i="18"/>
  <c r="AD205" i="18"/>
  <c r="AD204" i="18"/>
  <c r="AD203" i="18"/>
  <c r="AD202" i="18"/>
  <c r="AD201" i="18"/>
  <c r="AD200" i="18"/>
  <c r="AD199" i="18"/>
  <c r="AD198" i="18"/>
  <c r="AD197" i="18"/>
  <c r="AD196" i="18"/>
  <c r="AD195" i="18"/>
  <c r="AD194" i="18"/>
  <c r="AD193" i="18"/>
  <c r="AD192" i="18"/>
  <c r="AD191" i="18"/>
  <c r="AD190" i="18"/>
  <c r="AD189" i="18"/>
  <c r="AD188" i="18"/>
  <c r="AD187" i="18"/>
  <c r="AD186" i="18"/>
  <c r="AD185" i="18"/>
  <c r="AD184" i="18"/>
  <c r="AD183" i="18"/>
  <c r="AD182" i="18"/>
  <c r="AD181" i="18"/>
  <c r="AD180" i="18"/>
  <c r="AD179" i="18"/>
  <c r="AD178" i="18"/>
  <c r="AD177" i="18"/>
  <c r="AD176" i="18"/>
  <c r="AD175" i="18"/>
  <c r="AD174" i="18"/>
  <c r="AD173" i="18"/>
  <c r="AD172" i="18"/>
  <c r="AD171" i="18"/>
  <c r="AD170" i="18"/>
  <c r="AD169" i="18"/>
  <c r="AD168" i="18"/>
  <c r="AD167" i="18"/>
  <c r="AD166" i="18"/>
  <c r="AD165" i="18"/>
  <c r="AD164" i="18"/>
  <c r="AD163" i="18"/>
  <c r="AD162" i="18"/>
  <c r="AD161" i="18"/>
  <c r="AD160" i="18"/>
  <c r="AD159" i="18"/>
  <c r="AD158" i="18"/>
  <c r="AD157" i="18"/>
  <c r="AD156" i="18"/>
  <c r="AD155" i="18"/>
  <c r="AD154" i="18"/>
  <c r="AD153" i="18"/>
  <c r="AD152" i="18"/>
  <c r="AD151" i="18"/>
  <c r="AD150" i="18"/>
  <c r="AD149" i="18"/>
  <c r="AD148" i="18"/>
  <c r="AD147" i="18"/>
  <c r="AD146" i="18"/>
  <c r="AD145" i="18"/>
  <c r="AD144" i="18"/>
  <c r="AD143" i="18"/>
  <c r="AD142" i="18"/>
  <c r="AD141" i="18"/>
  <c r="AD140" i="18"/>
  <c r="AD139" i="18"/>
  <c r="AD138" i="18"/>
  <c r="AD137" i="18"/>
  <c r="AD136" i="18"/>
  <c r="AD135" i="18"/>
  <c r="AD134" i="18"/>
  <c r="AD133" i="18"/>
  <c r="AD132" i="18"/>
  <c r="AD131" i="18"/>
  <c r="AD130" i="18"/>
  <c r="AD129" i="18"/>
  <c r="AD128" i="18"/>
  <c r="AD127" i="18"/>
  <c r="AD126" i="18"/>
  <c r="AD125" i="18"/>
  <c r="AD124" i="18"/>
  <c r="AD123" i="18"/>
  <c r="AD122" i="18"/>
  <c r="AD121" i="18"/>
  <c r="AD120" i="18"/>
  <c r="AD119" i="18"/>
  <c r="AD118" i="18"/>
  <c r="AD117" i="18"/>
  <c r="AD116" i="18"/>
  <c r="AD115" i="18"/>
  <c r="AD114" i="18"/>
  <c r="AD113" i="18"/>
  <c r="AA113" i="18"/>
  <c r="Z113" i="18"/>
  <c r="Y113" i="18"/>
  <c r="X113" i="18"/>
  <c r="W113" i="18"/>
  <c r="T113" i="18"/>
  <c r="S113" i="18"/>
  <c r="R113" i="18"/>
  <c r="Q113" i="18"/>
  <c r="P113" i="18"/>
  <c r="AD112" i="18"/>
  <c r="AA112" i="18"/>
  <c r="Z112" i="18"/>
  <c r="Y112" i="18"/>
  <c r="X112" i="18"/>
  <c r="W112" i="18"/>
  <c r="T112" i="18"/>
  <c r="S112" i="18"/>
  <c r="R112" i="18"/>
  <c r="Q112" i="18"/>
  <c r="P112" i="18"/>
  <c r="AD111" i="18"/>
  <c r="AA111" i="18"/>
  <c r="Z111" i="18"/>
  <c r="Y111" i="18"/>
  <c r="X111" i="18"/>
  <c r="W111" i="18"/>
  <c r="T111" i="18"/>
  <c r="S111" i="18"/>
  <c r="R111" i="18"/>
  <c r="Q111" i="18"/>
  <c r="P111" i="18"/>
  <c r="AD110" i="18"/>
  <c r="AA110" i="18"/>
  <c r="Z110" i="18"/>
  <c r="Y110" i="18"/>
  <c r="X110" i="18"/>
  <c r="W110" i="18"/>
  <c r="T110" i="18"/>
  <c r="S110" i="18"/>
  <c r="R110" i="18"/>
  <c r="Q110" i="18"/>
  <c r="P110" i="18"/>
  <c r="AD109" i="18"/>
  <c r="AA109" i="18"/>
  <c r="Z109" i="18"/>
  <c r="Y109" i="18"/>
  <c r="X109" i="18"/>
  <c r="W109" i="18"/>
  <c r="T109" i="18"/>
  <c r="S109" i="18"/>
  <c r="R109" i="18"/>
  <c r="Q109" i="18"/>
  <c r="P109" i="18"/>
  <c r="AD108" i="18"/>
  <c r="AA108" i="18"/>
  <c r="Z108" i="18"/>
  <c r="Y108" i="18"/>
  <c r="X108" i="18"/>
  <c r="W108" i="18"/>
  <c r="T108" i="18"/>
  <c r="S108" i="18"/>
  <c r="R108" i="18"/>
  <c r="Q108" i="18"/>
  <c r="P108" i="18"/>
  <c r="AD107" i="18"/>
  <c r="AA107" i="18"/>
  <c r="Z107" i="18"/>
  <c r="Y107" i="18"/>
  <c r="X107" i="18"/>
  <c r="W107" i="18"/>
  <c r="T107" i="18"/>
  <c r="S107" i="18"/>
  <c r="R107" i="18"/>
  <c r="Q107" i="18"/>
  <c r="P107" i="18"/>
  <c r="AD106" i="18"/>
  <c r="AA106" i="18"/>
  <c r="Z106" i="18"/>
  <c r="Y106" i="18"/>
  <c r="X106" i="18"/>
  <c r="W106" i="18"/>
  <c r="T106" i="18"/>
  <c r="S106" i="18"/>
  <c r="R106" i="18"/>
  <c r="Q106" i="18"/>
  <c r="P106" i="18"/>
  <c r="AD105" i="18"/>
  <c r="AA105" i="18"/>
  <c r="Z105" i="18"/>
  <c r="Y105" i="18"/>
  <c r="X105" i="18"/>
  <c r="W105" i="18"/>
  <c r="T105" i="18"/>
  <c r="S105" i="18"/>
  <c r="R105" i="18"/>
  <c r="Q105" i="18"/>
  <c r="P105" i="18"/>
  <c r="AD104" i="18"/>
  <c r="AA104" i="18"/>
  <c r="Z104" i="18"/>
  <c r="Y104" i="18"/>
  <c r="X104" i="18"/>
  <c r="W104" i="18"/>
  <c r="T104" i="18"/>
  <c r="S104" i="18"/>
  <c r="R104" i="18"/>
  <c r="Q104" i="18"/>
  <c r="P104" i="18"/>
  <c r="AD103" i="18"/>
  <c r="AA103" i="18"/>
  <c r="Z103" i="18"/>
  <c r="Y103" i="18"/>
  <c r="X103" i="18"/>
  <c r="W103" i="18"/>
  <c r="T103" i="18"/>
  <c r="S103" i="18"/>
  <c r="R103" i="18"/>
  <c r="Q103" i="18"/>
  <c r="P103" i="18"/>
  <c r="AD102" i="18"/>
  <c r="AA102" i="18"/>
  <c r="Z102" i="18"/>
  <c r="Y102" i="18"/>
  <c r="X102" i="18"/>
  <c r="W102" i="18"/>
  <c r="T102" i="18"/>
  <c r="S102" i="18"/>
  <c r="R102" i="18"/>
  <c r="Q102" i="18"/>
  <c r="P102" i="18"/>
  <c r="AD101" i="18"/>
  <c r="AA101" i="18"/>
  <c r="Z101" i="18"/>
  <c r="Y101" i="18"/>
  <c r="X101" i="18"/>
  <c r="W101" i="18"/>
  <c r="T101" i="18"/>
  <c r="S101" i="18"/>
  <c r="R101" i="18"/>
  <c r="Q101" i="18"/>
  <c r="P101" i="18"/>
  <c r="AD100" i="18"/>
  <c r="AA100" i="18"/>
  <c r="Z100" i="18"/>
  <c r="Y100" i="18"/>
  <c r="X100" i="18"/>
  <c r="W100" i="18"/>
  <c r="S100" i="18"/>
  <c r="R100" i="18"/>
  <c r="Q100" i="18"/>
  <c r="P100" i="18"/>
  <c r="AD99" i="18"/>
  <c r="AA99" i="18"/>
  <c r="Z99" i="18"/>
  <c r="Y99" i="18"/>
  <c r="X99" i="18"/>
  <c r="W99" i="18"/>
  <c r="T99" i="18"/>
  <c r="S99" i="18"/>
  <c r="R99" i="18"/>
  <c r="Q99" i="18"/>
  <c r="P99" i="18"/>
  <c r="AD98" i="18"/>
  <c r="AA98" i="18"/>
  <c r="Z98" i="18"/>
  <c r="Y98" i="18"/>
  <c r="X98" i="18"/>
  <c r="W98" i="18"/>
  <c r="T98" i="18"/>
  <c r="S98" i="18"/>
  <c r="R98" i="18"/>
  <c r="Q98" i="18"/>
  <c r="P98" i="18"/>
  <c r="AD97" i="18"/>
  <c r="AA97" i="18"/>
  <c r="Z97" i="18"/>
  <c r="Y97" i="18"/>
  <c r="X97" i="18"/>
  <c r="W97" i="18"/>
  <c r="T97" i="18"/>
  <c r="S97" i="18"/>
  <c r="R97" i="18"/>
  <c r="Q97" i="18"/>
  <c r="P97" i="18"/>
  <c r="AD96" i="18"/>
  <c r="AA96" i="18"/>
  <c r="Z96" i="18"/>
  <c r="Y96" i="18"/>
  <c r="X96" i="18"/>
  <c r="W96" i="18"/>
  <c r="T96" i="18"/>
  <c r="S96" i="18"/>
  <c r="R96" i="18"/>
  <c r="Q96" i="18"/>
  <c r="P96" i="18"/>
  <c r="AD95" i="18"/>
  <c r="AA95" i="18"/>
  <c r="Z95" i="18"/>
  <c r="Y95" i="18"/>
  <c r="X95" i="18"/>
  <c r="W95" i="18"/>
  <c r="T95" i="18"/>
  <c r="S95" i="18"/>
  <c r="R95" i="18"/>
  <c r="Q95" i="18"/>
  <c r="P95" i="18"/>
  <c r="AD94" i="18"/>
  <c r="AA94" i="18"/>
  <c r="Z94" i="18"/>
  <c r="Y94" i="18"/>
  <c r="X94" i="18"/>
  <c r="W94" i="18"/>
  <c r="T94" i="18"/>
  <c r="S94" i="18"/>
  <c r="R94" i="18"/>
  <c r="Q94" i="18"/>
  <c r="P94" i="18"/>
  <c r="AD93" i="18"/>
  <c r="AA93" i="18"/>
  <c r="Z93" i="18"/>
  <c r="Y93" i="18"/>
  <c r="X93" i="18"/>
  <c r="W93" i="18"/>
  <c r="T93" i="18"/>
  <c r="S93" i="18"/>
  <c r="R93" i="18"/>
  <c r="Q93" i="18"/>
  <c r="P93" i="18"/>
  <c r="AD92" i="18"/>
  <c r="AA92" i="18"/>
  <c r="Z92" i="18"/>
  <c r="Y92" i="18"/>
  <c r="X92" i="18"/>
  <c r="W92" i="18"/>
  <c r="T92" i="18"/>
  <c r="S92" i="18"/>
  <c r="R92" i="18"/>
  <c r="Q92" i="18"/>
  <c r="P92" i="18"/>
  <c r="AD91" i="18"/>
  <c r="AA91" i="18"/>
  <c r="Z91" i="18"/>
  <c r="Y91" i="18"/>
  <c r="X91" i="18"/>
  <c r="W91" i="18"/>
  <c r="T91" i="18"/>
  <c r="S91" i="18"/>
  <c r="R91" i="18"/>
  <c r="Q91" i="18"/>
  <c r="P91" i="18"/>
  <c r="AD90" i="18"/>
  <c r="AA90" i="18"/>
  <c r="Z90" i="18"/>
  <c r="Y90" i="18"/>
  <c r="X90" i="18"/>
  <c r="W90" i="18"/>
  <c r="T90" i="18"/>
  <c r="S90" i="18"/>
  <c r="R90" i="18"/>
  <c r="Q90" i="18"/>
  <c r="P90" i="18"/>
  <c r="AD89" i="18"/>
  <c r="AA89" i="18"/>
  <c r="Z89" i="18"/>
  <c r="Y89" i="18"/>
  <c r="X89" i="18"/>
  <c r="W89" i="18"/>
  <c r="T89" i="18"/>
  <c r="S89" i="18"/>
  <c r="R89" i="18"/>
  <c r="Q89" i="18"/>
  <c r="P89" i="18"/>
  <c r="AD88" i="18"/>
  <c r="AA88" i="18"/>
  <c r="Z88" i="18"/>
  <c r="Y88" i="18"/>
  <c r="X88" i="18"/>
  <c r="W88" i="18"/>
  <c r="T88" i="18"/>
  <c r="S88" i="18"/>
  <c r="R88" i="18"/>
  <c r="Q88" i="18"/>
  <c r="P88" i="18"/>
  <c r="AD87" i="18"/>
  <c r="AA87" i="18"/>
  <c r="Z87" i="18"/>
  <c r="Y87" i="18"/>
  <c r="X87" i="18"/>
  <c r="W87" i="18"/>
  <c r="T87" i="18"/>
  <c r="S87" i="18"/>
  <c r="R87" i="18"/>
  <c r="Q87" i="18"/>
  <c r="P87" i="18"/>
  <c r="AD86" i="18"/>
  <c r="AA86" i="18"/>
  <c r="Z86" i="18"/>
  <c r="Y86" i="18"/>
  <c r="X86" i="18"/>
  <c r="W86" i="18"/>
  <c r="T86" i="18"/>
  <c r="S86" i="18"/>
  <c r="R86" i="18"/>
  <c r="Q86" i="18"/>
  <c r="P86" i="18"/>
  <c r="AD85" i="18"/>
  <c r="AA85" i="18"/>
  <c r="Z85" i="18"/>
  <c r="Y85" i="18"/>
  <c r="X85" i="18"/>
  <c r="W85" i="18"/>
  <c r="T85" i="18"/>
  <c r="S85" i="18"/>
  <c r="R85" i="18"/>
  <c r="Q85" i="18"/>
  <c r="P85" i="18"/>
  <c r="AD84" i="18"/>
  <c r="AA84" i="18"/>
  <c r="Z84" i="18"/>
  <c r="Y84" i="18"/>
  <c r="X84" i="18"/>
  <c r="W84" i="18"/>
  <c r="T84" i="18"/>
  <c r="S84" i="18"/>
  <c r="R84" i="18"/>
  <c r="Q84" i="18"/>
  <c r="P84" i="18"/>
  <c r="AD83" i="18"/>
  <c r="AA83" i="18"/>
  <c r="Z83" i="18"/>
  <c r="Y83" i="18"/>
  <c r="X83" i="18"/>
  <c r="W83" i="18"/>
  <c r="T83" i="18"/>
  <c r="S83" i="18"/>
  <c r="R83" i="18"/>
  <c r="Q83" i="18"/>
  <c r="P83" i="18"/>
  <c r="AD82" i="18"/>
  <c r="AA82" i="18"/>
  <c r="Z82" i="18"/>
  <c r="Y82" i="18"/>
  <c r="X82" i="18"/>
  <c r="W82" i="18"/>
  <c r="T82" i="18"/>
  <c r="S82" i="18"/>
  <c r="R82" i="18"/>
  <c r="Q82" i="18"/>
  <c r="P82" i="18"/>
  <c r="AD81" i="18"/>
  <c r="AA81" i="18"/>
  <c r="Z81" i="18"/>
  <c r="Y81" i="18"/>
  <c r="X81" i="18"/>
  <c r="W81" i="18"/>
  <c r="T81" i="18"/>
  <c r="S81" i="18"/>
  <c r="R81" i="18"/>
  <c r="Q81" i="18"/>
  <c r="P81" i="18"/>
  <c r="AD80" i="18"/>
  <c r="AA80" i="18"/>
  <c r="Z80" i="18"/>
  <c r="Y80" i="18"/>
  <c r="X80" i="18"/>
  <c r="W80" i="18"/>
  <c r="T80" i="18"/>
  <c r="S80" i="18"/>
  <c r="R80" i="18"/>
  <c r="Q80" i="18"/>
  <c r="P80" i="18"/>
  <c r="AD79" i="18"/>
  <c r="AA79" i="18"/>
  <c r="Z79" i="18"/>
  <c r="Y79" i="18"/>
  <c r="X79" i="18"/>
  <c r="W79" i="18"/>
  <c r="T79" i="18"/>
  <c r="S79" i="18"/>
  <c r="R79" i="18"/>
  <c r="Q79" i="18"/>
  <c r="P79" i="18"/>
  <c r="AD78" i="18"/>
  <c r="AA78" i="18"/>
  <c r="Z78" i="18"/>
  <c r="Y78" i="18"/>
  <c r="X78" i="18"/>
  <c r="W78" i="18"/>
  <c r="T78" i="18"/>
  <c r="S78" i="18"/>
  <c r="R78" i="18"/>
  <c r="Q78" i="18"/>
  <c r="P78" i="18"/>
  <c r="AD77" i="18"/>
  <c r="AA77" i="18"/>
  <c r="Z77" i="18"/>
  <c r="Y77" i="18"/>
  <c r="X77" i="18"/>
  <c r="W77" i="18"/>
  <c r="T77" i="18"/>
  <c r="S77" i="18"/>
  <c r="R77" i="18"/>
  <c r="Q77" i="18"/>
  <c r="P77" i="18"/>
  <c r="AD76" i="18"/>
  <c r="AA76" i="18"/>
  <c r="Z76" i="18"/>
  <c r="Y76" i="18"/>
  <c r="X76" i="18"/>
  <c r="W76" i="18"/>
  <c r="T76" i="18"/>
  <c r="S76" i="18"/>
  <c r="R76" i="18"/>
  <c r="Q76" i="18"/>
  <c r="P76" i="18"/>
  <c r="AD75" i="18"/>
  <c r="AA75" i="18"/>
  <c r="Z75" i="18"/>
  <c r="Y75" i="18"/>
  <c r="X75" i="18"/>
  <c r="W75" i="18"/>
  <c r="T75" i="18"/>
  <c r="S75" i="18"/>
  <c r="R75" i="18"/>
  <c r="Q75" i="18"/>
  <c r="P75" i="18"/>
  <c r="AD74" i="18"/>
  <c r="AA74" i="18"/>
  <c r="Z74" i="18"/>
  <c r="Y74" i="18"/>
  <c r="X74" i="18"/>
  <c r="W74" i="18"/>
  <c r="T74" i="18"/>
  <c r="S74" i="18"/>
  <c r="R74" i="18"/>
  <c r="Q74" i="18"/>
  <c r="P74" i="18"/>
  <c r="AD73" i="18"/>
  <c r="AA73" i="18"/>
  <c r="Z73" i="18"/>
  <c r="Y73" i="18"/>
  <c r="X73" i="18"/>
  <c r="W73" i="18"/>
  <c r="T73" i="18"/>
  <c r="S73" i="18"/>
  <c r="R73" i="18"/>
  <c r="Q73" i="18"/>
  <c r="P73" i="18"/>
  <c r="AD72" i="18"/>
  <c r="AA72" i="18"/>
  <c r="Z72" i="18"/>
  <c r="Y72" i="18"/>
  <c r="X72" i="18"/>
  <c r="W72" i="18"/>
  <c r="T72" i="18"/>
  <c r="S72" i="18"/>
  <c r="R72" i="18"/>
  <c r="Q72" i="18"/>
  <c r="P72" i="18"/>
  <c r="AD71" i="18"/>
  <c r="AA71" i="18"/>
  <c r="Z71" i="18"/>
  <c r="Y71" i="18"/>
  <c r="X71" i="18"/>
  <c r="W71" i="18"/>
  <c r="T71" i="18"/>
  <c r="S71" i="18"/>
  <c r="R71" i="18"/>
  <c r="Q71" i="18"/>
  <c r="P71" i="18"/>
  <c r="AD70" i="18"/>
  <c r="AA70" i="18"/>
  <c r="Z70" i="18"/>
  <c r="Y70" i="18"/>
  <c r="X70" i="18"/>
  <c r="W70" i="18"/>
  <c r="T70" i="18"/>
  <c r="S70" i="18"/>
  <c r="R70" i="18"/>
  <c r="Q70" i="18"/>
  <c r="P70" i="18"/>
  <c r="AD69" i="18"/>
  <c r="AA69" i="18"/>
  <c r="Z69" i="18"/>
  <c r="Y69" i="18"/>
  <c r="X69" i="18"/>
  <c r="W69" i="18"/>
  <c r="T69" i="18"/>
  <c r="S69" i="18"/>
  <c r="R69" i="18"/>
  <c r="Q69" i="18"/>
  <c r="P69" i="18"/>
  <c r="AD68" i="18"/>
  <c r="AA68" i="18"/>
  <c r="Z68" i="18"/>
  <c r="Y68" i="18"/>
  <c r="X68" i="18"/>
  <c r="W68" i="18"/>
  <c r="T68" i="18"/>
  <c r="S68" i="18"/>
  <c r="R68" i="18"/>
  <c r="Q68" i="18"/>
  <c r="P68" i="18"/>
  <c r="AD67" i="18"/>
  <c r="AA67" i="18"/>
  <c r="Z67" i="18"/>
  <c r="Y67" i="18"/>
  <c r="X67" i="18"/>
  <c r="W67" i="18"/>
  <c r="T67" i="18"/>
  <c r="S67" i="18"/>
  <c r="R67" i="18"/>
  <c r="Q67" i="18"/>
  <c r="P67" i="18"/>
  <c r="AD66" i="18"/>
  <c r="AA66" i="18"/>
  <c r="Z66" i="18"/>
  <c r="Y66" i="18"/>
  <c r="X66" i="18"/>
  <c r="W66" i="18"/>
  <c r="T66" i="18"/>
  <c r="S66" i="18"/>
  <c r="R66" i="18"/>
  <c r="Q66" i="18"/>
  <c r="P66" i="18"/>
  <c r="AD65" i="18"/>
  <c r="AA65" i="18"/>
  <c r="Z65" i="18"/>
  <c r="Y65" i="18"/>
  <c r="X65" i="18"/>
  <c r="W65" i="18"/>
  <c r="T65" i="18"/>
  <c r="S65" i="18"/>
  <c r="R65" i="18"/>
  <c r="Q65" i="18"/>
  <c r="P65" i="18"/>
  <c r="AD64" i="18"/>
  <c r="AA64" i="18"/>
  <c r="Z64" i="18"/>
  <c r="Y64" i="18"/>
  <c r="X64" i="18"/>
  <c r="W64" i="18"/>
  <c r="T64" i="18"/>
  <c r="S64" i="18"/>
  <c r="R64" i="18"/>
  <c r="Q64" i="18"/>
  <c r="P64" i="18"/>
  <c r="AD63" i="18"/>
  <c r="AA63" i="18"/>
  <c r="Z63" i="18"/>
  <c r="Y63" i="18"/>
  <c r="X63" i="18"/>
  <c r="W63" i="18"/>
  <c r="T63" i="18"/>
  <c r="S63" i="18"/>
  <c r="R63" i="18"/>
  <c r="Q63" i="18"/>
  <c r="P63" i="18"/>
  <c r="AD62" i="18"/>
  <c r="AA62" i="18"/>
  <c r="Z62" i="18"/>
  <c r="Y62" i="18"/>
  <c r="X62" i="18"/>
  <c r="W62" i="18"/>
  <c r="T62" i="18"/>
  <c r="S62" i="18"/>
  <c r="R62" i="18"/>
  <c r="Q62" i="18"/>
  <c r="P62" i="18"/>
  <c r="AD61" i="18"/>
  <c r="AA61" i="18"/>
  <c r="Z61" i="18"/>
  <c r="Y61" i="18"/>
  <c r="X61" i="18"/>
  <c r="W61" i="18"/>
  <c r="T61" i="18"/>
  <c r="S61" i="18"/>
  <c r="R61" i="18"/>
  <c r="Q61" i="18"/>
  <c r="P61" i="18"/>
  <c r="AD60" i="18"/>
  <c r="AA60" i="18"/>
  <c r="Z60" i="18"/>
  <c r="Y60" i="18"/>
  <c r="X60" i="18"/>
  <c r="W60" i="18"/>
  <c r="T60" i="18"/>
  <c r="S60" i="18"/>
  <c r="R60" i="18"/>
  <c r="Q60" i="18"/>
  <c r="P60" i="18"/>
  <c r="AD59" i="18"/>
  <c r="AA59" i="18"/>
  <c r="Z59" i="18"/>
  <c r="Y59" i="18"/>
  <c r="X59" i="18"/>
  <c r="W59" i="18"/>
  <c r="T59" i="18"/>
  <c r="S59" i="18"/>
  <c r="R59" i="18"/>
  <c r="Q59" i="18"/>
  <c r="P59" i="18"/>
  <c r="AD58" i="18"/>
  <c r="AA58" i="18"/>
  <c r="Z58" i="18"/>
  <c r="Y58" i="18"/>
  <c r="X58" i="18"/>
  <c r="W58" i="18"/>
  <c r="T58" i="18"/>
  <c r="S58" i="18"/>
  <c r="R58" i="18"/>
  <c r="Q58" i="18"/>
  <c r="P58" i="18"/>
  <c r="AD57" i="18"/>
  <c r="AA57" i="18"/>
  <c r="Z57" i="18"/>
  <c r="Y57" i="18"/>
  <c r="X57" i="18"/>
  <c r="W57" i="18"/>
  <c r="T57" i="18"/>
  <c r="S57" i="18"/>
  <c r="R57" i="18"/>
  <c r="Q57" i="18"/>
  <c r="P57" i="18"/>
  <c r="AD56" i="18"/>
  <c r="AA56" i="18"/>
  <c r="Z56" i="18"/>
  <c r="Y56" i="18"/>
  <c r="X56" i="18"/>
  <c r="W56" i="18"/>
  <c r="T56" i="18"/>
  <c r="S56" i="18"/>
  <c r="R56" i="18"/>
  <c r="Q56" i="18"/>
  <c r="P56" i="18"/>
  <c r="AD55" i="18"/>
  <c r="AA55" i="18"/>
  <c r="Z55" i="18"/>
  <c r="Y55" i="18"/>
  <c r="X55" i="18"/>
  <c r="W55" i="18"/>
  <c r="T55" i="18"/>
  <c r="S55" i="18"/>
  <c r="R55" i="18"/>
  <c r="Q55" i="18"/>
  <c r="P55" i="18"/>
  <c r="AD54" i="18"/>
  <c r="AA54" i="18"/>
  <c r="Z54" i="18"/>
  <c r="Y54" i="18"/>
  <c r="X54" i="18"/>
  <c r="W54" i="18"/>
  <c r="T54" i="18"/>
  <c r="S54" i="18"/>
  <c r="R54" i="18"/>
  <c r="Q54" i="18"/>
  <c r="P54" i="18"/>
  <c r="BE53" i="18"/>
  <c r="BD53" i="18"/>
  <c r="BC53" i="18"/>
  <c r="BB53" i="18"/>
  <c r="BA53" i="18"/>
  <c r="AX53" i="18"/>
  <c r="AW53" i="18"/>
  <c r="AV53" i="18"/>
  <c r="AU53" i="18"/>
  <c r="AT53" i="18"/>
  <c r="AQ53" i="18"/>
  <c r="AP53" i="18"/>
  <c r="AO53" i="18"/>
  <c r="AN53" i="18"/>
  <c r="AM53" i="18"/>
  <c r="AD53" i="18"/>
  <c r="AA53" i="18"/>
  <c r="Z53" i="18"/>
  <c r="Y53" i="18"/>
  <c r="X53" i="18"/>
  <c r="W53" i="18"/>
  <c r="T53" i="18"/>
  <c r="S53" i="18"/>
  <c r="R53" i="18"/>
  <c r="Q53" i="18"/>
  <c r="P53" i="18"/>
  <c r="BE52" i="18"/>
  <c r="BD52" i="18"/>
  <c r="BC52" i="18"/>
  <c r="BB52" i="18"/>
  <c r="BA52" i="18"/>
  <c r="AX52" i="18"/>
  <c r="AW52" i="18"/>
  <c r="AV52" i="18"/>
  <c r="AU52" i="18"/>
  <c r="AT52" i="18"/>
  <c r="AQ52" i="18"/>
  <c r="AP52" i="18"/>
  <c r="AO52" i="18"/>
  <c r="AN52" i="18"/>
  <c r="AM52" i="18"/>
  <c r="AD52" i="18"/>
  <c r="AA52" i="18"/>
  <c r="Z52" i="18"/>
  <c r="Y52" i="18"/>
  <c r="X52" i="18"/>
  <c r="W52" i="18"/>
  <c r="T52" i="18"/>
  <c r="S52" i="18"/>
  <c r="R52" i="18"/>
  <c r="Q52" i="18"/>
  <c r="P52" i="18"/>
  <c r="BE51" i="18"/>
  <c r="BD51" i="18"/>
  <c r="BC51" i="18"/>
  <c r="BB51" i="18"/>
  <c r="BA51" i="18"/>
  <c r="AX51" i="18"/>
  <c r="AW51" i="18"/>
  <c r="AV51" i="18"/>
  <c r="AU51" i="18"/>
  <c r="AT51" i="18"/>
  <c r="AQ51" i="18"/>
  <c r="AP51" i="18"/>
  <c r="AO51" i="18"/>
  <c r="AN51" i="18"/>
  <c r="AM51" i="18"/>
  <c r="AD51" i="18"/>
  <c r="AA51" i="18"/>
  <c r="Z51" i="18"/>
  <c r="Y51" i="18"/>
  <c r="X51" i="18"/>
  <c r="W51" i="18"/>
  <c r="T51" i="18"/>
  <c r="S51" i="18"/>
  <c r="R51" i="18"/>
  <c r="Q51" i="18"/>
  <c r="P51" i="18"/>
  <c r="BE50" i="18"/>
  <c r="BD50" i="18"/>
  <c r="BC50" i="18"/>
  <c r="BB50" i="18"/>
  <c r="BA50" i="18"/>
  <c r="AX50" i="18"/>
  <c r="AW50" i="18"/>
  <c r="AV50" i="18"/>
  <c r="AU50" i="18"/>
  <c r="AT50" i="18"/>
  <c r="AQ50" i="18"/>
  <c r="AP50" i="18"/>
  <c r="AO50" i="18"/>
  <c r="AN50" i="18"/>
  <c r="AM50" i="18"/>
  <c r="AD50" i="18"/>
  <c r="AA50" i="18"/>
  <c r="Z50" i="18"/>
  <c r="Y50" i="18"/>
  <c r="X50" i="18"/>
  <c r="W50" i="18"/>
  <c r="T50" i="18"/>
  <c r="S50" i="18"/>
  <c r="R50" i="18"/>
  <c r="Q50" i="18"/>
  <c r="P50" i="18"/>
  <c r="BE49" i="18"/>
  <c r="BD49" i="18"/>
  <c r="BC49" i="18"/>
  <c r="BB49" i="18"/>
  <c r="BA49" i="18"/>
  <c r="AX49" i="18"/>
  <c r="AW49" i="18"/>
  <c r="AV49" i="18"/>
  <c r="AU49" i="18"/>
  <c r="AT49" i="18"/>
  <c r="AQ49" i="18"/>
  <c r="AP49" i="18"/>
  <c r="AO49" i="18"/>
  <c r="AN49" i="18"/>
  <c r="AM49" i="18"/>
  <c r="AD49" i="18"/>
  <c r="AA49" i="18"/>
  <c r="Z49" i="18"/>
  <c r="Y49" i="18"/>
  <c r="X49" i="18"/>
  <c r="W49" i="18"/>
  <c r="T49" i="18"/>
  <c r="S49" i="18"/>
  <c r="R49" i="18"/>
  <c r="Q49" i="18"/>
  <c r="P49" i="18"/>
  <c r="BE48" i="18"/>
  <c r="BD48" i="18"/>
  <c r="BC48" i="18"/>
  <c r="BB48" i="18"/>
  <c r="BA48" i="18"/>
  <c r="AX48" i="18"/>
  <c r="AW48" i="18"/>
  <c r="AV48" i="18"/>
  <c r="AU48" i="18"/>
  <c r="AT48" i="18"/>
  <c r="AQ48" i="18"/>
  <c r="AP48" i="18"/>
  <c r="AO48" i="18"/>
  <c r="AN48" i="18"/>
  <c r="AM48" i="18"/>
  <c r="AD48" i="18"/>
  <c r="AA48" i="18"/>
  <c r="Z48" i="18"/>
  <c r="Y48" i="18"/>
  <c r="X48" i="18"/>
  <c r="W48" i="18"/>
  <c r="T48" i="18"/>
  <c r="S48" i="18"/>
  <c r="R48" i="18"/>
  <c r="Q48" i="18"/>
  <c r="P48" i="18"/>
  <c r="BE47" i="18"/>
  <c r="BD47" i="18"/>
  <c r="BC47" i="18"/>
  <c r="BB47" i="18"/>
  <c r="BA47" i="18"/>
  <c r="AX47" i="18"/>
  <c r="AW47" i="18"/>
  <c r="AV47" i="18"/>
  <c r="AU47" i="18"/>
  <c r="AT47" i="18"/>
  <c r="AQ47" i="18"/>
  <c r="AP47" i="18"/>
  <c r="AO47" i="18"/>
  <c r="AN47" i="18"/>
  <c r="AM47" i="18"/>
  <c r="AD47" i="18"/>
  <c r="AA47" i="18"/>
  <c r="Z47" i="18"/>
  <c r="Y47" i="18"/>
  <c r="X47" i="18"/>
  <c r="W47" i="18"/>
  <c r="T47" i="18"/>
  <c r="S47" i="18"/>
  <c r="R47" i="18"/>
  <c r="Q47" i="18"/>
  <c r="P47" i="18"/>
  <c r="BE46" i="18"/>
  <c r="BD46" i="18"/>
  <c r="BC46" i="18"/>
  <c r="BB46" i="18"/>
  <c r="BA46" i="18"/>
  <c r="AX46" i="18"/>
  <c r="AW46" i="18"/>
  <c r="AV46" i="18"/>
  <c r="AU46" i="18"/>
  <c r="AT46" i="18"/>
  <c r="AQ46" i="18"/>
  <c r="AP46" i="18"/>
  <c r="AO46" i="18"/>
  <c r="AN46" i="18"/>
  <c r="AM46" i="18"/>
  <c r="AD46" i="18"/>
  <c r="AA46" i="18"/>
  <c r="Z46" i="18"/>
  <c r="Y46" i="18"/>
  <c r="X46" i="18"/>
  <c r="W46" i="18"/>
  <c r="T46" i="18"/>
  <c r="S46" i="18"/>
  <c r="R46" i="18"/>
  <c r="Q46" i="18"/>
  <c r="P46" i="18"/>
  <c r="BE45" i="18"/>
  <c r="BD45" i="18"/>
  <c r="BC45" i="18"/>
  <c r="BB45" i="18"/>
  <c r="BA45" i="18"/>
  <c r="AX45" i="18"/>
  <c r="AW45" i="18"/>
  <c r="AV45" i="18"/>
  <c r="AU45" i="18"/>
  <c r="AT45" i="18"/>
  <c r="AQ45" i="18"/>
  <c r="AP45" i="18"/>
  <c r="AO45" i="18"/>
  <c r="AN45" i="18"/>
  <c r="AM45" i="18"/>
  <c r="AD45" i="18"/>
  <c r="AA45" i="18"/>
  <c r="Z45" i="18"/>
  <c r="Y45" i="18"/>
  <c r="X45" i="18"/>
  <c r="W45" i="18"/>
  <c r="T45" i="18"/>
  <c r="S45" i="18"/>
  <c r="R45" i="18"/>
  <c r="Q45" i="18"/>
  <c r="P45" i="18"/>
  <c r="BE44" i="18"/>
  <c r="BD44" i="18"/>
  <c r="BC44" i="18"/>
  <c r="BB44" i="18"/>
  <c r="BA44" i="18"/>
  <c r="AX44" i="18"/>
  <c r="AW44" i="18"/>
  <c r="AV44" i="18"/>
  <c r="AU44" i="18"/>
  <c r="AT44" i="18"/>
  <c r="AQ44" i="18"/>
  <c r="AP44" i="18"/>
  <c r="AO44" i="18"/>
  <c r="AN44" i="18"/>
  <c r="AM44" i="18"/>
  <c r="AD44" i="18"/>
  <c r="AA44" i="18"/>
  <c r="Z44" i="18"/>
  <c r="Y44" i="18"/>
  <c r="X44" i="18"/>
  <c r="W44" i="18"/>
  <c r="T44" i="18"/>
  <c r="S44" i="18"/>
  <c r="R44" i="18"/>
  <c r="Q44" i="18"/>
  <c r="P44" i="18"/>
  <c r="BE43" i="18"/>
  <c r="BD43" i="18"/>
  <c r="BC43" i="18"/>
  <c r="BB43" i="18"/>
  <c r="BA43" i="18"/>
  <c r="AX43" i="18"/>
  <c r="AW43" i="18"/>
  <c r="AV43" i="18"/>
  <c r="AU43" i="18"/>
  <c r="AT43" i="18"/>
  <c r="AQ43" i="18"/>
  <c r="AP43" i="18"/>
  <c r="AO43" i="18"/>
  <c r="AN43" i="18"/>
  <c r="AM43" i="18"/>
  <c r="AD43" i="18"/>
  <c r="AA43" i="18"/>
  <c r="Z43" i="18"/>
  <c r="Y43" i="18"/>
  <c r="X43" i="18"/>
  <c r="W43" i="18"/>
  <c r="T43" i="18"/>
  <c r="S43" i="18"/>
  <c r="R43" i="18"/>
  <c r="Q43" i="18"/>
  <c r="P43" i="18"/>
  <c r="BE42" i="18"/>
  <c r="BD42" i="18"/>
  <c r="BC42" i="18"/>
  <c r="BB42" i="18"/>
  <c r="BA42" i="18"/>
  <c r="AX42" i="18"/>
  <c r="AW42" i="18"/>
  <c r="AV42" i="18"/>
  <c r="AU42" i="18"/>
  <c r="AT42" i="18"/>
  <c r="AQ42" i="18"/>
  <c r="AP42" i="18"/>
  <c r="AO42" i="18"/>
  <c r="AN42" i="18"/>
  <c r="AM42" i="18"/>
  <c r="AD42" i="18"/>
  <c r="AA42" i="18"/>
  <c r="Z42" i="18"/>
  <c r="Y42" i="18"/>
  <c r="X42" i="18"/>
  <c r="W42" i="18"/>
  <c r="T42" i="18"/>
  <c r="S42" i="18"/>
  <c r="R42" i="18"/>
  <c r="Q42" i="18"/>
  <c r="P42" i="18"/>
  <c r="BE41" i="18"/>
  <c r="BD41" i="18"/>
  <c r="BC41" i="18"/>
  <c r="BB41" i="18"/>
  <c r="BA41" i="18"/>
  <c r="AX41" i="18"/>
  <c r="AW41" i="18"/>
  <c r="AV41" i="18"/>
  <c r="AU41" i="18"/>
  <c r="AT41" i="18"/>
  <c r="AQ41" i="18"/>
  <c r="AP41" i="18"/>
  <c r="AO41" i="18"/>
  <c r="AN41" i="18"/>
  <c r="AM41" i="18"/>
  <c r="AD41" i="18"/>
  <c r="AA41" i="18"/>
  <c r="Z41" i="18"/>
  <c r="Y41" i="18"/>
  <c r="X41" i="18"/>
  <c r="W41" i="18"/>
  <c r="T41" i="18"/>
  <c r="S41" i="18"/>
  <c r="R41" i="18"/>
  <c r="Q41" i="18"/>
  <c r="P41" i="18"/>
  <c r="BE40" i="18"/>
  <c r="BD40" i="18"/>
  <c r="BC40" i="18"/>
  <c r="BB40" i="18"/>
  <c r="BA40" i="18"/>
  <c r="AX40" i="18"/>
  <c r="AW40" i="18"/>
  <c r="AV40" i="18"/>
  <c r="AU40" i="18"/>
  <c r="AT40" i="18"/>
  <c r="AQ40" i="18"/>
  <c r="AP40" i="18"/>
  <c r="AO40" i="18"/>
  <c r="AN40" i="18"/>
  <c r="AM40" i="18"/>
  <c r="AD40" i="18"/>
  <c r="AA40" i="18"/>
  <c r="Z40" i="18"/>
  <c r="Y40" i="18"/>
  <c r="X40" i="18"/>
  <c r="W40" i="18"/>
  <c r="T40" i="18"/>
  <c r="S40" i="18"/>
  <c r="R40" i="18"/>
  <c r="Q40" i="18"/>
  <c r="P40" i="18"/>
  <c r="BE39" i="18"/>
  <c r="BD39" i="18"/>
  <c r="BC39" i="18"/>
  <c r="BB39" i="18"/>
  <c r="BA39" i="18"/>
  <c r="AX39" i="18"/>
  <c r="AW39" i="18"/>
  <c r="AV39" i="18"/>
  <c r="AU39" i="18"/>
  <c r="AT39" i="18"/>
  <c r="AQ39" i="18"/>
  <c r="AP39" i="18"/>
  <c r="AO39" i="18"/>
  <c r="AN39" i="18"/>
  <c r="AM39" i="18"/>
  <c r="AD39" i="18"/>
  <c r="AA39" i="18"/>
  <c r="Z39" i="18"/>
  <c r="Y39" i="18"/>
  <c r="X39" i="18"/>
  <c r="W39" i="18"/>
  <c r="T39" i="18"/>
  <c r="S39" i="18"/>
  <c r="R39" i="18"/>
  <c r="Q39" i="18"/>
  <c r="P39" i="18"/>
  <c r="BE38" i="18"/>
  <c r="BD38" i="18"/>
  <c r="BC38" i="18"/>
  <c r="BB38" i="18"/>
  <c r="BA38" i="18"/>
  <c r="AX38" i="18"/>
  <c r="AW38" i="18"/>
  <c r="AV38" i="18"/>
  <c r="AU38" i="18"/>
  <c r="AT38" i="18"/>
  <c r="AQ38" i="18"/>
  <c r="AP38" i="18"/>
  <c r="AO38" i="18"/>
  <c r="AN38" i="18"/>
  <c r="AM38" i="18"/>
  <c r="AD38" i="18"/>
  <c r="AA38" i="18"/>
  <c r="Z38" i="18"/>
  <c r="Y38" i="18"/>
  <c r="X38" i="18"/>
  <c r="W38" i="18"/>
  <c r="T38" i="18"/>
  <c r="S38" i="18"/>
  <c r="R38" i="18"/>
  <c r="Q38" i="18"/>
  <c r="P38" i="18"/>
  <c r="BE37" i="18"/>
  <c r="BD37" i="18"/>
  <c r="BC37" i="18"/>
  <c r="BB37" i="18"/>
  <c r="BA37" i="18"/>
  <c r="AX37" i="18"/>
  <c r="AW37" i="18"/>
  <c r="AV37" i="18"/>
  <c r="AU37" i="18"/>
  <c r="AT37" i="18"/>
  <c r="AQ37" i="18"/>
  <c r="AP37" i="18"/>
  <c r="AO37" i="18"/>
  <c r="AN37" i="18"/>
  <c r="AM37" i="18"/>
  <c r="AD37" i="18"/>
  <c r="AA37" i="18"/>
  <c r="Z37" i="18"/>
  <c r="Y37" i="18"/>
  <c r="X37" i="18"/>
  <c r="W37" i="18"/>
  <c r="T37" i="18"/>
  <c r="S37" i="18"/>
  <c r="R37" i="18"/>
  <c r="Q37" i="18"/>
  <c r="P37" i="18"/>
  <c r="BE36" i="18"/>
  <c r="BD36" i="18"/>
  <c r="BC36" i="18"/>
  <c r="BB36" i="18"/>
  <c r="BA36" i="18"/>
  <c r="AX36" i="18"/>
  <c r="AW36" i="18"/>
  <c r="AV36" i="18"/>
  <c r="AU36" i="18"/>
  <c r="AT36" i="18"/>
  <c r="AQ36" i="18"/>
  <c r="AP36" i="18"/>
  <c r="AO36" i="18"/>
  <c r="AN36" i="18"/>
  <c r="AM36" i="18"/>
  <c r="AD36" i="18"/>
  <c r="AA36" i="18"/>
  <c r="Z36" i="18"/>
  <c r="Y36" i="18"/>
  <c r="X36" i="18"/>
  <c r="W36" i="18"/>
  <c r="T36" i="18"/>
  <c r="S36" i="18"/>
  <c r="R36" i="18"/>
  <c r="Q36" i="18"/>
  <c r="P36" i="18"/>
  <c r="BE35" i="18"/>
  <c r="BD35" i="18"/>
  <c r="BC35" i="18"/>
  <c r="BB35" i="18"/>
  <c r="BA35" i="18"/>
  <c r="AX35" i="18"/>
  <c r="AW35" i="18"/>
  <c r="AV35" i="18"/>
  <c r="AU35" i="18"/>
  <c r="AT35" i="18"/>
  <c r="AQ35" i="18"/>
  <c r="AP35" i="18"/>
  <c r="AO35" i="18"/>
  <c r="AN35" i="18"/>
  <c r="AM35" i="18"/>
  <c r="AD35" i="18"/>
  <c r="AA35" i="18"/>
  <c r="Z35" i="18"/>
  <c r="Y35" i="18"/>
  <c r="X35" i="18"/>
  <c r="W35" i="18"/>
  <c r="T35" i="18"/>
  <c r="S35" i="18"/>
  <c r="R35" i="18"/>
  <c r="Q35" i="18"/>
  <c r="P35" i="18"/>
  <c r="BE34" i="18"/>
  <c r="BD34" i="18"/>
  <c r="BC34" i="18"/>
  <c r="BB34" i="18"/>
  <c r="BA34" i="18"/>
  <c r="AX34" i="18"/>
  <c r="AW34" i="18"/>
  <c r="AV34" i="18"/>
  <c r="AU34" i="18"/>
  <c r="AT34" i="18"/>
  <c r="AQ34" i="18"/>
  <c r="AP34" i="18"/>
  <c r="AO34" i="18"/>
  <c r="AN34" i="18"/>
  <c r="AM34" i="18"/>
  <c r="AD34" i="18"/>
  <c r="AA34" i="18"/>
  <c r="Z34" i="18"/>
  <c r="Y34" i="18"/>
  <c r="X34" i="18"/>
  <c r="W34" i="18"/>
  <c r="T34" i="18"/>
  <c r="S34" i="18"/>
  <c r="R34" i="18"/>
  <c r="Q34" i="18"/>
  <c r="P34" i="18"/>
  <c r="BE33" i="18"/>
  <c r="BD33" i="18"/>
  <c r="BC33" i="18"/>
  <c r="BB33" i="18"/>
  <c r="BA33" i="18"/>
  <c r="AX33" i="18"/>
  <c r="AW33" i="18"/>
  <c r="AV33" i="18"/>
  <c r="AU33" i="18"/>
  <c r="AT33" i="18"/>
  <c r="AQ33" i="18"/>
  <c r="AP33" i="18"/>
  <c r="AO33" i="18"/>
  <c r="AN33" i="18"/>
  <c r="AM33" i="18"/>
  <c r="AD33" i="18"/>
  <c r="AA33" i="18"/>
  <c r="Z33" i="18"/>
  <c r="Y33" i="18"/>
  <c r="X33" i="18"/>
  <c r="W33" i="18"/>
  <c r="T33" i="18"/>
  <c r="S33" i="18"/>
  <c r="R33" i="18"/>
  <c r="Q33" i="18"/>
  <c r="P33" i="18"/>
  <c r="BE32" i="18"/>
  <c r="BD32" i="18"/>
  <c r="BC32" i="18"/>
  <c r="BB32" i="18"/>
  <c r="BA32" i="18"/>
  <c r="AX32" i="18"/>
  <c r="AW32" i="18"/>
  <c r="AV32" i="18"/>
  <c r="AU32" i="18"/>
  <c r="AT32" i="18"/>
  <c r="AQ32" i="18"/>
  <c r="AP32" i="18"/>
  <c r="AO32" i="18"/>
  <c r="AN32" i="18"/>
  <c r="AM32" i="18"/>
  <c r="AD32" i="18"/>
  <c r="AA32" i="18"/>
  <c r="Z32" i="18"/>
  <c r="Y32" i="18"/>
  <c r="X32" i="18"/>
  <c r="W32" i="18"/>
  <c r="T32" i="18"/>
  <c r="S32" i="18"/>
  <c r="R32" i="18"/>
  <c r="Q32" i="18"/>
  <c r="P32" i="18"/>
  <c r="BE31" i="18"/>
  <c r="BD31" i="18"/>
  <c r="BC31" i="18"/>
  <c r="BB31" i="18"/>
  <c r="BA31" i="18"/>
  <c r="AX31" i="18"/>
  <c r="AW31" i="18"/>
  <c r="AV31" i="18"/>
  <c r="AU31" i="18"/>
  <c r="AT31" i="18"/>
  <c r="AQ31" i="18"/>
  <c r="AP31" i="18"/>
  <c r="AO31" i="18"/>
  <c r="AN31" i="18"/>
  <c r="AM31" i="18"/>
  <c r="AD31" i="18"/>
  <c r="AA31" i="18"/>
  <c r="Z31" i="18"/>
  <c r="Y31" i="18"/>
  <c r="X31" i="18"/>
  <c r="W31" i="18"/>
  <c r="T31" i="18"/>
  <c r="S31" i="18"/>
  <c r="R31" i="18"/>
  <c r="Q31" i="18"/>
  <c r="P31" i="18"/>
  <c r="BE30" i="18"/>
  <c r="BD30" i="18"/>
  <c r="BC30" i="18"/>
  <c r="BB30" i="18"/>
  <c r="BA30" i="18"/>
  <c r="AX30" i="18"/>
  <c r="AW30" i="18"/>
  <c r="AV30" i="18"/>
  <c r="AU30" i="18"/>
  <c r="AT30" i="18"/>
  <c r="AQ30" i="18"/>
  <c r="AP30" i="18"/>
  <c r="AO30" i="18"/>
  <c r="AN30" i="18"/>
  <c r="AM30" i="18"/>
  <c r="AD30" i="18"/>
  <c r="AA30" i="18"/>
  <c r="Z30" i="18"/>
  <c r="Y30" i="18"/>
  <c r="X30" i="18"/>
  <c r="W30" i="18"/>
  <c r="T30" i="18"/>
  <c r="S30" i="18"/>
  <c r="R30" i="18"/>
  <c r="Q30" i="18"/>
  <c r="P30" i="18"/>
  <c r="BE29" i="18"/>
  <c r="BD29" i="18"/>
  <c r="BC29" i="18"/>
  <c r="BB29" i="18"/>
  <c r="BA29" i="18"/>
  <c r="AX29" i="18"/>
  <c r="AW29" i="18"/>
  <c r="AV29" i="18"/>
  <c r="AU29" i="18"/>
  <c r="AT29" i="18"/>
  <c r="AQ29" i="18"/>
  <c r="AP29" i="18"/>
  <c r="AO29" i="18"/>
  <c r="AN29" i="18"/>
  <c r="AM29" i="18"/>
  <c r="AD29" i="18"/>
  <c r="AA29" i="18"/>
  <c r="Z29" i="18"/>
  <c r="Y29" i="18"/>
  <c r="X29" i="18"/>
  <c r="W29" i="18"/>
  <c r="T29" i="18"/>
  <c r="S29" i="18"/>
  <c r="R29" i="18"/>
  <c r="Q29" i="18"/>
  <c r="P29" i="18"/>
  <c r="BE28" i="18"/>
  <c r="BD28" i="18"/>
  <c r="BC28" i="18"/>
  <c r="BB28" i="18"/>
  <c r="BA28" i="18"/>
  <c r="AX28" i="18"/>
  <c r="AW28" i="18"/>
  <c r="AV28" i="18"/>
  <c r="AU28" i="18"/>
  <c r="AT28" i="18"/>
  <c r="AQ28" i="18"/>
  <c r="AP28" i="18"/>
  <c r="AO28" i="18"/>
  <c r="AN28" i="18"/>
  <c r="AM28" i="18"/>
  <c r="AD28" i="18"/>
  <c r="AA28" i="18"/>
  <c r="Z28" i="18"/>
  <c r="Y28" i="18"/>
  <c r="X28" i="18"/>
  <c r="W28" i="18"/>
  <c r="T28" i="18"/>
  <c r="S28" i="18"/>
  <c r="R28" i="18"/>
  <c r="Q28" i="18"/>
  <c r="P28" i="18"/>
  <c r="BE27" i="18"/>
  <c r="BD27" i="18"/>
  <c r="BC27" i="18"/>
  <c r="BB27" i="18"/>
  <c r="BA27" i="18"/>
  <c r="AX27" i="18"/>
  <c r="AW27" i="18"/>
  <c r="AV27" i="18"/>
  <c r="AU27" i="18"/>
  <c r="AT27" i="18"/>
  <c r="AQ27" i="18"/>
  <c r="AP27" i="18"/>
  <c r="AO27" i="18"/>
  <c r="AN27" i="18"/>
  <c r="AM27" i="18"/>
  <c r="AD27" i="18"/>
  <c r="AA27" i="18"/>
  <c r="Z27" i="18"/>
  <c r="Y27" i="18"/>
  <c r="X27" i="18"/>
  <c r="W27" i="18"/>
  <c r="T27" i="18"/>
  <c r="S27" i="18"/>
  <c r="R27" i="18"/>
  <c r="Q27" i="18"/>
  <c r="P27" i="18"/>
  <c r="BE26" i="18"/>
  <c r="BD26" i="18"/>
  <c r="BC26" i="18"/>
  <c r="BB26" i="18"/>
  <c r="BA26" i="18"/>
  <c r="AX26" i="18"/>
  <c r="AW26" i="18"/>
  <c r="AV26" i="18"/>
  <c r="AU26" i="18"/>
  <c r="AT26" i="18"/>
  <c r="AQ26" i="18"/>
  <c r="AP26" i="18"/>
  <c r="AO26" i="18"/>
  <c r="AN26" i="18"/>
  <c r="AM26" i="18"/>
  <c r="AD26" i="18"/>
  <c r="AA26" i="18"/>
  <c r="Z26" i="18"/>
  <c r="Y26" i="18"/>
  <c r="X26" i="18"/>
  <c r="W26" i="18"/>
  <c r="T26" i="18"/>
  <c r="S26" i="18"/>
  <c r="R26" i="18"/>
  <c r="Q26" i="18"/>
  <c r="P26" i="18"/>
  <c r="BE25" i="18"/>
  <c r="BD25" i="18"/>
  <c r="BC25" i="18"/>
  <c r="BB25" i="18"/>
  <c r="BA25" i="18"/>
  <c r="AX25" i="18"/>
  <c r="AW25" i="18"/>
  <c r="AV25" i="18"/>
  <c r="AU25" i="18"/>
  <c r="AT25" i="18"/>
  <c r="AQ25" i="18"/>
  <c r="AP25" i="18"/>
  <c r="AO25" i="18"/>
  <c r="AN25" i="18"/>
  <c r="AM25" i="18"/>
  <c r="AD25" i="18"/>
  <c r="AA25" i="18"/>
  <c r="Z25" i="18"/>
  <c r="Y25" i="18"/>
  <c r="X25" i="18"/>
  <c r="W25" i="18"/>
  <c r="T25" i="18"/>
  <c r="S25" i="18"/>
  <c r="R25" i="18"/>
  <c r="Q25" i="18"/>
  <c r="P25" i="18"/>
  <c r="BE24" i="18"/>
  <c r="BD24" i="18"/>
  <c r="BC24" i="18"/>
  <c r="BB24" i="18"/>
  <c r="BA24" i="18"/>
  <c r="AX24" i="18"/>
  <c r="AW24" i="18"/>
  <c r="AV24" i="18"/>
  <c r="AU24" i="18"/>
  <c r="AT24" i="18"/>
  <c r="AQ24" i="18"/>
  <c r="AP24" i="18"/>
  <c r="AO24" i="18"/>
  <c r="AN24" i="18"/>
  <c r="AM24" i="18"/>
  <c r="AD24" i="18"/>
  <c r="AA24" i="18"/>
  <c r="Z24" i="18"/>
  <c r="Y24" i="18"/>
  <c r="X24" i="18"/>
  <c r="W24" i="18"/>
  <c r="T24" i="18"/>
  <c r="S24" i="18"/>
  <c r="R24" i="18"/>
  <c r="Q24" i="18"/>
  <c r="P24" i="18"/>
  <c r="BE23" i="18"/>
  <c r="BD23" i="18"/>
  <c r="BC23" i="18"/>
  <c r="BB23" i="18"/>
  <c r="BA23" i="18"/>
  <c r="AX23" i="18"/>
  <c r="AW23" i="18"/>
  <c r="AV23" i="18"/>
  <c r="AU23" i="18"/>
  <c r="AT23" i="18"/>
  <c r="AQ23" i="18"/>
  <c r="AP23" i="18"/>
  <c r="AO23" i="18"/>
  <c r="AN23" i="18"/>
  <c r="AM23" i="18"/>
  <c r="AD23" i="18"/>
  <c r="AA23" i="18"/>
  <c r="Z23" i="18"/>
  <c r="Y23" i="18"/>
  <c r="X23" i="18"/>
  <c r="W23" i="18"/>
  <c r="T23" i="18"/>
  <c r="S23" i="18"/>
  <c r="R23" i="18"/>
  <c r="Q23" i="18"/>
  <c r="P23" i="18"/>
  <c r="BE22" i="18"/>
  <c r="BD22" i="18"/>
  <c r="BC22" i="18"/>
  <c r="BB22" i="18"/>
  <c r="BA22" i="18"/>
  <c r="AX22" i="18"/>
  <c r="AW22" i="18"/>
  <c r="AV22" i="18"/>
  <c r="AU22" i="18"/>
  <c r="AT22" i="18"/>
  <c r="AQ22" i="18"/>
  <c r="AP22" i="18"/>
  <c r="AO22" i="18"/>
  <c r="AN22" i="18"/>
  <c r="AM22" i="18"/>
  <c r="AD22" i="18"/>
  <c r="AA22" i="18"/>
  <c r="Z22" i="18"/>
  <c r="Y22" i="18"/>
  <c r="X22" i="18"/>
  <c r="W22" i="18"/>
  <c r="T22" i="18"/>
  <c r="S22" i="18"/>
  <c r="R22" i="18"/>
  <c r="Q22" i="18"/>
  <c r="P22" i="18"/>
  <c r="BE21" i="18"/>
  <c r="BD21" i="18"/>
  <c r="BC21" i="18"/>
  <c r="BB21" i="18"/>
  <c r="BA21" i="18"/>
  <c r="AX21" i="18"/>
  <c r="AW21" i="18"/>
  <c r="AV21" i="18"/>
  <c r="AU21" i="18"/>
  <c r="AT21" i="18"/>
  <c r="AQ21" i="18"/>
  <c r="AP21" i="18"/>
  <c r="AO21" i="18"/>
  <c r="AN21" i="18"/>
  <c r="AM21" i="18"/>
  <c r="AD21" i="18"/>
  <c r="W21" i="18"/>
  <c r="T21" i="18"/>
  <c r="S21" i="18"/>
  <c r="R21" i="18"/>
  <c r="Q21" i="18"/>
  <c r="P21" i="18"/>
  <c r="BE20" i="18"/>
  <c r="BD20" i="18"/>
  <c r="BC20" i="18"/>
  <c r="BB20" i="18"/>
  <c r="BA20" i="18"/>
  <c r="AX20" i="18"/>
  <c r="AW20" i="18"/>
  <c r="AV20" i="18"/>
  <c r="AU20" i="18"/>
  <c r="AT20" i="18"/>
  <c r="AQ20" i="18"/>
  <c r="AP20" i="18"/>
  <c r="AO20" i="18"/>
  <c r="AN20" i="18"/>
  <c r="AM20" i="18"/>
  <c r="AD20" i="18"/>
  <c r="W20" i="18"/>
  <c r="P20" i="18"/>
  <c r="BE19" i="18"/>
  <c r="BD19" i="18"/>
  <c r="BC19" i="18"/>
  <c r="BB19" i="18"/>
  <c r="BA19" i="18"/>
  <c r="AX19" i="18"/>
  <c r="AW19" i="18"/>
  <c r="AV19" i="18"/>
  <c r="AU19" i="18"/>
  <c r="AT19" i="18"/>
  <c r="AQ19" i="18"/>
  <c r="AP19" i="18"/>
  <c r="AO19" i="18"/>
  <c r="AN19" i="18"/>
  <c r="AM19" i="18"/>
  <c r="AD19" i="18"/>
  <c r="W19" i="18"/>
  <c r="P19" i="18"/>
  <c r="BE18" i="18"/>
  <c r="BD18" i="18"/>
  <c r="BC18" i="18"/>
  <c r="BB18" i="18"/>
  <c r="BA18" i="18"/>
  <c r="AX18" i="18"/>
  <c r="AW18" i="18"/>
  <c r="AV18" i="18"/>
  <c r="AU18" i="18"/>
  <c r="AT18" i="18"/>
  <c r="AQ18" i="18"/>
  <c r="AP18" i="18"/>
  <c r="AO18" i="18"/>
  <c r="AN18" i="18"/>
  <c r="AM18" i="18"/>
  <c r="AD18" i="18"/>
  <c r="W18" i="18"/>
  <c r="P18" i="18"/>
  <c r="BE17" i="18"/>
  <c r="BD17" i="18"/>
  <c r="BC17" i="18"/>
  <c r="BB17" i="18"/>
  <c r="BA17" i="18"/>
  <c r="AX17" i="18"/>
  <c r="AW17" i="18"/>
  <c r="AV17" i="18"/>
  <c r="AU17" i="18"/>
  <c r="AT17" i="18"/>
  <c r="AQ17" i="18"/>
  <c r="AP17" i="18"/>
  <c r="AO17" i="18"/>
  <c r="AN17" i="18"/>
  <c r="AM17" i="18"/>
  <c r="AD17" i="18"/>
  <c r="W17" i="18"/>
  <c r="P17" i="18"/>
  <c r="BE16" i="18"/>
  <c r="BD16" i="18"/>
  <c r="BC16" i="18"/>
  <c r="BB16" i="18"/>
  <c r="BA16" i="18"/>
  <c r="AX16" i="18"/>
  <c r="AW16" i="18"/>
  <c r="AV16" i="18"/>
  <c r="AU16" i="18"/>
  <c r="AT16" i="18"/>
  <c r="AQ16" i="18"/>
  <c r="AP16" i="18"/>
  <c r="AO16" i="18"/>
  <c r="AN16" i="18"/>
  <c r="AM16" i="18"/>
  <c r="AD16" i="18"/>
  <c r="W16" i="18"/>
  <c r="P16" i="18"/>
  <c r="BE15" i="18"/>
  <c r="BD15" i="18"/>
  <c r="BC15" i="18"/>
  <c r="BB15" i="18"/>
  <c r="BA15" i="18"/>
  <c r="AX15" i="18"/>
  <c r="AW15" i="18"/>
  <c r="AV15" i="18"/>
  <c r="AU15" i="18"/>
  <c r="AT15" i="18"/>
  <c r="AQ15" i="18"/>
  <c r="AP15" i="18"/>
  <c r="AO15" i="18"/>
  <c r="AN15" i="18"/>
  <c r="AM15" i="18"/>
  <c r="AD15" i="18"/>
  <c r="W15" i="18"/>
  <c r="P15" i="18"/>
  <c r="BE14" i="18"/>
  <c r="BD14" i="18"/>
  <c r="BC14" i="18"/>
  <c r="BB14" i="18"/>
  <c r="BA14" i="18"/>
  <c r="AX14" i="18"/>
  <c r="AW14" i="18"/>
  <c r="AV14" i="18"/>
  <c r="AU14" i="18"/>
  <c r="AT14" i="18"/>
  <c r="AQ14" i="18"/>
  <c r="AP14" i="18"/>
  <c r="AO14" i="18"/>
  <c r="AN14" i="18"/>
  <c r="AM14" i="18"/>
  <c r="AD14" i="18"/>
  <c r="W14" i="18"/>
  <c r="P14" i="18"/>
  <c r="BE13" i="18"/>
  <c r="BD13" i="18"/>
  <c r="BC13" i="18"/>
  <c r="BB13" i="18"/>
  <c r="BA13" i="18"/>
  <c r="AX13" i="18"/>
  <c r="AW13" i="18"/>
  <c r="AV13" i="18"/>
  <c r="AU13" i="18"/>
  <c r="AT13" i="18"/>
  <c r="AQ13" i="18"/>
  <c r="AP13" i="18"/>
  <c r="AO13" i="18"/>
  <c r="AN13" i="18"/>
  <c r="AM13" i="18"/>
  <c r="AD13" i="18"/>
  <c r="W13" i="18"/>
  <c r="P13" i="18"/>
  <c r="BE12" i="18"/>
  <c r="BD12" i="18"/>
  <c r="BC12" i="18"/>
  <c r="BB12" i="18"/>
  <c r="BA12" i="18"/>
  <c r="AX12" i="18"/>
  <c r="AW12" i="18"/>
  <c r="AV12" i="18"/>
  <c r="AU12" i="18"/>
  <c r="AT12" i="18"/>
  <c r="AQ12" i="18"/>
  <c r="AP12" i="18"/>
  <c r="AO12" i="18"/>
  <c r="AN12" i="18"/>
  <c r="AM12" i="18"/>
  <c r="AD12" i="18"/>
  <c r="W12" i="18"/>
  <c r="P12" i="18"/>
  <c r="BE11" i="18"/>
  <c r="BD11" i="18"/>
  <c r="BC11" i="18"/>
  <c r="BB11" i="18"/>
  <c r="BA11" i="18"/>
  <c r="AX11" i="18"/>
  <c r="AW11" i="18"/>
  <c r="AV11" i="18"/>
  <c r="AU11" i="18"/>
  <c r="AT11" i="18"/>
  <c r="AQ11" i="18"/>
  <c r="AP11" i="18"/>
  <c r="AO11" i="18"/>
  <c r="AN11" i="18"/>
  <c r="AM11" i="18"/>
  <c r="AD11" i="18"/>
  <c r="W11" i="18"/>
  <c r="P11" i="18"/>
  <c r="BE10" i="18"/>
  <c r="BD10" i="18"/>
  <c r="BC10" i="18"/>
  <c r="BB10" i="18"/>
  <c r="BA10" i="18"/>
  <c r="AX10" i="18"/>
  <c r="AW10" i="18"/>
  <c r="AV10" i="18"/>
  <c r="AU10" i="18"/>
  <c r="AT10" i="18"/>
  <c r="AQ10" i="18"/>
  <c r="AP10" i="18"/>
  <c r="AO10" i="18"/>
  <c r="AN10" i="18"/>
  <c r="AM10" i="18"/>
  <c r="AD10" i="18"/>
  <c r="W10" i="18"/>
  <c r="P10" i="18"/>
  <c r="BE9" i="18"/>
  <c r="BD9" i="18"/>
  <c r="BC9" i="18"/>
  <c r="BB9" i="18"/>
  <c r="BA9" i="18"/>
  <c r="AX9" i="18"/>
  <c r="AW9" i="18"/>
  <c r="AV9" i="18"/>
  <c r="AU9" i="18"/>
  <c r="AT9" i="18"/>
  <c r="AQ9" i="18"/>
  <c r="AP9" i="18"/>
  <c r="AO9" i="18"/>
  <c r="AN9" i="18"/>
  <c r="AM9" i="18"/>
  <c r="AD9" i="18"/>
  <c r="W9" i="18"/>
  <c r="P9" i="18"/>
  <c r="BE8" i="18"/>
  <c r="BD8" i="18"/>
  <c r="BC8" i="18"/>
  <c r="BB8" i="18"/>
  <c r="BA8" i="18"/>
  <c r="AX8" i="18"/>
  <c r="AW8" i="18"/>
  <c r="AV8" i="18"/>
  <c r="AU8" i="18"/>
  <c r="AT8" i="18"/>
  <c r="AQ8" i="18"/>
  <c r="AP8" i="18"/>
  <c r="AO8" i="18"/>
  <c r="AN8" i="18"/>
  <c r="AM8" i="18"/>
  <c r="AD8" i="18"/>
  <c r="W8" i="18"/>
  <c r="P8" i="18"/>
  <c r="BE7" i="18"/>
  <c r="BD7" i="18"/>
  <c r="BC7" i="18"/>
  <c r="BB7" i="18"/>
  <c r="BA7" i="18"/>
  <c r="AX7" i="18"/>
  <c r="AW7" i="18"/>
  <c r="AV7" i="18"/>
  <c r="AU7" i="18"/>
  <c r="AT7" i="18"/>
  <c r="AQ7" i="18"/>
  <c r="AP7" i="18"/>
  <c r="AO7" i="18"/>
  <c r="AN7" i="18"/>
  <c r="AM7" i="18"/>
  <c r="AD7" i="18"/>
  <c r="W7" i="18"/>
  <c r="P7" i="18"/>
  <c r="BE6" i="18"/>
  <c r="BD6" i="18"/>
  <c r="BC6" i="18"/>
  <c r="BB6" i="18"/>
  <c r="BA6" i="18"/>
  <c r="AX6" i="18"/>
  <c r="AW6" i="18"/>
  <c r="AV6" i="18"/>
  <c r="AU6" i="18"/>
  <c r="AT6" i="18"/>
  <c r="AQ6" i="18"/>
  <c r="AP6" i="18"/>
  <c r="AO6" i="18"/>
  <c r="AN6" i="18"/>
  <c r="AM6" i="18"/>
  <c r="AD6" i="18"/>
  <c r="W6" i="18"/>
  <c r="P6" i="18"/>
  <c r="BE5" i="18"/>
  <c r="BD5" i="18"/>
  <c r="BC5" i="18"/>
  <c r="BB5" i="18"/>
  <c r="BA5" i="18"/>
  <c r="AX5" i="18"/>
  <c r="AW5" i="18"/>
  <c r="AV5" i="18"/>
  <c r="AU5" i="18"/>
  <c r="AT5" i="18"/>
  <c r="AQ5" i="18"/>
  <c r="AP5" i="18"/>
  <c r="AO5" i="18"/>
  <c r="AN5" i="18"/>
  <c r="AM5" i="18"/>
  <c r="AD5" i="18"/>
  <c r="AA5" i="18"/>
  <c r="Z5" i="18"/>
  <c r="Y5" i="18"/>
  <c r="X5" i="18"/>
  <c r="W5" i="18"/>
  <c r="T5" i="18"/>
  <c r="S5" i="18"/>
  <c r="R5" i="18"/>
  <c r="Q5" i="18"/>
  <c r="P5" i="18"/>
  <c r="BE4" i="18"/>
  <c r="BD4" i="18"/>
  <c r="BC4" i="18"/>
  <c r="BB4" i="18"/>
  <c r="BA4" i="18"/>
  <c r="AX4" i="18"/>
  <c r="AW4" i="18"/>
  <c r="AV4" i="18"/>
  <c r="AU4" i="18"/>
  <c r="AT4" i="18"/>
  <c r="AQ4" i="18"/>
  <c r="AP4" i="18"/>
  <c r="AO4" i="18"/>
  <c r="AN4" i="18"/>
  <c r="AM4" i="18"/>
  <c r="AD4" i="18"/>
  <c r="AA4" i="18"/>
  <c r="Z4" i="18"/>
  <c r="Y4" i="18"/>
  <c r="X4" i="18"/>
  <c r="W4" i="18"/>
  <c r="T4" i="18"/>
  <c r="S4" i="18"/>
  <c r="R4" i="18"/>
  <c r="Q4" i="18"/>
  <c r="P4" i="18"/>
  <c r="K11" i="47"/>
  <c r="J6" i="47"/>
  <c r="Y8" i="51"/>
  <c r="X8" i="51"/>
  <c r="W8" i="51"/>
  <c r="V8" i="51"/>
  <c r="U8" i="51"/>
  <c r="T8" i="51"/>
  <c r="S8" i="51"/>
  <c r="Y9" i="51"/>
  <c r="Y10" i="51"/>
  <c r="Y11" i="51"/>
  <c r="Y12" i="51"/>
  <c r="Y13" i="51"/>
  <c r="Y14" i="51"/>
  <c r="X9" i="51"/>
  <c r="X10" i="51"/>
  <c r="X11" i="51"/>
  <c r="X12" i="51"/>
  <c r="X13" i="51"/>
  <c r="X14" i="51"/>
  <c r="W9" i="51"/>
  <c r="W10" i="51"/>
  <c r="W11" i="51"/>
  <c r="W12" i="51"/>
  <c r="W13" i="51"/>
  <c r="W14" i="51"/>
  <c r="V13" i="51"/>
  <c r="V14" i="51"/>
  <c r="V9" i="51"/>
  <c r="V10" i="51"/>
  <c r="V11" i="51"/>
  <c r="V12" i="51"/>
  <c r="U9" i="51"/>
  <c r="U10" i="51"/>
  <c r="U11" i="51"/>
  <c r="U12" i="51"/>
  <c r="U13" i="51"/>
  <c r="U14" i="51"/>
  <c r="T9" i="51"/>
  <c r="T10" i="51"/>
  <c r="T11" i="51"/>
  <c r="T12" i="51"/>
  <c r="T13" i="51"/>
  <c r="T14" i="51"/>
  <c r="S9" i="51"/>
  <c r="S10" i="51"/>
  <c r="S11" i="51"/>
  <c r="S12" i="51"/>
  <c r="S13" i="51"/>
  <c r="S14" i="51"/>
  <c r="D20" i="50"/>
  <c r="AD49" i="50" s="1"/>
  <c r="D21" i="50"/>
  <c r="AC48" i="50" s="1"/>
  <c r="D22" i="50"/>
  <c r="AC74" i="50" s="1"/>
  <c r="D23" i="50"/>
  <c r="D24" i="50"/>
  <c r="D25" i="50"/>
  <c r="D26" i="50"/>
  <c r="D19" i="50"/>
  <c r="AA36" i="50" s="1"/>
  <c r="D13" i="50"/>
  <c r="D12" i="50"/>
  <c r="D11" i="50"/>
  <c r="D10" i="50"/>
  <c r="D9" i="50"/>
  <c r="D8" i="50"/>
  <c r="D7" i="50"/>
  <c r="D6" i="50"/>
  <c r="AB49" i="50"/>
  <c r="AD54" i="50"/>
  <c r="AC49" i="50"/>
  <c r="Z48" i="50"/>
  <c r="AA48" i="50"/>
  <c r="AC54" i="50"/>
  <c r="AB53" i="50"/>
  <c r="AA38" i="50"/>
  <c r="AA37" i="50"/>
  <c r="AA35" i="50"/>
  <c r="AD38" i="50"/>
  <c r="Z38" i="50"/>
  <c r="Z36" i="50"/>
  <c r="AD35" i="50"/>
  <c r="Z35" i="50"/>
  <c r="AC38" i="50"/>
  <c r="AC36" i="50"/>
  <c r="AC35" i="50"/>
  <c r="AB36" i="50"/>
  <c r="AB37" i="50"/>
  <c r="AC14" i="50"/>
  <c r="AC64" i="50"/>
  <c r="AC59" i="50"/>
  <c r="AB60" i="50"/>
  <c r="AA61" i="50"/>
  <c r="Z62" i="50"/>
  <c r="AD62" i="50"/>
  <c r="AB64" i="50"/>
  <c r="AA65" i="50"/>
  <c r="Z66" i="50"/>
  <c r="AC67" i="50"/>
  <c r="AB68" i="50"/>
  <c r="AB58" i="50"/>
  <c r="AC66" i="50"/>
  <c r="Z59" i="50"/>
  <c r="AD59" i="50"/>
  <c r="AC60" i="50"/>
  <c r="AE60" i="50" s="1"/>
  <c r="AB61" i="50"/>
  <c r="AA62" i="50"/>
  <c r="Z63" i="50"/>
  <c r="AD63" i="50"/>
  <c r="AB65" i="50"/>
  <c r="AA66" i="50"/>
  <c r="Z67" i="50"/>
  <c r="AC68" i="50"/>
  <c r="AC58" i="50"/>
  <c r="AB59" i="50"/>
  <c r="AA60" i="50"/>
  <c r="Z61" i="50"/>
  <c r="AA64" i="50"/>
  <c r="AD65" i="50"/>
  <c r="AA68" i="50"/>
  <c r="Z58" i="50"/>
  <c r="AA59" i="50"/>
  <c r="Z60" i="50"/>
  <c r="AD60" i="50"/>
  <c r="AB62" i="50"/>
  <c r="AA63" i="50"/>
  <c r="Z64" i="50"/>
  <c r="AD64" i="50"/>
  <c r="AC65" i="50"/>
  <c r="AB66" i="50"/>
  <c r="AA67" i="50"/>
  <c r="Z68" i="50"/>
  <c r="AD58" i="50"/>
  <c r="AD61" i="50"/>
  <c r="AB63" i="50"/>
  <c r="Z65" i="50"/>
  <c r="AB67" i="50"/>
  <c r="AA58" i="50"/>
  <c r="AC75" i="50"/>
  <c r="AC63" i="50"/>
  <c r="AD78" i="50"/>
  <c r="AD66" i="50"/>
  <c r="AC61" i="50"/>
  <c r="AB80" i="50"/>
  <c r="AA77" i="50"/>
  <c r="Z74" i="50"/>
  <c r="Z7" i="50"/>
  <c r="AC79" i="50"/>
  <c r="AB76" i="50"/>
  <c r="AA73" i="50"/>
  <c r="AA7" i="50"/>
  <c r="AB72" i="50"/>
  <c r="Z78" i="50"/>
  <c r="AD74" i="50"/>
  <c r="AC12" i="50"/>
  <c r="AB9" i="50"/>
  <c r="AD7" i="50"/>
  <c r="Z72" i="50"/>
  <c r="AA72" i="50"/>
  <c r="AA80" i="50"/>
  <c r="AB79" i="50"/>
  <c r="AC78" i="50"/>
  <c r="AD77" i="50"/>
  <c r="Z77" i="50"/>
  <c r="AA76" i="50"/>
  <c r="AB75" i="50"/>
  <c r="AD73" i="50"/>
  <c r="Z15" i="50"/>
  <c r="AD15" i="50"/>
  <c r="AB16" i="50"/>
  <c r="AA17" i="50"/>
  <c r="AC18" i="50"/>
  <c r="AB19" i="50"/>
  <c r="Z20" i="50"/>
  <c r="AD20" i="50"/>
  <c r="AA13" i="50"/>
  <c r="AA11" i="50"/>
  <c r="AD10" i="50"/>
  <c r="Z10" i="50"/>
  <c r="AD8" i="50"/>
  <c r="Z8" i="50"/>
  <c r="AD17" i="50"/>
  <c r="AA10" i="50"/>
  <c r="AA15" i="50"/>
  <c r="AC16" i="50"/>
  <c r="AB17" i="50"/>
  <c r="Z18" i="50"/>
  <c r="AD18" i="50"/>
  <c r="AC19" i="50"/>
  <c r="AA20" i="50"/>
  <c r="AB14" i="50"/>
  <c r="AD13" i="50"/>
  <c r="Z13" i="50"/>
  <c r="AB12" i="50"/>
  <c r="AD11" i="50"/>
  <c r="Z11" i="50"/>
  <c r="AC10" i="50"/>
  <c r="AA9" i="50"/>
  <c r="AC8" i="50"/>
  <c r="AA16" i="50"/>
  <c r="AB18" i="50"/>
  <c r="Z14" i="50"/>
  <c r="AD12" i="50"/>
  <c r="AB15" i="50"/>
  <c r="Z16" i="50"/>
  <c r="AD16" i="50"/>
  <c r="AC17" i="50"/>
  <c r="AA18" i="50"/>
  <c r="Z19" i="50"/>
  <c r="AD19" i="50"/>
  <c r="AB20" i="50"/>
  <c r="AA14" i="50"/>
  <c r="AA12" i="50"/>
  <c r="AC11" i="50"/>
  <c r="AD9" i="50"/>
  <c r="Z9" i="50"/>
  <c r="AB8" i="50"/>
  <c r="AC15" i="50"/>
  <c r="Z17" i="50"/>
  <c r="AA19" i="50"/>
  <c r="AC20" i="50"/>
  <c r="AD14" i="50"/>
  <c r="AB13" i="50"/>
  <c r="Z12" i="50"/>
  <c r="AB11" i="50"/>
  <c r="AC9" i="50"/>
  <c r="AA8" i="50"/>
  <c r="AC7" i="50"/>
  <c r="AD72" i="50"/>
  <c r="Z80" i="50"/>
  <c r="AA79" i="50"/>
  <c r="AB78" i="50"/>
  <c r="AC77" i="50"/>
  <c r="AD76" i="50"/>
  <c r="Z76" i="50"/>
  <c r="AA75" i="50"/>
  <c r="AB74" i="50"/>
  <c r="AC73" i="50"/>
  <c r="AB7" i="50"/>
  <c r="AC72" i="50"/>
  <c r="AC80" i="50"/>
  <c r="Z79" i="50"/>
  <c r="AA78" i="50"/>
  <c r="AB77" i="50"/>
  <c r="AC76" i="50"/>
  <c r="AD75" i="50"/>
  <c r="Z75" i="50"/>
  <c r="AA74" i="50"/>
  <c r="AB73" i="50"/>
  <c r="AA27" i="50"/>
  <c r="Z28" i="50"/>
  <c r="AD28" i="50"/>
  <c r="Z29" i="50"/>
  <c r="AD29" i="50"/>
  <c r="AC30" i="50"/>
  <c r="AB31" i="50"/>
  <c r="AA32" i="50"/>
  <c r="Z33" i="50"/>
  <c r="AD33" i="50"/>
  <c r="Z43" i="50"/>
  <c r="AD43" i="50"/>
  <c r="AA44" i="50"/>
  <c r="AC45" i="50"/>
  <c r="AA46" i="50"/>
  <c r="Z47" i="50"/>
  <c r="AD47" i="50"/>
  <c r="AB50" i="50"/>
  <c r="Z51" i="50"/>
  <c r="AD51" i="50"/>
  <c r="AB27" i="50"/>
  <c r="AA28" i="50"/>
  <c r="AA29" i="50"/>
  <c r="Z30" i="50"/>
  <c r="AD30" i="50"/>
  <c r="AB32" i="50"/>
  <c r="AA33" i="50"/>
  <c r="Z34" i="50"/>
  <c r="AD34" i="50"/>
  <c r="AA43" i="50"/>
  <c r="AB44" i="50"/>
  <c r="Z45" i="50"/>
  <c r="AD45" i="50"/>
  <c r="AB46" i="50"/>
  <c r="AA47" i="50"/>
  <c r="AC50" i="50"/>
  <c r="AA51" i="50"/>
  <c r="AC27" i="50"/>
  <c r="AB29" i="50"/>
  <c r="AA30" i="50"/>
  <c r="Z31" i="50"/>
  <c r="AD31" i="50"/>
  <c r="AC32" i="50"/>
  <c r="AB33" i="50"/>
  <c r="AA34" i="50"/>
  <c r="AB43" i="50"/>
  <c r="AC44" i="50"/>
  <c r="AA45" i="50"/>
  <c r="AC46" i="50"/>
  <c r="AB47" i="50"/>
  <c r="Z50" i="50"/>
  <c r="AD50" i="50"/>
  <c r="AB51" i="50"/>
  <c r="Z27" i="50"/>
  <c r="AD27" i="50"/>
  <c r="AE27" i="50" s="1"/>
  <c r="AC28" i="50"/>
  <c r="AC29" i="50"/>
  <c r="AB30" i="50"/>
  <c r="AA31" i="50"/>
  <c r="Z32" i="50"/>
  <c r="AD32" i="50"/>
  <c r="AB34" i="50"/>
  <c r="AC43" i="50"/>
  <c r="Z44" i="50"/>
  <c r="AD44" i="50"/>
  <c r="AB45" i="50"/>
  <c r="Z46" i="50"/>
  <c r="AD46" i="50"/>
  <c r="AC47" i="50"/>
  <c r="AA50" i="50"/>
  <c r="AC51" i="50"/>
  <c r="AL70" i="47"/>
  <c r="AL71" i="47"/>
  <c r="AL72" i="47"/>
  <c r="AL73" i="47"/>
  <c r="AL74" i="47"/>
  <c r="AL75" i="47"/>
  <c r="AL76" i="47"/>
  <c r="AL77" i="47"/>
  <c r="AL78" i="47"/>
  <c r="AL79" i="47"/>
  <c r="AL80" i="47"/>
  <c r="AL81" i="47"/>
  <c r="AL82" i="47"/>
  <c r="AL83" i="47"/>
  <c r="AL84" i="47"/>
  <c r="AL85" i="47"/>
  <c r="AL86" i="47"/>
  <c r="AL87" i="47"/>
  <c r="AL88" i="47"/>
  <c r="AL89" i="47"/>
  <c r="AL90" i="47"/>
  <c r="AL91" i="47"/>
  <c r="AL92" i="47"/>
  <c r="AL93" i="47"/>
  <c r="AL94" i="47"/>
  <c r="AL95" i="47"/>
  <c r="AL96" i="47"/>
  <c r="AL97" i="47"/>
  <c r="AL98" i="47"/>
  <c r="AL99" i="47"/>
  <c r="AL100" i="47"/>
  <c r="AL101" i="47"/>
  <c r="AL102" i="47"/>
  <c r="AL103" i="47"/>
  <c r="Q4" i="47"/>
  <c r="Q5" i="47"/>
  <c r="R5" i="47"/>
  <c r="S5" i="47"/>
  <c r="T5" i="47"/>
  <c r="U5" i="47"/>
  <c r="Q6" i="47"/>
  <c r="R6" i="47"/>
  <c r="S6" i="47"/>
  <c r="T6" i="47"/>
  <c r="U6" i="47"/>
  <c r="Q7" i="47"/>
  <c r="R7" i="47"/>
  <c r="S7" i="47"/>
  <c r="T7" i="47"/>
  <c r="U7" i="47"/>
  <c r="Q8" i="47"/>
  <c r="R8" i="47"/>
  <c r="T8" i="47"/>
  <c r="U8" i="47"/>
  <c r="Q9" i="47"/>
  <c r="R9" i="47"/>
  <c r="T9" i="47"/>
  <c r="U9" i="47"/>
  <c r="Q10" i="47"/>
  <c r="R10" i="47"/>
  <c r="T10" i="47"/>
  <c r="U10" i="47"/>
  <c r="R4" i="47"/>
  <c r="S4" i="47"/>
  <c r="T4" i="47"/>
  <c r="U4" i="47"/>
  <c r="J7" i="47"/>
  <c r="K7" i="47"/>
  <c r="L7" i="47"/>
  <c r="M7" i="47"/>
  <c r="N7" i="47"/>
  <c r="J8" i="47"/>
  <c r="K8" i="47"/>
  <c r="L8" i="47"/>
  <c r="M8" i="47"/>
  <c r="N8" i="47"/>
  <c r="J9" i="47"/>
  <c r="K9" i="47"/>
  <c r="L9" i="47"/>
  <c r="M9" i="47"/>
  <c r="N9" i="47"/>
  <c r="J10" i="47"/>
  <c r="K10" i="47"/>
  <c r="L10" i="47"/>
  <c r="M10" i="47"/>
  <c r="N10" i="47"/>
  <c r="J11" i="47"/>
  <c r="L11" i="47"/>
  <c r="M11" i="47"/>
  <c r="N11" i="47"/>
  <c r="J12" i="47"/>
  <c r="K12" i="47"/>
  <c r="AH5" i="47" s="1"/>
  <c r="L12" i="47"/>
  <c r="M12" i="47"/>
  <c r="N12" i="47"/>
  <c r="J13" i="47"/>
  <c r="K13" i="47"/>
  <c r="L13" i="47"/>
  <c r="M13" i="47"/>
  <c r="N13" i="47"/>
  <c r="J14" i="47"/>
  <c r="K14" i="47"/>
  <c r="L14" i="47"/>
  <c r="M14" i="47"/>
  <c r="N14" i="47"/>
  <c r="J15" i="47"/>
  <c r="K15" i="47"/>
  <c r="L15" i="47"/>
  <c r="M15" i="47"/>
  <c r="N15" i="47"/>
  <c r="J16" i="47"/>
  <c r="K16" i="47"/>
  <c r="L16" i="47"/>
  <c r="AH6" i="47" s="1"/>
  <c r="M16" i="47"/>
  <c r="N16" i="47"/>
  <c r="J17" i="47"/>
  <c r="K17" i="47"/>
  <c r="L17" i="47"/>
  <c r="M17" i="47"/>
  <c r="N17" i="47"/>
  <c r="J18" i="47"/>
  <c r="K18" i="47"/>
  <c r="L18" i="47"/>
  <c r="M18" i="47"/>
  <c r="N18" i="47"/>
  <c r="J19" i="47"/>
  <c r="K19" i="47"/>
  <c r="L19" i="47"/>
  <c r="M19" i="47"/>
  <c r="N19" i="47"/>
  <c r="J20" i="47"/>
  <c r="K20" i="47"/>
  <c r="L20" i="47"/>
  <c r="M20" i="47"/>
  <c r="N20" i="47"/>
  <c r="J21" i="47"/>
  <c r="K21" i="47"/>
  <c r="L21" i="47"/>
  <c r="M21" i="47"/>
  <c r="N21" i="47"/>
  <c r="J22" i="47"/>
  <c r="K22" i="47"/>
  <c r="L22" i="47"/>
  <c r="M22" i="47"/>
  <c r="N22" i="47"/>
  <c r="J23" i="47"/>
  <c r="K23" i="47"/>
  <c r="L23" i="47"/>
  <c r="M23" i="47"/>
  <c r="N23" i="47"/>
  <c r="J24" i="47"/>
  <c r="K24" i="47"/>
  <c r="L24" i="47"/>
  <c r="M24" i="47"/>
  <c r="N24" i="47"/>
  <c r="K25" i="47"/>
  <c r="L25" i="47"/>
  <c r="M25" i="47"/>
  <c r="N25" i="47"/>
  <c r="K26" i="47"/>
  <c r="L26" i="47"/>
  <c r="M26" i="47"/>
  <c r="N26" i="47"/>
  <c r="K27" i="47"/>
  <c r="L27" i="47"/>
  <c r="M27" i="47"/>
  <c r="N27" i="47"/>
  <c r="K28" i="47"/>
  <c r="L28" i="47"/>
  <c r="M28" i="47"/>
  <c r="N28" i="47"/>
  <c r="K29" i="47"/>
  <c r="L29" i="47"/>
  <c r="M29" i="47"/>
  <c r="N29" i="47"/>
  <c r="K30" i="47"/>
  <c r="L30" i="47"/>
  <c r="M30" i="47"/>
  <c r="N30" i="47"/>
  <c r="K31" i="47"/>
  <c r="L31" i="47"/>
  <c r="M31" i="47"/>
  <c r="N31" i="47"/>
  <c r="K32" i="47"/>
  <c r="L32" i="47"/>
  <c r="M32" i="47"/>
  <c r="N32" i="47"/>
  <c r="K33" i="47"/>
  <c r="L33" i="47"/>
  <c r="M33" i="47"/>
  <c r="N33" i="47"/>
  <c r="K34" i="47"/>
  <c r="L34" i="47"/>
  <c r="AH9" i="47" s="1"/>
  <c r="M34" i="47"/>
  <c r="N34" i="47"/>
  <c r="K35" i="47"/>
  <c r="L35" i="47"/>
  <c r="M35" i="47"/>
  <c r="N35" i="47"/>
  <c r="K36" i="47"/>
  <c r="L36" i="47"/>
  <c r="M36" i="47"/>
  <c r="N36" i="47"/>
  <c r="K37" i="47"/>
  <c r="L37" i="47"/>
  <c r="M37" i="47"/>
  <c r="N37" i="47"/>
  <c r="K38" i="47"/>
  <c r="L38" i="47"/>
  <c r="M38" i="47"/>
  <c r="N38" i="47"/>
  <c r="K39" i="47"/>
  <c r="L39" i="47"/>
  <c r="M39" i="47"/>
  <c r="AH10" i="47" s="1"/>
  <c r="N39" i="47"/>
  <c r="K40" i="47"/>
  <c r="L40" i="47"/>
  <c r="M40" i="47"/>
  <c r="N40" i="47"/>
  <c r="K41" i="47"/>
  <c r="L41" i="47"/>
  <c r="M41" i="47"/>
  <c r="N41" i="47"/>
  <c r="K42" i="47"/>
  <c r="L42" i="47"/>
  <c r="M42" i="47"/>
  <c r="N42" i="47"/>
  <c r="K43" i="47"/>
  <c r="L43" i="47"/>
  <c r="M43" i="47"/>
  <c r="N43" i="47"/>
  <c r="K44" i="47"/>
  <c r="L44" i="47"/>
  <c r="M44" i="47"/>
  <c r="AH11" i="47"/>
  <c r="N44" i="47"/>
  <c r="K45" i="47"/>
  <c r="L45" i="47"/>
  <c r="M45" i="47"/>
  <c r="N45" i="47"/>
  <c r="K46" i="47"/>
  <c r="L46" i="47"/>
  <c r="M46" i="47"/>
  <c r="N46" i="47"/>
  <c r="K47" i="47"/>
  <c r="L47" i="47"/>
  <c r="M47" i="47"/>
  <c r="N47" i="47"/>
  <c r="K48" i="47"/>
  <c r="L48" i="47"/>
  <c r="M48" i="47"/>
  <c r="N48" i="47"/>
  <c r="K49" i="47"/>
  <c r="L49" i="47"/>
  <c r="M49" i="47"/>
  <c r="N49" i="47"/>
  <c r="K50" i="47"/>
  <c r="L50" i="47"/>
  <c r="M50" i="47"/>
  <c r="N50" i="47"/>
  <c r="K51" i="47"/>
  <c r="L51" i="47"/>
  <c r="M51" i="47"/>
  <c r="N51" i="47"/>
  <c r="K52" i="47"/>
  <c r="L52" i="47"/>
  <c r="M52" i="47"/>
  <c r="N52" i="47"/>
  <c r="K53" i="47"/>
  <c r="L53" i="47"/>
  <c r="M53" i="47"/>
  <c r="N53" i="47"/>
  <c r="K54" i="47"/>
  <c r="L54" i="47"/>
  <c r="M54" i="47"/>
  <c r="AH12" i="47" s="1"/>
  <c r="N54" i="47"/>
  <c r="K55" i="47"/>
  <c r="L55" i="47"/>
  <c r="M55" i="47"/>
  <c r="N55" i="47"/>
  <c r="K56" i="47"/>
  <c r="L56" i="47"/>
  <c r="M56" i="47"/>
  <c r="N56" i="47"/>
  <c r="K57" i="47"/>
  <c r="L57" i="47"/>
  <c r="M57" i="47"/>
  <c r="N57" i="47"/>
  <c r="K58" i="47"/>
  <c r="L58" i="47"/>
  <c r="M58" i="47"/>
  <c r="N58" i="47"/>
  <c r="K59" i="47"/>
  <c r="L59" i="47"/>
  <c r="M59" i="47"/>
  <c r="N59" i="47"/>
  <c r="K60" i="47"/>
  <c r="L60" i="47"/>
  <c r="M60" i="47"/>
  <c r="N60" i="47"/>
  <c r="K61" i="47"/>
  <c r="L61" i="47"/>
  <c r="M61" i="47"/>
  <c r="N61" i="47"/>
  <c r="K62" i="47"/>
  <c r="L62" i="47"/>
  <c r="M62" i="47"/>
  <c r="N62" i="47"/>
  <c r="K63" i="47"/>
  <c r="L63" i="47"/>
  <c r="M63" i="47"/>
  <c r="N63" i="47"/>
  <c r="K64" i="47"/>
  <c r="L64" i="47"/>
  <c r="M64" i="47"/>
  <c r="AH13" i="47" s="1"/>
  <c r="N64" i="47"/>
  <c r="K65" i="47"/>
  <c r="L65" i="47"/>
  <c r="M65" i="47"/>
  <c r="N65" i="47"/>
  <c r="K66" i="47"/>
  <c r="L66" i="47"/>
  <c r="M66" i="47"/>
  <c r="N66" i="47"/>
  <c r="K67" i="47"/>
  <c r="L67" i="47"/>
  <c r="M67" i="47"/>
  <c r="N67" i="47"/>
  <c r="K68" i="47"/>
  <c r="L68" i="47"/>
  <c r="M68" i="47"/>
  <c r="N68" i="47"/>
  <c r="K69" i="47"/>
  <c r="L69" i="47"/>
  <c r="M69" i="47"/>
  <c r="N69" i="47"/>
  <c r="K70" i="47"/>
  <c r="L70" i="47"/>
  <c r="M70" i="47"/>
  <c r="N70" i="47"/>
  <c r="K71" i="47"/>
  <c r="L71" i="47"/>
  <c r="M71" i="47"/>
  <c r="N71" i="47"/>
  <c r="K72" i="47"/>
  <c r="L72" i="47"/>
  <c r="M72" i="47"/>
  <c r="N72" i="47"/>
  <c r="K73" i="47"/>
  <c r="L73" i="47"/>
  <c r="M73" i="47"/>
  <c r="N73" i="47"/>
  <c r="K74" i="47"/>
  <c r="L74" i="47"/>
  <c r="M74" i="47"/>
  <c r="AH14" i="47" s="1"/>
  <c r="N74" i="47"/>
  <c r="K75" i="47"/>
  <c r="L75" i="47"/>
  <c r="M75" i="47"/>
  <c r="N75" i="47"/>
  <c r="K76" i="47"/>
  <c r="L76" i="47"/>
  <c r="M76" i="47"/>
  <c r="N76" i="47"/>
  <c r="K77" i="47"/>
  <c r="L77" i="47"/>
  <c r="M77" i="47"/>
  <c r="N77" i="47"/>
  <c r="K78" i="47"/>
  <c r="L78" i="47"/>
  <c r="M78" i="47"/>
  <c r="N78" i="47"/>
  <c r="K79" i="47"/>
  <c r="L79" i="47"/>
  <c r="M79" i="47"/>
  <c r="N79" i="47"/>
  <c r="K80" i="47"/>
  <c r="L80" i="47"/>
  <c r="M80" i="47"/>
  <c r="N80" i="47"/>
  <c r="K81" i="47"/>
  <c r="L81" i="47"/>
  <c r="M81" i="47"/>
  <c r="N81" i="47"/>
  <c r="K82" i="47"/>
  <c r="L82" i="47"/>
  <c r="M82" i="47"/>
  <c r="N82" i="47"/>
  <c r="K83" i="47"/>
  <c r="L83" i="47"/>
  <c r="M83" i="47"/>
  <c r="N83" i="47"/>
  <c r="K84" i="47"/>
  <c r="L84" i="47"/>
  <c r="M84" i="47"/>
  <c r="AH15" i="47" s="1"/>
  <c r="N84" i="47"/>
  <c r="K85" i="47"/>
  <c r="L85" i="47"/>
  <c r="M85" i="47"/>
  <c r="N85" i="47"/>
  <c r="K86" i="47"/>
  <c r="L86" i="47"/>
  <c r="M86" i="47"/>
  <c r="N86" i="47"/>
  <c r="K87" i="47"/>
  <c r="L87" i="47"/>
  <c r="M87" i="47"/>
  <c r="N87" i="47"/>
  <c r="K88" i="47"/>
  <c r="L88" i="47"/>
  <c r="M88" i="47"/>
  <c r="N88" i="47"/>
  <c r="K89" i="47"/>
  <c r="L89" i="47"/>
  <c r="M89" i="47"/>
  <c r="N89" i="47"/>
  <c r="K90" i="47"/>
  <c r="L90" i="47"/>
  <c r="M90" i="47"/>
  <c r="N90" i="47"/>
  <c r="K91" i="47"/>
  <c r="L91" i="47"/>
  <c r="M91" i="47"/>
  <c r="N91" i="47"/>
  <c r="K92" i="47"/>
  <c r="L92" i="47"/>
  <c r="M92" i="47"/>
  <c r="N92" i="47"/>
  <c r="K93" i="47"/>
  <c r="L93" i="47"/>
  <c r="M93" i="47"/>
  <c r="N93" i="47"/>
  <c r="K94" i="47"/>
  <c r="L94" i="47"/>
  <c r="M94" i="47"/>
  <c r="AH16" i="47" s="1"/>
  <c r="N94" i="47"/>
  <c r="K95" i="47"/>
  <c r="L95" i="47"/>
  <c r="M95" i="47"/>
  <c r="N95" i="47"/>
  <c r="K96" i="47"/>
  <c r="L96" i="47"/>
  <c r="M96" i="47"/>
  <c r="N96" i="47"/>
  <c r="K97" i="47"/>
  <c r="L97" i="47"/>
  <c r="M97" i="47"/>
  <c r="N97" i="47"/>
  <c r="K98" i="47"/>
  <c r="L98" i="47"/>
  <c r="M98" i="47"/>
  <c r="N98" i="47"/>
  <c r="K99" i="47"/>
  <c r="L99" i="47"/>
  <c r="M99" i="47"/>
  <c r="N99" i="47"/>
  <c r="K100" i="47"/>
  <c r="L100" i="47"/>
  <c r="M100" i="47"/>
  <c r="N100" i="47"/>
  <c r="K101" i="47"/>
  <c r="L101" i="47"/>
  <c r="M101" i="47"/>
  <c r="N101" i="47"/>
  <c r="K102" i="47"/>
  <c r="L102" i="47"/>
  <c r="M102" i="47"/>
  <c r="N102" i="47"/>
  <c r="K103" i="47"/>
  <c r="L103" i="47"/>
  <c r="M103" i="47"/>
  <c r="N103" i="47"/>
  <c r="K104" i="47"/>
  <c r="L104" i="47"/>
  <c r="M104" i="47"/>
  <c r="AH17" i="47" s="1"/>
  <c r="N104" i="47"/>
  <c r="K6" i="47"/>
  <c r="L6" i="47"/>
  <c r="M6" i="47"/>
  <c r="N6" i="47"/>
  <c r="K5" i="47"/>
  <c r="L5" i="47"/>
  <c r="M5" i="47"/>
  <c r="N5" i="47"/>
  <c r="J5" i="47"/>
  <c r="AH8" i="47"/>
  <c r="T20" i="18"/>
  <c r="S20" i="18"/>
  <c r="R20" i="18"/>
  <c r="Q20" i="18"/>
  <c r="T19" i="18"/>
  <c r="S19" i="18"/>
  <c r="Q19" i="18"/>
  <c r="R19" i="18"/>
  <c r="T18" i="18"/>
  <c r="S18" i="18"/>
  <c r="Q18" i="18"/>
  <c r="R18" i="18"/>
  <c r="T17" i="18"/>
  <c r="S17" i="18"/>
  <c r="Q17" i="18"/>
  <c r="R17" i="18"/>
  <c r="T16" i="18"/>
  <c r="S16" i="18"/>
  <c r="Q16" i="18"/>
  <c r="R16" i="18"/>
  <c r="T15" i="18"/>
  <c r="S15" i="18"/>
  <c r="Q15" i="18"/>
  <c r="R15" i="18"/>
  <c r="T14" i="18"/>
  <c r="S14" i="18"/>
  <c r="Q14" i="18"/>
  <c r="R14" i="18"/>
  <c r="T13" i="18"/>
  <c r="S13" i="18"/>
  <c r="Q13" i="18"/>
  <c r="R13" i="18"/>
  <c r="T12" i="18"/>
  <c r="Q12" i="18"/>
  <c r="R12" i="18"/>
  <c r="T11" i="18"/>
  <c r="R11" i="18"/>
  <c r="S11" i="18"/>
  <c r="Q11" i="18"/>
  <c r="T10" i="18"/>
  <c r="Q10" i="18"/>
  <c r="S10" i="18"/>
  <c r="R10" i="18"/>
  <c r="T9" i="18"/>
  <c r="Q9" i="18"/>
  <c r="R9" i="18"/>
  <c r="S9" i="18"/>
  <c r="T8" i="18"/>
  <c r="Q8" i="18"/>
  <c r="S8" i="18"/>
  <c r="R8" i="18"/>
  <c r="T7" i="18"/>
  <c r="Q7" i="18"/>
  <c r="R7" i="18"/>
  <c r="S7" i="18"/>
  <c r="T6" i="18"/>
  <c r="Q6" i="18"/>
  <c r="S6" i="18"/>
  <c r="R6" i="18"/>
  <c r="S12" i="18"/>
  <c r="AA6" i="18"/>
  <c r="AA7" i="18"/>
  <c r="AA8" i="18"/>
  <c r="AA9" i="18"/>
  <c r="AA10" i="18"/>
  <c r="AA11" i="18"/>
  <c r="AA12" i="18"/>
  <c r="AA13" i="18"/>
  <c r="AA14" i="18"/>
  <c r="AA15" i="18"/>
  <c r="AA16" i="18"/>
  <c r="AA17" i="18"/>
  <c r="AA18" i="18"/>
  <c r="AA19" i="18"/>
  <c r="AA20" i="18"/>
  <c r="AA21" i="18"/>
  <c r="Z6" i="18"/>
  <c r="Z10" i="18"/>
  <c r="Z13" i="18"/>
  <c r="Z14" i="18"/>
  <c r="Z12" i="18"/>
  <c r="Z17" i="18"/>
  <c r="Z20" i="18"/>
  <c r="Z19" i="18"/>
  <c r="Z15" i="18"/>
  <c r="Z21" i="18"/>
  <c r="Z8" i="18"/>
  <c r="Z11" i="18"/>
  <c r="Z16" i="18"/>
  <c r="Z7" i="18"/>
  <c r="Z9" i="18"/>
  <c r="Z18" i="18"/>
  <c r="AH333" i="18"/>
  <c r="AG106" i="18"/>
  <c r="AH168" i="18"/>
  <c r="AH158" i="18"/>
  <c r="AH234" i="18"/>
  <c r="AG212" i="18"/>
  <c r="AH224" i="18"/>
  <c r="AG169" i="18"/>
  <c r="AH191" i="18"/>
  <c r="AG123" i="18"/>
  <c r="AG74" i="18"/>
  <c r="AG326" i="18"/>
  <c r="AH341" i="18"/>
  <c r="AH200" i="18"/>
  <c r="AH325" i="18"/>
  <c r="AH298" i="18"/>
  <c r="AG93" i="18"/>
  <c r="AG168" i="18"/>
  <c r="AH131" i="18"/>
  <c r="AH295" i="18"/>
  <c r="AH134" i="18"/>
  <c r="AH228" i="18"/>
  <c r="AG345" i="18"/>
  <c r="AG185" i="18"/>
  <c r="AH288" i="18"/>
  <c r="AG76" i="18"/>
  <c r="AG152" i="18"/>
  <c r="AH143" i="18"/>
  <c r="AG239" i="18"/>
  <c r="AH9" i="18"/>
  <c r="AH33" i="18"/>
  <c r="AG188" i="18"/>
  <c r="AH146" i="18"/>
  <c r="AG295" i="18"/>
  <c r="AH26" i="18"/>
  <c r="AG181" i="18"/>
  <c r="AG50" i="18"/>
  <c r="AH343" i="18"/>
  <c r="AG175" i="18"/>
  <c r="AH305" i="18"/>
  <c r="AG143" i="18"/>
  <c r="AH281" i="18"/>
  <c r="AH163" i="18"/>
  <c r="AH346" i="18"/>
  <c r="AG60" i="18"/>
  <c r="AG85" i="18"/>
  <c r="AG104" i="18"/>
  <c r="AG216" i="18"/>
  <c r="AH31" i="18"/>
  <c r="AH337" i="18"/>
  <c r="AH265" i="18"/>
  <c r="AG324" i="18"/>
  <c r="AG65" i="18"/>
  <c r="AH215" i="18"/>
  <c r="AH324" i="18"/>
  <c r="AH217" i="18"/>
  <c r="AH141" i="18"/>
  <c r="AG279" i="18"/>
  <c r="AH329" i="18"/>
  <c r="AH133" i="18"/>
  <c r="AH136" i="18"/>
  <c r="AH176" i="18"/>
  <c r="AG54" i="18"/>
  <c r="AH151" i="18"/>
  <c r="AH24" i="18"/>
  <c r="AG77" i="18"/>
  <c r="AG178" i="18"/>
  <c r="AH139" i="18"/>
  <c r="AG79" i="18"/>
  <c r="AG224" i="18"/>
  <c r="AG294" i="18"/>
  <c r="AG352" i="18"/>
  <c r="AH42" i="18"/>
  <c r="AG186" i="18"/>
  <c r="AG127" i="18"/>
  <c r="AH165" i="18"/>
  <c r="AH294" i="18"/>
  <c r="AH184" i="18"/>
  <c r="AH241" i="18"/>
  <c r="AG82" i="18"/>
  <c r="AG125" i="18"/>
  <c r="AH178" i="18"/>
  <c r="AH72" i="18"/>
  <c r="AH207" i="18"/>
  <c r="AG247" i="18"/>
  <c r="AH137" i="18"/>
  <c r="AG310" i="18"/>
  <c r="AG362" i="18"/>
  <c r="AH275" i="18"/>
  <c r="AG252" i="18"/>
  <c r="AH149" i="18"/>
  <c r="AG196" i="18"/>
  <c r="AG111" i="18"/>
  <c r="AH209" i="18"/>
  <c r="AG222" i="18"/>
  <c r="AH167" i="18"/>
  <c r="AH43" i="18"/>
  <c r="AG293" i="18"/>
  <c r="AG217" i="18"/>
  <c r="AG132" i="18"/>
  <c r="AG8" i="18"/>
  <c r="AG349" i="18"/>
  <c r="AG199" i="18"/>
  <c r="AG283" i="18"/>
  <c r="AG39" i="18"/>
  <c r="AH266" i="18"/>
  <c r="AH320" i="18"/>
  <c r="AH117" i="18"/>
  <c r="AH339" i="18"/>
  <c r="AG25" i="18"/>
  <c r="AG280" i="18"/>
  <c r="AH35" i="18"/>
  <c r="AH216" i="18"/>
  <c r="AH359" i="18"/>
  <c r="AH300" i="18"/>
  <c r="AG89" i="18"/>
  <c r="AH87" i="18"/>
  <c r="AG223" i="18"/>
  <c r="AG204" i="18"/>
  <c r="AH187" i="18"/>
  <c r="AH11" i="18"/>
  <c r="AH235" i="18"/>
  <c r="AG206" i="18"/>
  <c r="AG4" i="18"/>
  <c r="AG202" i="18"/>
  <c r="AG43" i="18"/>
  <c r="AH292" i="18"/>
  <c r="AG10" i="18"/>
  <c r="AG281" i="18"/>
  <c r="AH116" i="18"/>
  <c r="AG80" i="18"/>
  <c r="AH145" i="18"/>
  <c r="AH352" i="18"/>
  <c r="AH34" i="18"/>
  <c r="AG275" i="18"/>
  <c r="AH351" i="18"/>
  <c r="AG131" i="18"/>
  <c r="AH350" i="18"/>
  <c r="AG61" i="18"/>
  <c r="AG120" i="18"/>
  <c r="AG299" i="18"/>
  <c r="AG215" i="18"/>
  <c r="AG109" i="18"/>
  <c r="AH249" i="18"/>
  <c r="AG129" i="18"/>
  <c r="AG331" i="18"/>
  <c r="AG256" i="18"/>
  <c r="AG298" i="18"/>
  <c r="AH174" i="18"/>
  <c r="AH258" i="18"/>
  <c r="AH89" i="18"/>
  <c r="AH36" i="18"/>
  <c r="AH268" i="18"/>
  <c r="AG105" i="18"/>
  <c r="AG172" i="18"/>
  <c r="AG320" i="18"/>
  <c r="AH38" i="18"/>
  <c r="AH264" i="18"/>
  <c r="AH238" i="18"/>
  <c r="AH355" i="18"/>
  <c r="AH7" i="18"/>
  <c r="AG69" i="18"/>
  <c r="AG42" i="18"/>
  <c r="AH96" i="18"/>
  <c r="AG210" i="18"/>
  <c r="AG339" i="18"/>
  <c r="AH14" i="18"/>
  <c r="AH259" i="18"/>
  <c r="AH166" i="18"/>
  <c r="AG88" i="18"/>
  <c r="AG46" i="18"/>
  <c r="AG58" i="18"/>
  <c r="AH13" i="18"/>
  <c r="AH231" i="18"/>
  <c r="AH32" i="18"/>
  <c r="AG308" i="18"/>
  <c r="AG122" i="18"/>
  <c r="AH315" i="18"/>
  <c r="AG312" i="18"/>
  <c r="AH225" i="18"/>
  <c r="AG250" i="18"/>
  <c r="AH155" i="18"/>
  <c r="AG56" i="18"/>
  <c r="AH57" i="18"/>
  <c r="AG59" i="18"/>
  <c r="AH27" i="18"/>
  <c r="AG300" i="18"/>
  <c r="AG315" i="18"/>
  <c r="AG92" i="18"/>
  <c r="AG338" i="18"/>
  <c r="AG141" i="18"/>
  <c r="AG285" i="18"/>
  <c r="AG297" i="18"/>
  <c r="AH6" i="18"/>
  <c r="AG195" i="18"/>
  <c r="AG49" i="18"/>
  <c r="AG140" i="18"/>
  <c r="AG102" i="18"/>
  <c r="AH132" i="18"/>
  <c r="AH293" i="18"/>
  <c r="AG146" i="18"/>
  <c r="AG277" i="18"/>
  <c r="AG37" i="18"/>
  <c r="AH153" i="18"/>
  <c r="AG238" i="18"/>
  <c r="AG87" i="18"/>
  <c r="AH327" i="18"/>
  <c r="AG220" i="18"/>
  <c r="AG343" i="18"/>
  <c r="AG13" i="18"/>
  <c r="AG130" i="18"/>
  <c r="AH335" i="18"/>
  <c r="AG137" i="18"/>
  <c r="AH45" i="18"/>
  <c r="AH299" i="18"/>
  <c r="AH60" i="18"/>
  <c r="AH252" i="18"/>
  <c r="AG20" i="18"/>
  <c r="AG70" i="18"/>
  <c r="AG289" i="18"/>
  <c r="AH247" i="18"/>
  <c r="AG314" i="18"/>
  <c r="AG183" i="18"/>
  <c r="AH303" i="18"/>
  <c r="AG284" i="18"/>
  <c r="AG189" i="18"/>
  <c r="AG258" i="18"/>
  <c r="AG11" i="18"/>
  <c r="AH107" i="18"/>
  <c r="AG276" i="18"/>
  <c r="AG176" i="18"/>
  <c r="AG350" i="18"/>
  <c r="AH282" i="18"/>
  <c r="AG255" i="18"/>
  <c r="AH347" i="18"/>
  <c r="AG325" i="18"/>
  <c r="AH5" i="18"/>
  <c r="AG57" i="18"/>
  <c r="AG86" i="18"/>
  <c r="AH51" i="18"/>
  <c r="AH190" i="18"/>
  <c r="AG108" i="18"/>
  <c r="AG139" i="18"/>
  <c r="AG114" i="18"/>
  <c r="AH99" i="18"/>
  <c r="AH85" i="18"/>
  <c r="AH243" i="18"/>
  <c r="AH316" i="18"/>
  <c r="AG126" i="18"/>
  <c r="AH175" i="18"/>
  <c r="AG121" i="18"/>
  <c r="AH222" i="18"/>
  <c r="AG307" i="18"/>
  <c r="AG236" i="18"/>
  <c r="AH194" i="18"/>
  <c r="AG103" i="18"/>
  <c r="AG356" i="18"/>
  <c r="AH73" i="18"/>
  <c r="AH171" i="18"/>
  <c r="AG164" i="18"/>
  <c r="AG208" i="18"/>
  <c r="AG24" i="18"/>
  <c r="AH144" i="18"/>
  <c r="AG240" i="18"/>
  <c r="AG160" i="18"/>
  <c r="AG340" i="18"/>
  <c r="AG353" i="18"/>
  <c r="AG134" i="18"/>
  <c r="AG67" i="18"/>
  <c r="AH80" i="18"/>
  <c r="AH348" i="18"/>
  <c r="AG266" i="18"/>
  <c r="AH30" i="18"/>
  <c r="AH283" i="18"/>
  <c r="AH302" i="18"/>
  <c r="AG282" i="18"/>
  <c r="AH193" i="18"/>
  <c r="AG214" i="18"/>
  <c r="AG30" i="18"/>
  <c r="AH61" i="18"/>
  <c r="AG302" i="18"/>
  <c r="AH338" i="18"/>
  <c r="AG304" i="18"/>
  <c r="AG117" i="18"/>
  <c r="AH120" i="18"/>
  <c r="AH93" i="18"/>
  <c r="AG235" i="18"/>
  <c r="AH260" i="18"/>
  <c r="AH54" i="18"/>
  <c r="AG162" i="18"/>
  <c r="AG232" i="18"/>
  <c r="AH53" i="18"/>
  <c r="AH170" i="18"/>
  <c r="AG173" i="18"/>
  <c r="AH181" i="18"/>
  <c r="AH55" i="18"/>
  <c r="AG12" i="18"/>
  <c r="AG190" i="18"/>
  <c r="AH310" i="18"/>
  <c r="AG198" i="18"/>
  <c r="AG337" i="18"/>
  <c r="AH127" i="18"/>
  <c r="AH219" i="18"/>
  <c r="AG263" i="18"/>
  <c r="AH105" i="18"/>
  <c r="AH47" i="18"/>
  <c r="AH110" i="18"/>
  <c r="AH128" i="18"/>
  <c r="AG98" i="18"/>
  <c r="AH280" i="18"/>
  <c r="AG101" i="18"/>
  <c r="AG158" i="18"/>
  <c r="AH322" i="18"/>
  <c r="AH152" i="18"/>
  <c r="AG336" i="18"/>
  <c r="AG27" i="18"/>
  <c r="AG171" i="18"/>
  <c r="AG200" i="18"/>
  <c r="AG292" i="18"/>
  <c r="AH140" i="18"/>
  <c r="AG47" i="18"/>
  <c r="AH64" i="18"/>
  <c r="AH201" i="18"/>
  <c r="AG156" i="18"/>
  <c r="AH56" i="18"/>
  <c r="AG241" i="18"/>
  <c r="AG357" i="18"/>
  <c r="AG107" i="18"/>
  <c r="AH46" i="18"/>
  <c r="AG333" i="18"/>
  <c r="AG251" i="18"/>
  <c r="AG17" i="18"/>
  <c r="AH186" i="18"/>
  <c r="AG96" i="18"/>
  <c r="AG26" i="18"/>
  <c r="AG15" i="18"/>
  <c r="AH185" i="18"/>
  <c r="AH108" i="18"/>
  <c r="AH197" i="18"/>
  <c r="AH156" i="18"/>
  <c r="AH213" i="18"/>
  <c r="AH313" i="18"/>
  <c r="AH239" i="18"/>
  <c r="AH78" i="18"/>
  <c r="AH75" i="18"/>
  <c r="AG321" i="18"/>
  <c r="AG330" i="18"/>
  <c r="AH236" i="18"/>
  <c r="AG14" i="18"/>
  <c r="AG201" i="18"/>
  <c r="AH129" i="18"/>
  <c r="AH81" i="18"/>
  <c r="AG118" i="18"/>
  <c r="AH353" i="18"/>
  <c r="AG346" i="18"/>
  <c r="AH309" i="18"/>
  <c r="AH71" i="18"/>
  <c r="AG226" i="18"/>
  <c r="AH237" i="18"/>
  <c r="AH357" i="18"/>
  <c r="AH69" i="18"/>
  <c r="AH286" i="18"/>
  <c r="AH308" i="18"/>
  <c r="AG211" i="18"/>
  <c r="AH304" i="18"/>
  <c r="AH342" i="18"/>
  <c r="AH88" i="18"/>
  <c r="AG44" i="18"/>
  <c r="AG35" i="18"/>
  <c r="AH362" i="18"/>
  <c r="AG136" i="18"/>
  <c r="AG71" i="18"/>
  <c r="AG48" i="18"/>
  <c r="AH177" i="18"/>
  <c r="AG262" i="18"/>
  <c r="AH195" i="18"/>
  <c r="AG28" i="18"/>
  <c r="AH173" i="18"/>
  <c r="AH233" i="18"/>
  <c r="AG159" i="18"/>
  <c r="AG351" i="18"/>
  <c r="AH312" i="18"/>
  <c r="AH210" i="18"/>
  <c r="AH40" i="18"/>
  <c r="AG218" i="18"/>
  <c r="AH257" i="18"/>
  <c r="AG287" i="18"/>
  <c r="AH19" i="18"/>
  <c r="AG21" i="18"/>
  <c r="AH25" i="18"/>
  <c r="AG219" i="18"/>
  <c r="AH218" i="18"/>
  <c r="AG29" i="18"/>
  <c r="AG260" i="18"/>
  <c r="AG303" i="18"/>
  <c r="AH334" i="18"/>
  <c r="AG332" i="18"/>
  <c r="AG237" i="18"/>
  <c r="AG64" i="18"/>
  <c r="AH50" i="18"/>
  <c r="AH39" i="18"/>
  <c r="AH307" i="18"/>
  <c r="AH269" i="18"/>
  <c r="AG213" i="18"/>
  <c r="AG167" i="18"/>
  <c r="AG33" i="18"/>
  <c r="AG124" i="18"/>
  <c r="AG253" i="18"/>
  <c r="AG184" i="18"/>
  <c r="AH10" i="18"/>
  <c r="AG323" i="18"/>
  <c r="AH261" i="18"/>
  <c r="AG147" i="18"/>
  <c r="AH162" i="18"/>
  <c r="AG272" i="18"/>
  <c r="AG112" i="18"/>
  <c r="AH122" i="18"/>
  <c r="AG243" i="18"/>
  <c r="AG348" i="18"/>
  <c r="AH226" i="18"/>
  <c r="AG191" i="18"/>
  <c r="AG360" i="18"/>
  <c r="AG157" i="18"/>
  <c r="AG358" i="18"/>
  <c r="AG254" i="18"/>
  <c r="AH150" i="18"/>
  <c r="AH90" i="18"/>
  <c r="AH130" i="18"/>
  <c r="AH169" i="18"/>
  <c r="AG53" i="18"/>
  <c r="AH159" i="18"/>
  <c r="AH44" i="18"/>
  <c r="AH147" i="18"/>
  <c r="AG84" i="18"/>
  <c r="AH48" i="18"/>
  <c r="AH336" i="18"/>
  <c r="AG163" i="18"/>
  <c r="AH113" i="18"/>
  <c r="AH279" i="18"/>
  <c r="AH211" i="18"/>
  <c r="AG182" i="18"/>
  <c r="AH223" i="18"/>
  <c r="AH94" i="18"/>
  <c r="AG328" i="18"/>
  <c r="AH271" i="18"/>
  <c r="AH317" i="18"/>
  <c r="AG81" i="18"/>
  <c r="AH182" i="18"/>
  <c r="AG274" i="18"/>
  <c r="AH262" i="18"/>
  <c r="AG34" i="18"/>
  <c r="AG270" i="18"/>
  <c r="AG316" i="18"/>
  <c r="AG16" i="18"/>
  <c r="AG40" i="18"/>
  <c r="AH148" i="18"/>
  <c r="AG273" i="18"/>
  <c r="AG148" i="18"/>
  <c r="AG110" i="18"/>
  <c r="AG192" i="18"/>
  <c r="AH331" i="18"/>
  <c r="AH326" i="18"/>
  <c r="AG317" i="18"/>
  <c r="AH111" i="18"/>
  <c r="AH344" i="18"/>
  <c r="AH330" i="18"/>
  <c r="AG197" i="18"/>
  <c r="AH318" i="18"/>
  <c r="AH230" i="18"/>
  <c r="AH41" i="18"/>
  <c r="AG145" i="18"/>
  <c r="AH15" i="18"/>
  <c r="AH363" i="18"/>
  <c r="AH70" i="18"/>
  <c r="AG207" i="18"/>
  <c r="AG267" i="18"/>
  <c r="AH289" i="18"/>
  <c r="AG291" i="18"/>
  <c r="AG265" i="18"/>
  <c r="AG23" i="18"/>
  <c r="AG311" i="18"/>
  <c r="AH240" i="18"/>
  <c r="AH28" i="18"/>
  <c r="AH301" i="18"/>
  <c r="AG62" i="18"/>
  <c r="AH255" i="18"/>
  <c r="AH360" i="18"/>
  <c r="AG174" i="18"/>
  <c r="AG95" i="18"/>
  <c r="AG83" i="18"/>
  <c r="AG73" i="18"/>
  <c r="AG138" i="18"/>
  <c r="AH18" i="18"/>
  <c r="AH296" i="18"/>
  <c r="AG41" i="18"/>
  <c r="AH196" i="18"/>
  <c r="AG32" i="18"/>
  <c r="AH84" i="18"/>
  <c r="AH29" i="18"/>
  <c r="AH160" i="18"/>
  <c r="AG6" i="18"/>
  <c r="AH291" i="18"/>
  <c r="AG116" i="18"/>
  <c r="AH245" i="18"/>
  <c r="AH306" i="18"/>
  <c r="AG271" i="18"/>
  <c r="AH101" i="18"/>
  <c r="AG341" i="18"/>
  <c r="AG259" i="18"/>
  <c r="AH125" i="18"/>
  <c r="AG248" i="18"/>
  <c r="AG234" i="18"/>
  <c r="AH188" i="18"/>
  <c r="AG18" i="18"/>
  <c r="AG231" i="18"/>
  <c r="AG361" i="18"/>
  <c r="AG180" i="18"/>
  <c r="AG305" i="18"/>
  <c r="AH189" i="18"/>
  <c r="AH311" i="18"/>
  <c r="AH16" i="18"/>
  <c r="AG52" i="18"/>
  <c r="AH135" i="18"/>
  <c r="AH68" i="18"/>
  <c r="AG99" i="18"/>
  <c r="AH76" i="18"/>
  <c r="AH138" i="18"/>
  <c r="AG230" i="18"/>
  <c r="AH267" i="18"/>
  <c r="AH221" i="18"/>
  <c r="AG7" i="18"/>
  <c r="AH123" i="18"/>
  <c r="AH358" i="18"/>
  <c r="AH66" i="18"/>
  <c r="AH214" i="18"/>
  <c r="AH276" i="18"/>
  <c r="AH65" i="18"/>
  <c r="AH102" i="18"/>
  <c r="AH12" i="18"/>
  <c r="AH229" i="18"/>
  <c r="AG36" i="18"/>
  <c r="AG150" i="18"/>
  <c r="AG151" i="18"/>
  <c r="AH314" i="18"/>
  <c r="AH172" i="18"/>
  <c r="AG334" i="18"/>
  <c r="AH323" i="18"/>
  <c r="AH332" i="18"/>
  <c r="AH79" i="18"/>
  <c r="AG97" i="18"/>
  <c r="AH205" i="18"/>
  <c r="AG228" i="18"/>
  <c r="AH297" i="18"/>
  <c r="AG170" i="18"/>
  <c r="AG278" i="18"/>
  <c r="AG290" i="18"/>
  <c r="AH232" i="18"/>
  <c r="AG78" i="18"/>
  <c r="AG177" i="18"/>
  <c r="AG142" i="18"/>
  <c r="AH244" i="18"/>
  <c r="AG233" i="18"/>
  <c r="AH202" i="18"/>
  <c r="AH109" i="18"/>
  <c r="AG45" i="18"/>
  <c r="AH164" i="18"/>
  <c r="AH227" i="18"/>
  <c r="AG347" i="18"/>
  <c r="AG161" i="18"/>
  <c r="AH254" i="18"/>
  <c r="AG269" i="18"/>
  <c r="AH253" i="18"/>
  <c r="AG359" i="18"/>
  <c r="AH272" i="18"/>
  <c r="AG91" i="18"/>
  <c r="AG209" i="18"/>
  <c r="AG286" i="18"/>
  <c r="AH199" i="18"/>
  <c r="AH212" i="18"/>
  <c r="AH208" i="18"/>
  <c r="AG166" i="18"/>
  <c r="AG19" i="18"/>
  <c r="AH345" i="18"/>
  <c r="AG149" i="18"/>
  <c r="AG155" i="18"/>
  <c r="AG227" i="18"/>
  <c r="AH142" i="18"/>
  <c r="AH67" i="18"/>
  <c r="AH287" i="18"/>
  <c r="AH106" i="18"/>
  <c r="AG51" i="18"/>
  <c r="AG242" i="18"/>
  <c r="AG75" i="18"/>
  <c r="AG194" i="18"/>
  <c r="AG309" i="18"/>
  <c r="AH180" i="18"/>
  <c r="AG329" i="18"/>
  <c r="AH198" i="18"/>
  <c r="AH328" i="18"/>
  <c r="AG38" i="18"/>
  <c r="AG249" i="18"/>
  <c r="AH119" i="18"/>
  <c r="AH21" i="18"/>
  <c r="AG229" i="18"/>
  <c r="AH20" i="18"/>
  <c r="AG319" i="18"/>
  <c r="AH83" i="18"/>
  <c r="AG221" i="18"/>
  <c r="AH59" i="18"/>
  <c r="AH256" i="18"/>
  <c r="AG128" i="18"/>
  <c r="AG244" i="18"/>
  <c r="AH248" i="18"/>
  <c r="AH95" i="18"/>
  <c r="AH285" i="18"/>
  <c r="AH273" i="18"/>
  <c r="AG94" i="18"/>
  <c r="AH77" i="18"/>
  <c r="AH86" i="18"/>
  <c r="AH321" i="18"/>
  <c r="AH23" i="18"/>
  <c r="AG55" i="18"/>
  <c r="AG313" i="18"/>
  <c r="AH270" i="18"/>
  <c r="AH114" i="18"/>
  <c r="AG187" i="18"/>
  <c r="AH92" i="18"/>
  <c r="AG5" i="18"/>
  <c r="AG113" i="18"/>
  <c r="AH17" i="18"/>
  <c r="AG261" i="18"/>
  <c r="AG363" i="18"/>
  <c r="AG355" i="18"/>
  <c r="AH112" i="18"/>
  <c r="AH263" i="18"/>
  <c r="AH63" i="18"/>
  <c r="AH246" i="18"/>
  <c r="AG31" i="18"/>
  <c r="AG322" i="18"/>
  <c r="AG288" i="18"/>
  <c r="AH220" i="18"/>
  <c r="AG165" i="18"/>
  <c r="AH115" i="18"/>
  <c r="AG327" i="18"/>
  <c r="AG68" i="18"/>
  <c r="AH206" i="18"/>
  <c r="AG268" i="18"/>
  <c r="AH349" i="18"/>
  <c r="AG193" i="18"/>
  <c r="AH103" i="18"/>
  <c r="AG9" i="18"/>
  <c r="AH356" i="18"/>
  <c r="AG257" i="18"/>
  <c r="AG135" i="18"/>
  <c r="AH204" i="18"/>
  <c r="AH104" i="18"/>
  <c r="AH340" i="18"/>
  <c r="AG344" i="18"/>
  <c r="AG225" i="18"/>
  <c r="AH22" i="18"/>
  <c r="AH284" i="18"/>
  <c r="AG119" i="18"/>
  <c r="AH118" i="18"/>
  <c r="AH179" i="18"/>
  <c r="AG205" i="18"/>
  <c r="AH250" i="18"/>
  <c r="AH97" i="18"/>
  <c r="AG264" i="18"/>
  <c r="AG179" i="18"/>
  <c r="AG144" i="18"/>
  <c r="AG100" i="18"/>
  <c r="AH8" i="18"/>
  <c r="AH4" i="18"/>
  <c r="AH58" i="18"/>
  <c r="AH274" i="18"/>
  <c r="AH49" i="18"/>
  <c r="AG342" i="18"/>
  <c r="AH319" i="18"/>
  <c r="AG318" i="18"/>
  <c r="AH126" i="18"/>
  <c r="AH361" i="18"/>
  <c r="AH251" i="18"/>
  <c r="AH121" i="18"/>
  <c r="AH62" i="18"/>
  <c r="AH157" i="18"/>
  <c r="AG203" i="18"/>
  <c r="AG22" i="18"/>
  <c r="AH203" i="18"/>
  <c r="AH161" i="18"/>
  <c r="AH100" i="18"/>
  <c r="AG72" i="18"/>
  <c r="AH278" i="18"/>
  <c r="AG66" i="18"/>
  <c r="AG154" i="18"/>
  <c r="AG63" i="18"/>
  <c r="AH82" i="18"/>
  <c r="AG296" i="18"/>
  <c r="AG90" i="18"/>
  <c r="AH354" i="18"/>
  <c r="AH290" i="18"/>
  <c r="AG354" i="18"/>
  <c r="AG306" i="18"/>
  <c r="AH192" i="18"/>
  <c r="AG153" i="18"/>
  <c r="AG133" i="18"/>
  <c r="AH98" i="18"/>
  <c r="AH154" i="18"/>
  <c r="AH124" i="18"/>
  <c r="AG246" i="18"/>
  <c r="AH242" i="18"/>
  <c r="AH277" i="18"/>
  <c r="AG335" i="18"/>
  <c r="AG301" i="18"/>
  <c r="AH91" i="18"/>
  <c r="AH37" i="18"/>
  <c r="AH52" i="18"/>
  <c r="AG115" i="18"/>
  <c r="AH74" i="18"/>
  <c r="AH183" i="18"/>
  <c r="AG245" i="18"/>
  <c r="Y17" i="18"/>
  <c r="X15" i="18"/>
  <c r="X16" i="18"/>
  <c r="Y6" i="18"/>
  <c r="Y9" i="18"/>
  <c r="Y10" i="18"/>
  <c r="Y21" i="18"/>
  <c r="Y11" i="18"/>
  <c r="Y18" i="18"/>
  <c r="Y14" i="18"/>
  <c r="Y7" i="18"/>
  <c r="Y15" i="18"/>
  <c r="Y20" i="18"/>
  <c r="Y19" i="18"/>
  <c r="X12" i="18"/>
  <c r="X11" i="18"/>
  <c r="X7" i="18"/>
  <c r="X17" i="18"/>
  <c r="X20" i="18"/>
  <c r="X21" i="18"/>
  <c r="X19" i="18"/>
  <c r="X18" i="18"/>
  <c r="X10" i="18"/>
  <c r="X14" i="18"/>
  <c r="X13" i="18"/>
  <c r="Y16" i="18"/>
  <c r="X9" i="18"/>
  <c r="Y8" i="18"/>
  <c r="Y12" i="18"/>
  <c r="X6" i="18"/>
  <c r="Y13" i="18"/>
  <c r="X8" i="18"/>
  <c r="AF171" i="18"/>
  <c r="AF313" i="18"/>
  <c r="AE260" i="18"/>
  <c r="AE303" i="18"/>
  <c r="AF100" i="18"/>
  <c r="AF243" i="18"/>
  <c r="AF351" i="18"/>
  <c r="AE119" i="18"/>
  <c r="AE116" i="18"/>
  <c r="AF153" i="18"/>
  <c r="AF249" i="18"/>
  <c r="AE236" i="18"/>
  <c r="AE337" i="18"/>
  <c r="AF63" i="18"/>
  <c r="AF352" i="18"/>
  <c r="AF201" i="18"/>
  <c r="AE102" i="18"/>
  <c r="AF240" i="18"/>
  <c r="AF84" i="18"/>
  <c r="AE149" i="18"/>
  <c r="AE211" i="18"/>
  <c r="AF19" i="18"/>
  <c r="AE272" i="18"/>
  <c r="AE270" i="18"/>
  <c r="AF273" i="18"/>
  <c r="AF46" i="18"/>
  <c r="AE198" i="18"/>
  <c r="AE207" i="18"/>
  <c r="AF198" i="18"/>
  <c r="AE348" i="18"/>
  <c r="AF5" i="18"/>
  <c r="AF338" i="18"/>
  <c r="AE184" i="18"/>
  <c r="AF348" i="18"/>
  <c r="AE289" i="18"/>
  <c r="AF69" i="18"/>
  <c r="AF67" i="18"/>
  <c r="AF43" i="18"/>
  <c r="AE137" i="18"/>
  <c r="AE33" i="18"/>
  <c r="AF167" i="18"/>
  <c r="AF253" i="18"/>
  <c r="AF4" i="18"/>
  <c r="AF304" i="18"/>
  <c r="AE90" i="18"/>
  <c r="AF51" i="18"/>
  <c r="AF168" i="18"/>
  <c r="AF130" i="18"/>
  <c r="AE126" i="18"/>
  <c r="AE176" i="18"/>
  <c r="AE136" i="18"/>
  <c r="AE138" i="18"/>
  <c r="AF151" i="18"/>
  <c r="AE154" i="18"/>
  <c r="AE358" i="18"/>
  <c r="AE354" i="18"/>
  <c r="AF70" i="18"/>
  <c r="AF333" i="18"/>
  <c r="AE155" i="18"/>
  <c r="AE96" i="18"/>
  <c r="AE159" i="18"/>
  <c r="AE21" i="18"/>
  <c r="AE4" i="18"/>
  <c r="AE340" i="18"/>
  <c r="AF190" i="18"/>
  <c r="AE103" i="18"/>
  <c r="AF353" i="18"/>
  <c r="AF289" i="18"/>
  <c r="AF290" i="18"/>
  <c r="AE57" i="18"/>
  <c r="AE131" i="18"/>
  <c r="AE217" i="18"/>
  <c r="AF344" i="18"/>
  <c r="AF244" i="18"/>
  <c r="AF204" i="18"/>
  <c r="AE319" i="18"/>
  <c r="AE91" i="18"/>
  <c r="AF121" i="18"/>
  <c r="AF55" i="18"/>
  <c r="AF76" i="18"/>
  <c r="AF179" i="18"/>
  <c r="AE240" i="18"/>
  <c r="AE315" i="18"/>
  <c r="AE135" i="18"/>
  <c r="AF235" i="18"/>
  <c r="AE230" i="18"/>
  <c r="AE263" i="18"/>
  <c r="AE249" i="18"/>
  <c r="AE172" i="18"/>
  <c r="AF292" i="18"/>
  <c r="AF202" i="18"/>
  <c r="AF225" i="18"/>
  <c r="AE232" i="18"/>
  <c r="AE304" i="18"/>
  <c r="AE87" i="18"/>
  <c r="AF326" i="18"/>
  <c r="AE74" i="18"/>
  <c r="AF87" i="18"/>
  <c r="AF349" i="18"/>
  <c r="AF343" i="18"/>
  <c r="AE228" i="18"/>
  <c r="AF291" i="18"/>
  <c r="AE48" i="18"/>
  <c r="AF176" i="18"/>
  <c r="AF152" i="18"/>
  <c r="AF328" i="18"/>
  <c r="AF337" i="18"/>
  <c r="AE123" i="18"/>
  <c r="AF195" i="18"/>
  <c r="AF279" i="18"/>
  <c r="AE360" i="18"/>
  <c r="AF178" i="18"/>
  <c r="AF331" i="18"/>
  <c r="AF156" i="18"/>
  <c r="AE85" i="18"/>
  <c r="AE301" i="18"/>
  <c r="AF262" i="18"/>
  <c r="AF299" i="18"/>
  <c r="AE147" i="18"/>
  <c r="AF339" i="18"/>
  <c r="AE234" i="18"/>
  <c r="AF311" i="18"/>
  <c r="AE339" i="18"/>
  <c r="AF149" i="18"/>
  <c r="AE133" i="18"/>
  <c r="AF232" i="18"/>
  <c r="AE284" i="18"/>
  <c r="AF258" i="18"/>
  <c r="AE302" i="18"/>
  <c r="AF108" i="18"/>
  <c r="AE362" i="18"/>
  <c r="AE243" i="18"/>
  <c r="AE276" i="18"/>
  <c r="AF216" i="18"/>
  <c r="AF203" i="18"/>
  <c r="AE92" i="18"/>
  <c r="AE361" i="18"/>
  <c r="AE193" i="18"/>
  <c r="AE53" i="18"/>
  <c r="AF89" i="18"/>
  <c r="AF11" i="18"/>
  <c r="AE113" i="18"/>
  <c r="AF64" i="18"/>
  <c r="AF155" i="18"/>
  <c r="AE105" i="18"/>
  <c r="AF335" i="18"/>
  <c r="AF107" i="18"/>
  <c r="AF26" i="18"/>
  <c r="AF284" i="18"/>
  <c r="AE322" i="18"/>
  <c r="AF300" i="18"/>
  <c r="AF36" i="18"/>
  <c r="AE231" i="18"/>
  <c r="AE32" i="18"/>
  <c r="AE189" i="18"/>
  <c r="AF49" i="18"/>
  <c r="AE219" i="18"/>
  <c r="AF200" i="18"/>
  <c r="AF248" i="18"/>
  <c r="AE44" i="18"/>
  <c r="AE247" i="18"/>
  <c r="AF186" i="18"/>
  <c r="AE306" i="18"/>
  <c r="AE262" i="18"/>
  <c r="AE221" i="18"/>
  <c r="AE346" i="18"/>
  <c r="AF330" i="18"/>
  <c r="AE257" i="18"/>
  <c r="AE312" i="18"/>
  <c r="AF37" i="18"/>
  <c r="AE209" i="18"/>
  <c r="AE336" i="18"/>
  <c r="AF209" i="18"/>
  <c r="AE50" i="18"/>
  <c r="AE89" i="18"/>
  <c r="AF140" i="18"/>
  <c r="AF263" i="18"/>
  <c r="AE125" i="18"/>
  <c r="AF27" i="18"/>
  <c r="AE26" i="18"/>
  <c r="AE31" i="18"/>
  <c r="AE216" i="18"/>
  <c r="AE203" i="18"/>
  <c r="AE343" i="18"/>
  <c r="AE12" i="18"/>
  <c r="AF226" i="18"/>
  <c r="AE27" i="18"/>
  <c r="AE294" i="18"/>
  <c r="AE215" i="18"/>
  <c r="AF29" i="18"/>
  <c r="AF120" i="18"/>
  <c r="AF218" i="18"/>
  <c r="AF99" i="18"/>
  <c r="AE163" i="18"/>
  <c r="AF184" i="18"/>
  <c r="AF254" i="18"/>
  <c r="AE258" i="18"/>
  <c r="AF228" i="18"/>
  <c r="AE280" i="18"/>
  <c r="AE71" i="18"/>
  <c r="AF193" i="18"/>
  <c r="AF175" i="18"/>
  <c r="AF213" i="18"/>
  <c r="AE164" i="18"/>
  <c r="AE241" i="18"/>
  <c r="AF124" i="18"/>
  <c r="AF158" i="18"/>
  <c r="AF229" i="18"/>
  <c r="AE309" i="18"/>
  <c r="AF267" i="18"/>
  <c r="AE37" i="18"/>
  <c r="AF261" i="18"/>
  <c r="AF210" i="18"/>
  <c r="AF194" i="18"/>
  <c r="AF297" i="18"/>
  <c r="AE15" i="18"/>
  <c r="AE59" i="18"/>
  <c r="AE206" i="18"/>
  <c r="AF137" i="18"/>
  <c r="AE139" i="18"/>
  <c r="AE40" i="18"/>
  <c r="AF23" i="18"/>
  <c r="AF296" i="18"/>
  <c r="AF310" i="18"/>
  <c r="AF8" i="18"/>
  <c r="AF271" i="18"/>
  <c r="AF319" i="18"/>
  <c r="AE183" i="18"/>
  <c r="AF95" i="18"/>
  <c r="AE106" i="18"/>
  <c r="AF355" i="18"/>
  <c r="AF118" i="18"/>
  <c r="AE28" i="18"/>
  <c r="AE72" i="18"/>
  <c r="AE17" i="18"/>
  <c r="AE242" i="18"/>
  <c r="AF165" i="18"/>
  <c r="AE65" i="18"/>
  <c r="AF265" i="18"/>
  <c r="AE345" i="18"/>
  <c r="AF360" i="18"/>
  <c r="AF39" i="18"/>
  <c r="AE266" i="18"/>
  <c r="AF77" i="18"/>
  <c r="AE185" i="18"/>
  <c r="AF7" i="18"/>
  <c r="AE156" i="18"/>
  <c r="AF88" i="18"/>
  <c r="AE144" i="18"/>
  <c r="AF315" i="18"/>
  <c r="AE313" i="18"/>
  <c r="AF363" i="18"/>
  <c r="AE76" i="18"/>
  <c r="AE52" i="18"/>
  <c r="AE79" i="18"/>
  <c r="AE317" i="18"/>
  <c r="AE101" i="18"/>
  <c r="AE352" i="18"/>
  <c r="AE165" i="18"/>
  <c r="AE177" i="18"/>
  <c r="AF111" i="18"/>
  <c r="AF97" i="18"/>
  <c r="AF114" i="18"/>
  <c r="AF264" i="18"/>
  <c r="AF189" i="18"/>
  <c r="AF346" i="18"/>
  <c r="AE287" i="18"/>
  <c r="AF135" i="18"/>
  <c r="AF28" i="18"/>
  <c r="AF199" i="18"/>
  <c r="AF132" i="18"/>
  <c r="AF83" i="18"/>
  <c r="AE97" i="18"/>
  <c r="AF283" i="18"/>
  <c r="AF269" i="18"/>
  <c r="AF177" i="18"/>
  <c r="AE146" i="18"/>
  <c r="AF60" i="18"/>
  <c r="AF357" i="18"/>
  <c r="AE248" i="18"/>
  <c r="AF215" i="18"/>
  <c r="AE68" i="18"/>
  <c r="AE347" i="18"/>
  <c r="AF85" i="18"/>
  <c r="AF13" i="18"/>
  <c r="AE140" i="18"/>
  <c r="AE14" i="18"/>
  <c r="AE169" i="18"/>
  <c r="AE268" i="18"/>
  <c r="AE186" i="18"/>
  <c r="AE104" i="18"/>
  <c r="AE6" i="18"/>
  <c r="AE86" i="18"/>
  <c r="AE295" i="18"/>
  <c r="AF116" i="18"/>
  <c r="AF302" i="18"/>
  <c r="AE25" i="18"/>
  <c r="AF294" i="18"/>
  <c r="AF187" i="18"/>
  <c r="AF25" i="18"/>
  <c r="AE199" i="18"/>
  <c r="AE325" i="18"/>
  <c r="AE200" i="18"/>
  <c r="AF98" i="18"/>
  <c r="AF318" i="18"/>
  <c r="AE334" i="18"/>
  <c r="AE265" i="18"/>
  <c r="AE310" i="18"/>
  <c r="AE70" i="18"/>
  <c r="AE349" i="18"/>
  <c r="AF145" i="18"/>
  <c r="AE18" i="18"/>
  <c r="AE204" i="18"/>
  <c r="AE167" i="18"/>
  <c r="AE255" i="18"/>
  <c r="AE95" i="18"/>
  <c r="AE142" i="18"/>
  <c r="AE63" i="18"/>
  <c r="AE41" i="18"/>
  <c r="AE10" i="18"/>
  <c r="AE107" i="18"/>
  <c r="AF57" i="18"/>
  <c r="AE259" i="18"/>
  <c r="AE291" i="18"/>
  <c r="AE45" i="18"/>
  <c r="AE127" i="18"/>
  <c r="AE256" i="18"/>
  <c r="AE195" i="18"/>
  <c r="AF329" i="18"/>
  <c r="AF117" i="18"/>
  <c r="AF74" i="18"/>
  <c r="AE237" i="18"/>
  <c r="AE114" i="18"/>
  <c r="AE192" i="18"/>
  <c r="AE78" i="18"/>
  <c r="AF307" i="18"/>
  <c r="AE158" i="18"/>
  <c r="AE281" i="18"/>
  <c r="AE66" i="18"/>
  <c r="AF327" i="18"/>
  <c r="AF166" i="18"/>
  <c r="AF59" i="18"/>
  <c r="AF180" i="18"/>
  <c r="AE80" i="18"/>
  <c r="AE36" i="18"/>
  <c r="AE335" i="18"/>
  <c r="AF238" i="18"/>
  <c r="AF324" i="18"/>
  <c r="AE166" i="18"/>
  <c r="AF82" i="18"/>
  <c r="AE77" i="18"/>
  <c r="AE60" i="18"/>
  <c r="AE83" i="18"/>
  <c r="AE187" i="18"/>
  <c r="AF293" i="18"/>
  <c r="AF358" i="18"/>
  <c r="AE275" i="18"/>
  <c r="AE143" i="18"/>
  <c r="AF73" i="18"/>
  <c r="AE338" i="18"/>
  <c r="AE152" i="18"/>
  <c r="AE278" i="18"/>
  <c r="AF91" i="18"/>
  <c r="AE150" i="18"/>
  <c r="AF277" i="18"/>
  <c r="AF222" i="18"/>
  <c r="AE112" i="18"/>
  <c r="AE67" i="18"/>
  <c r="AE308" i="18"/>
  <c r="AE277" i="18"/>
  <c r="AE69" i="18"/>
  <c r="AE202" i="18"/>
  <c r="AF309" i="18"/>
  <c r="AF133" i="18"/>
  <c r="AF219" i="18"/>
  <c r="AE264" i="18"/>
  <c r="AE168" i="18"/>
  <c r="AF127" i="18"/>
  <c r="AE324" i="18"/>
  <c r="AE213" i="18"/>
  <c r="AE161" i="18"/>
  <c r="AE134" i="18"/>
  <c r="AF6" i="18"/>
  <c r="AE180" i="18"/>
  <c r="AE98" i="18"/>
  <c r="AE320" i="18"/>
  <c r="AE201" i="18"/>
  <c r="AF241" i="18"/>
  <c r="AE300" i="18"/>
  <c r="AE22" i="18"/>
  <c r="AE299" i="18"/>
  <c r="AE196" i="18"/>
  <c r="AE124" i="18"/>
  <c r="AE333" i="18"/>
  <c r="AE141" i="18"/>
  <c r="AE181" i="18"/>
  <c r="AF52" i="18"/>
  <c r="AE174" i="18"/>
  <c r="AE218" i="18"/>
  <c r="AF101" i="18"/>
  <c r="AE94" i="18"/>
  <c r="AE356" i="18"/>
  <c r="AF206" i="18"/>
  <c r="AE238" i="18"/>
  <c r="AE81" i="18"/>
  <c r="AF103" i="18"/>
  <c r="AF22" i="18"/>
  <c r="AF58" i="18"/>
  <c r="AF257" i="18"/>
  <c r="AE75" i="18"/>
  <c r="AF20" i="18"/>
  <c r="AF325" i="18"/>
  <c r="AE194" i="18"/>
  <c r="AE108" i="18"/>
  <c r="AF181" i="18"/>
  <c r="AF50" i="18"/>
  <c r="AF276" i="18"/>
  <c r="AE274" i="18"/>
  <c r="AE39" i="18"/>
  <c r="AF54" i="18"/>
  <c r="AF361" i="18"/>
  <c r="AF182" i="18"/>
  <c r="AE20" i="18"/>
  <c r="AE321" i="18"/>
  <c r="AE271" i="18"/>
  <c r="AF16" i="18"/>
  <c r="AF157" i="18"/>
  <c r="AF66" i="18"/>
  <c r="AE19" i="18"/>
  <c r="AF247" i="18"/>
  <c r="AE239" i="18"/>
  <c r="AE246" i="18"/>
  <c r="AF231" i="18"/>
  <c r="AE205" i="18"/>
  <c r="AE355" i="18"/>
  <c r="AF147" i="18"/>
  <c r="AE13" i="18"/>
  <c r="AF162" i="18"/>
  <c r="AE332" i="18"/>
  <c r="AF223" i="18"/>
  <c r="AE111" i="18"/>
  <c r="AE323" i="18"/>
  <c r="AE296" i="18"/>
  <c r="AF40" i="18"/>
  <c r="AF234" i="18"/>
  <c r="AE179" i="18"/>
  <c r="AE110" i="18"/>
  <c r="AE82" i="18"/>
  <c r="AE251" i="18"/>
  <c r="AF142" i="18"/>
  <c r="AF266" i="18"/>
  <c r="AE122" i="18"/>
  <c r="AF320" i="18"/>
  <c r="AE130" i="18"/>
  <c r="AF280" i="18"/>
  <c r="AE38" i="18"/>
  <c r="AF139" i="18"/>
  <c r="AF316" i="18"/>
  <c r="AF196" i="18"/>
  <c r="AE43" i="18"/>
  <c r="AE342" i="18"/>
  <c r="AF56" i="18"/>
  <c r="AF233" i="18"/>
  <c r="AE117" i="18"/>
  <c r="AF134" i="18"/>
  <c r="AF105" i="18"/>
  <c r="AE250" i="18"/>
  <c r="AE273" i="18"/>
  <c r="AF81" i="18"/>
  <c r="AF169" i="18"/>
  <c r="AE314" i="18"/>
  <c r="AE285" i="18"/>
  <c r="AF9" i="18"/>
  <c r="AF305" i="18"/>
  <c r="AE318" i="18"/>
  <c r="AF47" i="18"/>
  <c r="AF301" i="18"/>
  <c r="AE162" i="18"/>
  <c r="AF10" i="18"/>
  <c r="AE157" i="18"/>
  <c r="AE227" i="18"/>
  <c r="AE311" i="18"/>
  <c r="AE109" i="18"/>
  <c r="AF164" i="18"/>
  <c r="AE128" i="18"/>
  <c r="AF242" i="18"/>
  <c r="AE190" i="18"/>
  <c r="AF34" i="18"/>
  <c r="AE341" i="18"/>
  <c r="AF68" i="18"/>
  <c r="AE269" i="18"/>
  <c r="AF285" i="18"/>
  <c r="AF281" i="18"/>
  <c r="AE153" i="18"/>
  <c r="AF278" i="18"/>
  <c r="AE245" i="18"/>
  <c r="AF317" i="18"/>
  <c r="AE160" i="18"/>
  <c r="AF75" i="18"/>
  <c r="AE55" i="18"/>
  <c r="AE93" i="18"/>
  <c r="AF192" i="18"/>
  <c r="AE178" i="18"/>
  <c r="AE326" i="18"/>
  <c r="AE297" i="18"/>
  <c r="AE170" i="18"/>
  <c r="AF306" i="18"/>
  <c r="AE305" i="18"/>
  <c r="AF239" i="18"/>
  <c r="AF62" i="18"/>
  <c r="AE175" i="18"/>
  <c r="AF80" i="18"/>
  <c r="AE118" i="18"/>
  <c r="AE357" i="18"/>
  <c r="AE224" i="18"/>
  <c r="AF65" i="18"/>
  <c r="AE8" i="18"/>
  <c r="AF356" i="18"/>
  <c r="AE350" i="18"/>
  <c r="AE49" i="18"/>
  <c r="AF154" i="18"/>
  <c r="AF159" i="18"/>
  <c r="AF362" i="18"/>
  <c r="AE120" i="18"/>
  <c r="AF260" i="18"/>
  <c r="AF102" i="18"/>
  <c r="AF224" i="18"/>
  <c r="AE62" i="18"/>
  <c r="AE16" i="18"/>
  <c r="AF322" i="18"/>
  <c r="AF143" i="18"/>
  <c r="AF128" i="18"/>
  <c r="AE288" i="18"/>
  <c r="AF221" i="18"/>
  <c r="AF345" i="18"/>
  <c r="AF32" i="18"/>
  <c r="AF251" i="18"/>
  <c r="AF183" i="18"/>
  <c r="AE29" i="18"/>
  <c r="AF286" i="18"/>
  <c r="AF227" i="18"/>
  <c r="AE171" i="18"/>
  <c r="AF94" i="18"/>
  <c r="AE51" i="18"/>
  <c r="AF104" i="18"/>
  <c r="AF272" i="18"/>
  <c r="AF250" i="18"/>
  <c r="AE5" i="18"/>
  <c r="AF217" i="18"/>
  <c r="AF323" i="18"/>
  <c r="AE47" i="18"/>
  <c r="AE233" i="18"/>
  <c r="AE359" i="18"/>
  <c r="AF208" i="18"/>
  <c r="AF38" i="18"/>
  <c r="AF35" i="18"/>
  <c r="AF268" i="18"/>
  <c r="AE132" i="18"/>
  <c r="AE61" i="18"/>
  <c r="AE307" i="18"/>
  <c r="AE267" i="18"/>
  <c r="AE182" i="18"/>
  <c r="AF122" i="18"/>
  <c r="AE46" i="18"/>
  <c r="AE54" i="18"/>
  <c r="AE7" i="18"/>
  <c r="AE254" i="18"/>
  <c r="AF295" i="18"/>
  <c r="AE121" i="18"/>
  <c r="AF220" i="18"/>
  <c r="AF119" i="18"/>
  <c r="AE145" i="18"/>
  <c r="AE293" i="18"/>
  <c r="AF79" i="18"/>
  <c r="AF188" i="18"/>
  <c r="AE290" i="18"/>
  <c r="AF205" i="18"/>
  <c r="AF336" i="18"/>
  <c r="AF246" i="18"/>
  <c r="AF78" i="18"/>
  <c r="AF136" i="18"/>
  <c r="AE344" i="18"/>
  <c r="AE292" i="18"/>
  <c r="AF48" i="18"/>
  <c r="AF33" i="18"/>
  <c r="AE191" i="18"/>
  <c r="AF41" i="18"/>
  <c r="AF42" i="18"/>
  <c r="AE220" i="18"/>
  <c r="AE223" i="18"/>
  <c r="AF332" i="18"/>
  <c r="AE188" i="18"/>
  <c r="AE282" i="18"/>
  <c r="AF170" i="18"/>
  <c r="AF14" i="18"/>
  <c r="AF308" i="18"/>
  <c r="AE148" i="18"/>
  <c r="AE129" i="18"/>
  <c r="AE73" i="18"/>
  <c r="AF126" i="18"/>
  <c r="AE115" i="18"/>
  <c r="AF197" i="18"/>
  <c r="AE283" i="18"/>
  <c r="AE253" i="18"/>
  <c r="AE261" i="18"/>
  <c r="AF163" i="18"/>
  <c r="AF342" i="18"/>
  <c r="AF106" i="18"/>
  <c r="AE327" i="18"/>
  <c r="AF237" i="18"/>
  <c r="AF131" i="18"/>
  <c r="AE279" i="18"/>
  <c r="AF31" i="18"/>
  <c r="AE225" i="18"/>
  <c r="AF350" i="18"/>
  <c r="AF236" i="18"/>
  <c r="AF314" i="18"/>
  <c r="AE84" i="18"/>
  <c r="AE151" i="18"/>
  <c r="AF303" i="18"/>
  <c r="AE88" i="18"/>
  <c r="AE24" i="18"/>
  <c r="AF191" i="18"/>
  <c r="AE56" i="18"/>
  <c r="AE11" i="18"/>
  <c r="AE35" i="18"/>
  <c r="AE316" i="18"/>
  <c r="AF172" i="18"/>
  <c r="AF141" i="18"/>
  <c r="AF30" i="18"/>
  <c r="AE100" i="18"/>
  <c r="AF45" i="18"/>
  <c r="AE353" i="18"/>
  <c r="AF144" i="18"/>
  <c r="AE286" i="18"/>
  <c r="AF340" i="18"/>
  <c r="AF125" i="18"/>
  <c r="AF18" i="18"/>
  <c r="AE331" i="18"/>
  <c r="AF347" i="18"/>
  <c r="AF288" i="18"/>
  <c r="AF92" i="18"/>
  <c r="AF112" i="18"/>
  <c r="AE330" i="18"/>
  <c r="AF211" i="18"/>
  <c r="AF90" i="18"/>
  <c r="AF129" i="18"/>
  <c r="AF21" i="18"/>
  <c r="AF71" i="18"/>
  <c r="AF274" i="18"/>
  <c r="AF185" i="18"/>
  <c r="AF146" i="18"/>
  <c r="AF207" i="18"/>
  <c r="AF245" i="18"/>
  <c r="AE298" i="18"/>
  <c r="AE197" i="18"/>
  <c r="AF44" i="18"/>
  <c r="AE363" i="18"/>
  <c r="AE212" i="18"/>
  <c r="AF287" i="18"/>
  <c r="AE30" i="18"/>
  <c r="AF93" i="18"/>
  <c r="AF148" i="18"/>
  <c r="AE58" i="18"/>
  <c r="AF174" i="18"/>
  <c r="AE328" i="18"/>
  <c r="AE226" i="18"/>
  <c r="AF256" i="18"/>
  <c r="AF96" i="18"/>
  <c r="AF214" i="18"/>
  <c r="AE99" i="18"/>
  <c r="AE229" i="18"/>
  <c r="AF270" i="18"/>
  <c r="AE173" i="18"/>
  <c r="AE222" i="18"/>
  <c r="AE64" i="18"/>
  <c r="AF230" i="18"/>
  <c r="AF255" i="18"/>
  <c r="AF298" i="18"/>
  <c r="AF150" i="18"/>
  <c r="AE23" i="18"/>
  <c r="AF312" i="18"/>
  <c r="AE34" i="18"/>
  <c r="AF86" i="18"/>
  <c r="AE235" i="18"/>
  <c r="AF123" i="18"/>
  <c r="AE351" i="18"/>
  <c r="AF212" i="18"/>
  <c r="AE208" i="18"/>
  <c r="AF138" i="18"/>
  <c r="AE244" i="18"/>
  <c r="AF61" i="18"/>
  <c r="AF334" i="18"/>
  <c r="AF109" i="18"/>
  <c r="AF115" i="18"/>
  <c r="AF12" i="18"/>
  <c r="AF113" i="18"/>
  <c r="AF354" i="18"/>
  <c r="AF173" i="18"/>
  <c r="AE329" i="18"/>
  <c r="AF17" i="18"/>
  <c r="AF282" i="18"/>
  <c r="AE210" i="18"/>
  <c r="AF275" i="18"/>
  <c r="AF359" i="18"/>
  <c r="AE252" i="18"/>
  <c r="AE9" i="18"/>
  <c r="AF53" i="18"/>
  <c r="AF259" i="18"/>
  <c r="AE42" i="18"/>
  <c r="AF252" i="18"/>
  <c r="AF24" i="18"/>
  <c r="AF160" i="18"/>
  <c r="AF341" i="18"/>
  <c r="AF15" i="18"/>
  <c r="AF72" i="18"/>
  <c r="AF161" i="18"/>
  <c r="AF110" i="18"/>
  <c r="AE214" i="18"/>
  <c r="AF321" i="18"/>
  <c r="E35" i="93"/>
  <c r="G37" i="93"/>
  <c r="E13" i="93"/>
  <c r="G8" i="93"/>
  <c r="H13" i="93"/>
  <c r="G39" i="93"/>
  <c r="E75" i="93"/>
  <c r="E37" i="93"/>
  <c r="F37" i="93"/>
  <c r="E10" i="93"/>
  <c r="G40" i="93"/>
  <c r="I18" i="93"/>
  <c r="H14" i="93"/>
  <c r="G13" i="93"/>
  <c r="E33" i="93"/>
  <c r="I40" i="93"/>
  <c r="E76" i="93"/>
  <c r="E39" i="93"/>
  <c r="F13" i="93"/>
  <c r="H17" i="93"/>
  <c r="F9" i="93"/>
  <c r="E40" i="93"/>
  <c r="F10" i="93"/>
  <c r="I10" i="93"/>
  <c r="H79" i="93"/>
  <c r="E73" i="93"/>
  <c r="E9" i="93"/>
  <c r="E29" i="93" s="1"/>
  <c r="F76" i="93"/>
  <c r="I14" i="93"/>
  <c r="I8" i="93"/>
  <c r="E80" i="93"/>
  <c r="G78" i="93"/>
  <c r="F40" i="93"/>
  <c r="F80" i="93"/>
  <c r="AB40" i="93" s="1"/>
  <c r="F15" i="93"/>
  <c r="E71" i="93"/>
  <c r="G15" i="93"/>
  <c r="F12" i="93"/>
  <c r="I17" i="93"/>
  <c r="I12" i="93"/>
  <c r="H8" i="93"/>
  <c r="E72" i="93"/>
  <c r="AX40" i="93"/>
  <c r="AD19" i="93"/>
  <c r="E79" i="93"/>
  <c r="E77" i="93"/>
  <c r="G11" i="93"/>
  <c r="I80" i="93"/>
  <c r="G16" i="93"/>
  <c r="G36" i="93" s="1"/>
  <c r="I16" i="93"/>
  <c r="I36" i="93" s="1"/>
  <c r="H10" i="93"/>
  <c r="AM20" i="93"/>
  <c r="AZ19" i="93"/>
  <c r="H78" i="93"/>
  <c r="F8" i="93"/>
  <c r="F28" i="93" s="1"/>
  <c r="E78" i="93"/>
  <c r="E8" i="93"/>
  <c r="E74" i="93"/>
  <c r="E12" i="93"/>
  <c r="E32" i="93" s="1"/>
  <c r="I13" i="93"/>
  <c r="AX20" i="93"/>
  <c r="H40" i="93"/>
  <c r="Q20" i="93"/>
  <c r="I39" i="93"/>
  <c r="AM40" i="93"/>
  <c r="I9" i="93"/>
  <c r="I29" i="93" s="1"/>
  <c r="E14" i="93"/>
  <c r="E70" i="93"/>
  <c r="F35" i="93"/>
  <c r="G12" i="93"/>
  <c r="G32" i="93" s="1"/>
  <c r="E30" i="93"/>
  <c r="F14" i="93"/>
  <c r="F77" i="93"/>
  <c r="I15" i="93"/>
  <c r="AX37" i="93"/>
  <c r="F78" i="93"/>
  <c r="AO19" i="93"/>
  <c r="AB37" i="93"/>
  <c r="F38" i="93"/>
  <c r="AB38" i="93" s="1"/>
  <c r="G28" i="93"/>
  <c r="E69" i="93"/>
  <c r="H12" i="93"/>
  <c r="H32" i="93" s="1"/>
  <c r="H15" i="93"/>
  <c r="H38" i="93"/>
  <c r="I79" i="93"/>
  <c r="AE39" i="93" s="1"/>
  <c r="E36" i="93"/>
  <c r="H11" i="93"/>
  <c r="H9" i="93"/>
  <c r="H29" i="93" s="1"/>
  <c r="AZ38" i="93"/>
  <c r="I37" i="93"/>
  <c r="T39" i="93"/>
  <c r="AO38" i="93"/>
  <c r="S38" i="93"/>
  <c r="G79" i="93"/>
  <c r="I38" i="93"/>
  <c r="E68" i="93"/>
  <c r="H80" i="93"/>
  <c r="H35" i="93"/>
  <c r="F39" i="93"/>
  <c r="G14" i="93"/>
  <c r="BA40" i="93"/>
  <c r="E38" i="93"/>
  <c r="I11" i="93"/>
  <c r="I31" i="93" s="1"/>
  <c r="H16" i="93"/>
  <c r="AB16" i="93"/>
  <c r="I34" i="93"/>
  <c r="BA39" i="93"/>
  <c r="G38" i="93"/>
  <c r="AN18" i="93"/>
  <c r="AC18" i="93"/>
  <c r="AP20" i="93"/>
  <c r="AO18" i="93"/>
  <c r="E34" i="93"/>
  <c r="Q18" i="93"/>
  <c r="G77" i="93"/>
  <c r="G80" i="93"/>
  <c r="F36" i="93"/>
  <c r="AB36" i="93" s="1"/>
  <c r="H39" i="93"/>
  <c r="H37" i="93"/>
  <c r="G9" i="93"/>
  <c r="G29" i="93" s="1"/>
  <c r="F79" i="93"/>
  <c r="F11" i="93"/>
  <c r="G10" i="93"/>
  <c r="Q36" i="93"/>
  <c r="G35" i="93"/>
  <c r="AY37" i="93"/>
  <c r="G31" i="93"/>
  <c r="E28" i="93"/>
  <c r="R18" i="93"/>
  <c r="AD40" i="93"/>
  <c r="AD38" i="93"/>
  <c r="AN38" i="93"/>
  <c r="AD18" i="93"/>
  <c r="E11" i="93"/>
  <c r="AY18" i="93"/>
  <c r="AO39" i="93"/>
  <c r="S19" i="93"/>
  <c r="AM36" i="93"/>
  <c r="AC38" i="93"/>
  <c r="R38" i="93"/>
  <c r="AY38" i="93"/>
  <c r="AY20" i="93"/>
  <c r="R20" i="93"/>
  <c r="T40" i="93"/>
  <c r="AE40" i="93"/>
  <c r="AP40" i="93"/>
  <c r="BA20" i="93"/>
  <c r="T20" i="93"/>
  <c r="AE20" i="93"/>
  <c r="AM17" i="93"/>
  <c r="AM37" i="93"/>
  <c r="Q17" i="93"/>
  <c r="AX17" i="93"/>
  <c r="AB17" i="93"/>
  <c r="Q37" i="93"/>
  <c r="Q38" i="93"/>
  <c r="AM38" i="93"/>
  <c r="AX38" i="93"/>
  <c r="AM16" i="93"/>
  <c r="Q16" i="93"/>
  <c r="R39" i="93"/>
  <c r="AN39" i="93"/>
  <c r="AC39" i="93"/>
  <c r="AY39" i="93"/>
  <c r="AO40" i="93"/>
  <c r="AZ40" i="93"/>
  <c r="AZ20" i="93"/>
  <c r="AD20" i="93"/>
  <c r="S40" i="93"/>
  <c r="S20" i="93"/>
  <c r="AO20" i="93"/>
  <c r="AC19" i="93"/>
  <c r="AY19" i="93"/>
  <c r="R19" i="93"/>
  <c r="AN19" i="93"/>
  <c r="AB18" i="93"/>
  <c r="AX18" i="93"/>
  <c r="AM18" i="93"/>
  <c r="AZ18" i="93"/>
  <c r="S18" i="93"/>
  <c r="AC37" i="93"/>
  <c r="AN37" i="93"/>
  <c r="R17" i="93"/>
  <c r="R37" i="93"/>
  <c r="AN17" i="93"/>
  <c r="AY17" i="93"/>
  <c r="AC17" i="93"/>
  <c r="AN20" i="93"/>
  <c r="AC20" i="93"/>
  <c r="AN40" i="93"/>
  <c r="R40" i="93"/>
  <c r="AY40" i="93"/>
  <c r="AC40" i="93"/>
  <c r="AD39" i="93"/>
  <c r="S39" i="93"/>
  <c r="AZ39" i="93"/>
  <c r="AE19" i="93"/>
  <c r="T19" i="93"/>
  <c r="AP19" i="93"/>
  <c r="BA19" i="93"/>
  <c r="Q39" i="93"/>
  <c r="Q19" i="93"/>
  <c r="AB39" i="93"/>
  <c r="AB19" i="93"/>
  <c r="AM19" i="93"/>
  <c r="AX19" i="93"/>
  <c r="AM39" i="93"/>
  <c r="AX39" i="93"/>
  <c r="F48" i="93" l="1"/>
  <c r="F52" i="93"/>
  <c r="F51" i="93"/>
  <c r="F50" i="93"/>
  <c r="F49" i="93"/>
  <c r="F55" i="93"/>
  <c r="F54" i="93"/>
  <c r="F53" i="93"/>
  <c r="I49" i="93"/>
  <c r="H48" i="93"/>
  <c r="G53" i="93"/>
  <c r="I55" i="93"/>
  <c r="H54" i="93"/>
  <c r="H53" i="93"/>
  <c r="I54" i="93"/>
  <c r="G52" i="93"/>
  <c r="G51" i="93"/>
  <c r="I53" i="93"/>
  <c r="H52" i="93"/>
  <c r="I48" i="93"/>
  <c r="H49" i="93"/>
  <c r="I50" i="93"/>
  <c r="G48" i="93"/>
  <c r="H51" i="93"/>
  <c r="G50" i="93"/>
  <c r="I52" i="93"/>
  <c r="G49" i="93"/>
  <c r="I51" i="93"/>
  <c r="H50" i="93"/>
  <c r="G55" i="93"/>
  <c r="I57" i="93"/>
  <c r="H57" i="93"/>
  <c r="I58" i="93"/>
  <c r="H56" i="93"/>
  <c r="G56" i="93"/>
  <c r="H55" i="93"/>
  <c r="I56" i="93"/>
  <c r="G54" i="93"/>
  <c r="AE74" i="50"/>
  <c r="AE66" i="50"/>
  <c r="AA39" i="50"/>
  <c r="AB38" i="50"/>
  <c r="AD36" i="50"/>
  <c r="AD52" i="50"/>
  <c r="AB39" i="50"/>
  <c r="Z37" i="50"/>
  <c r="AB35" i="50"/>
  <c r="AE35" i="50" s="1"/>
  <c r="AD37" i="50"/>
  <c r="AE36" i="50"/>
  <c r="Z39" i="50"/>
  <c r="AC37" i="50"/>
  <c r="AD39" i="50"/>
  <c r="Z73" i="50"/>
  <c r="AC39" i="50"/>
  <c r="AE16" i="50"/>
  <c r="AE73" i="50"/>
  <c r="AE59" i="50"/>
  <c r="AE32" i="50"/>
  <c r="AE30" i="50"/>
  <c r="W45" i="50"/>
  <c r="W62" i="50"/>
  <c r="R11" i="51"/>
  <c r="W32" i="50"/>
  <c r="X32" i="50" s="1"/>
  <c r="W49" i="50"/>
  <c r="R13" i="51"/>
  <c r="W79" i="50"/>
  <c r="W27" i="50"/>
  <c r="X27" i="50" s="1"/>
  <c r="W59" i="50"/>
  <c r="W14" i="50"/>
  <c r="W34" i="50"/>
  <c r="X34" i="50" s="1"/>
  <c r="W51" i="50"/>
  <c r="W20" i="50"/>
  <c r="W28" i="50"/>
  <c r="X28" i="50" s="1"/>
  <c r="W33" i="50"/>
  <c r="X33" i="50" s="1"/>
  <c r="W68" i="50"/>
  <c r="W39" i="50"/>
  <c r="X39" i="50" s="1"/>
  <c r="W7" i="50"/>
  <c r="X7" i="50" s="1"/>
  <c r="W11" i="50"/>
  <c r="R12" i="51"/>
  <c r="W54" i="50"/>
  <c r="W30" i="50"/>
  <c r="X30" i="50" s="1"/>
  <c r="W19" i="50"/>
  <c r="W44" i="50"/>
  <c r="W46" i="50"/>
  <c r="W38" i="50"/>
  <c r="X38" i="50" s="1"/>
  <c r="W48" i="50"/>
  <c r="W78" i="50"/>
  <c r="W60" i="50"/>
  <c r="R9" i="51"/>
  <c r="W12" i="50"/>
  <c r="W50" i="50"/>
  <c r="W52" i="50"/>
  <c r="W80" i="50"/>
  <c r="W31" i="50"/>
  <c r="X31" i="50" s="1"/>
  <c r="W65" i="50"/>
  <c r="W43" i="50"/>
  <c r="X43" i="50" s="1"/>
  <c r="W61" i="50"/>
  <c r="W63" i="50"/>
  <c r="W67" i="50"/>
  <c r="W37" i="50"/>
  <c r="X37" i="50" s="1"/>
  <c r="W13" i="50"/>
  <c r="W53" i="50"/>
  <c r="AE20" i="50"/>
  <c r="AE47" i="50"/>
  <c r="AE43" i="50"/>
  <c r="AA54" i="50"/>
  <c r="AE45" i="50"/>
  <c r="AE8" i="50"/>
  <c r="AE17" i="50"/>
  <c r="AE7" i="50"/>
  <c r="AD79" i="50"/>
  <c r="AE14" i="50"/>
  <c r="AE77" i="50"/>
  <c r="AE65" i="50"/>
  <c r="AE37" i="50"/>
  <c r="AD48" i="50"/>
  <c r="W58" i="50"/>
  <c r="X58" i="50" s="1"/>
  <c r="W72" i="50"/>
  <c r="X72" i="50" s="1"/>
  <c r="W73" i="50"/>
  <c r="W74" i="50"/>
  <c r="W75" i="50"/>
  <c r="W47" i="50"/>
  <c r="W76" i="50"/>
  <c r="W66" i="50"/>
  <c r="W36" i="50"/>
  <c r="X36" i="50" s="1"/>
  <c r="AD80" i="50"/>
  <c r="AC34" i="50"/>
  <c r="AE34" i="50" s="1"/>
  <c r="AC33" i="50"/>
  <c r="AE33" i="50" s="1"/>
  <c r="AE29" i="50"/>
  <c r="AE79" i="50"/>
  <c r="AE50" i="50"/>
  <c r="AB10" i="50"/>
  <c r="AE10" i="50" s="1"/>
  <c r="AD68" i="50"/>
  <c r="AE68" i="50" s="1"/>
  <c r="AC52" i="50"/>
  <c r="AA49" i="50"/>
  <c r="AA53" i="50"/>
  <c r="Z49" i="50"/>
  <c r="AE9" i="50"/>
  <c r="AE38" i="50"/>
  <c r="Z52" i="50"/>
  <c r="Z54" i="50"/>
  <c r="AH7" i="47"/>
  <c r="AE11" i="50"/>
  <c r="AE46" i="50"/>
  <c r="AE75" i="50"/>
  <c r="AE12" i="50"/>
  <c r="AE72" i="50"/>
  <c r="AE64" i="50"/>
  <c r="AA52" i="50"/>
  <c r="AB48" i="50"/>
  <c r="AE48" i="50" s="1"/>
  <c r="AE51" i="50"/>
  <c r="AE76" i="50"/>
  <c r="AE61" i="50"/>
  <c r="AC53" i="50"/>
  <c r="AB54" i="50"/>
  <c r="AE44" i="50"/>
  <c r="AE19" i="50"/>
  <c r="AB52" i="50"/>
  <c r="AE18" i="50"/>
  <c r="AE80" i="50"/>
  <c r="AE63" i="50"/>
  <c r="Z53" i="50"/>
  <c r="AE78" i="50"/>
  <c r="AE15" i="50"/>
  <c r="AB28" i="50"/>
  <c r="AE28" i="50" s="1"/>
  <c r="AD53" i="50"/>
  <c r="AC31" i="50"/>
  <c r="AE31" i="50" s="1"/>
  <c r="AE58" i="50"/>
  <c r="AE39" i="50"/>
  <c r="AC13" i="50"/>
  <c r="AE13" i="50" s="1"/>
  <c r="AC62" i="50"/>
  <c r="AE62" i="50" s="1"/>
  <c r="AD67" i="50"/>
  <c r="AE67" i="50" s="1"/>
  <c r="R10" i="51"/>
  <c r="W8" i="50"/>
  <c r="W10" i="50"/>
  <c r="W77" i="50"/>
  <c r="W64" i="50"/>
  <c r="W17" i="50"/>
  <c r="W16" i="50"/>
  <c r="W15" i="50"/>
  <c r="W35" i="50"/>
  <c r="X35" i="50" s="1"/>
  <c r="R8" i="51"/>
  <c r="W29" i="50"/>
  <c r="X29" i="50" s="1"/>
  <c r="W9" i="50"/>
  <c r="R14" i="51"/>
  <c r="W18" i="50"/>
  <c r="F33" i="93"/>
  <c r="G71" i="93"/>
  <c r="I69" i="93"/>
  <c r="G33" i="93"/>
  <c r="F75" i="93"/>
  <c r="AB20" i="93"/>
  <c r="H71" i="93"/>
  <c r="AE9" i="93"/>
  <c r="H36" i="93"/>
  <c r="H30" i="93"/>
  <c r="H34" i="93"/>
  <c r="H76" i="93"/>
  <c r="F72" i="93"/>
  <c r="G69" i="93"/>
  <c r="H73" i="93"/>
  <c r="AC29" i="93"/>
  <c r="I68" i="93"/>
  <c r="AY31" i="93"/>
  <c r="AO11" i="93"/>
  <c r="T29" i="93"/>
  <c r="F74" i="93"/>
  <c r="AY29" i="93"/>
  <c r="T9" i="93"/>
  <c r="G34" i="93"/>
  <c r="H28" i="93"/>
  <c r="H33" i="93"/>
  <c r="G72" i="93"/>
  <c r="F69" i="93"/>
  <c r="AM9" i="93" s="1"/>
  <c r="AD16" i="93"/>
  <c r="AX35" i="93"/>
  <c r="AC31" i="93"/>
  <c r="H31" i="93"/>
  <c r="S31" i="93" s="1"/>
  <c r="I32" i="93"/>
  <c r="H72" i="93"/>
  <c r="AC32" i="93"/>
  <c r="AD31" i="93"/>
  <c r="S33" i="93"/>
  <c r="AB35" i="93"/>
  <c r="H74" i="93"/>
  <c r="AM14" i="93"/>
  <c r="AN31" i="93"/>
  <c r="BA8" i="93"/>
  <c r="AZ34" i="93"/>
  <c r="AX16" i="93"/>
  <c r="F32" i="93"/>
  <c r="R32" i="93"/>
  <c r="AM15" i="93"/>
  <c r="I71" i="93"/>
  <c r="H70" i="93"/>
  <c r="S30" i="93" s="1"/>
  <c r="S16" i="93"/>
  <c r="AD32" i="93"/>
  <c r="I70" i="93"/>
  <c r="AB9" i="93"/>
  <c r="I74" i="93"/>
  <c r="AO32" i="93"/>
  <c r="AB32" i="93"/>
  <c r="AZ30" i="93"/>
  <c r="AZ14" i="93"/>
  <c r="AN12" i="93"/>
  <c r="R31" i="93"/>
  <c r="AD34" i="93"/>
  <c r="Q40" i="93"/>
  <c r="AZ12" i="93"/>
  <c r="AM35" i="93"/>
  <c r="H75" i="93"/>
  <c r="H68" i="93"/>
  <c r="F70" i="93"/>
  <c r="AB12" i="93"/>
  <c r="I35" i="93"/>
  <c r="I28" i="93"/>
  <c r="I72" i="93"/>
  <c r="H77" i="93"/>
  <c r="AO13" i="93"/>
  <c r="I75" i="93"/>
  <c r="S37" i="93"/>
  <c r="AY12" i="93"/>
  <c r="G73" i="93"/>
  <c r="AZ37" i="93"/>
  <c r="AE8" i="93"/>
  <c r="AD15" i="93"/>
  <c r="AO34" i="93"/>
  <c r="T34" i="93"/>
  <c r="R13" i="93"/>
  <c r="G68" i="93"/>
  <c r="G76" i="93"/>
  <c r="T28" i="93"/>
  <c r="AC36" i="93"/>
  <c r="E31" i="93"/>
  <c r="F34" i="93"/>
  <c r="AX36" i="93"/>
  <c r="I73" i="93"/>
  <c r="F68" i="93"/>
  <c r="AY28" i="93"/>
  <c r="AO16" i="93"/>
  <c r="G74" i="93"/>
  <c r="AZ13" i="93"/>
  <c r="I76" i="93"/>
  <c r="AZ33" i="93"/>
  <c r="AE11" i="93"/>
  <c r="AP11" i="93"/>
  <c r="Q34" i="93"/>
  <c r="AD37" i="93"/>
  <c r="AZ31" i="93"/>
  <c r="AP8" i="93"/>
  <c r="AP15" i="93"/>
  <c r="AY36" i="93"/>
  <c r="BA29" i="93"/>
  <c r="AO14" i="93"/>
  <c r="AB10" i="93"/>
  <c r="R33" i="93"/>
  <c r="F73" i="93"/>
  <c r="T35" i="93"/>
  <c r="AC28" i="93"/>
  <c r="AO30" i="93"/>
  <c r="T15" i="93"/>
  <c r="BA9" i="93"/>
  <c r="AN33" i="93"/>
  <c r="G30" i="93"/>
  <c r="AP39" i="93"/>
  <c r="I30" i="93"/>
  <c r="AN28" i="93"/>
  <c r="AX15" i="93"/>
  <c r="G75" i="93"/>
  <c r="AM28" i="93"/>
  <c r="G70" i="93"/>
  <c r="AO12" i="93"/>
  <c r="AX9" i="93"/>
  <c r="AD11" i="93"/>
  <c r="T10" i="93"/>
  <c r="AD14" i="93"/>
  <c r="F31" i="93"/>
  <c r="F30" i="93"/>
  <c r="R12" i="93"/>
  <c r="I78" i="93"/>
  <c r="AX8" i="93"/>
  <c r="AX14" i="93"/>
  <c r="R8" i="93"/>
  <c r="T13" i="93"/>
  <c r="AM8" i="93"/>
  <c r="AD30" i="93"/>
  <c r="AZ16" i="93"/>
  <c r="R28" i="93"/>
  <c r="AZ28" i="93"/>
  <c r="H69" i="93"/>
  <c r="AM12" i="93"/>
  <c r="AN10" i="93"/>
  <c r="AP30" i="93"/>
  <c r="AZ9" i="93"/>
  <c r="AX13" i="93"/>
  <c r="AN35" i="93"/>
  <c r="AZ11" i="93"/>
  <c r="T8" i="93"/>
  <c r="AP35" i="93"/>
  <c r="T30" i="93"/>
  <c r="AY16" i="93"/>
  <c r="AP29" i="93"/>
  <c r="S34" i="93"/>
  <c r="Q30" i="93"/>
  <c r="AE15" i="93"/>
  <c r="AE29" i="93"/>
  <c r="AX10" i="93"/>
  <c r="AB15" i="93"/>
  <c r="AD17" i="93"/>
  <c r="S12" i="93"/>
  <c r="AC35" i="93"/>
  <c r="BA30" i="93"/>
  <c r="AP9" i="93"/>
  <c r="AM10" i="93"/>
  <c r="I33" i="93"/>
  <c r="AP33" i="93" s="1"/>
  <c r="F29" i="93"/>
  <c r="BA32" i="93"/>
  <c r="F71" i="93"/>
  <c r="AB13" i="93"/>
  <c r="BA18" i="93"/>
  <c r="AD13" i="93"/>
  <c r="AO33" i="93"/>
  <c r="I77" i="93"/>
  <c r="Q35" i="93"/>
  <c r="AZ15" i="93"/>
  <c r="AC11" i="93"/>
  <c r="AZ36" i="93"/>
  <c r="R16" i="93"/>
  <c r="AM13" i="93"/>
  <c r="Q8" i="93"/>
  <c r="AE12" i="93"/>
  <c r="AP32" i="93"/>
  <c r="BA11" i="93"/>
  <c r="AP18" i="93"/>
  <c r="AN15" i="93"/>
  <c r="S11" i="93"/>
  <c r="AP17" i="93"/>
  <c r="AE30" i="93"/>
  <c r="AC16" i="93"/>
  <c r="S14" i="93"/>
  <c r="BA15" i="93"/>
  <c r="AD28" i="93"/>
  <c r="T18" i="93"/>
  <c r="AO31" i="93"/>
  <c r="AN14" i="93"/>
  <c r="AN36" i="93"/>
  <c r="T14" i="93"/>
  <c r="AD36" i="93"/>
  <c r="S36" i="93"/>
  <c r="AO36" i="93"/>
  <c r="AX12" i="93"/>
  <c r="Q32" i="93"/>
  <c r="AN29" i="93"/>
  <c r="AD33" i="93"/>
  <c r="AB14" i="93"/>
  <c r="AM34" i="93"/>
  <c r="AN32" i="93"/>
  <c r="AY32" i="93"/>
  <c r="AD12" i="93"/>
  <c r="S32" i="93"/>
  <c r="AZ32" i="93"/>
  <c r="AM32" i="93"/>
  <c r="AX32" i="93"/>
  <c r="AC12" i="93"/>
  <c r="AP31" i="93"/>
  <c r="AE31" i="93"/>
  <c r="T11" i="93"/>
  <c r="T31" i="93"/>
  <c r="BA10" i="93"/>
  <c r="AP10" i="93"/>
  <c r="AE10" i="93"/>
  <c r="AP14" i="93"/>
  <c r="AE14" i="93"/>
  <c r="AP34" i="93"/>
  <c r="AE34" i="93"/>
  <c r="BA14" i="93"/>
  <c r="BA34" i="93"/>
  <c r="S35" i="93"/>
  <c r="AO35" i="93"/>
  <c r="S15" i="93"/>
  <c r="AD35" i="93"/>
  <c r="AO15" i="93"/>
  <c r="AZ35" i="93"/>
  <c r="AO8" i="93"/>
  <c r="AD8" i="93"/>
  <c r="S8" i="93"/>
  <c r="AO28" i="93"/>
  <c r="AZ8" i="93"/>
  <c r="S28" i="93"/>
  <c r="AB30" i="93"/>
  <c r="AM30" i="93"/>
  <c r="AP28" i="93"/>
  <c r="AE28" i="93"/>
  <c r="BA28" i="93"/>
  <c r="T12" i="93"/>
  <c r="T32" i="93"/>
  <c r="AE32" i="93"/>
  <c r="BA12" i="93"/>
  <c r="AP12" i="93"/>
  <c r="AO17" i="93"/>
  <c r="AZ17" i="93"/>
  <c r="AO37" i="93"/>
  <c r="S17" i="93"/>
  <c r="AE35" i="93"/>
  <c r="BA35" i="93"/>
  <c r="AC13" i="93"/>
  <c r="AN13" i="93"/>
  <c r="AC33" i="93"/>
  <c r="AY33" i="93"/>
  <c r="AY13" i="93"/>
  <c r="AN8" i="93"/>
  <c r="AC8" i="93"/>
  <c r="AY8" i="93"/>
  <c r="AN16" i="93"/>
  <c r="R36" i="93"/>
  <c r="AX11" i="93"/>
  <c r="AM11" i="93"/>
  <c r="AB11" i="93"/>
  <c r="AB34" i="93"/>
  <c r="AX34" i="93"/>
  <c r="R14" i="93"/>
  <c r="AC14" i="93"/>
  <c r="AY14" i="93"/>
  <c r="AE13" i="93"/>
  <c r="BA33" i="93"/>
  <c r="AP13" i="93"/>
  <c r="BA13" i="93"/>
  <c r="T33" i="93"/>
  <c r="AE33" i="93"/>
  <c r="AX28" i="93"/>
  <c r="Q28" i="93"/>
  <c r="AB28" i="93"/>
  <c r="AB8" i="93"/>
  <c r="AN34" i="93"/>
  <c r="R34" i="93"/>
  <c r="AY34" i="93"/>
  <c r="AC34" i="93"/>
  <c r="T36" i="93"/>
  <c r="AP16" i="93"/>
  <c r="AE16" i="93"/>
  <c r="BA36" i="93"/>
  <c r="AE36" i="93"/>
  <c r="T16" i="93"/>
  <c r="AP36" i="93"/>
  <c r="BA16" i="93"/>
  <c r="Q33" i="93"/>
  <c r="AX33" i="93"/>
  <c r="AM33" i="93"/>
  <c r="AB33" i="93"/>
  <c r="AZ10" i="93"/>
  <c r="S10" i="93"/>
  <c r="AO10" i="93"/>
  <c r="AD10" i="93"/>
  <c r="AY15" i="93"/>
  <c r="R35" i="93"/>
  <c r="AY35" i="93"/>
  <c r="AC15" i="93"/>
  <c r="R15" i="93"/>
  <c r="AY30" i="93"/>
  <c r="AC30" i="93"/>
  <c r="R30" i="93"/>
  <c r="AN30" i="93"/>
  <c r="R11" i="93"/>
  <c r="AN11" i="93"/>
  <c r="AY11" i="93"/>
  <c r="AY10" i="93"/>
  <c r="AX30" i="93"/>
  <c r="R10" i="93"/>
  <c r="AC10" i="93"/>
  <c r="T38" i="93"/>
  <c r="AP38" i="93"/>
  <c r="AE38" i="93"/>
  <c r="BA38" i="93"/>
  <c r="AE18" i="93"/>
  <c r="AD9" i="93"/>
  <c r="AZ29" i="93"/>
  <c r="AD29" i="93"/>
  <c r="S29" i="93"/>
  <c r="AO9" i="93"/>
  <c r="S9" i="93"/>
  <c r="AO29" i="93"/>
  <c r="AN9" i="93"/>
  <c r="AB29" i="93"/>
  <c r="AM29" i="93"/>
  <c r="AC9" i="93"/>
  <c r="AX29" i="93"/>
  <c r="Q29" i="93"/>
  <c r="R9" i="93"/>
  <c r="AY9" i="93"/>
  <c r="AX31" i="93"/>
  <c r="AM31" i="93"/>
  <c r="AB31" i="93"/>
  <c r="Q31" i="93"/>
  <c r="T17" i="93"/>
  <c r="AE17" i="93"/>
  <c r="BA37" i="93"/>
  <c r="BA17" i="93"/>
  <c r="AE37" i="93"/>
  <c r="AP37" i="93"/>
  <c r="T37" i="93"/>
  <c r="AE49" i="50" l="1"/>
  <c r="X8" i="50"/>
  <c r="X11" i="50"/>
  <c r="X12" i="50"/>
  <c r="X68" i="50"/>
  <c r="X46" i="50"/>
  <c r="X61" i="50"/>
  <c r="X50" i="50"/>
  <c r="X20" i="50"/>
  <c r="X52" i="50"/>
  <c r="X60" i="50"/>
  <c r="X53" i="50"/>
  <c r="X49" i="50"/>
  <c r="X45" i="50"/>
  <c r="X51" i="50"/>
  <c r="X13" i="50"/>
  <c r="X44" i="50"/>
  <c r="X79" i="50"/>
  <c r="X63" i="50"/>
  <c r="X80" i="50"/>
  <c r="X14" i="50"/>
  <c r="X54" i="50"/>
  <c r="X62" i="50"/>
  <c r="X67" i="50"/>
  <c r="X15" i="50"/>
  <c r="X48" i="50"/>
  <c r="AE53" i="50"/>
  <c r="AE54" i="50"/>
  <c r="X76" i="50"/>
  <c r="X75" i="50"/>
  <c r="X77" i="50"/>
  <c r="X47" i="50"/>
  <c r="X73" i="50"/>
  <c r="X59" i="50"/>
  <c r="X66" i="50"/>
  <c r="X74" i="50"/>
  <c r="X78" i="50"/>
  <c r="AE52" i="50"/>
  <c r="X65" i="50"/>
  <c r="X64" i="50"/>
  <c r="X17" i="50"/>
  <c r="X18" i="50"/>
  <c r="X9" i="50"/>
  <c r="X10" i="50"/>
  <c r="X16" i="50"/>
  <c r="X19" i="50"/>
  <c r="BA31" i="93"/>
  <c r="Q14" i="93"/>
  <c r="Q12" i="93"/>
  <c r="Q11" i="93"/>
  <c r="Q13" i="93"/>
  <c r="Q15" i="93"/>
  <c r="Q10" i="93"/>
  <c r="S13" i="93"/>
  <c r="R29" i="93"/>
  <c r="Q9" i="93"/>
  <c r="J8" i="91" l="1"/>
  <c r="J4" i="91"/>
  <c r="J5" i="91"/>
  <c r="J6" i="91"/>
  <c r="J9" i="91"/>
  <c r="J7" i="91"/>
  <c r="J27" i="91"/>
  <c r="J23" i="91"/>
  <c r="J21" i="91"/>
  <c r="J33" i="91"/>
  <c r="J32" i="91"/>
  <c r="J26" i="91"/>
  <c r="J25" i="91"/>
  <c r="J31" i="91"/>
  <c r="J30" i="91"/>
  <c r="J24" i="91"/>
  <c r="J18" i="91"/>
  <c r="J19" i="91"/>
  <c r="J28" i="91"/>
  <c r="J20" i="91"/>
  <c r="J11" i="91"/>
  <c r="J13" i="91"/>
  <c r="J15" i="91"/>
  <c r="J17" i="91"/>
  <c r="J10" i="91"/>
  <c r="J16" i="91"/>
  <c r="J14" i="91"/>
  <c r="J12" i="91"/>
  <c r="J101" i="91"/>
  <c r="J102" i="91"/>
  <c r="J100" i="91"/>
  <c r="J104" i="91"/>
  <c r="J105" i="91"/>
  <c r="J103" i="91"/>
  <c r="J175" i="91"/>
  <c r="J172" i="91"/>
  <c r="J180" i="91"/>
  <c r="J171" i="91"/>
  <c r="J178" i="91"/>
  <c r="J183" i="91"/>
  <c r="J177" i="91"/>
  <c r="J182" i="91"/>
  <c r="J176" i="91"/>
  <c r="J181" i="91"/>
  <c r="J173" i="91"/>
  <c r="J179" i="91"/>
  <c r="J174" i="91"/>
  <c r="J111" i="91"/>
  <c r="J110" i="91"/>
  <c r="J107" i="91"/>
  <c r="J113" i="91"/>
  <c r="J108" i="91"/>
  <c r="J112" i="91"/>
  <c r="J106" i="91"/>
  <c r="J109" i="91"/>
  <c r="J159" i="91"/>
  <c r="J150" i="91"/>
  <c r="J151" i="91"/>
  <c r="J153" i="91"/>
  <c r="J157" i="91"/>
  <c r="J155" i="91"/>
  <c r="J152" i="91"/>
  <c r="J158" i="91"/>
  <c r="J156" i="91"/>
  <c r="J154" i="91"/>
  <c r="J130" i="91"/>
  <c r="J134" i="91"/>
  <c r="J135" i="91"/>
  <c r="J131" i="91"/>
  <c r="J137" i="91"/>
  <c r="J138" i="91"/>
  <c r="J136" i="91"/>
  <c r="J133" i="91"/>
  <c r="J139" i="91"/>
  <c r="J132" i="91"/>
  <c r="J114" i="91"/>
  <c r="J121" i="91"/>
  <c r="J116" i="91"/>
  <c r="J119" i="91"/>
  <c r="J118" i="91"/>
  <c r="J115" i="91"/>
  <c r="J117" i="91"/>
  <c r="J120" i="91"/>
  <c r="J167" i="91"/>
  <c r="J162" i="91"/>
  <c r="J160" i="91"/>
  <c r="J161" i="91"/>
  <c r="J169" i="91"/>
  <c r="J170" i="91"/>
  <c r="J163" i="91"/>
  <c r="J168" i="91"/>
  <c r="J166" i="91"/>
  <c r="J165" i="91"/>
  <c r="J164" i="91"/>
  <c r="J140" i="91"/>
  <c r="J143" i="91"/>
  <c r="J142" i="91"/>
  <c r="J148" i="91"/>
  <c r="J146" i="91"/>
  <c r="J147" i="91"/>
  <c r="J141" i="91"/>
  <c r="J145" i="91"/>
  <c r="J144" i="91"/>
  <c r="J149" i="91"/>
  <c r="J125" i="91"/>
  <c r="J122" i="91"/>
  <c r="J123" i="91"/>
  <c r="J127" i="91"/>
  <c r="J129" i="91"/>
  <c r="J128" i="91"/>
  <c r="J124" i="91"/>
  <c r="J126" i="91"/>
  <c r="J275" i="91"/>
  <c r="J273" i="91"/>
  <c r="J274" i="91"/>
  <c r="J263" i="91"/>
  <c r="J271" i="91"/>
  <c r="J268" i="91"/>
  <c r="J270" i="91"/>
  <c r="J262" i="91"/>
  <c r="J266" i="91"/>
  <c r="J259" i="91"/>
  <c r="J260" i="91"/>
  <c r="J269" i="91"/>
  <c r="J261" i="91"/>
  <c r="J258" i="91"/>
  <c r="J272" i="91"/>
  <c r="J264" i="91"/>
  <c r="J276" i="91"/>
  <c r="J265" i="91"/>
  <c r="J267" i="91"/>
  <c r="J196" i="91"/>
  <c r="J190" i="91"/>
  <c r="J188" i="91"/>
  <c r="J187" i="91"/>
  <c r="J193" i="91"/>
  <c r="J186" i="91"/>
  <c r="J189" i="91"/>
  <c r="J191" i="91"/>
  <c r="J184" i="91"/>
  <c r="J185" i="91"/>
  <c r="J195" i="91"/>
  <c r="J192" i="91"/>
  <c r="J194" i="91"/>
  <c r="J289" i="91"/>
  <c r="J277" i="91"/>
  <c r="J279" i="91"/>
  <c r="J294" i="91"/>
  <c r="J281" i="91"/>
  <c r="J288" i="91"/>
  <c r="J278" i="91"/>
  <c r="J287" i="91"/>
  <c r="J283" i="91"/>
  <c r="J286" i="91"/>
  <c r="J290" i="91"/>
  <c r="J282" i="91"/>
  <c r="J295" i="91"/>
  <c r="J284" i="91"/>
  <c r="J292" i="91"/>
  <c r="J296" i="91"/>
  <c r="J291" i="91"/>
  <c r="J285" i="91"/>
  <c r="J280" i="91"/>
  <c r="J293" i="91"/>
  <c r="J221" i="91"/>
  <c r="J223" i="91"/>
  <c r="J224" i="91"/>
  <c r="J211" i="91"/>
  <c r="J214" i="91"/>
  <c r="J219" i="91"/>
  <c r="J220" i="91"/>
  <c r="J212" i="91"/>
  <c r="J213" i="91"/>
  <c r="J222" i="91"/>
  <c r="J217" i="91"/>
  <c r="J218" i="91"/>
  <c r="J210" i="91"/>
  <c r="J216" i="91"/>
  <c r="J215" i="91"/>
  <c r="J249" i="91"/>
  <c r="J254" i="91"/>
  <c r="J253" i="91"/>
  <c r="J251" i="91"/>
  <c r="J255" i="91"/>
  <c r="J247" i="91"/>
  <c r="J245" i="91"/>
  <c r="J248" i="91"/>
  <c r="J257" i="91"/>
  <c r="J252" i="91"/>
  <c r="J241" i="91"/>
  <c r="J242" i="91"/>
  <c r="J246" i="91"/>
  <c r="J244" i="91"/>
  <c r="J256" i="91"/>
  <c r="J243" i="91"/>
  <c r="J250" i="91"/>
  <c r="J324" i="91"/>
  <c r="J321" i="91"/>
  <c r="J327" i="91"/>
  <c r="J332" i="91"/>
  <c r="J338" i="91"/>
  <c r="J331" i="91"/>
  <c r="J318" i="91"/>
  <c r="J329" i="91"/>
  <c r="J326" i="91"/>
  <c r="J319" i="91"/>
  <c r="J328" i="91"/>
  <c r="J336" i="91"/>
  <c r="J335" i="91"/>
  <c r="J333" i="91"/>
  <c r="J325" i="91"/>
  <c r="J339" i="91"/>
  <c r="J323" i="91"/>
  <c r="J322" i="91"/>
  <c r="J337" i="91"/>
  <c r="J334" i="91"/>
  <c r="J330" i="91"/>
  <c r="J320" i="91"/>
  <c r="J207" i="91"/>
  <c r="J197" i="91"/>
  <c r="J204" i="91"/>
  <c r="J199" i="91"/>
  <c r="J201" i="91"/>
  <c r="J202" i="91"/>
  <c r="J203" i="91"/>
  <c r="J205" i="91"/>
  <c r="J209" i="91"/>
  <c r="J206" i="91"/>
  <c r="J200" i="91"/>
  <c r="J208" i="91"/>
  <c r="J198" i="91"/>
  <c r="J301" i="91"/>
  <c r="J299" i="91"/>
  <c r="J307" i="91"/>
  <c r="J302" i="91"/>
  <c r="J306" i="91"/>
  <c r="J304" i="91"/>
  <c r="J298" i="91"/>
  <c r="J297" i="91"/>
  <c r="J315" i="91"/>
  <c r="J312" i="91"/>
  <c r="J309" i="91"/>
  <c r="J317" i="91"/>
  <c r="J316" i="91"/>
  <c r="J305" i="91"/>
  <c r="J314" i="91"/>
  <c r="J311" i="91"/>
  <c r="J310" i="91"/>
  <c r="J303" i="91"/>
  <c r="J313" i="91"/>
  <c r="J308" i="91"/>
  <c r="J300" i="91"/>
  <c r="J236" i="91"/>
  <c r="J237" i="91"/>
  <c r="J229" i="91"/>
  <c r="J235" i="91"/>
  <c r="J239" i="91"/>
  <c r="J234" i="91"/>
  <c r="J226" i="91"/>
  <c r="J232" i="91"/>
  <c r="J225" i="91"/>
  <c r="J230" i="91"/>
  <c r="J233" i="91"/>
  <c r="J231" i="91"/>
  <c r="J238" i="91"/>
  <c r="J240" i="91"/>
  <c r="J227" i="91"/>
  <c r="J228" i="91"/>
  <c r="J91" i="91"/>
  <c r="J88" i="91"/>
  <c r="J90" i="91"/>
  <c r="J89" i="91"/>
  <c r="J92" i="91"/>
  <c r="J87" i="91"/>
  <c r="J59" i="91"/>
  <c r="J61" i="91"/>
  <c r="J60" i="91"/>
  <c r="J37" i="91"/>
  <c r="J38" i="91"/>
  <c r="J85" i="91"/>
  <c r="J82" i="91"/>
  <c r="J81" i="91"/>
  <c r="J83" i="91"/>
  <c r="J84" i="91"/>
  <c r="J86" i="91"/>
  <c r="J55" i="91"/>
  <c r="J54" i="91"/>
  <c r="J56" i="91"/>
  <c r="J57" i="91"/>
  <c r="J34" i="91"/>
  <c r="J35" i="91"/>
  <c r="J36" i="91"/>
  <c r="J68" i="91"/>
  <c r="J67" i="91"/>
  <c r="J69" i="91"/>
  <c r="J70" i="91"/>
  <c r="J66" i="91"/>
  <c r="J47" i="91"/>
  <c r="J46" i="91"/>
  <c r="J45" i="91"/>
  <c r="J99" i="91"/>
  <c r="J96" i="91"/>
  <c r="J93" i="91"/>
  <c r="J98" i="91"/>
  <c r="J97" i="91"/>
  <c r="J94" i="91"/>
  <c r="J95" i="91"/>
  <c r="J49" i="91"/>
  <c r="J48" i="91"/>
  <c r="J50" i="91"/>
  <c r="J71" i="91"/>
  <c r="J74" i="91"/>
  <c r="J75" i="91"/>
  <c r="J72" i="91"/>
  <c r="J73" i="91"/>
  <c r="J43" i="91"/>
  <c r="J44" i="91"/>
  <c r="J42" i="91"/>
  <c r="J76" i="91"/>
  <c r="J78" i="91"/>
  <c r="J79" i="91"/>
  <c r="J80" i="91"/>
  <c r="J77" i="91"/>
  <c r="J40" i="91"/>
  <c r="J41" i="91"/>
  <c r="J39" i="91"/>
  <c r="J53" i="91"/>
  <c r="J52" i="91"/>
  <c r="J51" i="91"/>
  <c r="J63" i="91"/>
  <c r="J62" i="91"/>
  <c r="J64" i="91"/>
  <c r="J65" i="91"/>
  <c r="C9" i="91"/>
  <c r="C32" i="91"/>
  <c r="C16" i="91"/>
  <c r="C5" i="91"/>
  <c r="C29" i="91"/>
  <c r="C12" i="91"/>
  <c r="C14" i="91"/>
  <c r="C15" i="91"/>
  <c r="C27" i="91"/>
  <c r="C7" i="91"/>
  <c r="C20" i="91"/>
  <c r="C28" i="91"/>
  <c r="C17" i="91"/>
  <c r="C13" i="91"/>
  <c r="C4" i="91"/>
  <c r="C25" i="91"/>
  <c r="C24" i="91"/>
  <c r="C18" i="91"/>
  <c r="C6" i="91"/>
  <c r="C30" i="91"/>
  <c r="C8" i="91"/>
  <c r="C22" i="91"/>
  <c r="C23" i="91"/>
  <c r="C19" i="91"/>
  <c r="C21" i="91"/>
  <c r="C10" i="91"/>
  <c r="C31" i="91"/>
  <c r="C26" i="91"/>
  <c r="C11" i="91"/>
  <c r="C49" i="91"/>
  <c r="C46" i="91"/>
  <c r="C45" i="91"/>
  <c r="C52" i="91"/>
  <c r="C48" i="91"/>
  <c r="C51" i="91"/>
  <c r="C47" i="91"/>
  <c r="C43" i="91"/>
  <c r="C50" i="91"/>
  <c r="C44" i="91"/>
  <c r="C34" i="91"/>
  <c r="C37" i="91"/>
  <c r="C40" i="91"/>
  <c r="C35" i="91"/>
  <c r="C42" i="91"/>
  <c r="C33" i="91"/>
  <c r="C39" i="91"/>
  <c r="C41" i="91"/>
  <c r="C38" i="91"/>
  <c r="C36" i="91"/>
  <c r="C69" i="91"/>
  <c r="C77" i="91"/>
  <c r="C70" i="91"/>
  <c r="C75" i="91"/>
  <c r="C73" i="91"/>
  <c r="C71" i="91"/>
  <c r="C76" i="91"/>
  <c r="C74" i="91"/>
  <c r="C72" i="91"/>
  <c r="C83" i="91"/>
  <c r="C78" i="91"/>
  <c r="C84" i="91"/>
  <c r="C80" i="91"/>
  <c r="C82" i="91"/>
  <c r="C86" i="91"/>
  <c r="C79" i="91"/>
  <c r="C87" i="91"/>
  <c r="C85" i="91"/>
  <c r="C81" i="91"/>
  <c r="C67" i="91"/>
  <c r="C61" i="91"/>
  <c r="C54" i="91"/>
  <c r="C66" i="91"/>
  <c r="C60" i="91"/>
  <c r="C53" i="91"/>
  <c r="C63" i="91"/>
  <c r="C57" i="91"/>
  <c r="C68" i="91"/>
  <c r="C58" i="91"/>
  <c r="C64" i="91"/>
  <c r="C56" i="91"/>
  <c r="C65" i="91"/>
  <c r="C55" i="91"/>
  <c r="C59" i="91"/>
  <c r="C62" i="91"/>
  <c r="AK33" i="47"/>
  <c r="AF62" i="51"/>
  <c r="AD19" i="51"/>
  <c r="AK56" i="50"/>
  <c r="AD96" i="51"/>
  <c r="AF79" i="51"/>
  <c r="AF93" i="51"/>
  <c r="AE31" i="51"/>
  <c r="AB58" i="51"/>
  <c r="AE32" i="51"/>
  <c r="AI44" i="50"/>
  <c r="AJ44" i="50"/>
  <c r="AL22" i="47"/>
  <c r="AI26" i="50"/>
  <c r="AI16" i="50"/>
  <c r="AI91" i="50"/>
  <c r="AE90" i="51"/>
  <c r="AK66" i="50"/>
  <c r="AC37" i="51"/>
  <c r="AL58" i="50"/>
  <c r="AH11" i="50"/>
  <c r="AD89" i="51"/>
  <c r="AL19" i="50"/>
  <c r="AB24" i="51"/>
  <c r="AH48" i="50"/>
  <c r="AH50" i="50"/>
  <c r="AJ62" i="50"/>
  <c r="AD37" i="51"/>
  <c r="AC22" i="51"/>
  <c r="AE99" i="51"/>
  <c r="AI52" i="50"/>
  <c r="AL29" i="47"/>
  <c r="AK68" i="47"/>
  <c r="AK23" i="47"/>
  <c r="AK15" i="47"/>
  <c r="AL56" i="47"/>
  <c r="AE89" i="51"/>
  <c r="AC81" i="51"/>
  <c r="AJ79" i="50"/>
  <c r="AF85" i="51"/>
  <c r="AK26" i="47"/>
  <c r="AC76" i="51"/>
  <c r="AL10" i="50"/>
  <c r="AE27" i="51"/>
  <c r="AD73" i="51"/>
  <c r="AC71" i="51"/>
  <c r="AB53" i="51"/>
  <c r="AC20" i="51"/>
  <c r="AL64" i="50"/>
  <c r="AF48" i="51"/>
  <c r="AL44" i="50"/>
  <c r="AK21" i="50"/>
  <c r="AI62" i="50"/>
  <c r="AE29" i="51"/>
  <c r="AF32" i="51"/>
  <c r="AE22" i="51"/>
  <c r="AK71" i="50"/>
  <c r="AK84" i="47"/>
  <c r="AC6" i="51"/>
  <c r="AI75" i="50"/>
  <c r="AD38" i="51"/>
  <c r="AB6" i="51"/>
  <c r="AK97" i="47"/>
  <c r="AH36" i="50"/>
  <c r="AJ33" i="50"/>
  <c r="AF96" i="51"/>
  <c r="AD27" i="51"/>
  <c r="AB73" i="51"/>
  <c r="AD81" i="51"/>
  <c r="AB21" i="51"/>
  <c r="AI56" i="50"/>
  <c r="AI71" i="50"/>
  <c r="AJ50" i="50"/>
  <c r="AL72" i="50"/>
  <c r="AH64" i="50"/>
  <c r="AD6" i="51"/>
  <c r="AF52" i="51"/>
  <c r="AL86" i="50"/>
  <c r="AD20" i="51"/>
  <c r="AB71" i="51"/>
  <c r="AH93" i="50"/>
  <c r="AH80" i="50"/>
  <c r="AL58" i="47"/>
  <c r="AC7" i="51"/>
  <c r="AC34" i="51"/>
  <c r="AK35" i="50"/>
  <c r="AK85" i="47"/>
  <c r="AC95" i="51"/>
  <c r="AL90" i="50"/>
  <c r="AK38" i="47"/>
  <c r="AE94" i="51"/>
  <c r="AB12" i="51"/>
  <c r="AF83" i="51"/>
  <c r="AI35" i="50"/>
  <c r="AL97" i="50"/>
  <c r="AB5" i="51"/>
  <c r="AH104" i="50"/>
  <c r="AJ13" i="50"/>
  <c r="AJ106" i="50"/>
  <c r="AL26" i="47"/>
  <c r="AB85" i="51"/>
  <c r="AJ85" i="50"/>
  <c r="AE71" i="51"/>
  <c r="AK39" i="50"/>
  <c r="AK75" i="47"/>
  <c r="AF86" i="51"/>
  <c r="AE18" i="51"/>
  <c r="AF10" i="51"/>
  <c r="AB55" i="51"/>
  <c r="AI82" i="50"/>
  <c r="AK71" i="47"/>
  <c r="AD10" i="51"/>
  <c r="AI100" i="50"/>
  <c r="AD79" i="51"/>
  <c r="AC85" i="51"/>
  <c r="AE44" i="51"/>
  <c r="AE52" i="51"/>
  <c r="AD63" i="51"/>
  <c r="AJ7" i="50"/>
  <c r="AC55" i="51"/>
  <c r="AD51" i="51"/>
  <c r="AB18" i="51"/>
  <c r="AK86" i="50"/>
  <c r="AE19" i="51"/>
  <c r="AD17" i="51"/>
  <c r="AK60" i="50"/>
  <c r="AL17" i="47"/>
  <c r="AD54" i="51"/>
  <c r="AL25" i="47"/>
  <c r="AF75" i="51"/>
  <c r="AK41" i="50"/>
  <c r="AK63" i="50"/>
  <c r="AL6" i="47"/>
  <c r="AL77" i="50"/>
  <c r="AF60" i="51"/>
  <c r="AI89" i="50"/>
  <c r="AC48" i="51"/>
  <c r="AE93" i="51"/>
  <c r="AI49" i="50"/>
  <c r="AL7" i="50"/>
  <c r="AE24" i="51"/>
  <c r="AL54" i="47"/>
  <c r="AC44" i="51"/>
  <c r="AB83" i="51"/>
  <c r="AC68" i="51"/>
  <c r="AI58" i="50"/>
  <c r="AI30" i="50"/>
  <c r="AL18" i="47"/>
  <c r="AE20" i="51"/>
  <c r="AJ64" i="50"/>
  <c r="AK16" i="47"/>
  <c r="AH44" i="50"/>
  <c r="AJ24" i="50"/>
  <c r="AL25" i="50"/>
  <c r="AL102" i="50"/>
  <c r="AH70" i="50"/>
  <c r="AJ22" i="50"/>
  <c r="AD87" i="51"/>
  <c r="AC35" i="51"/>
  <c r="AK45" i="50"/>
  <c r="AK67" i="50"/>
  <c r="AJ69" i="50"/>
  <c r="AE73" i="51"/>
  <c r="AD71" i="51"/>
  <c r="AE37" i="51"/>
  <c r="AE49" i="51"/>
  <c r="AJ81" i="50"/>
  <c r="AC72" i="51"/>
  <c r="AH83" i="50"/>
  <c r="AK50" i="50"/>
  <c r="AH105" i="50"/>
  <c r="AL23" i="47"/>
  <c r="AK32" i="47"/>
  <c r="AF89" i="51"/>
  <c r="AC99" i="51"/>
  <c r="AI36" i="50"/>
  <c r="AI24" i="50"/>
  <c r="AI101" i="50"/>
  <c r="AJ65" i="50"/>
  <c r="AL12" i="47"/>
  <c r="AF58" i="51"/>
  <c r="AI23" i="50"/>
  <c r="AK46" i="47"/>
  <c r="AK106" i="50"/>
  <c r="AJ60" i="50"/>
  <c r="AK51" i="50"/>
  <c r="AL88" i="50"/>
  <c r="AI19" i="50"/>
  <c r="AB67" i="51"/>
  <c r="AK76" i="50"/>
  <c r="AI25" i="50"/>
  <c r="AI99" i="50"/>
  <c r="AE83" i="51"/>
  <c r="AH9" i="50"/>
  <c r="AH41" i="50"/>
  <c r="AK48" i="47"/>
  <c r="AD8" i="51"/>
  <c r="AB94" i="51"/>
  <c r="AI83" i="50"/>
  <c r="AK79" i="47"/>
  <c r="AK58" i="47"/>
  <c r="AE75" i="51"/>
  <c r="AF41" i="51"/>
  <c r="AB28" i="51"/>
  <c r="AB92" i="51"/>
  <c r="AL53" i="50"/>
  <c r="AE47" i="51"/>
  <c r="AK57" i="47"/>
  <c r="AE95" i="51"/>
  <c r="AL57" i="47"/>
  <c r="AI76" i="50"/>
  <c r="AJ100" i="50"/>
  <c r="AK12" i="47"/>
  <c r="AL81" i="50"/>
  <c r="AL35" i="50"/>
  <c r="AL44" i="47"/>
  <c r="AB80" i="51"/>
  <c r="AI42" i="50"/>
  <c r="AL16" i="47"/>
  <c r="AD24" i="51"/>
  <c r="AI48" i="50"/>
  <c r="AI67" i="50"/>
  <c r="AH30" i="50"/>
  <c r="AB35" i="51"/>
  <c r="AF27" i="51"/>
  <c r="AF73" i="51"/>
  <c r="AH68" i="50"/>
  <c r="AC49" i="51"/>
  <c r="AH65" i="50"/>
  <c r="AL11" i="47"/>
  <c r="AB54" i="51"/>
  <c r="AK23" i="50"/>
  <c r="AC88" i="51"/>
  <c r="AJ37" i="50"/>
  <c r="AL41" i="47"/>
  <c r="AB49" i="51"/>
  <c r="AK19" i="50"/>
  <c r="AK36" i="50"/>
  <c r="AK50" i="47"/>
  <c r="AL34" i="50"/>
  <c r="AI15" i="50"/>
  <c r="AC18" i="51"/>
  <c r="AK11" i="47"/>
  <c r="AB23" i="51"/>
  <c r="AE21" i="51"/>
  <c r="AD26" i="51"/>
  <c r="AB93" i="51"/>
  <c r="AK9" i="47"/>
  <c r="AL27" i="47"/>
  <c r="AC83" i="51"/>
  <c r="AE17" i="51"/>
  <c r="AC30" i="51"/>
  <c r="AD97" i="51"/>
  <c r="AF82" i="51"/>
  <c r="AI64" i="50"/>
  <c r="AK41" i="47"/>
  <c r="AK99" i="50"/>
  <c r="AC89" i="51"/>
  <c r="AI47" i="50"/>
  <c r="AL37" i="50"/>
  <c r="AD58" i="51"/>
  <c r="AE86" i="51"/>
  <c r="AF28" i="51"/>
  <c r="AK102" i="50"/>
  <c r="AK92" i="47"/>
  <c r="AJ45" i="50"/>
  <c r="AK88" i="50"/>
  <c r="AK64" i="50"/>
  <c r="AF102" i="51"/>
  <c r="AE81" i="51"/>
  <c r="AH61" i="50"/>
  <c r="AC38" i="51"/>
  <c r="AK54" i="50"/>
  <c r="AI65" i="50"/>
  <c r="AJ48" i="50"/>
  <c r="AD44" i="51"/>
  <c r="AK39" i="47"/>
  <c r="AE15" i="51"/>
  <c r="AE74" i="51"/>
  <c r="AH43" i="50"/>
  <c r="AH38" i="50"/>
  <c r="AD15" i="51"/>
  <c r="AH20" i="50"/>
  <c r="AF25" i="51"/>
  <c r="AC96" i="51"/>
  <c r="AF95" i="51"/>
  <c r="AB57" i="51"/>
  <c r="AH49" i="50"/>
  <c r="AF64" i="51"/>
  <c r="AK77" i="47"/>
  <c r="AC79" i="51"/>
  <c r="AF47" i="51"/>
  <c r="AC21" i="51"/>
  <c r="AL91" i="50"/>
  <c r="AL54" i="50"/>
  <c r="AD102" i="51"/>
  <c r="AJ101" i="50"/>
  <c r="AE57" i="51"/>
  <c r="AB74" i="51"/>
  <c r="AK53" i="47"/>
  <c r="AI27" i="50"/>
  <c r="AK43" i="50"/>
  <c r="AK43" i="47"/>
  <c r="AD78" i="51"/>
  <c r="AF72" i="51"/>
  <c r="AC58" i="51"/>
  <c r="AC47" i="51"/>
  <c r="AK88" i="47"/>
  <c r="AK54" i="47"/>
  <c r="AL21" i="50"/>
  <c r="AK72" i="47"/>
  <c r="AJ91" i="50"/>
  <c r="AC45" i="51"/>
  <c r="AI50" i="50"/>
  <c r="AL53" i="47"/>
  <c r="AH17" i="50"/>
  <c r="AJ94" i="50"/>
  <c r="AL96" i="50"/>
  <c r="AC17" i="51"/>
  <c r="AH10" i="50"/>
  <c r="AL47" i="47"/>
  <c r="AC61" i="51"/>
  <c r="AH52" i="50"/>
  <c r="AF6" i="51"/>
  <c r="AH13" i="50"/>
  <c r="AB8" i="51"/>
  <c r="AK61" i="47"/>
  <c r="AL62" i="50"/>
  <c r="AE41" i="51"/>
  <c r="AI12" i="50"/>
  <c r="AI95" i="50"/>
  <c r="AF19" i="51"/>
  <c r="AL38" i="47"/>
  <c r="AF104" i="51"/>
  <c r="AF42" i="51"/>
  <c r="AF17" i="51"/>
  <c r="AH51" i="50"/>
  <c r="AK55" i="47"/>
  <c r="AK22" i="47"/>
  <c r="AJ77" i="50"/>
  <c r="AK51" i="47"/>
  <c r="AK14" i="47"/>
  <c r="AL27" i="50"/>
  <c r="AF22" i="51"/>
  <c r="AL31" i="50"/>
  <c r="AE80" i="51"/>
  <c r="AI87" i="50"/>
  <c r="AD94" i="51"/>
  <c r="AL13" i="50"/>
  <c r="AH66" i="50"/>
  <c r="AE79" i="51"/>
  <c r="AH16" i="50"/>
  <c r="AL70" i="50"/>
  <c r="AL66" i="50"/>
  <c r="AE6" i="51"/>
  <c r="AD59" i="51"/>
  <c r="AD45" i="51"/>
  <c r="AL59" i="50"/>
  <c r="AE16" i="51"/>
  <c r="AI106" i="50"/>
  <c r="AK59" i="50"/>
  <c r="AE72" i="51"/>
  <c r="AK87" i="50"/>
  <c r="AH58" i="50"/>
  <c r="AK60" i="47"/>
  <c r="AL48" i="47"/>
  <c r="AL73" i="50"/>
  <c r="AF14" i="51"/>
  <c r="AF61" i="51"/>
  <c r="AL12" i="50"/>
  <c r="AK44" i="47"/>
  <c r="AL45" i="47"/>
  <c r="AH34" i="50"/>
  <c r="AH33" i="50"/>
  <c r="AC5" i="51"/>
  <c r="AH60" i="50"/>
  <c r="AK18" i="47"/>
  <c r="AK98" i="47"/>
  <c r="AK40" i="47"/>
  <c r="AH77" i="50"/>
  <c r="AE38" i="51"/>
  <c r="AE69" i="51"/>
  <c r="AL40" i="50"/>
  <c r="AC66" i="51"/>
  <c r="AH71" i="50"/>
  <c r="AL78" i="50"/>
  <c r="AK91" i="47"/>
  <c r="AI54" i="50"/>
  <c r="AJ46" i="50"/>
  <c r="AE58" i="51"/>
  <c r="AC97" i="51"/>
  <c r="AH94" i="50"/>
  <c r="AC12" i="51"/>
  <c r="AF45" i="51"/>
  <c r="AC54" i="51"/>
  <c r="AK75" i="50"/>
  <c r="AD49" i="51"/>
  <c r="AK79" i="50"/>
  <c r="AB48" i="51"/>
  <c r="AK37" i="50"/>
  <c r="AE78" i="51"/>
  <c r="AL36" i="47"/>
  <c r="AB86" i="51"/>
  <c r="AK38" i="50"/>
  <c r="AB103" i="51"/>
  <c r="AI32" i="50"/>
  <c r="AD11" i="51"/>
  <c r="AD53" i="51"/>
  <c r="AK89" i="47"/>
  <c r="AE36" i="51"/>
  <c r="AJ26" i="50"/>
  <c r="AI97" i="50"/>
  <c r="AE46" i="51"/>
  <c r="AD91" i="51"/>
  <c r="AK5" i="47"/>
  <c r="AK25" i="47"/>
  <c r="AD56" i="51"/>
  <c r="AK59" i="47"/>
  <c r="AC9" i="51"/>
  <c r="AC90" i="51"/>
  <c r="AH27" i="50"/>
  <c r="AH99" i="50"/>
  <c r="AL83" i="50"/>
  <c r="AF35" i="51"/>
  <c r="AD50" i="51"/>
  <c r="AL69" i="50"/>
  <c r="AL39" i="50"/>
  <c r="AH62" i="50"/>
  <c r="AK49" i="47"/>
  <c r="AE61" i="51"/>
  <c r="AL17" i="50"/>
  <c r="AK11" i="50"/>
  <c r="AJ14" i="50"/>
  <c r="AH76" i="50"/>
  <c r="AI46" i="50"/>
  <c r="AL103" i="50"/>
  <c r="AL28" i="47"/>
  <c r="AL37" i="47"/>
  <c r="AB60" i="51"/>
  <c r="AK8" i="47"/>
  <c r="AB17" i="51"/>
  <c r="AJ89" i="50"/>
  <c r="AE8" i="51"/>
  <c r="AI93" i="50"/>
  <c r="AF56" i="51"/>
  <c r="AC23" i="51"/>
  <c r="AE50" i="51"/>
  <c r="AK81" i="50"/>
  <c r="AL69" i="47"/>
  <c r="AK89" i="50"/>
  <c r="AK92" i="50"/>
  <c r="AF67" i="51"/>
  <c r="AC63" i="51"/>
  <c r="AL8" i="47"/>
  <c r="AE97" i="51"/>
  <c r="AD16" i="51"/>
  <c r="AC98" i="51"/>
  <c r="AB50" i="51"/>
  <c r="AJ90" i="50"/>
  <c r="AC82" i="51"/>
  <c r="AK78" i="50"/>
  <c r="AK26" i="50"/>
  <c r="AL15" i="50"/>
  <c r="AK4" i="47"/>
  <c r="AL26" i="50"/>
  <c r="AF13" i="51"/>
  <c r="AI40" i="50"/>
  <c r="AH22" i="50"/>
  <c r="AL18" i="50"/>
  <c r="AH95" i="50"/>
  <c r="AB62" i="51"/>
  <c r="AI73" i="50"/>
  <c r="AH25" i="50"/>
  <c r="AK17" i="47"/>
  <c r="AF70" i="51"/>
  <c r="AB16" i="51"/>
  <c r="AK29" i="47"/>
  <c r="AL48" i="50"/>
  <c r="AB82" i="51"/>
  <c r="AK28" i="50"/>
  <c r="AJ63" i="50"/>
  <c r="AL31" i="47"/>
  <c r="AJ104" i="50"/>
  <c r="AB26" i="51"/>
  <c r="AJ61" i="50"/>
  <c r="AD101" i="51"/>
  <c r="AF92" i="51"/>
  <c r="AI55" i="50"/>
  <c r="AK31" i="47"/>
  <c r="AL51" i="47"/>
  <c r="AL33" i="47"/>
  <c r="AK65" i="47"/>
  <c r="AK90" i="50"/>
  <c r="AI37" i="50"/>
  <c r="AK74" i="50"/>
  <c r="AH98" i="50"/>
  <c r="AL98" i="50"/>
  <c r="AF90" i="51"/>
  <c r="AB78" i="51"/>
  <c r="AK18" i="50"/>
  <c r="AK47" i="50"/>
  <c r="AK73" i="50"/>
  <c r="AJ43" i="50"/>
  <c r="AK101" i="50"/>
  <c r="AL38" i="50"/>
  <c r="AK47" i="47"/>
  <c r="AK9" i="50"/>
  <c r="AB51" i="51"/>
  <c r="AJ30" i="50"/>
  <c r="AE43" i="51"/>
  <c r="AJ88" i="50"/>
  <c r="AC57" i="51"/>
  <c r="AB97" i="51"/>
  <c r="AJ71" i="50"/>
  <c r="AC53" i="51"/>
  <c r="AL20" i="50"/>
  <c r="AE10" i="51"/>
  <c r="AK32" i="50"/>
  <c r="AJ9" i="50"/>
  <c r="AJ21" i="50"/>
  <c r="AD23" i="51"/>
  <c r="AH106" i="50"/>
  <c r="AJ19" i="50"/>
  <c r="AH39" i="50"/>
  <c r="AI21" i="50"/>
  <c r="AI39" i="50"/>
  <c r="AB20" i="51"/>
  <c r="AJ16" i="50"/>
  <c r="AJ55" i="50"/>
  <c r="AL24" i="47"/>
  <c r="AB32" i="51"/>
  <c r="AK83" i="47"/>
  <c r="AH21" i="50"/>
  <c r="AB102" i="51"/>
  <c r="AK69" i="50"/>
  <c r="AI53" i="50"/>
  <c r="AL14" i="47"/>
  <c r="AI69" i="50"/>
  <c r="AJ97" i="50"/>
  <c r="AH35" i="50"/>
  <c r="AI60" i="50"/>
  <c r="AL67" i="50"/>
  <c r="AH72" i="50"/>
  <c r="AF57" i="51"/>
  <c r="AJ8" i="50"/>
  <c r="AC78" i="51"/>
  <c r="AE56" i="51"/>
  <c r="AC36" i="51"/>
  <c r="AK21" i="47"/>
  <c r="AD28" i="51"/>
  <c r="AB63" i="51"/>
  <c r="AL46" i="50"/>
  <c r="AI31" i="50"/>
  <c r="AL11" i="50"/>
  <c r="AI41" i="50"/>
  <c r="AD74" i="51"/>
  <c r="AJ105" i="50"/>
  <c r="AC93" i="51"/>
  <c r="AD5" i="51"/>
  <c r="AL34" i="47"/>
  <c r="AJ103" i="50"/>
  <c r="AC92" i="51"/>
  <c r="AK83" i="50"/>
  <c r="AL101" i="50"/>
  <c r="AB101" i="51"/>
  <c r="AK28" i="47"/>
  <c r="AK99" i="47"/>
  <c r="AE5" i="51"/>
  <c r="AK44" i="50"/>
  <c r="AL32" i="50"/>
  <c r="AJ73" i="50"/>
  <c r="AJ34" i="50"/>
  <c r="AC91" i="51"/>
  <c r="AF46" i="51"/>
  <c r="AK62" i="50"/>
  <c r="AE100" i="51"/>
  <c r="AL45" i="50"/>
  <c r="AD35" i="51"/>
  <c r="AE33" i="51"/>
  <c r="AB47" i="51"/>
  <c r="AL32" i="47"/>
  <c r="AK10" i="50"/>
  <c r="AC46" i="51"/>
  <c r="AJ38" i="50"/>
  <c r="AD61" i="51"/>
  <c r="AK68" i="50"/>
  <c r="AD9" i="51"/>
  <c r="AL22" i="50"/>
  <c r="AF99" i="51"/>
  <c r="AK69" i="47"/>
  <c r="AD13" i="51"/>
  <c r="AD39" i="51"/>
  <c r="AD76" i="51"/>
  <c r="AD60" i="51"/>
  <c r="AB52" i="51"/>
  <c r="AH8" i="50"/>
  <c r="AD68" i="51"/>
  <c r="AC39" i="51"/>
  <c r="AJ98" i="50"/>
  <c r="AE9" i="51"/>
  <c r="AL84" i="50"/>
  <c r="AH57" i="50"/>
  <c r="AJ53" i="50"/>
  <c r="AJ76" i="50"/>
  <c r="AE12" i="51"/>
  <c r="AK20" i="50"/>
  <c r="AF38" i="51"/>
  <c r="AI38" i="50"/>
  <c r="AB41" i="51"/>
  <c r="AK98" i="50"/>
  <c r="AD100" i="51"/>
  <c r="AF31" i="51"/>
  <c r="AH75" i="50"/>
  <c r="AH53" i="50"/>
  <c r="AC73" i="51"/>
  <c r="AF84" i="51"/>
  <c r="AC103" i="51"/>
  <c r="AI7" i="50"/>
  <c r="AL47" i="50"/>
  <c r="AK81" i="47"/>
  <c r="AH67" i="50"/>
  <c r="AL61" i="50"/>
  <c r="AJ82" i="50"/>
  <c r="AF9" i="51"/>
  <c r="AC16" i="51"/>
  <c r="AE53" i="51"/>
  <c r="AJ86" i="50"/>
  <c r="AD72" i="51"/>
  <c r="AK76" i="47"/>
  <c r="AL79" i="50"/>
  <c r="AF80" i="51"/>
  <c r="AD21" i="51"/>
  <c r="AJ40" i="50"/>
  <c r="AF20" i="51"/>
  <c r="AK87" i="47"/>
  <c r="AH92" i="50"/>
  <c r="AF43" i="51"/>
  <c r="AE28" i="51"/>
  <c r="AL49" i="47"/>
  <c r="AE51" i="51"/>
  <c r="AD29" i="51"/>
  <c r="AL76" i="50"/>
  <c r="AF100" i="51"/>
  <c r="AH89" i="50"/>
  <c r="AB95" i="51"/>
  <c r="AK57" i="50"/>
  <c r="AH103" i="50"/>
  <c r="AB44" i="51"/>
  <c r="AH32" i="50"/>
  <c r="AH45" i="50"/>
  <c r="AL68" i="47"/>
  <c r="AF29" i="51"/>
  <c r="AI96" i="50"/>
  <c r="AF51" i="51"/>
  <c r="AK19" i="47"/>
  <c r="AH85" i="50"/>
  <c r="AC80" i="51"/>
  <c r="AL50" i="47"/>
  <c r="AD55" i="51"/>
  <c r="AD22" i="51"/>
  <c r="AL94" i="50"/>
  <c r="AC104" i="51"/>
  <c r="AI45" i="50"/>
  <c r="AH90" i="50"/>
  <c r="AC69" i="51"/>
  <c r="AH69" i="50"/>
  <c r="AL9" i="47"/>
  <c r="AF33" i="51"/>
  <c r="AI94" i="50"/>
  <c r="AF87" i="51"/>
  <c r="AL106" i="50"/>
  <c r="AC14" i="51"/>
  <c r="AE66" i="51"/>
  <c r="AC27" i="51"/>
  <c r="AC43" i="51"/>
  <c r="AF53" i="51"/>
  <c r="AK52" i="50"/>
  <c r="AD98" i="51"/>
  <c r="AL59" i="47"/>
  <c r="AB25" i="51"/>
  <c r="AC8" i="51"/>
  <c r="AD104" i="51"/>
  <c r="AL24" i="50"/>
  <c r="AL36" i="50"/>
  <c r="AJ20" i="50"/>
  <c r="AC33" i="51"/>
  <c r="AJ95" i="50"/>
  <c r="AB64" i="51"/>
  <c r="AH79" i="50"/>
  <c r="AK85" i="50"/>
  <c r="AK105" i="50"/>
  <c r="AE85" i="51"/>
  <c r="AF12" i="51"/>
  <c r="AC10" i="51"/>
  <c r="AE14" i="51"/>
  <c r="AH29" i="50"/>
  <c r="AK24" i="47"/>
  <c r="AD70" i="51"/>
  <c r="AC28" i="51"/>
  <c r="AD32" i="51"/>
  <c r="AC100" i="51"/>
  <c r="AH14" i="50"/>
  <c r="AB40" i="51"/>
  <c r="AE30" i="51"/>
  <c r="AD80" i="51"/>
  <c r="AK84" i="50"/>
  <c r="AI11" i="50"/>
  <c r="AL56" i="50"/>
  <c r="AK7" i="47"/>
  <c r="AL65" i="50"/>
  <c r="AK24" i="50"/>
  <c r="AJ67" i="50"/>
  <c r="AK20" i="47"/>
  <c r="AB70" i="51"/>
  <c r="AC51" i="51"/>
  <c r="AK86" i="47"/>
  <c r="AL29" i="50"/>
  <c r="AK78" i="47"/>
  <c r="AH101" i="50"/>
  <c r="AB22" i="51"/>
  <c r="AI13" i="50"/>
  <c r="AI84" i="50"/>
  <c r="AK27" i="47"/>
  <c r="AJ18" i="50"/>
  <c r="AL7" i="47"/>
  <c r="AK66" i="47"/>
  <c r="AF68" i="51"/>
  <c r="AK102" i="47"/>
  <c r="AL50" i="50"/>
  <c r="AF91" i="51"/>
  <c r="AK95" i="47"/>
  <c r="AL99" i="50"/>
  <c r="AH24" i="50"/>
  <c r="AE87" i="51"/>
  <c r="AK29" i="50"/>
  <c r="AI74" i="50"/>
  <c r="AD88" i="51"/>
  <c r="AK55" i="50"/>
  <c r="AH26" i="50"/>
  <c r="AF98" i="51"/>
  <c r="AI63" i="50"/>
  <c r="AD33" i="51"/>
  <c r="AJ31" i="50"/>
  <c r="AK100" i="47"/>
  <c r="AC86" i="51"/>
  <c r="AK93" i="47"/>
  <c r="AL21" i="47"/>
  <c r="AL40" i="47"/>
  <c r="AF97" i="51"/>
  <c r="AJ102" i="50"/>
  <c r="AE67" i="51"/>
  <c r="AC15" i="51"/>
  <c r="AB87" i="51"/>
  <c r="AE76" i="51"/>
  <c r="AI78" i="50"/>
  <c r="AJ25" i="50"/>
  <c r="AC29" i="51"/>
  <c r="AJ12" i="50"/>
  <c r="AH28" i="50"/>
  <c r="AF103" i="51"/>
  <c r="AH42" i="50"/>
  <c r="AH12" i="50"/>
  <c r="AF74" i="51"/>
  <c r="AL82" i="50"/>
  <c r="AC87" i="51"/>
  <c r="AL61" i="47"/>
  <c r="AJ52" i="50"/>
  <c r="AH74" i="50"/>
  <c r="AH96" i="50"/>
  <c r="AB46" i="51"/>
  <c r="AI59" i="50"/>
  <c r="AD41" i="51"/>
  <c r="AC52" i="51"/>
  <c r="AK42" i="47"/>
  <c r="AF94" i="51"/>
  <c r="AI9" i="50"/>
  <c r="AH91" i="50"/>
  <c r="AH97" i="50"/>
  <c r="AF76" i="51"/>
  <c r="AF5" i="51"/>
  <c r="AJ29" i="50"/>
  <c r="AB100" i="51"/>
  <c r="AJ59" i="50"/>
  <c r="AB10" i="51"/>
  <c r="AI85" i="50"/>
  <c r="AJ39" i="50"/>
  <c r="AK77" i="50"/>
  <c r="AI98" i="50"/>
  <c r="AK70" i="50"/>
  <c r="AL63" i="50"/>
  <c r="AL19" i="47"/>
  <c r="AL30" i="47"/>
  <c r="AI86" i="50"/>
  <c r="AF49" i="51"/>
  <c r="AI34" i="50"/>
  <c r="AC65" i="51"/>
  <c r="AF34" i="51"/>
  <c r="AJ57" i="50"/>
  <c r="AD62" i="51"/>
  <c r="AB79" i="51"/>
  <c r="AB91" i="51"/>
  <c r="AK33" i="50"/>
  <c r="AL28" i="50"/>
  <c r="AL55" i="47"/>
  <c r="AD84" i="51"/>
  <c r="AK48" i="50"/>
  <c r="AJ56" i="50"/>
  <c r="AK63" i="47"/>
  <c r="AL14" i="50"/>
  <c r="AK93" i="50"/>
  <c r="AB61" i="51"/>
  <c r="AD40" i="51"/>
  <c r="AK96" i="50"/>
  <c r="AK42" i="50"/>
  <c r="AH40" i="50"/>
  <c r="AE23" i="51"/>
  <c r="AL95" i="50"/>
  <c r="AB88" i="51"/>
  <c r="AJ72" i="50"/>
  <c r="AD64" i="51"/>
  <c r="AI14" i="50"/>
  <c r="AL60" i="47"/>
  <c r="AK96" i="47"/>
  <c r="AC77" i="51"/>
  <c r="AL65" i="47"/>
  <c r="AD83" i="51"/>
  <c r="AK16" i="50"/>
  <c r="AL87" i="50"/>
  <c r="AJ87" i="50"/>
  <c r="AD7" i="51"/>
  <c r="AB75" i="51"/>
  <c r="AH54" i="50"/>
  <c r="AJ54" i="50"/>
  <c r="AJ28" i="50"/>
  <c r="AD67" i="51"/>
  <c r="AE55" i="51"/>
  <c r="AJ92" i="50"/>
  <c r="AL39" i="47"/>
  <c r="AK101" i="47"/>
  <c r="AD12" i="51"/>
  <c r="AK74" i="47"/>
  <c r="AL100" i="50"/>
  <c r="AF15" i="51"/>
  <c r="AD99" i="51"/>
  <c r="AK27" i="50"/>
  <c r="AK70" i="47"/>
  <c r="AL93" i="50"/>
  <c r="AF26" i="51"/>
  <c r="AB90" i="51"/>
  <c r="AJ78" i="50"/>
  <c r="AD69" i="51"/>
  <c r="AD66" i="51"/>
  <c r="AD48" i="51"/>
  <c r="AK90" i="47"/>
  <c r="AC84" i="51"/>
  <c r="AB29" i="51"/>
  <c r="AK13" i="47"/>
  <c r="AE101" i="51"/>
  <c r="AD42" i="51"/>
  <c r="AB42" i="51"/>
  <c r="AC101" i="51"/>
  <c r="AJ75" i="50"/>
  <c r="AL42" i="47"/>
  <c r="AL85" i="50"/>
  <c r="AK30" i="47"/>
  <c r="AL43" i="50"/>
  <c r="AC102" i="51"/>
  <c r="AJ42" i="50"/>
  <c r="AJ96" i="50"/>
  <c r="AC74" i="51"/>
  <c r="AH55" i="50"/>
  <c r="AK13" i="50"/>
  <c r="AC41" i="51"/>
  <c r="AH63" i="50"/>
  <c r="AJ32" i="50"/>
  <c r="AK80" i="50"/>
  <c r="AL51" i="50"/>
  <c r="AK95" i="50"/>
  <c r="AI77" i="50"/>
  <c r="AJ10" i="50"/>
  <c r="AF50" i="51"/>
  <c r="AI43" i="50"/>
  <c r="AC19" i="51"/>
  <c r="AK14" i="50"/>
  <c r="AI81" i="50"/>
  <c r="AE25" i="51"/>
  <c r="AK53" i="50"/>
  <c r="AL64" i="47"/>
  <c r="AL66" i="47"/>
  <c r="AH100" i="50"/>
  <c r="AF59" i="51"/>
  <c r="AJ70" i="50"/>
  <c r="AD103" i="51"/>
  <c r="AL41" i="50"/>
  <c r="AB14" i="51"/>
  <c r="AK37" i="47"/>
  <c r="AL105" i="50"/>
  <c r="AB31" i="51"/>
  <c r="AL13" i="47"/>
  <c r="AI28" i="50"/>
  <c r="AF8" i="51"/>
  <c r="AB15" i="51"/>
  <c r="AF71" i="51"/>
  <c r="AL43" i="47"/>
  <c r="AH78" i="50"/>
  <c r="AI103" i="50"/>
  <c r="AC75" i="51"/>
  <c r="AC94" i="51"/>
  <c r="AC60" i="51"/>
  <c r="AE70" i="51"/>
  <c r="AK103" i="50"/>
  <c r="AK15" i="50"/>
  <c r="AC32" i="51"/>
  <c r="AH88" i="50"/>
  <c r="AD18" i="51"/>
  <c r="AE45" i="51"/>
  <c r="AL35" i="47"/>
  <c r="AB45" i="51"/>
  <c r="AB34" i="51"/>
  <c r="AC40" i="51"/>
  <c r="AB84" i="51"/>
  <c r="AH37" i="50"/>
  <c r="AJ99" i="50"/>
  <c r="AL68" i="50"/>
  <c r="AL89" i="50"/>
  <c r="AJ35" i="50"/>
  <c r="AJ17" i="50"/>
  <c r="AC67" i="51"/>
  <c r="AK8" i="50"/>
  <c r="AI102" i="50"/>
  <c r="AD57" i="51"/>
  <c r="AB81" i="51"/>
  <c r="AE65" i="51"/>
  <c r="AH87" i="50"/>
  <c r="AD43" i="51"/>
  <c r="AE82" i="51"/>
  <c r="AD95" i="51"/>
  <c r="AE92" i="51"/>
  <c r="AE88" i="51"/>
  <c r="AB13" i="51"/>
  <c r="AC56" i="51"/>
  <c r="AB104" i="51"/>
  <c r="AL60" i="50"/>
  <c r="AF40" i="51"/>
  <c r="AK12" i="50"/>
  <c r="AJ49" i="50"/>
  <c r="AE11" i="51"/>
  <c r="AK52" i="47"/>
  <c r="AF55" i="51"/>
  <c r="AE68" i="51"/>
  <c r="AJ15" i="50"/>
  <c r="AF81" i="51"/>
  <c r="AE104" i="51"/>
  <c r="AK100" i="50"/>
  <c r="AD77" i="51"/>
  <c r="AF30" i="51"/>
  <c r="AD92" i="51"/>
  <c r="AF21" i="51"/>
  <c r="AI57" i="50"/>
  <c r="AK36" i="47"/>
  <c r="AH18" i="50"/>
  <c r="AK34" i="47"/>
  <c r="AD31" i="51"/>
  <c r="AB38" i="51"/>
  <c r="AE7" i="51"/>
  <c r="AC42" i="51"/>
  <c r="AH46" i="50"/>
  <c r="AK82" i="50"/>
  <c r="AB69" i="51"/>
  <c r="AC11" i="51"/>
  <c r="AH47" i="50"/>
  <c r="AK25" i="50"/>
  <c r="AB99" i="51"/>
  <c r="AE54" i="51"/>
  <c r="AE62" i="51"/>
  <c r="AL67" i="47"/>
  <c r="AJ36" i="50"/>
  <c r="AE91" i="51"/>
  <c r="AL80" i="50"/>
  <c r="AD93" i="51"/>
  <c r="AI51" i="50"/>
  <c r="AB11" i="51"/>
  <c r="AD46" i="51"/>
  <c r="AL57" i="50"/>
  <c r="AB7" i="51"/>
  <c r="AB9" i="51"/>
  <c r="AB59" i="51"/>
  <c r="AI66" i="50"/>
  <c r="AF88" i="51"/>
  <c r="AB43" i="51"/>
  <c r="AJ74" i="50"/>
  <c r="AF23" i="51"/>
  <c r="AF101" i="51"/>
  <c r="AI20" i="50"/>
  <c r="AB56" i="51"/>
  <c r="AL8" i="50"/>
  <c r="AI90" i="50"/>
  <c r="AB96" i="51"/>
  <c r="AF37" i="51"/>
  <c r="AI8" i="50"/>
  <c r="AK40" i="50"/>
  <c r="AL33" i="50"/>
  <c r="AC70" i="51"/>
  <c r="AI10" i="50"/>
  <c r="AD85" i="51"/>
  <c r="AD82" i="51"/>
  <c r="AK6" i="47"/>
  <c r="AB39" i="51"/>
  <c r="AF18" i="51"/>
  <c r="AK22" i="50"/>
  <c r="AE59" i="51"/>
  <c r="AK56" i="47"/>
  <c r="AB30" i="51"/>
  <c r="AK103" i="47"/>
  <c r="AL10" i="47"/>
  <c r="AL71" i="50"/>
  <c r="AL75" i="50"/>
  <c r="AD52" i="51"/>
  <c r="AF24" i="51"/>
  <c r="AJ23" i="50"/>
  <c r="AH84" i="50"/>
  <c r="AD14" i="51"/>
  <c r="AF16" i="51"/>
  <c r="AC24" i="51"/>
  <c r="AI70" i="50"/>
  <c r="AH23" i="50"/>
  <c r="AH73" i="50"/>
  <c r="AH31" i="50"/>
  <c r="AF44" i="51"/>
  <c r="AH82" i="50"/>
  <c r="AE63" i="51"/>
  <c r="AH56" i="50"/>
  <c r="AI18" i="50"/>
  <c r="AI68" i="50"/>
  <c r="AD25" i="51"/>
  <c r="AD65" i="51"/>
  <c r="AI29" i="50"/>
  <c r="AE77" i="51"/>
  <c r="AK73" i="47"/>
  <c r="AK104" i="50"/>
  <c r="AJ47" i="50"/>
  <c r="AK7" i="50"/>
  <c r="AI88" i="50"/>
  <c r="AK72" i="50"/>
  <c r="AF54" i="51"/>
  <c r="AL9" i="50"/>
  <c r="AI105" i="50"/>
  <c r="AJ11" i="50"/>
  <c r="AE96" i="51"/>
  <c r="AF63" i="51"/>
  <c r="AL16" i="50"/>
  <c r="AL4" i="47"/>
  <c r="AK30" i="50"/>
  <c r="AL42" i="50"/>
  <c r="AF77" i="51"/>
  <c r="AK61" i="50"/>
  <c r="AK62" i="47"/>
  <c r="AK17" i="50"/>
  <c r="AL104" i="50"/>
  <c r="AH7" i="50"/>
  <c r="AE39" i="51"/>
  <c r="AB76" i="51"/>
  <c r="AK94" i="47"/>
  <c r="AI92" i="50"/>
  <c r="AE13" i="51"/>
  <c r="AK67" i="47"/>
  <c r="AB68" i="51"/>
  <c r="AL55" i="50"/>
  <c r="AI79" i="50"/>
  <c r="AF11" i="51"/>
  <c r="AD90" i="51"/>
  <c r="AC50" i="51"/>
  <c r="AI104" i="50"/>
  <c r="AB77" i="51"/>
  <c r="AK31" i="50"/>
  <c r="AC25" i="51"/>
  <c r="AJ68" i="50"/>
  <c r="AK97" i="50"/>
  <c r="AJ58" i="50"/>
  <c r="AK35" i="47"/>
  <c r="AK82" i="47"/>
  <c r="AL49" i="50"/>
  <c r="AH15" i="50"/>
  <c r="AC31" i="51"/>
  <c r="AH86" i="50"/>
  <c r="AK80" i="47"/>
  <c r="AE42" i="51"/>
  <c r="AI80" i="50"/>
  <c r="AL52" i="47"/>
  <c r="AI22" i="50"/>
  <c r="AD30" i="51"/>
  <c r="AK65" i="50"/>
  <c r="AC59" i="51"/>
  <c r="AJ93" i="50"/>
  <c r="AF69" i="51"/>
  <c r="AC26" i="51"/>
  <c r="AL5" i="47"/>
  <c r="AB72" i="51"/>
  <c r="AD86" i="51"/>
  <c r="AB98" i="51"/>
  <c r="AK94" i="50"/>
  <c r="AB65" i="51"/>
  <c r="AB33" i="51"/>
  <c r="AK45" i="47"/>
  <c r="AJ66" i="50"/>
  <c r="AE60" i="51"/>
  <c r="AI72" i="50"/>
  <c r="AD47" i="51"/>
  <c r="AL15" i="47"/>
  <c r="AB19" i="51"/>
  <c r="AH59" i="50"/>
  <c r="AK91" i="50"/>
  <c r="AB37" i="51"/>
  <c r="AJ27" i="50"/>
  <c r="AF66" i="51"/>
  <c r="AE84" i="51"/>
  <c r="AJ80" i="50"/>
  <c r="AC13" i="51"/>
  <c r="AL23" i="50"/>
  <c r="AF78" i="51"/>
  <c r="AE98" i="51"/>
  <c r="AL62" i="47"/>
  <c r="AL74" i="50"/>
  <c r="AJ51" i="50"/>
  <c r="AI17" i="50"/>
  <c r="AH102" i="50"/>
  <c r="AB89" i="51"/>
  <c r="AE40" i="51"/>
  <c r="AK49" i="50"/>
  <c r="AL63" i="47"/>
  <c r="AD34" i="51"/>
  <c r="AI33" i="50"/>
  <c r="AC64" i="51"/>
  <c r="AD36" i="51"/>
  <c r="AK64" i="47"/>
  <c r="AE64" i="51"/>
  <c r="AJ83" i="50"/>
  <c r="AE35" i="51"/>
  <c r="AF7" i="51"/>
  <c r="AK34" i="50"/>
  <c r="AF65" i="51"/>
  <c r="AH19" i="50"/>
  <c r="AL92" i="50"/>
  <c r="AF36" i="51"/>
  <c r="AL30" i="50"/>
  <c r="AH81" i="50"/>
  <c r="AB66" i="51"/>
  <c r="AL52" i="50"/>
  <c r="AK10" i="47"/>
  <c r="AC62" i="51"/>
  <c r="AI61" i="50"/>
  <c r="AD75" i="51"/>
  <c r="AE102" i="51"/>
  <c r="AB27" i="51"/>
  <c r="AJ41" i="50"/>
  <c r="AL20" i="47"/>
  <c r="AJ84" i="50"/>
  <c r="AE34" i="51"/>
  <c r="AF39" i="51"/>
  <c r="AK58" i="50"/>
  <c r="AE48" i="51"/>
  <c r="AE103" i="51"/>
  <c r="AK46" i="50"/>
  <c r="AB36" i="51"/>
  <c r="AE26" i="51"/>
  <c r="AL46" i="47"/>
  <c r="AM10" i="47" l="1"/>
  <c r="AM64" i="47"/>
  <c r="AM45" i="47"/>
  <c r="AM80" i="47"/>
  <c r="AM82" i="47"/>
  <c r="AM35" i="47"/>
  <c r="AM67" i="47"/>
  <c r="AM94" i="47"/>
  <c r="AM62" i="47"/>
  <c r="AM73" i="47"/>
  <c r="AM103" i="47"/>
  <c r="AM56" i="47"/>
  <c r="AM6" i="47"/>
  <c r="AM34" i="47"/>
  <c r="AM36" i="47"/>
  <c r="AM52" i="47"/>
  <c r="AM37" i="47"/>
  <c r="AM30" i="47"/>
  <c r="AM13" i="47"/>
  <c r="AM90" i="47"/>
  <c r="AM70" i="47"/>
  <c r="AM74" i="47"/>
  <c r="AM101" i="47"/>
  <c r="AM96" i="47"/>
  <c r="AM63" i="47"/>
  <c r="AM42" i="47"/>
  <c r="AM93" i="47"/>
  <c r="AM100" i="47"/>
  <c r="AM95" i="47"/>
  <c r="AM102" i="47"/>
  <c r="AM66" i="47"/>
  <c r="AM27" i="47"/>
  <c r="AM78" i="47"/>
  <c r="AM86" i="47"/>
  <c r="AM20" i="47"/>
  <c r="AM7" i="47"/>
  <c r="AM24" i="47"/>
  <c r="AM19" i="47"/>
  <c r="AM87" i="47"/>
  <c r="AM76" i="47"/>
  <c r="AM81" i="47"/>
  <c r="AM69" i="47"/>
  <c r="AM99" i="47"/>
  <c r="AM28" i="47"/>
  <c r="AM21" i="47"/>
  <c r="AM83" i="47"/>
  <c r="AM47" i="47"/>
  <c r="AM65" i="47"/>
  <c r="AM31" i="47"/>
  <c r="AM29" i="47"/>
  <c r="AM17" i="47"/>
  <c r="AM4" i="47"/>
  <c r="AM8" i="47"/>
  <c r="AM49" i="47"/>
  <c r="AM59" i="47"/>
  <c r="AM25" i="47"/>
  <c r="AM5" i="47"/>
  <c r="AM89" i="47"/>
  <c r="AM91" i="47"/>
  <c r="AM40" i="47"/>
  <c r="AM98" i="47"/>
  <c r="AM18" i="47"/>
  <c r="AM44" i="47"/>
  <c r="AM60" i="47"/>
  <c r="AM14" i="47"/>
  <c r="AM51" i="47"/>
  <c r="AM22" i="47"/>
  <c r="AM55" i="47"/>
  <c r="AM61" i="47"/>
  <c r="AM72" i="47"/>
  <c r="AM54" i="47"/>
  <c r="AM88" i="47"/>
  <c r="AM43" i="47"/>
  <c r="AM53" i="47"/>
  <c r="AM77" i="47"/>
  <c r="AM39" i="47"/>
  <c r="AM92" i="47"/>
  <c r="AM41" i="47"/>
  <c r="AM9" i="47"/>
  <c r="AM11" i="47"/>
  <c r="AM50" i="47"/>
  <c r="AM12" i="47"/>
  <c r="AM57" i="47"/>
  <c r="AM58" i="47"/>
  <c r="AM79" i="47"/>
  <c r="AM48" i="47"/>
  <c r="AM46" i="47"/>
  <c r="AM32" i="47"/>
  <c r="AM16" i="47"/>
  <c r="AM71" i="47"/>
  <c r="AM75" i="47"/>
  <c r="AM38" i="47"/>
  <c r="AM85" i="47"/>
  <c r="AM97" i="47"/>
  <c r="AM84" i="47"/>
  <c r="AM26" i="47"/>
  <c r="AM15" i="47"/>
  <c r="AM23" i="47"/>
  <c r="AM68" i="47"/>
  <c r="AM33" i="47"/>
  <c r="K118" i="91"/>
  <c r="K113" i="91"/>
  <c r="K120" i="91"/>
  <c r="K121" i="91"/>
  <c r="K119" i="91"/>
  <c r="K116" i="91"/>
  <c r="K117" i="91"/>
  <c r="K114" i="91"/>
  <c r="K115" i="91"/>
  <c r="K106" i="91"/>
  <c r="K110" i="91"/>
  <c r="K108" i="91"/>
  <c r="K107" i="91"/>
  <c r="K112" i="91"/>
  <c r="K111" i="91"/>
  <c r="K109" i="91"/>
  <c r="K104" i="91"/>
  <c r="K103" i="91"/>
  <c r="K105" i="91"/>
  <c r="K101" i="91"/>
  <c r="K100" i="91"/>
  <c r="K102" i="91"/>
  <c r="K99" i="91"/>
  <c r="K168" i="91"/>
  <c r="K163" i="91"/>
  <c r="K161" i="91"/>
  <c r="K166" i="91"/>
  <c r="K167" i="91"/>
  <c r="K160" i="91"/>
  <c r="K169" i="91"/>
  <c r="K165" i="91"/>
  <c r="K159" i="91"/>
  <c r="K162" i="91"/>
  <c r="K164" i="91"/>
  <c r="K140" i="91"/>
  <c r="K141" i="91"/>
  <c r="K145" i="91"/>
  <c r="K147" i="91"/>
  <c r="K142" i="91"/>
  <c r="K144" i="91"/>
  <c r="K143" i="91"/>
  <c r="K146" i="91"/>
  <c r="K139" i="91"/>
  <c r="K148" i="91"/>
  <c r="K149" i="91"/>
  <c r="K155" i="91"/>
  <c r="K156" i="91"/>
  <c r="K153" i="91"/>
  <c r="K150" i="91"/>
  <c r="K154" i="91"/>
  <c r="K151" i="91"/>
  <c r="K158" i="91"/>
  <c r="K152" i="91"/>
  <c r="K157" i="91"/>
  <c r="K124" i="91"/>
  <c r="K122" i="91"/>
  <c r="K125" i="91"/>
  <c r="K126" i="91"/>
  <c r="K128" i="91"/>
  <c r="K123" i="91"/>
  <c r="K127" i="91"/>
  <c r="K129" i="91"/>
  <c r="K180" i="91"/>
  <c r="K182" i="91"/>
  <c r="K179" i="91"/>
  <c r="K177" i="91"/>
  <c r="K175" i="91"/>
  <c r="K178" i="91"/>
  <c r="K170" i="91"/>
  <c r="K176" i="91"/>
  <c r="K172" i="91"/>
  <c r="K173" i="91"/>
  <c r="K171" i="91"/>
  <c r="K174" i="91"/>
  <c r="K181" i="91"/>
  <c r="K134" i="91"/>
  <c r="K137" i="91"/>
  <c r="K132" i="91"/>
  <c r="K136" i="91"/>
  <c r="K131" i="91"/>
  <c r="K133" i="91"/>
  <c r="K138" i="91"/>
  <c r="K130" i="91"/>
  <c r="K135" i="91"/>
  <c r="K193" i="91"/>
  <c r="K195" i="91"/>
  <c r="K194" i="91"/>
  <c r="K186" i="91"/>
  <c r="K187" i="91"/>
  <c r="K190" i="91"/>
  <c r="K189" i="91"/>
  <c r="K184" i="91"/>
  <c r="K192" i="91"/>
  <c r="K191" i="91"/>
  <c r="K188" i="91"/>
  <c r="K185" i="91"/>
  <c r="K183" i="91"/>
  <c r="K5" i="91"/>
  <c r="K4" i="91"/>
  <c r="K10" i="91"/>
  <c r="K9" i="91"/>
  <c r="K6" i="91"/>
  <c r="K7" i="91"/>
  <c r="K8" i="91"/>
  <c r="K18" i="91"/>
  <c r="K31" i="91"/>
  <c r="K32" i="91"/>
  <c r="K34" i="91"/>
  <c r="K33" i="91"/>
  <c r="K29" i="91"/>
  <c r="K30" i="91"/>
  <c r="K14" i="91"/>
  <c r="K16" i="91"/>
  <c r="K11" i="91"/>
  <c r="K25" i="91"/>
  <c r="K21" i="91"/>
  <c r="K19" i="91"/>
  <c r="K12" i="91"/>
  <c r="K15" i="91"/>
  <c r="K20" i="91"/>
  <c r="K24" i="91"/>
  <c r="K13" i="91"/>
  <c r="K22" i="91"/>
  <c r="K23" i="91"/>
  <c r="K17" i="91"/>
  <c r="K27" i="91"/>
  <c r="K28" i="91"/>
  <c r="K39" i="91"/>
  <c r="K40" i="91"/>
  <c r="K41" i="91"/>
  <c r="K84" i="91"/>
  <c r="K86" i="91"/>
  <c r="K83" i="91"/>
  <c r="K82" i="91"/>
  <c r="K85" i="91"/>
  <c r="K81" i="91"/>
  <c r="K58" i="91"/>
  <c r="K59" i="91"/>
  <c r="K61" i="91"/>
  <c r="K60" i="91"/>
  <c r="K36" i="91"/>
  <c r="K35" i="91"/>
  <c r="K97" i="91"/>
  <c r="K95" i="91"/>
  <c r="K94" i="91"/>
  <c r="K98" i="91"/>
  <c r="K93" i="91"/>
  <c r="K96" i="91"/>
  <c r="K67" i="91"/>
  <c r="K70" i="91"/>
  <c r="K68" i="91"/>
  <c r="K69" i="91"/>
  <c r="K49" i="91"/>
  <c r="K48" i="91"/>
  <c r="K50" i="91"/>
  <c r="K56" i="91"/>
  <c r="K57" i="91"/>
  <c r="K54" i="91"/>
  <c r="K55" i="91"/>
  <c r="K47" i="91"/>
  <c r="K46" i="91"/>
  <c r="K45" i="91"/>
  <c r="K79" i="91"/>
  <c r="K77" i="91"/>
  <c r="K80" i="91"/>
  <c r="K76" i="91"/>
  <c r="K78" i="91"/>
  <c r="K90" i="91"/>
  <c r="K89" i="91"/>
  <c r="K92" i="91"/>
  <c r="K88" i="91"/>
  <c r="K91" i="91"/>
  <c r="K87" i="91"/>
  <c r="K64" i="91"/>
  <c r="K65" i="91"/>
  <c r="K63" i="91"/>
  <c r="K62" i="91"/>
  <c r="K71" i="91"/>
  <c r="K75" i="91"/>
  <c r="K72" i="91"/>
  <c r="K73" i="91"/>
  <c r="K74" i="91"/>
  <c r="K38" i="91"/>
  <c r="K37" i="91"/>
  <c r="K53" i="91"/>
  <c r="K51" i="91"/>
  <c r="K52" i="91"/>
  <c r="K42" i="91"/>
  <c r="K44" i="91"/>
  <c r="K43" i="91"/>
  <c r="K331" i="91"/>
  <c r="K325" i="91"/>
  <c r="K322" i="91"/>
  <c r="K336" i="91"/>
  <c r="K316" i="91"/>
  <c r="K321" i="91"/>
  <c r="K333" i="91"/>
  <c r="K319" i="91"/>
  <c r="K324" i="91"/>
  <c r="K330" i="91"/>
  <c r="K329" i="91"/>
  <c r="K323" i="91"/>
  <c r="K326" i="91"/>
  <c r="K315" i="91"/>
  <c r="K320" i="91"/>
  <c r="K317" i="91"/>
  <c r="K337" i="91"/>
  <c r="K327" i="91"/>
  <c r="K318" i="91"/>
  <c r="K335" i="91"/>
  <c r="K334" i="91"/>
  <c r="K332" i="91"/>
  <c r="K328" i="91"/>
  <c r="K262" i="91"/>
  <c r="K269" i="91"/>
  <c r="K271" i="91"/>
  <c r="K270" i="91"/>
  <c r="K259" i="91"/>
  <c r="K266" i="91"/>
  <c r="K265" i="91"/>
  <c r="K274" i="91"/>
  <c r="K264" i="91"/>
  <c r="K257" i="91"/>
  <c r="K268" i="91"/>
  <c r="K267" i="91"/>
  <c r="K261" i="91"/>
  <c r="K272" i="91"/>
  <c r="K258" i="91"/>
  <c r="K273" i="91"/>
  <c r="K260" i="91"/>
  <c r="K263" i="91"/>
  <c r="K297" i="91"/>
  <c r="K300" i="91"/>
  <c r="K314" i="91"/>
  <c r="K307" i="91"/>
  <c r="K306" i="91"/>
  <c r="K310" i="91"/>
  <c r="K311" i="91"/>
  <c r="K312" i="91"/>
  <c r="K301" i="91"/>
  <c r="K304" i="91"/>
  <c r="K303" i="91"/>
  <c r="K296" i="91"/>
  <c r="K299" i="91"/>
  <c r="K302" i="91"/>
  <c r="K313" i="91"/>
  <c r="K309" i="91"/>
  <c r="K298" i="91"/>
  <c r="K308" i="91"/>
  <c r="K295" i="91"/>
  <c r="K305" i="91"/>
  <c r="K200" i="91"/>
  <c r="K196" i="91"/>
  <c r="K204" i="91"/>
  <c r="K197" i="91"/>
  <c r="K205" i="91"/>
  <c r="K208" i="91"/>
  <c r="K199" i="91"/>
  <c r="K198" i="91"/>
  <c r="K206" i="91"/>
  <c r="K209" i="91"/>
  <c r="K201" i="91"/>
  <c r="K202" i="91"/>
  <c r="K203" i="91"/>
  <c r="K207" i="91"/>
  <c r="K250" i="91"/>
  <c r="K244" i="91"/>
  <c r="K254" i="91"/>
  <c r="K248" i="91"/>
  <c r="K241" i="91"/>
  <c r="K240" i="91"/>
  <c r="K242" i="91"/>
  <c r="K245" i="91"/>
  <c r="K251" i="91"/>
  <c r="K253" i="91"/>
  <c r="K243" i="91"/>
  <c r="K247" i="91"/>
  <c r="K255" i="91"/>
  <c r="K256" i="91"/>
  <c r="K252" i="91"/>
  <c r="K246" i="91"/>
  <c r="K249" i="91"/>
  <c r="K216" i="91"/>
  <c r="K213" i="91"/>
  <c r="K212" i="91"/>
  <c r="K224" i="91"/>
  <c r="K217" i="91"/>
  <c r="K219" i="91"/>
  <c r="K214" i="91"/>
  <c r="K211" i="91"/>
  <c r="K210" i="91"/>
  <c r="K215" i="91"/>
  <c r="K223" i="91"/>
  <c r="K221" i="91"/>
  <c r="K218" i="91"/>
  <c r="K222" i="91"/>
  <c r="K220" i="91"/>
  <c r="K290" i="91"/>
  <c r="K282" i="91"/>
  <c r="K288" i="91"/>
  <c r="K283" i="91"/>
  <c r="K277" i="91"/>
  <c r="K278" i="91"/>
  <c r="K285" i="91"/>
  <c r="K292" i="91"/>
  <c r="K287" i="91"/>
  <c r="K286" i="91"/>
  <c r="K291" i="91"/>
  <c r="K276" i="91"/>
  <c r="K294" i="91"/>
  <c r="K279" i="91"/>
  <c r="K293" i="91"/>
  <c r="K280" i="91"/>
  <c r="K275" i="91"/>
  <c r="K289" i="91"/>
  <c r="K281" i="91"/>
  <c r="K284" i="91"/>
  <c r="K235" i="91"/>
  <c r="K228" i="91"/>
  <c r="K226" i="91"/>
  <c r="K232" i="91"/>
  <c r="K231" i="91"/>
  <c r="K225" i="91"/>
  <c r="K229" i="91"/>
  <c r="K238" i="91"/>
  <c r="K239" i="91"/>
  <c r="K227" i="91"/>
  <c r="K230" i="91"/>
  <c r="K234" i="91"/>
  <c r="K237" i="91"/>
  <c r="K233" i="91"/>
  <c r="K236" i="91"/>
  <c r="K356" i="91"/>
  <c r="K347" i="91"/>
  <c r="K345" i="91"/>
  <c r="K360" i="91"/>
  <c r="K359" i="91"/>
  <c r="K355" i="91"/>
  <c r="K357" i="91"/>
  <c r="K341" i="91"/>
  <c r="K350" i="91"/>
  <c r="K340" i="91"/>
  <c r="K339" i="91"/>
  <c r="K348" i="91"/>
  <c r="K361" i="91"/>
  <c r="K346" i="91"/>
  <c r="K349" i="91"/>
  <c r="K351" i="91"/>
  <c r="K343" i="91"/>
  <c r="K342" i="91"/>
  <c r="K358" i="91"/>
  <c r="K354" i="91"/>
  <c r="K338" i="91"/>
  <c r="K353" i="91"/>
  <c r="K344" i="91"/>
  <c r="K352" i="91"/>
  <c r="D73" i="91"/>
  <c r="D72" i="91"/>
  <c r="D71" i="91"/>
  <c r="D78" i="91"/>
  <c r="D76" i="91"/>
  <c r="D77" i="91"/>
  <c r="D74" i="91"/>
  <c r="D79" i="91"/>
  <c r="D75" i="91"/>
  <c r="D80" i="91"/>
  <c r="D19" i="91"/>
  <c r="D10" i="91"/>
  <c r="D5" i="91"/>
  <c r="D20" i="91"/>
  <c r="D7" i="91"/>
  <c r="D31" i="91"/>
  <c r="D17" i="91"/>
  <c r="D14" i="91"/>
  <c r="D16" i="91"/>
  <c r="D15" i="91"/>
  <c r="D25" i="91"/>
  <c r="D22" i="91"/>
  <c r="D6" i="91"/>
  <c r="D33" i="91"/>
  <c r="D34" i="91"/>
  <c r="D18" i="91"/>
  <c r="D11" i="91"/>
  <c r="D12" i="91"/>
  <c r="D32" i="91"/>
  <c r="D13" i="91"/>
  <c r="D24" i="91"/>
  <c r="D26" i="91"/>
  <c r="D27" i="91"/>
  <c r="D8" i="91"/>
  <c r="D23" i="91"/>
  <c r="D30" i="91"/>
  <c r="D29" i="91"/>
  <c r="D4" i="91"/>
  <c r="D21" i="91"/>
  <c r="D9" i="91"/>
  <c r="D28" i="91"/>
  <c r="J29" i="91"/>
  <c r="J22" i="91"/>
  <c r="D44" i="91"/>
  <c r="D53" i="91"/>
  <c r="D54" i="91"/>
  <c r="D52" i="91"/>
  <c r="D40" i="91"/>
  <c r="D42" i="91"/>
  <c r="D36" i="91"/>
  <c r="D50" i="91"/>
  <c r="D47" i="91"/>
  <c r="D38" i="91"/>
  <c r="D45" i="91"/>
  <c r="D37" i="91"/>
  <c r="D41" i="91"/>
  <c r="D46" i="91"/>
  <c r="D49" i="91"/>
  <c r="D39" i="91"/>
  <c r="D48" i="91"/>
  <c r="D35" i="91"/>
  <c r="D43" i="91"/>
  <c r="D51" i="91"/>
  <c r="J344" i="91"/>
  <c r="J354" i="91"/>
  <c r="J358" i="91"/>
  <c r="J352" i="91"/>
  <c r="J340" i="91"/>
  <c r="J360" i="91"/>
  <c r="J341" i="91"/>
  <c r="J343" i="91"/>
  <c r="J353" i="91"/>
  <c r="J351" i="91"/>
  <c r="J363" i="91"/>
  <c r="J356" i="91"/>
  <c r="J361" i="91"/>
  <c r="J342" i="91"/>
  <c r="J359" i="91"/>
  <c r="J357" i="91"/>
  <c r="J364" i="91"/>
  <c r="J355" i="91"/>
  <c r="J362" i="91"/>
  <c r="J346" i="91"/>
  <c r="J348" i="91"/>
  <c r="J345" i="91"/>
  <c r="J347" i="91"/>
  <c r="J349" i="91"/>
  <c r="J350" i="91"/>
  <c r="D57" i="91"/>
  <c r="D68" i="91"/>
  <c r="D63" i="91"/>
  <c r="D55" i="91"/>
  <c r="D70" i="91"/>
  <c r="D65" i="91"/>
  <c r="D60" i="91"/>
  <c r="D62" i="91"/>
  <c r="D59" i="91"/>
  <c r="D67" i="91"/>
  <c r="D69" i="91"/>
  <c r="D64" i="91"/>
  <c r="D66" i="91"/>
  <c r="D56" i="91"/>
  <c r="D61" i="91"/>
  <c r="D58" i="91"/>
  <c r="J58" i="91"/>
  <c r="D88" i="91"/>
  <c r="D85" i="91"/>
  <c r="D87" i="91"/>
  <c r="D90" i="91"/>
  <c r="D81" i="91"/>
  <c r="D84" i="91"/>
  <c r="D82" i="91"/>
  <c r="D86" i="91"/>
  <c r="D83" i="91"/>
  <c r="D89" i="91"/>
  <c r="C88" i="91"/>
  <c r="L139" i="91" l="1"/>
  <c r="L134" i="91"/>
  <c r="L131" i="91"/>
  <c r="L133" i="91"/>
  <c r="L135" i="91"/>
  <c r="L136" i="91"/>
  <c r="L138" i="91"/>
  <c r="L137" i="91"/>
  <c r="L132" i="91"/>
  <c r="L171" i="91"/>
  <c r="L161" i="91"/>
  <c r="L167" i="91"/>
  <c r="L166" i="91"/>
  <c r="L162" i="91"/>
  <c r="L164" i="91"/>
  <c r="L170" i="91"/>
  <c r="L163" i="91"/>
  <c r="L168" i="91"/>
  <c r="L169" i="91"/>
  <c r="L165" i="91"/>
  <c r="L180" i="91"/>
  <c r="L178" i="91"/>
  <c r="L177" i="91"/>
  <c r="L176" i="91"/>
  <c r="L181" i="91"/>
  <c r="L173" i="91"/>
  <c r="L182" i="91"/>
  <c r="L179" i="91"/>
  <c r="L174" i="91"/>
  <c r="L175" i="91"/>
  <c r="L183" i="91"/>
  <c r="L172" i="91"/>
  <c r="L111" i="91"/>
  <c r="L107" i="91"/>
  <c r="L108" i="91"/>
  <c r="L109" i="91"/>
  <c r="L113" i="91"/>
  <c r="L110" i="91"/>
  <c r="L112" i="91"/>
  <c r="L141" i="91"/>
  <c r="L145" i="91"/>
  <c r="L149" i="91"/>
  <c r="L148" i="91"/>
  <c r="L142" i="91"/>
  <c r="L146" i="91"/>
  <c r="L147" i="91"/>
  <c r="L144" i="91"/>
  <c r="L140" i="91"/>
  <c r="L143" i="91"/>
  <c r="L94" i="91"/>
  <c r="L98" i="91"/>
  <c r="L96" i="91"/>
  <c r="L97" i="91"/>
  <c r="L95" i="91"/>
  <c r="L99" i="91"/>
  <c r="L128" i="91"/>
  <c r="L124" i="91"/>
  <c r="L122" i="91"/>
  <c r="L127" i="91"/>
  <c r="L130" i="91"/>
  <c r="L125" i="91"/>
  <c r="L123" i="91"/>
  <c r="L126" i="91"/>
  <c r="L129" i="91"/>
  <c r="L118" i="91"/>
  <c r="L119" i="91"/>
  <c r="L117" i="91"/>
  <c r="L120" i="91"/>
  <c r="L121" i="91"/>
  <c r="L114" i="91"/>
  <c r="L115" i="91"/>
  <c r="L116" i="91"/>
  <c r="L150" i="91"/>
  <c r="L151" i="91"/>
  <c r="L159" i="91"/>
  <c r="L158" i="91"/>
  <c r="L155" i="91"/>
  <c r="L156" i="91"/>
  <c r="L152" i="91"/>
  <c r="L160" i="91"/>
  <c r="L154" i="91"/>
  <c r="L153" i="91"/>
  <c r="L157" i="91"/>
  <c r="L106" i="91"/>
  <c r="L102" i="91"/>
  <c r="L104" i="91"/>
  <c r="L101" i="91"/>
  <c r="L103" i="91"/>
  <c r="L100" i="91"/>
  <c r="L105" i="91"/>
  <c r="L269" i="91"/>
  <c r="L266" i="91"/>
  <c r="L265" i="91"/>
  <c r="L260" i="91"/>
  <c r="L261" i="91"/>
  <c r="L264" i="91"/>
  <c r="L271" i="91"/>
  <c r="L275" i="91"/>
  <c r="L273" i="91"/>
  <c r="L258" i="91"/>
  <c r="L263" i="91"/>
  <c r="L274" i="91"/>
  <c r="L268" i="91"/>
  <c r="L272" i="91"/>
  <c r="L270" i="91"/>
  <c r="L257" i="91"/>
  <c r="L267" i="91"/>
  <c r="L259" i="91"/>
  <c r="L262" i="91"/>
  <c r="L351" i="91"/>
  <c r="L356" i="91"/>
  <c r="L353" i="91"/>
  <c r="L349" i="91"/>
  <c r="L341" i="91"/>
  <c r="L345" i="91"/>
  <c r="L354" i="91"/>
  <c r="L342" i="91"/>
  <c r="L337" i="91"/>
  <c r="L339" i="91"/>
  <c r="L343" i="91"/>
  <c r="L344" i="91"/>
  <c r="L350" i="91"/>
  <c r="L338" i="91"/>
  <c r="L340" i="91"/>
  <c r="L357" i="91"/>
  <c r="L355" i="91"/>
  <c r="L348" i="91"/>
  <c r="L352" i="91"/>
  <c r="L346" i="91"/>
  <c r="L336" i="91"/>
  <c r="L347" i="91"/>
  <c r="L329" i="91"/>
  <c r="L327" i="91"/>
  <c r="L320" i="91"/>
  <c r="L323" i="91"/>
  <c r="L332" i="91"/>
  <c r="L321" i="91"/>
  <c r="L330" i="91"/>
  <c r="L324" i="91"/>
  <c r="L322" i="91"/>
  <c r="L333" i="91"/>
  <c r="L318" i="91"/>
  <c r="L326" i="91"/>
  <c r="L319" i="91"/>
  <c r="L316" i="91"/>
  <c r="L334" i="91"/>
  <c r="L325" i="91"/>
  <c r="L317" i="91"/>
  <c r="L331" i="91"/>
  <c r="L328" i="91"/>
  <c r="L335" i="91"/>
  <c r="L239" i="91"/>
  <c r="L236" i="91"/>
  <c r="L234" i="91"/>
  <c r="L231" i="91"/>
  <c r="L226" i="91"/>
  <c r="L225" i="91"/>
  <c r="L235" i="91"/>
  <c r="L237" i="91"/>
  <c r="L230" i="91"/>
  <c r="L233" i="91"/>
  <c r="L227" i="91"/>
  <c r="L240" i="91"/>
  <c r="L229" i="91"/>
  <c r="L232" i="91"/>
  <c r="L238" i="91"/>
  <c r="L228" i="91"/>
  <c r="L308" i="91"/>
  <c r="L306" i="91"/>
  <c r="L312" i="91"/>
  <c r="L311" i="91"/>
  <c r="L314" i="91"/>
  <c r="L310" i="91"/>
  <c r="L307" i="91"/>
  <c r="L303" i="91"/>
  <c r="L296" i="91"/>
  <c r="L298" i="91"/>
  <c r="L302" i="91"/>
  <c r="L301" i="91"/>
  <c r="L305" i="91"/>
  <c r="L313" i="91"/>
  <c r="L315" i="91"/>
  <c r="L304" i="91"/>
  <c r="L297" i="91"/>
  <c r="L300" i="91"/>
  <c r="L309" i="91"/>
  <c r="L299" i="91"/>
  <c r="L215" i="91"/>
  <c r="L219" i="91"/>
  <c r="L224" i="91"/>
  <c r="L214" i="91"/>
  <c r="L218" i="91"/>
  <c r="L220" i="91"/>
  <c r="L223" i="91"/>
  <c r="L211" i="91"/>
  <c r="L212" i="91"/>
  <c r="L210" i="91"/>
  <c r="L221" i="91"/>
  <c r="L216" i="91"/>
  <c r="L213" i="91"/>
  <c r="L217" i="91"/>
  <c r="L222" i="91"/>
  <c r="L245" i="91"/>
  <c r="L242" i="91"/>
  <c r="L251" i="91"/>
  <c r="L244" i="91"/>
  <c r="L243" i="91"/>
  <c r="L248" i="91"/>
  <c r="L250" i="91"/>
  <c r="L252" i="91"/>
  <c r="L256" i="91"/>
  <c r="L249" i="91"/>
  <c r="L253" i="91"/>
  <c r="L254" i="91"/>
  <c r="L241" i="91"/>
  <c r="L246" i="91"/>
  <c r="L247" i="91"/>
  <c r="L255" i="91"/>
  <c r="L286" i="91"/>
  <c r="L276" i="91"/>
  <c r="L283" i="91"/>
  <c r="L278" i="91"/>
  <c r="L279" i="91"/>
  <c r="L287" i="91"/>
  <c r="L295" i="91"/>
  <c r="L284" i="91"/>
  <c r="L289" i="91"/>
  <c r="L281" i="91"/>
  <c r="L290" i="91"/>
  <c r="L280" i="91"/>
  <c r="L292" i="91"/>
  <c r="L277" i="91"/>
  <c r="L293" i="91"/>
  <c r="L282" i="91"/>
  <c r="L291" i="91"/>
  <c r="L294" i="91"/>
  <c r="L288" i="91"/>
  <c r="L285" i="91"/>
  <c r="L201" i="91"/>
  <c r="L207" i="91"/>
  <c r="L205" i="91"/>
  <c r="L197" i="91"/>
  <c r="L202" i="91"/>
  <c r="L206" i="91"/>
  <c r="L198" i="91"/>
  <c r="L199" i="91"/>
  <c r="L208" i="91"/>
  <c r="L200" i="91"/>
  <c r="L203" i="91"/>
  <c r="L196" i="91"/>
  <c r="L209" i="91"/>
  <c r="L204" i="91"/>
  <c r="L186" i="91"/>
  <c r="L190" i="91"/>
  <c r="L187" i="91"/>
  <c r="L191" i="91"/>
  <c r="L184" i="91"/>
  <c r="L194" i="91"/>
  <c r="L192" i="91"/>
  <c r="L193" i="91"/>
  <c r="L189" i="91"/>
  <c r="L185" i="91"/>
  <c r="L188" i="91"/>
  <c r="L195" i="91"/>
  <c r="L10" i="91"/>
  <c r="L7" i="91"/>
  <c r="L8" i="91"/>
  <c r="L4" i="91"/>
  <c r="L9" i="91"/>
  <c r="L5" i="91"/>
  <c r="L6" i="91"/>
  <c r="L34" i="91"/>
  <c r="L32" i="91"/>
  <c r="L31" i="91"/>
  <c r="L22" i="91"/>
  <c r="L27" i="91"/>
  <c r="L14" i="91"/>
  <c r="L19" i="91"/>
  <c r="L12" i="91"/>
  <c r="L26" i="91"/>
  <c r="L20" i="91"/>
  <c r="L23" i="91"/>
  <c r="L29" i="91"/>
  <c r="L30" i="91"/>
  <c r="L25" i="91"/>
  <c r="L24" i="91"/>
  <c r="L13" i="91"/>
  <c r="L15" i="91"/>
  <c r="L11" i="91"/>
  <c r="L16" i="91"/>
  <c r="L18" i="91"/>
  <c r="L55" i="91"/>
  <c r="L56" i="91"/>
  <c r="L57" i="91"/>
  <c r="L58" i="91"/>
  <c r="L73" i="91"/>
  <c r="L75" i="91"/>
  <c r="L74" i="91"/>
  <c r="L72" i="91"/>
  <c r="L76" i="91"/>
  <c r="L40" i="91"/>
  <c r="L35" i="91"/>
  <c r="L36" i="91"/>
  <c r="L82" i="91"/>
  <c r="L84" i="91"/>
  <c r="L83" i="91"/>
  <c r="L85" i="91"/>
  <c r="L86" i="91"/>
  <c r="L67" i="91"/>
  <c r="L69" i="91"/>
  <c r="L71" i="91"/>
  <c r="L70" i="91"/>
  <c r="L68" i="91"/>
  <c r="L44" i="91"/>
  <c r="L43" i="91"/>
  <c r="L42" i="91"/>
  <c r="L48" i="91"/>
  <c r="L50" i="91"/>
  <c r="L49" i="91"/>
  <c r="L64" i="91"/>
  <c r="L65" i="91"/>
  <c r="L66" i="91"/>
  <c r="L63" i="91"/>
  <c r="L78" i="91"/>
  <c r="L77" i="91"/>
  <c r="L79" i="91"/>
  <c r="L81" i="91"/>
  <c r="L80" i="91"/>
  <c r="L37" i="91"/>
  <c r="L39" i="91"/>
  <c r="L38" i="91"/>
  <c r="L62" i="91"/>
  <c r="L60" i="91"/>
  <c r="L61" i="91"/>
  <c r="L59" i="91"/>
  <c r="L47" i="91"/>
  <c r="L46" i="91"/>
  <c r="L45" i="91"/>
  <c r="L87" i="91"/>
  <c r="L91" i="91"/>
  <c r="L93" i="91"/>
  <c r="L89" i="91"/>
  <c r="L92" i="91"/>
  <c r="L90" i="91"/>
  <c r="L88" i="91"/>
  <c r="L51" i="91"/>
  <c r="L53" i="91"/>
  <c r="L52" i="91"/>
  <c r="L54" i="91"/>
  <c r="K66" i="91"/>
  <c r="E78" i="91"/>
  <c r="E81" i="91"/>
  <c r="E82" i="91"/>
  <c r="E75" i="91"/>
  <c r="E79" i="91"/>
  <c r="E73" i="91"/>
  <c r="E77" i="91"/>
  <c r="E76" i="91"/>
  <c r="E80" i="91"/>
  <c r="E74" i="91"/>
  <c r="E88" i="91"/>
  <c r="E92" i="91"/>
  <c r="E93" i="91"/>
  <c r="E91" i="91"/>
  <c r="E86" i="91"/>
  <c r="E90" i="91"/>
  <c r="E85" i="91"/>
  <c r="E87" i="91"/>
  <c r="E89" i="91"/>
  <c r="E84" i="91"/>
  <c r="E83" i="91"/>
  <c r="K26" i="91"/>
  <c r="E34" i="91"/>
  <c r="E18" i="91"/>
  <c r="E37" i="91"/>
  <c r="E4" i="91"/>
  <c r="E21" i="91"/>
  <c r="E11" i="91"/>
  <c r="E8" i="91"/>
  <c r="E25" i="91"/>
  <c r="E28" i="91"/>
  <c r="E33" i="91"/>
  <c r="E9" i="91"/>
  <c r="E29" i="91"/>
  <c r="E19" i="91"/>
  <c r="E17" i="91"/>
  <c r="E31" i="91"/>
  <c r="E30" i="91"/>
  <c r="E12" i="91"/>
  <c r="E16" i="91"/>
  <c r="E6" i="91"/>
  <c r="E5" i="91"/>
  <c r="E36" i="91"/>
  <c r="E13" i="91"/>
  <c r="E32" i="91"/>
  <c r="E24" i="91"/>
  <c r="E15" i="91"/>
  <c r="E27" i="91"/>
  <c r="E35" i="91"/>
  <c r="E10" i="91"/>
  <c r="E20" i="91"/>
  <c r="E7" i="91"/>
  <c r="E14" i="91"/>
  <c r="E23" i="91"/>
  <c r="E22" i="91"/>
  <c r="E26" i="91"/>
  <c r="E57" i="91"/>
  <c r="E56" i="91"/>
  <c r="E39" i="91"/>
  <c r="E50" i="91"/>
  <c r="E54" i="91"/>
  <c r="E43" i="91"/>
  <c r="E48" i="91"/>
  <c r="E46" i="91"/>
  <c r="E40" i="91"/>
  <c r="E53" i="91"/>
  <c r="E49" i="91"/>
  <c r="E42" i="91"/>
  <c r="E51" i="91"/>
  <c r="E55" i="91"/>
  <c r="E52" i="91"/>
  <c r="E41" i="91"/>
  <c r="E44" i="91"/>
  <c r="E38" i="91"/>
  <c r="E45" i="91"/>
  <c r="E47" i="91"/>
  <c r="K377" i="91"/>
  <c r="K366" i="91"/>
  <c r="K372" i="91"/>
  <c r="K368" i="91"/>
  <c r="K364" i="91"/>
  <c r="K363" i="91"/>
  <c r="K371" i="91"/>
  <c r="K373" i="91"/>
  <c r="K387" i="91"/>
  <c r="K375" i="91"/>
  <c r="K381" i="91"/>
  <c r="K385" i="91"/>
  <c r="K384" i="91"/>
  <c r="K362" i="91"/>
  <c r="K365" i="91"/>
  <c r="K374" i="91"/>
  <c r="K370" i="91"/>
  <c r="K382" i="91"/>
  <c r="K369" i="91"/>
  <c r="K383" i="91"/>
  <c r="K378" i="91"/>
  <c r="K380" i="91"/>
  <c r="K379" i="91"/>
  <c r="K367" i="91"/>
  <c r="K386" i="91"/>
  <c r="K376" i="91"/>
  <c r="E65" i="91"/>
  <c r="E69" i="91"/>
  <c r="E60" i="91"/>
  <c r="E58" i="91"/>
  <c r="E71" i="91"/>
  <c r="E68" i="91"/>
  <c r="E61" i="91"/>
  <c r="E63" i="91"/>
  <c r="E67" i="91"/>
  <c r="E70" i="91"/>
  <c r="E59" i="91"/>
  <c r="E66" i="91"/>
  <c r="E62" i="91"/>
  <c r="E72" i="91"/>
  <c r="E64" i="91"/>
  <c r="J389" i="91"/>
  <c r="J374" i="91"/>
  <c r="J375" i="91"/>
  <c r="J386" i="91"/>
  <c r="J381" i="91"/>
  <c r="J373" i="91"/>
  <c r="J380" i="91"/>
  <c r="J384" i="91"/>
  <c r="J371" i="91"/>
  <c r="J372" i="91"/>
  <c r="J378" i="91"/>
  <c r="J385" i="91"/>
  <c r="J376" i="91"/>
  <c r="J379" i="91"/>
  <c r="J382" i="91"/>
  <c r="J365" i="91"/>
  <c r="J390" i="91"/>
  <c r="J366" i="91"/>
  <c r="J383" i="91"/>
  <c r="J369" i="91"/>
  <c r="J388" i="91"/>
  <c r="J387" i="91"/>
  <c r="J377" i="91"/>
  <c r="J367" i="91"/>
  <c r="J368" i="91"/>
  <c r="J370" i="91"/>
  <c r="D91" i="91"/>
  <c r="C89" i="91"/>
  <c r="N61" i="91" l="1"/>
  <c r="N62" i="91"/>
  <c r="N59" i="91"/>
  <c r="N60" i="91"/>
  <c r="N64" i="91"/>
  <c r="N65" i="91"/>
  <c r="N66" i="91"/>
  <c r="N63" i="91"/>
  <c r="N78" i="91"/>
  <c r="N77" i="91"/>
  <c r="N76" i="91"/>
  <c r="N79" i="91"/>
  <c r="N80" i="91"/>
  <c r="N96" i="91"/>
  <c r="N94" i="91"/>
  <c r="N97" i="91"/>
  <c r="N95" i="91"/>
  <c r="N93" i="91"/>
  <c r="N98" i="91"/>
  <c r="N89" i="91"/>
  <c r="N88" i="91"/>
  <c r="N87" i="91"/>
  <c r="N92" i="91"/>
  <c r="N91" i="91"/>
  <c r="N90" i="91"/>
  <c r="N36" i="91"/>
  <c r="N37" i="91"/>
  <c r="N35" i="91"/>
  <c r="N70" i="91"/>
  <c r="N71" i="91"/>
  <c r="N69" i="91"/>
  <c r="N68" i="91"/>
  <c r="N67" i="91"/>
  <c r="N47" i="91"/>
  <c r="N46" i="91"/>
  <c r="N45" i="91"/>
  <c r="N48" i="91"/>
  <c r="N49" i="91"/>
  <c r="N51" i="91"/>
  <c r="N50" i="91"/>
  <c r="N40" i="91"/>
  <c r="N41" i="91"/>
  <c r="N42" i="91"/>
  <c r="N43" i="91"/>
  <c r="N74" i="91"/>
  <c r="N75" i="91"/>
  <c r="N73" i="91"/>
  <c r="N54" i="91"/>
  <c r="N53" i="91"/>
  <c r="N52" i="91"/>
  <c r="N55" i="91"/>
  <c r="N58" i="91"/>
  <c r="N57" i="91"/>
  <c r="N56" i="91"/>
  <c r="N38" i="91"/>
  <c r="N39" i="91"/>
  <c r="N84" i="91"/>
  <c r="N81" i="91"/>
  <c r="N83" i="91"/>
  <c r="N85" i="91"/>
  <c r="N82" i="91"/>
  <c r="N86" i="91"/>
  <c r="M47" i="91"/>
  <c r="M49" i="91"/>
  <c r="M48" i="91"/>
  <c r="M57" i="91"/>
  <c r="M59" i="91"/>
  <c r="M58" i="91"/>
  <c r="M60" i="91"/>
  <c r="M69" i="91"/>
  <c r="M71" i="91"/>
  <c r="M73" i="91"/>
  <c r="M70" i="91"/>
  <c r="M72" i="91"/>
  <c r="M36" i="91"/>
  <c r="M38" i="91"/>
  <c r="M37" i="91"/>
  <c r="M46" i="91"/>
  <c r="M44" i="91"/>
  <c r="M45" i="91"/>
  <c r="M42" i="91"/>
  <c r="M41" i="91"/>
  <c r="M43" i="91"/>
  <c r="M86" i="91"/>
  <c r="M87" i="91"/>
  <c r="M85" i="91"/>
  <c r="M89" i="91"/>
  <c r="M84" i="91"/>
  <c r="M88" i="91"/>
  <c r="M93" i="91"/>
  <c r="M90" i="91"/>
  <c r="M95" i="91"/>
  <c r="M92" i="91"/>
  <c r="M91" i="91"/>
  <c r="M94" i="91"/>
  <c r="M96" i="91"/>
  <c r="M65" i="91"/>
  <c r="M68" i="91"/>
  <c r="M67" i="91"/>
  <c r="M66" i="91"/>
  <c r="M35" i="91"/>
  <c r="M34" i="91"/>
  <c r="M50" i="91"/>
  <c r="M51" i="91"/>
  <c r="M53" i="91"/>
  <c r="M52" i="91"/>
  <c r="M39" i="91"/>
  <c r="M40" i="91"/>
  <c r="M76" i="91"/>
  <c r="M74" i="91"/>
  <c r="M75" i="91"/>
  <c r="M78" i="91"/>
  <c r="M55" i="91"/>
  <c r="M54" i="91"/>
  <c r="M56" i="91"/>
  <c r="M61" i="91"/>
  <c r="M64" i="91"/>
  <c r="M63" i="91"/>
  <c r="M62" i="91"/>
  <c r="M83" i="91"/>
  <c r="M79" i="91"/>
  <c r="M82" i="91"/>
  <c r="M80" i="91"/>
  <c r="M81" i="91"/>
  <c r="N19" i="91"/>
  <c r="N20" i="91"/>
  <c r="N11" i="91"/>
  <c r="N31" i="91"/>
  <c r="N32" i="91"/>
  <c r="N28" i="91"/>
  <c r="N25" i="91"/>
  <c r="N21" i="91"/>
  <c r="N15" i="91"/>
  <c r="N22" i="91"/>
  <c r="N23" i="91"/>
  <c r="N24" i="91"/>
  <c r="N17" i="91"/>
  <c r="N30" i="91"/>
  <c r="N29" i="91"/>
  <c r="N18" i="91"/>
  <c r="N27" i="91"/>
  <c r="N26" i="91"/>
  <c r="N14" i="91"/>
  <c r="N16" i="91"/>
  <c r="N13" i="91"/>
  <c r="N12" i="91"/>
  <c r="N33" i="91"/>
  <c r="N34" i="91"/>
  <c r="M306" i="91"/>
  <c r="M301" i="91"/>
  <c r="M296" i="91"/>
  <c r="M299" i="91"/>
  <c r="M311" i="91"/>
  <c r="M302" i="91"/>
  <c r="M308" i="91"/>
  <c r="M300" i="91"/>
  <c r="M312" i="91"/>
  <c r="M309" i="91"/>
  <c r="M297" i="91"/>
  <c r="M307" i="91"/>
  <c r="M314" i="91"/>
  <c r="M313" i="91"/>
  <c r="M304" i="91"/>
  <c r="M303" i="91"/>
  <c r="M305" i="91"/>
  <c r="M310" i="91"/>
  <c r="M298" i="91"/>
  <c r="M295" i="91"/>
  <c r="M203" i="91"/>
  <c r="M212" i="91"/>
  <c r="M209" i="91"/>
  <c r="M208" i="91"/>
  <c r="M213" i="91"/>
  <c r="M205" i="91"/>
  <c r="M206" i="91"/>
  <c r="M211" i="91"/>
  <c r="M210" i="91"/>
  <c r="M204" i="91"/>
  <c r="M207" i="91"/>
  <c r="M214" i="91"/>
  <c r="M215" i="91"/>
  <c r="M224" i="91"/>
  <c r="M227" i="91"/>
  <c r="M226" i="91"/>
  <c r="M225" i="91"/>
  <c r="M221" i="91"/>
  <c r="M219" i="91"/>
  <c r="M216" i="91"/>
  <c r="M218" i="91"/>
  <c r="M217" i="91"/>
  <c r="M223" i="91"/>
  <c r="M220" i="91"/>
  <c r="M228" i="91"/>
  <c r="M222" i="91"/>
  <c r="M229" i="91"/>
  <c r="M248" i="91"/>
  <c r="M255" i="91"/>
  <c r="M254" i="91"/>
  <c r="M256" i="91"/>
  <c r="M250" i="91"/>
  <c r="M247" i="91"/>
  <c r="M246" i="91"/>
  <c r="M245" i="91"/>
  <c r="M257" i="91"/>
  <c r="M249" i="91"/>
  <c r="M251" i="91"/>
  <c r="M252" i="91"/>
  <c r="M253" i="91"/>
  <c r="M244" i="91"/>
  <c r="M286" i="91"/>
  <c r="M288" i="91"/>
  <c r="M281" i="91"/>
  <c r="M282" i="91"/>
  <c r="M278" i="91"/>
  <c r="M280" i="91"/>
  <c r="M287" i="91"/>
  <c r="M294" i="91"/>
  <c r="M285" i="91"/>
  <c r="M283" i="91"/>
  <c r="M289" i="91"/>
  <c r="M276" i="91"/>
  <c r="M279" i="91"/>
  <c r="M291" i="91"/>
  <c r="M277" i="91"/>
  <c r="M292" i="91"/>
  <c r="M284" i="91"/>
  <c r="M290" i="91"/>
  <c r="M293" i="91"/>
  <c r="M326" i="91"/>
  <c r="M333" i="91"/>
  <c r="M319" i="91"/>
  <c r="M329" i="91"/>
  <c r="M324" i="91"/>
  <c r="M331" i="91"/>
  <c r="M334" i="91"/>
  <c r="M321" i="91"/>
  <c r="M325" i="91"/>
  <c r="M330" i="91"/>
  <c r="M320" i="91"/>
  <c r="M317" i="91"/>
  <c r="M316" i="91"/>
  <c r="M327" i="91"/>
  <c r="M332" i="91"/>
  <c r="M335" i="91"/>
  <c r="M328" i="91"/>
  <c r="M315" i="91"/>
  <c r="M322" i="91"/>
  <c r="M323" i="91"/>
  <c r="M318" i="91"/>
  <c r="M201" i="91"/>
  <c r="M194" i="91"/>
  <c r="M200" i="91"/>
  <c r="M192" i="91"/>
  <c r="M191" i="91"/>
  <c r="M189" i="91"/>
  <c r="M198" i="91"/>
  <c r="M190" i="91"/>
  <c r="M202" i="91"/>
  <c r="M195" i="91"/>
  <c r="M199" i="91"/>
  <c r="M197" i="91"/>
  <c r="M193" i="91"/>
  <c r="M196" i="91"/>
  <c r="M236" i="91"/>
  <c r="M243" i="91"/>
  <c r="M239" i="91"/>
  <c r="M237" i="91"/>
  <c r="M230" i="91"/>
  <c r="M231" i="91"/>
  <c r="M241" i="91"/>
  <c r="M242" i="91"/>
  <c r="M235" i="91"/>
  <c r="M240" i="91"/>
  <c r="M233" i="91"/>
  <c r="M238" i="91"/>
  <c r="M232" i="91"/>
  <c r="M234" i="91"/>
  <c r="M355" i="91"/>
  <c r="M352" i="91"/>
  <c r="M350" i="91"/>
  <c r="M358" i="91"/>
  <c r="M349" i="91"/>
  <c r="M351" i="91"/>
  <c r="M348" i="91"/>
  <c r="M339" i="91"/>
  <c r="M337" i="91"/>
  <c r="M343" i="91"/>
  <c r="M354" i="91"/>
  <c r="M356" i="91"/>
  <c r="M338" i="91"/>
  <c r="M353" i="91"/>
  <c r="M346" i="91"/>
  <c r="M344" i="91"/>
  <c r="M341" i="91"/>
  <c r="M357" i="91"/>
  <c r="M347" i="91"/>
  <c r="M342" i="91"/>
  <c r="M336" i="91"/>
  <c r="M345" i="91"/>
  <c r="M340" i="91"/>
  <c r="M259" i="91"/>
  <c r="M258" i="91"/>
  <c r="M268" i="91"/>
  <c r="M273" i="91"/>
  <c r="M265" i="91"/>
  <c r="M269" i="91"/>
  <c r="M263" i="91"/>
  <c r="M260" i="91"/>
  <c r="M267" i="91"/>
  <c r="M266" i="91"/>
  <c r="M274" i="91"/>
  <c r="M271" i="91"/>
  <c r="M272" i="91"/>
  <c r="M262" i="91"/>
  <c r="M270" i="91"/>
  <c r="M275" i="91"/>
  <c r="M264" i="91"/>
  <c r="M261" i="91"/>
  <c r="M31" i="91"/>
  <c r="M30" i="91"/>
  <c r="M19" i="91"/>
  <c r="M15" i="91"/>
  <c r="M11" i="91"/>
  <c r="M12" i="91"/>
  <c r="M14" i="91"/>
  <c r="M26" i="91"/>
  <c r="M25" i="91"/>
  <c r="M27" i="91"/>
  <c r="M20" i="91"/>
  <c r="M17" i="91"/>
  <c r="M33" i="91"/>
  <c r="M32" i="91"/>
  <c r="M29" i="91"/>
  <c r="M23" i="91"/>
  <c r="M22" i="91"/>
  <c r="M18" i="91"/>
  <c r="M13" i="91"/>
  <c r="M21" i="91"/>
  <c r="N252" i="91"/>
  <c r="N247" i="91"/>
  <c r="N258" i="91"/>
  <c r="N251" i="91"/>
  <c r="N255" i="91"/>
  <c r="N246" i="91"/>
  <c r="N259" i="91"/>
  <c r="N250" i="91"/>
  <c r="N254" i="91"/>
  <c r="N245" i="91"/>
  <c r="N260" i="91"/>
  <c r="N244" i="91"/>
  <c r="N257" i="91"/>
  <c r="N248" i="91"/>
  <c r="N256" i="91"/>
  <c r="N253" i="91"/>
  <c r="N249" i="91"/>
  <c r="N304" i="91"/>
  <c r="N309" i="91"/>
  <c r="N300" i="91"/>
  <c r="N315" i="91"/>
  <c r="N303" i="91"/>
  <c r="N313" i="91"/>
  <c r="N316" i="91"/>
  <c r="N302" i="91"/>
  <c r="N310" i="91"/>
  <c r="N301" i="91"/>
  <c r="N299" i="91"/>
  <c r="N298" i="91"/>
  <c r="N305" i="91"/>
  <c r="N297" i="91"/>
  <c r="N311" i="91"/>
  <c r="N306" i="91"/>
  <c r="N307" i="91"/>
  <c r="N312" i="91"/>
  <c r="N314" i="91"/>
  <c r="N308" i="91"/>
  <c r="N294" i="91"/>
  <c r="N292" i="91"/>
  <c r="N282" i="91"/>
  <c r="N287" i="91"/>
  <c r="N285" i="91"/>
  <c r="N288" i="91"/>
  <c r="N283" i="91"/>
  <c r="N291" i="91"/>
  <c r="N278" i="91"/>
  <c r="N280" i="91"/>
  <c r="N295" i="91"/>
  <c r="N286" i="91"/>
  <c r="N296" i="91"/>
  <c r="N293" i="91"/>
  <c r="N290" i="91"/>
  <c r="N289" i="91"/>
  <c r="N284" i="91"/>
  <c r="N281" i="91"/>
  <c r="N279" i="91"/>
  <c r="N221" i="91"/>
  <c r="N224" i="91"/>
  <c r="N214" i="91"/>
  <c r="N226" i="91"/>
  <c r="N216" i="91"/>
  <c r="N225" i="91"/>
  <c r="N215" i="91"/>
  <c r="N213" i="91"/>
  <c r="N211" i="91"/>
  <c r="N217" i="91"/>
  <c r="N212" i="91"/>
  <c r="N223" i="91"/>
  <c r="N218" i="91"/>
  <c r="N210" i="91"/>
  <c r="N220" i="91"/>
  <c r="N219" i="91"/>
  <c r="N222" i="91"/>
  <c r="N228" i="91"/>
  <c r="N241" i="91"/>
  <c r="N232" i="91"/>
  <c r="N239" i="91"/>
  <c r="N233" i="91"/>
  <c r="N238" i="91"/>
  <c r="N231" i="91"/>
  <c r="N229" i="91"/>
  <c r="N235" i="91"/>
  <c r="N242" i="91"/>
  <c r="N240" i="91"/>
  <c r="N243" i="91"/>
  <c r="N237" i="91"/>
  <c r="N234" i="91"/>
  <c r="N230" i="91"/>
  <c r="N236" i="91"/>
  <c r="N227" i="91"/>
  <c r="N206" i="91"/>
  <c r="N200" i="91"/>
  <c r="N198" i="91"/>
  <c r="N202" i="91"/>
  <c r="N201" i="91"/>
  <c r="N197" i="91"/>
  <c r="N204" i="91"/>
  <c r="N196" i="91"/>
  <c r="N205" i="91"/>
  <c r="N199" i="91"/>
  <c r="N203" i="91"/>
  <c r="N207" i="91"/>
  <c r="N208" i="91"/>
  <c r="N209" i="91"/>
  <c r="N334" i="91"/>
  <c r="N322" i="91"/>
  <c r="N335" i="91"/>
  <c r="N327" i="91"/>
  <c r="N332" i="91"/>
  <c r="N331" i="91"/>
  <c r="N328" i="91"/>
  <c r="N325" i="91"/>
  <c r="N326" i="91"/>
  <c r="N323" i="91"/>
  <c r="N319" i="91"/>
  <c r="N336" i="91"/>
  <c r="N329" i="91"/>
  <c r="N324" i="91"/>
  <c r="N338" i="91"/>
  <c r="N333" i="91"/>
  <c r="N321" i="91"/>
  <c r="N337" i="91"/>
  <c r="N320" i="91"/>
  <c r="N330" i="91"/>
  <c r="N318" i="91"/>
  <c r="N317" i="91"/>
  <c r="N272" i="91"/>
  <c r="N277" i="91"/>
  <c r="N271" i="91"/>
  <c r="N261" i="91"/>
  <c r="N273" i="91"/>
  <c r="N267" i="91"/>
  <c r="N266" i="91"/>
  <c r="N269" i="91"/>
  <c r="N264" i="91"/>
  <c r="N268" i="91"/>
  <c r="N270" i="91"/>
  <c r="N262" i="91"/>
  <c r="N265" i="91"/>
  <c r="N276" i="91"/>
  <c r="N274" i="91"/>
  <c r="N263" i="91"/>
  <c r="N275" i="91"/>
  <c r="M142" i="91"/>
  <c r="M137" i="91"/>
  <c r="M138" i="91"/>
  <c r="M136" i="91"/>
  <c r="M139" i="91"/>
  <c r="M135" i="91"/>
  <c r="M141" i="91"/>
  <c r="M140" i="91"/>
  <c r="M143" i="91"/>
  <c r="M149" i="91"/>
  <c r="M145" i="91"/>
  <c r="M153" i="91"/>
  <c r="M146" i="91"/>
  <c r="M150" i="91"/>
  <c r="M151" i="91"/>
  <c r="M148" i="91"/>
  <c r="M152" i="91"/>
  <c r="M147" i="91"/>
  <c r="M144" i="91"/>
  <c r="M120" i="91"/>
  <c r="M124" i="91"/>
  <c r="M126" i="91"/>
  <c r="M123" i="91"/>
  <c r="M122" i="91"/>
  <c r="M121" i="91"/>
  <c r="M119" i="91"/>
  <c r="M125" i="91"/>
  <c r="M97" i="91"/>
  <c r="M101" i="91"/>
  <c r="M100" i="91"/>
  <c r="M99" i="91"/>
  <c r="M103" i="91"/>
  <c r="M98" i="91"/>
  <c r="M102" i="91"/>
  <c r="M174" i="91"/>
  <c r="M168" i="91"/>
  <c r="M173" i="91"/>
  <c r="M172" i="91"/>
  <c r="M170" i="91"/>
  <c r="M171" i="91"/>
  <c r="M167" i="91"/>
  <c r="M169" i="91"/>
  <c r="M175" i="91"/>
  <c r="M165" i="91"/>
  <c r="M166" i="91"/>
  <c r="M113" i="91"/>
  <c r="M111" i="91"/>
  <c r="M114" i="91"/>
  <c r="M117" i="91"/>
  <c r="M118" i="91"/>
  <c r="M115" i="91"/>
  <c r="M112" i="91"/>
  <c r="M116" i="91"/>
  <c r="M105" i="91"/>
  <c r="M110" i="91"/>
  <c r="M106" i="91"/>
  <c r="M107" i="91"/>
  <c r="M109" i="91"/>
  <c r="M104" i="91"/>
  <c r="M108" i="91"/>
  <c r="M134" i="91"/>
  <c r="M129" i="91"/>
  <c r="M128" i="91"/>
  <c r="M132" i="91"/>
  <c r="M133" i="91"/>
  <c r="M127" i="91"/>
  <c r="M130" i="91"/>
  <c r="M131" i="91"/>
  <c r="M158" i="91"/>
  <c r="M155" i="91"/>
  <c r="M164" i="91"/>
  <c r="M156" i="91"/>
  <c r="M160" i="91"/>
  <c r="M159" i="91"/>
  <c r="M161" i="91"/>
  <c r="M163" i="91"/>
  <c r="M157" i="91"/>
  <c r="M154" i="91"/>
  <c r="M162" i="91"/>
  <c r="M188" i="91"/>
  <c r="M182" i="91"/>
  <c r="M183" i="91"/>
  <c r="M187" i="91"/>
  <c r="M180" i="91"/>
  <c r="M178" i="91"/>
  <c r="M184" i="91"/>
  <c r="M176" i="91"/>
  <c r="M186" i="91"/>
  <c r="M177" i="91"/>
  <c r="M179" i="91"/>
  <c r="M181" i="91"/>
  <c r="M185" i="91"/>
  <c r="N159" i="91"/>
  <c r="N158" i="91"/>
  <c r="N152" i="91"/>
  <c r="N151" i="91"/>
  <c r="N156" i="91"/>
  <c r="N155" i="91"/>
  <c r="N160" i="91"/>
  <c r="N157" i="91"/>
  <c r="N153" i="91"/>
  <c r="N154" i="91"/>
  <c r="N134" i="91"/>
  <c r="N135" i="91"/>
  <c r="N140" i="91"/>
  <c r="N139" i="91"/>
  <c r="N141" i="91"/>
  <c r="N138" i="91"/>
  <c r="N136" i="91"/>
  <c r="N137" i="91"/>
  <c r="N110" i="91"/>
  <c r="N111" i="91"/>
  <c r="N106" i="91"/>
  <c r="N107" i="91"/>
  <c r="N109" i="91"/>
  <c r="N108" i="91"/>
  <c r="N128" i="91"/>
  <c r="N132" i="91"/>
  <c r="N129" i="91"/>
  <c r="N131" i="91"/>
  <c r="N130" i="91"/>
  <c r="N127" i="91"/>
  <c r="N133" i="91"/>
  <c r="N191" i="91"/>
  <c r="N189" i="91"/>
  <c r="N195" i="91"/>
  <c r="N193" i="91"/>
  <c r="N187" i="91"/>
  <c r="N194" i="91"/>
  <c r="N183" i="91"/>
  <c r="N184" i="91"/>
  <c r="N185" i="91"/>
  <c r="N190" i="91"/>
  <c r="N186" i="91"/>
  <c r="N188" i="91"/>
  <c r="N192" i="91"/>
  <c r="N178" i="91"/>
  <c r="N174" i="91"/>
  <c r="N182" i="91"/>
  <c r="N176" i="91"/>
  <c r="N175" i="91"/>
  <c r="N172" i="91"/>
  <c r="N177" i="91"/>
  <c r="N180" i="91"/>
  <c r="N173" i="91"/>
  <c r="N181" i="91"/>
  <c r="N179" i="91"/>
  <c r="N124" i="91"/>
  <c r="N123" i="91"/>
  <c r="N126" i="91"/>
  <c r="N119" i="91"/>
  <c r="N121" i="91"/>
  <c r="N125" i="91"/>
  <c r="N122" i="91"/>
  <c r="N120" i="91"/>
  <c r="N104" i="91"/>
  <c r="N103" i="91"/>
  <c r="N105" i="91"/>
  <c r="N102" i="91"/>
  <c r="N100" i="91"/>
  <c r="N99" i="91"/>
  <c r="N101" i="91"/>
  <c r="N170" i="91"/>
  <c r="N161" i="91"/>
  <c r="N163" i="91"/>
  <c r="N168" i="91"/>
  <c r="N169" i="91"/>
  <c r="N167" i="91"/>
  <c r="N162" i="91"/>
  <c r="N171" i="91"/>
  <c r="N166" i="91"/>
  <c r="N165" i="91"/>
  <c r="N164" i="91"/>
  <c r="N150" i="91"/>
  <c r="N149" i="91"/>
  <c r="N142" i="91"/>
  <c r="N143" i="91"/>
  <c r="N145" i="91"/>
  <c r="N144" i="91"/>
  <c r="N146" i="91"/>
  <c r="N147" i="91"/>
  <c r="N148" i="91"/>
  <c r="N117" i="91"/>
  <c r="N113" i="91"/>
  <c r="N116" i="91"/>
  <c r="N114" i="91"/>
  <c r="N118" i="91"/>
  <c r="N112" i="91"/>
  <c r="N115" i="91"/>
  <c r="N9" i="91"/>
  <c r="N6" i="91"/>
  <c r="N10" i="91"/>
  <c r="N7" i="91"/>
  <c r="N5" i="91"/>
  <c r="N4" i="91"/>
  <c r="N8" i="91"/>
  <c r="M5" i="91"/>
  <c r="M8" i="91"/>
  <c r="M9" i="91"/>
  <c r="M4" i="91"/>
  <c r="M7" i="91"/>
  <c r="J411" i="91"/>
  <c r="J407" i="91"/>
  <c r="J391" i="91"/>
  <c r="J417" i="91"/>
  <c r="J394" i="91"/>
  <c r="J392" i="91"/>
  <c r="J402" i="91"/>
  <c r="J396" i="91"/>
  <c r="J403" i="91"/>
  <c r="J412" i="91"/>
  <c r="J405" i="91"/>
  <c r="J397" i="91"/>
  <c r="J404" i="91"/>
  <c r="J409" i="91"/>
  <c r="J393" i="91"/>
  <c r="J398" i="91"/>
  <c r="J401" i="91"/>
  <c r="J414" i="91"/>
  <c r="J408" i="91"/>
  <c r="J400" i="91"/>
  <c r="J399" i="91"/>
  <c r="J416" i="91"/>
  <c r="J413" i="91"/>
  <c r="J395" i="91"/>
  <c r="J406" i="91"/>
  <c r="J410" i="91"/>
  <c r="J415" i="91"/>
  <c r="G79" i="91"/>
  <c r="G80" i="91"/>
  <c r="G83" i="91"/>
  <c r="G86" i="91"/>
  <c r="G85" i="91"/>
  <c r="G71" i="91"/>
  <c r="G81" i="91"/>
  <c r="G75" i="91"/>
  <c r="G76" i="91"/>
  <c r="G73" i="91"/>
  <c r="G74" i="91"/>
  <c r="G82" i="91"/>
  <c r="G77" i="91"/>
  <c r="G78" i="91"/>
  <c r="G72" i="91"/>
  <c r="G84" i="91"/>
  <c r="F67" i="91"/>
  <c r="F70" i="91"/>
  <c r="F73" i="91"/>
  <c r="F63" i="91"/>
  <c r="F66" i="91"/>
  <c r="F65" i="91"/>
  <c r="F76" i="91"/>
  <c r="F77" i="91"/>
  <c r="F72" i="91"/>
  <c r="F62" i="91"/>
  <c r="F68" i="91"/>
  <c r="F64" i="91"/>
  <c r="F74" i="91"/>
  <c r="F69" i="91"/>
  <c r="F71" i="91"/>
  <c r="F75" i="91"/>
  <c r="L359" i="91"/>
  <c r="L368" i="91"/>
  <c r="L366" i="91"/>
  <c r="L361" i="91"/>
  <c r="L358" i="91"/>
  <c r="L377" i="91"/>
  <c r="L360" i="91"/>
  <c r="L380" i="91"/>
  <c r="L367" i="91"/>
  <c r="L381" i="91"/>
  <c r="L374" i="91"/>
  <c r="L372" i="91"/>
  <c r="L365" i="91"/>
  <c r="L371" i="91"/>
  <c r="L373" i="91"/>
  <c r="L378" i="91"/>
  <c r="L375" i="91"/>
  <c r="L376" i="91"/>
  <c r="L363" i="91"/>
  <c r="L369" i="91"/>
  <c r="L364" i="91"/>
  <c r="L362" i="91"/>
  <c r="L370" i="91"/>
  <c r="L379" i="91"/>
  <c r="L28" i="91"/>
  <c r="G61" i="91"/>
  <c r="G51" i="91"/>
  <c r="G69" i="91"/>
  <c r="G67" i="91"/>
  <c r="G65" i="91"/>
  <c r="G62" i="91"/>
  <c r="G56" i="91"/>
  <c r="G53" i="91"/>
  <c r="G63" i="91"/>
  <c r="G64" i="91"/>
  <c r="G59" i="91"/>
  <c r="G68" i="91"/>
  <c r="G60" i="91"/>
  <c r="G57" i="91"/>
  <c r="G66" i="91"/>
  <c r="G55" i="91"/>
  <c r="G58" i="91"/>
  <c r="G54" i="91"/>
  <c r="G52" i="91"/>
  <c r="G70" i="91"/>
  <c r="G50" i="91"/>
  <c r="F95" i="91"/>
  <c r="F89" i="91"/>
  <c r="F90" i="91"/>
  <c r="F92" i="91"/>
  <c r="F94" i="91"/>
  <c r="F96" i="91"/>
  <c r="F88" i="91"/>
  <c r="F98" i="91"/>
  <c r="F91" i="91"/>
  <c r="F97" i="91"/>
  <c r="F93" i="91"/>
  <c r="F60" i="91"/>
  <c r="F52" i="91"/>
  <c r="F46" i="91"/>
  <c r="F48" i="91"/>
  <c r="F42" i="91"/>
  <c r="F44" i="91"/>
  <c r="F47" i="91"/>
  <c r="F57" i="91"/>
  <c r="F58" i="91"/>
  <c r="F56" i="91"/>
  <c r="F53" i="91"/>
  <c r="F50" i="91"/>
  <c r="F49" i="91"/>
  <c r="F61" i="91"/>
  <c r="F43" i="91"/>
  <c r="F59" i="91"/>
  <c r="F55" i="91"/>
  <c r="F51" i="91"/>
  <c r="F45" i="91"/>
  <c r="F54" i="91"/>
  <c r="G101" i="91"/>
  <c r="G104" i="91"/>
  <c r="G103" i="91"/>
  <c r="G99" i="91"/>
  <c r="G106" i="91"/>
  <c r="G100" i="91"/>
  <c r="G98" i="91"/>
  <c r="G105" i="91"/>
  <c r="G102" i="91"/>
  <c r="L21" i="91"/>
  <c r="F83" i="91"/>
  <c r="F84" i="91"/>
  <c r="F81" i="91"/>
  <c r="F78" i="91"/>
  <c r="F86" i="91"/>
  <c r="F80" i="91"/>
  <c r="F79" i="91"/>
  <c r="F82" i="91"/>
  <c r="F85" i="91"/>
  <c r="F87" i="91"/>
  <c r="G94" i="91"/>
  <c r="G92" i="91"/>
  <c r="G88" i="91"/>
  <c r="G91" i="91"/>
  <c r="G97" i="91"/>
  <c r="G96" i="91"/>
  <c r="G90" i="91"/>
  <c r="G87" i="91"/>
  <c r="G95" i="91"/>
  <c r="G93" i="91"/>
  <c r="G89" i="91"/>
  <c r="L33" i="91"/>
  <c r="L17" i="91"/>
  <c r="K393" i="91"/>
  <c r="K404" i="91"/>
  <c r="K394" i="91"/>
  <c r="K406" i="91"/>
  <c r="K411" i="91"/>
  <c r="K391" i="91"/>
  <c r="K400" i="91"/>
  <c r="K397" i="91"/>
  <c r="K407" i="91"/>
  <c r="K413" i="91"/>
  <c r="K401" i="91"/>
  <c r="K408" i="91"/>
  <c r="K398" i="91"/>
  <c r="K399" i="91"/>
  <c r="K410" i="91"/>
  <c r="K389" i="91"/>
  <c r="K395" i="91"/>
  <c r="K414" i="91"/>
  <c r="K392" i="91"/>
  <c r="K409" i="91"/>
  <c r="K390" i="91"/>
  <c r="K412" i="91"/>
  <c r="K388" i="91"/>
  <c r="K402" i="91"/>
  <c r="K405" i="91"/>
  <c r="K396" i="91"/>
  <c r="K403" i="91"/>
  <c r="G46" i="91"/>
  <c r="G22" i="91"/>
  <c r="G39" i="91"/>
  <c r="G28" i="91"/>
  <c r="G5" i="91"/>
  <c r="G11" i="91"/>
  <c r="G8" i="91"/>
  <c r="G14" i="91"/>
  <c r="G25" i="91"/>
  <c r="G33" i="91"/>
  <c r="G40" i="91"/>
  <c r="G18" i="91"/>
  <c r="G9" i="91"/>
  <c r="G6" i="91"/>
  <c r="G37" i="91"/>
  <c r="G19" i="91"/>
  <c r="G31" i="91"/>
  <c r="G38" i="91"/>
  <c r="G34" i="91"/>
  <c r="G42" i="91"/>
  <c r="G36" i="91"/>
  <c r="G29" i="91"/>
  <c r="G12" i="91"/>
  <c r="G49" i="91"/>
  <c r="G16" i="91"/>
  <c r="G41" i="91"/>
  <c r="G30" i="91"/>
  <c r="G23" i="91"/>
  <c r="G32" i="91"/>
  <c r="G27" i="91"/>
  <c r="G35" i="91"/>
  <c r="G43" i="91"/>
  <c r="G15" i="91"/>
  <c r="G20" i="91"/>
  <c r="G10" i="91"/>
  <c r="G45" i="91"/>
  <c r="G24" i="91"/>
  <c r="G48" i="91"/>
  <c r="G13" i="91"/>
  <c r="G4" i="91"/>
  <c r="G47" i="91"/>
  <c r="G44" i="91"/>
  <c r="G21" i="91"/>
  <c r="G7" i="91"/>
  <c r="G26" i="91"/>
  <c r="G17" i="91"/>
  <c r="F38" i="91"/>
  <c r="F12" i="91"/>
  <c r="F11" i="91"/>
  <c r="F26" i="91"/>
  <c r="F41" i="91"/>
  <c r="F40" i="91"/>
  <c r="F30" i="91"/>
  <c r="F19" i="91"/>
  <c r="F37" i="91"/>
  <c r="F10" i="91"/>
  <c r="F23" i="91"/>
  <c r="F28" i="91"/>
  <c r="F35" i="91"/>
  <c r="F25" i="91"/>
  <c r="F17" i="91"/>
  <c r="F16" i="91"/>
  <c r="F20" i="91"/>
  <c r="F27" i="91"/>
  <c r="F31" i="91"/>
  <c r="F7" i="91"/>
  <c r="F36" i="91"/>
  <c r="F6" i="91"/>
  <c r="F32" i="91"/>
  <c r="F4" i="91"/>
  <c r="F39" i="91"/>
  <c r="F24" i="91"/>
  <c r="F13" i="91"/>
  <c r="F14" i="91"/>
  <c r="F8" i="91"/>
  <c r="F29" i="91"/>
  <c r="F9" i="91"/>
  <c r="F5" i="91"/>
  <c r="F15" i="91"/>
  <c r="F34" i="91"/>
  <c r="F18" i="91"/>
  <c r="F33" i="91"/>
  <c r="F22" i="91"/>
  <c r="F21" i="91"/>
  <c r="L41" i="91"/>
  <c r="C90" i="91"/>
  <c r="E94" i="91"/>
  <c r="D92" i="91"/>
  <c r="J434" i="91" l="1"/>
  <c r="J426" i="91"/>
  <c r="J422" i="91"/>
  <c r="J437" i="91"/>
  <c r="J442" i="91"/>
  <c r="J419" i="91"/>
  <c r="J431" i="91"/>
  <c r="J424" i="91"/>
  <c r="J435" i="91"/>
  <c r="J427" i="91"/>
  <c r="J440" i="91"/>
  <c r="J430" i="91"/>
  <c r="J433" i="91"/>
  <c r="J445" i="91"/>
  <c r="J439" i="91"/>
  <c r="J443" i="91"/>
  <c r="J441" i="91"/>
  <c r="J421" i="91"/>
  <c r="J425" i="91"/>
  <c r="J428" i="91"/>
  <c r="J420" i="91"/>
  <c r="J429" i="91"/>
  <c r="J418" i="91"/>
  <c r="J438" i="91"/>
  <c r="J446" i="91"/>
  <c r="J423" i="91"/>
  <c r="J436" i="91"/>
  <c r="J432" i="91"/>
  <c r="J447" i="91"/>
  <c r="J444" i="91"/>
  <c r="N351" i="91"/>
  <c r="N339" i="91"/>
  <c r="N357" i="91"/>
  <c r="N361" i="91"/>
  <c r="N359" i="91"/>
  <c r="N348" i="91"/>
  <c r="N349" i="91"/>
  <c r="N363" i="91"/>
  <c r="N356" i="91"/>
  <c r="N360" i="91"/>
  <c r="N340" i="91"/>
  <c r="N347" i="91"/>
  <c r="N353" i="91"/>
  <c r="N362" i="91"/>
  <c r="N343" i="91"/>
  <c r="N354" i="91"/>
  <c r="N342" i="91"/>
  <c r="N344" i="91"/>
  <c r="N352" i="91"/>
  <c r="N355" i="91"/>
  <c r="N350" i="91"/>
  <c r="N346" i="91"/>
  <c r="N358" i="91"/>
  <c r="N345" i="91"/>
  <c r="N341" i="91"/>
  <c r="M382" i="91"/>
  <c r="M376" i="91"/>
  <c r="M366" i="91"/>
  <c r="M368" i="91"/>
  <c r="M373" i="91"/>
  <c r="M370" i="91"/>
  <c r="M362" i="91"/>
  <c r="M377" i="91"/>
  <c r="M364" i="91"/>
  <c r="M361" i="91"/>
  <c r="M371" i="91"/>
  <c r="M375" i="91"/>
  <c r="M367" i="91"/>
  <c r="M359" i="91"/>
  <c r="M363" i="91"/>
  <c r="M372" i="91"/>
  <c r="M365" i="91"/>
  <c r="M383" i="91"/>
  <c r="M360" i="91"/>
  <c r="M381" i="91"/>
  <c r="M378" i="91"/>
  <c r="M374" i="91"/>
  <c r="M369" i="91"/>
  <c r="M379" i="91"/>
  <c r="M380" i="91"/>
  <c r="N44" i="91"/>
  <c r="M6" i="91"/>
  <c r="M16" i="91"/>
  <c r="K439" i="91"/>
  <c r="K423" i="91"/>
  <c r="K419" i="91"/>
  <c r="K434" i="91"/>
  <c r="K433" i="91"/>
  <c r="K416" i="91"/>
  <c r="K435" i="91"/>
  <c r="K436" i="91"/>
  <c r="K426" i="91"/>
  <c r="K415" i="91"/>
  <c r="K424" i="91"/>
  <c r="K441" i="91"/>
  <c r="K438" i="91"/>
  <c r="K425" i="91"/>
  <c r="K437" i="91"/>
  <c r="K429" i="91"/>
  <c r="K431" i="91"/>
  <c r="K421" i="91"/>
  <c r="K422" i="91"/>
  <c r="K428" i="91"/>
  <c r="K432" i="91"/>
  <c r="K417" i="91"/>
  <c r="K418" i="91"/>
  <c r="K440" i="91"/>
  <c r="K427" i="91"/>
  <c r="K420" i="91"/>
  <c r="K430" i="91"/>
  <c r="M28" i="91"/>
  <c r="M10" i="91"/>
  <c r="M77" i="91"/>
  <c r="L405" i="91"/>
  <c r="L386" i="91"/>
  <c r="L389" i="91"/>
  <c r="L392" i="91"/>
  <c r="L395" i="91"/>
  <c r="L399" i="91"/>
  <c r="L383" i="91"/>
  <c r="L400" i="91"/>
  <c r="L406" i="91"/>
  <c r="L391" i="91"/>
  <c r="L388" i="91"/>
  <c r="L408" i="91"/>
  <c r="L404" i="91"/>
  <c r="L402" i="91"/>
  <c r="L396" i="91"/>
  <c r="L387" i="91"/>
  <c r="L382" i="91"/>
  <c r="L393" i="91"/>
  <c r="L401" i="91"/>
  <c r="L397" i="91"/>
  <c r="L390" i="91"/>
  <c r="L384" i="91"/>
  <c r="L407" i="91"/>
  <c r="L398" i="91"/>
  <c r="L394" i="91"/>
  <c r="L403" i="91"/>
  <c r="L385" i="91"/>
  <c r="M24" i="91"/>
  <c r="N72" i="91"/>
  <c r="C91" i="91"/>
  <c r="G107" i="91"/>
  <c r="F99" i="91"/>
  <c r="D93" i="91"/>
  <c r="E95" i="91"/>
  <c r="J453" i="91" l="1"/>
  <c r="J452" i="91"/>
  <c r="J462" i="91"/>
  <c r="J475" i="91"/>
  <c r="J459" i="91"/>
  <c r="J470" i="91"/>
  <c r="J454" i="91"/>
  <c r="J455" i="91"/>
  <c r="J461" i="91"/>
  <c r="J479" i="91"/>
  <c r="J451" i="91"/>
  <c r="J457" i="91"/>
  <c r="J449" i="91"/>
  <c r="J448" i="91"/>
  <c r="J478" i="91"/>
  <c r="J463" i="91"/>
  <c r="J464" i="91"/>
  <c r="J474" i="91"/>
  <c r="J477" i="91"/>
  <c r="J450" i="91"/>
  <c r="J473" i="91"/>
  <c r="J465" i="91"/>
  <c r="J460" i="91"/>
  <c r="J466" i="91"/>
  <c r="J456" i="91"/>
  <c r="J471" i="91"/>
  <c r="J467" i="91"/>
  <c r="J476" i="91"/>
  <c r="J469" i="91"/>
  <c r="J468" i="91"/>
  <c r="J458" i="91"/>
  <c r="J472" i="91"/>
  <c r="K459" i="91"/>
  <c r="K444" i="91"/>
  <c r="K468" i="91"/>
  <c r="K471" i="91"/>
  <c r="K472" i="91"/>
  <c r="K449" i="91"/>
  <c r="K464" i="91"/>
  <c r="K456" i="91"/>
  <c r="K469" i="91"/>
  <c r="K457" i="91"/>
  <c r="K451" i="91"/>
  <c r="K450" i="91"/>
  <c r="K445" i="91"/>
  <c r="K453" i="91"/>
  <c r="K466" i="91"/>
  <c r="K465" i="91"/>
  <c r="K448" i="91"/>
  <c r="K470" i="91"/>
  <c r="K455" i="91"/>
  <c r="K446" i="91"/>
  <c r="K454" i="91"/>
  <c r="K461" i="91"/>
  <c r="K467" i="91"/>
  <c r="K443" i="91"/>
  <c r="K442" i="91"/>
  <c r="K452" i="91"/>
  <c r="K463" i="91"/>
  <c r="K460" i="91"/>
  <c r="K447" i="91"/>
  <c r="K458" i="91"/>
  <c r="K462" i="91"/>
  <c r="M394" i="91"/>
  <c r="M395" i="91"/>
  <c r="M387" i="91"/>
  <c r="M411" i="91"/>
  <c r="M402" i="91"/>
  <c r="M406" i="91"/>
  <c r="M390" i="91"/>
  <c r="M408" i="91"/>
  <c r="M412" i="91"/>
  <c r="M403" i="91"/>
  <c r="M407" i="91"/>
  <c r="M391" i="91"/>
  <c r="M398" i="91"/>
  <c r="M399" i="91"/>
  <c r="M393" i="91"/>
  <c r="M396" i="91"/>
  <c r="M404" i="91"/>
  <c r="M410" i="91"/>
  <c r="M405" i="91"/>
  <c r="M400" i="91"/>
  <c r="M392" i="91"/>
  <c r="M397" i="91"/>
  <c r="M401" i="91"/>
  <c r="M388" i="91"/>
  <c r="M409" i="91"/>
  <c r="M386" i="91"/>
  <c r="M385" i="91"/>
  <c r="M389" i="91"/>
  <c r="M384" i="91"/>
  <c r="N367" i="91"/>
  <c r="N373" i="91"/>
  <c r="N387" i="91"/>
  <c r="N383" i="91"/>
  <c r="N374" i="91"/>
  <c r="N382" i="91"/>
  <c r="N375" i="91"/>
  <c r="N377" i="91"/>
  <c r="N388" i="91"/>
  <c r="N378" i="91"/>
  <c r="N371" i="91"/>
  <c r="N372" i="91"/>
  <c r="N386" i="91"/>
  <c r="N369" i="91"/>
  <c r="N384" i="91"/>
  <c r="N364" i="91"/>
  <c r="N368" i="91"/>
  <c r="N376" i="91"/>
  <c r="N365" i="91"/>
  <c r="N366" i="91"/>
  <c r="N379" i="91"/>
  <c r="N380" i="91"/>
  <c r="N389" i="91"/>
  <c r="N381" i="91"/>
  <c r="N385" i="91"/>
  <c r="N370" i="91"/>
  <c r="L415" i="91"/>
  <c r="L430" i="91"/>
  <c r="L413" i="91"/>
  <c r="L416" i="91"/>
  <c r="L423" i="91"/>
  <c r="L429" i="91"/>
  <c r="L432" i="91"/>
  <c r="L414" i="91"/>
  <c r="L428" i="91"/>
  <c r="L411" i="91"/>
  <c r="L421" i="91"/>
  <c r="L422" i="91"/>
  <c r="L427" i="91"/>
  <c r="L434" i="91"/>
  <c r="L419" i="91"/>
  <c r="L426" i="91"/>
  <c r="L424" i="91"/>
  <c r="L433" i="91"/>
  <c r="L418" i="91"/>
  <c r="L410" i="91"/>
  <c r="L431" i="91"/>
  <c r="L409" i="91"/>
  <c r="L425" i="91"/>
  <c r="L420" i="91"/>
  <c r="L436" i="91"/>
  <c r="L412" i="91"/>
  <c r="L417" i="91"/>
  <c r="L435" i="91"/>
  <c r="C92" i="91"/>
  <c r="D94" i="91"/>
  <c r="F100" i="91"/>
  <c r="G108" i="91"/>
  <c r="E96" i="91"/>
  <c r="L453" i="91" l="1"/>
  <c r="L449" i="91"/>
  <c r="L438" i="91"/>
  <c r="L442" i="91"/>
  <c r="L454" i="91"/>
  <c r="L450" i="91"/>
  <c r="L459" i="91"/>
  <c r="L447" i="91"/>
  <c r="L441" i="91"/>
  <c r="L440" i="91"/>
  <c r="L443" i="91"/>
  <c r="L439" i="91"/>
  <c r="L445" i="91"/>
  <c r="L451" i="91"/>
  <c r="L463" i="91"/>
  <c r="L462" i="91"/>
  <c r="L455" i="91"/>
  <c r="L467" i="91"/>
  <c r="L458" i="91"/>
  <c r="L446" i="91"/>
  <c r="L456" i="91"/>
  <c r="L460" i="91"/>
  <c r="L444" i="91"/>
  <c r="L464" i="91"/>
  <c r="L457" i="91"/>
  <c r="L437" i="91"/>
  <c r="L448" i="91"/>
  <c r="L452" i="91"/>
  <c r="L466" i="91"/>
  <c r="L461" i="91"/>
  <c r="L465" i="91"/>
  <c r="K500" i="91"/>
  <c r="K479" i="91"/>
  <c r="K473" i="91"/>
  <c r="K497" i="91"/>
  <c r="K488" i="91"/>
  <c r="K486" i="91"/>
  <c r="K502" i="91"/>
  <c r="K475" i="91"/>
  <c r="K485" i="91"/>
  <c r="K487" i="91"/>
  <c r="K480" i="91"/>
  <c r="K498" i="91"/>
  <c r="K490" i="91"/>
  <c r="K493" i="91"/>
  <c r="K495" i="91"/>
  <c r="K476" i="91"/>
  <c r="K478" i="91"/>
  <c r="K482" i="91"/>
  <c r="K501" i="91"/>
  <c r="K491" i="91"/>
  <c r="K474" i="91"/>
  <c r="K494" i="91"/>
  <c r="K503" i="91"/>
  <c r="K489" i="91"/>
  <c r="K496" i="91"/>
  <c r="K484" i="91"/>
  <c r="K499" i="91"/>
  <c r="K477" i="91"/>
  <c r="K483" i="91"/>
  <c r="K481" i="91"/>
  <c r="K492" i="91"/>
  <c r="J494" i="91"/>
  <c r="J502" i="91"/>
  <c r="J491" i="91"/>
  <c r="J503" i="91"/>
  <c r="J499" i="91"/>
  <c r="J480" i="91"/>
  <c r="J497" i="91"/>
  <c r="J486" i="91"/>
  <c r="J481" i="91"/>
  <c r="J493" i="91"/>
  <c r="J490" i="91"/>
  <c r="J500" i="91"/>
  <c r="J496" i="91"/>
  <c r="J489" i="91"/>
  <c r="J495" i="91"/>
  <c r="J487" i="91"/>
  <c r="J484" i="91"/>
  <c r="J498" i="91"/>
  <c r="J488" i="91"/>
  <c r="J483" i="91"/>
  <c r="J501" i="91"/>
  <c r="J485" i="91"/>
  <c r="J482" i="91"/>
  <c r="J492" i="91"/>
  <c r="N399" i="91"/>
  <c r="N398" i="91"/>
  <c r="N403" i="91"/>
  <c r="N415" i="91"/>
  <c r="N393" i="91"/>
  <c r="N392" i="91"/>
  <c r="N413" i="91"/>
  <c r="N390" i="91"/>
  <c r="N402" i="91"/>
  <c r="N408" i="91"/>
  <c r="N391" i="91"/>
  <c r="N394" i="91"/>
  <c r="N406" i="91"/>
  <c r="N414" i="91"/>
  <c r="N404" i="91"/>
  <c r="N407" i="91"/>
  <c r="N411" i="91"/>
  <c r="N409" i="91"/>
  <c r="N395" i="91"/>
  <c r="N412" i="91"/>
  <c r="N396" i="91"/>
  <c r="N401" i="91"/>
  <c r="N397" i="91"/>
  <c r="N405" i="91"/>
  <c r="N410" i="91"/>
  <c r="N400" i="91"/>
  <c r="M439" i="91"/>
  <c r="M429" i="91"/>
  <c r="M416" i="91"/>
  <c r="M426" i="91"/>
  <c r="M424" i="91"/>
  <c r="M435" i="91"/>
  <c r="M436" i="91"/>
  <c r="M441" i="91"/>
  <c r="M421" i="91"/>
  <c r="M423" i="91"/>
  <c r="M432" i="91"/>
  <c r="M442" i="91"/>
  <c r="M427" i="91"/>
  <c r="M431" i="91"/>
  <c r="M425" i="91"/>
  <c r="M434" i="91"/>
  <c r="M417" i="91"/>
  <c r="M443" i="91"/>
  <c r="M437" i="91"/>
  <c r="M413" i="91"/>
  <c r="M419" i="91"/>
  <c r="M420" i="91"/>
  <c r="M433" i="91"/>
  <c r="M430" i="91"/>
  <c r="M422" i="91"/>
  <c r="M415" i="91"/>
  <c r="M418" i="91"/>
  <c r="M414" i="91"/>
  <c r="M440" i="91"/>
  <c r="M428" i="91"/>
  <c r="M438" i="91"/>
  <c r="M444" i="91"/>
  <c r="E97" i="91"/>
  <c r="D95" i="91"/>
  <c r="C93" i="91"/>
  <c r="G109" i="91"/>
  <c r="F101" i="91"/>
  <c r="L479" i="91" l="1"/>
  <c r="L495" i="91"/>
  <c r="L496" i="91"/>
  <c r="L469" i="91"/>
  <c r="L475" i="91"/>
  <c r="L498" i="91"/>
  <c r="L472" i="91"/>
  <c r="L478" i="91"/>
  <c r="L489" i="91"/>
  <c r="L468" i="91"/>
  <c r="L486" i="91"/>
  <c r="L483" i="91"/>
  <c r="L491" i="91"/>
  <c r="L494" i="91"/>
  <c r="L473" i="91"/>
  <c r="L484" i="91"/>
  <c r="L474" i="91"/>
  <c r="L497" i="91"/>
  <c r="L488" i="91"/>
  <c r="L481" i="91"/>
  <c r="L470" i="91"/>
  <c r="L477" i="91"/>
  <c r="L476" i="91"/>
  <c r="L490" i="91"/>
  <c r="L492" i="91"/>
  <c r="L471" i="91"/>
  <c r="L493" i="91"/>
  <c r="L480" i="91"/>
  <c r="L482" i="91"/>
  <c r="L485" i="91"/>
  <c r="L487" i="91"/>
  <c r="M476" i="91"/>
  <c r="M450" i="91"/>
  <c r="M478" i="91"/>
  <c r="M472" i="91"/>
  <c r="M453" i="91"/>
  <c r="M463" i="91"/>
  <c r="M467" i="91"/>
  <c r="M474" i="91"/>
  <c r="M466" i="91"/>
  <c r="M447" i="91"/>
  <c r="M477" i="91"/>
  <c r="M446" i="91"/>
  <c r="M445" i="91"/>
  <c r="M475" i="91"/>
  <c r="M456" i="91"/>
  <c r="M451" i="91"/>
  <c r="M465" i="91"/>
  <c r="M448" i="91"/>
  <c r="M459" i="91"/>
  <c r="M471" i="91"/>
  <c r="M462" i="91"/>
  <c r="M457" i="91"/>
  <c r="M468" i="91"/>
  <c r="M473" i="91"/>
  <c r="M461" i="91"/>
  <c r="M454" i="91"/>
  <c r="M449" i="91"/>
  <c r="M460" i="91"/>
  <c r="M464" i="91"/>
  <c r="M452" i="91"/>
  <c r="M458" i="91"/>
  <c r="M470" i="91"/>
  <c r="M469" i="91"/>
  <c r="M455" i="91"/>
  <c r="N427" i="91"/>
  <c r="N418" i="91"/>
  <c r="N442" i="91"/>
  <c r="N419" i="91"/>
  <c r="N433" i="91"/>
  <c r="N431" i="91"/>
  <c r="N434" i="91"/>
  <c r="N436" i="91"/>
  <c r="N430" i="91"/>
  <c r="N421" i="91"/>
  <c r="N420" i="91"/>
  <c r="N441" i="91"/>
  <c r="N429" i="91"/>
  <c r="N439" i="91"/>
  <c r="N438" i="91"/>
  <c r="N428" i="91"/>
  <c r="N440" i="91"/>
  <c r="N425" i="91"/>
  <c r="N426" i="91"/>
  <c r="N423" i="91"/>
  <c r="N416" i="91"/>
  <c r="N422" i="91"/>
  <c r="N417" i="91"/>
  <c r="N432" i="91"/>
  <c r="N435" i="91"/>
  <c r="N424" i="91"/>
  <c r="N443" i="91"/>
  <c r="N437" i="91"/>
  <c r="C94" i="91"/>
  <c r="E98" i="91"/>
  <c r="F102" i="91"/>
  <c r="G110" i="91"/>
  <c r="D96" i="91"/>
  <c r="L501" i="91" l="1"/>
  <c r="L500" i="91"/>
  <c r="L503" i="91"/>
  <c r="L502" i="91"/>
  <c r="L499" i="91"/>
  <c r="N459" i="91"/>
  <c r="N464" i="91"/>
  <c r="N472" i="91"/>
  <c r="N453" i="91"/>
  <c r="N454" i="91"/>
  <c r="N466" i="91"/>
  <c r="N449" i="91"/>
  <c r="N461" i="91"/>
  <c r="N474" i="91"/>
  <c r="N451" i="91"/>
  <c r="N463" i="91"/>
  <c r="N445" i="91"/>
  <c r="N455" i="91"/>
  <c r="N458" i="91"/>
  <c r="N452" i="91"/>
  <c r="N444" i="91"/>
  <c r="N465" i="91"/>
  <c r="N468" i="91"/>
  <c r="N460" i="91"/>
  <c r="N470" i="91"/>
  <c r="N471" i="91"/>
  <c r="N469" i="91"/>
  <c r="N462" i="91"/>
  <c r="N467" i="91"/>
  <c r="N450" i="91"/>
  <c r="N457" i="91"/>
  <c r="N448" i="91"/>
  <c r="N456" i="91"/>
  <c r="N446" i="91"/>
  <c r="N473" i="91"/>
  <c r="N447" i="91"/>
  <c r="M480" i="91"/>
  <c r="M499" i="91"/>
  <c r="M491" i="91"/>
  <c r="M496" i="91"/>
  <c r="M486" i="91"/>
  <c r="M482" i="91"/>
  <c r="M503" i="91"/>
  <c r="M484" i="91"/>
  <c r="M485" i="91"/>
  <c r="M479" i="91"/>
  <c r="M500" i="91"/>
  <c r="M483" i="91"/>
  <c r="M492" i="91"/>
  <c r="M490" i="91"/>
  <c r="M494" i="91"/>
  <c r="M481" i="91"/>
  <c r="M501" i="91"/>
  <c r="M495" i="91"/>
  <c r="M488" i="91"/>
  <c r="M502" i="91"/>
  <c r="M489" i="91"/>
  <c r="M497" i="91"/>
  <c r="M498" i="91"/>
  <c r="M493" i="91"/>
  <c r="M487" i="91"/>
  <c r="D97" i="91"/>
  <c r="E99" i="91"/>
  <c r="G111" i="91"/>
  <c r="F103" i="91"/>
  <c r="C95" i="91"/>
  <c r="N485" i="91" l="1"/>
  <c r="N480" i="91"/>
  <c r="N491" i="91"/>
  <c r="N482" i="91"/>
  <c r="N484" i="91"/>
  <c r="N494" i="91"/>
  <c r="N481" i="91"/>
  <c r="N499" i="91"/>
  <c r="N500" i="91"/>
  <c r="N495" i="91"/>
  <c r="N488" i="91"/>
  <c r="N478" i="91"/>
  <c r="N476" i="91"/>
  <c r="N503" i="91"/>
  <c r="N497" i="91"/>
  <c r="N486" i="91"/>
  <c r="N496" i="91"/>
  <c r="N493" i="91"/>
  <c r="N489" i="91"/>
  <c r="N490" i="91"/>
  <c r="N475" i="91"/>
  <c r="N492" i="91"/>
  <c r="N477" i="91"/>
  <c r="N498" i="91"/>
  <c r="N502" i="91"/>
  <c r="N479" i="91"/>
  <c r="N483" i="91"/>
  <c r="N487" i="91"/>
  <c r="N501" i="91"/>
  <c r="C96" i="91"/>
  <c r="F104" i="91"/>
  <c r="G112" i="91"/>
  <c r="E100" i="91"/>
  <c r="D98" i="91"/>
  <c r="D99" i="91" l="1"/>
  <c r="E101" i="91"/>
  <c r="G113" i="91"/>
  <c r="F105" i="91"/>
  <c r="C97" i="91"/>
  <c r="E102" i="91" l="1"/>
  <c r="G114" i="91"/>
  <c r="C98" i="91"/>
  <c r="F106" i="91"/>
  <c r="D100" i="91"/>
  <c r="G115" i="91" l="1"/>
  <c r="E103" i="91"/>
  <c r="D101" i="91"/>
  <c r="F107" i="91"/>
  <c r="C99" i="91"/>
  <c r="D102" i="91" l="1"/>
  <c r="G116" i="91"/>
  <c r="F108" i="91"/>
  <c r="C100" i="91"/>
  <c r="E104" i="91"/>
  <c r="F109" i="91" l="1"/>
  <c r="G117" i="91"/>
  <c r="D103" i="91"/>
  <c r="E105" i="91"/>
  <c r="C101" i="91"/>
  <c r="C102" i="91" l="1"/>
  <c r="D104" i="91"/>
  <c r="F110" i="91"/>
  <c r="G118" i="91"/>
  <c r="E106" i="91"/>
  <c r="D105" i="91" l="1"/>
  <c r="E107" i="91"/>
  <c r="G119" i="91"/>
  <c r="F111" i="91"/>
  <c r="C103" i="91"/>
  <c r="D106" i="91" l="1"/>
  <c r="G120" i="91"/>
  <c r="C104" i="91"/>
  <c r="E108" i="91"/>
  <c r="F112" i="91"/>
  <c r="G121" i="91" l="1"/>
  <c r="C105" i="91"/>
  <c r="D107" i="91"/>
  <c r="F113" i="91"/>
  <c r="E109" i="91"/>
  <c r="C106" i="91" l="1"/>
  <c r="E110" i="91"/>
  <c r="D108" i="91"/>
  <c r="G122" i="91"/>
  <c r="F114" i="91"/>
  <c r="D109" i="91" l="1"/>
  <c r="E111" i="91"/>
  <c r="C107" i="91"/>
  <c r="G123" i="91"/>
  <c r="F115" i="91"/>
  <c r="G124" i="91" l="1"/>
  <c r="E112" i="91"/>
  <c r="D110" i="91"/>
  <c r="F116" i="91"/>
  <c r="C108" i="91"/>
  <c r="C109" i="91" l="1"/>
  <c r="E113" i="91"/>
  <c r="G125" i="91"/>
  <c r="F117" i="91"/>
  <c r="D111" i="91"/>
  <c r="E114" i="91" l="1"/>
  <c r="G126" i="91"/>
  <c r="C110" i="91"/>
  <c r="D112" i="91"/>
  <c r="F118" i="91"/>
  <c r="E115" i="91" l="1"/>
  <c r="C111" i="91"/>
  <c r="G127" i="91"/>
  <c r="F119" i="91"/>
  <c r="D113" i="91"/>
  <c r="G128" i="91" l="1"/>
  <c r="C112" i="91"/>
  <c r="E116" i="91"/>
  <c r="D114" i="91"/>
  <c r="F120" i="91"/>
  <c r="C113" i="91" l="1"/>
  <c r="G129" i="91"/>
  <c r="D115" i="91"/>
  <c r="E117" i="91"/>
  <c r="F121" i="91"/>
  <c r="E118" i="91" l="1"/>
  <c r="D116" i="91"/>
  <c r="F122" i="91"/>
  <c r="G130" i="91"/>
  <c r="C114" i="91"/>
  <c r="E119" i="91" l="1"/>
  <c r="D117" i="91"/>
  <c r="C115" i="91"/>
  <c r="G131" i="91"/>
  <c r="F123" i="91"/>
  <c r="F124" i="91" l="1"/>
  <c r="E120" i="91"/>
  <c r="G132" i="91"/>
  <c r="C116" i="91"/>
  <c r="D118" i="91"/>
  <c r="F125" i="91" l="1"/>
  <c r="D119" i="91"/>
  <c r="G133" i="91"/>
  <c r="C117" i="91"/>
  <c r="E121" i="91"/>
  <c r="G134" i="91" l="1"/>
  <c r="F126" i="91"/>
  <c r="C118" i="91"/>
  <c r="E122" i="91"/>
  <c r="D120" i="91"/>
  <c r="E123" i="91" l="1"/>
  <c r="D121" i="91"/>
  <c r="G135" i="91"/>
  <c r="C119" i="91"/>
  <c r="F127" i="91"/>
  <c r="D122" i="91" l="1"/>
  <c r="E124" i="91"/>
  <c r="G136" i="91"/>
  <c r="C120" i="91"/>
  <c r="F128" i="91"/>
  <c r="C121" i="91" l="1"/>
  <c r="G137" i="91"/>
  <c r="F129" i="91"/>
  <c r="E125" i="91"/>
  <c r="D123" i="91"/>
  <c r="G138" i="91" l="1"/>
  <c r="F130" i="91"/>
  <c r="D124" i="91"/>
  <c r="C122" i="91"/>
  <c r="E126" i="91"/>
  <c r="F131" i="91" l="1"/>
  <c r="C123" i="91"/>
  <c r="G139" i="91"/>
  <c r="E127" i="91"/>
  <c r="D125" i="91"/>
  <c r="G140" i="91" l="1"/>
  <c r="C124" i="91"/>
  <c r="E128" i="91"/>
  <c r="F132" i="91"/>
  <c r="D126" i="91"/>
  <c r="F133" i="91" l="1"/>
  <c r="C125" i="91"/>
  <c r="D127" i="91"/>
  <c r="G141" i="91"/>
  <c r="E129" i="91"/>
  <c r="C126" i="91" l="1"/>
  <c r="E130" i="91"/>
  <c r="F134" i="91"/>
  <c r="G142" i="91"/>
  <c r="D128" i="91"/>
  <c r="G143" i="91" l="1"/>
  <c r="D129" i="91"/>
  <c r="E131" i="91"/>
  <c r="F135" i="91"/>
  <c r="C127" i="91"/>
  <c r="G144" i="91" l="1"/>
  <c r="E132" i="91"/>
  <c r="F136" i="91"/>
  <c r="D130" i="91"/>
  <c r="C128" i="91"/>
  <c r="G145" i="91" l="1"/>
  <c r="D131" i="91"/>
  <c r="E133" i="91"/>
  <c r="F137" i="91"/>
  <c r="C129" i="91"/>
  <c r="F138" i="91" l="1"/>
  <c r="E134" i="91"/>
  <c r="C130" i="91"/>
  <c r="D132" i="91"/>
  <c r="G146" i="91"/>
  <c r="C131" i="91" l="1"/>
  <c r="F139" i="91"/>
  <c r="G147" i="91"/>
  <c r="D133" i="91"/>
  <c r="E135" i="91"/>
  <c r="E136" i="91" l="1"/>
  <c r="G148" i="91"/>
  <c r="F140" i="91"/>
  <c r="C132" i="91"/>
  <c r="D134" i="91"/>
  <c r="G149" i="91" l="1"/>
  <c r="E137" i="91"/>
  <c r="F141" i="91"/>
  <c r="D135" i="91"/>
  <c r="C133" i="91"/>
  <c r="D136" i="91" l="1"/>
  <c r="F142" i="91"/>
  <c r="C134" i="91"/>
  <c r="E138" i="91"/>
  <c r="G150" i="91"/>
  <c r="G151" i="91" l="1"/>
  <c r="D137" i="91"/>
  <c r="C135" i="91"/>
  <c r="E139" i="91"/>
  <c r="F143" i="91"/>
  <c r="F144" i="91" l="1"/>
  <c r="C136" i="91"/>
  <c r="D138" i="91"/>
  <c r="E140" i="91"/>
  <c r="G152" i="91"/>
  <c r="E141" i="91" l="1"/>
  <c r="F145" i="91"/>
  <c r="G153" i="91"/>
  <c r="C137" i="91"/>
  <c r="D139" i="91"/>
  <c r="D140" i="91" l="1"/>
  <c r="G154" i="91"/>
  <c r="C138" i="91"/>
  <c r="F146" i="91"/>
  <c r="E142" i="91"/>
  <c r="D141" i="91" l="1"/>
  <c r="G155" i="91"/>
  <c r="E143" i="91"/>
  <c r="F147" i="91"/>
  <c r="C139" i="91"/>
  <c r="G156" i="91" l="1"/>
  <c r="E144" i="91"/>
  <c r="F148" i="91"/>
  <c r="D142" i="91"/>
  <c r="C140" i="91"/>
  <c r="F149" i="91" l="1"/>
  <c r="D143" i="91"/>
  <c r="G157" i="91"/>
  <c r="C141" i="91"/>
  <c r="E145" i="91"/>
  <c r="D144" i="91" l="1"/>
  <c r="E146" i="91"/>
  <c r="C142" i="91"/>
  <c r="G158" i="91"/>
  <c r="F150" i="91"/>
  <c r="F151" i="91" l="1"/>
  <c r="G159" i="91"/>
  <c r="D145" i="91"/>
  <c r="C143" i="91"/>
  <c r="E147" i="91"/>
  <c r="C144" i="91" l="1"/>
  <c r="D146" i="91"/>
  <c r="F152" i="91"/>
  <c r="G160" i="91"/>
  <c r="E148" i="91"/>
  <c r="G161" i="91" l="1"/>
  <c r="D147" i="91"/>
  <c r="C145" i="91"/>
  <c r="E149" i="91"/>
  <c r="F153" i="91"/>
  <c r="G162" i="91" l="1"/>
  <c r="G163" i="91"/>
  <c r="F154" i="91"/>
  <c r="E150" i="91"/>
  <c r="D148" i="91"/>
  <c r="C146" i="91"/>
  <c r="E151" i="91" l="1"/>
  <c r="F155" i="91"/>
  <c r="C147" i="91"/>
  <c r="D149" i="91"/>
  <c r="E152" i="91" l="1"/>
  <c r="C148" i="91"/>
  <c r="D150" i="91"/>
  <c r="F156" i="91"/>
  <c r="F157" i="91" l="1"/>
  <c r="D151" i="91"/>
  <c r="E153" i="91"/>
  <c r="C149" i="91"/>
  <c r="F158" i="91" l="1"/>
  <c r="D152" i="91"/>
  <c r="E154" i="91"/>
  <c r="C150" i="91"/>
  <c r="F159" i="91" l="1"/>
  <c r="E155" i="91"/>
  <c r="D153" i="91"/>
  <c r="C151" i="91"/>
  <c r="D154" i="91" l="1"/>
  <c r="F160" i="91"/>
  <c r="E156" i="91"/>
  <c r="C152" i="91"/>
  <c r="C153" i="91" l="1"/>
  <c r="F161" i="91"/>
  <c r="E157" i="91"/>
  <c r="D155" i="91"/>
  <c r="E158" i="91" l="1"/>
  <c r="D156" i="91"/>
  <c r="C154" i="91"/>
  <c r="F162" i="91"/>
  <c r="F163" i="91"/>
  <c r="D157" i="91" l="1"/>
  <c r="E159" i="91"/>
  <c r="C155" i="91"/>
  <c r="D158" i="91" l="1"/>
  <c r="C156" i="91"/>
  <c r="E160" i="91"/>
  <c r="D159" i="91" l="1"/>
  <c r="E161" i="91"/>
  <c r="C157" i="91"/>
  <c r="E162" i="91" l="1"/>
  <c r="E163" i="91"/>
  <c r="D160" i="91"/>
  <c r="C158" i="91"/>
  <c r="D161" i="91" l="1"/>
  <c r="C159" i="91"/>
  <c r="C160" i="91" l="1"/>
  <c r="D162" i="91"/>
  <c r="D163" i="91"/>
  <c r="C161" i="91" l="1"/>
  <c r="C162" i="91" l="1"/>
  <c r="C163" i="91" l="1"/>
  <c r="AH4" i="91" l="1"/>
  <c r="AH99" i="91"/>
  <c r="AF115" i="91"/>
  <c r="AF109" i="91"/>
  <c r="AF103" i="91"/>
  <c r="AE114" i="91"/>
  <c r="AE105" i="91"/>
  <c r="AE107" i="91"/>
  <c r="AE100" i="91"/>
  <c r="AG98" i="91"/>
  <c r="AH107" i="91"/>
  <c r="AF112" i="91"/>
  <c r="AH106" i="91"/>
  <c r="AH105" i="91"/>
  <c r="AH101" i="91"/>
  <c r="AF4" i="91"/>
  <c r="AF101" i="91"/>
  <c r="AE104" i="91"/>
  <c r="AE102" i="91"/>
  <c r="AG112" i="91"/>
  <c r="AG106" i="91"/>
  <c r="AG101" i="91"/>
  <c r="AH98" i="91"/>
  <c r="AF102" i="91"/>
  <c r="AE112" i="91"/>
  <c r="AG113" i="91"/>
  <c r="AG104" i="91"/>
  <c r="AG103" i="91"/>
  <c r="AH97" i="91"/>
  <c r="AF111" i="91"/>
  <c r="AF99" i="91"/>
  <c r="AE108" i="91"/>
  <c r="AE106" i="91"/>
  <c r="AE103" i="91"/>
  <c r="AG114" i="91"/>
  <c r="AG99" i="91"/>
  <c r="AH100" i="91"/>
  <c r="AF108" i="91"/>
  <c r="AF106" i="91"/>
  <c r="AF98" i="91"/>
  <c r="AE4" i="91"/>
  <c r="AE101" i="91"/>
  <c r="AG111" i="91"/>
  <c r="AG4" i="91"/>
  <c r="AG100" i="91"/>
  <c r="AF110" i="91"/>
  <c r="AF107" i="91"/>
  <c r="AE113" i="91"/>
  <c r="AE111" i="91"/>
  <c r="AE109" i="91"/>
  <c r="AG109" i="91"/>
  <c r="AG97" i="91"/>
  <c r="AH102" i="91"/>
  <c r="AH96" i="91"/>
  <c r="AF114" i="91"/>
  <c r="AF105" i="91"/>
  <c r="AE115" i="91"/>
  <c r="AE110" i="91"/>
  <c r="AG110" i="91"/>
  <c r="AG108" i="91"/>
  <c r="AG107" i="91"/>
  <c r="AH103" i="91"/>
  <c r="AH104" i="91"/>
  <c r="AH95" i="91"/>
  <c r="AF113" i="91"/>
  <c r="AF104" i="91"/>
  <c r="AF100" i="91"/>
  <c r="AE116" i="91"/>
  <c r="AG102" i="91"/>
  <c r="AG105" i="91"/>
  <c r="AG115" i="91"/>
  <c r="AD111" i="91" l="1"/>
  <c r="AD4" i="91"/>
  <c r="AD112" i="91"/>
  <c r="AD109" i="91"/>
  <c r="AD117" i="91"/>
  <c r="AD100" i="91"/>
  <c r="AD108" i="91"/>
  <c r="AD116" i="91"/>
  <c r="AD118" i="91"/>
  <c r="AD113" i="91"/>
  <c r="AD101" i="91"/>
  <c r="AD115" i="91"/>
  <c r="AD110" i="91"/>
  <c r="AD114" i="91"/>
  <c r="AD104" i="91"/>
  <c r="AD103" i="91"/>
  <c r="AD107" i="91"/>
  <c r="AD102" i="91"/>
  <c r="AD105" i="91"/>
  <c r="AD106" i="91"/>
  <c r="AF116" i="91" l="1"/>
  <c r="AE117" i="91"/>
  <c r="AE118" i="91"/>
  <c r="AH110" i="91"/>
  <c r="AH113" i="91"/>
  <c r="AH112" i="91"/>
  <c r="AG158" i="91" l="1"/>
  <c r="AH149" i="91"/>
  <c r="AF157" i="91"/>
  <c r="AF38" i="91"/>
  <c r="AH17" i="91"/>
  <c r="AH75" i="91"/>
  <c r="AG135" i="91"/>
  <c r="AH159" i="91"/>
  <c r="AH155" i="91"/>
  <c r="AG129" i="91"/>
  <c r="AF95" i="91"/>
  <c r="AH59" i="91"/>
  <c r="AH79" i="91"/>
  <c r="AF36" i="91"/>
  <c r="AH119" i="91"/>
  <c r="AH85" i="91"/>
  <c r="AH16" i="91"/>
  <c r="AH14" i="91"/>
  <c r="AG26" i="91"/>
  <c r="AF41" i="91"/>
  <c r="AF81" i="91"/>
  <c r="AF90" i="91"/>
  <c r="AH71" i="91"/>
  <c r="AH63" i="91"/>
  <c r="AF91" i="91"/>
  <c r="AF72" i="91"/>
  <c r="AH65" i="91"/>
  <c r="AH84" i="91"/>
  <c r="AG46" i="91"/>
  <c r="AH36" i="91"/>
  <c r="AG21" i="91"/>
  <c r="AF50" i="91"/>
  <c r="AG90" i="91"/>
  <c r="AG17" i="91"/>
  <c r="AF24" i="91"/>
  <c r="AH58" i="91"/>
  <c r="AG156" i="91"/>
  <c r="AG148" i="91"/>
  <c r="AH136" i="91"/>
  <c r="AH152" i="91"/>
  <c r="AH142" i="91"/>
  <c r="AF158" i="91"/>
  <c r="AF163" i="91"/>
  <c r="AF151" i="91"/>
  <c r="AH132" i="91"/>
  <c r="AG74" i="91"/>
  <c r="AH117" i="91"/>
  <c r="AG49" i="91"/>
  <c r="AH56" i="91"/>
  <c r="AH26" i="91"/>
  <c r="AH18" i="91"/>
  <c r="AH90" i="91"/>
  <c r="AF68" i="91"/>
  <c r="AH25" i="91"/>
  <c r="AG75" i="91"/>
  <c r="AH86" i="91"/>
  <c r="AF42" i="91"/>
  <c r="AH76" i="91"/>
  <c r="AH27" i="91"/>
  <c r="AG60" i="91"/>
  <c r="AF69" i="91"/>
  <c r="AH46" i="91"/>
  <c r="AG144" i="91"/>
  <c r="AG162" i="91"/>
  <c r="AG155" i="91"/>
  <c r="AH146" i="91"/>
  <c r="AF150" i="91"/>
  <c r="AG20" i="91"/>
  <c r="AH82" i="91"/>
  <c r="AG63" i="91"/>
  <c r="AF54" i="91"/>
  <c r="AF37" i="91"/>
  <c r="AH126" i="91"/>
  <c r="AG83" i="91"/>
  <c r="AF53" i="91"/>
  <c r="AF92" i="91"/>
  <c r="AF67" i="91"/>
  <c r="AG61" i="91"/>
  <c r="AF61" i="91"/>
  <c r="AF96" i="91"/>
  <c r="AH120" i="91"/>
  <c r="AG27" i="91"/>
  <c r="AG44" i="91"/>
  <c r="AG116" i="91"/>
  <c r="AH34" i="91"/>
  <c r="AH125" i="91"/>
  <c r="AH45" i="91"/>
  <c r="AF62" i="91"/>
  <c r="AF27" i="91"/>
  <c r="AH83" i="91"/>
  <c r="AH53" i="91"/>
  <c r="AF23" i="91"/>
  <c r="AH148" i="91"/>
  <c r="AH145" i="91"/>
  <c r="AF57" i="91"/>
  <c r="AG29" i="91"/>
  <c r="AG78" i="91"/>
  <c r="AG40" i="91"/>
  <c r="AG81" i="91"/>
  <c r="AG53" i="91"/>
  <c r="AG23" i="91"/>
  <c r="AF75" i="91"/>
  <c r="AG94" i="91"/>
  <c r="AG69" i="91"/>
  <c r="AG121" i="91"/>
  <c r="AH72" i="91"/>
  <c r="AG120" i="91"/>
  <c r="AF39" i="91"/>
  <c r="AG152" i="91"/>
  <c r="AF71" i="91"/>
  <c r="AH24" i="91"/>
  <c r="AH67" i="91"/>
  <c r="AG96" i="91"/>
  <c r="AF74" i="91"/>
  <c r="AG142" i="91"/>
  <c r="AG154" i="91"/>
  <c r="AH156" i="91"/>
  <c r="AH158" i="91"/>
  <c r="AH139" i="91"/>
  <c r="AF162" i="91"/>
  <c r="AF161" i="91"/>
  <c r="AH131" i="91"/>
  <c r="AG95" i="91"/>
  <c r="AH68" i="91"/>
  <c r="AH38" i="91"/>
  <c r="AG87" i="91"/>
  <c r="AG86" i="91"/>
  <c r="AF88" i="91"/>
  <c r="AF52" i="91"/>
  <c r="AF46" i="91"/>
  <c r="AF94" i="91"/>
  <c r="AH77" i="91"/>
  <c r="AH23" i="91"/>
  <c r="AG57" i="91"/>
  <c r="AF14" i="91"/>
  <c r="AG122" i="91"/>
  <c r="AH44" i="91"/>
  <c r="AF86" i="91"/>
  <c r="AH91" i="91"/>
  <c r="AG33" i="91"/>
  <c r="AH37" i="91"/>
  <c r="AG146" i="91"/>
  <c r="AH134" i="91"/>
  <c r="AG141" i="91"/>
  <c r="AH143" i="91"/>
  <c r="AF155" i="91"/>
  <c r="AG133" i="91"/>
  <c r="AG92" i="91"/>
  <c r="AG82" i="91"/>
  <c r="AH49" i="91"/>
  <c r="AF97" i="91"/>
  <c r="AG16" i="91"/>
  <c r="AG41" i="91"/>
  <c r="AF82" i="91"/>
  <c r="AG127" i="91"/>
  <c r="AF55" i="91"/>
  <c r="AG62" i="91"/>
  <c r="AH115" i="91"/>
  <c r="AG15" i="91"/>
  <c r="AF20" i="91"/>
  <c r="AF34" i="91"/>
  <c r="AF35" i="91"/>
  <c r="AF44" i="91"/>
  <c r="AG91" i="91"/>
  <c r="AH141" i="91"/>
  <c r="AG25" i="91"/>
  <c r="AF85" i="91"/>
  <c r="AG47" i="91"/>
  <c r="AG147" i="91"/>
  <c r="AG157" i="91"/>
  <c r="AH137" i="91"/>
  <c r="AH151" i="91"/>
  <c r="AF156" i="91"/>
  <c r="AG130" i="91"/>
  <c r="AH133" i="91"/>
  <c r="AG30" i="91"/>
  <c r="AF48" i="91"/>
  <c r="AG14" i="91"/>
  <c r="AF15" i="91"/>
  <c r="AG38" i="91"/>
  <c r="AH29" i="91"/>
  <c r="AH61" i="91"/>
  <c r="AG77" i="91"/>
  <c r="AE83" i="91"/>
  <c r="AH19" i="91"/>
  <c r="AF63" i="91"/>
  <c r="AH33" i="91"/>
  <c r="AG18" i="91"/>
  <c r="AF56" i="91"/>
  <c r="AF65" i="91"/>
  <c r="AH51" i="91"/>
  <c r="AG55" i="91"/>
  <c r="AH43" i="91" l="1"/>
  <c r="AG161" i="91"/>
  <c r="AG134" i="91"/>
  <c r="AG67" i="91"/>
  <c r="AH48" i="91"/>
  <c r="AF160" i="91"/>
  <c r="AG136" i="91"/>
  <c r="AG119" i="91"/>
  <c r="AH161" i="91"/>
  <c r="AH50" i="91"/>
  <c r="AH74" i="91"/>
  <c r="AG128" i="91"/>
  <c r="AH147" i="91"/>
  <c r="AF154" i="91"/>
  <c r="AG31" i="91"/>
  <c r="AG34" i="91"/>
  <c r="AG22" i="91"/>
  <c r="AH31" i="91"/>
  <c r="AH41" i="91"/>
  <c r="AH116" i="91"/>
  <c r="AG151" i="91"/>
  <c r="AF31" i="91"/>
  <c r="AG118" i="91"/>
  <c r="AH89" i="91"/>
  <c r="AF89" i="91"/>
  <c r="AG159" i="91"/>
  <c r="AH163" i="91"/>
  <c r="AF19" i="91"/>
  <c r="AF33" i="91"/>
  <c r="AH81" i="91"/>
  <c r="AG163" i="91"/>
  <c r="AH21" i="91"/>
  <c r="AF84" i="91"/>
  <c r="AF18" i="91"/>
  <c r="AF29" i="91"/>
  <c r="AH40" i="91"/>
  <c r="AH111" i="91"/>
  <c r="AH108" i="91"/>
  <c r="AF16" i="91"/>
  <c r="AH129" i="91"/>
  <c r="AG37" i="91"/>
  <c r="AH78" i="91"/>
  <c r="AG150" i="91"/>
  <c r="AH54" i="91"/>
  <c r="AH87" i="91"/>
  <c r="AF60" i="91"/>
  <c r="AG143" i="91"/>
  <c r="AF83" i="91"/>
  <c r="AH92" i="91"/>
  <c r="AG19" i="91"/>
  <c r="AH70" i="91"/>
  <c r="AF26" i="91"/>
  <c r="AF152" i="91"/>
  <c r="AH157" i="91"/>
  <c r="AG153" i="91"/>
  <c r="AF66" i="91"/>
  <c r="AF87" i="91"/>
  <c r="AG140" i="91"/>
  <c r="AG39" i="91"/>
  <c r="AG35" i="91"/>
  <c r="AH154" i="91"/>
  <c r="AH32" i="91"/>
  <c r="AG64" i="91"/>
  <c r="AG84" i="91"/>
  <c r="AG45" i="91"/>
  <c r="AG131" i="91"/>
  <c r="AG32" i="91"/>
  <c r="AH94" i="91"/>
  <c r="AG79" i="91"/>
  <c r="AH135" i="91"/>
  <c r="AG73" i="91"/>
  <c r="AG137" i="91"/>
  <c r="AH122" i="91"/>
  <c r="AH153" i="91"/>
  <c r="AG88" i="91"/>
  <c r="AF25" i="91"/>
  <c r="AF32" i="91"/>
  <c r="AG117" i="91"/>
  <c r="AH162" i="91"/>
  <c r="AG149" i="91"/>
  <c r="AG138" i="91"/>
  <c r="AG85" i="91"/>
  <c r="AF159" i="91"/>
  <c r="AH28" i="91"/>
  <c r="AF149" i="91"/>
  <c r="AH80" i="91"/>
  <c r="AF76" i="91"/>
  <c r="AH22" i="91"/>
  <c r="AF58" i="91"/>
  <c r="AG43" i="91"/>
  <c r="AH55" i="91"/>
  <c r="AF77" i="91"/>
  <c r="AH69" i="91"/>
  <c r="AG52" i="91"/>
  <c r="AH128" i="91"/>
  <c r="AH140" i="91"/>
  <c r="AH160" i="91"/>
  <c r="AG51" i="91"/>
  <c r="AH121" i="91"/>
  <c r="AH52" i="91"/>
  <c r="AF59" i="91"/>
  <c r="AH20" i="91"/>
  <c r="AH62" i="91"/>
  <c r="AG36" i="91"/>
  <c r="AH144" i="91"/>
  <c r="AG145" i="91"/>
  <c r="AF47" i="91"/>
  <c r="AG89" i="91"/>
  <c r="AG132" i="91"/>
  <c r="AH127" i="91"/>
  <c r="AH150" i="91"/>
  <c r="AG139" i="91"/>
  <c r="AG59" i="91"/>
  <c r="AF28" i="91"/>
  <c r="AH64" i="91"/>
  <c r="AG48" i="91"/>
  <c r="AH66" i="91"/>
  <c r="AG126" i="91"/>
  <c r="AG28" i="91"/>
  <c r="AG65" i="91"/>
  <c r="AH30" i="91"/>
  <c r="AH57" i="91"/>
  <c r="AG72" i="91"/>
  <c r="AH130" i="91"/>
  <c r="AF21" i="91"/>
  <c r="AG54" i="91"/>
  <c r="AG68" i="91"/>
  <c r="AH15" i="91"/>
  <c r="AF64" i="91"/>
  <c r="AG80" i="91"/>
  <c r="AG66" i="91"/>
  <c r="AH138" i="91"/>
  <c r="AG58" i="91"/>
  <c r="AG76" i="91"/>
  <c r="AG70" i="91"/>
  <c r="AG56" i="91"/>
  <c r="AF43" i="91"/>
  <c r="AH60" i="91"/>
  <c r="AH124" i="91"/>
  <c r="AF70" i="91"/>
  <c r="AF30" i="91"/>
  <c r="AF40" i="91"/>
  <c r="AF153" i="91"/>
  <c r="AG160" i="91"/>
  <c r="AG24" i="91"/>
  <c r="AH39" i="91"/>
  <c r="AH118" i="91"/>
  <c r="AG42" i="91"/>
  <c r="AH109" i="91"/>
  <c r="AG124" i="91"/>
  <c r="AH47" i="91"/>
  <c r="AG71" i="91"/>
  <c r="AF78" i="91"/>
  <c r="AF22" i="91"/>
  <c r="AG125" i="91"/>
  <c r="AF79" i="91"/>
  <c r="AF17" i="91"/>
  <c r="AF51" i="91"/>
  <c r="AG50" i="91"/>
  <c r="AH88" i="91"/>
  <c r="AF80" i="91"/>
  <c r="AH35" i="91"/>
  <c r="AH42" i="91"/>
  <c r="AF49" i="91"/>
  <c r="AF45" i="91"/>
  <c r="AH114" i="91"/>
  <c r="AE51" i="91"/>
  <c r="AE99" i="91"/>
  <c r="AE78" i="91"/>
  <c r="AE38" i="91"/>
  <c r="AE68" i="91"/>
  <c r="AE91" i="91"/>
  <c r="AE138" i="91"/>
  <c r="AE33" i="91"/>
  <c r="AE85" i="91"/>
  <c r="AE34" i="91"/>
  <c r="AE154" i="91"/>
  <c r="AE67" i="91"/>
  <c r="AE119" i="91"/>
  <c r="AE63" i="91"/>
  <c r="AE143" i="91"/>
  <c r="AE30" i="91"/>
  <c r="AE46" i="91"/>
  <c r="AE18" i="91"/>
  <c r="AE17" i="91"/>
  <c r="AE76" i="91"/>
  <c r="AE53" i="91"/>
  <c r="AE59" i="91"/>
  <c r="AE122" i="91"/>
  <c r="AE56" i="91"/>
  <c r="AE97" i="91"/>
  <c r="AE27" i="91"/>
  <c r="AE124" i="91"/>
  <c r="AE160" i="91"/>
  <c r="AE24" i="91"/>
  <c r="AE92" i="91"/>
  <c r="AE60" i="91"/>
  <c r="AE35" i="91"/>
  <c r="AE44" i="91"/>
  <c r="AE47" i="91"/>
  <c r="AE25" i="91"/>
  <c r="AE86" i="91"/>
  <c r="AH123" i="91"/>
  <c r="AE64" i="91"/>
  <c r="AE148" i="91"/>
  <c r="AE84" i="91"/>
  <c r="AE125" i="91"/>
  <c r="AE40" i="91"/>
  <c r="AE152" i="91"/>
  <c r="AE144" i="91"/>
  <c r="AE74" i="91"/>
  <c r="AE79" i="91"/>
  <c r="AE69" i="91"/>
  <c r="AE52" i="91"/>
  <c r="AE77" i="91"/>
  <c r="AE28" i="91"/>
  <c r="AE73" i="91"/>
  <c r="AE36" i="91"/>
  <c r="AE80" i="91"/>
  <c r="AE127" i="91"/>
  <c r="AE87" i="91"/>
  <c r="AE130" i="91"/>
  <c r="AE155" i="91"/>
  <c r="AE41" i="91"/>
  <c r="AE151" i="91"/>
  <c r="AE153" i="91"/>
  <c r="AH73" i="91"/>
  <c r="AE132" i="91"/>
  <c r="AE147" i="91"/>
  <c r="AE163" i="91"/>
  <c r="AE45" i="91"/>
  <c r="AE149" i="91"/>
  <c r="AE156" i="91"/>
  <c r="AE31" i="91"/>
  <c r="AE22" i="91"/>
  <c r="AE49" i="91" l="1"/>
  <c r="AG123" i="91"/>
  <c r="AE121" i="91"/>
  <c r="AE55" i="91"/>
  <c r="AD80" i="91"/>
  <c r="AE133" i="91"/>
  <c r="AE15" i="91"/>
  <c r="AE37" i="91"/>
  <c r="AE14" i="91"/>
  <c r="AE123" i="91"/>
  <c r="AE42" i="91"/>
  <c r="AE137" i="91"/>
  <c r="AE89" i="91"/>
  <c r="AE21" i="91"/>
  <c r="AE20" i="91"/>
  <c r="AE157" i="91"/>
  <c r="AE16" i="91"/>
  <c r="AE90" i="91"/>
  <c r="AG93" i="91"/>
  <c r="AE48" i="91"/>
  <c r="AE146" i="91"/>
  <c r="AE134" i="91"/>
  <c r="AE150" i="91"/>
  <c r="AE39" i="91"/>
  <c r="AE70" i="91"/>
  <c r="AE96" i="91"/>
  <c r="AE29" i="91"/>
  <c r="AE139" i="91"/>
  <c r="AE26" i="91"/>
  <c r="AE93" i="91"/>
  <c r="AE129" i="91"/>
  <c r="AE162" i="91"/>
  <c r="AE131" i="91"/>
  <c r="AE72" i="91"/>
  <c r="AE161" i="91"/>
  <c r="AE66" i="91"/>
  <c r="AE135" i="91"/>
  <c r="AE142" i="91"/>
  <c r="AE81" i="91"/>
  <c r="AE58" i="91"/>
  <c r="AE65" i="91"/>
  <c r="AE62" i="91"/>
  <c r="AE94" i="91"/>
  <c r="AE88" i="91"/>
  <c r="AE32" i="91"/>
  <c r="AE54" i="91"/>
  <c r="AE159" i="91"/>
  <c r="AE57" i="91"/>
  <c r="AE158" i="91"/>
  <c r="AF93" i="91"/>
  <c r="AE71" i="91"/>
  <c r="AF73" i="91"/>
  <c r="AE136" i="91"/>
  <c r="AE98" i="91"/>
  <c r="AE19" i="91"/>
  <c r="AE145" i="91"/>
  <c r="AE50" i="91"/>
  <c r="AE61" i="91"/>
  <c r="AE82" i="91"/>
  <c r="AD151" i="91"/>
  <c r="AE43" i="91"/>
  <c r="AE23" i="91"/>
  <c r="AH93" i="91"/>
  <c r="AE141" i="91"/>
  <c r="AE75" i="91"/>
  <c r="AE120" i="91"/>
  <c r="AE128" i="91"/>
  <c r="AE95" i="91"/>
  <c r="AE140" i="91"/>
  <c r="AE126" i="91"/>
  <c r="AH5" i="91"/>
  <c r="AG5" i="91"/>
  <c r="AF5" i="91"/>
  <c r="AE5" i="91"/>
  <c r="AD150" i="91" l="1"/>
  <c r="AD44" i="91"/>
  <c r="AD91" i="91"/>
  <c r="AD30" i="91"/>
  <c r="AD122" i="91"/>
  <c r="AD66" i="91"/>
  <c r="AD25" i="91"/>
  <c r="AD48" i="91"/>
  <c r="AD146" i="91"/>
  <c r="AD149" i="91"/>
  <c r="AD148" i="91"/>
  <c r="AD135" i="91"/>
  <c r="AD141" i="91"/>
  <c r="AD70" i="91"/>
  <c r="AD86" i="91"/>
  <c r="AD94" i="91"/>
  <c r="AD163" i="91"/>
  <c r="AD56" i="91"/>
  <c r="AD33" i="91"/>
  <c r="AD88" i="91"/>
  <c r="AD85" i="91"/>
  <c r="AD77" i="91"/>
  <c r="AD61" i="91"/>
  <c r="AD50" i="91"/>
  <c r="AD35" i="91"/>
  <c r="AD158" i="91"/>
  <c r="AD126" i="91"/>
  <c r="AD36" i="91"/>
  <c r="AD57" i="91"/>
  <c r="AD123" i="91"/>
  <c r="AD133" i="91"/>
  <c r="AD28" i="91"/>
  <c r="AD58" i="91"/>
  <c r="AD142" i="91"/>
  <c r="AD17" i="91"/>
  <c r="AD128" i="91"/>
  <c r="AD72" i="91"/>
  <c r="AD51" i="91"/>
  <c r="AD154" i="91"/>
  <c r="AD16" i="91"/>
  <c r="AD96" i="91"/>
  <c r="AD24" i="91"/>
  <c r="AD157" i="91"/>
  <c r="AD73" i="91"/>
  <c r="AD132" i="91"/>
  <c r="AD22" i="91"/>
  <c r="AD34" i="91"/>
  <c r="AD43" i="91"/>
  <c r="AD38" i="91"/>
  <c r="AD53" i="91"/>
  <c r="AD76" i="91"/>
  <c r="AD125" i="91"/>
  <c r="AD127" i="91"/>
  <c r="AD49" i="91"/>
  <c r="AD82" i="91"/>
  <c r="AD124" i="91"/>
  <c r="AD41" i="91"/>
  <c r="AD75" i="91"/>
  <c r="AD138" i="91"/>
  <c r="AD156" i="91"/>
  <c r="AD95" i="91"/>
  <c r="AD18" i="91"/>
  <c r="AD64" i="91"/>
  <c r="AD145" i="91"/>
  <c r="AD99" i="91"/>
  <c r="AD27" i="91"/>
  <c r="AD147" i="91"/>
  <c r="AD19" i="91"/>
  <c r="AD119" i="91"/>
  <c r="AD140" i="91"/>
  <c r="AD137" i="91"/>
  <c r="AD60" i="91"/>
  <c r="AD40" i="91"/>
  <c r="AD20" i="91"/>
  <c r="AD45" i="91"/>
  <c r="AD55" i="91"/>
  <c r="AD69" i="91"/>
  <c r="AD121" i="91"/>
  <c r="AD83" i="91"/>
  <c r="AD97" i="91"/>
  <c r="AD52" i="91"/>
  <c r="AD62" i="91"/>
  <c r="AD67" i="91"/>
  <c r="AD92" i="91"/>
  <c r="AD78" i="91"/>
  <c r="AD63" i="91"/>
  <c r="AD139" i="91"/>
  <c r="AD120" i="91"/>
  <c r="AD134" i="91"/>
  <c r="AD87" i="91"/>
  <c r="AD130" i="91"/>
  <c r="AD153" i="91"/>
  <c r="AD84" i="91"/>
  <c r="AD47" i="91"/>
  <c r="AD46" i="91"/>
  <c r="AD131" i="91"/>
  <c r="AD160" i="91"/>
  <c r="AD21" i="91"/>
  <c r="AD71" i="91"/>
  <c r="AD98" i="91"/>
  <c r="AD54" i="91"/>
  <c r="AD39" i="91"/>
  <c r="AD32" i="91"/>
  <c r="AD23" i="91"/>
  <c r="AD29" i="91"/>
  <c r="AD89" i="91"/>
  <c r="AD144" i="91"/>
  <c r="AD155" i="91"/>
  <c r="AD129" i="91"/>
  <c r="AD68" i="91"/>
  <c r="AD143" i="91"/>
  <c r="AD59" i="91"/>
  <c r="AD42" i="91"/>
  <c r="AD93" i="91"/>
  <c r="AD152" i="91"/>
  <c r="AD14" i="91"/>
  <c r="AD162" i="91"/>
  <c r="AD90" i="91"/>
  <c r="AD79" i="91"/>
  <c r="AF6" i="91"/>
  <c r="AG6" i="91"/>
  <c r="AH6" i="91"/>
  <c r="AE6" i="91"/>
  <c r="AD37" i="91" l="1"/>
  <c r="AD136" i="91"/>
  <c r="AD31" i="91"/>
  <c r="AD161" i="91"/>
  <c r="AD26" i="91"/>
  <c r="AD159" i="91"/>
  <c r="AD74" i="91"/>
  <c r="AD65" i="91"/>
  <c r="AD15" i="91"/>
  <c r="AD81" i="91"/>
  <c r="AH7" i="91"/>
  <c r="AG7" i="91"/>
  <c r="AF7" i="91"/>
  <c r="AE7" i="91"/>
  <c r="AD5" i="91" l="1"/>
  <c r="AH8" i="91"/>
  <c r="AF8" i="91"/>
  <c r="AG8" i="91"/>
  <c r="AE8" i="91"/>
  <c r="AD6" i="91" l="1"/>
  <c r="AG9" i="91"/>
  <c r="AH9" i="91"/>
  <c r="AF9" i="91"/>
  <c r="AE9" i="91"/>
  <c r="AD7" i="91" l="1"/>
  <c r="AF10" i="91"/>
  <c r="AH10" i="91"/>
  <c r="AG10" i="91"/>
  <c r="AE10" i="91"/>
  <c r="AD8" i="91" l="1"/>
  <c r="AD9" i="91"/>
  <c r="AG11" i="91"/>
  <c r="AH11" i="91"/>
  <c r="AF11" i="91"/>
  <c r="AE11" i="91"/>
  <c r="AH12" i="91" l="1"/>
  <c r="AF12" i="91"/>
  <c r="AG12" i="91"/>
  <c r="AE12" i="91"/>
  <c r="AD10" i="91" l="1"/>
  <c r="AG13" i="91"/>
  <c r="AF13" i="91"/>
  <c r="AH13" i="91"/>
  <c r="AE13" i="91"/>
  <c r="AD11" i="91" l="1"/>
  <c r="AD12" i="91" l="1"/>
  <c r="AD13" i="91" l="1"/>
  <c r="AF136" i="91" l="1"/>
  <c r="AF131" i="91"/>
  <c r="AF125" i="91"/>
  <c r="AF130" i="91"/>
  <c r="AF139" i="91"/>
  <c r="AF146" i="91"/>
  <c r="AF126" i="91"/>
  <c r="AF135" i="91"/>
  <c r="AF137" i="91"/>
  <c r="AF142" i="91"/>
  <c r="AF127" i="91"/>
  <c r="AF145" i="91"/>
  <c r="AF121" i="91"/>
  <c r="AF122" i="91" l="1"/>
  <c r="AF144" i="91"/>
  <c r="AF148" i="91"/>
  <c r="AF133" i="91"/>
  <c r="AF143" i="91"/>
  <c r="AF120" i="91"/>
  <c r="AF124" i="91"/>
  <c r="AF138" i="91"/>
  <c r="AF141" i="91"/>
  <c r="AF119" i="91"/>
  <c r="AF140" i="91"/>
  <c r="AF147" i="91"/>
  <c r="AF132" i="91"/>
  <c r="AF134" i="91"/>
  <c r="AF128" i="91"/>
  <c r="AF117" i="91"/>
  <c r="AF118" i="91"/>
  <c r="AF129" i="91"/>
  <c r="AF123" i="91" l="1"/>
</calcChain>
</file>

<file path=xl/sharedStrings.xml><?xml version="1.0" encoding="utf-8"?>
<sst xmlns="http://schemas.openxmlformats.org/spreadsheetml/2006/main" count="602" uniqueCount="222">
  <si>
    <t>橙</t>
    <phoneticPr fontId="1" type="noConversion"/>
  </si>
  <si>
    <t>蓝</t>
    <phoneticPr fontId="1" type="noConversion"/>
  </si>
  <si>
    <t>紫</t>
    <phoneticPr fontId="1" type="noConversion"/>
  </si>
  <si>
    <t>升阶次数</t>
    <phoneticPr fontId="1" type="noConversion"/>
  </si>
  <si>
    <t>消耗数量</t>
    <phoneticPr fontId="1" type="noConversion"/>
  </si>
  <si>
    <t>总消耗数量</t>
    <phoneticPr fontId="1" type="noConversion"/>
  </si>
  <si>
    <t>升星次数</t>
    <phoneticPr fontId="1" type="noConversion"/>
  </si>
  <si>
    <t>1紫</t>
    <phoneticPr fontId="1" type="noConversion"/>
  </si>
  <si>
    <t>3紫</t>
    <phoneticPr fontId="1" type="noConversion"/>
  </si>
  <si>
    <t>5紫</t>
    <phoneticPr fontId="1" type="noConversion"/>
  </si>
  <si>
    <t>1橙</t>
    <phoneticPr fontId="1" type="noConversion"/>
  </si>
  <si>
    <t>6橙</t>
    <phoneticPr fontId="1" type="noConversion"/>
  </si>
  <si>
    <t>时间差</t>
    <phoneticPr fontId="1" type="noConversion"/>
  </si>
  <si>
    <t>觉醒次数</t>
    <phoneticPr fontId="1" type="noConversion"/>
  </si>
  <si>
    <t>觉醒消耗</t>
    <phoneticPr fontId="1" type="noConversion"/>
  </si>
  <si>
    <t>觉醒总消耗</t>
    <phoneticPr fontId="1" type="noConversion"/>
  </si>
  <si>
    <t>1橙升1星</t>
    <phoneticPr fontId="1" type="noConversion"/>
  </si>
  <si>
    <t>6橙升1星</t>
    <phoneticPr fontId="1" type="noConversion"/>
  </si>
  <si>
    <t>6橙升3星</t>
    <phoneticPr fontId="1" type="noConversion"/>
  </si>
  <si>
    <t>6橙升7星</t>
    <phoneticPr fontId="1" type="noConversion"/>
  </si>
  <si>
    <t>4橙</t>
    <phoneticPr fontId="1" type="noConversion"/>
  </si>
  <si>
    <t>1紫升1星</t>
    <phoneticPr fontId="1" type="noConversion"/>
  </si>
  <si>
    <t>1橙觉醒</t>
    <phoneticPr fontId="1" type="noConversion"/>
  </si>
  <si>
    <t>6橙觉醒</t>
    <phoneticPr fontId="1" type="noConversion"/>
  </si>
  <si>
    <t>等级</t>
    <phoneticPr fontId="1" type="noConversion"/>
  </si>
  <si>
    <t>绿</t>
    <phoneticPr fontId="1" type="noConversion"/>
  </si>
  <si>
    <t>蓝</t>
    <phoneticPr fontId="1" type="noConversion"/>
  </si>
  <si>
    <t>紫</t>
    <phoneticPr fontId="1" type="noConversion"/>
  </si>
  <si>
    <t>橙</t>
    <phoneticPr fontId="1" type="noConversion"/>
  </si>
  <si>
    <t>红</t>
    <phoneticPr fontId="1" type="noConversion"/>
  </si>
  <si>
    <t>品质</t>
    <phoneticPr fontId="1" type="noConversion"/>
  </si>
  <si>
    <t>绿</t>
    <phoneticPr fontId="1" type="noConversion"/>
  </si>
  <si>
    <t>蓝</t>
    <phoneticPr fontId="1" type="noConversion"/>
  </si>
  <si>
    <t>紫</t>
    <phoneticPr fontId="1" type="noConversion"/>
  </si>
  <si>
    <t>红</t>
    <phoneticPr fontId="1" type="noConversion"/>
  </si>
  <si>
    <t>初始属性</t>
    <phoneticPr fontId="1" type="noConversion"/>
  </si>
  <si>
    <t>成长属性</t>
    <phoneticPr fontId="1" type="noConversion"/>
  </si>
  <si>
    <t>升阶次数</t>
    <phoneticPr fontId="1" type="noConversion"/>
  </si>
  <si>
    <t>升阶附加值</t>
    <phoneticPr fontId="1" type="noConversion"/>
  </si>
  <si>
    <t>升星次数</t>
    <phoneticPr fontId="1" type="noConversion"/>
  </si>
  <si>
    <t>单次升星附加值</t>
    <phoneticPr fontId="1" type="noConversion"/>
  </si>
  <si>
    <t>属性值=基础值+成长值*等级+升星附加值*升星次数+觉醒附加值*觉醒次数</t>
    <phoneticPr fontId="1" type="noConversion"/>
  </si>
  <si>
    <t>橙</t>
    <phoneticPr fontId="1" type="noConversion"/>
  </si>
  <si>
    <t>升星次数</t>
    <phoneticPr fontId="1" type="noConversion"/>
  </si>
  <si>
    <t>阶段</t>
    <phoneticPr fontId="1" type="noConversion"/>
  </si>
  <si>
    <t>等级</t>
    <phoneticPr fontId="1" type="noConversion"/>
  </si>
  <si>
    <t>状态</t>
    <phoneticPr fontId="1" type="noConversion"/>
  </si>
  <si>
    <t>1星紫</t>
    <phoneticPr fontId="1" type="noConversion"/>
  </si>
  <si>
    <t>觉醒橙</t>
    <phoneticPr fontId="1" type="noConversion"/>
  </si>
  <si>
    <t>觉醒1星橙</t>
    <phoneticPr fontId="1" type="noConversion"/>
  </si>
  <si>
    <t>觉醒1星橙</t>
    <phoneticPr fontId="1" type="noConversion"/>
  </si>
  <si>
    <t>觉醒1星橙</t>
    <phoneticPr fontId="1" type="noConversion"/>
  </si>
  <si>
    <t>觉醒3星橙</t>
    <phoneticPr fontId="1" type="noConversion"/>
  </si>
  <si>
    <t>觉醒7星橙</t>
    <phoneticPr fontId="1" type="noConversion"/>
  </si>
  <si>
    <t>属性</t>
    <phoneticPr fontId="1" type="noConversion"/>
  </si>
  <si>
    <t>1紫5蓝</t>
    <phoneticPr fontId="1" type="noConversion"/>
  </si>
  <si>
    <t>1橙5紫</t>
    <phoneticPr fontId="1" type="noConversion"/>
  </si>
  <si>
    <t>4橙2紫</t>
    <phoneticPr fontId="1" type="noConversion"/>
  </si>
  <si>
    <t>6橙</t>
    <phoneticPr fontId="1" type="noConversion"/>
  </si>
  <si>
    <t>6橙1星</t>
    <phoneticPr fontId="1" type="noConversion"/>
  </si>
  <si>
    <t>6橙2星</t>
    <phoneticPr fontId="1" type="noConversion"/>
  </si>
  <si>
    <t>6橙7星</t>
    <phoneticPr fontId="1" type="noConversion"/>
  </si>
  <si>
    <t>基础属性属性</t>
    <phoneticPr fontId="1" type="noConversion"/>
  </si>
  <si>
    <t>1紫1星</t>
    <phoneticPr fontId="1" type="noConversion"/>
  </si>
  <si>
    <t>1橙1星</t>
    <phoneticPr fontId="1" type="noConversion"/>
  </si>
  <si>
    <t>6橙1星</t>
    <phoneticPr fontId="1" type="noConversion"/>
  </si>
  <si>
    <t>6橙3星</t>
    <phoneticPr fontId="1" type="noConversion"/>
  </si>
  <si>
    <t>6橙7星</t>
    <phoneticPr fontId="1" type="noConversion"/>
  </si>
  <si>
    <t>1星橙</t>
    <phoneticPr fontId="1" type="noConversion"/>
  </si>
  <si>
    <t>3星橙</t>
    <phoneticPr fontId="1" type="noConversion"/>
  </si>
  <si>
    <t>7星橙</t>
    <phoneticPr fontId="1" type="noConversion"/>
  </si>
  <si>
    <t>升星阶段</t>
    <phoneticPr fontId="1" type="noConversion"/>
  </si>
  <si>
    <t>升星属性</t>
    <phoneticPr fontId="1" type="noConversion"/>
  </si>
  <si>
    <t>总属性</t>
    <phoneticPr fontId="1" type="noConversion"/>
  </si>
  <si>
    <t>非r</t>
    <phoneticPr fontId="1" type="noConversion"/>
  </si>
  <si>
    <t>小r</t>
    <phoneticPr fontId="1" type="noConversion"/>
  </si>
  <si>
    <t>中r</t>
    <phoneticPr fontId="1" type="noConversion"/>
  </si>
  <si>
    <t>大r</t>
    <phoneticPr fontId="1" type="noConversion"/>
  </si>
  <si>
    <t>超r</t>
    <phoneticPr fontId="1" type="noConversion"/>
  </si>
  <si>
    <t>蓝</t>
  </si>
  <si>
    <t>紫</t>
  </si>
  <si>
    <t>橙</t>
  </si>
  <si>
    <t>绿</t>
  </si>
  <si>
    <t>红</t>
  </si>
  <si>
    <t>绿</t>
    <phoneticPr fontId="1" type="noConversion"/>
  </si>
  <si>
    <t>蓝</t>
    <phoneticPr fontId="1" type="noConversion"/>
  </si>
  <si>
    <t>紫</t>
    <phoneticPr fontId="1" type="noConversion"/>
  </si>
  <si>
    <t>红</t>
    <phoneticPr fontId="1" type="noConversion"/>
  </si>
  <si>
    <t>主力上阵武将数量</t>
    <phoneticPr fontId="1" type="noConversion"/>
  </si>
  <si>
    <t>主力上阵武将星级</t>
    <phoneticPr fontId="1" type="noConversion"/>
  </si>
  <si>
    <t>累积天数</t>
    <phoneticPr fontId="1" type="noConversion"/>
  </si>
  <si>
    <t>品质</t>
  </si>
  <si>
    <t>指定价值</t>
  </si>
  <si>
    <t>价值</t>
    <phoneticPr fontId="1" type="noConversion"/>
  </si>
  <si>
    <t>时间差</t>
    <phoneticPr fontId="1" type="noConversion"/>
  </si>
  <si>
    <t>非r</t>
    <phoneticPr fontId="1" type="noConversion"/>
  </si>
  <si>
    <t>小r</t>
    <phoneticPr fontId="1" type="noConversion"/>
  </si>
  <si>
    <t>中r</t>
    <phoneticPr fontId="1" type="noConversion"/>
  </si>
  <si>
    <t>大r</t>
    <phoneticPr fontId="1" type="noConversion"/>
  </si>
  <si>
    <t>等级</t>
    <phoneticPr fontId="1" type="noConversion"/>
  </si>
  <si>
    <t>玩家武将数量累积消耗</t>
    <phoneticPr fontId="1" type="noConversion"/>
  </si>
  <si>
    <t>玩家等级</t>
    <phoneticPr fontId="1" type="noConversion"/>
  </si>
  <si>
    <t>非r</t>
    <phoneticPr fontId="1" type="noConversion"/>
  </si>
  <si>
    <t>小r</t>
    <phoneticPr fontId="1" type="noConversion"/>
  </si>
  <si>
    <t>中r</t>
    <phoneticPr fontId="1" type="noConversion"/>
  </si>
  <si>
    <t>大r</t>
    <phoneticPr fontId="1" type="noConversion"/>
  </si>
  <si>
    <t>超r</t>
    <phoneticPr fontId="1" type="noConversion"/>
  </si>
  <si>
    <t>超r</t>
    <phoneticPr fontId="1" type="noConversion"/>
  </si>
  <si>
    <t>觉醒需要消耗同资质的三张卡牌</t>
    <phoneticPr fontId="1" type="noConversion"/>
  </si>
  <si>
    <t>普通玩家</t>
    <phoneticPr fontId="1" type="noConversion"/>
  </si>
  <si>
    <t>橙</t>
    <phoneticPr fontId="1" type="noConversion"/>
  </si>
  <si>
    <t>红</t>
    <phoneticPr fontId="1" type="noConversion"/>
  </si>
  <si>
    <t>3天</t>
    <phoneticPr fontId="1" type="noConversion"/>
  </si>
  <si>
    <t>可觉醒的卡牌</t>
    <phoneticPr fontId="1" type="noConversion"/>
  </si>
  <si>
    <t>橙色</t>
    <phoneticPr fontId="1" type="noConversion"/>
  </si>
  <si>
    <t>紫</t>
    <phoneticPr fontId="1" type="noConversion"/>
  </si>
  <si>
    <t>紫1</t>
    <phoneticPr fontId="1" type="noConversion"/>
  </si>
  <si>
    <t>红色</t>
    <phoneticPr fontId="1" type="noConversion"/>
  </si>
  <si>
    <t>橙1</t>
    <phoneticPr fontId="1" type="noConversion"/>
  </si>
  <si>
    <t>等级</t>
    <phoneticPr fontId="1" type="noConversion"/>
  </si>
  <si>
    <t>上阵武将数</t>
    <phoneticPr fontId="1" type="noConversion"/>
  </si>
  <si>
    <t>时间</t>
    <phoneticPr fontId="1" type="noConversion"/>
  </si>
  <si>
    <t>完成等级</t>
    <phoneticPr fontId="1" type="noConversion"/>
  </si>
  <si>
    <t>3橙1觉</t>
    <phoneticPr fontId="1" type="noConversion"/>
  </si>
  <si>
    <t>1橙1觉</t>
    <phoneticPr fontId="1" type="noConversion"/>
  </si>
  <si>
    <t>4橙1觉，1橙2觉</t>
    <phoneticPr fontId="1" type="noConversion"/>
  </si>
  <si>
    <t>3橙1觉，3橙2觉</t>
    <phoneticPr fontId="1" type="noConversion"/>
  </si>
  <si>
    <t>1觉</t>
    <phoneticPr fontId="1" type="noConversion"/>
  </si>
  <si>
    <t>2觉</t>
    <phoneticPr fontId="1" type="noConversion"/>
  </si>
  <si>
    <t>品质</t>
    <phoneticPr fontId="1" type="noConversion"/>
  </si>
  <si>
    <t>描述</t>
    <phoneticPr fontId="1" type="noConversion"/>
  </si>
  <si>
    <t>状态</t>
    <phoneticPr fontId="1" type="noConversion"/>
  </si>
  <si>
    <t xml:space="preserve">品质 </t>
    <phoneticPr fontId="1" type="noConversion"/>
  </si>
  <si>
    <t>5橙2觉</t>
    <phoneticPr fontId="1" type="noConversion"/>
  </si>
  <si>
    <t>橙卡</t>
    <phoneticPr fontId="1" type="noConversion"/>
  </si>
  <si>
    <t>红卡</t>
    <phoneticPr fontId="1" type="noConversion"/>
  </si>
  <si>
    <t>消耗</t>
    <phoneticPr fontId="1" type="noConversion"/>
  </si>
  <si>
    <t>6橙2觉1觉红</t>
    <phoneticPr fontId="1" type="noConversion"/>
  </si>
  <si>
    <t>11橙2觉2觉红</t>
    <phoneticPr fontId="1" type="noConversion"/>
  </si>
  <si>
    <t>消耗低一资质武将卡</t>
    <phoneticPr fontId="1" type="noConversion"/>
  </si>
  <si>
    <t>消耗同一资质武将卡</t>
    <phoneticPr fontId="1" type="noConversion"/>
  </si>
  <si>
    <t>消耗同名武将卡</t>
    <phoneticPr fontId="1" type="noConversion"/>
  </si>
  <si>
    <t>消耗材料数量</t>
    <phoneticPr fontId="1" type="noConversion"/>
  </si>
  <si>
    <t>品质</t>
    <phoneticPr fontId="1" type="noConversion"/>
  </si>
  <si>
    <t>材料品质</t>
    <phoneticPr fontId="1" type="noConversion"/>
  </si>
  <si>
    <t>觉醒次数</t>
    <phoneticPr fontId="1" type="noConversion"/>
  </si>
  <si>
    <t>觉醒次数</t>
    <phoneticPr fontId="1" type="noConversion"/>
  </si>
  <si>
    <t>累积材料消耗</t>
    <phoneticPr fontId="1" type="noConversion"/>
  </si>
  <si>
    <t>累积卡牌消耗</t>
    <phoneticPr fontId="1" type="noConversion"/>
  </si>
  <si>
    <t>非r</t>
    <phoneticPr fontId="1" type="noConversion"/>
  </si>
  <si>
    <t>大殿等级</t>
  </si>
  <si>
    <t>大殿等级累积停留时间(天）</t>
  </si>
  <si>
    <t>大殿等级阶段停留时间（天）</t>
  </si>
  <si>
    <t>调整值</t>
    <phoneticPr fontId="1" type="noConversion"/>
  </si>
  <si>
    <t>非r累积时长大殿等级标准</t>
  </si>
  <si>
    <t>累积停留天数(标准）</t>
    <phoneticPr fontId="1" type="noConversion"/>
  </si>
  <si>
    <t>调整系数</t>
    <phoneticPr fontId="1" type="noConversion"/>
  </si>
  <si>
    <t>天数对应大殿等级</t>
    <phoneticPr fontId="1" type="noConversion"/>
  </si>
  <si>
    <t>天数</t>
    <phoneticPr fontId="1" type="noConversion"/>
  </si>
  <si>
    <t>每个等级玩家所需价值花费</t>
    <phoneticPr fontId="1" type="noConversion"/>
  </si>
  <si>
    <t>天数对应累积消耗钻石价值</t>
    <phoneticPr fontId="1" type="noConversion"/>
  </si>
  <si>
    <t>定义等级</t>
  </si>
  <si>
    <t>定义等级累积停留天数（天）</t>
  </si>
  <si>
    <t>定义等级阶段停留天数（天）</t>
  </si>
  <si>
    <t>天数对应定义等级</t>
  </si>
  <si>
    <t>非r累积时长定义等级标准</t>
  </si>
  <si>
    <t>定义等级对应累积消耗钻石价值</t>
  </si>
  <si>
    <t>累积获取行军令</t>
  </si>
  <si>
    <t>阶段获取行军令</t>
  </si>
  <si>
    <t>橙+</t>
  </si>
  <si>
    <t>玩家阶段队伍实力</t>
    <phoneticPr fontId="1" type="noConversion"/>
  </si>
  <si>
    <t>非r完成预估</t>
    <phoneticPr fontId="1" type="noConversion"/>
  </si>
  <si>
    <t>上阵武将数量</t>
    <phoneticPr fontId="1" type="noConversion"/>
  </si>
  <si>
    <t>完成天数</t>
    <phoneticPr fontId="1" type="noConversion"/>
  </si>
  <si>
    <t>对应定义等级</t>
  </si>
  <si>
    <t>小r完成预估</t>
    <phoneticPr fontId="1" type="noConversion"/>
  </si>
  <si>
    <t>中r完成预估</t>
    <phoneticPr fontId="1" type="noConversion"/>
  </si>
  <si>
    <t>大r完成预估</t>
    <phoneticPr fontId="1" type="noConversion"/>
  </si>
  <si>
    <t>超r完成预估</t>
    <phoneticPr fontId="1" type="noConversion"/>
  </si>
  <si>
    <t>定义等级</t>
    <phoneticPr fontId="1" type="noConversion"/>
  </si>
  <si>
    <t>预估养成队伍数量</t>
    <phoneticPr fontId="1" type="noConversion"/>
  </si>
  <si>
    <t>行军令产出装备经验</t>
    <phoneticPr fontId="1" type="noConversion"/>
  </si>
  <si>
    <t>定义等级</t>
    <phoneticPr fontId="1" type="noConversion"/>
  </si>
  <si>
    <t>装备经验</t>
    <phoneticPr fontId="1" type="noConversion"/>
  </si>
  <si>
    <t>1、当玩家主城等级低于世界主城等级的时候，会获得一系列养成buff，如建造、科研、圣人的资源消耗降低和时间降低，城内资源产出速度提升，野外资源采集速度提升等</t>
    <phoneticPr fontId="1" type="noConversion"/>
  </si>
  <si>
    <t>2、玩家主城等级与世界主城等级差异越大，获得的养成buff效用越高，可以分阶段配置</t>
    <phoneticPr fontId="1" type="noConversion"/>
  </si>
  <si>
    <t>世界文明等级</t>
    <phoneticPr fontId="1" type="noConversion"/>
  </si>
  <si>
    <t>木石铜粮</t>
    <phoneticPr fontId="1" type="noConversion"/>
  </si>
  <si>
    <t>预估玩家累积消耗木石铜粮</t>
    <phoneticPr fontId="1" type="noConversion"/>
  </si>
  <si>
    <t>世界文明等级差值对应定义等级</t>
    <phoneticPr fontId="1" type="noConversion"/>
  </si>
  <si>
    <t>世界文明等级差值对应提速后到达下一阶段的累计天数</t>
    <phoneticPr fontId="1" type="noConversion"/>
  </si>
  <si>
    <t>世界文明等级差值对应累计天数</t>
    <phoneticPr fontId="1" type="noConversion"/>
  </si>
  <si>
    <t>世界文明等级差值对应提速后到达下一阶段的定义等级</t>
    <phoneticPr fontId="1" type="noConversion"/>
  </si>
  <si>
    <t>世界文明等级差值对应提速后木石铜粮消耗阶段差值</t>
    <phoneticPr fontId="1" type="noConversion"/>
  </si>
  <si>
    <t>时间调整系数</t>
    <phoneticPr fontId="1" type="noConversion"/>
  </si>
  <si>
    <t>时间调整系数的含义为达到阶段大殿等级时间缩短的系数，如0.3调整系数为预估10天从大殿10级到15级，加速后只需要10*0.3天</t>
    <phoneticPr fontId="1" type="noConversion"/>
  </si>
  <si>
    <t>提速上限控制</t>
    <phoneticPr fontId="1" type="noConversion"/>
  </si>
  <si>
    <t>铁</t>
    <phoneticPr fontId="1" type="noConversion"/>
  </si>
  <si>
    <t>3、每个阶段玩家获得养成buff后，达到下一阶段的时间比预估缩短xx</t>
    <phoneticPr fontId="1" type="noConversion"/>
  </si>
  <si>
    <t>4、开启条件：</t>
    <phoneticPr fontId="1" type="noConversion"/>
  </si>
  <si>
    <t>开服天数</t>
    <phoneticPr fontId="1" type="noConversion"/>
  </si>
  <si>
    <t>第一名大殿等级</t>
    <phoneticPr fontId="1" type="noConversion"/>
  </si>
  <si>
    <t>城建+采集木石铜粮产出</t>
    <phoneticPr fontId="1" type="noConversion"/>
  </si>
  <si>
    <t>预估玩家累积消耗铁</t>
    <phoneticPr fontId="1" type="noConversion"/>
  </si>
  <si>
    <t>城建+采集铁产出</t>
    <phoneticPr fontId="1" type="noConversion"/>
  </si>
  <si>
    <t>世界文明等级差值对应提速后铁消耗阶段差值</t>
    <phoneticPr fontId="1" type="noConversion"/>
  </si>
  <si>
    <t>世界文明等级差值对应提速后铁城建采集产出阶段基础值</t>
    <phoneticPr fontId="1" type="noConversion"/>
  </si>
  <si>
    <t>世界文明等级差值对应提速后木石铜粮城建采集食邑产出阶段基础值</t>
    <phoneticPr fontId="1" type="noConversion"/>
  </si>
  <si>
    <t>世界文明等级差值对应木石铜粮城建采集食邑产出提速百分比</t>
    <phoneticPr fontId="1" type="noConversion"/>
  </si>
  <si>
    <t>城建时间</t>
    <phoneticPr fontId="1" type="noConversion"/>
  </si>
  <si>
    <t>科研时间</t>
    <phoneticPr fontId="1" type="noConversion"/>
  </si>
  <si>
    <t>世界文明等级差值对应提速后城建时间消耗阶段差值</t>
    <phoneticPr fontId="1" type="noConversion"/>
  </si>
  <si>
    <t>世界文明等级差值对应提速后城建时间产出阶段基础值</t>
    <phoneticPr fontId="1" type="noConversion"/>
  </si>
  <si>
    <t>世界文明等级差值对应铁城建采集产出提速百分比</t>
    <phoneticPr fontId="1" type="noConversion"/>
  </si>
  <si>
    <t>预估玩家累积消耗城建时间</t>
    <phoneticPr fontId="1" type="noConversion"/>
  </si>
  <si>
    <t>预估玩家累积消耗科研时间</t>
    <phoneticPr fontId="1" type="noConversion"/>
  </si>
  <si>
    <t>世界文明等级差值对应城建时间消耗降低百分比</t>
    <phoneticPr fontId="1" type="noConversion"/>
  </si>
  <si>
    <t>世界文明等级差值对应科研时间消耗降低百分比</t>
    <phoneticPr fontId="1" type="noConversion"/>
  </si>
  <si>
    <t>世界文明等级差值对应提速后科研时间产出阶段基础值</t>
    <phoneticPr fontId="1" type="noConversion"/>
  </si>
  <si>
    <t>世界文明等级差值对应提速后科研时间消耗阶段差值</t>
    <phoneticPr fontId="1" type="noConversion"/>
  </si>
  <si>
    <t>提速下限控制</t>
    <phoneticPr fontId="1" type="noConversion"/>
  </si>
  <si>
    <t>调整系数</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</si>
</sst>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9" x14ac:knownFonts="1">
    <font>
      <sz val="11"/>
      <color theme="1"/>
      <name val="宋体"/>
      <family val="2"/>
      <scheme val="minor"/>
    </font>
    <font>
      <sz val="9"/>
      <name val="宋体"/>
      <family val="3"/>
      <charset val="134"/>
      <scheme val="minor"/>
    </font>
    <font>
      <sz val="10"/>
      <color theme="1"/>
      <name val="宋体"/>
      <family val="2"/>
      <scheme val="minor"/>
    </font>
    <font>
      <sz val="10"/>
      <color theme="1"/>
      <name val="宋体"/>
      <family val="3"/>
      <charset val="134"/>
      <scheme val="minor"/>
    </font>
    <font>
      <sz val="9"/>
      <color theme="1"/>
      <name val="宋体"/>
      <family val="3"/>
      <charset val="134"/>
      <scheme val="minor"/>
    </font>
    <font>
      <sz val="9"/>
      <color theme="1"/>
      <name val="宋体"/>
      <family val="2"/>
      <scheme val="minor"/>
    </font>
    <font>
      <sz val="9"/>
      <color rgb="FFFF0000"/>
      <name val="宋体"/>
      <family val="3"/>
      <charset val="134"/>
      <scheme val="minor"/>
    </font>
    <font>
      <sz val="9"/>
      <color rgb="FFFF0000"/>
      <name val="宋体"/>
      <family val="2"/>
      <scheme val="minor"/>
    </font>
    <font>
      <sz val="9"/>
      <name val="宋体"/>
      <family val="2"/>
      <scheme val="minor"/>
    </font>
  </fonts>
  <fills count="5">
    <fill>
      <patternFill patternType="none"/>
    </fill>
    <fill>
      <patternFill patternType="gray125"/>
    </fill>
    <fill>
      <patternFill patternType="solid">
        <fgColor theme="1"/>
        <bgColor indexed="64"/>
      </patternFill>
    </fill>
    <fill>
      <patternFill patternType="solid">
        <fgColor theme="9"/>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8">
    <xf numFmtId="0" fontId="0" fillId="0" borderId="0" xfId="0"/>
    <xf numFmtId="0" fontId="4" fillId="0" borderId="0" xfId="0" applyFont="1" applyAlignment="1">
      <alignment horizontal="center"/>
    </xf>
    <xf numFmtId="0" fontId="2" fillId="0" borderId="0" xfId="0" applyFont="1" applyAlignment="1">
      <alignment horizontal="center"/>
    </xf>
    <xf numFmtId="0" fontId="2" fillId="0" borderId="0" xfId="0" applyFont="1" applyAlignment="1">
      <alignment horizontal="center"/>
    </xf>
    <xf numFmtId="0" fontId="3" fillId="0" borderId="0" xfId="0" applyFont="1" applyAlignment="1">
      <alignment horizontal="center"/>
    </xf>
    <xf numFmtId="0" fontId="5" fillId="0" borderId="0" xfId="0" applyFont="1" applyAlignment="1">
      <alignment horizontal="center"/>
    </xf>
    <xf numFmtId="0" fontId="5" fillId="0" borderId="0" xfId="0" applyFont="1" applyAlignment="1">
      <alignment horizontal="center"/>
    </xf>
    <xf numFmtId="0" fontId="5" fillId="0" borderId="0" xfId="0" applyFont="1" applyAlignment="1"/>
    <xf numFmtId="0" fontId="5" fillId="0" borderId="0" xfId="0" applyFont="1" applyAlignment="1">
      <alignment horizontal="center"/>
    </xf>
    <xf numFmtId="0" fontId="5" fillId="0" borderId="0" xfId="0" applyFont="1" applyAlignment="1">
      <alignment horizontal="center"/>
    </xf>
    <xf numFmtId="0" fontId="5" fillId="0" borderId="0" xfId="0" applyFont="1" applyAlignment="1">
      <alignment horizontal="center"/>
    </xf>
    <xf numFmtId="9" fontId="4" fillId="0" borderId="0" xfId="0" applyNumberFormat="1" applyFont="1" applyAlignment="1">
      <alignment horizontal="center"/>
    </xf>
    <xf numFmtId="0" fontId="4" fillId="0" borderId="0" xfId="0" applyFont="1"/>
    <xf numFmtId="0" fontId="5" fillId="0" borderId="1" xfId="0" applyFont="1" applyBorder="1" applyAlignment="1">
      <alignment horizontal="center"/>
    </xf>
    <xf numFmtId="0" fontId="2" fillId="0" borderId="1" xfId="0" applyFont="1" applyBorder="1" applyAlignment="1">
      <alignment horizontal="center"/>
    </xf>
    <xf numFmtId="0" fontId="5" fillId="0" borderId="1" xfId="0" applyFont="1" applyBorder="1" applyAlignment="1"/>
    <xf numFmtId="0" fontId="5" fillId="2" borderId="0" xfId="0" applyFont="1" applyFill="1" applyAlignment="1">
      <alignment horizontal="center"/>
    </xf>
    <xf numFmtId="0" fontId="5" fillId="0" borderId="0" xfId="0" applyFont="1"/>
    <xf numFmtId="9" fontId="5" fillId="0" borderId="0" xfId="0" applyNumberFormat="1" applyFont="1" applyAlignment="1">
      <alignment horizontal="center"/>
    </xf>
    <xf numFmtId="0" fontId="5" fillId="0" borderId="0" xfId="0" applyFont="1" applyAlignment="1">
      <alignment horizontal="center"/>
    </xf>
    <xf numFmtId="0" fontId="5" fillId="0" borderId="0" xfId="0" applyFont="1" applyAlignment="1">
      <alignment horizontal="center"/>
    </xf>
    <xf numFmtId="0" fontId="5" fillId="0" borderId="0" xfId="0" applyFont="1" applyAlignment="1">
      <alignment horizontal="center"/>
    </xf>
    <xf numFmtId="0" fontId="5" fillId="0" borderId="0" xfId="0" applyFont="1" applyAlignment="1">
      <alignment horizontal="center" vertical="center" wrapText="1"/>
    </xf>
    <xf numFmtId="0" fontId="5" fillId="0" borderId="0" xfId="0" applyFont="1" applyAlignment="1">
      <alignment horizontal="center"/>
    </xf>
    <xf numFmtId="0" fontId="4" fillId="0" borderId="0" xfId="0" applyFont="1" applyAlignment="1">
      <alignment horizontal="center" vertical="center"/>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center"/>
    </xf>
    <xf numFmtId="0" fontId="4" fillId="0" borderId="0" xfId="0" applyFont="1" applyAlignment="1">
      <alignment horizontal="center" vertical="center"/>
    </xf>
    <xf numFmtId="2" fontId="4" fillId="0" borderId="0" xfId="0" applyNumberFormat="1" applyFont="1" applyAlignment="1">
      <alignment horizontal="center" vertical="center"/>
    </xf>
    <xf numFmtId="0" fontId="5" fillId="0" borderId="0" xfId="0" applyFont="1" applyAlignment="1">
      <alignment horizontal="center" vertical="center"/>
    </xf>
    <xf numFmtId="0" fontId="1" fillId="0" borderId="0" xfId="0" applyFont="1" applyAlignment="1">
      <alignment horizontal="center" vertical="center" shrinkToFit="1"/>
    </xf>
    <xf numFmtId="0" fontId="4" fillId="0" borderId="0" xfId="0" applyFont="1" applyBorder="1" applyAlignment="1">
      <alignment horizontal="center" vertical="center"/>
    </xf>
    <xf numFmtId="0" fontId="5" fillId="0" borderId="0" xfId="0" applyFont="1" applyAlignment="1">
      <alignment horizontal="center"/>
    </xf>
    <xf numFmtId="0" fontId="4" fillId="0" borderId="0" xfId="0" applyFont="1" applyAlignment="1">
      <alignment horizontal="center"/>
    </xf>
    <xf numFmtId="0" fontId="4" fillId="0" borderId="0" xfId="0" applyFont="1" applyAlignment="1">
      <alignment horizontal="center" vertical="center"/>
    </xf>
    <xf numFmtId="0" fontId="1" fillId="0" borderId="0" xfId="0" applyFont="1" applyAlignment="1">
      <alignment horizontal="center" vertical="center"/>
    </xf>
    <xf numFmtId="0" fontId="1" fillId="0" borderId="1" xfId="0" applyFont="1" applyBorder="1" applyAlignment="1">
      <alignment horizontal="center" vertical="center"/>
    </xf>
    <xf numFmtId="0" fontId="5" fillId="2" borderId="0" xfId="0" applyFont="1" applyFill="1"/>
    <xf numFmtId="0" fontId="4" fillId="0" borderId="0" xfId="0" applyFont="1" applyAlignment="1">
      <alignment horizontal="center" vertical="center"/>
    </xf>
    <xf numFmtId="0" fontId="6" fillId="0" borderId="0" xfId="0" applyFont="1" applyBorder="1" applyAlignment="1">
      <alignment horizontal="center" vertical="center"/>
    </xf>
    <xf numFmtId="0" fontId="5" fillId="0" borderId="0" xfId="0"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xf>
    <xf numFmtId="0" fontId="5" fillId="0" borderId="0" xfId="0" applyFont="1" applyAlignment="1">
      <alignment horizontal="center" vertical="center"/>
    </xf>
    <xf numFmtId="0" fontId="5" fillId="2" borderId="0" xfId="0" applyFont="1" applyFill="1" applyAlignment="1">
      <alignment horizontal="center" vertical="center"/>
    </xf>
    <xf numFmtId="176" fontId="4" fillId="0" borderId="0" xfId="0" applyNumberFormat="1" applyFont="1" applyAlignment="1">
      <alignment horizontal="center" vertical="center"/>
    </xf>
    <xf numFmtId="0" fontId="5" fillId="0" borderId="0" xfId="0" applyFont="1" applyFill="1" applyAlignment="1">
      <alignment horizontal="center" vertical="center"/>
    </xf>
    <xf numFmtId="10" fontId="5" fillId="0" borderId="0" xfId="0" applyNumberFormat="1" applyFont="1" applyAlignment="1">
      <alignment horizontal="center" vertical="center"/>
    </xf>
    <xf numFmtId="0" fontId="7" fillId="0" borderId="0" xfId="0" applyFont="1" applyAlignment="1">
      <alignment horizontal="left" vertical="center"/>
    </xf>
    <xf numFmtId="0" fontId="5" fillId="3" borderId="0" xfId="0" applyFont="1" applyFill="1" applyAlignment="1">
      <alignment horizontal="center" vertical="center"/>
    </xf>
    <xf numFmtId="0" fontId="8" fillId="0" borderId="0" xfId="0" applyFont="1" applyAlignment="1">
      <alignment horizontal="center" vertical="center"/>
    </xf>
    <xf numFmtId="9" fontId="5" fillId="0" borderId="0" xfId="0" applyNumberFormat="1" applyFont="1" applyAlignment="1">
      <alignment horizontal="center" vertical="center"/>
    </xf>
    <xf numFmtId="0" fontId="5" fillId="4" borderId="0" xfId="0" applyFont="1" applyFill="1"/>
    <xf numFmtId="0" fontId="5" fillId="0" borderId="0" xfId="0"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vertical="center" wrapText="1"/>
    </xf>
    <xf numFmtId="0" fontId="4" fillId="0" borderId="0" xfId="0" applyFont="1" applyAlignment="1">
      <alignment horizontal="center" vertical="center"/>
    </xf>
    <xf numFmtId="0" fontId="4" fillId="0" borderId="0" xfId="0" applyFont="1" applyBorder="1" applyAlignment="1">
      <alignment horizontal="center" vertical="center"/>
    </xf>
    <xf numFmtId="0" fontId="4" fillId="0" borderId="0" xfId="0" applyFont="1" applyAlignment="1">
      <alignment horizontal="center"/>
    </xf>
    <xf numFmtId="0" fontId="1" fillId="0" borderId="0" xfId="0" applyFont="1" applyAlignment="1">
      <alignment horizontal="center" vertical="center" shrinkToFit="1"/>
    </xf>
    <xf numFmtId="0" fontId="5" fillId="0" borderId="0" xfId="0" applyFont="1" applyAlignment="1">
      <alignment horizontal="center" vertical="center"/>
    </xf>
    <xf numFmtId="0" fontId="1" fillId="0" borderId="1" xfId="0" applyFont="1" applyBorder="1" applyAlignment="1">
      <alignment horizontal="center" vertical="center"/>
    </xf>
    <xf numFmtId="0" fontId="5" fillId="0" borderId="1" xfId="0" applyFont="1" applyBorder="1" applyAlignment="1">
      <alignment horizontal="center"/>
    </xf>
  </cellXfs>
  <cellStyles count="1">
    <cellStyle name="常规"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32463;&#27982;&#3492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9237;&#203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7494;&#2355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进度"/>
      <sheetName val="节奏总纲"/>
      <sheetName val="纲要"/>
      <sheetName val="问题"/>
      <sheetName val="资源-玩家经验"/>
      <sheetName val="资源-武将经验"/>
      <sheetName val="资源-装备经验"/>
      <sheetName val="功能-行军令"/>
      <sheetName val="功能-付费相关"/>
      <sheetName val="功能-采集"/>
      <sheetName val="功能-城建"/>
      <sheetName val="功能-实力"/>
      <sheetName val="资源-银币"/>
      <sheetName val="资源-铁"/>
      <sheetName val="资源-木石铜粮"/>
      <sheetName val="资源-战法经验"/>
      <sheetName val="功能-活动"/>
      <sheetName val="功能-士兵训练"/>
      <sheetName val="资源-士兵训练时间"/>
      <sheetName val="资源-玩家城池建筑时间"/>
      <sheetName val="资源-士兵招募时间"/>
      <sheetName val="资源-圣人研究时间"/>
      <sheetName val="养成buff汇总"/>
      <sheetName val="非养成buff汇总"/>
      <sheetName val="资源-钻石"/>
      <sheetName val="功能-分享问卷社区"/>
      <sheetName val="功能-战损相关"/>
      <sheetName val="服务器生态"/>
      <sheetName val="功能-仓库"/>
      <sheetName val="功能-士兵负重"/>
      <sheetName val="功能-竞技场"/>
      <sheetName val="功能-推荐任务"/>
      <sheetName val="功能-登录奖励"/>
      <sheetName val="功能-子任务"/>
      <sheetName val="功能-日常任务"/>
      <sheetName val="功能-九鼎之争"/>
      <sheetName val="调研"/>
      <sheetName val="资源-贡品"/>
      <sheetName val="资源-圣人好感度（废弃）"/>
      <sheetName val="资源-装备"/>
      <sheetName val="把控"/>
      <sheetName val="资源-时间分配"/>
      <sheetName val="功能-VIP"/>
      <sheetName val="草稿"/>
      <sheetName val="Sheet1"/>
      <sheetName val="Sheet4"/>
      <sheetName val="Sheet5"/>
      <sheetName val="功能-分享和问卷"/>
      <sheetName val="付费汇总"/>
      <sheetName val="资源-圣人好感度"/>
      <sheetName val="资源-城池"/>
      <sheetName val="资源-普通点将牌"/>
      <sheetName val="功能-主线副本"/>
      <sheetName val="功能-主线任务"/>
      <sheetName val="功能-成就"/>
      <sheetName val="功能-大地图"/>
      <sheetName val="功能-采集效率"/>
      <sheetName val="功能-付费占比汇总"/>
      <sheetName val="资源-国家币"/>
      <sheetName val="Sheet3"/>
      <sheetName val="功能-军团"/>
      <sheetName val="资源-士兵招募"/>
      <sheetName val="资源-抽奖卷"/>
      <sheetName val="功能-全局事件"/>
      <sheetName val="评分"/>
      <sheetName val="Sheet2"/>
      <sheetName val="资源-玩家城池建筑时间（备份）"/>
      <sheetName val="资源-战法"/>
      <sheetName val="资源-采集效率"/>
      <sheetName val="功能-圣人"/>
      <sheetName val="功能-国家城池"/>
      <sheetName val="功能-挑战副本"/>
      <sheetName val="资源-非养成buff价值"/>
      <sheetName val="资源-铁（备份）"/>
      <sheetName val="资源-木石铜（备份）"/>
      <sheetName val="功能-大地图城池"/>
    </sheetNames>
    <sheetDataSet>
      <sheetData sheetId="0"/>
      <sheetData sheetId="1">
        <row r="3">
          <cell r="F3">
            <v>1</v>
          </cell>
          <cell r="N3" t="str">
            <v>对应玩家等级</v>
          </cell>
        </row>
        <row r="4">
          <cell r="N4">
            <v>2</v>
          </cell>
          <cell r="P4">
            <v>7.1773462536293131E-2</v>
          </cell>
          <cell r="Q4">
            <v>5.9787294292732177E-2</v>
          </cell>
          <cell r="R4">
            <v>4.677476553490223E-2</v>
          </cell>
          <cell r="S4">
            <v>3.2585151991477081E-2</v>
          </cell>
          <cell r="T4">
            <v>1.7039020006115988E-2</v>
          </cell>
          <cell r="W4">
            <v>7.1773462536293131E-2</v>
          </cell>
          <cell r="X4">
            <v>5.9787294292732177E-2</v>
          </cell>
          <cell r="Y4">
            <v>4.677476553490223E-2</v>
          </cell>
          <cell r="Z4">
            <v>3.2585151991477081E-2</v>
          </cell>
          <cell r="AA4">
            <v>1.7039020006115988E-2</v>
          </cell>
          <cell r="AD4">
            <v>10</v>
          </cell>
          <cell r="AE4">
            <v>11.148446722089302</v>
          </cell>
          <cell r="AF4">
            <v>12.761737853656415</v>
          </cell>
          <cell r="AG4">
            <v>15.452231935206081</v>
          </cell>
          <cell r="AH4">
            <v>21.291911942729964</v>
          </cell>
          <cell r="AM4">
            <v>7.4349177498517554E-3</v>
          </cell>
          <cell r="AN4">
            <v>5.947934199881405E-3</v>
          </cell>
          <cell r="AO4">
            <v>4.4609506499110529E-3</v>
          </cell>
          <cell r="AP4">
            <v>2.9739670999407025E-3</v>
          </cell>
          <cell r="AQ4">
            <v>1.4869835499703513E-3</v>
          </cell>
          <cell r="AT4">
            <v>7.4349177498517554E-3</v>
          </cell>
          <cell r="AU4">
            <v>5.947934199881405E-3</v>
          </cell>
          <cell r="AV4">
            <v>4.4609506499110529E-3</v>
          </cell>
          <cell r="AW4">
            <v>2.9739670999407025E-3</v>
          </cell>
          <cell r="AX4">
            <v>1.4869835499703513E-3</v>
          </cell>
          <cell r="BA4">
            <v>11.296493250964016</v>
          </cell>
          <cell r="BB4">
            <v>12.361596792946616</v>
          </cell>
          <cell r="BC4">
            <v>13.798091195443488</v>
          </cell>
          <cell r="BD4">
            <v>15.911635365458322</v>
          </cell>
          <cell r="BE4">
            <v>19.707330185578734</v>
          </cell>
          <cell r="BJ4">
            <v>0.3</v>
          </cell>
          <cell r="BK4">
            <v>0.30599999999999999</v>
          </cell>
          <cell r="BL4">
            <v>0.318</v>
          </cell>
          <cell r="BM4">
            <v>0.34199999999999997</v>
          </cell>
          <cell r="BN4">
            <v>0.42</v>
          </cell>
        </row>
        <row r="5">
          <cell r="N5">
            <v>4</v>
          </cell>
          <cell r="P5">
            <v>0.1486983549970351</v>
          </cell>
          <cell r="Q5">
            <v>0.12505531655250651</v>
          </cell>
          <cell r="R5">
            <v>9.883979656652922E-2</v>
          </cell>
          <cell r="S5">
            <v>6.9828747506607683E-2</v>
          </cell>
          <cell r="T5">
            <v>3.7085369736260552E-2</v>
          </cell>
          <cell r="W5">
            <v>7.6924892460741967E-2</v>
          </cell>
          <cell r="X5">
            <v>6.5268022259774336E-2</v>
          </cell>
          <cell r="Y5">
            <v>5.206503103162699E-2</v>
          </cell>
          <cell r="Z5">
            <v>3.7243595515130602E-2</v>
          </cell>
          <cell r="AA5">
            <v>2.0046349730144564E-2</v>
          </cell>
          <cell r="AD5">
            <v>15.845161563010114</v>
          </cell>
          <cell r="AE5">
            <v>17.271997130667014</v>
          </cell>
          <cell r="AF5">
            <v>19.263096801323076</v>
          </cell>
          <cell r="AG5">
            <v>22.536681597650272</v>
          </cell>
          <cell r="AH5">
            <v>29.386000042029625</v>
          </cell>
          <cell r="AM5">
            <v>2.3963093307967063E-2</v>
          </cell>
          <cell r="AN5">
            <v>1.9170474646373652E-2</v>
          </cell>
          <cell r="AO5">
            <v>1.4377855984780237E-2</v>
          </cell>
          <cell r="AP5">
            <v>9.5852373231868262E-3</v>
          </cell>
          <cell r="AQ5">
            <v>4.7926186615934131E-3</v>
          </cell>
          <cell r="AT5">
            <v>1.6528175558115307E-2</v>
          </cell>
          <cell r="AU5">
            <v>1.3222540446492247E-2</v>
          </cell>
          <cell r="AV5">
            <v>9.9169053348691846E-3</v>
          </cell>
          <cell r="AW5">
            <v>6.6112702232461237E-3</v>
          </cell>
          <cell r="AX5">
            <v>3.3056351116230618E-3</v>
          </cell>
          <cell r="BA5">
            <v>14.729965238833779</v>
          </cell>
          <cell r="BB5">
            <v>15.911635365458322</v>
          </cell>
          <cell r="BC5">
            <v>17.448850811924295</v>
          </cell>
          <cell r="BD5">
            <v>19.707330185578734</v>
          </cell>
          <cell r="BE5">
            <v>23.710496742673982</v>
          </cell>
          <cell r="BJ5">
            <v>0.47499999999999998</v>
          </cell>
          <cell r="BK5">
            <v>0.48449999999999999</v>
          </cell>
          <cell r="BL5">
            <v>0.50349999999999995</v>
          </cell>
          <cell r="BM5">
            <v>0.54149999999999998</v>
          </cell>
          <cell r="BN5">
            <v>0.66499999999999992</v>
          </cell>
        </row>
        <row r="6">
          <cell r="N6">
            <v>6</v>
          </cell>
          <cell r="P6">
            <v>0.23114441334491631</v>
          </cell>
          <cell r="Q6">
            <v>0.19582554698581309</v>
          </cell>
          <cell r="R6">
            <v>0.15616116565582547</v>
          </cell>
          <cell r="S6">
            <v>0.11120357726023924</v>
          </cell>
          <cell r="T6">
            <v>5.9380999788309005E-2</v>
          </cell>
          <cell r="W6">
            <v>8.2446058347881213E-2</v>
          </cell>
          <cell r="X6">
            <v>7.0770230433306575E-2</v>
          </cell>
          <cell r="Y6">
            <v>5.7321369089296248E-2</v>
          </cell>
          <cell r="Z6">
            <v>4.1374829753631562E-2</v>
          </cell>
          <cell r="AA6">
            <v>2.2295630052048453E-2</v>
          </cell>
          <cell r="AD6">
            <v>20</v>
          </cell>
          <cell r="AE6">
            <v>21.543844702365945</v>
          </cell>
          <cell r="AF6">
            <v>23.734615677065324</v>
          </cell>
          <cell r="AG6">
            <v>27.324610510337703</v>
          </cell>
          <cell r="AH6">
            <v>34.517938607173015</v>
          </cell>
          <cell r="AM6">
            <v>5.1571656651039799E-2</v>
          </cell>
          <cell r="AN6">
            <v>4.1257325320831845E-2</v>
          </cell>
          <cell r="AO6">
            <v>3.0942993990623877E-2</v>
          </cell>
          <cell r="AP6">
            <v>2.0628662660415922E-2</v>
          </cell>
          <cell r="AQ6">
            <v>1.0314331330207961E-2</v>
          </cell>
          <cell r="AT6">
            <v>2.7608563343072736E-2</v>
          </cell>
          <cell r="AU6">
            <v>2.2086850674458192E-2</v>
          </cell>
          <cell r="AV6">
            <v>1.6565138005843638E-2</v>
          </cell>
          <cell r="AW6">
            <v>1.1043425337229096E-2</v>
          </cell>
          <cell r="AX6">
            <v>5.5217126686145481E-3</v>
          </cell>
          <cell r="BA6">
            <v>16.888397947066121</v>
          </cell>
          <cell r="BB6">
            <v>18.108391417375849</v>
          </cell>
          <cell r="BC6">
            <v>19.707330185578734</v>
          </cell>
          <cell r="BD6">
            <v>22.041972908628715</v>
          </cell>
          <cell r="BE6">
            <v>26.127796402772656</v>
          </cell>
          <cell r="BJ6">
            <v>0.65</v>
          </cell>
          <cell r="BK6">
            <v>0.66300000000000003</v>
          </cell>
          <cell r="BL6">
            <v>0.68900000000000006</v>
          </cell>
          <cell r="BM6">
            <v>0.74099999999999999</v>
          </cell>
          <cell r="BN6">
            <v>0.90999999999999992</v>
          </cell>
        </row>
        <row r="7">
          <cell r="N7">
            <v>8</v>
          </cell>
          <cell r="P7">
            <v>0.3195079107728942</v>
          </cell>
          <cell r="Q7">
            <v>0.2719651336498875</v>
          </cell>
          <cell r="R7">
            <v>0.21816000147573214</v>
          </cell>
          <cell r="S7">
            <v>0.15607961441255883</v>
          </cell>
          <cell r="T7">
            <v>8.4062531324348461E-2</v>
          </cell>
          <cell r="W7">
            <v>8.8363497427977888E-2</v>
          </cell>
          <cell r="X7">
            <v>7.6139586664074416E-2</v>
          </cell>
          <cell r="Y7">
            <v>6.1998835819906672E-2</v>
          </cell>
          <cell r="Z7">
            <v>4.4876037152319581E-2</v>
          </cell>
          <cell r="AA7">
            <v>2.4681531536039455E-2</v>
          </cell>
          <cell r="AD7">
            <v>23.213386604241784</v>
          </cell>
          <cell r="AE7">
            <v>24.836966034810484</v>
          </cell>
          <cell r="AF7">
            <v>27.155717181399513</v>
          </cell>
          <cell r="AG7">
            <v>30.831257561377125</v>
          </cell>
          <cell r="AH7">
            <v>38.431365705145346</v>
          </cell>
          <cell r="AM7">
            <v>9.2637640824031031E-2</v>
          </cell>
          <cell r="AN7">
            <v>7.4110112659224833E-2</v>
          </cell>
          <cell r="AO7">
            <v>5.5582584494418615E-2</v>
          </cell>
          <cell r="AP7">
            <v>3.7055056329612417E-2</v>
          </cell>
          <cell r="AQ7">
            <v>1.8527528164806208E-2</v>
          </cell>
          <cell r="AT7">
            <v>4.1065984172991232E-2</v>
          </cell>
          <cell r="AU7">
            <v>3.2852787338392989E-2</v>
          </cell>
          <cell r="AV7">
            <v>2.4639590503794738E-2</v>
          </cell>
          <cell r="AW7">
            <v>1.6426393669196494E-2</v>
          </cell>
          <cell r="AX7">
            <v>8.2131968345982471E-3</v>
          </cell>
          <cell r="BA7">
            <v>18.453550676044042</v>
          </cell>
          <cell r="BB7">
            <v>19.707330185578734</v>
          </cell>
          <cell r="BC7">
            <v>21.34613466141565</v>
          </cell>
          <cell r="BD7">
            <v>23.710496742673982</v>
          </cell>
          <cell r="BE7">
            <v>27.863030247590562</v>
          </cell>
          <cell r="BJ7">
            <v>0.82499999999999996</v>
          </cell>
          <cell r="BK7">
            <v>0.84149999999999991</v>
          </cell>
          <cell r="BL7">
            <v>0.87449999999999994</v>
          </cell>
          <cell r="BM7">
            <v>0.94049999999999989</v>
          </cell>
          <cell r="BN7">
            <v>1.1549999999999998</v>
          </cell>
        </row>
        <row r="8">
          <cell r="N8">
            <v>10</v>
          </cell>
          <cell r="P8">
            <v>0.41421356237309515</v>
          </cell>
          <cell r="Q8">
            <v>0.35241289886702937</v>
          </cell>
          <cell r="R8">
            <v>0.28315639123824782</v>
          </cell>
          <cell r="S8">
            <v>0.20296464556281663</v>
          </cell>
          <cell r="T8">
            <v>0.10951806589144637</v>
          </cell>
          <cell r="W8">
            <v>9.4705651600200946E-2</v>
          </cell>
          <cell r="X8">
            <v>8.0447765217141864E-2</v>
          </cell>
          <cell r="Y8">
            <v>6.4996389762515677E-2</v>
          </cell>
          <cell r="Z8">
            <v>4.68850311502578E-2</v>
          </cell>
          <cell r="AA8">
            <v>2.5455534567097912E-2</v>
          </cell>
          <cell r="AD8">
            <v>25.845161563010112</v>
          </cell>
          <cell r="AE8">
            <v>27.525245270311611</v>
          </cell>
          <cell r="AF8">
            <v>29.892344464157688</v>
          </cell>
          <cell r="AG8">
            <v>33.672145166817529</v>
          </cell>
          <cell r="AH8">
            <v>41.359260538726978</v>
          </cell>
          <cell r="AM8">
            <v>0.15</v>
          </cell>
          <cell r="AN8">
            <v>0.12</v>
          </cell>
          <cell r="AO8">
            <v>0.09</v>
          </cell>
          <cell r="AP8">
            <v>0.06</v>
          </cell>
          <cell r="AQ8">
            <v>0.03</v>
          </cell>
          <cell r="AT8">
            <v>5.7362359175968963E-2</v>
          </cell>
          <cell r="AU8">
            <v>4.5889887340775162E-2</v>
          </cell>
          <cell r="AV8">
            <v>3.4417415505581382E-2</v>
          </cell>
          <cell r="AW8">
            <v>2.2944943670387581E-2</v>
          </cell>
          <cell r="AX8">
            <v>1.1472471835193791E-2</v>
          </cell>
          <cell r="BA8">
            <v>19.707330185578734</v>
          </cell>
          <cell r="BB8">
            <v>20.993539484876777</v>
          </cell>
          <cell r="BC8">
            <v>22.639743033177162</v>
          </cell>
          <cell r="BD8">
            <v>25.044229735272328</v>
          </cell>
          <cell r="BE8">
            <v>29.216428548527322</v>
          </cell>
          <cell r="BJ8">
            <v>1</v>
          </cell>
          <cell r="BK8">
            <v>1.02</v>
          </cell>
          <cell r="BL8">
            <v>1.06</v>
          </cell>
          <cell r="BM8">
            <v>1.1399999999999999</v>
          </cell>
          <cell r="BN8">
            <v>1.4</v>
          </cell>
        </row>
        <row r="9">
          <cell r="N9">
            <v>12</v>
          </cell>
          <cell r="P9">
            <v>0.51571656651039799</v>
          </cell>
          <cell r="Q9">
            <v>0.43939051466685908</v>
          </cell>
          <cell r="R9">
            <v>0.35336899137292471</v>
          </cell>
          <cell r="S9">
            <v>0.25440298225957936</v>
          </cell>
          <cell r="T9">
            <v>0.13836675479473978</v>
          </cell>
          <cell r="W9">
            <v>0.10150300413730284</v>
          </cell>
          <cell r="X9">
            <v>8.6977615799829711E-2</v>
          </cell>
          <cell r="Y9">
            <v>7.0212600134676895E-2</v>
          </cell>
          <cell r="Z9">
            <v>5.1438336696762732E-2</v>
          </cell>
          <cell r="AA9">
            <v>2.884868890329341E-2</v>
          </cell>
          <cell r="AD9">
            <v>28.071211008105138</v>
          </cell>
          <cell r="AE9">
            <v>29.78183527117605</v>
          </cell>
          <cell r="AF9">
            <v>32.202183458664891</v>
          </cell>
          <cell r="AG9">
            <v>36.067019846099676</v>
          </cell>
          <cell r="AH9">
            <v>43.870275262019007</v>
          </cell>
          <cell r="AM9">
            <v>0.22055744069899194</v>
          </cell>
          <cell r="AN9">
            <v>0.17644595255919357</v>
          </cell>
          <cell r="AO9">
            <v>0.13233446441939517</v>
          </cell>
          <cell r="AP9">
            <v>8.8222976279596785E-2</v>
          </cell>
          <cell r="AQ9">
            <v>4.4111488139798392E-2</v>
          </cell>
          <cell r="AT9">
            <v>7.0557440698991947E-2</v>
          </cell>
          <cell r="AU9">
            <v>5.6445952559193574E-2</v>
          </cell>
          <cell r="AV9">
            <v>4.2334464419395174E-2</v>
          </cell>
          <cell r="AW9">
            <v>2.8222976279596787E-2</v>
          </cell>
          <cell r="AX9">
            <v>1.4111488139798394E-2</v>
          </cell>
          <cell r="BA9">
            <v>20.745154613657583</v>
          </cell>
          <cell r="BB9">
            <v>22.041972908628715</v>
          </cell>
          <cell r="BC9">
            <v>23.710496742673982</v>
          </cell>
          <cell r="BD9">
            <v>26.127796402772656</v>
          </cell>
          <cell r="BE9">
            <v>30.329493925593439</v>
          </cell>
          <cell r="BJ9">
            <v>1.0333333333333334</v>
          </cell>
          <cell r="BK9">
            <v>1.054</v>
          </cell>
          <cell r="BL9">
            <v>1.0953333333333335</v>
          </cell>
          <cell r="BM9">
            <v>1.1779999999999999</v>
          </cell>
          <cell r="BN9">
            <v>1.4466666666666668</v>
          </cell>
        </row>
        <row r="10">
          <cell r="N10">
            <v>14</v>
          </cell>
          <cell r="P10">
            <v>0.62450479271247095</v>
          </cell>
          <cell r="Q10">
            <v>0.53413894920697635</v>
          </cell>
          <cell r="R10">
            <v>0.43072095553379119</v>
          </cell>
          <cell r="S10">
            <v>0.30950457526830061</v>
          </cell>
          <cell r="T10">
            <v>0.16699258157131475</v>
          </cell>
          <cell r="W10">
            <v>0.10878822620207296</v>
          </cell>
          <cell r="X10">
            <v>9.4748434540117277E-2</v>
          </cell>
          <cell r="Y10">
            <v>7.7351964160866482E-2</v>
          </cell>
          <cell r="Z10">
            <v>5.510159300872125E-2</v>
          </cell>
          <cell r="AA10">
            <v>2.8625826776574964E-2</v>
          </cell>
          <cell r="AD10">
            <v>30</v>
          </cell>
          <cell r="AE10">
            <v>31.718819483847451</v>
          </cell>
          <cell r="AF10">
            <v>34.192155176139416</v>
          </cell>
          <cell r="AG10">
            <v>38.19822972207853</v>
          </cell>
          <cell r="AH10">
            <v>46.093186357957826</v>
          </cell>
          <cell r="AM10">
            <v>0.31141300609369982</v>
          </cell>
          <cell r="AN10">
            <v>0.24913040487495985</v>
          </cell>
          <cell r="AO10">
            <v>0.18684780365621989</v>
          </cell>
          <cell r="AP10">
            <v>0.12456520243747993</v>
          </cell>
          <cell r="AQ10">
            <v>6.2282601218739964E-2</v>
          </cell>
          <cell r="AT10">
            <v>9.0855565394707877E-2</v>
          </cell>
          <cell r="AU10">
            <v>7.2684452315766285E-2</v>
          </cell>
          <cell r="AV10">
            <v>5.451333923682472E-2</v>
          </cell>
          <cell r="AW10">
            <v>3.6342226157883142E-2</v>
          </cell>
          <cell r="AX10">
            <v>1.8171113078941571E-2</v>
          </cell>
          <cell r="BA10">
            <v>21.627432338833255</v>
          </cell>
          <cell r="BB10">
            <v>22.938628095451385</v>
          </cell>
          <cell r="BC10">
            <v>24.619152272059132</v>
          </cell>
          <cell r="BD10">
            <v>27.059707353051884</v>
          </cell>
          <cell r="BE10">
            <v>31.280110398778046</v>
          </cell>
          <cell r="BJ10">
            <v>1.0666666666666669</v>
          </cell>
          <cell r="BK10">
            <v>1.0880000000000003</v>
          </cell>
          <cell r="BL10">
            <v>1.1306666666666669</v>
          </cell>
          <cell r="BM10">
            <v>1.2160000000000002</v>
          </cell>
          <cell r="BN10">
            <v>1.4933333333333336</v>
          </cell>
        </row>
        <row r="11">
          <cell r="N11">
            <v>16</v>
          </cell>
          <cell r="P11">
            <v>0.74110112659224825</v>
          </cell>
          <cell r="Q11">
            <v>0.63089938906798093</v>
          </cell>
          <cell r="R11">
            <v>0.50550507844857251</v>
          </cell>
          <cell r="S11">
            <v>0.36195379022765406</v>
          </cell>
          <cell r="T11">
            <v>0.19579891764567198</v>
          </cell>
          <cell r="W11">
            <v>0.1165963338797773</v>
          </cell>
          <cell r="X11">
            <v>9.6760439861004577E-2</v>
          </cell>
          <cell r="Y11">
            <v>7.4784122914781315E-2</v>
          </cell>
          <cell r="Z11">
            <v>5.2449214959353452E-2</v>
          </cell>
          <cell r="AA11">
            <v>2.8806336074357231E-2</v>
          </cell>
          <cell r="AD11">
            <v>31.691928656135214</v>
          </cell>
          <cell r="AE11">
            <v>33.465251056098396</v>
          </cell>
          <cell r="AF11">
            <v>35.930751746472978</v>
          </cell>
          <cell r="AG11">
            <v>39.998279638578282</v>
          </cell>
          <cell r="AH11">
            <v>48.067140183443534</v>
          </cell>
          <cell r="AM11">
            <v>0.42660095793436714</v>
          </cell>
          <cell r="AN11">
            <v>0.34128076634749371</v>
          </cell>
          <cell r="AO11">
            <v>0.25596057476062029</v>
          </cell>
          <cell r="AP11">
            <v>0.17064038317374686</v>
          </cell>
          <cell r="AQ11">
            <v>8.5320191586873428E-2</v>
          </cell>
          <cell r="AT11">
            <v>0.11518795184066732</v>
          </cell>
          <cell r="AU11">
            <v>9.2150361472533859E-2</v>
          </cell>
          <cell r="AV11">
            <v>6.9112771104400395E-2</v>
          </cell>
          <cell r="AW11">
            <v>4.607518073626693E-2</v>
          </cell>
          <cell r="AX11">
            <v>2.3037590368133465E-2</v>
          </cell>
          <cell r="BA11">
            <v>22.400634983357783</v>
          </cell>
          <cell r="BB11">
            <v>23.710496742673982</v>
          </cell>
          <cell r="BC11">
            <v>25.412810862541733</v>
          </cell>
          <cell r="BD11">
            <v>27.863030247590562</v>
          </cell>
          <cell r="BE11">
            <v>32.113552950216736</v>
          </cell>
          <cell r="BJ11">
            <v>1.1000000000000003</v>
          </cell>
          <cell r="BK11">
            <v>1.1220000000000003</v>
          </cell>
          <cell r="BL11">
            <v>1.1660000000000004</v>
          </cell>
          <cell r="BM11">
            <v>1.2540000000000002</v>
          </cell>
          <cell r="BN11">
            <v>1.5400000000000003</v>
          </cell>
        </row>
        <row r="12">
          <cell r="N12">
            <v>18</v>
          </cell>
          <cell r="P12">
            <v>0.86606598307361482</v>
          </cell>
          <cell r="Q12">
            <v>0.73702215159564621</v>
          </cell>
          <cell r="R12">
            <v>0.59282216541388932</v>
          </cell>
          <cell r="S12">
            <v>0.42766338244175101</v>
          </cell>
          <cell r="T12">
            <v>0.23193247026711403</v>
          </cell>
          <cell r="W12">
            <v>0.12496485648136657</v>
          </cell>
          <cell r="X12">
            <v>0.10612276252766528</v>
          </cell>
          <cell r="Y12">
            <v>8.7317086965316815E-2</v>
          </cell>
          <cell r="Z12">
            <v>6.5709592214096946E-2</v>
          </cell>
          <cell r="AA12">
            <v>3.613355262144205E-2</v>
          </cell>
          <cell r="AD12">
            <v>33.213386604241784</v>
          </cell>
          <cell r="AE12">
            <v>34.992730785174565</v>
          </cell>
          <cell r="AF12">
            <v>37.510565846691456</v>
          </cell>
          <cell r="AG12">
            <v>41.534743419557365</v>
          </cell>
          <cell r="AH12">
            <v>49.706056771838036</v>
          </cell>
          <cell r="AM12">
            <v>0.57090651823243421</v>
          </cell>
          <cell r="AN12">
            <v>0.45672521458594739</v>
          </cell>
          <cell r="AO12">
            <v>0.34254391093946052</v>
          </cell>
          <cell r="AP12">
            <v>0.2283626072929737</v>
          </cell>
          <cell r="AQ12">
            <v>0.11418130364648685</v>
          </cell>
          <cell r="AT12">
            <v>0.14430556029806707</v>
          </cell>
          <cell r="AU12">
            <v>0.11544444823845368</v>
          </cell>
          <cell r="AV12">
            <v>8.6583336178840231E-2</v>
          </cell>
          <cell r="AW12">
            <v>5.7722224119226839E-2</v>
          </cell>
          <cell r="AX12">
            <v>2.886111205961342E-2</v>
          </cell>
          <cell r="BA12">
            <v>23.100336713798686</v>
          </cell>
          <cell r="BB12">
            <v>24.402761517547276</v>
          </cell>
          <cell r="BC12">
            <v>26.127796402772656</v>
          </cell>
          <cell r="BD12">
            <v>28.568390277483555</v>
          </cell>
          <cell r="BE12">
            <v>32.842201900114915</v>
          </cell>
          <cell r="BJ12">
            <v>1.1333333333333337</v>
          </cell>
          <cell r="BK12">
            <v>1.1560000000000004</v>
          </cell>
          <cell r="BL12">
            <v>1.2013333333333338</v>
          </cell>
          <cell r="BM12">
            <v>1.2920000000000003</v>
          </cell>
          <cell r="BN12">
            <v>1.5866666666666671</v>
          </cell>
        </row>
        <row r="13">
          <cell r="N13">
            <v>20</v>
          </cell>
          <cell r="P13">
            <v>1</v>
          </cell>
          <cell r="Q13">
            <v>0.8548</v>
          </cell>
          <cell r="R13">
            <v>0.6895</v>
          </cell>
          <cell r="S13">
            <v>0.49980000000000002</v>
          </cell>
          <cell r="T13">
            <v>0.2732</v>
          </cell>
          <cell r="W13">
            <v>0.13393401692638518</v>
          </cell>
          <cell r="X13">
            <v>0.11777784840435379</v>
          </cell>
          <cell r="Y13">
            <v>9.6677834586110678E-2</v>
          </cell>
          <cell r="Z13">
            <v>7.2136617558249017E-2</v>
          </cell>
          <cell r="AA13">
            <v>4.1267529732885971E-2</v>
          </cell>
          <cell r="AD13">
            <v>34.585942742481357</v>
          </cell>
          <cell r="AE13">
            <v>36.36169634498642</v>
          </cell>
          <cell r="AF13">
            <v>38.977035507933373</v>
          </cell>
          <cell r="AG13">
            <v>42.970748198558951</v>
          </cell>
          <cell r="AH13">
            <v>51.212821897464167</v>
          </cell>
          <cell r="AM13">
            <v>0.75</v>
          </cell>
          <cell r="AN13">
            <v>0.60000000000000009</v>
          </cell>
          <cell r="AO13">
            <v>0.44999999999999996</v>
          </cell>
          <cell r="AP13">
            <v>0.30000000000000004</v>
          </cell>
          <cell r="AQ13">
            <v>0.15000000000000002</v>
          </cell>
          <cell r="AT13">
            <v>0.17909348176756579</v>
          </cell>
          <cell r="AU13">
            <v>0.1432747854140527</v>
          </cell>
          <cell r="AV13">
            <v>0.10745608906053944</v>
          </cell>
          <cell r="AW13">
            <v>7.1637392707026348E-2</v>
          </cell>
          <cell r="AX13">
            <v>3.5818696353513174E-2</v>
          </cell>
          <cell r="BA13">
            <v>23.710496742673982</v>
          </cell>
          <cell r="BB13">
            <v>25.044229735272328</v>
          </cell>
          <cell r="BC13">
            <v>26.755953543357073</v>
          </cell>
          <cell r="BD13">
            <v>29.216428548527322</v>
          </cell>
          <cell r="BE13">
            <v>33.487933395889513</v>
          </cell>
          <cell r="BJ13">
            <v>1.1666666666666672</v>
          </cell>
          <cell r="BK13">
            <v>1.1900000000000006</v>
          </cell>
          <cell r="BL13">
            <v>1.2366666666666672</v>
          </cell>
          <cell r="BM13">
            <v>1.3300000000000005</v>
          </cell>
          <cell r="BN13">
            <v>1.633333333333334</v>
          </cell>
        </row>
        <row r="14">
          <cell r="N14">
            <v>21</v>
          </cell>
          <cell r="P14">
            <v>1.1435469250725863</v>
          </cell>
          <cell r="Q14">
            <v>0.98036277886472811</v>
          </cell>
          <cell r="R14">
            <v>0.79453640354043287</v>
          </cell>
          <cell r="S14">
            <v>0.57577587677404707</v>
          </cell>
          <cell r="T14">
            <v>0.31767733578516444</v>
          </cell>
          <cell r="W14">
            <v>0.14354692507258626</v>
          </cell>
          <cell r="X14">
            <v>0.12556277886472811</v>
          </cell>
          <cell r="Y14">
            <v>0.10503640354043287</v>
          </cell>
          <cell r="Z14">
            <v>7.5975876774047046E-2</v>
          </cell>
          <cell r="AA14">
            <v>4.447733578516444E-2</v>
          </cell>
          <cell r="AD14">
            <v>35.845161563010116</v>
          </cell>
          <cell r="AE14">
            <v>37.6388925299823</v>
          </cell>
          <cell r="AF14">
            <v>40.259528204263837</v>
          </cell>
          <cell r="AG14">
            <v>44.288230531994081</v>
          </cell>
          <cell r="AH14">
            <v>52.559419343629337</v>
          </cell>
          <cell r="AM14">
            <v>0.93464628919691628</v>
          </cell>
          <cell r="AN14">
            <v>0.74771703135753309</v>
          </cell>
          <cell r="AO14">
            <v>0.56078777351814979</v>
          </cell>
          <cell r="AP14">
            <v>0.37385851567876655</v>
          </cell>
          <cell r="AQ14">
            <v>0.18692925783938327</v>
          </cell>
          <cell r="AT14">
            <v>0.18464628919691628</v>
          </cell>
          <cell r="AU14">
            <v>0.147717031357533</v>
          </cell>
          <cell r="AV14">
            <v>0.11078777351814983</v>
          </cell>
          <cell r="AW14">
            <v>7.3858515678766501E-2</v>
          </cell>
          <cell r="AX14">
            <v>3.692925783938325E-2</v>
          </cell>
          <cell r="BA14">
            <v>24.272927064840161</v>
          </cell>
          <cell r="BB14">
            <v>25.597101426176433</v>
          </cell>
          <cell r="BC14">
            <v>27.327481651231444</v>
          </cell>
          <cell r="BD14">
            <v>29.80118336305917</v>
          </cell>
          <cell r="BE14">
            <v>34.09469189131628</v>
          </cell>
          <cell r="BJ14">
            <v>1.2000000000000006</v>
          </cell>
          <cell r="BK14">
            <v>1.2240000000000006</v>
          </cell>
          <cell r="BL14">
            <v>1.2720000000000007</v>
          </cell>
          <cell r="BM14">
            <v>1.3680000000000005</v>
          </cell>
          <cell r="BN14">
            <v>1.6800000000000008</v>
          </cell>
        </row>
        <row r="15">
          <cell r="N15">
            <v>22</v>
          </cell>
          <cell r="P15">
            <v>1.2973967099940702</v>
          </cell>
          <cell r="Q15">
            <v>1.1126474184909145</v>
          </cell>
          <cell r="R15">
            <v>0.9058423829178599</v>
          </cell>
          <cell r="S15">
            <v>0.66219128078097333</v>
          </cell>
          <cell r="T15">
            <v>0.36560639287632896</v>
          </cell>
          <cell r="W15">
            <v>0.15384978492148393</v>
          </cell>
          <cell r="X15">
            <v>0.13228463962618642</v>
          </cell>
          <cell r="Y15">
            <v>0.11130597937742703</v>
          </cell>
          <cell r="Z15">
            <v>8.6415404006926266E-2</v>
          </cell>
          <cell r="AA15">
            <v>4.7929057091164518E-2</v>
          </cell>
          <cell r="AD15">
            <v>37.004247194324648</v>
          </cell>
          <cell r="AE15">
            <v>38.827998824669805</v>
          </cell>
          <cell r="AF15">
            <v>41.408320762540754</v>
          </cell>
          <cell r="AG15">
            <v>45.500930067545958</v>
          </cell>
          <cell r="AH15">
            <v>53.855547243088772</v>
          </cell>
          <cell r="AM15">
            <v>1.1550685436347259</v>
          </cell>
          <cell r="AN15">
            <v>0.92405483490778073</v>
          </cell>
          <cell r="AO15">
            <v>0.69304112618083547</v>
          </cell>
          <cell r="AP15">
            <v>0.46202741745389037</v>
          </cell>
          <cell r="AQ15">
            <v>0.23101370872694518</v>
          </cell>
          <cell r="AT15">
            <v>0.22042225443780961</v>
          </cell>
          <cell r="AU15">
            <v>0.17633780355024764</v>
          </cell>
          <cell r="AV15">
            <v>0.13225335266268567</v>
          </cell>
          <cell r="AW15">
            <v>8.816890177512382E-2</v>
          </cell>
          <cell r="AX15">
            <v>4.408445088756191E-2</v>
          </cell>
          <cell r="BA15">
            <v>24.792264875668618</v>
          </cell>
          <cell r="BB15">
            <v>26.127796402772656</v>
          </cell>
          <cell r="BC15">
            <v>27.863030247590562</v>
          </cell>
          <cell r="BD15">
            <v>30.329493925593439</v>
          </cell>
          <cell r="BE15">
            <v>34.627226072894942</v>
          </cell>
          <cell r="BJ15">
            <v>1.2333333333333341</v>
          </cell>
          <cell r="BK15">
            <v>1.2580000000000007</v>
          </cell>
          <cell r="BL15">
            <v>1.3073333333333341</v>
          </cell>
          <cell r="BM15">
            <v>1.4060000000000008</v>
          </cell>
          <cell r="BN15">
            <v>1.7266666666666677</v>
          </cell>
        </row>
        <row r="16">
          <cell r="N16">
            <v>23</v>
          </cell>
          <cell r="P16">
            <v>1.4622888266898326</v>
          </cell>
          <cell r="Q16">
            <v>1.2628326307293396</v>
          </cell>
          <cell r="R16">
            <v>1.0294513339896421</v>
          </cell>
          <cell r="S16">
            <v>0.75556463675063656</v>
          </cell>
          <cell r="T16">
            <v>0.41865329108129906</v>
          </cell>
          <cell r="W16">
            <v>0.16489211669576243</v>
          </cell>
          <cell r="X16">
            <v>0.15018521223842507</v>
          </cell>
          <cell r="Y16">
            <v>0.12360895107178216</v>
          </cell>
          <cell r="Z16">
            <v>9.337335596966323E-2</v>
          </cell>
          <cell r="AA16">
            <v>5.3046898204970105E-2</v>
          </cell>
          <cell r="AD16">
            <v>38.071211008105138</v>
          </cell>
          <cell r="AE16">
            <v>39.935302111946527</v>
          </cell>
          <cell r="AF16">
            <v>42.470214785133983</v>
          </cell>
          <cell r="AG16">
            <v>46.631096344914496</v>
          </cell>
          <cell r="AH16">
            <v>55.062101953238496</v>
          </cell>
          <cell r="AM16">
            <v>1.417602554491646</v>
          </cell>
          <cell r="AN16">
            <v>1.1340820435933168</v>
          </cell>
          <cell r="AO16">
            <v>0.85056153269498758</v>
          </cell>
          <cell r="AP16">
            <v>0.56704102179665838</v>
          </cell>
          <cell r="AQ16">
            <v>0.28352051089832919</v>
          </cell>
          <cell r="AT16">
            <v>0.26253401085692007</v>
          </cell>
          <cell r="AU16">
            <v>0.21002720868553604</v>
          </cell>
          <cell r="AV16">
            <v>0.15752040651415211</v>
          </cell>
          <cell r="AW16">
            <v>0.10501360434276802</v>
          </cell>
          <cell r="AX16">
            <v>5.2506802171384009E-2</v>
          </cell>
          <cell r="BA16">
            <v>25.265378411633971</v>
          </cell>
          <cell r="BB16">
            <v>26.598914258210968</v>
          </cell>
          <cell r="BC16">
            <v>28.339982398803929</v>
          </cell>
          <cell r="BD16">
            <v>30.828727146189561</v>
          </cell>
          <cell r="BE16">
            <v>35.146386283795508</v>
          </cell>
          <cell r="BJ16">
            <v>1.2666666666666675</v>
          </cell>
          <cell r="BK16">
            <v>1.2920000000000009</v>
          </cell>
          <cell r="BL16">
            <v>1.3426666666666676</v>
          </cell>
          <cell r="BM16">
            <v>1.4440000000000008</v>
          </cell>
          <cell r="BN16">
            <v>1.7733333333333343</v>
          </cell>
        </row>
        <row r="17">
          <cell r="N17">
            <v>24</v>
          </cell>
          <cell r="P17">
            <v>1.6390158215457884</v>
          </cell>
          <cell r="Q17">
            <v>1.4136511460832426</v>
          </cell>
          <cell r="R17">
            <v>1.1545227446968533</v>
          </cell>
          <cell r="S17">
            <v>0.84605996708193598</v>
          </cell>
          <cell r="T17">
            <v>0.46810291863347719</v>
          </cell>
          <cell r="W17">
            <v>0.17672699485595578</v>
          </cell>
          <cell r="X17">
            <v>0.150818515353903</v>
          </cell>
          <cell r="Y17">
            <v>0.12507141070721128</v>
          </cell>
          <cell r="Z17">
            <v>9.0495330331299417E-2</v>
          </cell>
          <cell r="AA17">
            <v>4.9449627552178133E-2</v>
          </cell>
          <cell r="AD17">
            <v>39.066704614192943</v>
          </cell>
          <cell r="AE17">
            <v>40.935169244165145</v>
          </cell>
          <cell r="AF17">
            <v>43.484929789964411</v>
          </cell>
          <cell r="AG17">
            <v>47.711408234944486</v>
          </cell>
          <cell r="AH17">
            <v>56.165983112651688</v>
          </cell>
          <cell r="AM17">
            <v>1.7296773068470075</v>
          </cell>
          <cell r="AN17">
            <v>1.383741845477606</v>
          </cell>
          <cell r="AO17">
            <v>1.0378063841082044</v>
          </cell>
          <cell r="AP17">
            <v>0.69187092273880302</v>
          </cell>
          <cell r="AQ17">
            <v>0.34593546136940151</v>
          </cell>
          <cell r="AT17">
            <v>0.31207475235536153</v>
          </cell>
          <cell r="AU17">
            <v>0.24965980188428927</v>
          </cell>
          <cell r="AV17">
            <v>0.18724485141321678</v>
          </cell>
          <cell r="AW17">
            <v>0.12482990094214463</v>
          </cell>
          <cell r="AX17">
            <v>6.2414950471072317E-2</v>
          </cell>
          <cell r="BA17">
            <v>25.707675764357255</v>
          </cell>
          <cell r="BB17">
            <v>27.059707353051884</v>
          </cell>
          <cell r="BC17">
            <v>28.796798156163181</v>
          </cell>
          <cell r="BD17">
            <v>31.280110398778046</v>
          </cell>
          <cell r="BE17">
            <v>35.634340563113874</v>
          </cell>
          <cell r="BJ17">
            <v>1.3000000000000009</v>
          </cell>
          <cell r="BK17">
            <v>1.326000000000001</v>
          </cell>
          <cell r="BL17">
            <v>1.378000000000001</v>
          </cell>
          <cell r="BM17">
            <v>1.4820000000000009</v>
          </cell>
          <cell r="BN17">
            <v>1.8200000000000012</v>
          </cell>
        </row>
        <row r="18">
          <cell r="N18">
            <v>25</v>
          </cell>
          <cell r="P18">
            <v>1.8284271247461898</v>
          </cell>
          <cell r="Q18">
            <v>1.5793953503557587</v>
          </cell>
          <cell r="R18">
            <v>1.2928808199080308</v>
          </cell>
          <cell r="S18">
            <v>0.94895367774327255</v>
          </cell>
          <cell r="T18">
            <v>0.5271355400643265</v>
          </cell>
          <cell r="W18">
            <v>0.18941130320040145</v>
          </cell>
          <cell r="X18">
            <v>0.16574420427251613</v>
          </cell>
          <cell r="Y18">
            <v>0.13835807521117749</v>
          </cell>
          <cell r="Z18">
            <v>0.10289371066133657</v>
          </cell>
          <cell r="AA18">
            <v>5.9032621430849308E-2</v>
          </cell>
          <cell r="AD18">
            <v>40</v>
          </cell>
          <cell r="AE18">
            <v>41.83669503626701</v>
          </cell>
          <cell r="AF18">
            <v>44.442238853326032</v>
          </cell>
          <cell r="AG18">
            <v>48.731413734867289</v>
          </cell>
          <cell r="AH18">
            <v>57.176846218996921</v>
          </cell>
          <cell r="AM18">
            <v>2.1</v>
          </cell>
          <cell r="AN18">
            <v>1.6800000000000002</v>
          </cell>
          <cell r="AO18">
            <v>1.26</v>
          </cell>
          <cell r="AP18">
            <v>0.84000000000000008</v>
          </cell>
          <cell r="AQ18">
            <v>0.42000000000000004</v>
          </cell>
          <cell r="AT18">
            <v>0.3703226931529926</v>
          </cell>
          <cell r="AU18">
            <v>0.29625815452239412</v>
          </cell>
          <cell r="AV18">
            <v>0.22219361589179565</v>
          </cell>
          <cell r="AW18">
            <v>0.14812907726119706</v>
          </cell>
          <cell r="AX18">
            <v>7.4064538630598531E-2</v>
          </cell>
          <cell r="BA18">
            <v>26.127796402772656</v>
          </cell>
          <cell r="BB18">
            <v>27.461368800321225</v>
          </cell>
          <cell r="BC18">
            <v>29.216428548527322</v>
          </cell>
          <cell r="BD18">
            <v>31.706504654507764</v>
          </cell>
          <cell r="BE18">
            <v>36.105477566569242</v>
          </cell>
          <cell r="BJ18">
            <v>1.3333333333333344</v>
          </cell>
          <cell r="BK18">
            <v>1.360000000000001</v>
          </cell>
          <cell r="BL18">
            <v>1.4133333333333344</v>
          </cell>
          <cell r="BM18">
            <v>1.5200000000000011</v>
          </cell>
          <cell r="BN18">
            <v>1.866666666666668</v>
          </cell>
        </row>
        <row r="19">
          <cell r="N19">
            <v>26</v>
          </cell>
          <cell r="P19">
            <v>2.031433133020796</v>
          </cell>
          <cell r="Q19">
            <v>1.7586116632561031</v>
          </cell>
          <cell r="R19">
            <v>1.4398798046851402</v>
          </cell>
          <cell r="S19">
            <v>1.0618300986299702</v>
          </cell>
          <cell r="T19">
            <v>0.59460047803518701</v>
          </cell>
          <cell r="W19">
            <v>0.20300600827460613</v>
          </cell>
          <cell r="X19">
            <v>0.17921631290034434</v>
          </cell>
          <cell r="Y19">
            <v>0.14699898477710938</v>
          </cell>
          <cell r="Z19">
            <v>0.11287642088669769</v>
          </cell>
          <cell r="AA19">
            <v>6.7464937970860506E-2</v>
          </cell>
          <cell r="AD19">
            <v>40.870795385807064</v>
          </cell>
          <cell r="AE19">
            <v>42.707142308553742</v>
          </cell>
          <cell r="AF19">
            <v>45.343250058486468</v>
          </cell>
          <cell r="AG19">
            <v>49.654306534727205</v>
          </cell>
          <cell r="AH19">
            <v>58.12511610143563</v>
          </cell>
          <cell r="AM19">
            <v>2.5387719203926467</v>
          </cell>
          <cell r="AN19">
            <v>2.0310175363141174</v>
          </cell>
          <cell r="AO19">
            <v>1.5232631522355879</v>
          </cell>
          <cell r="AP19">
            <v>1.0155087681570587</v>
          </cell>
          <cell r="AQ19">
            <v>0.50775438407852935</v>
          </cell>
          <cell r="AT19">
            <v>0.43877192039264656</v>
          </cell>
          <cell r="AU19">
            <v>0.35101753631411725</v>
          </cell>
          <cell r="AV19">
            <v>0.26326315223558794</v>
          </cell>
          <cell r="AW19">
            <v>0.17550876815705863</v>
          </cell>
          <cell r="AX19">
            <v>8.7754384078529313E-2</v>
          </cell>
          <cell r="BA19">
            <v>26.504690687123308</v>
          </cell>
          <cell r="BB19">
            <v>27.863030247590562</v>
          </cell>
          <cell r="BC19">
            <v>29.606265091548554</v>
          </cell>
          <cell r="BD19">
            <v>32.113552950216736</v>
          </cell>
          <cell r="BE19">
            <v>36.526331209747774</v>
          </cell>
          <cell r="BJ19">
            <v>1.3666666666666678</v>
          </cell>
          <cell r="BK19">
            <v>1.3940000000000012</v>
          </cell>
          <cell r="BL19">
            <v>1.4486666666666679</v>
          </cell>
          <cell r="BM19">
            <v>1.5580000000000012</v>
          </cell>
          <cell r="BN19">
            <v>1.9133333333333349</v>
          </cell>
        </row>
        <row r="20">
          <cell r="N20">
            <v>27</v>
          </cell>
          <cell r="P20">
            <v>2.2490095854249419</v>
          </cell>
          <cell r="Q20">
            <v>1.9433691827656923</v>
          </cell>
          <cell r="R20">
            <v>1.5904995788125189</v>
          </cell>
          <cell r="S20">
            <v>1.1742079045503622</v>
          </cell>
          <cell r="T20">
            <v>0.65311238360740309</v>
          </cell>
          <cell r="W20">
            <v>0.21757645240414591</v>
          </cell>
          <cell r="X20">
            <v>0.18475751950958919</v>
          </cell>
          <cell r="Y20">
            <v>0.1506197741273787</v>
          </cell>
          <cell r="Z20">
            <v>0.11237780592039193</v>
          </cell>
          <cell r="AA20">
            <v>5.8511905572216083E-2</v>
          </cell>
          <cell r="AD20">
            <v>41.691928656135218</v>
          </cell>
          <cell r="AE20">
            <v>43.535389560453282</v>
          </cell>
          <cell r="AF20">
            <v>46.195785611164197</v>
          </cell>
          <cell r="AG20">
            <v>50.510850036206186</v>
          </cell>
          <cell r="AH20">
            <v>58.996855914896834</v>
          </cell>
          <cell r="AM20">
            <v>3.0579402515786085</v>
          </cell>
          <cell r="AN20">
            <v>2.4463522012628869</v>
          </cell>
          <cell r="AO20">
            <v>1.8347641509471651</v>
          </cell>
          <cell r="AP20">
            <v>1.2231761006314434</v>
          </cell>
          <cell r="AQ20">
            <v>0.61158805031572172</v>
          </cell>
          <cell r="AT20">
            <v>0.51916833118596184</v>
          </cell>
          <cell r="AU20">
            <v>0.41533466494876947</v>
          </cell>
          <cell r="AV20">
            <v>0.3115009987115771</v>
          </cell>
          <cell r="AW20">
            <v>0.20766733247438474</v>
          </cell>
          <cell r="AX20">
            <v>0.10383366623719237</v>
          </cell>
          <cell r="BA20">
            <v>26.881584971473956</v>
          </cell>
          <cell r="BB20">
            <v>28.225778459464117</v>
          </cell>
          <cell r="BC20">
            <v>29.996101634569786</v>
          </cell>
          <cell r="BD20">
            <v>32.477877425165822</v>
          </cell>
          <cell r="BE20">
            <v>36.947184852926306</v>
          </cell>
          <cell r="BJ20">
            <v>1.4000000000000012</v>
          </cell>
          <cell r="BK20">
            <v>1.4280000000000013</v>
          </cell>
          <cell r="BL20">
            <v>1.4840000000000013</v>
          </cell>
          <cell r="BM20">
            <v>1.5960000000000012</v>
          </cell>
          <cell r="BN20">
            <v>1.9600000000000015</v>
          </cell>
        </row>
        <row r="21">
          <cell r="N21">
            <v>28</v>
          </cell>
          <cell r="P21">
            <v>2.4822022531844965</v>
          </cell>
          <cell r="Q21">
            <v>2.1515729130603214</v>
          </cell>
          <cell r="R21">
            <v>1.7690655458445907</v>
          </cell>
          <cell r="S21">
            <v>1.3066312660763189</v>
          </cell>
          <cell r="T21">
            <v>0.72554771860582834</v>
          </cell>
          <cell r="W21">
            <v>0.23319266775955461</v>
          </cell>
          <cell r="X21">
            <v>0.20820373029462913</v>
          </cell>
          <cell r="Y21">
            <v>0.17856596703207184</v>
          </cell>
          <cell r="Z21">
            <v>0.13242336152595668</v>
          </cell>
          <cell r="AA21">
            <v>7.2435334998425249E-2</v>
          </cell>
          <cell r="AD21">
            <v>42.470630686057078</v>
          </cell>
          <cell r="AE21">
            <v>44.32123076997032</v>
          </cell>
          <cell r="AF21">
            <v>47.002405448181747</v>
          </cell>
          <cell r="AG21">
            <v>51.307235833425089</v>
          </cell>
          <cell r="AH21">
            <v>59.782901351568675</v>
          </cell>
          <cell r="AM21">
            <v>3.671491735587451</v>
          </cell>
          <cell r="AN21">
            <v>2.9371933884699608</v>
          </cell>
          <cell r="AO21">
            <v>2.2028950413524706</v>
          </cell>
          <cell r="AP21">
            <v>1.4685966942349804</v>
          </cell>
          <cell r="AQ21">
            <v>0.7342983471174902</v>
          </cell>
          <cell r="AT21">
            <v>0.61355148400884252</v>
          </cell>
          <cell r="AU21">
            <v>0.49084118720707393</v>
          </cell>
          <cell r="AV21">
            <v>0.36813089040530556</v>
          </cell>
          <cell r="AW21">
            <v>0.24542059360353696</v>
          </cell>
          <cell r="AX21">
            <v>0.12271029680176848</v>
          </cell>
          <cell r="BA21">
            <v>27.220371931959619</v>
          </cell>
          <cell r="BB21">
            <v>28.568390277483555</v>
          </cell>
          <cell r="BC21">
            <v>30.329493925593439</v>
          </cell>
          <cell r="BD21">
            <v>32.842201900114915</v>
          </cell>
          <cell r="BE21">
            <v>37.317457773889828</v>
          </cell>
          <cell r="BJ21">
            <v>1.4333333333333347</v>
          </cell>
          <cell r="BK21">
            <v>1.4620000000000013</v>
          </cell>
          <cell r="BL21">
            <v>1.5193333333333348</v>
          </cell>
          <cell r="BM21">
            <v>1.6340000000000015</v>
          </cell>
          <cell r="BN21">
            <v>2.0066666666666686</v>
          </cell>
        </row>
        <row r="22">
          <cell r="N22">
            <v>29</v>
          </cell>
          <cell r="P22">
            <v>2.7321319661472296</v>
          </cell>
          <cell r="Q22">
            <v>2.3734030389920986</v>
          </cell>
          <cell r="R22">
            <v>1.9510154370257367</v>
          </cell>
          <cell r="S22">
            <v>1.4395603329629754</v>
          </cell>
          <cell r="T22">
            <v>0.80270037165405606</v>
          </cell>
          <cell r="W22">
            <v>0.24992971296273314</v>
          </cell>
          <cell r="X22">
            <v>0.2218301259317772</v>
          </cell>
          <cell r="Y22">
            <v>0.18194989118114591</v>
          </cell>
          <cell r="Z22">
            <v>0.13292906688665651</v>
          </cell>
          <cell r="AA22">
            <v>7.7152653048227715E-2</v>
          </cell>
          <cell r="AD22">
            <v>43.213386604241784</v>
          </cell>
          <cell r="AE22">
            <v>45.070782602372333</v>
          </cell>
          <cell r="AF22">
            <v>47.752799438858894</v>
          </cell>
          <cell r="AG22">
            <v>52.050057424983954</v>
          </cell>
          <cell r="AH22">
            <v>60.54585273688761</v>
          </cell>
          <cell r="AM22">
            <v>4.3957950643309154</v>
          </cell>
          <cell r="AN22">
            <v>3.5166360514647326</v>
          </cell>
          <cell r="AO22">
            <v>2.6374770385985493</v>
          </cell>
          <cell r="AP22">
            <v>1.7583180257323663</v>
          </cell>
          <cell r="AQ22">
            <v>0.87915901286618314</v>
          </cell>
          <cell r="AT22">
            <v>0.72430332874346437</v>
          </cell>
          <cell r="AU22">
            <v>0.57944266299477176</v>
          </cell>
          <cell r="AV22">
            <v>0.43458199724607871</v>
          </cell>
          <cell r="AW22">
            <v>0.28972133149738588</v>
          </cell>
          <cell r="AX22">
            <v>0.14486066574869294</v>
          </cell>
          <cell r="BA22">
            <v>27.541701089775092</v>
          </cell>
          <cell r="BB22">
            <v>28.911002095502997</v>
          </cell>
          <cell r="BC22">
            <v>30.662316072657521</v>
          </cell>
          <cell r="BD22">
            <v>33.176527924103851</v>
          </cell>
          <cell r="BE22">
            <v>37.680472138177471</v>
          </cell>
          <cell r="BJ22">
            <v>1.4666666666666681</v>
          </cell>
          <cell r="BK22">
            <v>1.4960000000000016</v>
          </cell>
          <cell r="BL22">
            <v>1.5546666666666682</v>
          </cell>
          <cell r="BM22">
            <v>1.6720000000000015</v>
          </cell>
          <cell r="BN22">
            <v>2.0533333333333355</v>
          </cell>
        </row>
        <row r="23">
          <cell r="N23">
            <v>30</v>
          </cell>
          <cell r="P23">
            <v>3</v>
          </cell>
          <cell r="Q23">
            <v>2.6036999999999999</v>
          </cell>
          <cell r="R23">
            <v>2.1372</v>
          </cell>
          <cell r="S23">
            <v>1.5800999999999998</v>
          </cell>
          <cell r="T23">
            <v>0.87990000000000002</v>
          </cell>
          <cell r="W23">
            <v>0.26786803385277036</v>
          </cell>
          <cell r="X23">
            <v>0.23029696100790131</v>
          </cell>
          <cell r="Y23">
            <v>0.18618456297426333</v>
          </cell>
          <cell r="Z23">
            <v>0.14053966703702447</v>
          </cell>
          <cell r="AA23">
            <v>7.719962834594396E-2</v>
          </cell>
          <cell r="AD23">
            <v>43.920692243099523</v>
          </cell>
          <cell r="AE23">
            <v>45.780025086357675</v>
          </cell>
          <cell r="AF23">
            <v>48.482447528152484</v>
          </cell>
          <cell r="AG23">
            <v>52.769987980532711</v>
          </cell>
          <cell r="AH23">
            <v>61.261422558944936</v>
          </cell>
          <cell r="AM23">
            <v>5.25</v>
          </cell>
          <cell r="AN23">
            <v>4.2</v>
          </cell>
          <cell r="AO23">
            <v>3.15</v>
          </cell>
          <cell r="AP23">
            <v>2.1</v>
          </cell>
          <cell r="AQ23">
            <v>1.05</v>
          </cell>
          <cell r="AT23">
            <v>0.85420493566908462</v>
          </cell>
          <cell r="AU23">
            <v>0.68336394853526761</v>
          </cell>
          <cell r="AV23">
            <v>0.51252296140145059</v>
          </cell>
          <cell r="AW23">
            <v>0.3416819742676338</v>
          </cell>
          <cell r="AX23">
            <v>0.1708409871338169</v>
          </cell>
          <cell r="BA23">
            <v>27.863030247590562</v>
          </cell>
          <cell r="BB23">
            <v>29.216428548527322</v>
          </cell>
          <cell r="BC23">
            <v>30.995138219721603</v>
          </cell>
          <cell r="BD23">
            <v>33.487933395889513</v>
          </cell>
          <cell r="BE23">
            <v>38.037513426486328</v>
          </cell>
          <cell r="BJ23">
            <v>1.5000000000000016</v>
          </cell>
          <cell r="BK23">
            <v>1.5300000000000016</v>
          </cell>
          <cell r="BL23">
            <v>1.5900000000000016</v>
          </cell>
          <cell r="BM23">
            <v>1.7100000000000015</v>
          </cell>
          <cell r="BN23">
            <v>2.1000000000000019</v>
          </cell>
        </row>
        <row r="24">
          <cell r="N24">
            <v>31</v>
          </cell>
          <cell r="P24">
            <v>3.2870938501451725</v>
          </cell>
          <cell r="Q24">
            <v>2.8518826243859516</v>
          </cell>
          <cell r="R24">
            <v>2.3466562996186386</v>
          </cell>
          <cell r="S24">
            <v>1.7365716810316947</v>
          </cell>
          <cell r="T24">
            <v>0.97166494210291288</v>
          </cell>
          <cell r="W24">
            <v>0.28709385014517252</v>
          </cell>
          <cell r="X24">
            <v>0.24818262438595173</v>
          </cell>
          <cell r="Y24">
            <v>0.20945629961863865</v>
          </cell>
          <cell r="Z24">
            <v>0.15647168103169484</v>
          </cell>
          <cell r="AA24">
            <v>9.1764942102912861E-2</v>
          </cell>
          <cell r="AD24">
            <v>44.585942742481357</v>
          </cell>
          <cell r="AE24">
            <v>46.455967430551723</v>
          </cell>
          <cell r="AF24">
            <v>49.18886033229559</v>
          </cell>
          <cell r="AG24">
            <v>53.471660769826336</v>
          </cell>
          <cell r="AH24">
            <v>61.918453772109508</v>
          </cell>
          <cell r="AM24">
            <v>6.2565025247829205</v>
          </cell>
          <cell r="AN24">
            <v>5.0052020198263367</v>
          </cell>
          <cell r="AO24">
            <v>3.7539015148697521</v>
          </cell>
          <cell r="AP24">
            <v>2.5026010099131684</v>
          </cell>
          <cell r="AQ24">
            <v>1.2513005049565842</v>
          </cell>
          <cell r="AT24">
            <v>1.0065025247829205</v>
          </cell>
          <cell r="AU24">
            <v>0.80520201982633655</v>
          </cell>
          <cell r="AV24">
            <v>0.60390151486975219</v>
          </cell>
          <cell r="AW24">
            <v>0.40260100991316827</v>
          </cell>
          <cell r="AX24">
            <v>0.20130050495658414</v>
          </cell>
          <cell r="BA24">
            <v>28.157256095860227</v>
          </cell>
          <cell r="BB24">
            <v>29.508805955793246</v>
          </cell>
          <cell r="BC24">
            <v>31.280110398778046</v>
          </cell>
          <cell r="BD24">
            <v>33.799338867675175</v>
          </cell>
          <cell r="BE24">
            <v>38.35066605767593</v>
          </cell>
          <cell r="BJ24">
            <v>1.533333333333335</v>
          </cell>
          <cell r="BK24">
            <v>1.5640000000000016</v>
          </cell>
          <cell r="BL24">
            <v>1.6253333333333351</v>
          </cell>
          <cell r="BM24">
            <v>1.7480000000000018</v>
          </cell>
          <cell r="BN24">
            <v>2.1466666666666687</v>
          </cell>
        </row>
        <row r="25">
          <cell r="N25">
            <v>32</v>
          </cell>
          <cell r="P25">
            <v>3.5947934199881395</v>
          </cell>
          <cell r="Q25">
            <v>3.124234961311692</v>
          </cell>
          <cell r="R25">
            <v>2.5749505267375046</v>
          </cell>
          <cell r="S25">
            <v>1.9077568679877055</v>
          </cell>
          <cell r="T25">
            <v>1.0687320837624739</v>
          </cell>
          <cell r="W25">
            <v>0.30769956984296698</v>
          </cell>
          <cell r="X25">
            <v>0.27235233692574035</v>
          </cell>
          <cell r="Y25">
            <v>0.22829422711886593</v>
          </cell>
          <cell r="Z25">
            <v>0.17118518695601082</v>
          </cell>
          <cell r="AA25">
            <v>9.7067141659560985E-2</v>
          </cell>
          <cell r="AD25">
            <v>45.229416240679988</v>
          </cell>
          <cell r="AE25">
            <v>47.110426931480873</v>
          </cell>
          <cell r="AF25">
            <v>49.861837738505173</v>
          </cell>
          <cell r="AG25">
            <v>54.15637358335789</v>
          </cell>
          <cell r="AH25">
            <v>62.555781631668886</v>
          </cell>
          <cell r="AM25">
            <v>7.4414868317755332</v>
          </cell>
          <cell r="AN25">
            <v>5.9531894654204267</v>
          </cell>
          <cell r="AO25">
            <v>4.4648920990653194</v>
          </cell>
          <cell r="AP25">
            <v>2.9765947327102134</v>
          </cell>
          <cell r="AQ25">
            <v>1.4882973663551067</v>
          </cell>
          <cell r="AT25">
            <v>1.1849843069926127</v>
          </cell>
          <cell r="AU25">
            <v>0.94798744559408998</v>
          </cell>
          <cell r="AV25">
            <v>0.71099058419556727</v>
          </cell>
          <cell r="AW25">
            <v>0.47399372279704499</v>
          </cell>
          <cell r="AX25">
            <v>0.2369968613985225</v>
          </cell>
          <cell r="BA25">
            <v>28.431345550275779</v>
          </cell>
          <cell r="BB25">
            <v>29.80118336305917</v>
          </cell>
          <cell r="BC25">
            <v>31.564373235931193</v>
          </cell>
          <cell r="BD25">
            <v>34.09469189131628</v>
          </cell>
          <cell r="BE25">
            <v>38.663818688865533</v>
          </cell>
          <cell r="BJ25">
            <v>1.5666666666666684</v>
          </cell>
          <cell r="BK25">
            <v>1.5980000000000019</v>
          </cell>
          <cell r="BL25">
            <v>1.6606666666666685</v>
          </cell>
          <cell r="BM25">
            <v>1.7860000000000018</v>
          </cell>
          <cell r="BN25">
            <v>2.1933333333333356</v>
          </cell>
        </row>
        <row r="26">
          <cell r="N26">
            <v>33</v>
          </cell>
          <cell r="P26">
            <v>3.9245776533796644</v>
          </cell>
          <cell r="Q26">
            <v>3.4081032341949005</v>
          </cell>
          <cell r="R26">
            <v>2.8064654799317976</v>
          </cell>
          <cell r="S26">
            <v>2.0796336985258841</v>
          </cell>
          <cell r="T26">
            <v>1.1608900698697047</v>
          </cell>
          <cell r="W26">
            <v>0.32978423339152485</v>
          </cell>
          <cell r="X26">
            <v>0.28386827288320848</v>
          </cell>
          <cell r="Y26">
            <v>0.23151495319429305</v>
          </cell>
          <cell r="Z26">
            <v>0.17187683053817859</v>
          </cell>
          <cell r="AA26">
            <v>9.2157986107230805E-2</v>
          </cell>
          <cell r="AD26">
            <v>45.845161563010116</v>
          </cell>
          <cell r="AE26">
            <v>47.734594805743399</v>
          </cell>
          <cell r="AF26">
            <v>50.503430607741265</v>
          </cell>
          <cell r="AG26">
            <v>54.814188287451351</v>
          </cell>
          <cell r="AH26">
            <v>63.182677965405439</v>
          </cell>
          <cell r="AM26">
            <v>8.8355567243832152</v>
          </cell>
          <cell r="AN26">
            <v>7.0684453795065725</v>
          </cell>
          <cell r="AO26">
            <v>5.3013340346299289</v>
          </cell>
          <cell r="AP26">
            <v>3.5342226897532862</v>
          </cell>
          <cell r="AQ26">
            <v>1.7671113448766431</v>
          </cell>
          <cell r="AT26">
            <v>1.394069892607682</v>
          </cell>
          <cell r="AU26">
            <v>1.1152559140861458</v>
          </cell>
          <cell r="AV26">
            <v>0.83644193556460955</v>
          </cell>
          <cell r="AW26">
            <v>0.55762795704307289</v>
          </cell>
          <cell r="AX26">
            <v>0.27881397852153644</v>
          </cell>
          <cell r="BA26">
            <v>28.705435004691331</v>
          </cell>
          <cell r="BB26">
            <v>30.079877315295377</v>
          </cell>
          <cell r="BC26">
            <v>31.848636073084339</v>
          </cell>
          <cell r="BD26">
            <v>34.360958982105608</v>
          </cell>
          <cell r="BE26">
            <v>38.976971320055128</v>
          </cell>
          <cell r="BJ26">
            <v>1.6000000000000019</v>
          </cell>
          <cell r="BK26">
            <v>1.6320000000000019</v>
          </cell>
          <cell r="BL26">
            <v>1.6960000000000022</v>
          </cell>
          <cell r="BM26">
            <v>1.8240000000000021</v>
          </cell>
          <cell r="BN26">
            <v>2.2400000000000024</v>
          </cell>
        </row>
        <row r="27">
          <cell r="N27">
            <v>34</v>
          </cell>
          <cell r="P27">
            <v>4.2780316430915768</v>
          </cell>
          <cell r="Q27">
            <v>3.7214597263253628</v>
          </cell>
          <cell r="R27">
            <v>3.0699155070825155</v>
          </cell>
          <cell r="S27">
            <v>2.2742016214674821</v>
          </cell>
          <cell r="T27">
            <v>1.2692919885052709</v>
          </cell>
          <cell r="W27">
            <v>0.35345398971191244</v>
          </cell>
          <cell r="X27">
            <v>0.31335649213046235</v>
          </cell>
          <cell r="Y27">
            <v>0.26345002715071786</v>
          </cell>
          <cell r="Z27">
            <v>0.19456792294159797</v>
          </cell>
          <cell r="AA27">
            <v>0.10840191863556625</v>
          </cell>
          <cell r="AD27">
            <v>46.430041330048923</v>
          </cell>
          <cell r="AE27">
            <v>48.330142263709867</v>
          </cell>
          <cell r="AF27">
            <v>51.118578408701396</v>
          </cell>
          <cell r="AG27">
            <v>55.44072585486321</v>
          </cell>
          <cell r="AH27">
            <v>63.791742872142052</v>
          </cell>
          <cell r="AM27">
            <v>10.47447102993563</v>
          </cell>
          <cell r="AN27">
            <v>8.3795768239485042</v>
          </cell>
          <cell r="AO27">
            <v>6.2846826179613782</v>
          </cell>
          <cell r="AP27">
            <v>4.1897884119742521</v>
          </cell>
          <cell r="AQ27">
            <v>2.0948942059871261</v>
          </cell>
          <cell r="AT27">
            <v>1.6389143055524151</v>
          </cell>
          <cell r="AU27">
            <v>1.3111314444419317</v>
          </cell>
          <cell r="AV27">
            <v>0.98334858333144926</v>
          </cell>
          <cell r="AW27">
            <v>0.65556572222096587</v>
          </cell>
          <cell r="AX27">
            <v>0.32778286111048294</v>
          </cell>
          <cell r="BA27">
            <v>28.979524459106884</v>
          </cell>
          <cell r="BB27">
            <v>30.329493925593439</v>
          </cell>
          <cell r="BC27">
            <v>32.113552950216736</v>
          </cell>
          <cell r="BD27">
            <v>34.627226072894942</v>
          </cell>
          <cell r="BE27">
            <v>39.250296194358178</v>
          </cell>
          <cell r="BJ27">
            <v>1.6333333333333353</v>
          </cell>
          <cell r="BK27">
            <v>1.6660000000000021</v>
          </cell>
          <cell r="BL27">
            <v>1.7313333333333356</v>
          </cell>
          <cell r="BM27">
            <v>1.8620000000000021</v>
          </cell>
          <cell r="BN27">
            <v>2.2866666666666693</v>
          </cell>
        </row>
        <row r="28">
          <cell r="N28">
            <v>35</v>
          </cell>
          <cell r="P28">
            <v>4.6568542494923806</v>
          </cell>
          <cell r="Q28">
            <v>4.054257309608067</v>
          </cell>
          <cell r="R28">
            <v>3.3445527219854276</v>
          </cell>
          <cell r="S28">
            <v>2.478377831579845</v>
          </cell>
          <cell r="T28">
            <v>1.3802915995495415</v>
          </cell>
          <cell r="W28">
            <v>0.37882260640080379</v>
          </cell>
          <cell r="X28">
            <v>0.33279758328270415</v>
          </cell>
          <cell r="Y28">
            <v>0.27463721490291215</v>
          </cell>
          <cell r="Z28">
            <v>0.20417621011236298</v>
          </cell>
          <cell r="AA28">
            <v>0.11099961104427059</v>
          </cell>
          <cell r="AD28">
            <v>47.004247194324648</v>
          </cell>
          <cell r="AE28">
            <v>48.904516930942819</v>
          </cell>
          <cell r="AF28">
            <v>51.667220029142385</v>
          </cell>
          <cell r="AG28">
            <v>56.05100027504308</v>
          </cell>
          <cell r="AH28">
            <v>64.398425477456215</v>
          </cell>
          <cell r="AM28">
            <v>12.4</v>
          </cell>
          <cell r="AN28">
            <v>9.9200000000000017</v>
          </cell>
          <cell r="AO28">
            <v>7.4399999999999995</v>
          </cell>
          <cell r="AP28">
            <v>4.9600000000000009</v>
          </cell>
          <cell r="AQ28">
            <v>2.4800000000000004</v>
          </cell>
          <cell r="AT28">
            <v>1.9255289700643701</v>
          </cell>
          <cell r="AU28">
            <v>1.5404231760514975</v>
          </cell>
          <cell r="AV28">
            <v>1.1553173820386213</v>
          </cell>
          <cell r="AW28">
            <v>0.77021158802574874</v>
          </cell>
          <cell r="AX28">
            <v>0.38510579401287437</v>
          </cell>
          <cell r="BA28">
            <v>29.216428548527322</v>
          </cell>
          <cell r="BB28">
            <v>30.579110535891502</v>
          </cell>
          <cell r="BC28">
            <v>32.356435933516131</v>
          </cell>
          <cell r="BD28">
            <v>34.893493163684269</v>
          </cell>
          <cell r="BE28">
            <v>39.520459727922798</v>
          </cell>
          <cell r="BJ28">
            <v>1.6666666666666687</v>
          </cell>
          <cell r="BK28">
            <v>1.7000000000000022</v>
          </cell>
          <cell r="BL28">
            <v>1.766666666666669</v>
          </cell>
          <cell r="BM28">
            <v>1.9000000000000021</v>
          </cell>
          <cell r="BN28">
            <v>2.3333333333333361</v>
          </cell>
        </row>
        <row r="29">
          <cell r="N29">
            <v>36</v>
          </cell>
          <cell r="P29">
            <v>5.062866266041592</v>
          </cell>
          <cell r="Q29">
            <v>4.408743944469018</v>
          </cell>
          <cell r="R29">
            <v>3.63716312552428</v>
          </cell>
          <cell r="S29">
            <v>2.6914197070277099</v>
          </cell>
          <cell r="T29">
            <v>1.4996209880015197</v>
          </cell>
          <cell r="W29">
            <v>0.40601201654921137</v>
          </cell>
          <cell r="X29">
            <v>0.354486634860951</v>
          </cell>
          <cell r="Y29">
            <v>0.29261040353885237</v>
          </cell>
          <cell r="Z29">
            <v>0.2130418754478649</v>
          </cell>
          <cell r="AA29">
            <v>0.11932938845197816</v>
          </cell>
          <cell r="AD29">
            <v>47.540284631526092</v>
          </cell>
          <cell r="AE29">
            <v>49.446133440059114</v>
          </cell>
          <cell r="AF29">
            <v>52.199341027338768</v>
          </cell>
          <cell r="AG29">
            <v>56.621068614050692</v>
          </cell>
          <cell r="AH29">
            <v>65.00344105132713</v>
          </cell>
          <cell r="AM29">
            <v>14.6609224175611</v>
          </cell>
          <cell r="AN29">
            <v>11.72873793404888</v>
          </cell>
          <cell r="AO29">
            <v>8.7965534505366598</v>
          </cell>
          <cell r="AP29">
            <v>5.8643689670244399</v>
          </cell>
          <cell r="AQ29">
            <v>2.9321844835122199</v>
          </cell>
          <cell r="AT29">
            <v>2.2609224175610994</v>
          </cell>
          <cell r="AU29">
            <v>1.8087379340488781</v>
          </cell>
          <cell r="AV29">
            <v>1.3565534505366603</v>
          </cell>
          <cell r="AW29">
            <v>0.90436896702443903</v>
          </cell>
          <cell r="AX29">
            <v>0.45218448351221951</v>
          </cell>
          <cell r="BA29">
            <v>29.45033047434006</v>
          </cell>
          <cell r="BB29">
            <v>30.828727146189561</v>
          </cell>
          <cell r="BC29">
            <v>32.59931891681552</v>
          </cell>
          <cell r="BD29">
            <v>35.146386283795508</v>
          </cell>
          <cell r="BE29">
            <v>39.790623261487418</v>
          </cell>
          <cell r="BJ29">
            <v>1.7000000000000022</v>
          </cell>
          <cell r="BK29">
            <v>1.7340000000000022</v>
          </cell>
          <cell r="BL29">
            <v>1.8020000000000025</v>
          </cell>
          <cell r="BM29">
            <v>1.9380000000000024</v>
          </cell>
          <cell r="BN29">
            <v>2.380000000000003</v>
          </cell>
        </row>
        <row r="30">
          <cell r="N30">
            <v>37</v>
          </cell>
          <cell r="P30">
            <v>5.4980191708498847</v>
          </cell>
          <cell r="Q30">
            <v>4.7882248958931646</v>
          </cell>
          <cell r="R30">
            <v>3.9492271704214725</v>
          </cell>
          <cell r="S30">
            <v>2.9205477835554587</v>
          </cell>
          <cell r="T30">
            <v>1.6290630803228208</v>
          </cell>
          <cell r="W30">
            <v>0.43515290480829272</v>
          </cell>
          <cell r="X30">
            <v>0.37948095142414662</v>
          </cell>
          <cell r="Y30">
            <v>0.31206404489719253</v>
          </cell>
          <cell r="Z30">
            <v>0.2291280765277488</v>
          </cell>
          <cell r="AA30">
            <v>0.12944209232130111</v>
          </cell>
          <cell r="AD30">
            <v>48.071211008105138</v>
          </cell>
          <cell r="AE30">
            <v>49.981218513907905</v>
          </cell>
          <cell r="AF30">
            <v>52.705993248660157</v>
          </cell>
          <cell r="AG30">
            <v>57.175765669822162</v>
          </cell>
          <cell r="AH30">
            <v>65.541743280100334</v>
          </cell>
          <cell r="AM30">
            <v>17.314186320787698</v>
          </cell>
          <cell r="AN30">
            <v>13.851349056630159</v>
          </cell>
          <cell r="AO30">
            <v>10.388511792472618</v>
          </cell>
          <cell r="AP30">
            <v>6.9256745283150796</v>
          </cell>
          <cell r="AQ30">
            <v>3.4628372641575398</v>
          </cell>
          <cell r="AT30">
            <v>2.6532639032265983</v>
          </cell>
          <cell r="AU30">
            <v>2.1226111225812794</v>
          </cell>
          <cell r="AV30">
            <v>1.5919583419359586</v>
          </cell>
          <cell r="AW30">
            <v>1.0613055612906397</v>
          </cell>
          <cell r="AX30">
            <v>0.53065278064531984</v>
          </cell>
          <cell r="BA30">
            <v>29.684232400152801</v>
          </cell>
          <cell r="BB30">
            <v>31.066913270913183</v>
          </cell>
          <cell r="BC30">
            <v>32.842201900114915</v>
          </cell>
          <cell r="BD30">
            <v>35.390363423454687</v>
          </cell>
          <cell r="BE30">
            <v>40.052446592012309</v>
          </cell>
          <cell r="BJ30">
            <v>1.7333333333333356</v>
          </cell>
          <cell r="BK30">
            <v>1.7680000000000025</v>
          </cell>
          <cell r="BL30">
            <v>1.8373333333333359</v>
          </cell>
          <cell r="BM30">
            <v>1.9760000000000024</v>
          </cell>
          <cell r="BN30">
            <v>2.4266666666666699</v>
          </cell>
        </row>
        <row r="31">
          <cell r="N31">
            <v>38</v>
          </cell>
          <cell r="P31">
            <v>5.9644045063689921</v>
          </cell>
          <cell r="Q31">
            <v>5.1914176823435705</v>
          </cell>
          <cell r="R31">
            <v>4.2752851501652938</v>
          </cell>
          <cell r="S31">
            <v>3.1653094715300236</v>
          </cell>
          <cell r="T31">
            <v>1.7738139001941382</v>
          </cell>
          <cell r="W31">
            <v>0.46638533551910744</v>
          </cell>
          <cell r="X31">
            <v>0.4031927864504059</v>
          </cell>
          <cell r="Y31">
            <v>0.32605797974382122</v>
          </cell>
          <cell r="Z31">
            <v>0.24476168797456488</v>
          </cell>
          <cell r="AA31">
            <v>0.14475081987131744</v>
          </cell>
          <cell r="AD31">
            <v>48.571351621712928</v>
          </cell>
          <cell r="AE31">
            <v>50.509688493127967</v>
          </cell>
          <cell r="AF31">
            <v>53.212684955585161</v>
          </cell>
          <cell r="AG31">
            <v>57.699988965458331</v>
          </cell>
          <cell r="AH31">
            <v>66.076345334947405</v>
          </cell>
          <cell r="AM31">
            <v>20.42625995518307</v>
          </cell>
          <cell r="AN31">
            <v>16.341007964146456</v>
          </cell>
          <cell r="AO31">
            <v>12.255755973109842</v>
          </cell>
          <cell r="AP31">
            <v>8.1705039820732281</v>
          </cell>
          <cell r="AQ31">
            <v>4.0852519910366141</v>
          </cell>
          <cell r="AT31">
            <v>3.1120736343953723</v>
          </cell>
          <cell r="AU31">
            <v>2.4896589075162971</v>
          </cell>
          <cell r="AV31">
            <v>1.8672441806372237</v>
          </cell>
          <cell r="AW31">
            <v>1.2448294537581486</v>
          </cell>
          <cell r="AX31">
            <v>0.62241472687907429</v>
          </cell>
          <cell r="BA31">
            <v>29.918134325965539</v>
          </cell>
          <cell r="BB31">
            <v>31.280110398778046</v>
          </cell>
          <cell r="BC31">
            <v>33.072726100175295</v>
          </cell>
          <cell r="BD31">
            <v>35.634340563113874</v>
          </cell>
          <cell r="BE31">
            <v>40.28554255651148</v>
          </cell>
          <cell r="BJ31">
            <v>1.766666666666669</v>
          </cell>
          <cell r="BK31">
            <v>1.8020000000000025</v>
          </cell>
          <cell r="BL31">
            <v>1.8726666666666694</v>
          </cell>
          <cell r="BM31">
            <v>2.0140000000000025</v>
          </cell>
          <cell r="BN31">
            <v>2.4733333333333367</v>
          </cell>
        </row>
        <row r="32">
          <cell r="N32">
            <v>39</v>
          </cell>
          <cell r="P32">
            <v>6.4642639322944575</v>
          </cell>
          <cell r="Q32">
            <v>5.6323131642081607</v>
          </cell>
          <cell r="R32">
            <v>4.6510378992858623</v>
          </cell>
          <cell r="S32">
            <v>3.4532097926316991</v>
          </cell>
          <cell r="T32">
            <v>1.9366934741154194</v>
          </cell>
          <cell r="W32">
            <v>0.49985942592546539</v>
          </cell>
          <cell r="X32">
            <v>0.44089548186459027</v>
          </cell>
          <cell r="Y32">
            <v>0.37575274912056855</v>
          </cell>
          <cell r="Z32">
            <v>0.28790032110167552</v>
          </cell>
          <cell r="AA32">
            <v>0.16287957392128116</v>
          </cell>
          <cell r="AD32">
            <v>49.066704614192936</v>
          </cell>
          <cell r="AE32">
            <v>51.033341828534468</v>
          </cell>
          <cell r="AF32">
            <v>53.719431255885922</v>
          </cell>
          <cell r="AG32">
            <v>58.210135614815364</v>
          </cell>
          <cell r="AH32">
            <v>66.589764070576265</v>
          </cell>
          <cell r="AM32">
            <v>24.074703862418847</v>
          </cell>
          <cell r="AN32">
            <v>19.259763089935078</v>
          </cell>
          <cell r="AO32">
            <v>14.444822317451308</v>
          </cell>
          <cell r="AP32">
            <v>9.6298815449675388</v>
          </cell>
          <cell r="AQ32">
            <v>4.8149407724837694</v>
          </cell>
          <cell r="AT32">
            <v>3.6484439072357766</v>
          </cell>
          <cell r="AU32">
            <v>2.9187551257886213</v>
          </cell>
          <cell r="AV32">
            <v>2.189066344341466</v>
          </cell>
          <cell r="AW32">
            <v>1.4593775628943106</v>
          </cell>
          <cell r="AX32">
            <v>0.72968878144715532</v>
          </cell>
          <cell r="BA32">
            <v>30.12980063735499</v>
          </cell>
          <cell r="BB32">
            <v>31.493307526642905</v>
          </cell>
          <cell r="BC32">
            <v>33.280329748032408</v>
          </cell>
          <cell r="BD32">
            <v>35.878317702773053</v>
          </cell>
          <cell r="BE32">
            <v>40.518638521010644</v>
          </cell>
          <cell r="BJ32">
            <v>1.8000000000000025</v>
          </cell>
          <cell r="BK32">
            <v>1.8360000000000025</v>
          </cell>
          <cell r="BL32">
            <v>1.9080000000000028</v>
          </cell>
          <cell r="BM32">
            <v>2.0520000000000027</v>
          </cell>
          <cell r="BN32">
            <v>2.5200000000000031</v>
          </cell>
        </row>
        <row r="33">
          <cell r="N33">
            <v>40</v>
          </cell>
          <cell r="P33">
            <v>7</v>
          </cell>
          <cell r="Q33">
            <v>6.1025999999999998</v>
          </cell>
          <cell r="R33">
            <v>5.0421000000000005</v>
          </cell>
          <cell r="S33">
            <v>3.7428999999999997</v>
          </cell>
          <cell r="T33">
            <v>2.1006999999999998</v>
          </cell>
          <cell r="W33">
            <v>0.5357360677055425</v>
          </cell>
          <cell r="X33">
            <v>0.47028683579183905</v>
          </cell>
          <cell r="Y33">
            <v>0.39106210071413816</v>
          </cell>
          <cell r="Z33">
            <v>0.28969020736830053</v>
          </cell>
          <cell r="AA33">
            <v>0.16400652588458042</v>
          </cell>
          <cell r="AD33">
            <v>49.533352307096472</v>
          </cell>
          <cell r="AE33">
            <v>51.497823295559343</v>
          </cell>
          <cell r="AF33">
            <v>54.213705787583436</v>
          </cell>
          <cell r="AG33">
            <v>58.701446767877648</v>
          </cell>
          <cell r="AH33">
            <v>67.097551508592701</v>
          </cell>
          <cell r="AM33">
            <v>28.35</v>
          </cell>
          <cell r="AN33">
            <v>22.680000000000003</v>
          </cell>
          <cell r="AO33">
            <v>17.010000000000002</v>
          </cell>
          <cell r="AP33">
            <v>11.340000000000002</v>
          </cell>
          <cell r="AQ33">
            <v>5.6700000000000008</v>
          </cell>
          <cell r="AT33">
            <v>4.2752961375811545</v>
          </cell>
          <cell r="AU33">
            <v>3.4202369100649257</v>
          </cell>
          <cell r="AV33">
            <v>2.5651776825486934</v>
          </cell>
          <cell r="AW33">
            <v>1.7101184550324628</v>
          </cell>
          <cell r="AX33">
            <v>0.85505922751623142</v>
          </cell>
          <cell r="BA33">
            <v>30.329493925593439</v>
          </cell>
          <cell r="BB33">
            <v>31.706504654507764</v>
          </cell>
          <cell r="BC33">
            <v>33.487933395889513</v>
          </cell>
          <cell r="BD33">
            <v>36.105477566569242</v>
          </cell>
          <cell r="BE33">
            <v>40.751734485509814</v>
          </cell>
          <cell r="BJ33">
            <v>1.8333333333333359</v>
          </cell>
          <cell r="BK33">
            <v>1.8700000000000028</v>
          </cell>
          <cell r="BL33">
            <v>1.9433333333333362</v>
          </cell>
          <cell r="BM33">
            <v>2.090000000000003</v>
          </cell>
          <cell r="BN33">
            <v>2.56666666666667</v>
          </cell>
        </row>
        <row r="34">
          <cell r="N34">
            <v>41</v>
          </cell>
          <cell r="P34">
            <v>7.5741877002903433</v>
          </cell>
          <cell r="Q34">
            <v>6.6115084435834408</v>
          </cell>
          <cell r="R34">
            <v>5.4632615882194253</v>
          </cell>
          <cell r="S34">
            <v>4.052190419655334</v>
          </cell>
          <cell r="T34">
            <v>2.2783156602473356</v>
          </cell>
          <cell r="W34">
            <v>0.57418770029034327</v>
          </cell>
          <cell r="X34">
            <v>0.50890844358344101</v>
          </cell>
          <cell r="Y34">
            <v>0.42116158821942484</v>
          </cell>
          <cell r="Z34">
            <v>0.30929041965533433</v>
          </cell>
          <cell r="AA34">
            <v>0.17761566024733577</v>
          </cell>
          <cell r="AD34">
            <v>50</v>
          </cell>
          <cell r="AE34">
            <v>51.96230476258421</v>
          </cell>
          <cell r="AF34">
            <v>54.692509339255828</v>
          </cell>
          <cell r="AG34">
            <v>59.178112178215827</v>
          </cell>
          <cell r="AH34">
            <v>67.582949939226467</v>
          </cell>
          <cell r="AM34">
            <v>33.357679571112705</v>
          </cell>
          <cell r="AN34">
            <v>26.686143656890167</v>
          </cell>
          <cell r="AO34">
            <v>20.014607742667621</v>
          </cell>
          <cell r="AP34">
            <v>13.343071828445083</v>
          </cell>
          <cell r="AQ34">
            <v>6.6715359142225417</v>
          </cell>
          <cell r="AT34">
            <v>5.0076795711127033</v>
          </cell>
          <cell r="AU34">
            <v>4.0061436568901634</v>
          </cell>
          <cell r="AV34">
            <v>3.0046077426676199</v>
          </cell>
          <cell r="AW34">
            <v>2.0030718284450817</v>
          </cell>
          <cell r="AX34">
            <v>1.0015359142225408</v>
          </cell>
          <cell r="BA34">
            <v>30.529187213831889</v>
          </cell>
          <cell r="BB34">
            <v>31.919701782372627</v>
          </cell>
          <cell r="BC34">
            <v>33.695537043746626</v>
          </cell>
          <cell r="BD34">
            <v>36.315904388158508</v>
          </cell>
          <cell r="BE34">
            <v>40.984830450008978</v>
          </cell>
          <cell r="BJ34">
            <v>1.8666666666666694</v>
          </cell>
          <cell r="BK34">
            <v>1.9040000000000028</v>
          </cell>
          <cell r="BL34">
            <v>1.9786666666666697</v>
          </cell>
          <cell r="BM34">
            <v>2.1280000000000028</v>
          </cell>
          <cell r="BN34">
            <v>2.6133333333333368</v>
          </cell>
        </row>
        <row r="35">
          <cell r="N35">
            <v>42</v>
          </cell>
          <cell r="P35">
            <v>8.189586839976279</v>
          </cell>
          <cell r="Q35">
            <v>7.1519661873512845</v>
          </cell>
          <cell r="R35">
            <v>5.906330028990892</v>
          </cell>
          <cell r="S35">
            <v>4.3855237528072974</v>
          </cell>
          <cell r="T35">
            <v>2.46506563883286</v>
          </cell>
          <cell r="W35">
            <v>0.61539913968593574</v>
          </cell>
          <cell r="X35">
            <v>0.54045774376784372</v>
          </cell>
          <cell r="Y35">
            <v>0.44306844077146668</v>
          </cell>
          <cell r="Z35">
            <v>0.33333333315196345</v>
          </cell>
          <cell r="AA35">
            <v>0.18674997858552445</v>
          </cell>
          <cell r="AD35">
            <v>50.435397692903535</v>
          </cell>
          <cell r="AE35">
            <v>52.391506955233744</v>
          </cell>
          <cell r="AF35">
            <v>55.159275389027101</v>
          </cell>
          <cell r="AG35">
            <v>59.632093520341421</v>
          </cell>
          <cell r="AH35">
            <v>68.063981730538742</v>
          </cell>
          <cell r="AM35">
            <v>39.220797956048642</v>
          </cell>
          <cell r="AN35">
            <v>31.376638364838914</v>
          </cell>
          <cell r="AO35">
            <v>23.532478773629183</v>
          </cell>
          <cell r="AP35">
            <v>15.688319182419457</v>
          </cell>
          <cell r="AQ35">
            <v>7.8441595912097286</v>
          </cell>
          <cell r="AT35">
            <v>5.8631183849359374</v>
          </cell>
          <cell r="AU35">
            <v>4.6904947079487478</v>
          </cell>
          <cell r="AV35">
            <v>3.5178710309615617</v>
          </cell>
          <cell r="AW35">
            <v>2.3452473539743739</v>
          </cell>
          <cell r="AX35">
            <v>1.1726236769871869</v>
          </cell>
          <cell r="BA35">
            <v>30.728880502070336</v>
          </cell>
          <cell r="BB35">
            <v>32.113552950216736</v>
          </cell>
          <cell r="BC35">
            <v>33.903140691603731</v>
          </cell>
          <cell r="BD35">
            <v>36.526331209747774</v>
          </cell>
          <cell r="BE35">
            <v>41.188041754455355</v>
          </cell>
          <cell r="BJ35">
            <v>1.9000000000000028</v>
          </cell>
          <cell r="BK35">
            <v>1.9380000000000028</v>
          </cell>
          <cell r="BL35">
            <v>2.0140000000000029</v>
          </cell>
          <cell r="BM35">
            <v>2.166000000000003</v>
          </cell>
          <cell r="BN35">
            <v>2.6600000000000037</v>
          </cell>
        </row>
        <row r="36">
          <cell r="N36">
            <v>43</v>
          </cell>
          <cell r="P36">
            <v>8.8491553067593287</v>
          </cell>
          <cell r="Q36">
            <v>7.7120388498407557</v>
          </cell>
          <cell r="R36">
            <v>6.3696219898053652</v>
          </cell>
          <cell r="S36">
            <v>4.736067920177593</v>
          </cell>
          <cell r="T36">
            <v>2.6627108318038819</v>
          </cell>
          <cell r="W36">
            <v>0.6595684667830497</v>
          </cell>
          <cell r="X36">
            <v>0.56007266248947118</v>
          </cell>
          <cell r="Y36">
            <v>0.46329196081447321</v>
          </cell>
          <cell r="Z36">
            <v>0.35054416737029559</v>
          </cell>
          <cell r="AA36">
            <v>0.1976451929710219</v>
          </cell>
          <cell r="AD36">
            <v>50.870795385807064</v>
          </cell>
          <cell r="AE36">
            <v>52.81759316022675</v>
          </cell>
          <cell r="AF36">
            <v>55.604435245632025</v>
          </cell>
          <cell r="AG36">
            <v>60.078368706270226</v>
          </cell>
          <cell r="AH36">
            <v>68.518369035696878</v>
          </cell>
          <cell r="AM36">
            <v>46.082812923199413</v>
          </cell>
          <cell r="AN36">
            <v>36.866250338559531</v>
          </cell>
          <cell r="AO36">
            <v>27.649687753919647</v>
          </cell>
          <cell r="AP36">
            <v>18.433125169279766</v>
          </cell>
          <cell r="AQ36">
            <v>9.2165625846398829</v>
          </cell>
          <cell r="AT36">
            <v>6.8620149671507704</v>
          </cell>
          <cell r="AU36">
            <v>5.489611973720617</v>
          </cell>
          <cell r="AV36">
            <v>4.1172089802904637</v>
          </cell>
          <cell r="AW36">
            <v>2.7448059868603085</v>
          </cell>
          <cell r="AX36">
            <v>1.3724029934301543</v>
          </cell>
          <cell r="BA36">
            <v>30.928573790308786</v>
          </cell>
          <cell r="BB36">
            <v>32.295715187691279</v>
          </cell>
          <cell r="BC36">
            <v>34.09469189131628</v>
          </cell>
          <cell r="BD36">
            <v>36.73675803133704</v>
          </cell>
          <cell r="BE36">
            <v>41.389172829914081</v>
          </cell>
          <cell r="BJ36">
            <v>1.9333333333333362</v>
          </cell>
          <cell r="BK36">
            <v>1.9720000000000031</v>
          </cell>
          <cell r="BL36">
            <v>2.0493333333333363</v>
          </cell>
          <cell r="BM36">
            <v>2.2040000000000033</v>
          </cell>
          <cell r="BN36">
            <v>2.7066666666666706</v>
          </cell>
        </row>
        <row r="37">
          <cell r="N37">
            <v>44</v>
          </cell>
          <cell r="P37">
            <v>9.5560632861831518</v>
          </cell>
          <cell r="Q37">
            <v>8.3309759728944712</v>
          </cell>
          <cell r="R37">
            <v>6.8918328419952886</v>
          </cell>
          <cell r="S37">
            <v>5.1287391656944967</v>
          </cell>
          <cell r="T37">
            <v>2.8811530807842201</v>
          </cell>
          <cell r="W37">
            <v>0.70690797942382311</v>
          </cell>
          <cell r="X37">
            <v>0.61893712305371551</v>
          </cell>
          <cell r="Y37">
            <v>0.52221085218992336</v>
          </cell>
          <cell r="Z37">
            <v>0.39267124551690369</v>
          </cell>
          <cell r="AA37">
            <v>0.21844224898033815</v>
          </cell>
          <cell r="AD37">
            <v>51.285688244217212</v>
          </cell>
          <cell r="AE37">
            <v>53.226994578658328</v>
          </cell>
          <cell r="AF37">
            <v>56.045896281048073</v>
          </cell>
          <cell r="AG37">
            <v>60.491705764657482</v>
          </cell>
          <cell r="AH37">
            <v>68.972756340855</v>
          </cell>
          <cell r="AM37">
            <v>54.110931329932889</v>
          </cell>
          <cell r="AN37">
            <v>43.288745063946315</v>
          </cell>
          <cell r="AO37">
            <v>32.466558797959735</v>
          </cell>
          <cell r="AP37">
            <v>21.644372531973158</v>
          </cell>
          <cell r="AQ37">
            <v>10.822186265986579</v>
          </cell>
          <cell r="AT37">
            <v>8.0281184067334763</v>
          </cell>
          <cell r="AU37">
            <v>6.4224947253867839</v>
          </cell>
          <cell r="AV37">
            <v>4.8168710440400879</v>
          </cell>
          <cell r="AW37">
            <v>3.2112473626933919</v>
          </cell>
          <cell r="AX37">
            <v>1.605623681346696</v>
          </cell>
          <cell r="BA37">
            <v>31.109552696486158</v>
          </cell>
          <cell r="BB37">
            <v>32.477877425165822</v>
          </cell>
          <cell r="BC37">
            <v>34.272203285175834</v>
          </cell>
          <cell r="BD37">
            <v>36.947184852926306</v>
          </cell>
          <cell r="BE37">
            <v>41.590303905372799</v>
          </cell>
          <cell r="BJ37">
            <v>1.9666666666666697</v>
          </cell>
          <cell r="BK37">
            <v>2.0060000000000029</v>
          </cell>
          <cell r="BL37">
            <v>2.0846666666666698</v>
          </cell>
          <cell r="BM37">
            <v>2.2420000000000031</v>
          </cell>
          <cell r="BN37">
            <v>2.7533333333333374</v>
          </cell>
        </row>
        <row r="38">
          <cell r="N38">
            <v>45</v>
          </cell>
          <cell r="P38">
            <v>10.313708498984759</v>
          </cell>
          <cell r="Q38">
            <v>9.0048988904635934</v>
          </cell>
          <cell r="R38">
            <v>7.4547485030661838</v>
          </cell>
          <cell r="S38">
            <v>5.5405242056546129</v>
          </cell>
          <cell r="T38">
            <v>3.1106144832938032</v>
          </cell>
          <cell r="W38">
            <v>0.75764521280160757</v>
          </cell>
          <cell r="X38">
            <v>0.67392291756912215</v>
          </cell>
          <cell r="Y38">
            <v>0.56291566107089519</v>
          </cell>
          <cell r="Z38">
            <v>0.41178503996011617</v>
          </cell>
          <cell r="AA38">
            <v>0.22946140250958313</v>
          </cell>
          <cell r="AD38">
            <v>51.691928656135211</v>
          </cell>
          <cell r="AE38">
            <v>53.623906555539456</v>
          </cell>
          <cell r="AF38">
            <v>56.457855949816349</v>
          </cell>
          <cell r="AG38">
            <v>60.905042823044738</v>
          </cell>
          <cell r="AH38">
            <v>69.385288338144662</v>
          </cell>
          <cell r="AM38">
            <v>63.5</v>
          </cell>
          <cell r="AN38">
            <v>50.800000000000004</v>
          </cell>
          <cell r="AO38">
            <v>38.1</v>
          </cell>
          <cell r="AP38">
            <v>25.400000000000002</v>
          </cell>
          <cell r="AQ38">
            <v>12.700000000000001</v>
          </cell>
          <cell r="AT38">
            <v>9.3890686700671111</v>
          </cell>
          <cell r="AU38">
            <v>7.5112549360536889</v>
          </cell>
          <cell r="AV38">
            <v>5.6334412020402667</v>
          </cell>
          <cell r="AW38">
            <v>3.7556274680268444</v>
          </cell>
          <cell r="AX38">
            <v>1.8778137340134222</v>
          </cell>
          <cell r="BA38">
            <v>31.280110398778046</v>
          </cell>
          <cell r="BB38">
            <v>32.660039662640372</v>
          </cell>
          <cell r="BC38">
            <v>34.449714679035388</v>
          </cell>
          <cell r="BD38">
            <v>37.135950591746003</v>
          </cell>
          <cell r="BE38">
            <v>41.791434980831518</v>
          </cell>
          <cell r="BJ38">
            <v>2.0000000000000031</v>
          </cell>
          <cell r="BK38">
            <v>2.0400000000000031</v>
          </cell>
          <cell r="BL38">
            <v>2.1200000000000032</v>
          </cell>
          <cell r="BM38">
            <v>2.2800000000000034</v>
          </cell>
          <cell r="BN38">
            <v>2.8000000000000043</v>
          </cell>
        </row>
        <row r="39">
          <cell r="N39">
            <v>46</v>
          </cell>
          <cell r="P39">
            <v>11.125732532083184</v>
          </cell>
          <cell r="Q39">
            <v>9.7261153795471191</v>
          </cell>
          <cell r="R39">
            <v>8.0405669009365166</v>
          </cell>
          <cell r="S39">
            <v>5.9700680767158358</v>
          </cell>
          <cell r="T39">
            <v>3.3388323328781633</v>
          </cell>
          <cell r="W39">
            <v>0.81202403309842452</v>
          </cell>
          <cell r="X39">
            <v>0.72121648908352576</v>
          </cell>
          <cell r="Y39">
            <v>0.58581839787033285</v>
          </cell>
          <cell r="Z39">
            <v>0.42954387106122294</v>
          </cell>
          <cell r="AA39">
            <v>0.22821784958436009</v>
          </cell>
          <cell r="AD39">
            <v>52.091594979242075</v>
          </cell>
          <cell r="AE39">
            <v>54.020289560649204</v>
          </cell>
          <cell r="AF39">
            <v>56.869815618584624</v>
          </cell>
          <cell r="AG39">
            <v>61.294362422865476</v>
          </cell>
          <cell r="AH39">
            <v>69.795150761037945</v>
          </cell>
          <cell r="AM39">
            <v>73.746861667008318</v>
          </cell>
          <cell r="AN39">
            <v>58.997489333606659</v>
          </cell>
          <cell r="AO39">
            <v>44.248117000204992</v>
          </cell>
          <cell r="AP39">
            <v>29.498744666803329</v>
          </cell>
          <cell r="AQ39">
            <v>14.749372333401665</v>
          </cell>
          <cell r="AT39">
            <v>10.246861667008318</v>
          </cell>
          <cell r="AU39">
            <v>8.1974893336066543</v>
          </cell>
          <cell r="AV39">
            <v>6.1481170002049907</v>
          </cell>
          <cell r="AW39">
            <v>4.0987446668033272</v>
          </cell>
          <cell r="AX39">
            <v>2.0493723334016636</v>
          </cell>
          <cell r="BA39">
            <v>31.450668101069933</v>
          </cell>
          <cell r="BB39">
            <v>32.842201900114915</v>
          </cell>
          <cell r="BC39">
            <v>34.627226072894942</v>
          </cell>
          <cell r="BD39">
            <v>37.317457773889828</v>
          </cell>
          <cell r="BE39">
            <v>41.992566056290244</v>
          </cell>
          <cell r="BJ39">
            <v>2.0333333333333363</v>
          </cell>
          <cell r="BK39">
            <v>2.074000000000003</v>
          </cell>
          <cell r="BL39">
            <v>2.1553333333333367</v>
          </cell>
          <cell r="BM39">
            <v>2.3180000000000032</v>
          </cell>
          <cell r="BN39">
            <v>2.8466666666666707</v>
          </cell>
        </row>
        <row r="40">
          <cell r="N40">
            <v>47</v>
          </cell>
          <cell r="P40">
            <v>11.996038341699768</v>
          </cell>
          <cell r="Q40">
            <v>10.483337906811427</v>
          </cell>
          <cell r="R40">
            <v>8.6671377018780831</v>
          </cell>
          <cell r="S40">
            <v>6.4166809089752066</v>
          </cell>
          <cell r="T40">
            <v>3.6000111063441</v>
          </cell>
          <cell r="W40">
            <v>0.87030580961658366</v>
          </cell>
          <cell r="X40">
            <v>0.75722252726430739</v>
          </cell>
          <cell r="Y40">
            <v>0.62657080094156647</v>
          </cell>
          <cell r="Z40">
            <v>0.44661283225937076</v>
          </cell>
          <cell r="AA40">
            <v>0.26117877346593676</v>
          </cell>
          <cell r="AD40">
            <v>52.470630686057078</v>
          </cell>
          <cell r="AE40">
            <v>54.407116521581436</v>
          </cell>
          <cell r="AF40">
            <v>57.263329041432932</v>
          </cell>
          <cell r="AG40">
            <v>61.676518787205197</v>
          </cell>
          <cell r="AH40">
            <v>70.190427169053478</v>
          </cell>
          <cell r="AM40">
            <v>85.62747641525452</v>
          </cell>
          <cell r="AN40">
            <v>68.501981132203625</v>
          </cell>
          <cell r="AO40">
            <v>51.376485849152708</v>
          </cell>
          <cell r="AP40">
            <v>34.250990566101812</v>
          </cell>
          <cell r="AQ40">
            <v>17.125495283050906</v>
          </cell>
          <cell r="AT40">
            <v>11.880614748246202</v>
          </cell>
          <cell r="AU40">
            <v>9.5044917985969661</v>
          </cell>
          <cell r="AV40">
            <v>7.1283688489477157</v>
          </cell>
          <cell r="AW40">
            <v>4.7522458992984831</v>
          </cell>
          <cell r="AX40">
            <v>2.3761229496492415</v>
          </cell>
          <cell r="BA40">
            <v>31.621225803361821</v>
          </cell>
          <cell r="BB40">
            <v>33.02082518821102</v>
          </cell>
          <cell r="BC40">
            <v>34.804737466754489</v>
          </cell>
          <cell r="BD40">
            <v>37.498964956033646</v>
          </cell>
          <cell r="BE40">
            <v>42.167148737437564</v>
          </cell>
          <cell r="BJ40">
            <v>2.0666666666666695</v>
          </cell>
          <cell r="BK40">
            <v>2.1080000000000028</v>
          </cell>
          <cell r="BL40">
            <v>2.1906666666666696</v>
          </cell>
          <cell r="BM40">
            <v>2.356000000000003</v>
          </cell>
          <cell r="BN40">
            <v>2.8933333333333371</v>
          </cell>
        </row>
        <row r="41">
          <cell r="N41">
            <v>48</v>
          </cell>
          <cell r="P41">
            <v>12.928809012737984</v>
          </cell>
          <cell r="Q41">
            <v>11.292021791725356</v>
          </cell>
          <cell r="R41">
            <v>9.3190855363815395</v>
          </cell>
          <cell r="S41">
            <v>6.8962267273944402</v>
          </cell>
          <cell r="T41">
            <v>3.8708854184137524</v>
          </cell>
          <cell r="W41">
            <v>0.93277067103821665</v>
          </cell>
          <cell r="X41">
            <v>0.80868388491392906</v>
          </cell>
          <cell r="Y41">
            <v>0.65194783450345639</v>
          </cell>
          <cell r="Z41">
            <v>0.4795458184192336</v>
          </cell>
          <cell r="AA41">
            <v>0.2708743120696524</v>
          </cell>
          <cell r="AD41">
            <v>52.849666392872081</v>
          </cell>
          <cell r="AE41">
            <v>54.793943482513676</v>
          </cell>
          <cell r="AF41">
            <v>57.64832002380362</v>
          </cell>
          <cell r="AG41">
            <v>62.054222259937362</v>
          </cell>
          <cell r="AH41">
            <v>70.571129226337533</v>
          </cell>
          <cell r="AM41">
            <v>99.401036064365428</v>
          </cell>
          <cell r="AN41">
            <v>79.520828851492354</v>
          </cell>
          <cell r="AO41">
            <v>59.640621638619251</v>
          </cell>
          <cell r="AP41">
            <v>39.760414425746177</v>
          </cell>
          <cell r="AQ41">
            <v>19.880207212873088</v>
          </cell>
          <cell r="AT41">
            <v>13.773559649110908</v>
          </cell>
          <cell r="AU41">
            <v>11.018847719288729</v>
          </cell>
          <cell r="AV41">
            <v>8.2641357894665433</v>
          </cell>
          <cell r="AW41">
            <v>5.5094238596443645</v>
          </cell>
          <cell r="AX41">
            <v>2.7547119298221823</v>
          </cell>
          <cell r="BA41">
            <v>31.791783505653711</v>
          </cell>
          <cell r="BB41">
            <v>33.176527924103851</v>
          </cell>
          <cell r="BC41">
            <v>34.982248860614042</v>
          </cell>
          <cell r="BD41">
            <v>37.680472138177471</v>
          </cell>
          <cell r="BE41">
            <v>42.340712512072891</v>
          </cell>
          <cell r="BJ41">
            <v>2.1000000000000028</v>
          </cell>
          <cell r="BK41">
            <v>2.142000000000003</v>
          </cell>
          <cell r="BL41">
            <v>2.2260000000000031</v>
          </cell>
          <cell r="BM41">
            <v>2.3940000000000028</v>
          </cell>
          <cell r="BN41">
            <v>2.9400000000000035</v>
          </cell>
        </row>
        <row r="42">
          <cell r="N42">
            <v>49</v>
          </cell>
          <cell r="P42">
            <v>13.928527864588917</v>
          </cell>
          <cell r="Q42">
            <v>12.147069150707994</v>
          </cell>
          <cell r="R42">
            <v>10.016004387425889</v>
          </cell>
          <cell r="S42">
            <v>7.4197267934665154</v>
          </cell>
          <cell r="T42">
            <v>4.1702012426579218</v>
          </cell>
          <cell r="W42">
            <v>0.99971885185093257</v>
          </cell>
          <cell r="X42">
            <v>0.85504735898263817</v>
          </cell>
          <cell r="Y42">
            <v>0.69691885104434981</v>
          </cell>
          <cell r="Z42">
            <v>0.52350006607207522</v>
          </cell>
          <cell r="AA42">
            <v>0.29931582424416936</v>
          </cell>
          <cell r="AD42">
            <v>53.213386604241784</v>
          </cell>
          <cell r="AE42">
            <v>55.170390866416149</v>
          </cell>
          <cell r="AF42">
            <v>58.030740707238266</v>
          </cell>
          <cell r="AG42">
            <v>62.407376554018477</v>
          </cell>
          <cell r="AH42">
            <v>70.951831283621587</v>
          </cell>
          <cell r="AM42">
            <v>115.36769098598003</v>
          </cell>
          <cell r="AN42">
            <v>92.294152788784032</v>
          </cell>
          <cell r="AO42">
            <v>69.220614591588017</v>
          </cell>
          <cell r="AP42">
            <v>46.147076394392016</v>
          </cell>
          <cell r="AQ42">
            <v>23.073538197196008</v>
          </cell>
          <cell r="AT42">
            <v>15.966654921614605</v>
          </cell>
          <cell r="AU42">
            <v>12.773323937291678</v>
          </cell>
          <cell r="AV42">
            <v>9.579992952968766</v>
          </cell>
          <cell r="AW42">
            <v>6.3866619686458392</v>
          </cell>
          <cell r="AX42">
            <v>3.1933309843229196</v>
          </cell>
          <cell r="BA42">
            <v>31.962341207945599</v>
          </cell>
          <cell r="BB42">
            <v>33.332230659996682</v>
          </cell>
          <cell r="BC42">
            <v>35.146386283795508</v>
          </cell>
          <cell r="BD42">
            <v>37.861979320321296</v>
          </cell>
          <cell r="BE42">
            <v>42.51427628670821</v>
          </cell>
          <cell r="BJ42">
            <v>2.133333333333336</v>
          </cell>
          <cell r="BK42">
            <v>2.1760000000000028</v>
          </cell>
          <cell r="BL42">
            <v>2.2613333333333361</v>
          </cell>
          <cell r="BM42">
            <v>2.4320000000000026</v>
          </cell>
          <cell r="BN42">
            <v>2.9866666666666704</v>
          </cell>
        </row>
        <row r="43">
          <cell r="N43">
            <v>50</v>
          </cell>
          <cell r="P43">
            <v>15</v>
          </cell>
          <cell r="Q43">
            <v>13.059000000000001</v>
          </cell>
          <cell r="R43">
            <v>10.782</v>
          </cell>
          <cell r="S43">
            <v>8.0009999999999994</v>
          </cell>
          <cell r="T43">
            <v>4.5</v>
          </cell>
          <cell r="W43">
            <v>1.0714721354110832</v>
          </cell>
          <cell r="X43">
            <v>0.9119308492920073</v>
          </cell>
          <cell r="Y43">
            <v>0.76599561257411075</v>
          </cell>
          <cell r="Z43">
            <v>0.58127320653348402</v>
          </cell>
          <cell r="AA43">
            <v>0.3297987573420782</v>
          </cell>
          <cell r="AD43">
            <v>53.567039423670657</v>
          </cell>
          <cell r="AE43">
            <v>55.535006783542492</v>
          </cell>
          <cell r="AF43">
            <v>58.38602553461638</v>
          </cell>
          <cell r="AG43">
            <v>62.760530848099599</v>
          </cell>
          <cell r="AH43">
            <v>71.315281959371688</v>
          </cell>
          <cell r="AM43">
            <v>133.875</v>
          </cell>
          <cell r="AN43">
            <v>107.10000000000001</v>
          </cell>
          <cell r="AO43">
            <v>80.325000000000003</v>
          </cell>
          <cell r="AP43">
            <v>53.550000000000004</v>
          </cell>
          <cell r="AQ43">
            <v>26.775000000000002</v>
          </cell>
          <cell r="AT43">
            <v>18.507309014019967</v>
          </cell>
          <cell r="AU43">
            <v>14.805847211215976</v>
          </cell>
          <cell r="AV43">
            <v>11.104385408411986</v>
          </cell>
          <cell r="AW43">
            <v>7.4029236056079881</v>
          </cell>
          <cell r="AX43">
            <v>3.7014618028039941</v>
          </cell>
          <cell r="BA43">
            <v>32.113552950216736</v>
          </cell>
          <cell r="BB43">
            <v>33.487933395889513</v>
          </cell>
          <cell r="BC43">
            <v>35.309037710234961</v>
          </cell>
          <cell r="BD43">
            <v>38.037513426486328</v>
          </cell>
          <cell r="BE43">
            <v>42.687840061343536</v>
          </cell>
          <cell r="BJ43">
            <v>2.1666666666666692</v>
          </cell>
          <cell r="BK43">
            <v>2.2100000000000026</v>
          </cell>
          <cell r="BL43">
            <v>2.2966666666666695</v>
          </cell>
          <cell r="BM43">
            <v>2.4700000000000029</v>
          </cell>
          <cell r="BN43">
            <v>3.0333333333333368</v>
          </cell>
        </row>
        <row r="44">
          <cell r="N44">
            <v>51</v>
          </cell>
          <cell r="P44">
            <v>16.148375400580683</v>
          </cell>
          <cell r="Q44">
            <v>14.065234973905774</v>
          </cell>
          <cell r="R44">
            <v>11.621985775797917</v>
          </cell>
          <cell r="S44">
            <v>8.6296918140703163</v>
          </cell>
          <cell r="T44">
            <v>4.8606609955747855</v>
          </cell>
          <cell r="W44">
            <v>1.148375400580683</v>
          </cell>
          <cell r="X44">
            <v>1.006234973905773</v>
          </cell>
          <cell r="Y44">
            <v>0.839985775797917</v>
          </cell>
          <cell r="Z44">
            <v>0.62869181407031682</v>
          </cell>
          <cell r="AA44">
            <v>0.36066099557478548</v>
          </cell>
          <cell r="AD44">
            <v>53.920692243099523</v>
          </cell>
          <cell r="AE44">
            <v>55.899622700668843</v>
          </cell>
          <cell r="AF44">
            <v>58.741310361994486</v>
          </cell>
          <cell r="AG44">
            <v>63.10587219844583</v>
          </cell>
          <cell r="AH44">
            <v>71.676233707038421</v>
          </cell>
          <cell r="AM44">
            <v>155.32539280599755</v>
          </cell>
          <cell r="AN44">
            <v>124.26031424479805</v>
          </cell>
          <cell r="AO44">
            <v>93.195235683598526</v>
          </cell>
          <cell r="AP44">
            <v>62.130157122399027</v>
          </cell>
          <cell r="AQ44">
            <v>31.065078561199513</v>
          </cell>
          <cell r="AT44">
            <v>21.450392805997552</v>
          </cell>
          <cell r="AU44">
            <v>17.160314244798045</v>
          </cell>
          <cell r="AV44">
            <v>12.870235683598523</v>
          </cell>
          <cell r="AW44">
            <v>8.5801571223990223</v>
          </cell>
          <cell r="AX44">
            <v>4.2900785611995111</v>
          </cell>
          <cell r="BA44">
            <v>32.259282740196369</v>
          </cell>
          <cell r="BB44">
            <v>33.643636131782344</v>
          </cell>
          <cell r="BC44">
            <v>35.471689136674414</v>
          </cell>
          <cell r="BD44">
            <v>38.194089742081125</v>
          </cell>
          <cell r="BE44">
            <v>42.861403835978855</v>
          </cell>
          <cell r="BJ44">
            <v>2.2000000000000024</v>
          </cell>
          <cell r="BK44">
            <v>2.2440000000000024</v>
          </cell>
          <cell r="BL44">
            <v>2.3320000000000025</v>
          </cell>
          <cell r="BM44">
            <v>2.5080000000000027</v>
          </cell>
          <cell r="BN44">
            <v>3.0800000000000032</v>
          </cell>
        </row>
        <row r="45">
          <cell r="N45">
            <v>52</v>
          </cell>
          <cell r="P45">
            <v>17.379173679952558</v>
          </cell>
          <cell r="Q45">
            <v>15.182446126806555</v>
          </cell>
          <cell r="R45">
            <v>12.547763396925747</v>
          </cell>
          <cell r="S45">
            <v>9.3221887619265527</v>
          </cell>
          <cell r="T45">
            <v>5.2485104513456724</v>
          </cell>
          <cell r="W45">
            <v>1.230798279371875</v>
          </cell>
          <cell r="X45">
            <v>1.1172111529007811</v>
          </cell>
          <cell r="Y45">
            <v>0.92577762112783013</v>
          </cell>
          <cell r="Z45">
            <v>0.69249694785623639</v>
          </cell>
          <cell r="AA45">
            <v>0.38784945577088692</v>
          </cell>
          <cell r="AD45">
            <v>54.255972994404218</v>
          </cell>
          <cell r="AE45">
            <v>56.238779717153008</v>
          </cell>
          <cell r="AF45">
            <v>59.09095196730258</v>
          </cell>
          <cell r="AG45">
            <v>63.434756173851497</v>
          </cell>
          <cell r="AH45">
            <v>72.034562459436771</v>
          </cell>
          <cell r="AM45">
            <v>180.18480345945557</v>
          </cell>
          <cell r="AN45">
            <v>144.14784276756447</v>
          </cell>
          <cell r="AO45">
            <v>108.11088207567333</v>
          </cell>
          <cell r="AP45">
            <v>72.073921383782235</v>
          </cell>
          <cell r="AQ45">
            <v>36.036960691891117</v>
          </cell>
          <cell r="AT45">
            <v>24.859410653458013</v>
          </cell>
          <cell r="AU45">
            <v>19.887528522766416</v>
          </cell>
          <cell r="AV45">
            <v>14.915646392074805</v>
          </cell>
          <cell r="AW45">
            <v>9.9437642613832082</v>
          </cell>
          <cell r="AX45">
            <v>4.9718821306916041</v>
          </cell>
          <cell r="BA45">
            <v>32.405012530176009</v>
          </cell>
          <cell r="BB45">
            <v>33.799338867675175</v>
          </cell>
          <cell r="BC45">
            <v>35.634340563113874</v>
          </cell>
          <cell r="BD45">
            <v>38.35066605767593</v>
          </cell>
          <cell r="BE45">
            <v>43.030177309109042</v>
          </cell>
          <cell r="BJ45">
            <v>2.2333333333333356</v>
          </cell>
          <cell r="BK45">
            <v>2.2780000000000022</v>
          </cell>
          <cell r="BL45">
            <v>2.367333333333336</v>
          </cell>
          <cell r="BM45">
            <v>2.5460000000000025</v>
          </cell>
          <cell r="BN45">
            <v>3.1266666666666696</v>
          </cell>
        </row>
        <row r="46">
          <cell r="N46">
            <v>53</v>
          </cell>
          <cell r="P46">
            <v>18.698310613518661</v>
          </cell>
          <cell r="Q46">
            <v>16.338583814092605</v>
          </cell>
          <cell r="R46">
            <v>13.509529418267233</v>
          </cell>
          <cell r="S46">
            <v>10.020424657784652</v>
          </cell>
          <cell r="T46">
            <v>5.6394104810372276</v>
          </cell>
          <cell r="W46">
            <v>1.319136933566103</v>
          </cell>
          <cell r="X46">
            <v>1.1561376872860496</v>
          </cell>
          <cell r="Y46">
            <v>0.96176602134148581</v>
          </cell>
          <cell r="Z46">
            <v>0.6982358958580992</v>
          </cell>
          <cell r="AA46">
            <v>0.39090002969155524</v>
          </cell>
          <cell r="AD46">
            <v>54.585942742481357</v>
          </cell>
          <cell r="AE46">
            <v>56.568265567054013</v>
          </cell>
          <cell r="AF46">
            <v>59.425480572843689</v>
          </cell>
          <cell r="AG46">
            <v>63.763640149257171</v>
          </cell>
          <cell r="AH46">
            <v>72.370053318329937</v>
          </cell>
          <cell r="AM46">
            <v>208.99265815439742</v>
          </cell>
          <cell r="AN46">
            <v>167.19412652351795</v>
          </cell>
          <cell r="AO46">
            <v>125.39559489263844</v>
          </cell>
          <cell r="AP46">
            <v>83.597063261758976</v>
          </cell>
          <cell r="AQ46">
            <v>41.798531630879488</v>
          </cell>
          <cell r="AT46">
            <v>28.807854694941852</v>
          </cell>
          <cell r="AU46">
            <v>23.046283755953482</v>
          </cell>
          <cell r="AV46">
            <v>17.284712816965111</v>
          </cell>
          <cell r="AW46">
            <v>11.523141877976741</v>
          </cell>
          <cell r="AX46">
            <v>5.7615709389883705</v>
          </cell>
          <cell r="BA46">
            <v>32.550742320155642</v>
          </cell>
          <cell r="BB46">
            <v>33.955041603568006</v>
          </cell>
          <cell r="BC46">
            <v>35.796991989553327</v>
          </cell>
          <cell r="BD46">
            <v>38.507242373270728</v>
          </cell>
          <cell r="BE46">
            <v>43.179964142847631</v>
          </cell>
          <cell r="BJ46">
            <v>2.2666666666666688</v>
          </cell>
          <cell r="BK46">
            <v>2.3120000000000021</v>
          </cell>
          <cell r="BL46">
            <v>2.4026666666666689</v>
          </cell>
          <cell r="BM46">
            <v>2.5840000000000023</v>
          </cell>
          <cell r="BN46">
            <v>3.173333333333336</v>
          </cell>
        </row>
        <row r="47">
          <cell r="N47">
            <v>54</v>
          </cell>
          <cell r="P47">
            <v>20.112126572366307</v>
          </cell>
          <cell r="Q47">
            <v>17.573976198933678</v>
          </cell>
          <cell r="R47">
            <v>14.520955385248474</v>
          </cell>
          <cell r="S47">
            <v>10.768032566844921</v>
          </cell>
          <cell r="T47">
            <v>6.0537500982822579</v>
          </cell>
          <cell r="W47">
            <v>1.4138159588476462</v>
          </cell>
          <cell r="X47">
            <v>1.2353923848410737</v>
          </cell>
          <cell r="Y47">
            <v>1.0114259669812409</v>
          </cell>
          <cell r="Z47">
            <v>0.74760790906026919</v>
          </cell>
          <cell r="AA47">
            <v>0.41433961724503021</v>
          </cell>
          <cell r="AD47">
            <v>54.915912490558505</v>
          </cell>
          <cell r="AE47">
            <v>56.897751416955018</v>
          </cell>
          <cell r="AF47">
            <v>59.760009178384806</v>
          </cell>
          <cell r="AG47">
            <v>64.08760696397195</v>
          </cell>
          <cell r="AH47">
            <v>72.705544177223089</v>
          </cell>
          <cell r="AM47">
            <v>242.37342918215046</v>
          </cell>
          <cell r="AN47">
            <v>193.89874334572039</v>
          </cell>
          <cell r="AO47">
            <v>145.42405750929026</v>
          </cell>
          <cell r="AP47">
            <v>96.949371672860195</v>
          </cell>
          <cell r="AQ47">
            <v>48.474685836430098</v>
          </cell>
          <cell r="AT47">
            <v>33.380771027753042</v>
          </cell>
          <cell r="AU47">
            <v>26.704616822202439</v>
          </cell>
          <cell r="AV47">
            <v>20.028462616651822</v>
          </cell>
          <cell r="AW47">
            <v>13.35230841110122</v>
          </cell>
          <cell r="AX47">
            <v>6.6761542055506098</v>
          </cell>
          <cell r="BA47">
            <v>32.696472110135275</v>
          </cell>
          <cell r="BB47">
            <v>34.09469189131628</v>
          </cell>
          <cell r="BC47">
            <v>35.95964341599278</v>
          </cell>
          <cell r="BD47">
            <v>38.663818688865533</v>
          </cell>
          <cell r="BE47">
            <v>43.329750976586219</v>
          </cell>
          <cell r="BJ47">
            <v>2.300000000000002</v>
          </cell>
          <cell r="BK47">
            <v>2.3460000000000023</v>
          </cell>
          <cell r="BL47">
            <v>2.4380000000000024</v>
          </cell>
          <cell r="BM47">
            <v>2.6220000000000021</v>
          </cell>
          <cell r="BN47">
            <v>3.2200000000000029</v>
          </cell>
        </row>
        <row r="48">
          <cell r="N48">
            <v>55</v>
          </cell>
          <cell r="P48">
            <v>21.627416997969519</v>
          </cell>
          <cell r="Q48">
            <v>18.900199714525563</v>
          </cell>
          <cell r="R48">
            <v>15.604181364035009</v>
          </cell>
          <cell r="S48">
            <v>11.572830835613489</v>
          </cell>
          <cell r="T48">
            <v>6.49903880788984</v>
          </cell>
          <cell r="W48">
            <v>1.5152904256032116</v>
          </cell>
          <cell r="X48">
            <v>1.3262235155918844</v>
          </cell>
          <cell r="Y48">
            <v>1.083225978786535</v>
          </cell>
          <cell r="Z48">
            <v>0.80479826876856819</v>
          </cell>
          <cell r="AA48">
            <v>0.44528870960758216</v>
          </cell>
          <cell r="AD48">
            <v>55.229416240679981</v>
          </cell>
          <cell r="AE48">
            <v>57.218966664386244</v>
          </cell>
          <cell r="AF48">
            <v>60.086674688654931</v>
          </cell>
          <cell r="AG48">
            <v>64.399012521055653</v>
          </cell>
          <cell r="AH48">
            <v>73.037155126421851</v>
          </cell>
          <cell r="AM48">
            <v>281.05</v>
          </cell>
          <cell r="AN48">
            <v>224.84000000000003</v>
          </cell>
          <cell r="AO48">
            <v>168.63</v>
          </cell>
          <cell r="AP48">
            <v>112.42000000000002</v>
          </cell>
          <cell r="AQ48">
            <v>56.210000000000008</v>
          </cell>
          <cell r="AT48">
            <v>38.676570817849552</v>
          </cell>
          <cell r="AU48">
            <v>30.941256654279641</v>
          </cell>
          <cell r="AV48">
            <v>23.205942490709731</v>
          </cell>
          <cell r="AW48">
            <v>15.470628327139821</v>
          </cell>
          <cell r="AX48">
            <v>7.7353141635699103</v>
          </cell>
          <cell r="BA48">
            <v>32.842201900114915</v>
          </cell>
          <cell r="BB48">
            <v>34.227825436710944</v>
          </cell>
          <cell r="BC48">
            <v>36.105477566569242</v>
          </cell>
          <cell r="BD48">
            <v>38.82039500446033</v>
          </cell>
          <cell r="BE48">
            <v>43.479537810324807</v>
          </cell>
          <cell r="BJ48">
            <v>2.3333333333333353</v>
          </cell>
          <cell r="BK48">
            <v>2.3800000000000021</v>
          </cell>
          <cell r="BL48">
            <v>2.4733333333333354</v>
          </cell>
          <cell r="BM48">
            <v>2.6600000000000019</v>
          </cell>
          <cell r="BN48">
            <v>3.2666666666666693</v>
          </cell>
        </row>
        <row r="49">
          <cell r="N49">
            <v>56</v>
          </cell>
          <cell r="P49">
            <v>23.251465064166357</v>
          </cell>
          <cell r="Q49">
            <v>20.310154733549314</v>
          </cell>
          <cell r="R49">
            <v>16.757330871744692</v>
          </cell>
          <cell r="S49">
            <v>12.425582930290501</v>
          </cell>
          <cell r="T49">
            <v>6.9545132006921566</v>
          </cell>
          <cell r="W49">
            <v>1.6240480661968384</v>
          </cell>
          <cell r="X49">
            <v>1.4099550190237515</v>
          </cell>
          <cell r="Y49">
            <v>1.1531495077096832</v>
          </cell>
          <cell r="Z49">
            <v>0.85275209467701174</v>
          </cell>
          <cell r="AA49">
            <v>0.45547439280231661</v>
          </cell>
          <cell r="AD49">
            <v>55.537288901845052</v>
          </cell>
          <cell r="AE49">
            <v>57.53646043868428</v>
          </cell>
          <cell r="AF49">
            <v>60.393379177879737</v>
          </cell>
          <cell r="AG49">
            <v>64.710418078139355</v>
          </cell>
          <cell r="AH49">
            <v>73.340924940105893</v>
          </cell>
          <cell r="AM49">
            <v>325.85912455595718</v>
          </cell>
          <cell r="AN49">
            <v>260.68729964476574</v>
          </cell>
          <cell r="AO49">
            <v>195.51547473357431</v>
          </cell>
          <cell r="AP49">
            <v>130.34364982238287</v>
          </cell>
          <cell r="AQ49">
            <v>65.171824911191436</v>
          </cell>
          <cell r="AT49">
            <v>44.809124555957169</v>
          </cell>
          <cell r="AU49">
            <v>35.847299644765712</v>
          </cell>
          <cell r="AV49">
            <v>26.885474733574313</v>
          </cell>
          <cell r="AW49">
            <v>17.923649822382856</v>
          </cell>
          <cell r="AX49">
            <v>8.9618249111914281</v>
          </cell>
          <cell r="BA49">
            <v>32.987931690094548</v>
          </cell>
          <cell r="BB49">
            <v>34.360958982105608</v>
          </cell>
          <cell r="BC49">
            <v>36.245762114295424</v>
          </cell>
          <cell r="BD49">
            <v>38.976971320055128</v>
          </cell>
          <cell r="BE49">
            <v>43.629324644063402</v>
          </cell>
          <cell r="BJ49">
            <v>2.3666666666666685</v>
          </cell>
          <cell r="BK49">
            <v>2.4140000000000019</v>
          </cell>
          <cell r="BL49">
            <v>2.5086666666666688</v>
          </cell>
          <cell r="BM49">
            <v>2.6980000000000017</v>
          </cell>
          <cell r="BN49">
            <v>3.3133333333333357</v>
          </cell>
        </row>
        <row r="50">
          <cell r="N50">
            <v>57</v>
          </cell>
          <cell r="P50">
            <v>24.992076683399535</v>
          </cell>
          <cell r="Q50">
            <v>21.823081359944474</v>
          </cell>
          <cell r="R50">
            <v>17.996794419716004</v>
          </cell>
          <cell r="S50">
            <v>13.335772118261991</v>
          </cell>
          <cell r="T50">
            <v>7.4426404363163821</v>
          </cell>
          <cell r="W50">
            <v>1.740611619233178</v>
          </cell>
          <cell r="X50">
            <v>1.51292662639516</v>
          </cell>
          <cell r="Y50">
            <v>1.2394635479713116</v>
          </cell>
          <cell r="Z50">
            <v>0.91018918797148984</v>
          </cell>
          <cell r="AA50">
            <v>0.48812723562422544</v>
          </cell>
          <cell r="AD50">
            <v>55.845161563010116</v>
          </cell>
          <cell r="AE50">
            <v>57.853954212982316</v>
          </cell>
          <cell r="AF50">
            <v>60.700083667104536</v>
          </cell>
          <cell r="AG50">
            <v>65.021675833900701</v>
          </cell>
          <cell r="AH50">
            <v>73.644694753789935</v>
          </cell>
          <cell r="AM50">
            <v>377.76930817680426</v>
          </cell>
          <cell r="AN50">
            <v>302.21544654144344</v>
          </cell>
          <cell r="AO50">
            <v>226.66158490608254</v>
          </cell>
          <cell r="AP50">
            <v>151.10772327072172</v>
          </cell>
          <cell r="AQ50">
            <v>75.55386163536086</v>
          </cell>
          <cell r="AT50">
            <v>51.910183620847079</v>
          </cell>
          <cell r="AU50">
            <v>41.528146896677697</v>
          </cell>
          <cell r="AV50">
            <v>31.14611017250823</v>
          </cell>
          <cell r="AW50">
            <v>20.764073448338848</v>
          </cell>
          <cell r="AX50">
            <v>10.382036724169424</v>
          </cell>
          <cell r="BA50">
            <v>33.114246829746719</v>
          </cell>
          <cell r="BB50">
            <v>34.494092527500278</v>
          </cell>
          <cell r="BC50">
            <v>36.386046662021599</v>
          </cell>
          <cell r="BD50">
            <v>39.115214427575864</v>
          </cell>
          <cell r="BE50">
            <v>43.77911147780199</v>
          </cell>
          <cell r="BJ50">
            <v>2.4000000000000017</v>
          </cell>
          <cell r="BK50">
            <v>2.4480000000000017</v>
          </cell>
          <cell r="BL50">
            <v>2.5440000000000018</v>
          </cell>
          <cell r="BM50">
            <v>2.7360000000000015</v>
          </cell>
          <cell r="BN50">
            <v>3.3600000000000021</v>
          </cell>
        </row>
        <row r="51">
          <cell r="N51">
            <v>58</v>
          </cell>
          <cell r="P51">
            <v>26.857618025475972</v>
          </cell>
          <cell r="Q51">
            <v>23.425214441820142</v>
          </cell>
          <cell r="R51">
            <v>19.329427692935056</v>
          </cell>
          <cell r="S51">
            <v>14.269452456935383</v>
          </cell>
          <cell r="T51">
            <v>7.9605979827510778</v>
          </cell>
          <cell r="W51">
            <v>1.8655413420764368</v>
          </cell>
          <cell r="X51">
            <v>1.6021330818756674</v>
          </cell>
          <cell r="Y51">
            <v>1.3326332732190522</v>
          </cell>
          <cell r="Z51">
            <v>0.93368033867339228</v>
          </cell>
          <cell r="AA51">
            <v>0.51795754643469571</v>
          </cell>
          <cell r="AD51">
            <v>56.142785979989682</v>
          </cell>
          <cell r="AE51">
            <v>58.155157256402767</v>
          </cell>
          <cell r="AF51">
            <v>61.006268532239034</v>
          </cell>
          <cell r="AG51">
            <v>65.330972386106993</v>
          </cell>
          <cell r="AH51">
            <v>73.948464567473962</v>
          </cell>
          <cell r="AM51">
            <v>437.90148836012787</v>
          </cell>
          <cell r="AN51">
            <v>350.32119068810232</v>
          </cell>
          <cell r="AO51">
            <v>262.74089301607671</v>
          </cell>
          <cell r="AP51">
            <v>175.16059534405116</v>
          </cell>
          <cell r="AQ51">
            <v>87.58029767202558</v>
          </cell>
          <cell r="AT51">
            <v>60.132180183323612</v>
          </cell>
          <cell r="AU51">
            <v>48.105744146658878</v>
          </cell>
          <cell r="AV51">
            <v>36.079308109994173</v>
          </cell>
          <cell r="AW51">
            <v>24.052872073329439</v>
          </cell>
          <cell r="AX51">
            <v>12.02643603666472</v>
          </cell>
          <cell r="BA51">
            <v>33.238809018460984</v>
          </cell>
          <cell r="BB51">
            <v>34.627226072894942</v>
          </cell>
          <cell r="BC51">
            <v>36.526331209747774</v>
          </cell>
          <cell r="BD51">
            <v>39.250296194358178</v>
          </cell>
          <cell r="BE51">
            <v>43.928898311540578</v>
          </cell>
          <cell r="BJ51">
            <v>2.4333333333333349</v>
          </cell>
          <cell r="BK51">
            <v>2.4820000000000015</v>
          </cell>
          <cell r="BL51">
            <v>2.5793333333333353</v>
          </cell>
          <cell r="BM51">
            <v>2.7740000000000014</v>
          </cell>
          <cell r="BN51">
            <v>3.4066666666666685</v>
          </cell>
        </row>
        <row r="52">
          <cell r="N52">
            <v>59</v>
          </cell>
          <cell r="P52">
            <v>28.857055729177837</v>
          </cell>
          <cell r="Q52">
            <v>25.166238301415991</v>
          </cell>
          <cell r="R52">
            <v>20.719366013549685</v>
          </cell>
          <cell r="S52">
            <v>15.268268186307994</v>
          </cell>
          <cell r="T52">
            <v>8.5474599069824766</v>
          </cell>
          <cell r="W52">
            <v>1.9994377037018651</v>
          </cell>
          <cell r="X52">
            <v>1.7410238595958489</v>
          </cell>
          <cell r="Y52">
            <v>1.389938320614629</v>
          </cell>
          <cell r="Z52">
            <v>0.99881572937261076</v>
          </cell>
          <cell r="AA52">
            <v>0.58686192423139882</v>
          </cell>
          <cell r="AD52">
            <v>56.430041330048923</v>
          </cell>
          <cell r="AE52">
            <v>58.442483247955479</v>
          </cell>
          <cell r="AF52">
            <v>61.289495211956165</v>
          </cell>
          <cell r="AG52">
            <v>65.640268938313284</v>
          </cell>
          <cell r="AH52">
            <v>74.231558509323534</v>
          </cell>
          <cell r="AM52">
            <v>507.55295278468168</v>
          </cell>
          <cell r="AN52">
            <v>406.04236222774534</v>
          </cell>
          <cell r="AO52">
            <v>304.53177167080901</v>
          </cell>
          <cell r="AP52">
            <v>203.02118111387267</v>
          </cell>
          <cell r="AQ52">
            <v>101.51059055693634</v>
          </cell>
          <cell r="AT52">
            <v>69.651464424553808</v>
          </cell>
          <cell r="AU52">
            <v>55.721171539643024</v>
          </cell>
          <cell r="AV52">
            <v>41.790878654732296</v>
          </cell>
          <cell r="AW52">
            <v>27.860585769821512</v>
          </cell>
          <cell r="AX52">
            <v>13.930292884910756</v>
          </cell>
          <cell r="BA52">
            <v>33.363371207175248</v>
          </cell>
          <cell r="BB52">
            <v>34.760359618289606</v>
          </cell>
          <cell r="BC52">
            <v>36.666615757473956</v>
          </cell>
          <cell r="BD52">
            <v>39.385377961140485</v>
          </cell>
          <cell r="BE52">
            <v>44.067911160744309</v>
          </cell>
          <cell r="BJ52">
            <v>2.4666666666666681</v>
          </cell>
          <cell r="BK52">
            <v>2.5160000000000013</v>
          </cell>
          <cell r="BL52">
            <v>2.6146666666666682</v>
          </cell>
          <cell r="BM52">
            <v>2.8120000000000016</v>
          </cell>
          <cell r="BN52">
            <v>3.4533333333333354</v>
          </cell>
        </row>
        <row r="53">
          <cell r="N53">
            <v>60</v>
          </cell>
          <cell r="P53">
            <v>31</v>
          </cell>
          <cell r="Q53">
            <v>27.0351</v>
          </cell>
          <cell r="R53">
            <v>22.205300000000001</v>
          </cell>
          <cell r="S53">
            <v>16.386599999999998</v>
          </cell>
          <cell r="T53">
            <v>9.1883999999999997</v>
          </cell>
          <cell r="W53">
            <v>2.1429442708221629</v>
          </cell>
          <cell r="X53">
            <v>1.8688616985840092</v>
          </cell>
          <cell r="Y53">
            <v>1.4859339864503163</v>
          </cell>
          <cell r="Z53">
            <v>1.118331813692004</v>
          </cell>
          <cell r="AA53">
            <v>0.64094009301752308</v>
          </cell>
          <cell r="AD53">
            <v>56.717296680108156</v>
          </cell>
          <cell r="AE53">
            <v>58.729809239508185</v>
          </cell>
          <cell r="AF53">
            <v>61.572721891673297</v>
          </cell>
          <cell r="AG53">
            <v>65.949565490519575</v>
          </cell>
          <cell r="AH53">
            <v>74.51042804689898</v>
          </cell>
          <cell r="AM53">
            <v>588.22499999999991</v>
          </cell>
          <cell r="AN53">
            <v>470.57999999999993</v>
          </cell>
          <cell r="AO53">
            <v>352.93499999999995</v>
          </cell>
          <cell r="AP53">
            <v>235.28999999999996</v>
          </cell>
          <cell r="AQ53">
            <v>117.64499999999998</v>
          </cell>
          <cell r="AT53">
            <v>80.67204721531823</v>
          </cell>
          <cell r="AU53">
            <v>64.537637772254584</v>
          </cell>
          <cell r="AV53">
            <v>48.403228329190938</v>
          </cell>
          <cell r="AW53">
            <v>32.268818886127292</v>
          </cell>
          <cell r="AX53">
            <v>16.134409443063646</v>
          </cell>
          <cell r="BA53">
            <v>33.487933395889513</v>
          </cell>
          <cell r="BB53">
            <v>34.893493163684269</v>
          </cell>
          <cell r="BC53">
            <v>36.806900305200131</v>
          </cell>
          <cell r="BD53">
            <v>39.520459727922798</v>
          </cell>
          <cell r="BE53">
            <v>44.197188392263818</v>
          </cell>
          <cell r="BJ53">
            <v>2.5000000000000013</v>
          </cell>
          <cell r="BK53">
            <v>2.5500000000000016</v>
          </cell>
          <cell r="BL53">
            <v>2.6500000000000017</v>
          </cell>
          <cell r="BM53">
            <v>2.8500000000000014</v>
          </cell>
          <cell r="BN53">
            <v>3.5000000000000018</v>
          </cell>
        </row>
        <row r="54">
          <cell r="N54">
            <v>61</v>
          </cell>
          <cell r="P54">
            <v>33.296750801161366</v>
          </cell>
          <cell r="Q54">
            <v>28.928217096048996</v>
          </cell>
          <cell r="R54">
            <v>23.783869097269566</v>
          </cell>
          <cell r="S54">
            <v>17.587343773173433</v>
          </cell>
          <cell r="T54">
            <v>9.8458492119034169</v>
          </cell>
          <cell r="W54">
            <v>2.296750801161366</v>
          </cell>
          <cell r="X54">
            <v>1.8931170960489965</v>
          </cell>
          <cell r="Y54">
            <v>1.5785690972695647</v>
          </cell>
          <cell r="Z54">
            <v>1.2007437731734356</v>
          </cell>
          <cell r="AA54">
            <v>0.65744921190341721</v>
          </cell>
          <cell r="AD54">
            <v>57.004247194324648</v>
          </cell>
          <cell r="AE54">
            <v>59.016342740868758</v>
          </cell>
          <cell r="AF54">
            <v>61.855948571390428</v>
          </cell>
          <cell r="AG54">
            <v>66.241691764589476</v>
          </cell>
          <cell r="AH54">
            <v>74.789297584474426</v>
          </cell>
          <cell r="AM54">
            <v>681.65492699983838</v>
          </cell>
          <cell r="AN54">
            <v>545.32394159987075</v>
          </cell>
          <cell r="AO54">
            <v>408.99295619990301</v>
          </cell>
          <cell r="AP54">
            <v>272.66197079993537</v>
          </cell>
          <cell r="AQ54">
            <v>136.33098539996769</v>
          </cell>
          <cell r="AT54">
            <v>93.429926999838472</v>
          </cell>
          <cell r="AU54">
            <v>74.743941599870823</v>
          </cell>
          <cell r="AV54">
            <v>56.05795619990306</v>
          </cell>
          <cell r="AW54">
            <v>37.371970799935411</v>
          </cell>
          <cell r="AX54">
            <v>18.685985399967706</v>
          </cell>
          <cell r="BJ54">
            <v>2.5333333333333345</v>
          </cell>
          <cell r="BK54">
            <v>2.5840000000000014</v>
          </cell>
          <cell r="BL54">
            <v>2.6853333333333347</v>
          </cell>
          <cell r="BM54">
            <v>2.8880000000000012</v>
          </cell>
          <cell r="BN54">
            <v>3.5466666666666682</v>
          </cell>
        </row>
        <row r="55">
          <cell r="N55">
            <v>62</v>
          </cell>
          <cell r="P55">
            <v>35.758347359905123</v>
          </cell>
          <cell r="Q55">
            <v>31.081155525229534</v>
          </cell>
          <cell r="R55">
            <v>25.606552544428059</v>
          </cell>
          <cell r="S55">
            <v>18.930469092333773</v>
          </cell>
          <cell r="T55">
            <v>10.570167479587953</v>
          </cell>
          <cell r="W55">
            <v>2.4615965587437572</v>
          </cell>
          <cell r="X55">
            <v>2.1529384291805371</v>
          </cell>
          <cell r="Y55">
            <v>1.822683447158493</v>
          </cell>
          <cell r="Z55">
            <v>1.3431253191603396</v>
          </cell>
          <cell r="AA55">
            <v>0.72431826768453611</v>
          </cell>
          <cell r="AD55">
            <v>57.27226591292537</v>
          </cell>
          <cell r="AE55">
            <v>59.290380144164828</v>
          </cell>
          <cell r="AF55">
            <v>62.130298748930763</v>
          </cell>
          <cell r="AG55">
            <v>66.530472725664353</v>
          </cell>
          <cell r="AH55">
            <v>75.062532510920803</v>
          </cell>
          <cell r="AM55">
            <v>789.85301886939453</v>
          </cell>
          <cell r="AN55">
            <v>631.88241509551563</v>
          </cell>
          <cell r="AO55">
            <v>473.91181132163672</v>
          </cell>
          <cell r="AP55">
            <v>315.94120754775781</v>
          </cell>
          <cell r="AQ55">
            <v>157.97060377387891</v>
          </cell>
          <cell r="AT55">
            <v>108.19809186955615</v>
          </cell>
          <cell r="AU55">
            <v>86.558473495644876</v>
          </cell>
          <cell r="AV55">
            <v>64.918855121733714</v>
          </cell>
          <cell r="AW55">
            <v>43.279236747822438</v>
          </cell>
          <cell r="AX55">
            <v>21.639618373911219</v>
          </cell>
          <cell r="BJ55">
            <v>2.5666666666666678</v>
          </cell>
          <cell r="BK55">
            <v>2.6180000000000012</v>
          </cell>
          <cell r="BL55">
            <v>2.7206666666666681</v>
          </cell>
          <cell r="BM55">
            <v>2.926000000000001</v>
          </cell>
          <cell r="BN55">
            <v>3.5933333333333346</v>
          </cell>
        </row>
        <row r="56">
          <cell r="N56">
            <v>63</v>
          </cell>
          <cell r="P56">
            <v>38.396621227037308</v>
          </cell>
          <cell r="Q56">
            <v>33.42809844025868</v>
          </cell>
          <cell r="R56">
            <v>27.5802930273809</v>
          </cell>
          <cell r="S56">
            <v>20.319491953348145</v>
          </cell>
          <cell r="T56">
            <v>11.338522248344118</v>
          </cell>
          <cell r="W56">
            <v>2.6382738671321846</v>
          </cell>
          <cell r="X56">
            <v>2.3469429150291461</v>
          </cell>
          <cell r="Y56">
            <v>1.9737404829528415</v>
          </cell>
          <cell r="Z56">
            <v>1.3890228610143716</v>
          </cell>
          <cell r="AA56">
            <v>0.76835476875616493</v>
          </cell>
          <cell r="AD56">
            <v>57.540284631526099</v>
          </cell>
          <cell r="AE56">
            <v>59.564417547460899</v>
          </cell>
          <cell r="AF56">
            <v>62.395461425033538</v>
          </cell>
          <cell r="AG56">
            <v>66.819253686739231</v>
          </cell>
          <cell r="AH56">
            <v>75.318351032805268</v>
          </cell>
          <cell r="AM56">
            <v>915.14532082292135</v>
          </cell>
          <cell r="AN56">
            <v>732.11625665833708</v>
          </cell>
          <cell r="AO56">
            <v>549.08719249375281</v>
          </cell>
          <cell r="AP56">
            <v>366.05812832916854</v>
          </cell>
          <cell r="AQ56">
            <v>183.02906416458427</v>
          </cell>
          <cell r="AT56">
            <v>125.29230195352682</v>
          </cell>
          <cell r="AU56">
            <v>100.23384156282145</v>
          </cell>
          <cell r="AV56">
            <v>75.17538117211609</v>
          </cell>
          <cell r="AW56">
            <v>50.116920781410727</v>
          </cell>
          <cell r="AX56">
            <v>25.058460390705363</v>
          </cell>
          <cell r="BJ56">
            <v>2.600000000000001</v>
          </cell>
          <cell r="BK56">
            <v>2.652000000000001</v>
          </cell>
          <cell r="BL56">
            <v>2.7560000000000011</v>
          </cell>
          <cell r="BM56">
            <v>2.9640000000000009</v>
          </cell>
          <cell r="BN56">
            <v>3.640000000000001</v>
          </cell>
        </row>
        <row r="57">
          <cell r="N57">
            <v>64</v>
          </cell>
          <cell r="P57">
            <v>41.224253144732614</v>
          </cell>
          <cell r="Q57">
            <v>35.947548742206841</v>
          </cell>
          <cell r="R57">
            <v>29.553667079458812</v>
          </cell>
          <cell r="S57">
            <v>21.762283235104348</v>
          </cell>
          <cell r="T57">
            <v>12.111685573922442</v>
          </cell>
          <cell r="W57">
            <v>2.8276319176953066</v>
          </cell>
          <cell r="X57">
            <v>2.5194503019481616</v>
          </cell>
          <cell r="Y57">
            <v>1.9733740520779115</v>
          </cell>
          <cell r="Z57">
            <v>1.4427912817562039</v>
          </cell>
          <cell r="AA57">
            <v>0.77316332557832368</v>
          </cell>
          <cell r="AD57">
            <v>57.80830335012682</v>
          </cell>
          <cell r="AE57">
            <v>59.838454950756969</v>
          </cell>
          <cell r="AF57">
            <v>62.660624101136307</v>
          </cell>
          <cell r="AG57">
            <v>67.098789255934349</v>
          </cell>
          <cell r="AH57">
            <v>75.574169554689718</v>
          </cell>
          <cell r="AM57">
            <v>1060.2230944101252</v>
          </cell>
          <cell r="AN57">
            <v>848.17847552810019</v>
          </cell>
          <cell r="AO57">
            <v>636.13385664607506</v>
          </cell>
          <cell r="AP57">
            <v>424.0892377640501</v>
          </cell>
          <cell r="AQ57">
            <v>212.04461888202505</v>
          </cell>
          <cell r="AT57">
            <v>145.07777358720386</v>
          </cell>
          <cell r="AU57">
            <v>116.06221886976311</v>
          </cell>
          <cell r="AV57">
            <v>87.046664152322251</v>
          </cell>
          <cell r="AW57">
            <v>58.031109434881557</v>
          </cell>
          <cell r="AX57">
            <v>29.015554717440779</v>
          </cell>
          <cell r="BJ57">
            <v>2.6333333333333342</v>
          </cell>
          <cell r="BK57">
            <v>2.6860000000000008</v>
          </cell>
          <cell r="BL57">
            <v>2.7913333333333346</v>
          </cell>
          <cell r="BM57">
            <v>3.0020000000000007</v>
          </cell>
          <cell r="BN57">
            <v>3.6866666666666674</v>
          </cell>
        </row>
        <row r="58">
          <cell r="N58">
            <v>65</v>
          </cell>
          <cell r="P58">
            <v>44.254833995939045</v>
          </cell>
          <cell r="Q58">
            <v>38.53268396026413</v>
          </cell>
          <cell r="R58">
            <v>31.642206307096416</v>
          </cell>
          <cell r="S58">
            <v>23.282468165263531</v>
          </cell>
          <cell r="T58">
            <v>12.944538943812169</v>
          </cell>
          <cell r="W58">
            <v>3.0305808512064303</v>
          </cell>
          <cell r="X58">
            <v>2.5851352180572889</v>
          </cell>
          <cell r="Y58">
            <v>2.0885392276376038</v>
          </cell>
          <cell r="Z58">
            <v>1.5201849301591821</v>
          </cell>
          <cell r="AA58">
            <v>0.8328533698897278</v>
          </cell>
          <cell r="AD58">
            <v>58.071211008105138</v>
          </cell>
          <cell r="AE58">
            <v>60.102437883401088</v>
          </cell>
          <cell r="AF58">
            <v>62.925786777239075</v>
          </cell>
          <cell r="AG58">
            <v>67.36285691246691</v>
          </cell>
          <cell r="AH58">
            <v>75.829988076574182</v>
          </cell>
          <cell r="AM58">
            <v>1228.2</v>
          </cell>
          <cell r="AN58">
            <v>982.56000000000006</v>
          </cell>
          <cell r="AO58">
            <v>736.92</v>
          </cell>
          <cell r="AP58">
            <v>491.28000000000003</v>
          </cell>
          <cell r="AQ58">
            <v>245.64000000000001</v>
          </cell>
          <cell r="AT58">
            <v>167.97690558987483</v>
          </cell>
          <cell r="AU58">
            <v>134.38152447189987</v>
          </cell>
          <cell r="AV58">
            <v>100.7861433539249</v>
          </cell>
          <cell r="AW58">
            <v>67.190762235949933</v>
          </cell>
          <cell r="AX58">
            <v>33.595381117974966</v>
          </cell>
          <cell r="BJ58">
            <v>2.6666666666666674</v>
          </cell>
          <cell r="BK58">
            <v>2.7200000000000006</v>
          </cell>
          <cell r="BL58">
            <v>2.8266666666666675</v>
          </cell>
          <cell r="BM58">
            <v>3.0400000000000005</v>
          </cell>
          <cell r="BN58">
            <v>3.7333333333333343</v>
          </cell>
        </row>
        <row r="59">
          <cell r="N59">
            <v>66</v>
          </cell>
          <cell r="P59">
            <v>47.502930128332721</v>
          </cell>
          <cell r="Q59">
            <v>41.275295988508304</v>
          </cell>
          <cell r="R59">
            <v>33.888590353552566</v>
          </cell>
          <cell r="S59">
            <v>24.910536559297679</v>
          </cell>
          <cell r="T59">
            <v>13.837603546383322</v>
          </cell>
          <cell r="W59">
            <v>3.2480961323936768</v>
          </cell>
          <cell r="X59">
            <v>2.7426120282441744</v>
          </cell>
          <cell r="Y59">
            <v>2.24638404645615</v>
          </cell>
          <cell r="Z59">
            <v>1.6280683940341483</v>
          </cell>
          <cell r="AA59">
            <v>0.89306460257115283</v>
          </cell>
          <cell r="AD59">
            <v>58.321281314909029</v>
          </cell>
          <cell r="AE59">
            <v>60.351982057337977</v>
          </cell>
          <cell r="AF59">
            <v>63.17626763611517</v>
          </cell>
          <cell r="AG59">
            <v>67.626924568999456</v>
          </cell>
          <cell r="AH59">
            <v>76.086647524934079</v>
          </cell>
          <cell r="AM59">
            <v>1422.6782097755249</v>
          </cell>
          <cell r="AN59">
            <v>1138.14256782042</v>
          </cell>
          <cell r="AO59">
            <v>853.60692586531491</v>
          </cell>
          <cell r="AP59">
            <v>569.07128391021001</v>
          </cell>
          <cell r="AQ59">
            <v>284.53564195510501</v>
          </cell>
          <cell r="AT59">
            <v>194.47820977552487</v>
          </cell>
          <cell r="AU59">
            <v>155.58256782041997</v>
          </cell>
          <cell r="AV59">
            <v>116.68692586531495</v>
          </cell>
          <cell r="AW59">
            <v>77.791283910209984</v>
          </cell>
          <cell r="AX59">
            <v>38.895641955104992</v>
          </cell>
          <cell r="BJ59">
            <v>2.7000000000000006</v>
          </cell>
          <cell r="BK59">
            <v>2.7540000000000009</v>
          </cell>
          <cell r="BL59">
            <v>2.862000000000001</v>
          </cell>
          <cell r="BM59">
            <v>3.0780000000000003</v>
          </cell>
          <cell r="BN59">
            <v>3.7800000000000007</v>
          </cell>
        </row>
        <row r="60">
          <cell r="N60">
            <v>67</v>
          </cell>
          <cell r="P60">
            <v>50.984153366799077</v>
          </cell>
          <cell r="Q60">
            <v>44.310327691085078</v>
          </cell>
          <cell r="R60">
            <v>36.316012443170983</v>
          </cell>
          <cell r="S60">
            <v>26.664712210835919</v>
          </cell>
          <cell r="T60">
            <v>14.815994968391813</v>
          </cell>
          <cell r="W60">
            <v>3.481223238466356</v>
          </cell>
          <cell r="X60">
            <v>3.0350317025767737</v>
          </cell>
          <cell r="Y60">
            <v>2.4274220896184175</v>
          </cell>
          <cell r="Z60">
            <v>1.7541756515382403</v>
          </cell>
          <cell r="AA60">
            <v>0.97839142200849061</v>
          </cell>
          <cell r="AD60">
            <v>58.571351621712921</v>
          </cell>
          <cell r="AE60">
            <v>60.60152623127486</v>
          </cell>
          <cell r="AF60">
            <v>63.421042351541736</v>
          </cell>
          <cell r="AG60">
            <v>67.890992225532017</v>
          </cell>
          <cell r="AH60">
            <v>76.344973133357612</v>
          </cell>
          <cell r="AM60">
            <v>1647.8248427703616</v>
          </cell>
          <cell r="AN60">
            <v>1318.2598742162893</v>
          </cell>
          <cell r="AO60">
            <v>988.69490566221691</v>
          </cell>
          <cell r="AP60">
            <v>659.12993710814465</v>
          </cell>
          <cell r="AQ60">
            <v>329.56496855407232</v>
          </cell>
          <cell r="AT60">
            <v>225.14663299483664</v>
          </cell>
          <cell r="AU60">
            <v>180.11730639586926</v>
          </cell>
          <cell r="AV60">
            <v>135.087979796902</v>
          </cell>
          <cell r="AW60">
            <v>90.058653197934632</v>
          </cell>
          <cell r="AX60">
            <v>45.029326598967316</v>
          </cell>
          <cell r="BJ60">
            <v>2.7333333333333338</v>
          </cell>
          <cell r="BK60">
            <v>2.7880000000000007</v>
          </cell>
          <cell r="BL60">
            <v>2.897333333333334</v>
          </cell>
          <cell r="BM60">
            <v>3.1160000000000001</v>
          </cell>
          <cell r="BN60">
            <v>3.8266666666666671</v>
          </cell>
        </row>
        <row r="61">
          <cell r="N61">
            <v>68</v>
          </cell>
          <cell r="P61">
            <v>54.715236050951923</v>
          </cell>
          <cell r="Q61">
            <v>47.459995750595695</v>
          </cell>
          <cell r="R61">
            <v>38.913475879437009</v>
          </cell>
          <cell r="S61">
            <v>28.572296265807093</v>
          </cell>
          <cell r="T61">
            <v>15.856475407565867</v>
          </cell>
          <cell r="W61">
            <v>3.7310826841528453</v>
          </cell>
          <cell r="X61">
            <v>3.149668059510617</v>
          </cell>
          <cell r="Y61">
            <v>2.5974634362660254</v>
          </cell>
          <cell r="Z61">
            <v>1.9075840549711742</v>
          </cell>
          <cell r="AA61">
            <v>1.0404804391740541</v>
          </cell>
          <cell r="AD61">
            <v>58.821421928516813</v>
          </cell>
          <cell r="AE61">
            <v>60.851070405211743</v>
          </cell>
          <cell r="AF61">
            <v>63.665817066968295</v>
          </cell>
          <cell r="AG61">
            <v>68.142437172458173</v>
          </cell>
          <cell r="AH61">
            <v>76.60329874178116</v>
          </cell>
          <cell r="AM61">
            <v>1908.4603298511749</v>
          </cell>
          <cell r="AN61">
            <v>1526.7682638809401</v>
          </cell>
          <cell r="AO61">
            <v>1145.0761979107049</v>
          </cell>
          <cell r="AP61">
            <v>763.38413194047007</v>
          </cell>
          <cell r="AQ61">
            <v>381.69206597023503</v>
          </cell>
          <cell r="AT61">
            <v>260.63548708081339</v>
          </cell>
          <cell r="AU61">
            <v>208.50838966465085</v>
          </cell>
          <cell r="AV61">
            <v>156.38129224848797</v>
          </cell>
          <cell r="AW61">
            <v>104.25419483232542</v>
          </cell>
          <cell r="AX61">
            <v>52.127097416162712</v>
          </cell>
          <cell r="BJ61">
            <v>2.7666666666666671</v>
          </cell>
          <cell r="BK61">
            <v>2.8220000000000005</v>
          </cell>
          <cell r="BL61">
            <v>2.9326666666666674</v>
          </cell>
          <cell r="BM61">
            <v>3.1540000000000004</v>
          </cell>
          <cell r="BN61">
            <v>3.8733333333333335</v>
          </cell>
        </row>
        <row r="62">
          <cell r="N62">
            <v>69</v>
          </cell>
          <cell r="P62">
            <v>58.714111458355703</v>
          </cell>
          <cell r="Q62">
            <v>50.940363101269412</v>
          </cell>
          <cell r="R62">
            <v>41.728119013453394</v>
          </cell>
          <cell r="S62">
            <v>30.607666303240826</v>
          </cell>
          <cell r="T62">
            <v>17.003606678339814</v>
          </cell>
          <cell r="W62">
            <v>3.99887540740378</v>
          </cell>
          <cell r="X62">
            <v>3.4803673506737169</v>
          </cell>
          <cell r="Y62">
            <v>2.8146431340163858</v>
          </cell>
          <cell r="Z62">
            <v>2.0353700374337329</v>
          </cell>
          <cell r="AA62">
            <v>1.1471312707739472</v>
          </cell>
          <cell r="AD62">
            <v>59.066704614192936</v>
          </cell>
          <cell r="AE62">
            <v>61.094954819415335</v>
          </cell>
          <cell r="AF62">
            <v>63.91059178239486</v>
          </cell>
          <cell r="AG62">
            <v>68.385008299388929</v>
          </cell>
          <cell r="AH62">
            <v>76.861624350204693</v>
          </cell>
          <cell r="AM62">
            <v>2210.1605665017755</v>
          </cell>
          <cell r="AN62">
            <v>1768.1284532014206</v>
          </cell>
          <cell r="AO62">
            <v>1326.0963399010652</v>
          </cell>
          <cell r="AP62">
            <v>884.0642266007103</v>
          </cell>
          <cell r="AQ62">
            <v>442.03211330035515</v>
          </cell>
          <cell r="AT62">
            <v>301.70023665060057</v>
          </cell>
          <cell r="AU62">
            <v>241.36018932048046</v>
          </cell>
          <cell r="AV62">
            <v>181.02014199036034</v>
          </cell>
          <cell r="AW62">
            <v>120.68009466024023</v>
          </cell>
          <cell r="AX62">
            <v>60.340047330120115</v>
          </cell>
          <cell r="BJ62">
            <v>2.8000000000000003</v>
          </cell>
          <cell r="BK62">
            <v>2.8560000000000003</v>
          </cell>
          <cell r="BL62">
            <v>2.9680000000000004</v>
          </cell>
          <cell r="BM62">
            <v>3.1920000000000002</v>
          </cell>
          <cell r="BN62">
            <v>3.92</v>
          </cell>
        </row>
        <row r="63">
          <cell r="N63">
            <v>70</v>
          </cell>
          <cell r="P63">
            <v>63</v>
          </cell>
          <cell r="Q63">
            <v>54.589500000000001</v>
          </cell>
          <cell r="R63">
            <v>44.717399999999998</v>
          </cell>
          <cell r="S63">
            <v>32.810400000000001</v>
          </cell>
          <cell r="T63">
            <v>18.276300000000003</v>
          </cell>
          <cell r="W63">
            <v>4.2858885416442973</v>
          </cell>
          <cell r="X63">
            <v>3.649136898730589</v>
          </cell>
          <cell r="Y63">
            <v>2.9892809865466035</v>
          </cell>
          <cell r="Z63">
            <v>2.2027336967591751</v>
          </cell>
          <cell r="AA63">
            <v>1.2726933216601886</v>
          </cell>
          <cell r="AD63">
            <v>59.300028460644697</v>
          </cell>
          <cell r="AE63">
            <v>61.330461663183208</v>
          </cell>
          <cell r="AF63">
            <v>64.14304723627319</v>
          </cell>
          <cell r="AG63">
            <v>68.627579426319684</v>
          </cell>
          <cell r="AH63">
            <v>77.112805903056142</v>
          </cell>
          <cell r="AM63">
            <v>2559.375</v>
          </cell>
          <cell r="AN63">
            <v>2047.5</v>
          </cell>
          <cell r="AO63">
            <v>1535.625</v>
          </cell>
          <cell r="AP63">
            <v>1023.75</v>
          </cell>
          <cell r="AQ63">
            <v>511.875</v>
          </cell>
          <cell r="AT63">
            <v>349.21443349822448</v>
          </cell>
          <cell r="AU63">
            <v>279.3715467985794</v>
          </cell>
          <cell r="AV63">
            <v>209.52866009893478</v>
          </cell>
          <cell r="AW63">
            <v>139.6857733992897</v>
          </cell>
          <cell r="AX63">
            <v>69.842886699644851</v>
          </cell>
          <cell r="BJ63">
            <v>2.8333333333333335</v>
          </cell>
          <cell r="BK63">
            <v>2.89</v>
          </cell>
          <cell r="BL63">
            <v>3.0033333333333339</v>
          </cell>
          <cell r="BM63">
            <v>3.23</v>
          </cell>
          <cell r="BN63">
            <v>3.9666666666666668</v>
          </cell>
        </row>
        <row r="64">
          <cell r="N64">
            <v>71</v>
          </cell>
          <cell r="P64">
            <v>67.593501602322732</v>
          </cell>
          <cell r="Q64">
            <v>58.596806539053574</v>
          </cell>
          <cell r="R64">
            <v>47.977867437328676</v>
          </cell>
          <cell r="S64">
            <v>35.229733035130607</v>
          </cell>
          <cell r="T64">
            <v>19.602115464673592</v>
          </cell>
          <cell r="W64">
            <v>4.593501602322732</v>
          </cell>
          <cell r="X64">
            <v>4.0073065390535731</v>
          </cell>
          <cell r="Y64">
            <v>3.2604674373286784</v>
          </cell>
          <cell r="Z64">
            <v>2.4193330351306059</v>
          </cell>
          <cell r="AA64">
            <v>1.3258154646735889</v>
          </cell>
          <cell r="AD64">
            <v>59.533352307096465</v>
          </cell>
          <cell r="AE64">
            <v>61.56596850695108</v>
          </cell>
          <cell r="AF64">
            <v>64.368413367596901</v>
          </cell>
          <cell r="AG64">
            <v>68.870150553250454</v>
          </cell>
          <cell r="AH64">
            <v>77.355745991356301</v>
          </cell>
          <cell r="AM64">
            <v>2963.5631311027469</v>
          </cell>
          <cell r="AN64">
            <v>2370.8505048821976</v>
          </cell>
          <cell r="AO64">
            <v>1778.1378786616481</v>
          </cell>
          <cell r="AP64">
            <v>1185.4252524410988</v>
          </cell>
          <cell r="AQ64">
            <v>592.7126262205494</v>
          </cell>
          <cell r="AT64">
            <v>404.18813110274687</v>
          </cell>
          <cell r="AU64">
            <v>323.35050488219758</v>
          </cell>
          <cell r="AV64">
            <v>242.51287866164807</v>
          </cell>
          <cell r="AW64">
            <v>161.67525244109879</v>
          </cell>
          <cell r="AX64">
            <v>80.837626220549396</v>
          </cell>
          <cell r="BJ64">
            <v>2.8666666666666667</v>
          </cell>
          <cell r="BK64">
            <v>2.9239999999999999</v>
          </cell>
          <cell r="BL64">
            <v>3.0386666666666668</v>
          </cell>
          <cell r="BM64">
            <v>3.2679999999999998</v>
          </cell>
          <cell r="BN64">
            <v>4.0133333333333328</v>
          </cell>
        </row>
        <row r="65">
          <cell r="N65">
            <v>72</v>
          </cell>
          <cell r="P65">
            <v>72.516694719810218</v>
          </cell>
          <cell r="Q65">
            <v>62.842967644187539</v>
          </cell>
          <cell r="R65">
            <v>51.5086082594812</v>
          </cell>
          <cell r="S65">
            <v>37.846462974268952</v>
          </cell>
          <cell r="T65">
            <v>21.124113171880715</v>
          </cell>
          <cell r="W65">
            <v>4.9231931174874859</v>
          </cell>
          <cell r="X65">
            <v>4.2461611051339645</v>
          </cell>
          <cell r="Y65">
            <v>3.5307408221525236</v>
          </cell>
          <cell r="Z65">
            <v>2.6167299391383452</v>
          </cell>
          <cell r="AA65">
            <v>1.5219977072071238</v>
          </cell>
          <cell r="AD65">
            <v>59.766676153548232</v>
          </cell>
          <cell r="AE65">
            <v>61.801475350718952</v>
          </cell>
          <cell r="AF65">
            <v>64.593779498920611</v>
          </cell>
          <cell r="AG65">
            <v>69.105843627521551</v>
          </cell>
          <cell r="AH65">
            <v>77.59868607965646</v>
          </cell>
          <cell r="AM65">
            <v>3431.3522956038646</v>
          </cell>
          <cell r="AN65">
            <v>2745.081836483092</v>
          </cell>
          <cell r="AO65">
            <v>2058.8113773623186</v>
          </cell>
          <cell r="AP65">
            <v>1372.540918241546</v>
          </cell>
          <cell r="AQ65">
            <v>686.27045912077301</v>
          </cell>
          <cell r="AT65">
            <v>467.78916450111774</v>
          </cell>
          <cell r="AU65">
            <v>374.23133160089446</v>
          </cell>
          <cell r="AV65">
            <v>280.67349870067051</v>
          </cell>
          <cell r="AW65">
            <v>187.11566580044723</v>
          </cell>
          <cell r="AX65">
            <v>93.557832900223616</v>
          </cell>
          <cell r="BJ65">
            <v>2.9</v>
          </cell>
          <cell r="BK65">
            <v>2.9579999999999997</v>
          </cell>
          <cell r="BL65">
            <v>3.0739999999999998</v>
          </cell>
          <cell r="BM65">
            <v>3.3059999999999996</v>
          </cell>
          <cell r="BN65">
            <v>4.0599999999999996</v>
          </cell>
        </row>
        <row r="66">
          <cell r="N66">
            <v>73</v>
          </cell>
          <cell r="P66">
            <v>77.793242454074615</v>
          </cell>
          <cell r="Q66">
            <v>67.470079180418907</v>
          </cell>
          <cell r="R66">
            <v>55.27987808786542</v>
          </cell>
          <cell r="S66">
            <v>40.678086479235617</v>
          </cell>
          <cell r="T66">
            <v>22.700068148098975</v>
          </cell>
          <cell r="W66">
            <v>5.2765477342643976</v>
          </cell>
          <cell r="X66">
            <v>4.6271115362313679</v>
          </cell>
          <cell r="Y66">
            <v>3.7712698283842201</v>
          </cell>
          <cell r="Z66">
            <v>2.8316235049666645</v>
          </cell>
          <cell r="AA66">
            <v>1.5759549762182594</v>
          </cell>
          <cell r="AD66">
            <v>60</v>
          </cell>
          <cell r="AE66">
            <v>62.033937447710706</v>
          </cell>
          <cell r="AF66">
            <v>64.819145630244321</v>
          </cell>
          <cell r="AG66">
            <v>69.333613546893503</v>
          </cell>
          <cell r="AH66">
            <v>77.841626167956619</v>
          </cell>
          <cell r="AM66">
            <v>3972.7200361130153</v>
          </cell>
          <cell r="AN66">
            <v>3178.1760288904125</v>
          </cell>
          <cell r="AO66">
            <v>2383.6320216678091</v>
          </cell>
          <cell r="AP66">
            <v>1589.0880144452062</v>
          </cell>
          <cell r="AQ66">
            <v>794.54400722260311</v>
          </cell>
          <cell r="AT66">
            <v>541.36774050915074</v>
          </cell>
          <cell r="AU66">
            <v>433.09419240732041</v>
          </cell>
          <cell r="AV66">
            <v>324.82064430549053</v>
          </cell>
          <cell r="AW66">
            <v>216.5470962036602</v>
          </cell>
          <cell r="AX66">
            <v>108.2735481018301</v>
          </cell>
          <cell r="BJ66">
            <v>2.9333333333333331</v>
          </cell>
          <cell r="BK66">
            <v>2.992</v>
          </cell>
          <cell r="BL66">
            <v>3.1093333333333333</v>
          </cell>
          <cell r="BM66">
            <v>3.3439999999999994</v>
          </cell>
          <cell r="BN66">
            <v>4.1066666666666665</v>
          </cell>
        </row>
        <row r="67">
          <cell r="N67">
            <v>74</v>
          </cell>
          <cell r="P67">
            <v>83.4485062894652</v>
          </cell>
          <cell r="Q67">
            <v>72.399924056740005</v>
          </cell>
          <cell r="R67">
            <v>59.365267374325548</v>
          </cell>
          <cell r="S67">
            <v>43.718672445050821</v>
          </cell>
          <cell r="T67">
            <v>24.341929284637001</v>
          </cell>
          <cell r="W67">
            <v>5.6552638353905849</v>
          </cell>
          <cell r="X67">
            <v>4.9298448763210985</v>
          </cell>
          <cell r="Y67">
            <v>4.0853892864601278</v>
          </cell>
          <cell r="Z67">
            <v>3.0405859658152039</v>
          </cell>
          <cell r="AA67">
            <v>1.6418611365380258</v>
          </cell>
          <cell r="AD67">
            <v>60.217698846451768</v>
          </cell>
          <cell r="AE67">
            <v>62.250054995811666</v>
          </cell>
          <cell r="AF67">
            <v>65.042129882798193</v>
          </cell>
          <cell r="AG67">
            <v>69.56138346626544</v>
          </cell>
          <cell r="AH67">
            <v>78.077870469399883</v>
          </cell>
          <cell r="AM67">
            <v>4599.2048883665893</v>
          </cell>
          <cell r="AN67">
            <v>3679.3639106932715</v>
          </cell>
          <cell r="AO67">
            <v>2759.5229330199536</v>
          </cell>
          <cell r="AP67">
            <v>1839.6819553466357</v>
          </cell>
          <cell r="AQ67">
            <v>919.84097767331787</v>
          </cell>
          <cell r="AT67">
            <v>626.48485225357399</v>
          </cell>
          <cell r="AU67">
            <v>501.18788180285901</v>
          </cell>
          <cell r="AV67">
            <v>375.89091135214449</v>
          </cell>
          <cell r="AW67">
            <v>250.59394090142951</v>
          </cell>
          <cell r="AX67">
            <v>125.29697045071475</v>
          </cell>
          <cell r="BJ67">
            <v>2.9666666666666663</v>
          </cell>
          <cell r="BK67">
            <v>3.0259999999999998</v>
          </cell>
          <cell r="BL67">
            <v>3.1446666666666663</v>
          </cell>
          <cell r="BM67">
            <v>3.3819999999999992</v>
          </cell>
          <cell r="BN67">
            <v>4.1533333333333324</v>
          </cell>
        </row>
        <row r="68">
          <cell r="N68">
            <v>75</v>
          </cell>
          <cell r="P68">
            <v>89.509667991878061</v>
          </cell>
          <cell r="Q68">
            <v>77.64963698295422</v>
          </cell>
          <cell r="R68">
            <v>63.802491344610679</v>
          </cell>
          <cell r="S68">
            <v>46.929918928141667</v>
          </cell>
          <cell r="T68">
            <v>25.993607584841389</v>
          </cell>
          <cell r="W68">
            <v>6.0611617024128606</v>
          </cell>
          <cell r="X68">
            <v>5.2497129262142153</v>
          </cell>
          <cell r="Y68">
            <v>4.4372239702851317</v>
          </cell>
          <cell r="Z68">
            <v>3.2112464830908465</v>
          </cell>
          <cell r="AA68">
            <v>1.651678300204388</v>
          </cell>
          <cell r="AD68">
            <v>60.435397692903535</v>
          </cell>
          <cell r="AE68">
            <v>62.466172543912634</v>
          </cell>
          <cell r="AF68">
            <v>65.255436396961542</v>
          </cell>
          <cell r="AG68">
            <v>69.789153385637391</v>
          </cell>
          <cell r="AH68">
            <v>78.301575047908599</v>
          </cell>
          <cell r="AM68">
            <v>5324.1500000000005</v>
          </cell>
          <cell r="AN68">
            <v>4259.3200000000006</v>
          </cell>
          <cell r="AO68">
            <v>3194.4900000000002</v>
          </cell>
          <cell r="AP68">
            <v>2129.6600000000003</v>
          </cell>
          <cell r="AQ68">
            <v>1064.8300000000002</v>
          </cell>
          <cell r="AT68">
            <v>724.94511163341122</v>
          </cell>
          <cell r="AU68">
            <v>579.95608930672915</v>
          </cell>
          <cell r="AV68">
            <v>434.96706698004664</v>
          </cell>
          <cell r="AW68">
            <v>289.97804465336458</v>
          </cell>
          <cell r="AX68">
            <v>144.98902232668229</v>
          </cell>
          <cell r="BJ68">
            <v>2.9999999999999996</v>
          </cell>
          <cell r="BK68">
            <v>3.0599999999999996</v>
          </cell>
          <cell r="BL68">
            <v>3.1799999999999997</v>
          </cell>
          <cell r="BM68">
            <v>3.419999999999999</v>
          </cell>
          <cell r="BN68">
            <v>4.1999999999999993</v>
          </cell>
        </row>
        <row r="69">
          <cell r="N69">
            <v>76</v>
          </cell>
          <cell r="P69">
            <v>96.005860256665443</v>
          </cell>
          <cell r="Q69">
            <v>83.352287874836932</v>
          </cell>
          <cell r="R69">
            <v>68.490580707105124</v>
          </cell>
          <cell r="S69">
            <v>50.163061984107692</v>
          </cell>
          <cell r="T69">
            <v>27.851300060458648</v>
          </cell>
          <cell r="W69">
            <v>6.496192264787382</v>
          </cell>
          <cell r="X69">
            <v>5.7026508918827119</v>
          </cell>
          <cell r="Y69">
            <v>4.6880893624944449</v>
          </cell>
          <cell r="Z69">
            <v>3.2331430559660248</v>
          </cell>
          <cell r="AA69">
            <v>1.8576924756172595</v>
          </cell>
          <cell r="AD69">
            <v>60.653096539355303</v>
          </cell>
          <cell r="AE69">
            <v>62.682290092013595</v>
          </cell>
          <cell r="AF69">
            <v>65.468742911124906</v>
          </cell>
          <cell r="AG69">
            <v>70.015851474333999</v>
          </cell>
          <cell r="AH69">
            <v>78.525279626417301</v>
          </cell>
          <cell r="AM69">
            <v>6162.9846853088866</v>
          </cell>
          <cell r="AN69">
            <v>4930.3877482471098</v>
          </cell>
          <cell r="AO69">
            <v>3697.7908111853317</v>
          </cell>
          <cell r="AP69">
            <v>2465.1938741235549</v>
          </cell>
          <cell r="AQ69">
            <v>1232.5969370617775</v>
          </cell>
          <cell r="AT69">
            <v>838.83468530888604</v>
          </cell>
          <cell r="AU69">
            <v>671.06774824710919</v>
          </cell>
          <cell r="AV69">
            <v>503.30081118533144</v>
          </cell>
          <cell r="AW69">
            <v>335.5338741235546</v>
          </cell>
          <cell r="AX69">
            <v>167.7669370617773</v>
          </cell>
          <cell r="BJ69">
            <v>3.0333333333333328</v>
          </cell>
          <cell r="BK69">
            <v>3.0939999999999994</v>
          </cell>
          <cell r="BL69">
            <v>3.2153333333333327</v>
          </cell>
          <cell r="BM69">
            <v>3.4579999999999989</v>
          </cell>
          <cell r="BN69">
            <v>4.2466666666666653</v>
          </cell>
        </row>
        <row r="70">
          <cell r="N70">
            <v>77</v>
          </cell>
          <cell r="P70">
            <v>102.96830673359811</v>
          </cell>
          <cell r="Q70">
            <v>89.469161720823394</v>
          </cell>
          <cell r="R70">
            <v>73.292840732975137</v>
          </cell>
          <cell r="S70">
            <v>53.625894146857902</v>
          </cell>
          <cell r="T70">
            <v>29.799027968703292</v>
          </cell>
          <cell r="W70">
            <v>6.9624464769326693</v>
          </cell>
          <cell r="X70">
            <v>6.1168738459864613</v>
          </cell>
          <cell r="Y70">
            <v>4.8022600258700123</v>
          </cell>
          <cell r="Z70">
            <v>3.4628321627502103</v>
          </cell>
          <cell r="AA70">
            <v>1.9477279082446444</v>
          </cell>
          <cell r="AD70">
            <v>60.870795385807064</v>
          </cell>
          <cell r="AE70">
            <v>62.898407640114556</v>
          </cell>
          <cell r="AF70">
            <v>65.682049425288255</v>
          </cell>
          <cell r="AG70">
            <v>70.229195678021767</v>
          </cell>
          <cell r="AH70">
            <v>78.748984204926018</v>
          </cell>
          <cell r="AM70">
            <v>7133.5498113340191</v>
          </cell>
          <cell r="AN70">
            <v>5706.8398490672153</v>
          </cell>
          <cell r="AO70">
            <v>4280.1298868004114</v>
          </cell>
          <cell r="AP70">
            <v>2853.4199245336076</v>
          </cell>
          <cell r="AQ70">
            <v>1426.7099622668038</v>
          </cell>
          <cell r="AT70">
            <v>970.56512602513249</v>
          </cell>
          <cell r="AU70">
            <v>776.45210082010544</v>
          </cell>
          <cell r="AV70">
            <v>582.33907561507976</v>
          </cell>
          <cell r="AW70">
            <v>388.22605041005272</v>
          </cell>
          <cell r="AX70">
            <v>194.11302520502636</v>
          </cell>
          <cell r="BJ70">
            <v>3.066666666666666</v>
          </cell>
          <cell r="BK70">
            <v>3.1279999999999992</v>
          </cell>
          <cell r="BL70">
            <v>3.2506666666666661</v>
          </cell>
          <cell r="BM70">
            <v>3.4959999999999991</v>
          </cell>
          <cell r="BN70">
            <v>4.2933333333333321</v>
          </cell>
        </row>
        <row r="71">
          <cell r="N71">
            <v>78</v>
          </cell>
          <cell r="P71">
            <v>110.43047210190386</v>
          </cell>
          <cell r="Q71">
            <v>95.831563690032169</v>
          </cell>
          <cell r="R71">
            <v>78.251032531409081</v>
          </cell>
          <cell r="S71">
            <v>57.412802445779818</v>
          </cell>
          <cell r="T71">
            <v>31.859191201399263</v>
          </cell>
          <cell r="W71">
            <v>7.4621653683057474</v>
          </cell>
          <cell r="X71">
            <v>6.3624019692087757</v>
          </cell>
          <cell r="Y71">
            <v>4.9581917984339441</v>
          </cell>
          <cell r="Z71">
            <v>3.7869082989219152</v>
          </cell>
          <cell r="AA71">
            <v>2.0601632326959702</v>
          </cell>
          <cell r="AD71">
            <v>61.082568038258209</v>
          </cell>
          <cell r="AE71">
            <v>63.107492392331935</v>
          </cell>
          <cell r="AF71">
            <v>65.895355939451605</v>
          </cell>
          <cell r="AG71">
            <v>70.442539881709536</v>
          </cell>
          <cell r="AH71">
            <v>78.972688783434734</v>
          </cell>
          <cell r="AM71">
            <v>8256.4738250473602</v>
          </cell>
          <cell r="AN71">
            <v>6605.1790600378881</v>
          </cell>
          <cell r="AO71">
            <v>4953.8842950284161</v>
          </cell>
          <cell r="AP71">
            <v>3302.5895300189441</v>
          </cell>
          <cell r="AQ71">
            <v>1651.294765009472</v>
          </cell>
          <cell r="AT71">
            <v>1122.9240137133411</v>
          </cell>
          <cell r="AU71">
            <v>898.33921097067287</v>
          </cell>
          <cell r="AV71">
            <v>673.75440822800465</v>
          </cell>
          <cell r="AW71">
            <v>449.16960548533643</v>
          </cell>
          <cell r="AX71">
            <v>224.58480274266822</v>
          </cell>
          <cell r="BJ71">
            <v>3.0999999999999992</v>
          </cell>
          <cell r="BK71">
            <v>3.161999999999999</v>
          </cell>
          <cell r="BL71">
            <v>3.2859999999999991</v>
          </cell>
          <cell r="BM71">
            <v>3.5339999999999989</v>
          </cell>
          <cell r="BN71">
            <v>4.339999999999999</v>
          </cell>
        </row>
        <row r="72">
          <cell r="N72">
            <v>79</v>
          </cell>
          <cell r="P72">
            <v>118.42822291671132</v>
          </cell>
          <cell r="Q72">
            <v>102.51146975670532</v>
          </cell>
          <cell r="R72">
            <v>83.894553114198303</v>
          </cell>
          <cell r="S72">
            <v>61.535304627523196</v>
          </cell>
          <cell r="T72">
            <v>34.059956910846175</v>
          </cell>
          <cell r="W72">
            <v>7.9977508148074605</v>
          </cell>
          <cell r="X72">
            <v>6.6799060666731549</v>
          </cell>
          <cell r="Y72">
            <v>5.6435205827892219</v>
          </cell>
          <cell r="Z72">
            <v>4.1225021817433785</v>
          </cell>
          <cell r="AA72">
            <v>2.2007657094469124</v>
          </cell>
          <cell r="AD72">
            <v>61.285688244217212</v>
          </cell>
          <cell r="AE72">
            <v>63.310338531528565</v>
          </cell>
          <cell r="AF72">
            <v>66.106079073217742</v>
          </cell>
          <cell r="AG72">
            <v>70.655884085397304</v>
          </cell>
          <cell r="AH72">
            <v>79.188599387584361</v>
          </cell>
          <cell r="AM72">
            <v>9555.6072874592737</v>
          </cell>
          <cell r="AN72">
            <v>7644.4858299674197</v>
          </cell>
          <cell r="AO72">
            <v>5733.3643724755639</v>
          </cell>
          <cell r="AP72">
            <v>3822.2429149837099</v>
          </cell>
          <cell r="AQ72">
            <v>1911.1214574918549</v>
          </cell>
          <cell r="AT72">
            <v>1299.1334624119136</v>
          </cell>
          <cell r="AU72">
            <v>1039.3067699295316</v>
          </cell>
          <cell r="AV72">
            <v>779.48007744714778</v>
          </cell>
          <cell r="AW72">
            <v>519.65338496476579</v>
          </cell>
          <cell r="AX72">
            <v>259.8266924823829</v>
          </cell>
          <cell r="BJ72">
            <v>3.1333333333333324</v>
          </cell>
          <cell r="BK72">
            <v>3.1959999999999993</v>
          </cell>
          <cell r="BL72">
            <v>3.3213333333333326</v>
          </cell>
          <cell r="BM72">
            <v>3.5719999999999987</v>
          </cell>
          <cell r="BN72">
            <v>4.3866666666666649</v>
          </cell>
        </row>
        <row r="73">
          <cell r="N73">
            <v>80</v>
          </cell>
          <cell r="P73">
            <v>127</v>
          </cell>
          <cell r="Q73">
            <v>109.9693</v>
          </cell>
          <cell r="R73">
            <v>90.106499999999997</v>
          </cell>
          <cell r="S73">
            <v>65.925700000000006</v>
          </cell>
          <cell r="T73">
            <v>36.4998</v>
          </cell>
          <cell r="W73">
            <v>8.5717770832886799</v>
          </cell>
          <cell r="X73">
            <v>7.4578302432946799</v>
          </cell>
          <cell r="Y73">
            <v>6.2119468858016944</v>
          </cell>
          <cell r="Z73">
            <v>4.3903953724768101</v>
          </cell>
          <cell r="AA73">
            <v>2.4398430891538254</v>
          </cell>
          <cell r="AD73">
            <v>61.488808450176215</v>
          </cell>
          <cell r="AE73">
            <v>63.513184670725188</v>
          </cell>
          <cell r="AF73">
            <v>66.314314361313961</v>
          </cell>
          <cell r="AG73">
            <v>70.869228289085072</v>
          </cell>
          <cell r="AH73">
            <v>79.403426131671111</v>
          </cell>
          <cell r="AM73">
            <v>11058.525000000001</v>
          </cell>
          <cell r="AN73">
            <v>8846.8200000000015</v>
          </cell>
          <cell r="AO73">
            <v>6635.1150000000007</v>
          </cell>
          <cell r="AP73">
            <v>4423.4100000000008</v>
          </cell>
          <cell r="AQ73">
            <v>2211.7050000000004</v>
          </cell>
          <cell r="AT73">
            <v>1502.9177125407277</v>
          </cell>
          <cell r="AU73">
            <v>1202.3341700325818</v>
          </cell>
          <cell r="AV73">
            <v>901.75062752443682</v>
          </cell>
          <cell r="AW73">
            <v>601.16708501629091</v>
          </cell>
          <cell r="AX73">
            <v>300.58354250814546</v>
          </cell>
          <cell r="BJ73">
            <v>3.1666666666666656</v>
          </cell>
          <cell r="BK73">
            <v>3.2299999999999991</v>
          </cell>
          <cell r="BL73">
            <v>3.3566666666666656</v>
          </cell>
          <cell r="BM73">
            <v>3.6099999999999985</v>
          </cell>
          <cell r="BN73">
            <v>4.4333333333333318</v>
          </cell>
        </row>
        <row r="74">
          <cell r="N74">
            <v>81</v>
          </cell>
          <cell r="P74">
            <v>136.18700320464549</v>
          </cell>
          <cell r="Q74">
            <v>118.03327567746625</v>
          </cell>
          <cell r="R74">
            <v>96.583822672734584</v>
          </cell>
          <cell r="S74">
            <v>70.612961161608681</v>
          </cell>
          <cell r="T74">
            <v>39.126526020694648</v>
          </cell>
          <cell r="W74">
            <v>9.1870032046454924</v>
          </cell>
          <cell r="X74">
            <v>8.0639756774662459</v>
          </cell>
          <cell r="Y74">
            <v>6.4773226727345872</v>
          </cell>
          <cell r="Z74">
            <v>4.6872611616086743</v>
          </cell>
          <cell r="AA74">
            <v>2.6267260206946474</v>
          </cell>
          <cell r="AD74">
            <v>61.691928656135218</v>
          </cell>
          <cell r="AE74">
            <v>63.716030809921811</v>
          </cell>
          <cell r="AF74">
            <v>66.52254964941018</v>
          </cell>
          <cell r="AG74">
            <v>71.07781362467729</v>
          </cell>
          <cell r="AH74">
            <v>79.618252875757847</v>
          </cell>
          <cell r="AM74">
            <v>12797.106216824561</v>
          </cell>
          <cell r="AN74">
            <v>10237.684973459649</v>
          </cell>
          <cell r="AO74">
            <v>7678.2637300947363</v>
          </cell>
          <cell r="AP74">
            <v>5118.8424867298245</v>
          </cell>
          <cell r="AQ74">
            <v>2559.4212433649122</v>
          </cell>
          <cell r="AT74">
            <v>1738.5812168245593</v>
          </cell>
          <cell r="AU74">
            <v>1390.8649734596474</v>
          </cell>
          <cell r="AV74">
            <v>1043.1487300947356</v>
          </cell>
          <cell r="AW74">
            <v>695.43248672982372</v>
          </cell>
          <cell r="AX74">
            <v>347.71624336491186</v>
          </cell>
          <cell r="BJ74">
            <v>3.1999999999999988</v>
          </cell>
          <cell r="BK74">
            <v>3.2639999999999989</v>
          </cell>
          <cell r="BL74">
            <v>3.391999999999999</v>
          </cell>
          <cell r="BM74">
            <v>3.6479999999999984</v>
          </cell>
          <cell r="BN74">
            <v>4.4799999999999978</v>
          </cell>
        </row>
        <row r="75">
          <cell r="N75">
            <v>82</v>
          </cell>
          <cell r="P75">
            <v>146.03338943962044</v>
          </cell>
          <cell r="Q75">
            <v>126.581741966263</v>
          </cell>
          <cell r="R75">
            <v>103.31862302853146</v>
          </cell>
          <cell r="S75">
            <v>75.586882373947532</v>
          </cell>
          <cell r="T75">
            <v>41.896979430227098</v>
          </cell>
          <cell r="W75">
            <v>9.8463862349749434</v>
          </cell>
          <cell r="X75">
            <v>8.548466288796746</v>
          </cell>
          <cell r="Y75">
            <v>6.7348003557968781</v>
          </cell>
          <cell r="Z75">
            <v>4.9739212123388512</v>
          </cell>
          <cell r="AA75">
            <v>2.7704534095324505</v>
          </cell>
          <cell r="AD75">
            <v>61.895048862094221</v>
          </cell>
          <cell r="AE75">
            <v>63.918876949118435</v>
          </cell>
          <cell r="AF75">
            <v>66.7307849375064</v>
          </cell>
          <cell r="AG75">
            <v>71.278862245535876</v>
          </cell>
          <cell r="AH75">
            <v>79.833079619844597</v>
          </cell>
          <cell r="AM75">
            <v>14808.205062920617</v>
          </cell>
          <cell r="AN75">
            <v>11846.564050336494</v>
          </cell>
          <cell r="AO75">
            <v>8884.9230377523691</v>
          </cell>
          <cell r="AP75">
            <v>5923.2820251682469</v>
          </cell>
          <cell r="AQ75">
            <v>2961.6410125841235</v>
          </cell>
          <cell r="AT75">
            <v>2011.0988460960561</v>
          </cell>
          <cell r="AU75">
            <v>1608.8790768768449</v>
          </cell>
          <cell r="AV75">
            <v>1206.6593076576328</v>
          </cell>
          <cell r="AW75">
            <v>804.43953843842246</v>
          </cell>
          <cell r="AX75">
            <v>402.21976921921123</v>
          </cell>
          <cell r="BJ75">
            <v>3.2333333333333321</v>
          </cell>
          <cell r="BK75">
            <v>3.2979999999999987</v>
          </cell>
          <cell r="BL75">
            <v>3.427333333333332</v>
          </cell>
          <cell r="BM75">
            <v>3.6859999999999982</v>
          </cell>
          <cell r="BN75">
            <v>4.5266666666666646</v>
          </cell>
        </row>
        <row r="76">
          <cell r="N76">
            <v>83</v>
          </cell>
          <cell r="P76">
            <v>156.58648490814926</v>
          </cell>
          <cell r="Q76">
            <v>135.41599214856748</v>
          </cell>
          <cell r="R76">
            <v>110.58137564213501</v>
          </cell>
          <cell r="S76">
            <v>80.955212697513176</v>
          </cell>
          <cell r="T76">
            <v>44.877686574675579</v>
          </cell>
          <cell r="W76">
            <v>10.553095468528824</v>
          </cell>
          <cell r="X76">
            <v>8.834250182304487</v>
          </cell>
          <cell r="Y76">
            <v>7.2627526136035527</v>
          </cell>
          <cell r="Z76">
            <v>5.3683303235656439</v>
          </cell>
          <cell r="AA76">
            <v>2.9807071444484805</v>
          </cell>
          <cell r="AD76">
            <v>62.091594979242075</v>
          </cell>
          <cell r="AE76">
            <v>64.114306430026588</v>
          </cell>
          <cell r="AF76">
            <v>66.939020225602619</v>
          </cell>
          <cell r="AG76">
            <v>71.479910866394462</v>
          </cell>
          <cell r="AH76">
            <v>80.043898354812981</v>
          </cell>
          <cell r="AM76">
            <v>17134.425155737379</v>
          </cell>
          <cell r="AN76">
            <v>13707.540124589905</v>
          </cell>
          <cell r="AO76">
            <v>10280.655093442427</v>
          </cell>
          <cell r="AP76">
            <v>6853.7700622949524</v>
          </cell>
          <cell r="AQ76">
            <v>3426.8850311474762</v>
          </cell>
          <cell r="AT76">
            <v>2326.2200928167622</v>
          </cell>
          <cell r="AU76">
            <v>1860.9760742534108</v>
          </cell>
          <cell r="AV76">
            <v>1395.7320556900577</v>
          </cell>
          <cell r="AW76">
            <v>930.48803712670542</v>
          </cell>
          <cell r="AX76">
            <v>465.24401856335271</v>
          </cell>
          <cell r="BJ76">
            <v>3.2666666666666653</v>
          </cell>
          <cell r="BK76">
            <v>3.3319999999999985</v>
          </cell>
          <cell r="BL76">
            <v>3.4626666666666654</v>
          </cell>
          <cell r="BM76">
            <v>3.723999999999998</v>
          </cell>
          <cell r="BN76">
            <v>4.5733333333333315</v>
          </cell>
        </row>
        <row r="77">
          <cell r="N77">
            <v>84</v>
          </cell>
          <cell r="P77">
            <v>167.89701257893043</v>
          </cell>
          <cell r="Q77">
            <v>145.16375707574326</v>
          </cell>
          <cell r="R77">
            <v>118.70318789330381</v>
          </cell>
          <cell r="S77">
            <v>86.869914308338593</v>
          </cell>
          <cell r="T77">
            <v>48.169652908895138</v>
          </cell>
          <cell r="W77">
            <v>11.31052767078117</v>
          </cell>
          <cell r="X77">
            <v>9.7477649271757798</v>
          </cell>
          <cell r="Y77">
            <v>8.1218122511687909</v>
          </cell>
          <cell r="Z77">
            <v>5.9147016108254178</v>
          </cell>
          <cell r="AA77">
            <v>3.2919663342195591</v>
          </cell>
          <cell r="AD77">
            <v>62.281112832649576</v>
          </cell>
          <cell r="AE77">
            <v>64.304793036447776</v>
          </cell>
          <cell r="AF77">
            <v>67.14262442756818</v>
          </cell>
          <cell r="AG77">
            <v>71.680959487253048</v>
          </cell>
          <cell r="AH77">
            <v>80.24075196383977</v>
          </cell>
          <cell r="AM77">
            <v>19825.014596370729</v>
          </cell>
          <cell r="AN77">
            <v>15860.011677096583</v>
          </cell>
          <cell r="AO77">
            <v>11895.008757822437</v>
          </cell>
          <cell r="AP77">
            <v>7930.0058385482916</v>
          </cell>
          <cell r="AQ77">
            <v>3965.0029192741458</v>
          </cell>
          <cell r="AT77">
            <v>2690.58944063335</v>
          </cell>
          <cell r="AU77">
            <v>2152.4715525066786</v>
          </cell>
          <cell r="AV77">
            <v>1614.3536643800107</v>
          </cell>
          <cell r="AW77">
            <v>1076.2357762533393</v>
          </cell>
          <cell r="AX77">
            <v>538.11788812666964</v>
          </cell>
          <cell r="BJ77">
            <v>3.2999999999999985</v>
          </cell>
          <cell r="BK77">
            <v>3.3659999999999983</v>
          </cell>
          <cell r="BL77">
            <v>3.4979999999999984</v>
          </cell>
          <cell r="BM77">
            <v>3.7619999999999978</v>
          </cell>
          <cell r="BN77">
            <v>4.6199999999999974</v>
          </cell>
        </row>
        <row r="78">
          <cell r="N78">
            <v>85</v>
          </cell>
          <cell r="P78">
            <v>180.01933598375612</v>
          </cell>
          <cell r="Q78">
            <v>155.75272949314578</v>
          </cell>
          <cell r="R78">
            <v>127.38168214210583</v>
          </cell>
          <cell r="S78">
            <v>93.214012172388934</v>
          </cell>
          <cell r="T78">
            <v>51.755559095329879</v>
          </cell>
          <cell r="W78">
            <v>12.122323404825693</v>
          </cell>
          <cell r="X78">
            <v>10.588972417402516</v>
          </cell>
          <cell r="Y78">
            <v>8.6784942488020249</v>
          </cell>
          <cell r="Z78">
            <v>6.3440978640503403</v>
          </cell>
          <cell r="AA78">
            <v>3.585906186434741</v>
          </cell>
          <cell r="AD78">
            <v>62.470630686057078</v>
          </cell>
          <cell r="AE78">
            <v>64.495279642868965</v>
          </cell>
          <cell r="AF78">
            <v>67.344310856946692</v>
          </cell>
          <cell r="AG78">
            <v>71.882008108111634</v>
          </cell>
          <cell r="AH78">
            <v>80.437605572866573</v>
          </cell>
          <cell r="AM78">
            <v>22936.899999999998</v>
          </cell>
          <cell r="AN78">
            <v>18349.52</v>
          </cell>
          <cell r="AO78">
            <v>13762.139999999998</v>
          </cell>
          <cell r="AP78">
            <v>9174.76</v>
          </cell>
          <cell r="AQ78">
            <v>4587.38</v>
          </cell>
          <cell r="AT78">
            <v>3111.8854036292687</v>
          </cell>
          <cell r="AU78">
            <v>2489.5083229034171</v>
          </cell>
          <cell r="AV78">
            <v>1867.1312421775601</v>
          </cell>
          <cell r="AW78">
            <v>1244.7541614517086</v>
          </cell>
          <cell r="AX78">
            <v>622.37708072585428</v>
          </cell>
          <cell r="BJ78">
            <v>3.3333333333333317</v>
          </cell>
          <cell r="BK78">
            <v>3.3999999999999986</v>
          </cell>
          <cell r="BL78">
            <v>3.5333333333333319</v>
          </cell>
          <cell r="BM78">
            <v>3.7999999999999976</v>
          </cell>
          <cell r="BN78">
            <v>4.6666666666666643</v>
          </cell>
        </row>
        <row r="79">
          <cell r="N79">
            <v>86</v>
          </cell>
          <cell r="P79">
            <v>193.01172051333091</v>
          </cell>
          <cell r="Q79">
            <v>166.97443941608256</v>
          </cell>
          <cell r="R79">
            <v>136.51718991907896</v>
          </cell>
          <cell r="S79">
            <v>100.0379747420594</v>
          </cell>
          <cell r="T79">
            <v>55.664580196044632</v>
          </cell>
          <cell r="W79">
            <v>12.992384529574792</v>
          </cell>
          <cell r="X79">
            <v>11.221709922936782</v>
          </cell>
          <cell r="Y79">
            <v>9.1355077769731281</v>
          </cell>
          <cell r="Z79">
            <v>6.8239625696704707</v>
          </cell>
          <cell r="AA79">
            <v>3.9090211007147531</v>
          </cell>
          <cell r="AD79">
            <v>62.660148539464579</v>
          </cell>
          <cell r="AE79">
            <v>64.685766249290154</v>
          </cell>
          <cell r="AF79">
            <v>67.545997286325218</v>
          </cell>
          <cell r="AG79">
            <v>72.076954583856178</v>
          </cell>
          <cell r="AH79">
            <v>80.634459181893376</v>
          </cell>
          <cell r="AM79">
            <v>26535.88112606269</v>
          </cell>
          <cell r="AN79">
            <v>21228.704900850153</v>
          </cell>
          <cell r="AO79">
            <v>15921.528675637614</v>
          </cell>
          <cell r="AP79">
            <v>10614.352450425076</v>
          </cell>
          <cell r="AQ79">
            <v>5307.1762252125382</v>
          </cell>
          <cell r="AT79">
            <v>3598.9811260626921</v>
          </cell>
          <cell r="AU79">
            <v>2879.1849008501522</v>
          </cell>
          <cell r="AV79">
            <v>2159.388675637616</v>
          </cell>
          <cell r="AW79">
            <v>1439.5924504250761</v>
          </cell>
          <cell r="AX79">
            <v>719.79622521253805</v>
          </cell>
          <cell r="BJ79">
            <v>3.3666666666666649</v>
          </cell>
          <cell r="BK79">
            <v>3.4339999999999984</v>
          </cell>
          <cell r="BL79">
            <v>3.5686666666666649</v>
          </cell>
          <cell r="BM79">
            <v>3.8379999999999979</v>
          </cell>
          <cell r="BN79">
            <v>4.7133333333333303</v>
          </cell>
        </row>
        <row r="80">
          <cell r="N80">
            <v>87</v>
          </cell>
          <cell r="P80">
            <v>206.93661346719625</v>
          </cell>
          <cell r="Q80">
            <v>179.12433261720508</v>
          </cell>
          <cell r="R80">
            <v>146.53181599612165</v>
          </cell>
          <cell r="S80">
            <v>107.42079605082158</v>
          </cell>
          <cell r="T80">
            <v>59.535663694512365</v>
          </cell>
          <cell r="W80">
            <v>13.924892953865339</v>
          </cell>
          <cell r="X80">
            <v>12.149893201122524</v>
          </cell>
          <cell r="Y80">
            <v>10.014626077042692</v>
          </cell>
          <cell r="Z80">
            <v>7.3828213087621748</v>
          </cell>
          <cell r="AA80">
            <v>3.8710834984677334</v>
          </cell>
          <cell r="AD80">
            <v>62.849666392872081</v>
          </cell>
          <cell r="AE80">
            <v>64.876252855711357</v>
          </cell>
          <cell r="AF80">
            <v>67.747683715703729</v>
          </cell>
          <cell r="AG80">
            <v>72.263232241847945</v>
          </cell>
          <cell r="AH80">
            <v>80.83131279092018</v>
          </cell>
          <cell r="AM80">
            <v>30698.011006346387</v>
          </cell>
          <cell r="AN80">
            <v>24558.40880507711</v>
          </cell>
          <cell r="AO80">
            <v>18418.806603807832</v>
          </cell>
          <cell r="AP80">
            <v>12279.204402538555</v>
          </cell>
          <cell r="AQ80">
            <v>6139.6022012692774</v>
          </cell>
          <cell r="AT80">
            <v>4162.1298802836973</v>
          </cell>
          <cell r="AU80">
            <v>3329.7039042269571</v>
          </cell>
          <cell r="AV80">
            <v>2497.2779281702187</v>
          </cell>
          <cell r="AW80">
            <v>1664.8519521134785</v>
          </cell>
          <cell r="AX80">
            <v>832.42597605673927</v>
          </cell>
          <cell r="BJ80">
            <v>3.3999999999999981</v>
          </cell>
          <cell r="BK80">
            <v>3.4679999999999982</v>
          </cell>
          <cell r="BL80">
            <v>3.6039999999999983</v>
          </cell>
          <cell r="BM80">
            <v>3.8759999999999977</v>
          </cell>
          <cell r="BN80">
            <v>4.7599999999999971</v>
          </cell>
        </row>
        <row r="81">
          <cell r="N81">
            <v>88</v>
          </cell>
          <cell r="P81">
            <v>221.86094420380775</v>
          </cell>
          <cell r="Q81">
            <v>192.04283330281601</v>
          </cell>
          <cell r="R81">
            <v>157.23285115723854</v>
          </cell>
          <cell r="S81">
            <v>115.1680161361966</v>
          </cell>
          <cell r="T81">
            <v>63.651904892072437</v>
          </cell>
          <cell r="W81">
            <v>14.924330736611495</v>
          </cell>
          <cell r="X81">
            <v>12.918500685610923</v>
          </cell>
          <cell r="Y81">
            <v>10.701035161116891</v>
          </cell>
          <cell r="Z81">
            <v>7.7472200853750195</v>
          </cell>
          <cell r="AA81">
            <v>4.1162411975600719</v>
          </cell>
          <cell r="AD81">
            <v>63.036560194527354</v>
          </cell>
          <cell r="AE81">
            <v>65.061438622789353</v>
          </cell>
          <cell r="AF81">
            <v>67.949370145082256</v>
          </cell>
          <cell r="AG81">
            <v>72.449509899839711</v>
          </cell>
          <cell r="AH81">
            <v>81.026624803116562</v>
          </cell>
          <cell r="AM81">
            <v>35511.190322760085</v>
          </cell>
          <cell r="AN81">
            <v>28408.952258208068</v>
          </cell>
          <cell r="AO81">
            <v>21306.714193656051</v>
          </cell>
          <cell r="AP81">
            <v>14204.476129104034</v>
          </cell>
          <cell r="AQ81">
            <v>7102.238064552017</v>
          </cell>
          <cell r="AT81">
            <v>4813.179316413698</v>
          </cell>
          <cell r="AU81">
            <v>3850.5434531309584</v>
          </cell>
          <cell r="AV81">
            <v>2887.9075898482188</v>
          </cell>
          <cell r="AW81">
            <v>1925.2717265654792</v>
          </cell>
          <cell r="AX81">
            <v>962.63586328273959</v>
          </cell>
          <cell r="BJ81">
            <v>3.4333333333333313</v>
          </cell>
          <cell r="BK81">
            <v>3.501999999999998</v>
          </cell>
          <cell r="BL81">
            <v>3.6393333333333313</v>
          </cell>
          <cell r="BM81">
            <v>3.9139999999999975</v>
          </cell>
          <cell r="BN81">
            <v>4.806666666666664</v>
          </cell>
        </row>
        <row r="82">
          <cell r="N82">
            <v>89</v>
          </cell>
          <cell r="P82">
            <v>237.85644583342264</v>
          </cell>
          <cell r="Q82">
            <v>206.07882467007735</v>
          </cell>
          <cell r="R82">
            <v>168.73536267423003</v>
          </cell>
          <cell r="S82">
            <v>123.11449636337954</v>
          </cell>
          <cell r="T82">
            <v>68.122086086692235</v>
          </cell>
          <cell r="W82">
            <v>15.995501629614893</v>
          </cell>
          <cell r="X82">
            <v>14.035991367261346</v>
          </cell>
          <cell r="Y82">
            <v>11.50251151699149</v>
          </cell>
          <cell r="Z82">
            <v>7.9464802271829456</v>
          </cell>
          <cell r="AA82">
            <v>4.4701811946197978</v>
          </cell>
          <cell r="AD82">
            <v>63.213386604241791</v>
          </cell>
          <cell r="AE82">
            <v>65.23679566619937</v>
          </cell>
          <cell r="AF82">
            <v>68.132712808893615</v>
          </cell>
          <cell r="AG82">
            <v>72.635787557831478</v>
          </cell>
          <cell r="AH82">
            <v>81.212704266341873</v>
          </cell>
          <cell r="AM82">
            <v>41077.009235645834</v>
          </cell>
          <cell r="AN82">
            <v>32861.60738851667</v>
          </cell>
          <cell r="AO82">
            <v>24646.205541387499</v>
          </cell>
          <cell r="AP82">
            <v>16430.803694258335</v>
          </cell>
          <cell r="AQ82">
            <v>8215.4018471291674</v>
          </cell>
          <cell r="AT82">
            <v>5565.8189128857484</v>
          </cell>
          <cell r="AU82">
            <v>4452.6551303086017</v>
          </cell>
          <cell r="AV82">
            <v>3339.4913477314476</v>
          </cell>
          <cell r="AW82">
            <v>2226.3275651543008</v>
          </cell>
          <cell r="AX82">
            <v>1113.1637825771504</v>
          </cell>
          <cell r="BJ82">
            <v>3.4666666666666646</v>
          </cell>
          <cell r="BK82">
            <v>3.5359999999999978</v>
          </cell>
          <cell r="BL82">
            <v>3.6746666666666647</v>
          </cell>
          <cell r="BM82">
            <v>3.9519999999999973</v>
          </cell>
          <cell r="BN82">
            <v>4.8533333333333299</v>
          </cell>
        </row>
        <row r="83">
          <cell r="N83">
            <v>90</v>
          </cell>
          <cell r="P83">
            <v>255</v>
          </cell>
          <cell r="Q83">
            <v>221.08500000000001</v>
          </cell>
          <cell r="R83">
            <v>180.33600000000001</v>
          </cell>
          <cell r="S83">
            <v>131.58000000000001</v>
          </cell>
          <cell r="T83">
            <v>72.777000000000001</v>
          </cell>
          <cell r="W83">
            <v>17.14355416657736</v>
          </cell>
          <cell r="X83">
            <v>15.006175329922655</v>
          </cell>
          <cell r="Y83">
            <v>11.600637325769981</v>
          </cell>
          <cell r="Z83">
            <v>8.4655036366204683</v>
          </cell>
          <cell r="AA83">
            <v>4.6549139133077659</v>
          </cell>
          <cell r="AD83">
            <v>63.39021301395622</v>
          </cell>
          <cell r="AE83">
            <v>65.412152709609373</v>
          </cell>
          <cell r="AF83">
            <v>68.309907165737044</v>
          </cell>
          <cell r="AG83">
            <v>72.822065215823244</v>
          </cell>
          <cell r="AH83">
            <v>81.398783729567185</v>
          </cell>
          <cell r="AM83">
            <v>47512.875</v>
          </cell>
          <cell r="AN83">
            <v>38010.300000000003</v>
          </cell>
          <cell r="AO83">
            <v>28507.724999999999</v>
          </cell>
          <cell r="AP83">
            <v>19005.150000000001</v>
          </cell>
          <cell r="AQ83">
            <v>9502.5750000000007</v>
          </cell>
          <cell r="AT83">
            <v>6435.8657643541665</v>
          </cell>
          <cell r="AU83">
            <v>5148.6926114833332</v>
          </cell>
          <cell r="AV83">
            <v>3861.5194586124999</v>
          </cell>
          <cell r="AW83">
            <v>2574.3463057416666</v>
          </cell>
          <cell r="AX83">
            <v>1287.1731528708333</v>
          </cell>
          <cell r="BJ83">
            <v>3.4999999999999978</v>
          </cell>
          <cell r="BK83">
            <v>3.5699999999999976</v>
          </cell>
          <cell r="BL83">
            <v>3.7099999999999977</v>
          </cell>
          <cell r="BM83">
            <v>3.9899999999999971</v>
          </cell>
          <cell r="BN83">
            <v>4.8999999999999968</v>
          </cell>
        </row>
        <row r="84">
          <cell r="N84">
            <v>91</v>
          </cell>
          <cell r="P84">
            <v>273.37400640929098</v>
          </cell>
          <cell r="Q84">
            <v>236.35916594147301</v>
          </cell>
          <cell r="R84">
            <v>192.67399971726829</v>
          </cell>
          <cell r="S84">
            <v>140.76027590014394</v>
          </cell>
          <cell r="T84">
            <v>77.856917025366073</v>
          </cell>
          <cell r="W84">
            <v>18.374006409290985</v>
          </cell>
          <cell r="X84">
            <v>15.274165941473001</v>
          </cell>
          <cell r="Y84">
            <v>12.337999717268275</v>
          </cell>
          <cell r="Z84">
            <v>9.1802759001439256</v>
          </cell>
          <cell r="AA84">
            <v>5.0799170253660719</v>
          </cell>
          <cell r="AD84">
            <v>63.567039423670657</v>
          </cell>
          <cell r="AE84">
            <v>65.58750975301939</v>
          </cell>
          <cell r="AF84">
            <v>68.487101522580488</v>
          </cell>
          <cell r="AG84">
            <v>73.007572199822363</v>
          </cell>
          <cell r="AH84">
            <v>81.584863192792497</v>
          </cell>
          <cell r="BJ84">
            <v>3.4999999999999978</v>
          </cell>
          <cell r="BK84">
            <v>3.5699999999999976</v>
          </cell>
          <cell r="BL84">
            <v>3.7099999999999977</v>
          </cell>
          <cell r="BM84">
            <v>3.9899999999999971</v>
          </cell>
          <cell r="BN84">
            <v>4.8999999999999968</v>
          </cell>
        </row>
        <row r="85">
          <cell r="N85">
            <v>92</v>
          </cell>
          <cell r="P85">
            <v>293.06677887924064</v>
          </cell>
          <cell r="Q85">
            <v>253.15108359588808</v>
          </cell>
          <cell r="R85">
            <v>206.37762568676126</v>
          </cell>
          <cell r="S85">
            <v>150.81216441125721</v>
          </cell>
          <cell r="T85">
            <v>83.230965201704336</v>
          </cell>
          <cell r="W85">
            <v>19.692772469949659</v>
          </cell>
          <cell r="X85">
            <v>16.791917654415073</v>
          </cell>
          <cell r="Y85">
            <v>13.703625969492975</v>
          </cell>
          <cell r="Z85">
            <v>10.051888511113276</v>
          </cell>
          <cell r="AA85">
            <v>5.3740481763382633</v>
          </cell>
          <cell r="AD85">
            <v>63.743865833385094</v>
          </cell>
          <cell r="AE85">
            <v>65.762866796429392</v>
          </cell>
          <cell r="AF85">
            <v>68.664295879423918</v>
          </cell>
          <cell r="AG85">
            <v>73.176642436293761</v>
          </cell>
          <cell r="AH85">
            <v>81.770942656017823</v>
          </cell>
          <cell r="BJ85">
            <v>3.4999999999999978</v>
          </cell>
          <cell r="BK85">
            <v>3.5699999999999976</v>
          </cell>
          <cell r="BL85">
            <v>3.7099999999999977</v>
          </cell>
          <cell r="BM85">
            <v>3.9899999999999971</v>
          </cell>
          <cell r="BN85">
            <v>4.8999999999999968</v>
          </cell>
        </row>
        <row r="86">
          <cell r="N86">
            <v>93</v>
          </cell>
          <cell r="P86">
            <v>314.1729698162988</v>
          </cell>
          <cell r="Q86">
            <v>271.53969781222702</v>
          </cell>
          <cell r="R86">
            <v>221.55477831445393</v>
          </cell>
          <cell r="S86">
            <v>161.57915837652246</v>
          </cell>
          <cell r="T86">
            <v>89.193706130847232</v>
          </cell>
          <cell r="W86">
            <v>21.106190937058159</v>
          </cell>
          <cell r="X86">
            <v>18.388614216338937</v>
          </cell>
          <cell r="Y86">
            <v>15.177152627692664</v>
          </cell>
          <cell r="Z86">
            <v>10.766993965265243</v>
          </cell>
          <cell r="AA86">
            <v>5.9627409291428961</v>
          </cell>
          <cell r="AD86">
            <v>63.920692243099523</v>
          </cell>
          <cell r="AE86">
            <v>65.938223839839395</v>
          </cell>
          <cell r="AF86">
            <v>68.841490236267347</v>
          </cell>
          <cell r="AG86">
            <v>73.34571267276516</v>
          </cell>
          <cell r="AH86">
            <v>81.957022119243135</v>
          </cell>
          <cell r="BJ86">
            <v>3.4999999999999978</v>
          </cell>
          <cell r="BK86">
            <v>3.5699999999999976</v>
          </cell>
          <cell r="BL86">
            <v>3.7099999999999977</v>
          </cell>
          <cell r="BM86">
            <v>3.9899999999999971</v>
          </cell>
          <cell r="BN86">
            <v>4.8999999999999968</v>
          </cell>
        </row>
        <row r="87">
          <cell r="N87">
            <v>94</v>
          </cell>
          <cell r="P87">
            <v>336.79402515786086</v>
          </cell>
          <cell r="Q87">
            <v>291.2594729565181</v>
          </cell>
          <cell r="R87">
            <v>237.27139072371298</v>
          </cell>
          <cell r="S87">
            <v>172.97741132107731</v>
          </cell>
          <cell r="T87">
            <v>95.64950314483248</v>
          </cell>
          <cell r="W87">
            <v>22.621055341562055</v>
          </cell>
          <cell r="X87">
            <v>19.719775144291077</v>
          </cell>
          <cell r="Y87">
            <v>15.716612409259056</v>
          </cell>
          <cell r="Z87">
            <v>11.398252944554855</v>
          </cell>
          <cell r="AA87">
            <v>6.4557970139852472</v>
          </cell>
          <cell r="AD87">
            <v>64.090988120365651</v>
          </cell>
          <cell r="AE87">
            <v>66.105889403880397</v>
          </cell>
          <cell r="AF87">
            <v>69.01697485309198</v>
          </cell>
          <cell r="AG87">
            <v>73.514782909236544</v>
          </cell>
          <cell r="AH87">
            <v>82.128973371044353</v>
          </cell>
          <cell r="BJ87">
            <v>3.4999999999999978</v>
          </cell>
          <cell r="BK87">
            <v>3.5699999999999976</v>
          </cell>
          <cell r="BL87">
            <v>3.7099999999999977</v>
          </cell>
          <cell r="BM87">
            <v>3.9899999999999971</v>
          </cell>
          <cell r="BN87">
            <v>4.8999999999999968</v>
          </cell>
        </row>
        <row r="88">
          <cell r="N88">
            <v>95</v>
          </cell>
          <cell r="P88">
            <v>361.0386719675123</v>
          </cell>
          <cell r="Q88">
            <v>311.72078937675008</v>
          </cell>
          <cell r="R88">
            <v>253.91849799475142</v>
          </cell>
          <cell r="S88">
            <v>185.57387739130132</v>
          </cell>
          <cell r="T88">
            <v>102.53498283877349</v>
          </cell>
          <cell r="W88">
            <v>24.244646809651442</v>
          </cell>
          <cell r="X88">
            <v>20.461316420231981</v>
          </cell>
          <cell r="Y88">
            <v>16.647107271038436</v>
          </cell>
          <cell r="Z88">
            <v>12.596466070224011</v>
          </cell>
          <cell r="AA88">
            <v>6.8854796939410079</v>
          </cell>
          <cell r="AD88">
            <v>64.255972994404218</v>
          </cell>
          <cell r="AE88">
            <v>66.269371604948859</v>
          </cell>
          <cell r="AF88">
            <v>69.17795498031839</v>
          </cell>
          <cell r="AG88">
            <v>73.683853145707943</v>
          </cell>
          <cell r="AH88">
            <v>82.296681479091191</v>
          </cell>
          <cell r="BJ88">
            <v>3.4999999999999978</v>
          </cell>
          <cell r="BK88">
            <v>3.5699999999999976</v>
          </cell>
          <cell r="BL88">
            <v>3.7099999999999977</v>
          </cell>
          <cell r="BM88">
            <v>3.9899999999999971</v>
          </cell>
          <cell r="BN88">
            <v>4.8999999999999968</v>
          </cell>
        </row>
        <row r="89">
          <cell r="N89">
            <v>96</v>
          </cell>
          <cell r="P89">
            <v>387.02344102666189</v>
          </cell>
          <cell r="Q89">
            <v>334.00122960600919</v>
          </cell>
          <cell r="R89">
            <v>272.23228841815398</v>
          </cell>
          <cell r="S89">
            <v>199.39447681693619</v>
          </cell>
          <cell r="T89">
            <v>108.94709864900531</v>
          </cell>
          <cell r="W89">
            <v>25.984769059149585</v>
          </cell>
          <cell r="X89">
            <v>22.280440229259113</v>
          </cell>
          <cell r="Y89">
            <v>18.313790423402565</v>
          </cell>
          <cell r="Z89">
            <v>13.820599425634867</v>
          </cell>
          <cell r="AA89">
            <v>6.4121158102318248</v>
          </cell>
          <cell r="AD89">
            <v>64.420957868442798</v>
          </cell>
          <cell r="AE89">
            <v>66.43285380601732</v>
          </cell>
          <cell r="AF89">
            <v>69.338935107544785</v>
          </cell>
          <cell r="AG89">
            <v>73.852923382179341</v>
          </cell>
          <cell r="AH89">
            <v>82.464389587138029</v>
          </cell>
          <cell r="BJ89">
            <v>3.4999999999999978</v>
          </cell>
          <cell r="BK89">
            <v>3.5699999999999976</v>
          </cell>
          <cell r="BL89">
            <v>3.7099999999999977</v>
          </cell>
          <cell r="BM89">
            <v>3.9899999999999971</v>
          </cell>
          <cell r="BN89">
            <v>4.8999999999999968</v>
          </cell>
        </row>
        <row r="90">
          <cell r="N90">
            <v>97</v>
          </cell>
          <cell r="P90">
            <v>414.87322693439216</v>
          </cell>
          <cell r="Q90">
            <v>358.28451878054108</v>
          </cell>
          <cell r="R90">
            <v>292.4026503433596</v>
          </cell>
          <cell r="S90">
            <v>212.58104148118252</v>
          </cell>
          <cell r="T90">
            <v>115.74963031469542</v>
          </cell>
          <cell r="W90">
            <v>27.849785907730279</v>
          </cell>
          <cell r="X90">
            <v>24.283289174531888</v>
          </cell>
          <cell r="Y90">
            <v>20.170361925205611</v>
          </cell>
          <cell r="Z90">
            <v>13.186564664246333</v>
          </cell>
          <cell r="AA90">
            <v>6.8025316656901111</v>
          </cell>
          <cell r="AD90">
            <v>64.585942742481365</v>
          </cell>
          <cell r="AE90">
            <v>66.596336007085796</v>
          </cell>
          <cell r="AF90">
            <v>69.49991523477118</v>
          </cell>
          <cell r="AG90">
            <v>74.02050499447661</v>
          </cell>
          <cell r="AH90">
            <v>82.632097695184868</v>
          </cell>
          <cell r="BJ90">
            <v>3.4999999999999978</v>
          </cell>
          <cell r="BK90">
            <v>3.5699999999999976</v>
          </cell>
          <cell r="BL90">
            <v>3.7099999999999977</v>
          </cell>
          <cell r="BM90">
            <v>3.9899999999999971</v>
          </cell>
          <cell r="BN90">
            <v>4.8999999999999968</v>
          </cell>
        </row>
        <row r="91">
          <cell r="N91">
            <v>98</v>
          </cell>
          <cell r="P91">
            <v>444.72188840761549</v>
          </cell>
          <cell r="Q91">
            <v>384.7733778502689</v>
          </cell>
          <cell r="R91">
            <v>312.90632068359827</v>
          </cell>
          <cell r="S91">
            <v>226.0076636887502</v>
          </cell>
          <cell r="T91">
            <v>123.1879630889095</v>
          </cell>
          <cell r="W91">
            <v>29.848661473223331</v>
          </cell>
          <cell r="X91">
            <v>26.488859069727823</v>
          </cell>
          <cell r="Y91">
            <v>20.503670340238671</v>
          </cell>
          <cell r="Z91">
            <v>13.426622207567675</v>
          </cell>
          <cell r="AA91">
            <v>7.438332774214075</v>
          </cell>
          <cell r="AD91">
            <v>64.750927616519931</v>
          </cell>
          <cell r="AE91">
            <v>66.759818208154257</v>
          </cell>
          <cell r="AF91">
            <v>69.660895361997589</v>
          </cell>
          <cell r="AG91">
            <v>74.178131818877702</v>
          </cell>
          <cell r="AH91">
            <v>82.799805803231706</v>
          </cell>
          <cell r="BJ91">
            <v>3.4999999999999978</v>
          </cell>
          <cell r="BK91">
            <v>3.5699999999999976</v>
          </cell>
          <cell r="BL91">
            <v>3.7099999999999977</v>
          </cell>
          <cell r="BM91">
            <v>3.9899999999999971</v>
          </cell>
          <cell r="BN91">
            <v>4.8999999999999968</v>
          </cell>
        </row>
        <row r="92">
          <cell r="N92">
            <v>99</v>
          </cell>
          <cell r="P92">
            <v>476.71289166684534</v>
          </cell>
          <cell r="Q92">
            <v>411.78459582182103</v>
          </cell>
          <cell r="R92">
            <v>332.60258451595797</v>
          </cell>
          <cell r="S92">
            <v>240.31096868925673</v>
          </cell>
          <cell r="T92">
            <v>130.61933231671563</v>
          </cell>
          <cell r="W92">
            <v>31.991003259229842</v>
          </cell>
          <cell r="X92">
            <v>27.011217971552128</v>
          </cell>
          <cell r="Y92">
            <v>19.696263832359705</v>
          </cell>
          <cell r="Z92">
            <v>14.303305000506526</v>
          </cell>
          <cell r="AA92">
            <v>7.4313692278061296</v>
          </cell>
          <cell r="AD92">
            <v>64.915912490558512</v>
          </cell>
          <cell r="AE92">
            <v>66.923300409222719</v>
          </cell>
          <cell r="AF92">
            <v>69.821875489223984</v>
          </cell>
          <cell r="AG92">
            <v>74.335758643278794</v>
          </cell>
          <cell r="AH92">
            <v>82.967513911278544</v>
          </cell>
          <cell r="BJ92">
            <v>3.4999999999999978</v>
          </cell>
          <cell r="BK92">
            <v>3.5699999999999976</v>
          </cell>
          <cell r="BL92">
            <v>3.7099999999999977</v>
          </cell>
          <cell r="BM92">
            <v>3.9899999999999971</v>
          </cell>
          <cell r="BN92">
            <v>4.8999999999999968</v>
          </cell>
        </row>
        <row r="93">
          <cell r="N93">
            <v>100</v>
          </cell>
          <cell r="P93">
            <v>511</v>
          </cell>
          <cell r="Q93">
            <v>438.13140000000004</v>
          </cell>
          <cell r="R93">
            <v>354.12299999999999</v>
          </cell>
          <cell r="S93">
            <v>254.88680000000002</v>
          </cell>
          <cell r="T93">
            <v>138.48100000000002</v>
          </cell>
          <cell r="W93">
            <v>34.287108333154663</v>
          </cell>
          <cell r="X93">
            <v>26.346804178179013</v>
          </cell>
          <cell r="Y93">
            <v>21.520415484042019</v>
          </cell>
          <cell r="Z93">
            <v>14.575831310743297</v>
          </cell>
          <cell r="AA93">
            <v>7.861667683284395</v>
          </cell>
          <cell r="AD93">
            <v>65.075479910097457</v>
          </cell>
          <cell r="AE93">
            <v>67.083433628014333</v>
          </cell>
          <cell r="AF93">
            <v>69.982855616450394</v>
          </cell>
          <cell r="AG93">
            <v>74.493385467679886</v>
          </cell>
          <cell r="AH93">
            <v>83.124894550960335</v>
          </cell>
          <cell r="BJ93">
            <v>3.4999999999999978</v>
          </cell>
          <cell r="BK93">
            <v>3.5699999999999976</v>
          </cell>
          <cell r="BL93">
            <v>3.7099999999999977</v>
          </cell>
          <cell r="BM93">
            <v>3.9899999999999971</v>
          </cell>
          <cell r="BN93">
            <v>4.8999999999999968</v>
          </cell>
        </row>
        <row r="94">
          <cell r="N94">
            <v>101</v>
          </cell>
          <cell r="P94">
            <v>547.74801281858208</v>
          </cell>
          <cell r="Q94">
            <v>469.6391461906523</v>
          </cell>
          <cell r="R94">
            <v>378.43910205635837</v>
          </cell>
          <cell r="S94">
            <v>272.61418597980827</v>
          </cell>
          <cell r="T94">
            <v>147.89196346101718</v>
          </cell>
          <cell r="W94">
            <v>36.748012818582083</v>
          </cell>
          <cell r="X94">
            <v>31.507746190652256</v>
          </cell>
          <cell r="Y94">
            <v>24.316102056358375</v>
          </cell>
          <cell r="Z94">
            <v>17.727385979808247</v>
          </cell>
          <cell r="AA94">
            <v>9.4109634610171611</v>
          </cell>
          <cell r="AD94">
            <v>65.229416240679981</v>
          </cell>
          <cell r="AE94">
            <v>67.240606973055961</v>
          </cell>
          <cell r="AF94">
            <v>70.137942795989005</v>
          </cell>
          <cell r="AG94">
            <v>74.651012292080978</v>
          </cell>
          <cell r="AH94">
            <v>83.279794092850153</v>
          </cell>
          <cell r="BJ94">
            <v>3.4999999999999978</v>
          </cell>
          <cell r="BK94">
            <v>3.5699999999999976</v>
          </cell>
          <cell r="BL94">
            <v>3.7099999999999977</v>
          </cell>
          <cell r="BM94">
            <v>3.9899999999999971</v>
          </cell>
          <cell r="BN94">
            <v>4.8999999999999968</v>
          </cell>
        </row>
        <row r="95">
          <cell r="N95">
            <v>102</v>
          </cell>
          <cell r="P95">
            <v>587.1335577584814</v>
          </cell>
          <cell r="Q95">
            <v>502.29275866238083</v>
          </cell>
          <cell r="R95">
            <v>405.12215485335213</v>
          </cell>
          <cell r="S95">
            <v>291.57052478286187</v>
          </cell>
          <cell r="T95">
            <v>157.64536025815227</v>
          </cell>
          <cell r="W95">
            <v>39.385544939899319</v>
          </cell>
          <cell r="X95">
            <v>32.653612471728536</v>
          </cell>
          <cell r="Y95">
            <v>26.683052796993763</v>
          </cell>
          <cell r="Z95">
            <v>18.956338803053598</v>
          </cell>
          <cell r="AA95">
            <v>9.7533967971350819</v>
          </cell>
          <cell r="AD95">
            <v>65.38335257126252</v>
          </cell>
          <cell r="AE95">
            <v>67.397780318097588</v>
          </cell>
          <cell r="AF95">
            <v>70.292327570459079</v>
          </cell>
          <cell r="AG95">
            <v>74.808639116482055</v>
          </cell>
          <cell r="AH95">
            <v>83.434693634739986</v>
          </cell>
          <cell r="BJ95">
            <v>3.4999999999999978</v>
          </cell>
          <cell r="BK95">
            <v>3.5699999999999976</v>
          </cell>
          <cell r="BL95">
            <v>3.7099999999999977</v>
          </cell>
          <cell r="BM95">
            <v>3.9899999999999971</v>
          </cell>
          <cell r="BN95">
            <v>4.8999999999999968</v>
          </cell>
        </row>
        <row r="96">
          <cell r="N96">
            <v>103</v>
          </cell>
          <cell r="P96">
            <v>629.34593963259704</v>
          </cell>
          <cell r="Q96">
            <v>538.34251676172357</v>
          </cell>
          <cell r="R96">
            <v>433.68228700082267</v>
          </cell>
          <cell r="S96">
            <v>311.52624011813555</v>
          </cell>
          <cell r="T96">
            <v>168.35003885171972</v>
          </cell>
          <cell r="W96">
            <v>42.212381874115636</v>
          </cell>
          <cell r="X96">
            <v>36.049758099342739</v>
          </cell>
          <cell r="Y96">
            <v>28.56013214747054</v>
          </cell>
          <cell r="Z96">
            <v>19.95571533527368</v>
          </cell>
          <cell r="AA96">
            <v>10.704678593567451</v>
          </cell>
          <cell r="AD96">
            <v>65.537288901845059</v>
          </cell>
          <cell r="AE96">
            <v>67.554953663139216</v>
          </cell>
          <cell r="AF96">
            <v>70.446712344929153</v>
          </cell>
          <cell r="AG96">
            <v>74.966265940883147</v>
          </cell>
          <cell r="AH96">
            <v>83.589593176629805</v>
          </cell>
          <cell r="BJ96">
            <v>3.4999999999999978</v>
          </cell>
          <cell r="BK96">
            <v>3.5699999999999976</v>
          </cell>
          <cell r="BL96">
            <v>3.7099999999999977</v>
          </cell>
          <cell r="BM96">
            <v>3.9899999999999971</v>
          </cell>
          <cell r="BN96">
            <v>4.8999999999999968</v>
          </cell>
        </row>
        <row r="97">
          <cell r="N97">
            <v>104</v>
          </cell>
          <cell r="P97">
            <v>674.58805031572183</v>
          </cell>
          <cell r="Q97">
            <v>576.30057138472114</v>
          </cell>
          <cell r="R97">
            <v>464.04911981218504</v>
          </cell>
          <cell r="S97">
            <v>332.70682641571403</v>
          </cell>
          <cell r="T97">
            <v>179.6427977990767</v>
          </cell>
          <cell r="W97">
            <v>45.242110683124793</v>
          </cell>
          <cell r="X97">
            <v>37.958054622997565</v>
          </cell>
          <cell r="Y97">
            <v>30.366832811362372</v>
          </cell>
          <cell r="Z97">
            <v>21.180586297578486</v>
          </cell>
          <cell r="AA97">
            <v>11.292758947356987</v>
          </cell>
          <cell r="AD97">
            <v>65.691225232427584</v>
          </cell>
          <cell r="AE97">
            <v>67.712127008180858</v>
          </cell>
          <cell r="AF97">
            <v>70.601097119399213</v>
          </cell>
          <cell r="AG97">
            <v>75.115180559621535</v>
          </cell>
          <cell r="AH97">
            <v>83.744492718519624</v>
          </cell>
          <cell r="BJ97">
            <v>3.4999999999999978</v>
          </cell>
          <cell r="BK97">
            <v>3.5699999999999976</v>
          </cell>
          <cell r="BL97">
            <v>3.7099999999999977</v>
          </cell>
          <cell r="BM97">
            <v>3.9899999999999971</v>
          </cell>
          <cell r="BN97">
            <v>4.8999999999999968</v>
          </cell>
        </row>
        <row r="98">
          <cell r="N98">
            <v>105</v>
          </cell>
          <cell r="P98">
            <v>723.0773439350246</v>
          </cell>
          <cell r="Q98">
            <v>618.15882133005255</v>
          </cell>
          <cell r="R98">
            <v>495.95875020503337</v>
          </cell>
          <cell r="S98">
            <v>355.39251454406457</v>
          </cell>
          <cell r="T98">
            <v>192.84472762747106</v>
          </cell>
          <cell r="W98">
            <v>48.489293619302771</v>
          </cell>
          <cell r="X98">
            <v>41.858249945331409</v>
          </cell>
          <cell r="Y98">
            <v>31.909630392848328</v>
          </cell>
          <cell r="Z98">
            <v>22.685688128350534</v>
          </cell>
          <cell r="AA98">
            <v>13.201929828394356</v>
          </cell>
          <cell r="AD98">
            <v>65.845161563010123</v>
          </cell>
          <cell r="AE98">
            <v>67.869300353222485</v>
          </cell>
          <cell r="AF98">
            <v>70.755481893869288</v>
          </cell>
          <cell r="AG98">
            <v>75.261722981240993</v>
          </cell>
          <cell r="AH98">
            <v>83.899392260409456</v>
          </cell>
          <cell r="BJ98">
            <v>3.4999999999999978</v>
          </cell>
          <cell r="BK98">
            <v>3.5699999999999976</v>
          </cell>
          <cell r="BL98">
            <v>3.7099999999999977</v>
          </cell>
          <cell r="BM98">
            <v>3.9899999999999971</v>
          </cell>
          <cell r="BN98">
            <v>4.8999999999999968</v>
          </cell>
        </row>
        <row r="99">
          <cell r="N99">
            <v>106</v>
          </cell>
          <cell r="P99">
            <v>775.04688205332377</v>
          </cell>
          <cell r="Q99">
            <v>661.0374857032798</v>
          </cell>
          <cell r="R99">
            <v>529.97705794806279</v>
          </cell>
          <cell r="S99">
            <v>380.70302846459265</v>
          </cell>
          <cell r="T99">
            <v>206.86001282003213</v>
          </cell>
          <cell r="W99">
            <v>51.96953811829917</v>
          </cell>
          <cell r="X99">
            <v>42.878664373227252</v>
          </cell>
          <cell r="Y99">
            <v>34.018307743029425</v>
          </cell>
          <cell r="Z99">
            <v>25.310513920528081</v>
          </cell>
          <cell r="AA99">
            <v>14.015285192561066</v>
          </cell>
          <cell r="AD99">
            <v>65.999097893592648</v>
          </cell>
          <cell r="AE99">
            <v>68.025215371037646</v>
          </cell>
          <cell r="AF99">
            <v>70.909866668339362</v>
          </cell>
          <cell r="AG99">
            <v>75.408265402860437</v>
          </cell>
          <cell r="AH99">
            <v>84.050903767166133</v>
          </cell>
          <cell r="BJ99">
            <v>3.4999999999999978</v>
          </cell>
          <cell r="BK99">
            <v>3.5699999999999976</v>
          </cell>
          <cell r="BL99">
            <v>3.7099999999999977</v>
          </cell>
          <cell r="BM99">
            <v>3.9899999999999971</v>
          </cell>
          <cell r="BN99">
            <v>4.8999999999999968</v>
          </cell>
        </row>
        <row r="100">
          <cell r="N100">
            <v>107</v>
          </cell>
          <cell r="P100">
            <v>830.74645386878444</v>
          </cell>
          <cell r="Q100">
            <v>707.71290405081743</v>
          </cell>
          <cell r="R100">
            <v>569.31054483627804</v>
          </cell>
          <cell r="S100">
            <v>409.80722569347137</v>
          </cell>
          <cell r="T100">
            <v>223.30464679992923</v>
          </cell>
          <cell r="W100">
            <v>55.699571815460672</v>
          </cell>
          <cell r="X100">
            <v>46.675418347537629</v>
          </cell>
          <cell r="Y100">
            <v>39.333486888215248</v>
          </cell>
          <cell r="Z100">
            <v>29.104197228878718</v>
          </cell>
          <cell r="AA100">
            <v>16.444633979897105</v>
          </cell>
          <cell r="AD100">
            <v>66.142785979989682</v>
          </cell>
          <cell r="AE100">
            <v>68.174918074940805</v>
          </cell>
          <cell r="AF100">
            <v>71.061795050376986</v>
          </cell>
          <cell r="AG100">
            <v>75.554807824479894</v>
          </cell>
          <cell r="AH100">
            <v>84.196136930932482</v>
          </cell>
          <cell r="BJ100">
            <v>3.4999999999999978</v>
          </cell>
          <cell r="BK100">
            <v>3.5699999999999976</v>
          </cell>
          <cell r="BL100">
            <v>3.7099999999999977</v>
          </cell>
          <cell r="BM100">
            <v>3.9899999999999971</v>
          </cell>
          <cell r="BN100">
            <v>4.8999999999999968</v>
          </cell>
        </row>
        <row r="101">
          <cell r="N101">
            <v>108</v>
          </cell>
          <cell r="P101">
            <v>890.4437768152311</v>
          </cell>
          <cell r="Q101">
            <v>760.34994102252585</v>
          </cell>
          <cell r="R101">
            <v>612.98149595960513</v>
          </cell>
          <cell r="S101">
            <v>441.9272464333992</v>
          </cell>
          <cell r="T101">
            <v>240.77599725083846</v>
          </cell>
          <cell r="W101">
            <v>59.697322946446661</v>
          </cell>
          <cell r="X101">
            <v>52.637036971708426</v>
          </cell>
          <cell r="Y101">
            <v>43.670951123327086</v>
          </cell>
          <cell r="Z101">
            <v>32.120020739927838</v>
          </cell>
          <cell r="AA101">
            <v>17.471350450909227</v>
          </cell>
          <cell r="AD101">
            <v>66.286413655019302</v>
          </cell>
          <cell r="AE101">
            <v>68.324620778843951</v>
          </cell>
          <cell r="AF101">
            <v>71.210277551293188</v>
          </cell>
          <cell r="AG101">
            <v>75.701350246099338</v>
          </cell>
          <cell r="AH101">
            <v>84.341370094698831</v>
          </cell>
          <cell r="BJ101">
            <v>3.4999999999999978</v>
          </cell>
          <cell r="BK101">
            <v>3.5699999999999976</v>
          </cell>
          <cell r="BL101">
            <v>3.7099999999999977</v>
          </cell>
          <cell r="BM101">
            <v>3.9899999999999971</v>
          </cell>
          <cell r="BN101">
            <v>4.8999999999999968</v>
          </cell>
        </row>
        <row r="102">
          <cell r="N102">
            <v>109</v>
          </cell>
          <cell r="P102">
            <v>954.42578333369079</v>
          </cell>
          <cell r="Q102">
            <v>816.51125764197252</v>
          </cell>
          <cell r="R102">
            <v>658.6492330785801</v>
          </cell>
          <cell r="S102">
            <v>475.39948267851139</v>
          </cell>
          <cell r="T102">
            <v>257.59951892176309</v>
          </cell>
          <cell r="W102">
            <v>63.982006518459684</v>
          </cell>
          <cell r="X102">
            <v>56.161316619446666</v>
          </cell>
          <cell r="Y102">
            <v>45.667737118974969</v>
          </cell>
          <cell r="Z102">
            <v>33.472236245112185</v>
          </cell>
          <cell r="AA102">
            <v>16.823521670924634</v>
          </cell>
          <cell r="AD102">
            <v>66.430041330048923</v>
          </cell>
          <cell r="AE102">
            <v>68.474323482747096</v>
          </cell>
          <cell r="AF102">
            <v>71.358760052209377</v>
          </cell>
          <cell r="AG102">
            <v>75.847892667718796</v>
          </cell>
          <cell r="AH102">
            <v>84.48660325846518</v>
          </cell>
          <cell r="BJ102">
            <v>3.4999999999999978</v>
          </cell>
          <cell r="BK102">
            <v>3.5699999999999976</v>
          </cell>
          <cell r="BL102">
            <v>3.7099999999999977</v>
          </cell>
          <cell r="BM102">
            <v>3.9899999999999971</v>
          </cell>
          <cell r="BN102">
            <v>4.8999999999999968</v>
          </cell>
        </row>
        <row r="103">
          <cell r="N103">
            <v>110</v>
          </cell>
          <cell r="P103">
            <v>1023</v>
          </cell>
          <cell r="Q103">
            <v>875.38110000000006</v>
          </cell>
          <cell r="R103">
            <v>706.6884</v>
          </cell>
          <cell r="S103">
            <v>508.22640000000001</v>
          </cell>
          <cell r="T103">
            <v>274.77780000000001</v>
          </cell>
          <cell r="W103">
            <v>68.574216666309212</v>
          </cell>
          <cell r="X103">
            <v>58.86984235802754</v>
          </cell>
          <cell r="Y103">
            <v>48.039166921419906</v>
          </cell>
          <cell r="Z103">
            <v>32.826917321488622</v>
          </cell>
          <cell r="AA103">
            <v>17.178281078236921</v>
          </cell>
          <cell r="AD103">
            <v>66.573669005078543</v>
          </cell>
          <cell r="AE103">
            <v>68.624026186650241</v>
          </cell>
          <cell r="AF103">
            <v>71.507242553125565</v>
          </cell>
          <cell r="AG103">
            <v>75.994435089338239</v>
          </cell>
          <cell r="AH103">
            <v>84.63183642223153</v>
          </cell>
          <cell r="BJ103">
            <v>3.4999999999999978</v>
          </cell>
          <cell r="BK103">
            <v>3.5699999999999976</v>
          </cell>
          <cell r="BL103">
            <v>3.7099999999999977</v>
          </cell>
          <cell r="BM103">
            <v>3.9899999999999971</v>
          </cell>
          <cell r="BN103">
            <v>4.8999999999999968</v>
          </cell>
        </row>
        <row r="104">
          <cell r="N104">
            <v>111</v>
          </cell>
          <cell r="P104">
            <v>1096.4960256371633</v>
          </cell>
          <cell r="Q104">
            <v>939.14884595823037</v>
          </cell>
          <cell r="R104">
            <v>756.25330888195151</v>
          </cell>
          <cell r="S104">
            <v>541.99798547244984</v>
          </cell>
          <cell r="T104">
            <v>293.42233646050488</v>
          </cell>
          <cell r="W104">
            <v>73.496025637163257</v>
          </cell>
          <cell r="X104">
            <v>63.767745958230307</v>
          </cell>
          <cell r="Y104">
            <v>49.56490888195151</v>
          </cell>
          <cell r="Z104">
            <v>33.771585472449829</v>
          </cell>
          <cell r="AA104">
            <v>18.644536460504867</v>
          </cell>
          <cell r="AD104">
            <v>66.717296680108163</v>
          </cell>
          <cell r="AE104">
            <v>68.773728890553386</v>
          </cell>
          <cell r="AF104">
            <v>71.655725054041767</v>
          </cell>
          <cell r="AG104">
            <v>76.130305911210229</v>
          </cell>
          <cell r="AH104">
            <v>84.777069585997879</v>
          </cell>
          <cell r="BJ104">
            <v>3.4999999999999978</v>
          </cell>
          <cell r="BK104">
            <v>3.5699999999999976</v>
          </cell>
          <cell r="BL104">
            <v>3.7099999999999977</v>
          </cell>
          <cell r="BM104">
            <v>3.9899999999999971</v>
          </cell>
          <cell r="BN104">
            <v>4.8999999999999968</v>
          </cell>
        </row>
        <row r="105">
          <cell r="N105">
            <v>112</v>
          </cell>
          <cell r="P105">
            <v>1175.2671155169628</v>
          </cell>
          <cell r="Q105">
            <v>1004.2657502092447</v>
          </cell>
          <cell r="R105">
            <v>806.23324124463659</v>
          </cell>
          <cell r="S105">
            <v>577.99636741124232</v>
          </cell>
          <cell r="T105">
            <v>313.56126641992563</v>
          </cell>
          <cell r="W105">
            <v>78.771089879799547</v>
          </cell>
          <cell r="X105">
            <v>65.116904251014375</v>
          </cell>
          <cell r="Y105">
            <v>49.979932362685076</v>
          </cell>
          <cell r="Z105">
            <v>35.998381938792477</v>
          </cell>
          <cell r="AA105">
            <v>20.13892995942075</v>
          </cell>
          <cell r="AD105">
            <v>66.860924355137783</v>
          </cell>
          <cell r="AE105">
            <v>68.923431594456531</v>
          </cell>
          <cell r="AF105">
            <v>71.804207554957955</v>
          </cell>
          <cell r="AG105">
            <v>76.265755485049056</v>
          </cell>
          <cell r="AH105">
            <v>84.922302749764228</v>
          </cell>
          <cell r="BJ105">
            <v>3.4999999999999978</v>
          </cell>
          <cell r="BK105">
            <v>3.5699999999999976</v>
          </cell>
          <cell r="BL105">
            <v>3.7099999999999977</v>
          </cell>
          <cell r="BM105">
            <v>3.9899999999999971</v>
          </cell>
          <cell r="BN105">
            <v>4.8999999999999968</v>
          </cell>
        </row>
        <row r="106">
          <cell r="N106">
            <v>113</v>
          </cell>
          <cell r="P106">
            <v>1259.6918792651943</v>
          </cell>
          <cell r="Q106">
            <v>1073.383450321872</v>
          </cell>
          <cell r="R106">
            <v>861.50327622946634</v>
          </cell>
          <cell r="S106">
            <v>619.01258947091651</v>
          </cell>
          <cell r="T106">
            <v>335.8338550121008</v>
          </cell>
          <cell r="W106">
            <v>84.424763748231499</v>
          </cell>
          <cell r="X106">
            <v>69.11770011262729</v>
          </cell>
          <cell r="Y106">
            <v>55.270034984829749</v>
          </cell>
          <cell r="Z106">
            <v>41.016222059674192</v>
          </cell>
          <cell r="AA106">
            <v>22.272588592175168</v>
          </cell>
          <cell r="AD106">
            <v>67.004247194324648</v>
          </cell>
          <cell r="AE106">
            <v>69.0655056802525</v>
          </cell>
          <cell r="AF106">
            <v>71.952690055874157</v>
          </cell>
          <cell r="AG106">
            <v>76.401205058887882</v>
          </cell>
          <cell r="AH106">
            <v>85.072521641060263</v>
          </cell>
          <cell r="BJ106">
            <v>3.4999999999999978</v>
          </cell>
          <cell r="BK106">
            <v>3.5699999999999976</v>
          </cell>
          <cell r="BL106">
            <v>3.7099999999999977</v>
          </cell>
          <cell r="BM106">
            <v>3.9899999999999971</v>
          </cell>
          <cell r="BN106">
            <v>4.8999999999999968</v>
          </cell>
        </row>
        <row r="107">
          <cell r="N107">
            <v>114</v>
          </cell>
          <cell r="P107">
            <v>1350.1761006314437</v>
          </cell>
          <cell r="Q107">
            <v>1150.7550905681794</v>
          </cell>
          <cell r="R107">
            <v>925.41069937279144</v>
          </cell>
          <cell r="S107">
            <v>665.09674717104917</v>
          </cell>
          <cell r="T107">
            <v>360.49701886859549</v>
          </cell>
          <cell r="W107">
            <v>90.484221366249358</v>
          </cell>
          <cell r="X107">
            <v>77.371640246307379</v>
          </cell>
          <cell r="Y107">
            <v>63.907423143325104</v>
          </cell>
          <cell r="Z107">
            <v>46.084157700132664</v>
          </cell>
          <cell r="AA107">
            <v>24.663163856494691</v>
          </cell>
          <cell r="AD107">
            <v>67.138256553625013</v>
          </cell>
          <cell r="AE107">
            <v>69.199592937186125</v>
          </cell>
          <cell r="AF107">
            <v>72.093818006439079</v>
          </cell>
          <cell r="AG107">
            <v>76.536654632726695</v>
          </cell>
          <cell r="AH107">
            <v>85.228476403824274</v>
          </cell>
          <cell r="BJ107">
            <v>3.4999999999999978</v>
          </cell>
          <cell r="BK107">
            <v>3.5699999999999976</v>
          </cell>
          <cell r="BL107">
            <v>3.7099999999999977</v>
          </cell>
          <cell r="BM107">
            <v>3.9899999999999971</v>
          </cell>
          <cell r="BN107">
            <v>4.8999999999999968</v>
          </cell>
        </row>
        <row r="108">
          <cell r="N108">
            <v>115</v>
          </cell>
          <cell r="P108">
            <v>1447.1546878700494</v>
          </cell>
          <cell r="Q108">
            <v>1234.8570951595132</v>
          </cell>
          <cell r="R108">
            <v>993.18226228521496</v>
          </cell>
          <cell r="S108">
            <v>713.59197658872131</v>
          </cell>
          <cell r="T108">
            <v>386.39030166130323</v>
          </cell>
          <cell r="W108">
            <v>96.978587238605769</v>
          </cell>
          <cell r="X108">
            <v>84.102004591333753</v>
          </cell>
          <cell r="Y108">
            <v>67.771562912423519</v>
          </cell>
          <cell r="Z108">
            <v>48.495229417672135</v>
          </cell>
          <cell r="AA108">
            <v>25.893282792707737</v>
          </cell>
          <cell r="AD108">
            <v>67.272265912925377</v>
          </cell>
          <cell r="AE108">
            <v>69.333680194119751</v>
          </cell>
          <cell r="AF108">
            <v>72.23150684883845</v>
          </cell>
          <cell r="AG108">
            <v>76.672104206565521</v>
          </cell>
          <cell r="AH108">
            <v>85.384431166588271</v>
          </cell>
          <cell r="BJ108">
            <v>3.4999999999999978</v>
          </cell>
          <cell r="BK108">
            <v>3.5699999999999976</v>
          </cell>
          <cell r="BL108">
            <v>3.7099999999999977</v>
          </cell>
          <cell r="BM108">
            <v>3.9899999999999971</v>
          </cell>
          <cell r="BN108">
            <v>4.8999999999999968</v>
          </cell>
        </row>
        <row r="109">
          <cell r="N109">
            <v>116</v>
          </cell>
          <cell r="P109">
            <v>1551.0937641066464</v>
          </cell>
          <cell r="Q109">
            <v>1324.4789651706653</v>
          </cell>
          <cell r="R109">
            <v>1064.6707596828021</v>
          </cell>
          <cell r="S109">
            <v>764.3790069517554</v>
          </cell>
          <cell r="T109">
            <v>412.59094125236794</v>
          </cell>
          <cell r="W109">
            <v>103.93907623659697</v>
          </cell>
          <cell r="X109">
            <v>89.621870011152168</v>
          </cell>
          <cell r="Y109">
            <v>71.488497397587139</v>
          </cell>
          <cell r="Z109">
            <v>50.787030363034091</v>
          </cell>
          <cell r="AA109">
            <v>26.200639591064714</v>
          </cell>
          <cell r="AD109">
            <v>67.406275272225741</v>
          </cell>
          <cell r="AE109">
            <v>69.467767451053362</v>
          </cell>
          <cell r="AF109">
            <v>72.369195691237806</v>
          </cell>
          <cell r="AG109">
            <v>76.807553780404334</v>
          </cell>
          <cell r="AH109">
            <v>85.540385929352269</v>
          </cell>
          <cell r="BJ109">
            <v>3.4999999999999978</v>
          </cell>
          <cell r="BK109">
            <v>3.5699999999999976</v>
          </cell>
          <cell r="BL109">
            <v>3.7099999999999977</v>
          </cell>
          <cell r="BM109">
            <v>3.9899999999999971</v>
          </cell>
          <cell r="BN109">
            <v>4.8999999999999968</v>
          </cell>
        </row>
        <row r="110">
          <cell r="N110">
            <v>117</v>
          </cell>
          <cell r="P110">
            <v>1662.4929077375689</v>
          </cell>
          <cell r="Q110">
            <v>1418.9376967540152</v>
          </cell>
          <cell r="R110">
            <v>1141.6338797433884</v>
          </cell>
          <cell r="S110">
            <v>816.11776840837263</v>
          </cell>
          <cell r="T110">
            <v>440.22812196890823</v>
          </cell>
          <cell r="W110">
            <v>111.39914363092248</v>
          </cell>
          <cell r="X110">
            <v>94.458731583349845</v>
          </cell>
          <cell r="Y110">
            <v>76.963120060586334</v>
          </cell>
          <cell r="Z110">
            <v>51.738761456617226</v>
          </cell>
          <cell r="AA110">
            <v>27.637180716540286</v>
          </cell>
          <cell r="AD110">
            <v>67.540284631526106</v>
          </cell>
          <cell r="AE110">
            <v>69.601854707986988</v>
          </cell>
          <cell r="AF110">
            <v>72.506884533637162</v>
          </cell>
          <cell r="AG110">
            <v>76.94300335424316</v>
          </cell>
          <cell r="AH110">
            <v>85.696340692116266</v>
          </cell>
          <cell r="BJ110">
            <v>3.4999999999999978</v>
          </cell>
          <cell r="BK110">
            <v>3.5699999999999976</v>
          </cell>
          <cell r="BL110">
            <v>3.7099999999999977</v>
          </cell>
          <cell r="BM110">
            <v>3.9899999999999971</v>
          </cell>
          <cell r="BN110">
            <v>4.8999999999999968</v>
          </cell>
        </row>
        <row r="111">
          <cell r="N111">
            <v>118</v>
          </cell>
          <cell r="P111">
            <v>1781.8875536304624</v>
          </cell>
          <cell r="Q111">
            <v>1520.8410270235997</v>
          </cell>
          <cell r="R111">
            <v>1218.0983316617842</v>
          </cell>
          <cell r="S111">
            <v>871.69939123602228</v>
          </cell>
          <cell r="T111">
            <v>471.13106917989433</v>
          </cell>
          <cell r="W111">
            <v>119.39464589289355</v>
          </cell>
          <cell r="X111">
            <v>101.90333026958456</v>
          </cell>
          <cell r="Y111">
            <v>76.464451918395753</v>
          </cell>
          <cell r="Z111">
            <v>55.581622827649653</v>
          </cell>
          <cell r="AA111">
            <v>30.902947210986099</v>
          </cell>
          <cell r="AD111">
            <v>67.674293990826456</v>
          </cell>
          <cell r="AE111">
            <v>69.735941964920613</v>
          </cell>
          <cell r="AF111">
            <v>72.644573376036519</v>
          </cell>
          <cell r="AG111">
            <v>77.074762810762508</v>
          </cell>
          <cell r="AH111">
            <v>85.852295454880277</v>
          </cell>
          <cell r="BJ111">
            <v>3.4999999999999978</v>
          </cell>
          <cell r="BK111">
            <v>3.5699999999999976</v>
          </cell>
          <cell r="BL111">
            <v>3.7099999999999977</v>
          </cell>
          <cell r="BM111">
            <v>3.9899999999999971</v>
          </cell>
          <cell r="BN111">
            <v>4.8999999999999968</v>
          </cell>
        </row>
        <row r="112">
          <cell r="N112">
            <v>119</v>
          </cell>
          <cell r="P112">
            <v>1909.8515666673818</v>
          </cell>
          <cell r="Q112">
            <v>1624.7107277639418</v>
          </cell>
          <cell r="R112">
            <v>1301.5638426838207</v>
          </cell>
          <cell r="S112">
            <v>931.81657937701561</v>
          </cell>
          <cell r="T112">
            <v>504.58278391352223</v>
          </cell>
          <cell r="W112">
            <v>127.96401303691937</v>
          </cell>
          <cell r="X112">
            <v>103.86970074034207</v>
          </cell>
          <cell r="Y112">
            <v>83.46551102203648</v>
          </cell>
          <cell r="Z112">
            <v>60.117188140993335</v>
          </cell>
          <cell r="AA112">
            <v>33.451714733627909</v>
          </cell>
          <cell r="AD112">
            <v>67.80830335012682</v>
          </cell>
          <cell r="AE112">
            <v>69.870029221854239</v>
          </cell>
          <cell r="AF112">
            <v>72.782262218435889</v>
          </cell>
          <cell r="AG112">
            <v>77.203841369133116</v>
          </cell>
          <cell r="AH112">
            <v>86.007776715139968</v>
          </cell>
          <cell r="BJ112">
            <v>3.4999999999999978</v>
          </cell>
          <cell r="BK112">
            <v>3.5699999999999976</v>
          </cell>
          <cell r="BL112">
            <v>3.7099999999999977</v>
          </cell>
          <cell r="BM112">
            <v>3.9899999999999971</v>
          </cell>
          <cell r="BN112">
            <v>4.8999999999999968</v>
          </cell>
        </row>
        <row r="113">
          <cell r="N113">
            <v>120</v>
          </cell>
          <cell r="P113">
            <v>2047</v>
          </cell>
          <cell r="Q113">
            <v>1741.3829000000001</v>
          </cell>
          <cell r="R113">
            <v>1397.2821999999999</v>
          </cell>
          <cell r="S113">
            <v>1001.3924000000001</v>
          </cell>
          <cell r="T113">
            <v>542.04559999999992</v>
          </cell>
          <cell r="W113">
            <v>137.1484333326182</v>
          </cell>
          <cell r="X113">
            <v>116.67217223605826</v>
          </cell>
          <cell r="Y113">
            <v>95.718357316179208</v>
          </cell>
          <cell r="Z113">
            <v>69.575820622984452</v>
          </cell>
          <cell r="AA113">
            <v>37.462816086477687</v>
          </cell>
          <cell r="AD113">
            <v>67.942312709427185</v>
          </cell>
          <cell r="AE113">
            <v>70.003807055133578</v>
          </cell>
          <cell r="AF113">
            <v>72.919951060835245</v>
          </cell>
          <cell r="AG113">
            <v>77.332919927503724</v>
          </cell>
          <cell r="AH113">
            <v>86.154780808490045</v>
          </cell>
          <cell r="BJ113">
            <v>3.4999999999999978</v>
          </cell>
          <cell r="BK113">
            <v>3.5699999999999976</v>
          </cell>
          <cell r="BL113">
            <v>3.7099999999999977</v>
          </cell>
          <cell r="BM113">
            <v>3.9899999999999971</v>
          </cell>
          <cell r="BN113">
            <v>4.8999999999999968</v>
          </cell>
        </row>
        <row r="114">
          <cell r="N114">
            <v>121</v>
          </cell>
          <cell r="P114">
            <v>2193.9920512743265</v>
          </cell>
          <cell r="Q114">
            <v>1869.0618284805987</v>
          </cell>
          <cell r="R114">
            <v>1500.4711638665117</v>
          </cell>
          <cell r="S114">
            <v>1076.5918995603122</v>
          </cell>
          <cell r="T114">
            <v>583.16308722871599</v>
          </cell>
          <cell r="W114">
            <v>146.99205127432651</v>
          </cell>
          <cell r="X114">
            <v>127.67892848059864</v>
          </cell>
          <cell r="Y114">
            <v>103.18896386651181</v>
          </cell>
          <cell r="Z114">
            <v>75.19949956031212</v>
          </cell>
          <cell r="AA114">
            <v>41.117487228716072</v>
          </cell>
          <cell r="AD114">
            <v>68.071211008105138</v>
          </cell>
          <cell r="AE114">
            <v>70.127815365673797</v>
          </cell>
          <cell r="AF114">
            <v>73.051543220271398</v>
          </cell>
          <cell r="AG114">
            <v>77.461998485874332</v>
          </cell>
          <cell r="AH114">
            <v>86.301784901840136</v>
          </cell>
          <cell r="BJ114">
            <v>3.4999999999999978</v>
          </cell>
          <cell r="BK114">
            <v>3.5699999999999976</v>
          </cell>
          <cell r="BL114">
            <v>3.7099999999999977</v>
          </cell>
          <cell r="BM114">
            <v>3.9899999999999971</v>
          </cell>
          <cell r="BN114">
            <v>4.8999999999999968</v>
          </cell>
        </row>
        <row r="115">
          <cell r="N115">
            <v>122</v>
          </cell>
          <cell r="P115">
            <v>2351.5342310339256</v>
          </cell>
          <cell r="Q115">
            <v>2004.6829319564217</v>
          </cell>
          <cell r="R115">
            <v>1609.3900277196187</v>
          </cell>
          <cell r="S115">
            <v>1155.3087677069677</v>
          </cell>
          <cell r="T115">
            <v>623.15657122399034</v>
          </cell>
          <cell r="W115">
            <v>157.54217975959909</v>
          </cell>
          <cell r="X115">
            <v>135.62110347582302</v>
          </cell>
          <cell r="Y115">
            <v>108.91886385310704</v>
          </cell>
          <cell r="Z115">
            <v>78.716868146655543</v>
          </cell>
          <cell r="AA115">
            <v>39.993483995274346</v>
          </cell>
          <cell r="AD115">
            <v>68.196246161507091</v>
          </cell>
          <cell r="AE115">
            <v>70.251823676214016</v>
          </cell>
          <cell r="AF115">
            <v>73.174668450093861</v>
          </cell>
          <cell r="AG115">
            <v>77.591077044244926</v>
          </cell>
          <cell r="AH115">
            <v>86.448788995190213</v>
          </cell>
          <cell r="BJ115">
            <v>3.4999999999999978</v>
          </cell>
          <cell r="BK115">
            <v>3.5699999999999976</v>
          </cell>
          <cell r="BL115">
            <v>3.7099999999999977</v>
          </cell>
          <cell r="BM115">
            <v>3.9899999999999971</v>
          </cell>
          <cell r="BN115">
            <v>4.8999999999999968</v>
          </cell>
        </row>
        <row r="116">
          <cell r="N116">
            <v>123</v>
          </cell>
          <cell r="P116">
            <v>2520.3837585303886</v>
          </cell>
          <cell r="Q116">
            <v>2149.6353076505684</v>
          </cell>
          <cell r="R116">
            <v>1726.7149129691693</v>
          </cell>
          <cell r="S116">
            <v>1235.7441568074496</v>
          </cell>
          <cell r="T116">
            <v>665.63335062787564</v>
          </cell>
          <cell r="W116">
            <v>168.849527496463</v>
          </cell>
          <cell r="X116">
            <v>144.95237569414667</v>
          </cell>
          <cell r="Y116">
            <v>117.32488524955056</v>
          </cell>
          <cell r="Z116">
            <v>80.435389100481871</v>
          </cell>
          <cell r="AA116">
            <v>42.476779403885303</v>
          </cell>
          <cell r="AD116">
            <v>68.321281314909029</v>
          </cell>
          <cell r="AE116">
            <v>70.375831986754235</v>
          </cell>
          <cell r="AF116">
            <v>73.297793679916325</v>
          </cell>
          <cell r="AG116">
            <v>77.720155602615534</v>
          </cell>
          <cell r="AH116">
            <v>86.595793088540304</v>
          </cell>
          <cell r="BJ116">
            <v>3.4999999999999978</v>
          </cell>
          <cell r="BK116">
            <v>3.5699999999999976</v>
          </cell>
          <cell r="BL116">
            <v>3.7099999999999977</v>
          </cell>
          <cell r="BM116">
            <v>3.9899999999999971</v>
          </cell>
          <cell r="BN116">
            <v>4.8999999999999968</v>
          </cell>
        </row>
        <row r="117">
          <cell r="N117">
            <v>124</v>
          </cell>
          <cell r="P117">
            <v>2701.3522012628878</v>
          </cell>
          <cell r="Q117">
            <v>2304.5235628973696</v>
          </cell>
          <cell r="R117">
            <v>1846.3742295631837</v>
          </cell>
          <cell r="S117">
            <v>1319.3404150967945</v>
          </cell>
          <cell r="T117">
            <v>710.99589937239205</v>
          </cell>
          <cell r="W117">
            <v>180.96844273249917</v>
          </cell>
          <cell r="X117">
            <v>154.88825524680124</v>
          </cell>
          <cell r="Y117">
            <v>119.6593165940144</v>
          </cell>
          <cell r="Z117">
            <v>83.59625828934486</v>
          </cell>
          <cell r="AA117">
            <v>45.362548744516403</v>
          </cell>
          <cell r="AD117">
            <v>68.446316468310982</v>
          </cell>
          <cell r="AE117">
            <v>70.499840297294455</v>
          </cell>
          <cell r="AF117">
            <v>73.420918909738774</v>
          </cell>
          <cell r="AG117">
            <v>77.849234160986143</v>
          </cell>
          <cell r="AH117">
            <v>86.742797181890381</v>
          </cell>
          <cell r="BJ117">
            <v>3.4999999999999978</v>
          </cell>
          <cell r="BK117">
            <v>3.5699999999999976</v>
          </cell>
          <cell r="BL117">
            <v>3.7099999999999977</v>
          </cell>
          <cell r="BM117">
            <v>3.9899999999999971</v>
          </cell>
          <cell r="BN117">
            <v>4.8999999999999968</v>
          </cell>
        </row>
        <row r="118">
          <cell r="N118">
            <v>125</v>
          </cell>
          <cell r="P118">
            <v>2895.3093757400989</v>
          </cell>
          <cell r="Q118">
            <v>2463.0396859421021</v>
          </cell>
          <cell r="R118">
            <v>1969.9684992535633</v>
          </cell>
          <cell r="S118">
            <v>1407.1203566096881</v>
          </cell>
          <cell r="T118">
            <v>758.86058738147995</v>
          </cell>
          <cell r="W118">
            <v>193.95717447721108</v>
          </cell>
          <cell r="X118">
            <v>158.51612304473247</v>
          </cell>
          <cell r="Y118">
            <v>123.59426969037963</v>
          </cell>
          <cell r="Z118">
            <v>87.779941512893629</v>
          </cell>
          <cell r="AA118">
            <v>47.864688009087899</v>
          </cell>
          <cell r="AD118">
            <v>68.571351621712935</v>
          </cell>
          <cell r="AE118">
            <v>70.623848607834674</v>
          </cell>
          <cell r="AF118">
            <v>73.544044139561237</v>
          </cell>
          <cell r="AG118">
            <v>77.978312719356751</v>
          </cell>
          <cell r="AH118">
            <v>86.889801275240458</v>
          </cell>
          <cell r="BJ118">
            <v>3.4999999999999978</v>
          </cell>
          <cell r="BK118">
            <v>3.5699999999999976</v>
          </cell>
          <cell r="BL118">
            <v>3.7099999999999977</v>
          </cell>
          <cell r="BM118">
            <v>3.9899999999999971</v>
          </cell>
          <cell r="BN118">
            <v>4.8999999999999968</v>
          </cell>
        </row>
        <row r="119">
          <cell r="N119">
            <v>126</v>
          </cell>
          <cell r="P119">
            <v>3103.1875282132928</v>
          </cell>
          <cell r="Q119">
            <v>2636.7784427228348</v>
          </cell>
          <cell r="R119">
            <v>2108.9262441737537</v>
          </cell>
          <cell r="S119">
            <v>1509.0800949701243</v>
          </cell>
          <cell r="T119">
            <v>813.34545114470404</v>
          </cell>
          <cell r="W119">
            <v>207.87815247319395</v>
          </cell>
          <cell r="X119">
            <v>173.73875678073273</v>
          </cell>
          <cell r="Y119">
            <v>138.95774492019041</v>
          </cell>
          <cell r="Z119">
            <v>101.95973836043618</v>
          </cell>
          <cell r="AA119">
            <v>54.484863763224098</v>
          </cell>
          <cell r="AD119">
            <v>68.696386775114874</v>
          </cell>
          <cell r="AE119">
            <v>70.747856918374893</v>
          </cell>
          <cell r="AF119">
            <v>73.667169369383686</v>
          </cell>
          <cell r="AG119">
            <v>78.10469841238104</v>
          </cell>
          <cell r="AH119">
            <v>87.033659382136349</v>
          </cell>
          <cell r="BJ119">
            <v>3.4999999999999978</v>
          </cell>
          <cell r="BK119">
            <v>3.5699999999999976</v>
          </cell>
          <cell r="BL119">
            <v>3.7099999999999977</v>
          </cell>
          <cell r="BM119">
            <v>3.9899999999999971</v>
          </cell>
          <cell r="BN119">
            <v>4.8999999999999968</v>
          </cell>
        </row>
        <row r="120">
          <cell r="N120">
            <v>127</v>
          </cell>
          <cell r="P120">
            <v>3325.985815475135</v>
          </cell>
          <cell r="Q120">
            <v>2826.7553445723174</v>
          </cell>
          <cell r="R120">
            <v>2262.6681502677343</v>
          </cell>
          <cell r="S120">
            <v>1618.0920992286531</v>
          </cell>
          <cell r="T120">
            <v>873.07127656222303</v>
          </cell>
          <cell r="W120">
            <v>222.79828726184223</v>
          </cell>
          <cell r="X120">
            <v>189.9769018494826</v>
          </cell>
          <cell r="Y120">
            <v>153.74190609398056</v>
          </cell>
          <cell r="Z120">
            <v>109.0120042585288</v>
          </cell>
          <cell r="AA120">
            <v>59.72582541751899</v>
          </cell>
          <cell r="AD120">
            <v>68.821421928516827</v>
          </cell>
          <cell r="AE120">
            <v>70.871865228915112</v>
          </cell>
          <cell r="AF120">
            <v>73.790294599206149</v>
          </cell>
          <cell r="AG120">
            <v>78.230540290975199</v>
          </cell>
          <cell r="AH120">
            <v>87.168098110592624</v>
          </cell>
          <cell r="BJ120">
            <v>3.4999999999999978</v>
          </cell>
          <cell r="BK120">
            <v>3.5699999999999976</v>
          </cell>
          <cell r="BL120">
            <v>3.7099999999999977</v>
          </cell>
          <cell r="BM120">
            <v>3.9899999999999971</v>
          </cell>
          <cell r="BN120">
            <v>4.8999999999999968</v>
          </cell>
        </row>
        <row r="121">
          <cell r="N121">
            <v>128</v>
          </cell>
          <cell r="P121">
            <v>3564.7751072609281</v>
          </cell>
          <cell r="Q121">
            <v>3030.4153186825147</v>
          </cell>
          <cell r="R121">
            <v>2426.1859380017877</v>
          </cell>
          <cell r="S121">
            <v>1737.4713872789764</v>
          </cell>
          <cell r="T121">
            <v>936.10994316671975</v>
          </cell>
          <cell r="W121">
            <v>238.78929178579301</v>
          </cell>
          <cell r="X121">
            <v>203.65997411019725</v>
          </cell>
          <cell r="Y121">
            <v>163.5177877340534</v>
          </cell>
          <cell r="Z121">
            <v>119.37928805032334</v>
          </cell>
          <cell r="AA121">
            <v>63.038666604496711</v>
          </cell>
          <cell r="AD121">
            <v>68.946457081918766</v>
          </cell>
          <cell r="AE121">
            <v>70.995873539455332</v>
          </cell>
          <cell r="AF121">
            <v>73.913419829028598</v>
          </cell>
          <cell r="AG121">
            <v>78.356382169569343</v>
          </cell>
          <cell r="AH121">
            <v>87.302536839048898</v>
          </cell>
          <cell r="BJ121">
            <v>3.4999999999999978</v>
          </cell>
          <cell r="BK121">
            <v>3.5699999999999976</v>
          </cell>
          <cell r="BL121">
            <v>3.7099999999999977</v>
          </cell>
          <cell r="BM121">
            <v>3.9899999999999971</v>
          </cell>
          <cell r="BN121">
            <v>4.8999999999999968</v>
          </cell>
        </row>
        <row r="122">
          <cell r="N122">
            <v>129</v>
          </cell>
          <cell r="P122">
            <v>3820.7031333347636</v>
          </cell>
          <cell r="Q122">
            <v>3250.2721555278836</v>
          </cell>
          <cell r="R122">
            <v>2604.5733259943081</v>
          </cell>
          <cell r="S122">
            <v>1863.3569181273642</v>
          </cell>
          <cell r="T122">
            <v>1000.260080307041</v>
          </cell>
          <cell r="W122">
            <v>255.92802607383555</v>
          </cell>
          <cell r="X122">
            <v>219.85683684536889</v>
          </cell>
          <cell r="Y122">
            <v>178.38738799252042</v>
          </cell>
          <cell r="Z122">
            <v>125.88553084838782</v>
          </cell>
          <cell r="AA122">
            <v>64.150137140321249</v>
          </cell>
          <cell r="AD122">
            <v>69.066704614192943</v>
          </cell>
          <cell r="AE122">
            <v>71.113087458015798</v>
          </cell>
          <cell r="AF122">
            <v>74.034200876118248</v>
          </cell>
          <cell r="AG122">
            <v>78.482224048163502</v>
          </cell>
          <cell r="AH122">
            <v>87.436975567505186</v>
          </cell>
          <cell r="BJ122">
            <v>3.4999999999999978</v>
          </cell>
          <cell r="BK122">
            <v>3.5699999999999976</v>
          </cell>
          <cell r="BL122">
            <v>3.7099999999999977</v>
          </cell>
          <cell r="BM122">
            <v>3.9899999999999971</v>
          </cell>
          <cell r="BN122">
            <v>4.8999999999999968</v>
          </cell>
        </row>
        <row r="123">
          <cell r="N123">
            <v>130</v>
          </cell>
          <cell r="P123">
            <v>4095</v>
          </cell>
          <cell r="Q123">
            <v>3486.0735</v>
          </cell>
          <cell r="R123">
            <v>2791.971</v>
          </cell>
          <cell r="S123">
            <v>1988.5319999999999</v>
          </cell>
          <cell r="T123">
            <v>1067.9759999999999</v>
          </cell>
          <cell r="W123">
            <v>274.29686666523639</v>
          </cell>
          <cell r="X123">
            <v>235.8013444721164</v>
          </cell>
          <cell r="Y123">
            <v>187.3976740056919</v>
          </cell>
          <cell r="Z123">
            <v>125.1750818726357</v>
          </cell>
          <cell r="AA123">
            <v>67.715919692958892</v>
          </cell>
          <cell r="AD123">
            <v>69.18336653741882</v>
          </cell>
          <cell r="AE123">
            <v>71.230067506391322</v>
          </cell>
          <cell r="AF123">
            <v>74.149428238300118</v>
          </cell>
          <cell r="AG123">
            <v>78.608065926757661</v>
          </cell>
          <cell r="AH123">
            <v>87.571414295961461</v>
          </cell>
          <cell r="BJ123">
            <v>3.4999999999999978</v>
          </cell>
          <cell r="BK123">
            <v>3.5699999999999976</v>
          </cell>
          <cell r="BL123">
            <v>3.7099999999999977</v>
          </cell>
          <cell r="BM123">
            <v>3.9899999999999971</v>
          </cell>
          <cell r="BN123">
            <v>4.8999999999999968</v>
          </cell>
        </row>
        <row r="124">
          <cell r="N124">
            <v>131</v>
          </cell>
          <cell r="P124">
            <v>4388.9841025486576</v>
          </cell>
          <cell r="Q124">
            <v>3731.5142839868686</v>
          </cell>
          <cell r="R124">
            <v>2978.8035103997736</v>
          </cell>
          <cell r="S124">
            <v>2122.0738135822758</v>
          </cell>
          <cell r="T124">
            <v>1143.3303587139253</v>
          </cell>
          <cell r="W124">
            <v>293.98410254865757</v>
          </cell>
          <cell r="X124">
            <v>245.44078398686861</v>
          </cell>
          <cell r="Y124">
            <v>186.83251039977358</v>
          </cell>
          <cell r="Z124">
            <v>133.54181358227584</v>
          </cell>
          <cell r="AA124">
            <v>75.354358713925421</v>
          </cell>
          <cell r="AD124">
            <v>69.300028460644711</v>
          </cell>
          <cell r="AE124">
            <v>71.347047554766846</v>
          </cell>
          <cell r="AF124">
            <v>74.264655600481987</v>
          </cell>
          <cell r="AG124">
            <v>78.733907805351805</v>
          </cell>
          <cell r="AH124">
            <v>87.705853024417735</v>
          </cell>
          <cell r="BJ124">
            <v>3.4999999999999978</v>
          </cell>
          <cell r="BK124">
            <v>3.5699999999999976</v>
          </cell>
          <cell r="BL124">
            <v>3.7099999999999977</v>
          </cell>
          <cell r="BM124">
            <v>3.9899999999999971</v>
          </cell>
          <cell r="BN124">
            <v>4.8999999999999968</v>
          </cell>
        </row>
        <row r="125">
          <cell r="N125">
            <v>132</v>
          </cell>
          <cell r="P125">
            <v>4704.0684620678521</v>
          </cell>
          <cell r="Q125">
            <v>3989.5204626797454</v>
          </cell>
          <cell r="R125">
            <v>3183.7135351275219</v>
          </cell>
          <cell r="S125">
            <v>2271.1242534863591</v>
          </cell>
          <cell r="T125">
            <v>1223.9986138300551</v>
          </cell>
          <cell r="W125">
            <v>315.08435951919455</v>
          </cell>
          <cell r="X125">
            <v>258.0061786928768</v>
          </cell>
          <cell r="Y125">
            <v>204.91002472774835</v>
          </cell>
          <cell r="Z125">
            <v>149.05043990408331</v>
          </cell>
          <cell r="AA125">
            <v>80.668255116129785</v>
          </cell>
          <cell r="AD125">
            <v>69.416690383870588</v>
          </cell>
          <cell r="AE125">
            <v>71.46402760314237</v>
          </cell>
          <cell r="AF125">
            <v>74.379882962663856</v>
          </cell>
          <cell r="AG125">
            <v>78.859749683945964</v>
          </cell>
          <cell r="AH125">
            <v>87.840291752874009</v>
          </cell>
          <cell r="BJ125">
            <v>3.4999999999999978</v>
          </cell>
          <cell r="BK125">
            <v>3.5699999999999976</v>
          </cell>
          <cell r="BL125">
            <v>3.7099999999999977</v>
          </cell>
          <cell r="BM125">
            <v>3.9899999999999971</v>
          </cell>
          <cell r="BN125">
            <v>4.8999999999999968</v>
          </cell>
        </row>
        <row r="126">
          <cell r="N126">
            <v>133</v>
          </cell>
          <cell r="P126">
            <v>5041.7675170607781</v>
          </cell>
          <cell r="Q126">
            <v>4275.9230312192458</v>
          </cell>
          <cell r="R126">
            <v>3419.8309068223257</v>
          </cell>
          <cell r="S126">
            <v>2442.7363620159467</v>
          </cell>
          <cell r="T126">
            <v>1316.4054987045693</v>
          </cell>
          <cell r="W126">
            <v>337.69905499292599</v>
          </cell>
          <cell r="X126">
            <v>286.40256853950041</v>
          </cell>
          <cell r="Y126">
            <v>236.11737169480375</v>
          </cell>
          <cell r="Z126">
            <v>171.61210852958766</v>
          </cell>
          <cell r="AA126">
            <v>92.406884874514162</v>
          </cell>
          <cell r="AD126">
            <v>69.533352307096465</v>
          </cell>
          <cell r="AE126">
            <v>71.581007651517908</v>
          </cell>
          <cell r="AF126">
            <v>74.495110324845726</v>
          </cell>
          <cell r="AG126">
            <v>78.985591562540122</v>
          </cell>
          <cell r="AH126">
            <v>87.974730481330297</v>
          </cell>
          <cell r="BJ126">
            <v>3.4999999999999978</v>
          </cell>
          <cell r="BK126">
            <v>3.5699999999999976</v>
          </cell>
          <cell r="BL126">
            <v>3.7099999999999977</v>
          </cell>
          <cell r="BM126">
            <v>3.9899999999999971</v>
          </cell>
          <cell r="BN126">
            <v>4.8999999999999968</v>
          </cell>
        </row>
        <row r="127">
          <cell r="N127">
            <v>134</v>
          </cell>
          <cell r="P127">
            <v>5403.704402525771</v>
          </cell>
          <cell r="Q127">
            <v>4591.5276308261473</v>
          </cell>
          <cell r="R127">
            <v>3671.276771076009</v>
          </cell>
          <cell r="S127">
            <v>2624.0388578665143</v>
          </cell>
          <cell r="T127">
            <v>1415.7705534617521</v>
          </cell>
          <cell r="W127">
            <v>361.93688546499288</v>
          </cell>
          <cell r="X127">
            <v>315.6045996069015</v>
          </cell>
          <cell r="Y127">
            <v>251.44586425368334</v>
          </cell>
          <cell r="Z127">
            <v>181.30249585056754</v>
          </cell>
          <cell r="AA127">
            <v>99.365054757182861</v>
          </cell>
          <cell r="AD127">
            <v>69.650014230322356</v>
          </cell>
          <cell r="AE127">
            <v>71.697987699893432</v>
          </cell>
          <cell r="AF127">
            <v>74.610337687027609</v>
          </cell>
          <cell r="AG127">
            <v>79.104601412347151</v>
          </cell>
          <cell r="AH127">
            <v>88.109271506528316</v>
          </cell>
          <cell r="BJ127">
            <v>3.4999999999999978</v>
          </cell>
          <cell r="BK127">
            <v>3.5699999999999976</v>
          </cell>
          <cell r="BL127">
            <v>3.7099999999999977</v>
          </cell>
          <cell r="BM127">
            <v>3.9899999999999971</v>
          </cell>
          <cell r="BN127">
            <v>4.8999999999999968</v>
          </cell>
        </row>
        <row r="128">
          <cell r="N128">
            <v>135</v>
          </cell>
          <cell r="P128">
            <v>5791.6187514801986</v>
          </cell>
          <cell r="Q128">
            <v>4918.821805632133</v>
          </cell>
          <cell r="R128">
            <v>3940.0382366319791</v>
          </cell>
          <cell r="S128">
            <v>2816.4641988448207</v>
          </cell>
          <cell r="T128">
            <v>1509.8750085108877</v>
          </cell>
          <cell r="W128">
            <v>387.91434895442762</v>
          </cell>
          <cell r="X128">
            <v>327.29417480598568</v>
          </cell>
          <cell r="Y128">
            <v>268.76146555597006</v>
          </cell>
          <cell r="Z128">
            <v>192.42534097830639</v>
          </cell>
          <cell r="AA128">
            <v>94.104455049135595</v>
          </cell>
          <cell r="AD128">
            <v>69.766676153548232</v>
          </cell>
          <cell r="AE128">
            <v>71.814967748268955</v>
          </cell>
          <cell r="AF128">
            <v>74.725565049209479</v>
          </cell>
          <cell r="AG128">
            <v>79.222727875098187</v>
          </cell>
          <cell r="AH128">
            <v>88.243836210467165</v>
          </cell>
          <cell r="BJ128">
            <v>3.4999999999999978</v>
          </cell>
          <cell r="BK128">
            <v>3.5699999999999976</v>
          </cell>
          <cell r="BL128">
            <v>3.7099999999999977</v>
          </cell>
          <cell r="BM128">
            <v>3.9899999999999971</v>
          </cell>
          <cell r="BN128">
            <v>4.8999999999999968</v>
          </cell>
        </row>
        <row r="129">
          <cell r="N129">
            <v>136</v>
          </cell>
          <cell r="P129">
            <v>6207.3750564265865</v>
          </cell>
          <cell r="Q129">
            <v>5279.3724854908123</v>
          </cell>
          <cell r="R129">
            <v>4225.9809384152195</v>
          </cell>
          <cell r="S129">
            <v>3006.8524773330387</v>
          </cell>
          <cell r="T129">
            <v>1610.1930896370566</v>
          </cell>
          <cell r="W129">
            <v>415.7563049463879</v>
          </cell>
          <cell r="X129">
            <v>360.55067985867936</v>
          </cell>
          <cell r="Y129">
            <v>285.94270178324041</v>
          </cell>
          <cell r="Z129">
            <v>190.38827848821802</v>
          </cell>
          <cell r="AA129">
            <v>100.31808112616886</v>
          </cell>
          <cell r="AD129">
            <v>69.883338076774123</v>
          </cell>
          <cell r="AE129">
            <v>71.931947796644479</v>
          </cell>
          <cell r="AF129">
            <v>74.840792411391348</v>
          </cell>
          <cell r="AG129">
            <v>79.340854337849223</v>
          </cell>
          <cell r="AH129">
            <v>88.378400914406001</v>
          </cell>
          <cell r="BJ129">
            <v>3.4999999999999978</v>
          </cell>
          <cell r="BK129">
            <v>3.5699999999999976</v>
          </cell>
          <cell r="BL129">
            <v>3.7099999999999977</v>
          </cell>
          <cell r="BM129">
            <v>3.9899999999999971</v>
          </cell>
          <cell r="BN129">
            <v>4.8999999999999968</v>
          </cell>
        </row>
        <row r="130">
          <cell r="N130">
            <v>137</v>
          </cell>
          <cell r="P130">
            <v>6652.971630950271</v>
          </cell>
          <cell r="Q130">
            <v>5658.3523721232059</v>
          </cell>
          <cell r="R130">
            <v>4508.7188742949984</v>
          </cell>
          <cell r="S130">
            <v>3203.4058403025556</v>
          </cell>
          <cell r="T130">
            <v>1719.793166600645</v>
          </cell>
          <cell r="W130">
            <v>445.59657452368447</v>
          </cell>
          <cell r="X130">
            <v>378.97988663239357</v>
          </cell>
          <cell r="Y130">
            <v>282.73793587977889</v>
          </cell>
          <cell r="Z130">
            <v>196.55336296951691</v>
          </cell>
          <cell r="AA130">
            <v>109.60007696358844</v>
          </cell>
          <cell r="AD130">
            <v>70</v>
          </cell>
          <cell r="AE130">
            <v>72.047345051940553</v>
          </cell>
          <cell r="AF130">
            <v>74.956019773573217</v>
          </cell>
          <cell r="AG130">
            <v>79.458980800600258</v>
          </cell>
          <cell r="AH130">
            <v>88.51296561834485</v>
          </cell>
          <cell r="BJ130">
            <v>3.4999999999999978</v>
          </cell>
          <cell r="BK130">
            <v>3.5699999999999976</v>
          </cell>
          <cell r="BL130">
            <v>3.7099999999999977</v>
          </cell>
          <cell r="BM130">
            <v>3.9899999999999971</v>
          </cell>
          <cell r="BN130">
            <v>4.8999999999999968</v>
          </cell>
        </row>
        <row r="131">
          <cell r="N131">
            <v>138</v>
          </cell>
          <cell r="P131">
            <v>7130.5502145218443</v>
          </cell>
          <cell r="Q131">
            <v>6036.010756592741</v>
          </cell>
          <cell r="R131">
            <v>4805.9908445877236</v>
          </cell>
          <cell r="S131">
            <v>3419.0988278632244</v>
          </cell>
          <cell r="T131">
            <v>1838.9689003251838</v>
          </cell>
          <cell r="W131">
            <v>477.57858357157329</v>
          </cell>
          <cell r="X131">
            <v>377.65838446953512</v>
          </cell>
          <cell r="Y131">
            <v>297.2719702927252</v>
          </cell>
          <cell r="Z131">
            <v>215.69298756066883</v>
          </cell>
          <cell r="AA131">
            <v>119.17573372453876</v>
          </cell>
          <cell r="AD131">
            <v>70.108849423225877</v>
          </cell>
          <cell r="AE131">
            <v>72.160540850040434</v>
          </cell>
          <cell r="AF131">
            <v>75.067682921736733</v>
          </cell>
          <cell r="AG131">
            <v>79.577107263351294</v>
          </cell>
          <cell r="AH131">
            <v>88.6475303222837</v>
          </cell>
          <cell r="BJ131">
            <v>3.4999999999999978</v>
          </cell>
          <cell r="BK131">
            <v>3.5699999999999976</v>
          </cell>
          <cell r="BL131">
            <v>3.7099999999999977</v>
          </cell>
          <cell r="BM131">
            <v>3.9899999999999971</v>
          </cell>
          <cell r="BN131">
            <v>4.8999999999999968</v>
          </cell>
        </row>
        <row r="132">
          <cell r="N132">
            <v>139</v>
          </cell>
          <cell r="P132">
            <v>7642.4062666695281</v>
          </cell>
          <cell r="Q132">
            <v>6469.2969047357556</v>
          </cell>
          <cell r="R132">
            <v>5159.388470628599</v>
          </cell>
          <cell r="S132">
            <v>3676.7616548947103</v>
          </cell>
          <cell r="T132">
            <v>1975.5620199340731</v>
          </cell>
          <cell r="W132">
            <v>511.85605214768384</v>
          </cell>
          <cell r="X132">
            <v>433.28614814301454</v>
          </cell>
          <cell r="Y132">
            <v>353.39762604087537</v>
          </cell>
          <cell r="Z132">
            <v>257.6628270314859</v>
          </cell>
          <cell r="AA132">
            <v>136.59311960888931</v>
          </cell>
          <cell r="AD132">
            <v>70.217698846451768</v>
          </cell>
          <cell r="AE132">
            <v>72.273736648140314</v>
          </cell>
          <cell r="AF132">
            <v>75.177145912126889</v>
          </cell>
          <cell r="AG132">
            <v>79.69523372610233</v>
          </cell>
          <cell r="AH132">
            <v>88.782095026222549</v>
          </cell>
          <cell r="BJ132">
            <v>3.4999999999999978</v>
          </cell>
          <cell r="BK132">
            <v>3.5699999999999976</v>
          </cell>
          <cell r="BL132">
            <v>3.7099999999999977</v>
          </cell>
          <cell r="BM132">
            <v>3.9899999999999971</v>
          </cell>
          <cell r="BN132">
            <v>4.8999999999999968</v>
          </cell>
        </row>
        <row r="133">
          <cell r="N133">
            <v>140</v>
          </cell>
          <cell r="P133">
            <v>8191</v>
          </cell>
          <cell r="Q133">
            <v>6941.8725000000004</v>
          </cell>
          <cell r="R133">
            <v>5542.0306</v>
          </cell>
          <cell r="S133">
            <v>3951.3384000000001</v>
          </cell>
          <cell r="T133">
            <v>2124.7454000000002</v>
          </cell>
          <cell r="W133">
            <v>548.59373333047188</v>
          </cell>
          <cell r="X133">
            <v>472.57559526424484</v>
          </cell>
          <cell r="Y133">
            <v>382.6421293714011</v>
          </cell>
          <cell r="Z133">
            <v>274.57674510528977</v>
          </cell>
          <cell r="AA133">
            <v>149.18338006592717</v>
          </cell>
          <cell r="AD133">
            <v>70.326548269677644</v>
          </cell>
          <cell r="AE133">
            <v>72.386932446240195</v>
          </cell>
          <cell r="AF133">
            <v>75.286608902517045</v>
          </cell>
          <cell r="AG133">
            <v>79.813360188853366</v>
          </cell>
          <cell r="AH133">
            <v>88.916659730161399</v>
          </cell>
          <cell r="BJ133">
            <v>3.4999999999999978</v>
          </cell>
          <cell r="BK133">
            <v>3.5699999999999976</v>
          </cell>
          <cell r="BL133">
            <v>3.7099999999999977</v>
          </cell>
          <cell r="BM133">
            <v>3.9899999999999971</v>
          </cell>
          <cell r="BN133">
            <v>4.8999999999999968</v>
          </cell>
        </row>
        <row r="134">
          <cell r="N134">
            <v>141</v>
          </cell>
          <cell r="P134">
            <v>8778.9682050973151</v>
          </cell>
          <cell r="Q134">
            <v>7443.6871411020138</v>
          </cell>
          <cell r="R134">
            <v>5945.117268491902</v>
          </cell>
          <cell r="S134">
            <v>4244.6311271645518</v>
          </cell>
          <cell r="T134">
            <v>2275.5085587612239</v>
          </cell>
          <cell r="W134">
            <v>587.96820509731515</v>
          </cell>
          <cell r="X134">
            <v>501.81464110201341</v>
          </cell>
          <cell r="Y134">
            <v>403.08666849190195</v>
          </cell>
          <cell r="Z134">
            <v>293.29272716455171</v>
          </cell>
          <cell r="AA134">
            <v>150.76315876122362</v>
          </cell>
          <cell r="AD134">
            <v>70.435397692903535</v>
          </cell>
          <cell r="AE134">
            <v>72.50012824434009</v>
          </cell>
          <cell r="AF134">
            <v>75.396071892907202</v>
          </cell>
          <cell r="AG134">
            <v>79.931486651604402</v>
          </cell>
          <cell r="AH134">
            <v>89.048420729369383</v>
          </cell>
          <cell r="BJ134">
            <v>3.4999999999999978</v>
          </cell>
          <cell r="BK134">
            <v>3.5699999999999976</v>
          </cell>
          <cell r="BL134">
            <v>3.7099999999999977</v>
          </cell>
          <cell r="BM134">
            <v>3.9899999999999971</v>
          </cell>
          <cell r="BN134">
            <v>4.8999999999999968</v>
          </cell>
        </row>
        <row r="135">
          <cell r="N135">
            <v>142</v>
          </cell>
          <cell r="P135">
            <v>9409.1369241357042</v>
          </cell>
          <cell r="Q135">
            <v>7983.6526801291457</v>
          </cell>
          <cell r="R135">
            <v>6385.9812304109018</v>
          </cell>
          <cell r="S135">
            <v>4544.6131343575453</v>
          </cell>
          <cell r="T135">
            <v>2431.3209811966663</v>
          </cell>
          <cell r="W135">
            <v>630.1687190383891</v>
          </cell>
          <cell r="X135">
            <v>539.96553902713185</v>
          </cell>
          <cell r="Y135">
            <v>440.86396191899985</v>
          </cell>
          <cell r="Z135">
            <v>299.98200719299348</v>
          </cell>
          <cell r="AA135">
            <v>155.81242243544239</v>
          </cell>
          <cell r="AD135">
            <v>70.544247116129412</v>
          </cell>
          <cell r="AE135">
            <v>72.61332404243997</v>
          </cell>
          <cell r="AF135">
            <v>75.505534883297358</v>
          </cell>
          <cell r="AG135">
            <v>80.045750258986601</v>
          </cell>
          <cell r="AH135">
            <v>89.175620204122851</v>
          </cell>
          <cell r="BJ135">
            <v>3.4999999999999978</v>
          </cell>
          <cell r="BK135">
            <v>3.5699999999999976</v>
          </cell>
          <cell r="BL135">
            <v>3.7099999999999977</v>
          </cell>
          <cell r="BM135">
            <v>3.9899999999999971</v>
          </cell>
          <cell r="BN135">
            <v>4.8999999999999968</v>
          </cell>
        </row>
        <row r="136">
          <cell r="N136">
            <v>143</v>
          </cell>
          <cell r="P136">
            <v>10084.535034121556</v>
          </cell>
          <cell r="Q136">
            <v>8562.7786974726132</v>
          </cell>
          <cell r="R136">
            <v>6827.2302181002942</v>
          </cell>
          <cell r="S136">
            <v>4847.6359909022322</v>
          </cell>
          <cell r="T136">
            <v>2595.759317782889</v>
          </cell>
          <cell r="W136">
            <v>675.39810998585199</v>
          </cell>
          <cell r="X136">
            <v>579.12601734346754</v>
          </cell>
          <cell r="Y136">
            <v>441.24898768939238</v>
          </cell>
          <cell r="Z136">
            <v>303.02285654468687</v>
          </cell>
          <cell r="AA136">
            <v>164.4383365862227</v>
          </cell>
          <cell r="AD136">
            <v>70.653096539355303</v>
          </cell>
          <cell r="AE136">
            <v>72.726519840539851</v>
          </cell>
          <cell r="AF136">
            <v>75.614997873687514</v>
          </cell>
          <cell r="AG136">
            <v>80.154679447049915</v>
          </cell>
          <cell r="AH136">
            <v>89.302819678876304</v>
          </cell>
          <cell r="BJ136">
            <v>3.4999999999999978</v>
          </cell>
          <cell r="BK136">
            <v>3.5699999999999976</v>
          </cell>
          <cell r="BL136">
            <v>3.7099999999999977</v>
          </cell>
          <cell r="BM136">
            <v>3.9899999999999971</v>
          </cell>
          <cell r="BN136">
            <v>4.8999999999999968</v>
          </cell>
        </row>
        <row r="137">
          <cell r="N137">
            <v>144</v>
          </cell>
          <cell r="P137">
            <v>10808.408805051544</v>
          </cell>
          <cell r="Q137">
            <v>9151.4797352371424</v>
          </cell>
          <cell r="R137">
            <v>7283.7866937242361</v>
          </cell>
          <cell r="S137">
            <v>5175.0661358586794</v>
          </cell>
          <cell r="T137">
            <v>2775.5993811372364</v>
          </cell>
          <cell r="W137">
            <v>723.87377092998759</v>
          </cell>
          <cell r="X137">
            <v>588.70103776452925</v>
          </cell>
          <cell r="Y137">
            <v>456.55647562394188</v>
          </cell>
          <cell r="Z137">
            <v>327.43014495644729</v>
          </cell>
          <cell r="AA137">
            <v>179.84006335434742</v>
          </cell>
          <cell r="AD137">
            <v>70.76194596258118</v>
          </cell>
          <cell r="AE137">
            <v>72.839715638639731</v>
          </cell>
          <cell r="AF137">
            <v>75.72446086407767</v>
          </cell>
          <cell r="AG137">
            <v>80.263608635113243</v>
          </cell>
          <cell r="AH137">
            <v>89.430019153629758</v>
          </cell>
          <cell r="BJ137">
            <v>3.4999999999999978</v>
          </cell>
          <cell r="BK137">
            <v>3.5699999999999976</v>
          </cell>
          <cell r="BL137">
            <v>3.7099999999999977</v>
          </cell>
          <cell r="BM137">
            <v>3.9899999999999971</v>
          </cell>
          <cell r="BN137">
            <v>4.8999999999999968</v>
          </cell>
        </row>
        <row r="138">
          <cell r="N138">
            <v>145</v>
          </cell>
          <cell r="P138">
            <v>11584.237502960397</v>
          </cell>
          <cell r="Q138">
            <v>9796.789656253608</v>
          </cell>
          <cell r="R138">
            <v>7796.1918394923478</v>
          </cell>
          <cell r="S138">
            <v>5548.8497639180305</v>
          </cell>
          <cell r="T138">
            <v>2979.465885761414</v>
          </cell>
          <cell r="W138">
            <v>775.82869790885343</v>
          </cell>
          <cell r="X138">
            <v>645.30992101646552</v>
          </cell>
          <cell r="Y138">
            <v>512.40514576811165</v>
          </cell>
          <cell r="Z138">
            <v>373.78362805935103</v>
          </cell>
          <cell r="AA138">
            <v>203.86650462417765</v>
          </cell>
          <cell r="AD138">
            <v>70.870795385807057</v>
          </cell>
          <cell r="AE138">
            <v>72.952911436739612</v>
          </cell>
          <cell r="AF138">
            <v>75.833923854467812</v>
          </cell>
          <cell r="AG138">
            <v>80.372537823176572</v>
          </cell>
          <cell r="AH138">
            <v>89.557218628383211</v>
          </cell>
          <cell r="BJ138">
            <v>3.4999999999999978</v>
          </cell>
          <cell r="BK138">
            <v>3.5699999999999976</v>
          </cell>
          <cell r="BL138">
            <v>3.7099999999999977</v>
          </cell>
          <cell r="BM138">
            <v>3.9899999999999971</v>
          </cell>
          <cell r="BN138">
            <v>4.8999999999999968</v>
          </cell>
        </row>
        <row r="139">
          <cell r="N139">
            <v>146</v>
          </cell>
          <cell r="P139">
            <v>12415.750112853173</v>
          </cell>
          <cell r="Q139">
            <v>10507.449320507641</v>
          </cell>
          <cell r="R139">
            <v>8384.3560512097483</v>
          </cell>
          <cell r="S139">
            <v>5967.009504237235</v>
          </cell>
          <cell r="T139">
            <v>3204.5051041274041</v>
          </cell>
          <cell r="W139">
            <v>831.5126098927758</v>
          </cell>
          <cell r="X139">
            <v>710.65966425403349</v>
          </cell>
          <cell r="Y139">
            <v>588.16421171740058</v>
          </cell>
          <cell r="Z139">
            <v>418.1597403192045</v>
          </cell>
          <cell r="AA139">
            <v>225.03921836599011</v>
          </cell>
          <cell r="AD139">
            <v>70.979644809032948</v>
          </cell>
          <cell r="AE139">
            <v>73.059911975288244</v>
          </cell>
          <cell r="AF139">
            <v>75.943386844857969</v>
          </cell>
          <cell r="AG139">
            <v>80.4814670112399</v>
          </cell>
          <cell r="AH139">
            <v>89.684418103136665</v>
          </cell>
          <cell r="BJ139">
            <v>3.4999999999999978</v>
          </cell>
          <cell r="BK139">
            <v>3.5699999999999976</v>
          </cell>
          <cell r="BL139">
            <v>3.7099999999999977</v>
          </cell>
          <cell r="BM139">
            <v>3.9899999999999971</v>
          </cell>
          <cell r="BN139">
            <v>4.8999999999999968</v>
          </cell>
        </row>
        <row r="140">
          <cell r="N140">
            <v>147</v>
          </cell>
          <cell r="P140">
            <v>13306.943261900544</v>
          </cell>
          <cell r="Q140">
            <v>11274.973025808331</v>
          </cell>
          <cell r="R140">
            <v>8995.4936450447676</v>
          </cell>
          <cell r="S140">
            <v>6407.293180605112</v>
          </cell>
          <cell r="T140">
            <v>3438.5141388751008</v>
          </cell>
          <cell r="W140">
            <v>891.19314904737075</v>
          </cell>
          <cell r="X140">
            <v>767.52370530068947</v>
          </cell>
          <cell r="Y140">
            <v>611.13759383501929</v>
          </cell>
          <cell r="Z140">
            <v>440.28367636787698</v>
          </cell>
          <cell r="AA140">
            <v>234.00903474769666</v>
          </cell>
          <cell r="AD140">
            <v>71.082568038258202</v>
          </cell>
          <cell r="AE140">
            <v>73.162499594857536</v>
          </cell>
          <cell r="AF140">
            <v>76.048210495050611</v>
          </cell>
          <cell r="AG140">
            <v>80.590396199303228</v>
          </cell>
          <cell r="AH140">
            <v>89.811617577890132</v>
          </cell>
          <cell r="BJ140">
            <v>3.4999999999999978</v>
          </cell>
          <cell r="BK140">
            <v>3.5699999999999976</v>
          </cell>
          <cell r="BL140">
            <v>3.7099999999999977</v>
          </cell>
          <cell r="BM140">
            <v>3.9899999999999971</v>
          </cell>
          <cell r="BN140">
            <v>4.8999999999999968</v>
          </cell>
        </row>
        <row r="141">
          <cell r="N141">
            <v>148</v>
          </cell>
          <cell r="P141">
            <v>14262.10042904369</v>
          </cell>
          <cell r="Q141">
            <v>12084.27769352872</v>
          </cell>
          <cell r="R141">
            <v>9648.3109402480568</v>
          </cell>
          <cell r="S141">
            <v>6871.4799867132497</v>
          </cell>
          <cell r="T141">
            <v>3671.064650435846</v>
          </cell>
          <cell r="W141">
            <v>955.15716714314658</v>
          </cell>
          <cell r="X141">
            <v>809.30466772038926</v>
          </cell>
          <cell r="Y141">
            <v>652.81729520328918</v>
          </cell>
          <cell r="Z141">
            <v>464.18680610813772</v>
          </cell>
          <cell r="AA141">
            <v>232.55051156074524</v>
          </cell>
          <cell r="AD141">
            <v>71.184128141237707</v>
          </cell>
          <cell r="AE141">
            <v>73.265087214426828</v>
          </cell>
          <cell r="AF141">
            <v>76.148064447889894</v>
          </cell>
          <cell r="AG141">
            <v>80.699325387366557</v>
          </cell>
          <cell r="AH141">
            <v>89.938817052643586</v>
          </cell>
          <cell r="BJ141">
            <v>3.4999999999999978</v>
          </cell>
          <cell r="BK141">
            <v>3.5699999999999976</v>
          </cell>
          <cell r="BL141">
            <v>3.7099999999999977</v>
          </cell>
          <cell r="BM141">
            <v>3.9899999999999971</v>
          </cell>
          <cell r="BN141">
            <v>4.8999999999999968</v>
          </cell>
        </row>
        <row r="142">
          <cell r="N142">
            <v>149</v>
          </cell>
          <cell r="P142">
            <v>15285.812533339058</v>
          </cell>
          <cell r="Q142">
            <v>12957.783284511519</v>
          </cell>
          <cell r="R142">
            <v>10342.380760057207</v>
          </cell>
          <cell r="S142">
            <v>7335.6614347494142</v>
          </cell>
          <cell r="T142">
            <v>3920.8109148014687</v>
          </cell>
          <cell r="W142">
            <v>1023.7121042953677</v>
          </cell>
          <cell r="X142">
            <v>873.50559098279882</v>
          </cell>
          <cell r="Y142">
            <v>694.06981980915043</v>
          </cell>
          <cell r="Z142">
            <v>464.18144803616451</v>
          </cell>
          <cell r="AA142">
            <v>249.74626436562266</v>
          </cell>
          <cell r="AD142">
            <v>71.285688244217212</v>
          </cell>
          <cell r="AE142">
            <v>73.367674833996119</v>
          </cell>
          <cell r="AF142">
            <v>76.247918400729162</v>
          </cell>
          <cell r="AG142">
            <v>80.808254575429885</v>
          </cell>
          <cell r="AH142">
            <v>90.055148444912135</v>
          </cell>
          <cell r="BJ142">
            <v>3.4999999999999978</v>
          </cell>
          <cell r="BK142">
            <v>3.5699999999999976</v>
          </cell>
          <cell r="BL142">
            <v>3.7099999999999977</v>
          </cell>
          <cell r="BM142">
            <v>3.9899999999999971</v>
          </cell>
          <cell r="BN142">
            <v>4.8999999999999968</v>
          </cell>
        </row>
        <row r="143">
          <cell r="N143">
            <v>150</v>
          </cell>
          <cell r="P143">
            <v>16383</v>
          </cell>
          <cell r="Q143">
            <v>13881.315900000001</v>
          </cell>
          <cell r="R143">
            <v>11037.2271</v>
          </cell>
          <cell r="S143">
            <v>7827.7974000000004</v>
          </cell>
          <cell r="T143">
            <v>4192.4097000000002</v>
          </cell>
          <cell r="W143">
            <v>1097.1874666609419</v>
          </cell>
          <cell r="X143">
            <v>923.53261548848241</v>
          </cell>
          <cell r="Y143">
            <v>694.84633994279284</v>
          </cell>
          <cell r="Z143">
            <v>492.1359652505862</v>
          </cell>
          <cell r="AA143">
            <v>271.59878519853146</v>
          </cell>
          <cell r="AD143">
            <v>71.387248347196717</v>
          </cell>
          <cell r="AE143">
            <v>73.470262453565411</v>
          </cell>
          <cell r="AF143">
            <v>76.347772353568445</v>
          </cell>
          <cell r="AG143">
            <v>80.917183763493213</v>
          </cell>
          <cell r="AH143">
            <v>90.16140749098561</v>
          </cell>
          <cell r="BJ143">
            <v>3.4999999999999978</v>
          </cell>
          <cell r="BK143">
            <v>3.5699999999999976</v>
          </cell>
          <cell r="BL143">
            <v>3.7099999999999977</v>
          </cell>
          <cell r="BM143">
            <v>3.9899999999999971</v>
          </cell>
          <cell r="BN143">
            <v>4.8999999999999968</v>
          </cell>
        </row>
        <row r="144">
          <cell r="N144">
            <v>151</v>
          </cell>
          <cell r="P144">
            <v>17558.936410194601</v>
          </cell>
          <cell r="Q144">
            <v>14839.057160255457</v>
          </cell>
          <cell r="R144">
            <v>11789.069905804656</v>
          </cell>
          <cell r="S144">
            <v>8380.8803485858825</v>
          </cell>
          <cell r="T144">
            <v>4489.820040086759</v>
          </cell>
          <cell r="W144">
            <v>1175.9364101946012</v>
          </cell>
          <cell r="X144">
            <v>957.74126025545593</v>
          </cell>
          <cell r="Y144">
            <v>751.84280580465565</v>
          </cell>
          <cell r="Z144">
            <v>553.08294858588215</v>
          </cell>
          <cell r="AA144">
            <v>297.41034008675888</v>
          </cell>
          <cell r="AD144">
            <v>71.488808450176208</v>
          </cell>
          <cell r="AE144">
            <v>73.572850073134703</v>
          </cell>
          <cell r="AF144">
            <v>76.447626306407713</v>
          </cell>
          <cell r="AG144">
            <v>81.023848662825003</v>
          </cell>
          <cell r="AH144">
            <v>90.267666537059071</v>
          </cell>
          <cell r="BJ144">
            <v>3.4999999999999978</v>
          </cell>
          <cell r="BK144">
            <v>3.5699999999999976</v>
          </cell>
          <cell r="BL144">
            <v>3.7099999999999977</v>
          </cell>
          <cell r="BM144">
            <v>3.9899999999999971</v>
          </cell>
          <cell r="BN144">
            <v>4.8999999999999968</v>
          </cell>
        </row>
        <row r="145">
          <cell r="N145">
            <v>152</v>
          </cell>
          <cell r="P145">
            <v>18819.273848271412</v>
          </cell>
          <cell r="Q145">
            <v>15904.16832917417</v>
          </cell>
          <cell r="R145">
            <v>12667.253227271489</v>
          </cell>
          <cell r="S145">
            <v>9003.140609013044</v>
          </cell>
          <cell r="T145">
            <v>4823.3798873119622</v>
          </cell>
          <cell r="W145">
            <v>1260.3374380768109</v>
          </cell>
          <cell r="X145">
            <v>1065.1111689187128</v>
          </cell>
          <cell r="Y145">
            <v>878.18332146683315</v>
          </cell>
          <cell r="Z145">
            <v>622.26026042716148</v>
          </cell>
          <cell r="AA145">
            <v>333.55984722520316</v>
          </cell>
          <cell r="AD145">
            <v>71.590368553155713</v>
          </cell>
          <cell r="AE145">
            <v>73.675437692703994</v>
          </cell>
          <cell r="AF145">
            <v>76.547480259246996</v>
          </cell>
          <cell r="AG145">
            <v>81.123332456233015</v>
          </cell>
          <cell r="AH145">
            <v>90.373925583132547</v>
          </cell>
          <cell r="BJ145">
            <v>3.4999999999999978</v>
          </cell>
          <cell r="BK145">
            <v>3.5699999999999976</v>
          </cell>
          <cell r="BL145">
            <v>3.7099999999999977</v>
          </cell>
          <cell r="BM145">
            <v>3.9899999999999971</v>
          </cell>
          <cell r="BN145">
            <v>4.8999999999999968</v>
          </cell>
        </row>
        <row r="146">
          <cell r="N146">
            <v>153</v>
          </cell>
          <cell r="P146">
            <v>20170.070068243116</v>
          </cell>
          <cell r="Q146">
            <v>17065.896284740498</v>
          </cell>
          <cell r="R146">
            <v>13594.62722599586</v>
          </cell>
          <cell r="S146">
            <v>9669.5315907157492</v>
          </cell>
          <cell r="T146">
            <v>5185.7250145453054</v>
          </cell>
          <cell r="W146">
            <v>1350.796219971704</v>
          </cell>
          <cell r="X146">
            <v>1161.7279555663281</v>
          </cell>
          <cell r="Y146">
            <v>927.37399872437163</v>
          </cell>
          <cell r="Z146">
            <v>666.39098170270518</v>
          </cell>
          <cell r="AA146">
            <v>362.34512723334319</v>
          </cell>
          <cell r="AD146">
            <v>71.691928656135218</v>
          </cell>
          <cell r="AE146">
            <v>73.778025312273286</v>
          </cell>
          <cell r="AF146">
            <v>76.647334212086264</v>
          </cell>
          <cell r="AG146">
            <v>81.222816249641028</v>
          </cell>
          <cell r="AH146">
            <v>90.480184629206022</v>
          </cell>
          <cell r="BJ146">
            <v>3.4999999999999978</v>
          </cell>
          <cell r="BK146">
            <v>3.5699999999999976</v>
          </cell>
          <cell r="BL146">
            <v>3.7099999999999977</v>
          </cell>
          <cell r="BM146">
            <v>3.9899999999999971</v>
          </cell>
          <cell r="BN146">
            <v>4.8999999999999968</v>
          </cell>
        </row>
        <row r="147">
          <cell r="N147">
            <v>154</v>
          </cell>
          <cell r="P147">
            <v>21617.817610103088</v>
          </cell>
          <cell r="Q147">
            <v>18290.835479908223</v>
          </cell>
          <cell r="R147">
            <v>14585.541541536553</v>
          </cell>
          <cell r="S147">
            <v>10380.876016371503</v>
          </cell>
          <cell r="T147">
            <v>5547.1319987524521</v>
          </cell>
          <cell r="W147">
            <v>1447.7475418599715</v>
          </cell>
          <cell r="X147">
            <v>1224.9391951677244</v>
          </cell>
          <cell r="Y147">
            <v>990.91431554069277</v>
          </cell>
          <cell r="Z147">
            <v>711.34442565575409</v>
          </cell>
          <cell r="AA147">
            <v>361.40698420714671</v>
          </cell>
          <cell r="AD147">
            <v>71.793488759114723</v>
          </cell>
          <cell r="AE147">
            <v>73.880612931842577</v>
          </cell>
          <cell r="AF147">
            <v>76.747188164925547</v>
          </cell>
          <cell r="AG147">
            <v>81.322300043049054</v>
          </cell>
          <cell r="AH147">
            <v>90.586443675279497</v>
          </cell>
          <cell r="BJ147">
            <v>3.4999999999999978</v>
          </cell>
          <cell r="BK147">
            <v>3.5699999999999976</v>
          </cell>
          <cell r="BL147">
            <v>3.7099999999999977</v>
          </cell>
          <cell r="BM147">
            <v>3.9899999999999971</v>
          </cell>
          <cell r="BN147">
            <v>4.8999999999999968</v>
          </cell>
        </row>
        <row r="148">
          <cell r="N148">
            <v>155</v>
          </cell>
          <cell r="P148">
            <v>23169.475005920798</v>
          </cell>
          <cell r="Q148">
            <v>19631.496172516694</v>
          </cell>
          <cell r="R148">
            <v>15650.9803664995</v>
          </cell>
          <cell r="S148">
            <v>11105.129370337838</v>
          </cell>
          <cell r="T148">
            <v>5926.7517065145412</v>
          </cell>
          <cell r="W148">
            <v>1551.6573958177105</v>
          </cell>
          <cell r="X148">
            <v>1340.6606926084714</v>
          </cell>
          <cell r="Y148">
            <v>1065.4388249629465</v>
          </cell>
          <cell r="Z148">
            <v>724.25335396633454</v>
          </cell>
          <cell r="AA148">
            <v>379.61970776208909</v>
          </cell>
          <cell r="AD148">
            <v>71.895048862094214</v>
          </cell>
          <cell r="AE148">
            <v>73.983200551411869</v>
          </cell>
          <cell r="AF148">
            <v>76.847042117764815</v>
          </cell>
          <cell r="AG148">
            <v>81.421783836457067</v>
          </cell>
          <cell r="AH148">
            <v>90.692702721352973</v>
          </cell>
          <cell r="BJ148">
            <v>3.4999999999999978</v>
          </cell>
          <cell r="BK148">
            <v>3.5699999999999976</v>
          </cell>
          <cell r="BL148">
            <v>3.7099999999999977</v>
          </cell>
          <cell r="BM148">
            <v>3.9899999999999971</v>
          </cell>
          <cell r="BN148">
            <v>4.8999999999999968</v>
          </cell>
        </row>
        <row r="149">
          <cell r="N149">
            <v>156</v>
          </cell>
          <cell r="P149">
            <v>24832.50022570635</v>
          </cell>
          <cell r="Q149">
            <v>21035.61094119585</v>
          </cell>
          <cell r="R149">
            <v>16719.722401968087</v>
          </cell>
          <cell r="S149">
            <v>11847.5858576845</v>
          </cell>
          <cell r="T149">
            <v>6324.8378074874072</v>
          </cell>
          <cell r="W149">
            <v>1663.0252197855516</v>
          </cell>
          <cell r="X149">
            <v>1404.1147686791555</v>
          </cell>
          <cell r="Y149">
            <v>1068.7420354685873</v>
          </cell>
          <cell r="Z149">
            <v>742.45648734666247</v>
          </cell>
          <cell r="AA149">
            <v>398.08610097286601</v>
          </cell>
          <cell r="AD149">
            <v>71.996608965073719</v>
          </cell>
          <cell r="AE149">
            <v>74.078973000522922</v>
          </cell>
          <cell r="AF149">
            <v>76.946896070604097</v>
          </cell>
          <cell r="AG149">
            <v>81.521267629865079</v>
          </cell>
          <cell r="AH149">
            <v>90.798961767426448</v>
          </cell>
          <cell r="BJ149">
            <v>3.4999999999999978</v>
          </cell>
          <cell r="BK149">
            <v>3.5699999999999976</v>
          </cell>
          <cell r="BL149">
            <v>3.7099999999999977</v>
          </cell>
          <cell r="BM149">
            <v>3.9899999999999971</v>
          </cell>
          <cell r="BN149">
            <v>4.8999999999999968</v>
          </cell>
        </row>
        <row r="150">
          <cell r="N150">
            <v>157</v>
          </cell>
          <cell r="P150">
            <v>26614.886523801088</v>
          </cell>
          <cell r="Q150">
            <v>22470.948692045258</v>
          </cell>
          <cell r="R150">
            <v>17837.296948251489</v>
          </cell>
          <cell r="S150">
            <v>12631.425144195997</v>
          </cell>
          <cell r="T150">
            <v>6754.8581997407164</v>
          </cell>
          <cell r="W150">
            <v>1782.3862980947379</v>
          </cell>
          <cell r="X150">
            <v>1435.3377508494086</v>
          </cell>
          <cell r="Y150">
            <v>1117.574546283402</v>
          </cell>
          <cell r="Z150">
            <v>783.83928651149654</v>
          </cell>
          <cell r="AA150">
            <v>430.02039225330918</v>
          </cell>
          <cell r="AD150">
            <v>72.091594979242075</v>
          </cell>
          <cell r="AE150">
            <v>74.173410870467364</v>
          </cell>
          <cell r="AF150">
            <v>77.043751281705866</v>
          </cell>
          <cell r="AG150">
            <v>81.620751423273092</v>
          </cell>
          <cell r="AH150">
            <v>90.905220813499923</v>
          </cell>
          <cell r="BJ150">
            <v>3.4999999999999978</v>
          </cell>
          <cell r="BK150">
            <v>3.5699999999999976</v>
          </cell>
          <cell r="BL150">
            <v>3.7099999999999977</v>
          </cell>
          <cell r="BM150">
            <v>3.9899999999999971</v>
          </cell>
          <cell r="BN150">
            <v>4.8999999999999968</v>
          </cell>
        </row>
        <row r="151">
          <cell r="N151">
            <v>158</v>
          </cell>
          <cell r="P151">
            <v>28525.200858087381</v>
          </cell>
          <cell r="Q151">
            <v>24083.827084483179</v>
          </cell>
          <cell r="R151">
            <v>19128.999695433398</v>
          </cell>
          <cell r="S151">
            <v>13566.58552810636</v>
          </cell>
          <cell r="T151">
            <v>7242.5484978683862</v>
          </cell>
          <cell r="W151">
            <v>1910.3143342862932</v>
          </cell>
          <cell r="X151">
            <v>1612.8783924379204</v>
          </cell>
          <cell r="Y151">
            <v>1291.7027471819092</v>
          </cell>
          <cell r="Z151">
            <v>935.16038391036273</v>
          </cell>
          <cell r="AA151">
            <v>487.69029812766985</v>
          </cell>
          <cell r="AD151">
            <v>72.186353905945822</v>
          </cell>
          <cell r="AE151">
            <v>74.267848740411821</v>
          </cell>
          <cell r="AF151">
            <v>77.137200185007629</v>
          </cell>
          <cell r="AG151">
            <v>81.720235216681118</v>
          </cell>
          <cell r="AH151">
            <v>91.011076811620597</v>
          </cell>
          <cell r="BJ151">
            <v>3.4999999999999978</v>
          </cell>
          <cell r="BK151">
            <v>3.5699999999999976</v>
          </cell>
          <cell r="BL151">
            <v>3.7099999999999977</v>
          </cell>
          <cell r="BM151">
            <v>3.9899999999999971</v>
          </cell>
          <cell r="BN151">
            <v>4.8999999999999968</v>
          </cell>
        </row>
        <row r="152">
          <cell r="N152">
            <v>159</v>
          </cell>
          <cell r="P152">
            <v>30572.62506667812</v>
          </cell>
          <cell r="Q152">
            <v>25818.581868809673</v>
          </cell>
          <cell r="R152">
            <v>20520.345944754354</v>
          </cell>
          <cell r="S152">
            <v>14549.512269232117</v>
          </cell>
          <cell r="T152">
            <v>7768.50402944291</v>
          </cell>
          <cell r="W152">
            <v>2047.424208590739</v>
          </cell>
          <cell r="X152">
            <v>1734.7547843264947</v>
          </cell>
          <cell r="Y152">
            <v>1391.3462493209554</v>
          </cell>
          <cell r="Z152">
            <v>982.92674112575696</v>
          </cell>
          <cell r="AA152">
            <v>525.95553157452377</v>
          </cell>
          <cell r="AD152">
            <v>72.281112832649583</v>
          </cell>
          <cell r="AE152">
            <v>74.362286610356264</v>
          </cell>
          <cell r="AF152">
            <v>77.230649088309391</v>
          </cell>
          <cell r="AG152">
            <v>81.819719010089131</v>
          </cell>
          <cell r="AH152">
            <v>91.113605194377854</v>
          </cell>
          <cell r="BJ152">
            <v>3.4999999999999978</v>
          </cell>
          <cell r="BK152">
            <v>3.5699999999999976</v>
          </cell>
          <cell r="BL152">
            <v>3.7099999999999977</v>
          </cell>
          <cell r="BM152">
            <v>3.9899999999999971</v>
          </cell>
          <cell r="BN152">
            <v>4.8999999999999968</v>
          </cell>
        </row>
        <row r="153">
          <cell r="N153">
            <v>160</v>
          </cell>
          <cell r="P153">
            <v>32767</v>
          </cell>
          <cell r="Q153">
            <v>27671.731500000002</v>
          </cell>
          <cell r="R153">
            <v>21996.487099999998</v>
          </cell>
          <cell r="S153">
            <v>15603.645400000001</v>
          </cell>
          <cell r="T153">
            <v>8355.5850000000009</v>
          </cell>
          <cell r="W153">
            <v>2194.3749333218802</v>
          </cell>
          <cell r="X153">
            <v>1853.1496311903284</v>
          </cell>
          <cell r="Y153">
            <v>1476.1411552456448</v>
          </cell>
          <cell r="Z153">
            <v>1054.1331307678847</v>
          </cell>
          <cell r="AA153">
            <v>587.08097055709095</v>
          </cell>
          <cell r="AD153">
            <v>72.375871759353331</v>
          </cell>
          <cell r="AE153">
            <v>74.456724480300707</v>
          </cell>
          <cell r="AF153">
            <v>77.324097991611154</v>
          </cell>
          <cell r="AG153">
            <v>81.919202803497143</v>
          </cell>
          <cell r="AH153">
            <v>91.216133577135096</v>
          </cell>
          <cell r="BJ153">
            <v>3.4999999999999978</v>
          </cell>
          <cell r="BK153">
            <v>3.5699999999999976</v>
          </cell>
          <cell r="BL153">
            <v>3.7099999999999977</v>
          </cell>
          <cell r="BM153">
            <v>3.9899999999999971</v>
          </cell>
          <cell r="BN153">
            <v>4.8999999999999968</v>
          </cell>
        </row>
        <row r="154">
          <cell r="N154">
            <v>161</v>
          </cell>
          <cell r="P154">
            <v>35118.87282038921</v>
          </cell>
          <cell r="Q154">
            <v>29671.935645946844</v>
          </cell>
          <cell r="R154">
            <v>23592.858760737468</v>
          </cell>
          <cell r="S154">
            <v>16804.380644556237</v>
          </cell>
          <cell r="T154">
            <v>9095.7880604808051</v>
          </cell>
          <cell r="W154">
            <v>2351.8728203892097</v>
          </cell>
          <cell r="X154">
            <v>2000.2041459468419</v>
          </cell>
          <cell r="Y154">
            <v>1596.3716607374699</v>
          </cell>
          <cell r="Z154">
            <v>1200.7352445562356</v>
          </cell>
          <cell r="AA154">
            <v>740.2030604808042</v>
          </cell>
          <cell r="AD154">
            <v>72.470630686057078</v>
          </cell>
          <cell r="AE154">
            <v>74.551162350245164</v>
          </cell>
          <cell r="AF154">
            <v>77.417546894912917</v>
          </cell>
          <cell r="AG154">
            <v>82.01744549958407</v>
          </cell>
          <cell r="AH154">
            <v>91.318661959892353</v>
          </cell>
          <cell r="BJ154">
            <v>3.4999999999999978</v>
          </cell>
          <cell r="BK154">
            <v>3.5699999999999976</v>
          </cell>
          <cell r="BL154">
            <v>3.7099999999999977</v>
          </cell>
          <cell r="BM154">
            <v>3.9899999999999971</v>
          </cell>
          <cell r="BN154">
            <v>4.8999999999999968</v>
          </cell>
        </row>
        <row r="155">
          <cell r="N155">
            <v>162</v>
          </cell>
          <cell r="P155">
            <v>37639.547696542824</v>
          </cell>
          <cell r="Q155">
            <v>31794.125939269725</v>
          </cell>
          <cell r="R155">
            <v>25425.514469014677</v>
          </cell>
          <cell r="S155">
            <v>18255.180632823271</v>
          </cell>
          <cell r="T155">
            <v>14114.830386203559</v>
          </cell>
          <cell r="W155">
            <v>2520.6748761536146</v>
          </cell>
          <cell r="X155">
            <v>2122.1902933228812</v>
          </cell>
          <cell r="Y155">
            <v>1832.6557082772088</v>
          </cell>
          <cell r="Z155">
            <v>1450.7999882670338</v>
          </cell>
          <cell r="AA155">
            <v>5019.042325722754</v>
          </cell>
          <cell r="AD155">
            <v>72.565389612760825</v>
          </cell>
          <cell r="AE155">
            <v>74.645600220189607</v>
          </cell>
          <cell r="AF155">
            <v>77.51099579821468</v>
          </cell>
          <cell r="AG155">
            <v>82.110321933176039</v>
          </cell>
          <cell r="AH155">
            <v>91.421190342649595</v>
          </cell>
          <cell r="BJ155">
            <v>3.4999999999999978</v>
          </cell>
          <cell r="BK155">
            <v>3.5699999999999976</v>
          </cell>
          <cell r="BL155">
            <v>3.7099999999999977</v>
          </cell>
          <cell r="BM155">
            <v>3.9899999999999971</v>
          </cell>
          <cell r="BN155">
            <v>4.8999999999999968</v>
          </cell>
        </row>
        <row r="156">
          <cell r="N156">
            <v>163</v>
          </cell>
          <cell r="P156">
            <v>40341.140136486232</v>
          </cell>
          <cell r="Q156">
            <v>34330.31025614978</v>
          </cell>
          <cell r="R156">
            <v>27552.998713220099</v>
          </cell>
          <cell r="S156">
            <v>24204.684081891737</v>
          </cell>
          <cell r="T156">
            <v>24204.684081891737</v>
          </cell>
          <cell r="W156">
            <v>2701.592439943408</v>
          </cell>
          <cell r="X156">
            <v>2536.1843168800551</v>
          </cell>
          <cell r="Y156">
            <v>2127.4842442054214</v>
          </cell>
          <cell r="Z156">
            <v>5949.5034490684666</v>
          </cell>
          <cell r="AA156">
            <v>10089.853695688178</v>
          </cell>
          <cell r="AD156">
            <v>72.660148539464572</v>
          </cell>
          <cell r="AE156">
            <v>74.74003809013405</v>
          </cell>
          <cell r="AF156">
            <v>77.604444701516456</v>
          </cell>
          <cell r="AG156">
            <v>82.203198366767992</v>
          </cell>
          <cell r="AH156">
            <v>91.523718725406852</v>
          </cell>
          <cell r="BJ156">
            <v>3.4999999999999978</v>
          </cell>
          <cell r="BK156">
            <v>3.5699999999999976</v>
          </cell>
          <cell r="BL156">
            <v>3.7099999999999977</v>
          </cell>
          <cell r="BM156">
            <v>3.9899999999999971</v>
          </cell>
          <cell r="BN156">
            <v>4.8999999999999968</v>
          </cell>
        </row>
        <row r="157">
          <cell r="N157">
            <v>164</v>
          </cell>
          <cell r="P157">
            <v>43236.635220206183</v>
          </cell>
          <cell r="Q157">
            <v>36967.323113276288</v>
          </cell>
          <cell r="R157">
            <v>33940.758647861854</v>
          </cell>
          <cell r="S157">
            <v>34156.941823962887</v>
          </cell>
          <cell r="T157">
            <v>34156.941823962887</v>
          </cell>
          <cell r="W157">
            <v>2895.4950837199503</v>
          </cell>
          <cell r="X157">
            <v>2637.0128571265086</v>
          </cell>
          <cell r="Y157">
            <v>6387.7599346417555</v>
          </cell>
          <cell r="Z157">
            <v>9952.2577420711496</v>
          </cell>
          <cell r="AA157">
            <v>9952.2577420711496</v>
          </cell>
          <cell r="AD157">
            <v>72.754907466168333</v>
          </cell>
          <cell r="AE157">
            <v>74.834475960078507</v>
          </cell>
          <cell r="AF157">
            <v>77.697893604818219</v>
          </cell>
          <cell r="AG157">
            <v>82.29607480035996</v>
          </cell>
          <cell r="AH157">
            <v>91.626247108164094</v>
          </cell>
          <cell r="BJ157">
            <v>3.4999999999999978</v>
          </cell>
          <cell r="BK157">
            <v>3.5699999999999976</v>
          </cell>
          <cell r="BL157">
            <v>3.7099999999999977</v>
          </cell>
          <cell r="BM157">
            <v>3.9899999999999971</v>
          </cell>
          <cell r="BN157">
            <v>4.8999999999999968</v>
          </cell>
        </row>
        <row r="158">
          <cell r="N158">
            <v>165</v>
          </cell>
          <cell r="P158">
            <v>46339.950011841604</v>
          </cell>
          <cell r="Q158">
            <v>44078.560451263736</v>
          </cell>
          <cell r="R158">
            <v>44402.940101346627</v>
          </cell>
          <cell r="S158">
            <v>44402.940101346627</v>
          </cell>
          <cell r="T158">
            <v>44541.959951382152</v>
          </cell>
          <cell r="W158">
            <v>3103.314791635421</v>
          </cell>
          <cell r="X158">
            <v>7111.237337987448</v>
          </cell>
          <cell r="Y158">
            <v>10462.181453484773</v>
          </cell>
          <cell r="Z158">
            <v>10245.99827738374</v>
          </cell>
          <cell r="AA158">
            <v>10385.018127419266</v>
          </cell>
          <cell r="AD158">
            <v>72.849666392872081</v>
          </cell>
          <cell r="AE158">
            <v>74.92891383002295</v>
          </cell>
          <cell r="AF158">
            <v>77.791342508119982</v>
          </cell>
          <cell r="AG158">
            <v>82.388951233951914</v>
          </cell>
          <cell r="AH158">
            <v>91.72877549092135</v>
          </cell>
          <cell r="BJ158">
            <v>3.4999999999999978</v>
          </cell>
          <cell r="BK158">
            <v>3.5699999999999976</v>
          </cell>
          <cell r="BL158">
            <v>3.7099999999999977</v>
          </cell>
          <cell r="BM158">
            <v>3.9899999999999971</v>
          </cell>
          <cell r="BN158">
            <v>4.8999999999999968</v>
          </cell>
        </row>
        <row r="159">
          <cell r="N159">
            <v>166</v>
          </cell>
          <cell r="P159">
            <v>49666.000451412707</v>
          </cell>
          <cell r="Q159">
            <v>49666.000451412707</v>
          </cell>
          <cell r="R159">
            <v>50162.660455926831</v>
          </cell>
          <cell r="S159">
            <v>50162.660455926831</v>
          </cell>
          <cell r="T159">
            <v>50311.658457281068</v>
          </cell>
          <cell r="W159">
            <v>3326.0504395711032</v>
          </cell>
          <cell r="X159">
            <v>5587.4400001489703</v>
          </cell>
          <cell r="Y159">
            <v>5759.720354580204</v>
          </cell>
          <cell r="Z159">
            <v>5759.720354580204</v>
          </cell>
          <cell r="AA159">
            <v>5769.6985058989158</v>
          </cell>
          <cell r="AD159">
            <v>72.944425319575828</v>
          </cell>
          <cell r="AE159">
            <v>75.022035011469043</v>
          </cell>
          <cell r="AF159">
            <v>77.884791411421745</v>
          </cell>
          <cell r="AG159">
            <v>82.481827667543882</v>
          </cell>
          <cell r="AH159">
            <v>91.831303873678593</v>
          </cell>
          <cell r="BJ159">
            <v>3.4999999999999978</v>
          </cell>
          <cell r="BK159">
            <v>3.5699999999999976</v>
          </cell>
          <cell r="BL159">
            <v>3.7099999999999977</v>
          </cell>
          <cell r="BM159">
            <v>3.9899999999999971</v>
          </cell>
          <cell r="BN159">
            <v>4.8999999999999968</v>
          </cell>
        </row>
        <row r="160">
          <cell r="N160">
            <v>167</v>
          </cell>
          <cell r="P160">
            <v>53230.773047602182</v>
          </cell>
          <cell r="Q160">
            <v>53230.773047602182</v>
          </cell>
          <cell r="R160">
            <v>53763.080778078205</v>
          </cell>
          <cell r="S160">
            <v>53763.080778078205</v>
          </cell>
          <cell r="T160">
            <v>53763.080778078205</v>
          </cell>
          <cell r="W160">
            <v>3564.7725961894757</v>
          </cell>
          <cell r="X160">
            <v>3564.7725961894757</v>
          </cell>
          <cell r="Y160">
            <v>3600.4203221513744</v>
          </cell>
          <cell r="Z160">
            <v>3600.4203221513744</v>
          </cell>
          <cell r="AA160">
            <v>3451.4223207971372</v>
          </cell>
          <cell r="AD160">
            <v>73.036560194527354</v>
          </cell>
          <cell r="AE160">
            <v>75.111147990406067</v>
          </cell>
          <cell r="AF160">
            <v>77.978240314723507</v>
          </cell>
          <cell r="AG160">
            <v>82.574704101135836</v>
          </cell>
          <cell r="AH160">
            <v>91.933832256435849</v>
          </cell>
          <cell r="BJ160">
            <v>3.4999999999999978</v>
          </cell>
          <cell r="BK160">
            <v>3.5699999999999976</v>
          </cell>
          <cell r="BL160">
            <v>3.7099999999999977</v>
          </cell>
          <cell r="BM160">
            <v>3.9899999999999971</v>
          </cell>
          <cell r="BN160">
            <v>4.8999999999999968</v>
          </cell>
        </row>
        <row r="161">
          <cell r="N161">
            <v>168</v>
          </cell>
          <cell r="P161">
            <v>57051.401716174769</v>
          </cell>
          <cell r="Q161">
            <v>57051.401716174769</v>
          </cell>
          <cell r="R161">
            <v>57621.915733336515</v>
          </cell>
          <cell r="S161">
            <v>57621.915733336515</v>
          </cell>
          <cell r="T161">
            <v>57621.915733336515</v>
          </cell>
          <cell r="W161">
            <v>3820.6286685725863</v>
          </cell>
          <cell r="X161">
            <v>3820.6286685725863</v>
          </cell>
          <cell r="Y161">
            <v>3858.8349552583095</v>
          </cell>
          <cell r="Z161">
            <v>3858.8349552583095</v>
          </cell>
          <cell r="AA161">
            <v>3858.8349552583095</v>
          </cell>
          <cell r="AD161">
            <v>73.124973399384572</v>
          </cell>
          <cell r="AE161">
            <v>75.200260969343077</v>
          </cell>
          <cell r="AF161">
            <v>78.066694029528094</v>
          </cell>
          <cell r="AG161">
            <v>82.667580534727804</v>
          </cell>
          <cell r="AH161">
            <v>92.033129415212969</v>
          </cell>
          <cell r="BJ161">
            <v>3.4999999999999978</v>
          </cell>
          <cell r="BK161">
            <v>3.5699999999999976</v>
          </cell>
          <cell r="BL161">
            <v>3.7099999999999977</v>
          </cell>
          <cell r="BM161">
            <v>3.9899999999999971</v>
          </cell>
          <cell r="BN161">
            <v>4.8999999999999968</v>
          </cell>
        </row>
        <row r="162">
          <cell r="N162">
            <v>169</v>
          </cell>
          <cell r="P162">
            <v>61146.25013335624</v>
          </cell>
          <cell r="Q162">
            <v>61146.25013335624</v>
          </cell>
          <cell r="R162">
            <v>61757.7126346898</v>
          </cell>
          <cell r="S162">
            <v>61757.7126346898</v>
          </cell>
          <cell r="T162">
            <v>61757.7126346898</v>
          </cell>
          <cell r="W162">
            <v>4094.8484171814707</v>
          </cell>
          <cell r="X162">
            <v>4094.8484171814707</v>
          </cell>
          <cell r="Y162">
            <v>4135.7969013532856</v>
          </cell>
          <cell r="Z162">
            <v>4135.7969013532856</v>
          </cell>
          <cell r="AA162">
            <v>4135.7969013532856</v>
          </cell>
          <cell r="AD162">
            <v>73.213386604241791</v>
          </cell>
          <cell r="AE162">
            <v>75.289373948280101</v>
          </cell>
          <cell r="AF162">
            <v>78.153631564737054</v>
          </cell>
          <cell r="AG162">
            <v>82.760456968319758</v>
          </cell>
          <cell r="AH162">
            <v>92.126546512350387</v>
          </cell>
          <cell r="BJ162">
            <v>3.4999999999999978</v>
          </cell>
          <cell r="BK162">
            <v>3.5699999999999976</v>
          </cell>
          <cell r="BL162">
            <v>3.7099999999999977</v>
          </cell>
          <cell r="BM162">
            <v>3.9899999999999971</v>
          </cell>
          <cell r="BN162">
            <v>4.8999999999999968</v>
          </cell>
        </row>
        <row r="163">
          <cell r="N163">
            <v>170</v>
          </cell>
          <cell r="P163">
            <v>65535</v>
          </cell>
          <cell r="Q163">
            <v>65535</v>
          </cell>
          <cell r="R163">
            <v>66190.350000000006</v>
          </cell>
          <cell r="S163">
            <v>66190.350000000006</v>
          </cell>
          <cell r="T163">
            <v>66190.350000000006</v>
          </cell>
          <cell r="W163">
            <v>4388.7498666437605</v>
          </cell>
          <cell r="X163">
            <v>4388.7498666437605</v>
          </cell>
          <cell r="Y163">
            <v>4432.6373653102055</v>
          </cell>
          <cell r="Z163">
            <v>4432.6373653102055</v>
          </cell>
          <cell r="AA163">
            <v>4432.6373653102055</v>
          </cell>
          <cell r="AD163">
            <v>73.301799809099009</v>
          </cell>
          <cell r="AE163">
            <v>75.378486927217125</v>
          </cell>
          <cell r="AF163">
            <v>78.240569099946029</v>
          </cell>
          <cell r="AG163">
            <v>82.853333401911726</v>
          </cell>
          <cell r="AH163">
            <v>92.219963609487792</v>
          </cell>
          <cell r="BJ163">
            <v>3.4999999999999978</v>
          </cell>
          <cell r="BK163">
            <v>3.5699999999999976</v>
          </cell>
          <cell r="BL163">
            <v>3.7099999999999977</v>
          </cell>
          <cell r="BM163">
            <v>3.9899999999999971</v>
          </cell>
          <cell r="BN163">
            <v>4.8999999999999968</v>
          </cell>
        </row>
        <row r="164">
          <cell r="AD164">
            <v>73.390213013956213</v>
          </cell>
          <cell r="AE164">
            <v>75.467599906154135</v>
          </cell>
          <cell r="AF164">
            <v>78.32750663515499</v>
          </cell>
          <cell r="AG164">
            <v>82.94620983550368</v>
          </cell>
          <cell r="AH164">
            <v>92.313380706625196</v>
          </cell>
        </row>
        <row r="165">
          <cell r="AD165">
            <v>73.478626218813432</v>
          </cell>
          <cell r="AE165">
            <v>75.556712885091159</v>
          </cell>
          <cell r="AF165">
            <v>78.414444170363964</v>
          </cell>
          <cell r="AG165">
            <v>83.036921590135321</v>
          </cell>
          <cell r="AH165">
            <v>92.406797803762601</v>
          </cell>
        </row>
        <row r="166">
          <cell r="AD166">
            <v>73.56703942367065</v>
          </cell>
          <cell r="AE166">
            <v>75.645825864028183</v>
          </cell>
          <cell r="AF166">
            <v>78.501381705572925</v>
          </cell>
          <cell r="AG166">
            <v>83.124654333465756</v>
          </cell>
          <cell r="AH166">
            <v>92.500214900900005</v>
          </cell>
        </row>
        <row r="167">
          <cell r="AD167">
            <v>73.655452628527868</v>
          </cell>
          <cell r="AE167">
            <v>75.734938842965192</v>
          </cell>
          <cell r="AF167">
            <v>78.5883192407819</v>
          </cell>
          <cell r="AG167">
            <v>83.21238707679619</v>
          </cell>
          <cell r="AH167">
            <v>92.593631998037409</v>
          </cell>
        </row>
        <row r="168">
          <cell r="AD168">
            <v>73.743865833385087</v>
          </cell>
          <cell r="AE168">
            <v>75.824051821902216</v>
          </cell>
          <cell r="AF168">
            <v>78.67525677599086</v>
          </cell>
          <cell r="AG168">
            <v>83.300119820126625</v>
          </cell>
          <cell r="AH168">
            <v>92.687049095174814</v>
          </cell>
        </row>
        <row r="169">
          <cell r="AD169">
            <v>73.832279038242305</v>
          </cell>
          <cell r="AE169">
            <v>75.91316480083924</v>
          </cell>
          <cell r="AF169">
            <v>78.762194311199835</v>
          </cell>
          <cell r="AG169">
            <v>83.387852563457059</v>
          </cell>
          <cell r="AH169">
            <v>92.780466192312218</v>
          </cell>
        </row>
        <row r="170">
          <cell r="AD170">
            <v>73.920692243099523</v>
          </cell>
          <cell r="AE170">
            <v>76.002103770254962</v>
          </cell>
          <cell r="AF170">
            <v>78.849131846408795</v>
          </cell>
          <cell r="AG170">
            <v>83.475585306787494</v>
          </cell>
          <cell r="AH170">
            <v>92.873883289449623</v>
          </cell>
        </row>
        <row r="171">
          <cell r="AD171">
            <v>74.008495683346354</v>
          </cell>
          <cell r="AE171">
            <v>76.084409020469636</v>
          </cell>
          <cell r="AF171">
            <v>78.93606938161777</v>
          </cell>
          <cell r="AG171">
            <v>83.563318050117928</v>
          </cell>
          <cell r="AH171">
            <v>92.967300386587027</v>
          </cell>
        </row>
        <row r="172">
          <cell r="AD172">
            <v>74.090988120365651</v>
          </cell>
          <cell r="AE172">
            <v>76.166714270684309</v>
          </cell>
          <cell r="AF172">
            <v>79.022812309215297</v>
          </cell>
          <cell r="AG172">
            <v>83.651050793448363</v>
          </cell>
          <cell r="AH172">
            <v>93.057555567360481</v>
          </cell>
        </row>
        <row r="173">
          <cell r="AD173">
            <v>74.173480557384934</v>
          </cell>
          <cell r="AE173">
            <v>76.249019520898997</v>
          </cell>
          <cell r="AF173">
            <v>79.109014469658547</v>
          </cell>
          <cell r="AG173">
            <v>83.738783536778797</v>
          </cell>
          <cell r="AH173">
            <v>93.146107887007233</v>
          </cell>
        </row>
        <row r="174">
          <cell r="AD174">
            <v>74.255972994404218</v>
          </cell>
          <cell r="AE174">
            <v>76.331324771113671</v>
          </cell>
          <cell r="AF174">
            <v>79.195216630101797</v>
          </cell>
          <cell r="AG174">
            <v>83.826516280109232</v>
          </cell>
          <cell r="AH174">
            <v>93.23466020665397</v>
          </cell>
        </row>
        <row r="175">
          <cell r="AD175">
            <v>74.338465431423501</v>
          </cell>
          <cell r="AE175">
            <v>76.413630021328345</v>
          </cell>
          <cell r="AF175">
            <v>79.281418790545047</v>
          </cell>
          <cell r="AG175">
            <v>83.914249023439666</v>
          </cell>
          <cell r="AH175">
            <v>93.323212526300722</v>
          </cell>
        </row>
        <row r="176">
          <cell r="AD176">
            <v>74.420957868442784</v>
          </cell>
          <cell r="AE176">
            <v>76.495935271543019</v>
          </cell>
          <cell r="AF176">
            <v>79.367620950988297</v>
          </cell>
          <cell r="AG176">
            <v>84.00179325525086</v>
          </cell>
          <cell r="AH176">
            <v>93.411764845947459</v>
          </cell>
        </row>
        <row r="177">
          <cell r="AD177">
            <v>74.503450305462081</v>
          </cell>
          <cell r="AE177">
            <v>76.578240521757706</v>
          </cell>
          <cell r="AF177">
            <v>79.453823111431561</v>
          </cell>
          <cell r="AG177">
            <v>84.08118060043364</v>
          </cell>
          <cell r="AH177">
            <v>93.500317165594211</v>
          </cell>
        </row>
        <row r="178">
          <cell r="AD178">
            <v>74.585942742481365</v>
          </cell>
          <cell r="AE178">
            <v>76.66054577197238</v>
          </cell>
          <cell r="AF178">
            <v>79.540025271874811</v>
          </cell>
          <cell r="AG178">
            <v>84.160567945616407</v>
          </cell>
          <cell r="AH178">
            <v>93.588869485240949</v>
          </cell>
        </row>
        <row r="179">
          <cell r="AD179">
            <v>74.668435179500648</v>
          </cell>
          <cell r="AE179">
            <v>76.742851022187054</v>
          </cell>
          <cell r="AF179">
            <v>79.626227432318061</v>
          </cell>
          <cell r="AG179">
            <v>84.239955290799188</v>
          </cell>
          <cell r="AH179">
            <v>93.6774218048877</v>
          </cell>
        </row>
        <row r="180">
          <cell r="AD180">
            <v>74.750927616519931</v>
          </cell>
          <cell r="AE180">
            <v>76.825156272401728</v>
          </cell>
          <cell r="AF180">
            <v>79.71242959276131</v>
          </cell>
          <cell r="AG180">
            <v>84.319342635981968</v>
          </cell>
          <cell r="AH180">
            <v>93.765974124534438</v>
          </cell>
        </row>
        <row r="181">
          <cell r="AD181">
            <v>74.833420053539214</v>
          </cell>
          <cell r="AE181">
            <v>76.907461522616416</v>
          </cell>
          <cell r="AF181">
            <v>79.79863175320456</v>
          </cell>
          <cell r="AG181">
            <v>84.398729981164735</v>
          </cell>
          <cell r="AH181">
            <v>93.85452644418119</v>
          </cell>
        </row>
        <row r="182">
          <cell r="AD182">
            <v>74.915912490558512</v>
          </cell>
          <cell r="AE182">
            <v>76.989766772831089</v>
          </cell>
          <cell r="AF182">
            <v>79.88483391364781</v>
          </cell>
          <cell r="AG182">
            <v>84.478117326347515</v>
          </cell>
          <cell r="AH182">
            <v>93.943078763827941</v>
          </cell>
        </row>
        <row r="183">
          <cell r="AD183">
            <v>74.998404927577795</v>
          </cell>
          <cell r="AE183">
            <v>77.06778397927944</v>
          </cell>
          <cell r="AF183">
            <v>79.97103607409106</v>
          </cell>
          <cell r="AG183">
            <v>84.557504671530296</v>
          </cell>
          <cell r="AH183">
            <v>94.027056817114342</v>
          </cell>
        </row>
        <row r="184">
          <cell r="AD184">
            <v>75.075479910097457</v>
          </cell>
          <cell r="AE184">
            <v>77.145192343015793</v>
          </cell>
          <cell r="AF184">
            <v>80.053817475702374</v>
          </cell>
          <cell r="AG184">
            <v>84.636892016713063</v>
          </cell>
          <cell r="AH184">
            <v>94.102803318799971</v>
          </cell>
        </row>
        <row r="185">
          <cell r="AD185">
            <v>75.152448075388719</v>
          </cell>
          <cell r="AE185">
            <v>77.222600706752132</v>
          </cell>
          <cell r="AF185">
            <v>80.134867890916794</v>
          </cell>
          <cell r="AG185">
            <v>84.716279361895843</v>
          </cell>
          <cell r="AH185">
            <v>94.1785498204856</v>
          </cell>
        </row>
        <row r="186">
          <cell r="AD186">
            <v>75.229416240679981</v>
          </cell>
          <cell r="AE186">
            <v>77.300009070488485</v>
          </cell>
          <cell r="AF186">
            <v>80.215918306131215</v>
          </cell>
          <cell r="AG186">
            <v>84.795666707078624</v>
          </cell>
          <cell r="AH186">
            <v>94.254296322171228</v>
          </cell>
        </row>
        <row r="187">
          <cell r="AD187">
            <v>75.306384405971258</v>
          </cell>
          <cell r="AE187">
            <v>77.377417434224824</v>
          </cell>
          <cell r="AF187">
            <v>80.296968721345635</v>
          </cell>
          <cell r="AG187">
            <v>84.87505405226139</v>
          </cell>
          <cell r="AH187">
            <v>94.330042823856857</v>
          </cell>
        </row>
        <row r="188">
          <cell r="AD188">
            <v>75.38335257126252</v>
          </cell>
          <cell r="AE188">
            <v>77.454825797961163</v>
          </cell>
          <cell r="AF188">
            <v>80.378019136560056</v>
          </cell>
          <cell r="AG188">
            <v>84.954441397444171</v>
          </cell>
          <cell r="AH188">
            <v>94.405789325542486</v>
          </cell>
        </row>
        <row r="189">
          <cell r="AD189">
            <v>75.460320736553783</v>
          </cell>
          <cell r="AE189">
            <v>77.532234161697517</v>
          </cell>
          <cell r="AF189">
            <v>80.459069551774476</v>
          </cell>
          <cell r="AG189">
            <v>85.030832425973387</v>
          </cell>
          <cell r="AH189">
            <v>94.4815358272281</v>
          </cell>
        </row>
        <row r="190">
          <cell r="AD190">
            <v>75.537288901845045</v>
          </cell>
          <cell r="AE190">
            <v>77.609642525433856</v>
          </cell>
          <cell r="AF190">
            <v>80.540119966988897</v>
          </cell>
          <cell r="AG190">
            <v>85.103188187775231</v>
          </cell>
          <cell r="AH190">
            <v>94.557282328913729</v>
          </cell>
        </row>
        <row r="191">
          <cell r="AD191">
            <v>75.614257067136322</v>
          </cell>
          <cell r="AE191">
            <v>77.687050889170209</v>
          </cell>
          <cell r="AF191">
            <v>80.621170382203317</v>
          </cell>
          <cell r="AG191">
            <v>85.175543949577076</v>
          </cell>
          <cell r="AH191">
            <v>94.633028830599358</v>
          </cell>
        </row>
        <row r="192">
          <cell r="AD192">
            <v>75.691225232427584</v>
          </cell>
          <cell r="AE192">
            <v>77.764459252906548</v>
          </cell>
          <cell r="AF192">
            <v>80.702220797417738</v>
          </cell>
          <cell r="AG192">
            <v>85.247899711378935</v>
          </cell>
          <cell r="AH192">
            <v>94.708775332284986</v>
          </cell>
        </row>
        <row r="193">
          <cell r="AD193">
            <v>75.768193397718846</v>
          </cell>
          <cell r="AE193">
            <v>77.841867616642901</v>
          </cell>
          <cell r="AF193">
            <v>80.783271212632158</v>
          </cell>
          <cell r="AG193">
            <v>85.320255473180779</v>
          </cell>
          <cell r="AH193">
            <v>94.784521833970615</v>
          </cell>
        </row>
        <row r="194">
          <cell r="AD194">
            <v>75.845161563010109</v>
          </cell>
          <cell r="AE194">
            <v>77.91927598037924</v>
          </cell>
          <cell r="AF194">
            <v>80.864321627846579</v>
          </cell>
          <cell r="AG194">
            <v>85.392611234982624</v>
          </cell>
          <cell r="AH194">
            <v>94.860268335656244</v>
          </cell>
        </row>
        <row r="195">
          <cell r="AD195">
            <v>75.922129728301385</v>
          </cell>
          <cell r="AE195">
            <v>77.996684344115593</v>
          </cell>
          <cell r="AF195">
            <v>80.945372043060999</v>
          </cell>
          <cell r="AG195">
            <v>85.464966996784469</v>
          </cell>
          <cell r="AH195">
            <v>94.936014837341872</v>
          </cell>
        </row>
        <row r="196">
          <cell r="AD196">
            <v>75.999097893592648</v>
          </cell>
          <cell r="AE196">
            <v>78.068193736526268</v>
          </cell>
          <cell r="AF196">
            <v>81.02378934476593</v>
          </cell>
          <cell r="AG196">
            <v>85.537322758586328</v>
          </cell>
          <cell r="AH196">
            <v>95.011078787937279</v>
          </cell>
        </row>
        <row r="197">
          <cell r="AD197">
            <v>76.070972142474872</v>
          </cell>
          <cell r="AE197">
            <v>78.139439149396253</v>
          </cell>
          <cell r="AF197">
            <v>81.096762731680187</v>
          </cell>
          <cell r="AG197">
            <v>85.609678520388172</v>
          </cell>
          <cell r="AH197">
            <v>95.082429458741387</v>
          </cell>
        </row>
        <row r="198">
          <cell r="AD198">
            <v>76.142785979989682</v>
          </cell>
          <cell r="AE198">
            <v>78.210684562266223</v>
          </cell>
          <cell r="AF198">
            <v>81.169736118594443</v>
          </cell>
          <cell r="AG198">
            <v>85.682034282190017</v>
          </cell>
          <cell r="AH198">
            <v>95.153780129545481</v>
          </cell>
        </row>
        <row r="199">
          <cell r="AD199">
            <v>76.214599817504492</v>
          </cell>
          <cell r="AE199">
            <v>78.281929975136208</v>
          </cell>
          <cell r="AF199">
            <v>81.242709505508685</v>
          </cell>
          <cell r="AG199">
            <v>85.754390043991862</v>
          </cell>
          <cell r="AH199">
            <v>95.225130800349589</v>
          </cell>
        </row>
        <row r="200">
          <cell r="AD200">
            <v>76.286413655019302</v>
          </cell>
          <cell r="AE200">
            <v>78.353175388006179</v>
          </cell>
          <cell r="AF200">
            <v>81.315682892422942</v>
          </cell>
          <cell r="AG200">
            <v>85.82674580579372</v>
          </cell>
          <cell r="AH200">
            <v>95.296481471153683</v>
          </cell>
        </row>
        <row r="201">
          <cell r="AD201">
            <v>76.358227492534112</v>
          </cell>
          <cell r="AE201">
            <v>78.424420800876163</v>
          </cell>
          <cell r="AF201">
            <v>81.388656279337198</v>
          </cell>
          <cell r="AG201">
            <v>85.899101567595565</v>
          </cell>
          <cell r="AH201">
            <v>95.367832141957777</v>
          </cell>
        </row>
        <row r="202">
          <cell r="AD202">
            <v>76.430041330048923</v>
          </cell>
          <cell r="AE202">
            <v>78.495666213746148</v>
          </cell>
          <cell r="AF202">
            <v>81.461629666251454</v>
          </cell>
          <cell r="AG202">
            <v>85.97145732939741</v>
          </cell>
          <cell r="AH202">
            <v>95.439182812761885</v>
          </cell>
        </row>
        <row r="203">
          <cell r="AD203">
            <v>76.501855167563733</v>
          </cell>
          <cell r="AE203">
            <v>78.566911626616118</v>
          </cell>
          <cell r="AF203">
            <v>81.534603053165696</v>
          </cell>
          <cell r="AG203">
            <v>86.045919706798657</v>
          </cell>
          <cell r="AH203">
            <v>95.510533483565979</v>
          </cell>
        </row>
        <row r="204">
          <cell r="AD204">
            <v>76.573669005078543</v>
          </cell>
          <cell r="AE204">
            <v>78.638157039486103</v>
          </cell>
          <cell r="AF204">
            <v>81.607576440079953</v>
          </cell>
          <cell r="AG204">
            <v>86.121754469336281</v>
          </cell>
          <cell r="AH204">
            <v>95.581884154370087</v>
          </cell>
        </row>
        <row r="205">
          <cell r="AD205">
            <v>76.645482842593353</v>
          </cell>
          <cell r="AE205">
            <v>78.709402452356088</v>
          </cell>
          <cell r="AF205">
            <v>81.680549826994209</v>
          </cell>
          <cell r="AG205">
            <v>86.197589231873891</v>
          </cell>
          <cell r="AH205">
            <v>95.653234825174181</v>
          </cell>
        </row>
        <row r="206">
          <cell r="AD206">
            <v>76.717296680108163</v>
          </cell>
          <cell r="AE206">
            <v>78.780647865226058</v>
          </cell>
          <cell r="AF206">
            <v>81.753523213908451</v>
          </cell>
          <cell r="AG206">
            <v>86.273423994411502</v>
          </cell>
          <cell r="AH206">
            <v>95.724585495978289</v>
          </cell>
        </row>
        <row r="207">
          <cell r="AD207">
            <v>76.789110517622973</v>
          </cell>
          <cell r="AE207">
            <v>78.851893278096043</v>
          </cell>
          <cell r="AF207">
            <v>81.826496600822708</v>
          </cell>
          <cell r="AG207">
            <v>86.349258756949112</v>
          </cell>
          <cell r="AH207">
            <v>95.795936166782383</v>
          </cell>
        </row>
        <row r="208">
          <cell r="AD208">
            <v>76.860924355137783</v>
          </cell>
          <cell r="AE208">
            <v>78.923138690966013</v>
          </cell>
          <cell r="AF208">
            <v>81.899469987736964</v>
          </cell>
          <cell r="AG208">
            <v>86.425093519486722</v>
          </cell>
          <cell r="AH208">
            <v>95.867286837586477</v>
          </cell>
        </row>
        <row r="209">
          <cell r="AD209">
            <v>76.932738192652593</v>
          </cell>
          <cell r="AE209">
            <v>78.994384103835998</v>
          </cell>
          <cell r="AF209">
            <v>81.972443374651206</v>
          </cell>
          <cell r="AG209">
            <v>86.500928282024347</v>
          </cell>
          <cell r="AH209">
            <v>95.938637508390585</v>
          </cell>
        </row>
        <row r="210">
          <cell r="AD210">
            <v>77.004247194324648</v>
          </cell>
          <cell r="AE210">
            <v>79.061386416569832</v>
          </cell>
          <cell r="AF210">
            <v>82.041007317281839</v>
          </cell>
          <cell r="AG210">
            <v>86.576763044561957</v>
          </cell>
          <cell r="AH210">
            <v>96.008512635801992</v>
          </cell>
        </row>
        <row r="211">
          <cell r="AD211">
            <v>77.07125187397483</v>
          </cell>
          <cell r="AE211">
            <v>79.128025648620252</v>
          </cell>
          <cell r="AF211">
            <v>82.106895829081836</v>
          </cell>
          <cell r="AG211">
            <v>86.652597807099568</v>
          </cell>
          <cell r="AH211">
            <v>96.069322745727362</v>
          </cell>
        </row>
        <row r="212">
          <cell r="AD212">
            <v>77.138256553625013</v>
          </cell>
          <cell r="AE212">
            <v>79.194664880670672</v>
          </cell>
          <cell r="AF212">
            <v>82.172784340881819</v>
          </cell>
          <cell r="AG212">
            <v>86.728432569637178</v>
          </cell>
          <cell r="AH212">
            <v>96.130132855652732</v>
          </cell>
        </row>
        <row r="213">
          <cell r="AD213">
            <v>77.205261233275195</v>
          </cell>
          <cell r="AE213">
            <v>79.261304112721092</v>
          </cell>
          <cell r="AF213">
            <v>82.238672852681816</v>
          </cell>
          <cell r="AG213">
            <v>86.804267332174788</v>
          </cell>
          <cell r="AH213">
            <v>96.190942965578103</v>
          </cell>
        </row>
        <row r="214">
          <cell r="AD214">
            <v>77.272265912925377</v>
          </cell>
          <cell r="AE214">
            <v>79.327943344771512</v>
          </cell>
          <cell r="AF214">
            <v>82.304561364481813</v>
          </cell>
          <cell r="AG214">
            <v>86.880102094712413</v>
          </cell>
          <cell r="AH214">
            <v>96.251753075503458</v>
          </cell>
        </row>
        <row r="215">
          <cell r="AD215">
            <v>77.339270592575559</v>
          </cell>
          <cell r="AE215">
            <v>79.394582576821932</v>
          </cell>
          <cell r="AF215">
            <v>82.370449876281796</v>
          </cell>
          <cell r="AG215">
            <v>86.955936857250023</v>
          </cell>
          <cell r="AH215">
            <v>96.312563185428829</v>
          </cell>
        </row>
        <row r="216">
          <cell r="AD216">
            <v>77.406275272225741</v>
          </cell>
          <cell r="AE216">
            <v>79.461221808872352</v>
          </cell>
          <cell r="AF216">
            <v>82.436338388081793</v>
          </cell>
          <cell r="AG216">
            <v>87.031203567981635</v>
          </cell>
          <cell r="AH216">
            <v>96.373373295354199</v>
          </cell>
        </row>
        <row r="217">
          <cell r="AD217">
            <v>77.473279951875909</v>
          </cell>
          <cell r="AE217">
            <v>79.527861040922772</v>
          </cell>
          <cell r="AF217">
            <v>82.502226899881776</v>
          </cell>
          <cell r="AG217">
            <v>87.10568246405397</v>
          </cell>
          <cell r="AH217">
            <v>96.434183405279569</v>
          </cell>
        </row>
        <row r="218">
          <cell r="AD218">
            <v>77.540284631526092</v>
          </cell>
          <cell r="AE218">
            <v>79.594500272973193</v>
          </cell>
          <cell r="AF218">
            <v>82.568115411681774</v>
          </cell>
          <cell r="AG218">
            <v>87.180161360126306</v>
          </cell>
          <cell r="AH218">
            <v>96.494993515204939</v>
          </cell>
        </row>
        <row r="219">
          <cell r="AD219">
            <v>77.607289311176274</v>
          </cell>
          <cell r="AE219">
            <v>79.661139505023613</v>
          </cell>
          <cell r="AF219">
            <v>82.634003923481771</v>
          </cell>
          <cell r="AG219">
            <v>87.254640256198641</v>
          </cell>
          <cell r="AH219">
            <v>96.555803625130309</v>
          </cell>
        </row>
        <row r="220">
          <cell r="AD220">
            <v>77.674293990826456</v>
          </cell>
          <cell r="AE220">
            <v>79.727778737074033</v>
          </cell>
          <cell r="AF220">
            <v>82.699892435281754</v>
          </cell>
          <cell r="AG220">
            <v>87.329119152270991</v>
          </cell>
          <cell r="AH220">
            <v>96.61661373505568</v>
          </cell>
        </row>
        <row r="221">
          <cell r="AD221">
            <v>77.741298670476638</v>
          </cell>
          <cell r="AE221">
            <v>79.794417969124453</v>
          </cell>
          <cell r="AF221">
            <v>82.765780947081751</v>
          </cell>
          <cell r="AG221">
            <v>87.403598048343326</v>
          </cell>
          <cell r="AH221">
            <v>96.67742384498105</v>
          </cell>
        </row>
        <row r="222">
          <cell r="AD222">
            <v>77.80830335012682</v>
          </cell>
          <cell r="AE222">
            <v>79.861057201174873</v>
          </cell>
          <cell r="AF222">
            <v>82.831669458881734</v>
          </cell>
          <cell r="AG222">
            <v>87.478076944415662</v>
          </cell>
          <cell r="AH222">
            <v>96.73823395490642</v>
          </cell>
        </row>
        <row r="223">
          <cell r="AD223">
            <v>77.875308029777003</v>
          </cell>
          <cell r="AE223">
            <v>79.927696433225293</v>
          </cell>
          <cell r="AF223">
            <v>82.897557970681731</v>
          </cell>
          <cell r="AG223">
            <v>87.552555840488012</v>
          </cell>
          <cell r="AH223">
            <v>96.79904406483179</v>
          </cell>
        </row>
        <row r="224">
          <cell r="AD224">
            <v>77.942312709427185</v>
          </cell>
          <cell r="AE224">
            <v>79.994335665275713</v>
          </cell>
          <cell r="AF224">
            <v>82.963446482481729</v>
          </cell>
          <cell r="AG224">
            <v>87.627034736560347</v>
          </cell>
          <cell r="AH224">
            <v>96.85985417475716</v>
          </cell>
        </row>
        <row r="225">
          <cell r="AD225">
            <v>78.008693431404168</v>
          </cell>
          <cell r="AE225">
            <v>80.05990507131493</v>
          </cell>
          <cell r="AF225">
            <v>83.028328094754301</v>
          </cell>
          <cell r="AG225">
            <v>87.701513632632683</v>
          </cell>
          <cell r="AH225">
            <v>96.920664284682516</v>
          </cell>
        </row>
        <row r="226">
          <cell r="AD226">
            <v>78.071211008105138</v>
          </cell>
          <cell r="AE226">
            <v>80.125375094609936</v>
          </cell>
          <cell r="AF226">
            <v>83.091955037632331</v>
          </cell>
          <cell r="AG226">
            <v>87.775992528705018</v>
          </cell>
          <cell r="AH226">
            <v>96.981474394607886</v>
          </cell>
        </row>
        <row r="227">
          <cell r="AD227">
            <v>78.133728584806107</v>
          </cell>
          <cell r="AE227">
            <v>80.190845117904942</v>
          </cell>
          <cell r="AF227">
            <v>83.155581980510348</v>
          </cell>
          <cell r="AG227">
            <v>87.850471424777368</v>
          </cell>
          <cell r="AH227">
            <v>97.03979962522213</v>
          </cell>
        </row>
        <row r="228">
          <cell r="AD228">
            <v>78.196246161507091</v>
          </cell>
          <cell r="AE228">
            <v>80.256315141199948</v>
          </cell>
          <cell r="AF228">
            <v>83.219208923388379</v>
          </cell>
          <cell r="AG228">
            <v>87.924950320849703</v>
          </cell>
          <cell r="AH228">
            <v>97.097036185315744</v>
          </cell>
        </row>
        <row r="229">
          <cell r="AD229">
            <v>78.25876373820806</v>
          </cell>
          <cell r="AE229">
            <v>80.321785164494941</v>
          </cell>
          <cell r="AF229">
            <v>83.282835866266396</v>
          </cell>
          <cell r="AG229">
            <v>87.999429216922039</v>
          </cell>
          <cell r="AH229">
            <v>97.154272745409358</v>
          </cell>
        </row>
        <row r="230">
          <cell r="AD230">
            <v>78.321281314909029</v>
          </cell>
          <cell r="AE230">
            <v>80.387255187789947</v>
          </cell>
          <cell r="AF230">
            <v>83.346462809144427</v>
          </cell>
          <cell r="AG230">
            <v>88.069378113045531</v>
          </cell>
          <cell r="AH230">
            <v>97.211509305502972</v>
          </cell>
        </row>
        <row r="231">
          <cell r="AD231">
            <v>78.383798891610013</v>
          </cell>
          <cell r="AE231">
            <v>80.452725211084953</v>
          </cell>
          <cell r="AF231">
            <v>83.410089752022458</v>
          </cell>
          <cell r="AG231">
            <v>88.139292024548126</v>
          </cell>
          <cell r="AH231">
            <v>97.268745865596571</v>
          </cell>
        </row>
        <row r="232">
          <cell r="AD232">
            <v>78.446316468310982</v>
          </cell>
          <cell r="AE232">
            <v>80.518195234379959</v>
          </cell>
          <cell r="AF232">
            <v>83.473716694900475</v>
          </cell>
          <cell r="AG232">
            <v>88.209205936050708</v>
          </cell>
          <cell r="AH232">
            <v>97.325982425690185</v>
          </cell>
        </row>
        <row r="233">
          <cell r="AD233">
            <v>78.508834045011952</v>
          </cell>
          <cell r="AE233">
            <v>80.583665257674966</v>
          </cell>
          <cell r="AF233">
            <v>83.537343637778505</v>
          </cell>
          <cell r="AG233">
            <v>88.279119847553304</v>
          </cell>
          <cell r="AH233">
            <v>97.383218985783799</v>
          </cell>
        </row>
        <row r="234">
          <cell r="AD234">
            <v>78.571351621712921</v>
          </cell>
          <cell r="AE234">
            <v>80.649135280969972</v>
          </cell>
          <cell r="AF234">
            <v>83.600970580656536</v>
          </cell>
          <cell r="AG234">
            <v>88.349033759055899</v>
          </cell>
          <cell r="AH234">
            <v>97.440455545877413</v>
          </cell>
        </row>
        <row r="235">
          <cell r="AD235">
            <v>78.633869198413905</v>
          </cell>
          <cell r="AE235">
            <v>80.714605304264978</v>
          </cell>
          <cell r="AF235">
            <v>83.664597523534553</v>
          </cell>
          <cell r="AG235">
            <v>88.418947670558495</v>
          </cell>
          <cell r="AH235">
            <v>97.497692105971026</v>
          </cell>
        </row>
        <row r="236">
          <cell r="AD236">
            <v>78.696386775114874</v>
          </cell>
          <cell r="AE236">
            <v>80.78007532755997</v>
          </cell>
          <cell r="AF236">
            <v>83.728224466412584</v>
          </cell>
          <cell r="AG236">
            <v>88.488861582061077</v>
          </cell>
          <cell r="AH236">
            <v>97.554928666064626</v>
          </cell>
        </row>
        <row r="237">
          <cell r="AD237">
            <v>78.758904351815843</v>
          </cell>
          <cell r="AE237">
            <v>80.845545350854977</v>
          </cell>
          <cell r="AF237">
            <v>83.791851409290615</v>
          </cell>
          <cell r="AG237">
            <v>88.558775493563672</v>
          </cell>
          <cell r="AH237">
            <v>97.61216522615824</v>
          </cell>
        </row>
        <row r="238">
          <cell r="AD238">
            <v>78.821421928516827</v>
          </cell>
          <cell r="AE238">
            <v>80.911015374149983</v>
          </cell>
          <cell r="AF238">
            <v>83.855478352168632</v>
          </cell>
          <cell r="AG238">
            <v>88.628689405066268</v>
          </cell>
          <cell r="AH238">
            <v>97.669401786251854</v>
          </cell>
        </row>
        <row r="239">
          <cell r="AD239">
            <v>78.883939505217796</v>
          </cell>
          <cell r="AE239">
            <v>80.976485397444989</v>
          </cell>
          <cell r="AF239">
            <v>83.919105295046663</v>
          </cell>
          <cell r="AG239">
            <v>88.698603316568864</v>
          </cell>
          <cell r="AH239">
            <v>97.726638346345467</v>
          </cell>
        </row>
        <row r="240">
          <cell r="AD240">
            <v>78.946457081918766</v>
          </cell>
          <cell r="AE240">
            <v>81.038163244467697</v>
          </cell>
          <cell r="AF240">
            <v>83.982732237924694</v>
          </cell>
          <cell r="AG240">
            <v>88.768517228071445</v>
          </cell>
          <cell r="AH240">
            <v>97.783874906439081</v>
          </cell>
        </row>
        <row r="241">
          <cell r="AD241">
            <v>79.008373652580005</v>
          </cell>
          <cell r="AE241">
            <v>81.097715704203424</v>
          </cell>
          <cell r="AF241">
            <v>84.043767921022209</v>
          </cell>
          <cell r="AG241">
            <v>88.838431139574041</v>
          </cell>
          <cell r="AH241">
            <v>97.841111466532681</v>
          </cell>
        </row>
        <row r="242">
          <cell r="AD242">
            <v>79.066704614192943</v>
          </cell>
          <cell r="AE242">
            <v>81.157268163939136</v>
          </cell>
          <cell r="AF242">
            <v>84.103838417578672</v>
          </cell>
          <cell r="AG242">
            <v>88.908345051076637</v>
          </cell>
          <cell r="AH242">
            <v>97.898348026626294</v>
          </cell>
        </row>
        <row r="243">
          <cell r="AD243">
            <v>79.125035575805882</v>
          </cell>
          <cell r="AE243">
            <v>81.216820623674849</v>
          </cell>
          <cell r="AF243">
            <v>84.163908914135135</v>
          </cell>
          <cell r="AG243">
            <v>88.978258962579233</v>
          </cell>
          <cell r="AH243">
            <v>97.955584586719908</v>
          </cell>
        </row>
        <row r="244">
          <cell r="AD244">
            <v>79.18336653741882</v>
          </cell>
          <cell r="AE244">
            <v>81.276373083410562</v>
          </cell>
          <cell r="AF244">
            <v>84.223979410691598</v>
          </cell>
          <cell r="AG244">
            <v>89.047272179270863</v>
          </cell>
          <cell r="AH244">
            <v>98.013314854852808</v>
          </cell>
        </row>
        <row r="245">
          <cell r="AD245">
            <v>79.241697499031773</v>
          </cell>
          <cell r="AE245">
            <v>81.335925543146274</v>
          </cell>
          <cell r="AF245">
            <v>84.284049907248061</v>
          </cell>
          <cell r="AG245">
            <v>89.11587890081428</v>
          </cell>
          <cell r="AH245">
            <v>98.072755441643167</v>
          </cell>
        </row>
        <row r="246">
          <cell r="AD246">
            <v>79.300028460644711</v>
          </cell>
          <cell r="AE246">
            <v>81.395478002882001</v>
          </cell>
          <cell r="AF246">
            <v>84.344120403804524</v>
          </cell>
          <cell r="AG246">
            <v>89.184485622357698</v>
          </cell>
          <cell r="AH246">
            <v>98.132196028433526</v>
          </cell>
        </row>
        <row r="247">
          <cell r="AD247">
            <v>79.358359422257649</v>
          </cell>
          <cell r="AE247">
            <v>81.455030462617714</v>
          </cell>
          <cell r="AF247">
            <v>84.404190900360987</v>
          </cell>
          <cell r="AG247">
            <v>89.253092343901116</v>
          </cell>
          <cell r="AH247">
            <v>98.191636615223871</v>
          </cell>
        </row>
        <row r="248">
          <cell r="AD248">
            <v>79.416690383870588</v>
          </cell>
          <cell r="AE248">
            <v>81.514582922353426</v>
          </cell>
          <cell r="AF248">
            <v>84.46426139691745</v>
          </cell>
          <cell r="AG248">
            <v>89.321699065444534</v>
          </cell>
          <cell r="AH248">
            <v>98.25107720201423</v>
          </cell>
        </row>
        <row r="249">
          <cell r="AD249">
            <v>79.475021345483526</v>
          </cell>
          <cell r="AE249">
            <v>81.574135382089139</v>
          </cell>
          <cell r="AF249">
            <v>84.524331893473914</v>
          </cell>
          <cell r="AG249">
            <v>89.390305786987952</v>
          </cell>
          <cell r="AH249">
            <v>98.310517788804589</v>
          </cell>
        </row>
        <row r="250">
          <cell r="AD250">
            <v>79.533352307096465</v>
          </cell>
          <cell r="AE250">
            <v>81.633687841824852</v>
          </cell>
          <cell r="AF250">
            <v>84.584402390030377</v>
          </cell>
          <cell r="AG250">
            <v>89.45891250853137</v>
          </cell>
          <cell r="AH250">
            <v>98.369958375594933</v>
          </cell>
        </row>
        <row r="251">
          <cell r="AD251">
            <v>79.591683268709417</v>
          </cell>
          <cell r="AE251">
            <v>81.693240301560579</v>
          </cell>
          <cell r="AF251">
            <v>84.64447288658684</v>
          </cell>
          <cell r="AG251">
            <v>89.527519230074788</v>
          </cell>
          <cell r="AH251">
            <v>98.429398962385292</v>
          </cell>
        </row>
        <row r="252">
          <cell r="AD252">
            <v>79.650014230322356</v>
          </cell>
          <cell r="AE252">
            <v>81.752792761296291</v>
          </cell>
          <cell r="AF252">
            <v>84.704543383143317</v>
          </cell>
          <cell r="AG252">
            <v>89.596125951618205</v>
          </cell>
          <cell r="AH252">
            <v>98.488839549175651</v>
          </cell>
        </row>
        <row r="253">
          <cell r="AD253">
            <v>79.708345191935294</v>
          </cell>
          <cell r="AE253">
            <v>81.812345221032004</v>
          </cell>
          <cell r="AF253">
            <v>84.76461387969978</v>
          </cell>
          <cell r="AG253">
            <v>89.664732673161623</v>
          </cell>
          <cell r="AH253">
            <v>98.548280135965996</v>
          </cell>
        </row>
        <row r="254">
          <cell r="AD254">
            <v>79.766676153548232</v>
          </cell>
          <cell r="AE254">
            <v>81.871897680767717</v>
          </cell>
          <cell r="AF254">
            <v>84.824684376256243</v>
          </cell>
          <cell r="AG254">
            <v>89.733339394705041</v>
          </cell>
          <cell r="AH254">
            <v>98.607720722756355</v>
          </cell>
        </row>
        <row r="255">
          <cell r="AD255">
            <v>79.825007115161171</v>
          </cell>
          <cell r="AE255">
            <v>81.931450140503429</v>
          </cell>
          <cell r="AF255">
            <v>84.884754872812707</v>
          </cell>
          <cell r="AG255">
            <v>89.801946116248459</v>
          </cell>
          <cell r="AH255">
            <v>98.667161309546714</v>
          </cell>
        </row>
        <row r="256">
          <cell r="AD256">
            <v>79.883338076774123</v>
          </cell>
          <cell r="AE256">
            <v>81.991002600239142</v>
          </cell>
          <cell r="AF256">
            <v>84.94482536936917</v>
          </cell>
          <cell r="AG256">
            <v>89.870552837791877</v>
          </cell>
          <cell r="AH256">
            <v>98.726601896337058</v>
          </cell>
        </row>
        <row r="257">
          <cell r="AD257">
            <v>79.941669038387062</v>
          </cell>
          <cell r="AE257">
            <v>82.046165327855846</v>
          </cell>
          <cell r="AF257">
            <v>85.004450307848032</v>
          </cell>
          <cell r="AG257">
            <v>89.939159559335295</v>
          </cell>
          <cell r="AH257">
            <v>98.786042483127417</v>
          </cell>
        </row>
        <row r="258">
          <cell r="AD258">
            <v>80</v>
          </cell>
          <cell r="AE258">
            <v>82.100546804797787</v>
          </cell>
          <cell r="AF258">
            <v>85.059053968634842</v>
          </cell>
          <cell r="AG258">
            <v>90.006385600230558</v>
          </cell>
          <cell r="AH258">
            <v>98.845483069917776</v>
          </cell>
        </row>
        <row r="259">
          <cell r="AD259">
            <v>80.054424711612938</v>
          </cell>
          <cell r="AE259">
            <v>82.154928281739714</v>
          </cell>
          <cell r="AF259">
            <v>85.113657629421638</v>
          </cell>
          <cell r="AG259">
            <v>90.062795496260307</v>
          </cell>
          <cell r="AH259">
            <v>98.904923656708121</v>
          </cell>
        </row>
        <row r="260">
          <cell r="AD260">
            <v>80.108849423225877</v>
          </cell>
          <cell r="AE260">
            <v>82.209309758681655</v>
          </cell>
          <cell r="AF260">
            <v>85.168261290208434</v>
          </cell>
          <cell r="AG260">
            <v>90.119205392290041</v>
          </cell>
          <cell r="AH260">
            <v>98.96436424349848</v>
          </cell>
        </row>
        <row r="261">
          <cell r="AD261">
            <v>80.163274134838829</v>
          </cell>
          <cell r="AE261">
            <v>82.263691235623583</v>
          </cell>
          <cell r="AF261">
            <v>85.222864950995231</v>
          </cell>
          <cell r="AG261">
            <v>90.175615288319776</v>
          </cell>
          <cell r="AH261">
            <v>99.023313221876677</v>
          </cell>
        </row>
        <row r="262">
          <cell r="AD262">
            <v>80.217698846451768</v>
          </cell>
          <cell r="AE262">
            <v>82.318072712565524</v>
          </cell>
          <cell r="AF262">
            <v>85.277468611782027</v>
          </cell>
          <cell r="AG262">
            <v>90.23202518434951</v>
          </cell>
          <cell r="AH262">
            <v>99.081526263999208</v>
          </cell>
        </row>
        <row r="263">
          <cell r="AD263">
            <v>80.272123558064706</v>
          </cell>
          <cell r="AE263">
            <v>82.372454189507465</v>
          </cell>
          <cell r="AF263">
            <v>85.332072272568837</v>
          </cell>
          <cell r="AG263">
            <v>90.288435080379244</v>
          </cell>
          <cell r="AH263">
            <v>99.139739306121726</v>
          </cell>
        </row>
        <row r="264">
          <cell r="AD264">
            <v>80.326548269677644</v>
          </cell>
          <cell r="AE264">
            <v>82.426835666449392</v>
          </cell>
          <cell r="AF264">
            <v>85.386675933355633</v>
          </cell>
          <cell r="AG264">
            <v>90.344844976408993</v>
          </cell>
          <cell r="AH264">
            <v>99.197952348244257</v>
          </cell>
        </row>
        <row r="265">
          <cell r="AD265">
            <v>80.380972981290597</v>
          </cell>
          <cell r="AE265">
            <v>82.481217143391333</v>
          </cell>
          <cell r="AF265">
            <v>85.441279594142429</v>
          </cell>
          <cell r="AG265">
            <v>90.401254872438727</v>
          </cell>
          <cell r="AH265">
            <v>99.256165390366789</v>
          </cell>
        </row>
        <row r="266">
          <cell r="AD266">
            <v>80.435397692903535</v>
          </cell>
          <cell r="AE266">
            <v>82.535598620333275</v>
          </cell>
          <cell r="AF266">
            <v>85.495883254929225</v>
          </cell>
          <cell r="AG266">
            <v>90.457664768468462</v>
          </cell>
          <cell r="AH266">
            <v>99.314378432489306</v>
          </cell>
        </row>
        <row r="267">
          <cell r="AD267">
            <v>80.489822404516474</v>
          </cell>
          <cell r="AE267">
            <v>82.589980097275202</v>
          </cell>
          <cell r="AF267">
            <v>85.550486915716021</v>
          </cell>
          <cell r="AG267">
            <v>90.514074664498196</v>
          </cell>
          <cell r="AH267">
            <v>99.372591474611838</v>
          </cell>
        </row>
        <row r="268">
          <cell r="AD268">
            <v>80.544247116129412</v>
          </cell>
          <cell r="AE268">
            <v>82.644361574217143</v>
          </cell>
          <cell r="AF268">
            <v>85.605090576502832</v>
          </cell>
          <cell r="AG268">
            <v>90.57048456052793</v>
          </cell>
          <cell r="AH268">
            <v>99.430804516734369</v>
          </cell>
        </row>
        <row r="269">
          <cell r="AD269">
            <v>80.598671827742351</v>
          </cell>
          <cell r="AE269">
            <v>82.698743051159084</v>
          </cell>
          <cell r="AF269">
            <v>85.659694237289628</v>
          </cell>
          <cell r="AG269">
            <v>90.626894456557665</v>
          </cell>
          <cell r="AH269">
            <v>99.489017558856887</v>
          </cell>
        </row>
        <row r="270">
          <cell r="AD270">
            <v>80.653096539355303</v>
          </cell>
          <cell r="AE270">
            <v>82.753124528101011</v>
          </cell>
          <cell r="AF270">
            <v>85.714297898076424</v>
          </cell>
          <cell r="AG270">
            <v>90.683304352587413</v>
          </cell>
          <cell r="AH270">
            <v>99.547230600979418</v>
          </cell>
        </row>
        <row r="271">
          <cell r="AD271">
            <v>80.707521250968242</v>
          </cell>
          <cell r="AE271">
            <v>82.807506005042953</v>
          </cell>
          <cell r="AF271">
            <v>85.76890155886322</v>
          </cell>
          <cell r="AG271">
            <v>90.739714248617148</v>
          </cell>
          <cell r="AH271">
            <v>99.605443643101935</v>
          </cell>
        </row>
        <row r="272">
          <cell r="AD272">
            <v>80.76194596258118</v>
          </cell>
          <cell r="AE272">
            <v>82.861887481984894</v>
          </cell>
          <cell r="AF272">
            <v>85.823505219650016</v>
          </cell>
          <cell r="AG272">
            <v>90.796124144646882</v>
          </cell>
          <cell r="AH272">
            <v>99.663656685224467</v>
          </cell>
        </row>
        <row r="273">
          <cell r="AD273">
            <v>80.816370674194118</v>
          </cell>
          <cell r="AE273">
            <v>82.916268958926821</v>
          </cell>
          <cell r="AF273">
            <v>85.878108880436827</v>
          </cell>
          <cell r="AG273">
            <v>90.852534040676616</v>
          </cell>
          <cell r="AH273">
            <v>99.721869727346999</v>
          </cell>
        </row>
        <row r="274">
          <cell r="AD274">
            <v>80.870795385807057</v>
          </cell>
          <cell r="AE274">
            <v>82.970650435868762</v>
          </cell>
          <cell r="AF274">
            <v>85.932712541223623</v>
          </cell>
          <cell r="AG274">
            <v>90.908943936706351</v>
          </cell>
          <cell r="AH274">
            <v>99.780082769469516</v>
          </cell>
        </row>
        <row r="275">
          <cell r="AD275">
            <v>80.925220097420009</v>
          </cell>
          <cell r="AE275">
            <v>83.023342162088809</v>
          </cell>
          <cell r="AF275">
            <v>85.987316202010419</v>
          </cell>
          <cell r="AG275">
            <v>90.965353832736099</v>
          </cell>
          <cell r="AH275">
            <v>99.838295811592047</v>
          </cell>
        </row>
        <row r="276">
          <cell r="AD276">
            <v>80.979644809032948</v>
          </cell>
          <cell r="AE276">
            <v>83.07405267945947</v>
          </cell>
          <cell r="AF276">
            <v>86.038061368689995</v>
          </cell>
          <cell r="AG276">
            <v>91.020352770869948</v>
          </cell>
          <cell r="AH276">
            <v>99.896508853714579</v>
          </cell>
        </row>
        <row r="277">
          <cell r="AD277">
            <v>81.031787986768464</v>
          </cell>
          <cell r="AE277">
            <v>83.124763196830131</v>
          </cell>
          <cell r="AF277">
            <v>86.087639061133402</v>
          </cell>
          <cell r="AG277">
            <v>91.073105573528181</v>
          </cell>
          <cell r="AH277">
            <v>99.954721895837096</v>
          </cell>
        </row>
        <row r="278">
          <cell r="AD278">
            <v>81.082568038258216</v>
          </cell>
          <cell r="AE278">
            <v>83.175473714200777</v>
          </cell>
          <cell r="AF278">
            <v>86.137216753576809</v>
          </cell>
          <cell r="AG278">
            <v>91.125858376186414</v>
          </cell>
          <cell r="AH278">
            <v>100.01191770041967</v>
          </cell>
        </row>
        <row r="279">
          <cell r="AD279">
            <v>81.133348089747955</v>
          </cell>
          <cell r="AE279">
            <v>83.226184231571438</v>
          </cell>
          <cell r="AF279">
            <v>86.186794446020215</v>
          </cell>
          <cell r="AG279">
            <v>91.178611178844633</v>
          </cell>
          <cell r="AH279">
            <v>100.06555271580974</v>
          </cell>
        </row>
        <row r="280">
          <cell r="AD280">
            <v>81.184128141237707</v>
          </cell>
          <cell r="AE280">
            <v>83.276894748942098</v>
          </cell>
          <cell r="AF280">
            <v>86.236372138463622</v>
          </cell>
          <cell r="AG280">
            <v>91.231363981502867</v>
          </cell>
          <cell r="AH280">
            <v>100.11918773119983</v>
          </cell>
        </row>
        <row r="281">
          <cell r="AD281">
            <v>81.23490819272746</v>
          </cell>
          <cell r="AE281">
            <v>83.327605266312744</v>
          </cell>
          <cell r="AF281">
            <v>86.285949830907029</v>
          </cell>
          <cell r="AG281">
            <v>91.2841167841611</v>
          </cell>
          <cell r="AH281">
            <v>100.1728227465899</v>
          </cell>
        </row>
        <row r="282">
          <cell r="AD282">
            <v>81.285688244217212</v>
          </cell>
          <cell r="AE282">
            <v>83.378315783683405</v>
          </cell>
          <cell r="AF282">
            <v>86.335527523350422</v>
          </cell>
          <cell r="AG282">
            <v>91.336869586819319</v>
          </cell>
          <cell r="AH282">
            <v>100.22645776197997</v>
          </cell>
        </row>
        <row r="283">
          <cell r="AD283">
            <v>81.336468295706965</v>
          </cell>
          <cell r="AE283">
            <v>83.429026301054066</v>
          </cell>
          <cell r="AF283">
            <v>86.385105215793828</v>
          </cell>
          <cell r="AG283">
            <v>91.389622389477552</v>
          </cell>
          <cell r="AH283">
            <v>100.28009277737006</v>
          </cell>
        </row>
        <row r="284">
          <cell r="AD284">
            <v>81.387248347196717</v>
          </cell>
          <cell r="AE284">
            <v>83.479736818424712</v>
          </cell>
          <cell r="AF284">
            <v>86.434682908237235</v>
          </cell>
          <cell r="AG284">
            <v>91.442375192135771</v>
          </cell>
          <cell r="AH284">
            <v>100.33372779276013</v>
          </cell>
        </row>
        <row r="285">
          <cell r="AD285">
            <v>81.43802839868647</v>
          </cell>
          <cell r="AE285">
            <v>83.530447335795373</v>
          </cell>
          <cell r="AF285">
            <v>86.484260600680642</v>
          </cell>
          <cell r="AG285">
            <v>91.495127994794004</v>
          </cell>
          <cell r="AH285">
            <v>100.3873628081502</v>
          </cell>
        </row>
        <row r="286">
          <cell r="AD286">
            <v>81.488808450176222</v>
          </cell>
          <cell r="AE286">
            <v>83.581157853166033</v>
          </cell>
          <cell r="AF286">
            <v>86.533838293124049</v>
          </cell>
          <cell r="AG286">
            <v>91.547880797452237</v>
          </cell>
          <cell r="AH286">
            <v>100.44099782354027</v>
          </cell>
        </row>
        <row r="287">
          <cell r="AD287">
            <v>81.539588501665975</v>
          </cell>
          <cell r="AE287">
            <v>83.631868370536679</v>
          </cell>
          <cell r="AF287">
            <v>86.583415985567456</v>
          </cell>
          <cell r="AG287">
            <v>91.600633600110456</v>
          </cell>
          <cell r="AH287">
            <v>100.49463283893036</v>
          </cell>
        </row>
        <row r="288">
          <cell r="AD288">
            <v>81.590368553155727</v>
          </cell>
          <cell r="AE288">
            <v>83.68257888790734</v>
          </cell>
          <cell r="AF288">
            <v>86.632993678010848</v>
          </cell>
          <cell r="AG288">
            <v>91.653386402768689</v>
          </cell>
          <cell r="AH288">
            <v>100.54826785432043</v>
          </cell>
        </row>
        <row r="289">
          <cell r="AD289">
            <v>81.64114860464548</v>
          </cell>
          <cell r="AE289">
            <v>83.733289405278001</v>
          </cell>
          <cell r="AF289">
            <v>86.682571370454255</v>
          </cell>
          <cell r="AG289">
            <v>91.706139205426922</v>
          </cell>
          <cell r="AH289">
            <v>100.6019028697105</v>
          </cell>
        </row>
        <row r="290">
          <cell r="AD290">
            <v>81.691928656135218</v>
          </cell>
          <cell r="AE290">
            <v>83.783999922648647</v>
          </cell>
          <cell r="AF290">
            <v>86.732149062897662</v>
          </cell>
          <cell r="AG290">
            <v>91.758892008085141</v>
          </cell>
          <cell r="AH290">
            <v>100.65553788510059</v>
          </cell>
        </row>
        <row r="291">
          <cell r="AD291">
            <v>81.742708707624971</v>
          </cell>
          <cell r="AE291">
            <v>83.834710440019307</v>
          </cell>
          <cell r="AF291">
            <v>86.781726755341069</v>
          </cell>
          <cell r="AG291">
            <v>91.811644810743374</v>
          </cell>
          <cell r="AH291">
            <v>100.70917290049066</v>
          </cell>
        </row>
        <row r="292">
          <cell r="AD292">
            <v>81.793488759114723</v>
          </cell>
          <cell r="AE292">
            <v>83.885420957389968</v>
          </cell>
          <cell r="AF292">
            <v>86.831304447784476</v>
          </cell>
          <cell r="AG292">
            <v>91.864397613401607</v>
          </cell>
          <cell r="AH292">
            <v>100.76280791588073</v>
          </cell>
        </row>
        <row r="293">
          <cell r="AD293">
            <v>81.844268810604476</v>
          </cell>
          <cell r="AE293">
            <v>83.936131474760614</v>
          </cell>
          <cell r="AF293">
            <v>86.880882140227882</v>
          </cell>
          <cell r="AG293">
            <v>91.917150416059826</v>
          </cell>
          <cell r="AH293">
            <v>100.8164429312708</v>
          </cell>
        </row>
        <row r="294">
          <cell r="AD294">
            <v>81.895048862094228</v>
          </cell>
          <cell r="AE294">
            <v>83.986841992131275</v>
          </cell>
          <cell r="AF294">
            <v>86.930459832671289</v>
          </cell>
          <cell r="AG294">
            <v>91.969903218718059</v>
          </cell>
          <cell r="AH294">
            <v>100.87007794666089</v>
          </cell>
        </row>
        <row r="295">
          <cell r="AD295">
            <v>81.945828913583981</v>
          </cell>
          <cell r="AE295">
            <v>84.036191564035917</v>
          </cell>
          <cell r="AF295">
            <v>86.980037525114682</v>
          </cell>
          <cell r="AG295">
            <v>92.021521414287719</v>
          </cell>
          <cell r="AH295">
            <v>100.92371296205096</v>
          </cell>
        </row>
        <row r="296">
          <cell r="AD296">
            <v>81.996608965073733</v>
          </cell>
          <cell r="AE296">
            <v>84.085064274836242</v>
          </cell>
          <cell r="AF296">
            <v>87.029133791498197</v>
          </cell>
          <cell r="AG296">
            <v>92.071632371634976</v>
          </cell>
          <cell r="AH296">
            <v>100.97734797744103</v>
          </cell>
        </row>
        <row r="297">
          <cell r="AD297">
            <v>82.044215515890215</v>
          </cell>
          <cell r="AE297">
            <v>84.133936985636566</v>
          </cell>
          <cell r="AF297">
            <v>87.077905547159801</v>
          </cell>
          <cell r="AG297">
            <v>92.121743328982234</v>
          </cell>
          <cell r="AH297">
            <v>101.02868392415382</v>
          </cell>
        </row>
        <row r="298">
          <cell r="AD298">
            <v>82.091594979242089</v>
          </cell>
          <cell r="AE298">
            <v>84.182809696436891</v>
          </cell>
          <cell r="AF298">
            <v>87.126677302821392</v>
          </cell>
          <cell r="AG298">
            <v>92.171854286329506</v>
          </cell>
          <cell r="AH298">
            <v>101.07833899530283</v>
          </cell>
        </row>
        <row r="299">
          <cell r="AD299">
            <v>82.138974442593963</v>
          </cell>
          <cell r="AE299">
            <v>84.23168240723723</v>
          </cell>
          <cell r="AF299">
            <v>87.175449058482982</v>
          </cell>
          <cell r="AG299">
            <v>92.221965243676763</v>
          </cell>
          <cell r="AH299">
            <v>101.12799406645185</v>
          </cell>
        </row>
        <row r="300">
          <cell r="AD300">
            <v>82.186353905945836</v>
          </cell>
          <cell r="AE300">
            <v>84.280555118037555</v>
          </cell>
          <cell r="AF300">
            <v>87.224220814144587</v>
          </cell>
          <cell r="AG300">
            <v>92.272076201024021</v>
          </cell>
          <cell r="AH300">
            <v>101.17764913760085</v>
          </cell>
        </row>
        <row r="301">
          <cell r="AD301">
            <v>82.23373336929771</v>
          </cell>
          <cell r="AE301">
            <v>84.329427828837879</v>
          </cell>
          <cell r="AF301">
            <v>87.272992569806178</v>
          </cell>
          <cell r="AG301">
            <v>92.322187158371293</v>
          </cell>
          <cell r="AH301">
            <v>101.22730420874987</v>
          </cell>
        </row>
        <row r="302">
          <cell r="AD302">
            <v>82.281112832649583</v>
          </cell>
          <cell r="AE302">
            <v>84.378300539638204</v>
          </cell>
          <cell r="AF302">
            <v>87.321764325467768</v>
          </cell>
          <cell r="AG302">
            <v>92.37229811571855</v>
          </cell>
          <cell r="AH302">
            <v>101.27695927989888</v>
          </cell>
        </row>
        <row r="303">
          <cell r="AD303">
            <v>82.328492296001457</v>
          </cell>
          <cell r="AE303">
            <v>84.427173250438543</v>
          </cell>
          <cell r="AF303">
            <v>87.370536081129359</v>
          </cell>
          <cell r="AG303">
            <v>92.422409073065808</v>
          </cell>
          <cell r="AH303">
            <v>101.32661435104789</v>
          </cell>
        </row>
        <row r="304">
          <cell r="AD304">
            <v>82.375871759353331</v>
          </cell>
          <cell r="AE304">
            <v>84.476045961238867</v>
          </cell>
          <cell r="AF304">
            <v>87.419307836790964</v>
          </cell>
          <cell r="AG304">
            <v>92.472520030413079</v>
          </cell>
          <cell r="AH304">
            <v>101.3762694221969</v>
          </cell>
        </row>
        <row r="305">
          <cell r="AD305">
            <v>82.423251222705204</v>
          </cell>
          <cell r="AE305">
            <v>84.524918672039192</v>
          </cell>
          <cell r="AF305">
            <v>87.468079592452554</v>
          </cell>
          <cell r="AG305">
            <v>92.522630987760337</v>
          </cell>
          <cell r="AH305">
            <v>101.42592449334592</v>
          </cell>
        </row>
        <row r="306">
          <cell r="AD306">
            <v>82.470630686057078</v>
          </cell>
          <cell r="AE306">
            <v>84.573791382839516</v>
          </cell>
          <cell r="AF306">
            <v>87.516851348114145</v>
          </cell>
          <cell r="AG306">
            <v>92.572741945107595</v>
          </cell>
          <cell r="AH306">
            <v>101.47557956449492</v>
          </cell>
        </row>
        <row r="307">
          <cell r="AD307">
            <v>82.518010149408951</v>
          </cell>
          <cell r="AE307">
            <v>84.622664093639855</v>
          </cell>
          <cell r="AF307">
            <v>87.565623103775735</v>
          </cell>
          <cell r="AG307">
            <v>92.622852902454852</v>
          </cell>
          <cell r="AH307">
            <v>101.52523463564394</v>
          </cell>
        </row>
        <row r="308">
          <cell r="AD308">
            <v>82.565389612760825</v>
          </cell>
          <cell r="AE308">
            <v>84.67153680444018</v>
          </cell>
          <cell r="AF308">
            <v>87.61439485943734</v>
          </cell>
          <cell r="AG308">
            <v>92.672963859802124</v>
          </cell>
          <cell r="AH308">
            <v>101.57488970679294</v>
          </cell>
        </row>
        <row r="309">
          <cell r="AD309">
            <v>82.612769076112698</v>
          </cell>
          <cell r="AE309">
            <v>84.720409515240505</v>
          </cell>
          <cell r="AF309">
            <v>87.66316661509893</v>
          </cell>
          <cell r="AG309">
            <v>92.723074817149381</v>
          </cell>
          <cell r="AH309">
            <v>101.62454477794196</v>
          </cell>
        </row>
        <row r="310">
          <cell r="AD310">
            <v>82.660148539464572</v>
          </cell>
          <cell r="AE310">
            <v>84.769282226040829</v>
          </cell>
          <cell r="AF310">
            <v>87.711938370760521</v>
          </cell>
          <cell r="AG310">
            <v>92.773185774496639</v>
          </cell>
          <cell r="AH310">
            <v>101.67419984909097</v>
          </cell>
        </row>
        <row r="311">
          <cell r="AD311">
            <v>82.707528002816446</v>
          </cell>
          <cell r="AE311">
            <v>84.818154936841154</v>
          </cell>
          <cell r="AF311">
            <v>87.760710126422126</v>
          </cell>
          <cell r="AG311">
            <v>92.823296731843911</v>
          </cell>
          <cell r="AH311">
            <v>101.72385492023999</v>
          </cell>
        </row>
        <row r="312">
          <cell r="AD312">
            <v>82.754907466168319</v>
          </cell>
          <cell r="AE312">
            <v>84.867027647641493</v>
          </cell>
          <cell r="AF312">
            <v>87.809481882083716</v>
          </cell>
          <cell r="AG312">
            <v>92.873407689191168</v>
          </cell>
          <cell r="AH312">
            <v>101.77350999138899</v>
          </cell>
        </row>
        <row r="313">
          <cell r="AD313">
            <v>82.802286929520193</v>
          </cell>
          <cell r="AE313">
            <v>84.915900358441817</v>
          </cell>
          <cell r="AF313">
            <v>87.858253637745307</v>
          </cell>
          <cell r="AG313">
            <v>92.923518646538426</v>
          </cell>
          <cell r="AH313">
            <v>101.82316506253801</v>
          </cell>
        </row>
        <row r="314">
          <cell r="AD314">
            <v>82.849666392872066</v>
          </cell>
          <cell r="AE314">
            <v>84.964773069242142</v>
          </cell>
          <cell r="AF314">
            <v>87.907025393406897</v>
          </cell>
          <cell r="AG314">
            <v>92.973629603885698</v>
          </cell>
          <cell r="AH314">
            <v>101.87282013368701</v>
          </cell>
        </row>
        <row r="315">
          <cell r="AD315">
            <v>82.89704585622394</v>
          </cell>
          <cell r="AE315">
            <v>85.012531647506819</v>
          </cell>
          <cell r="AF315">
            <v>87.955797149068502</v>
          </cell>
          <cell r="AG315">
            <v>93.022367647203353</v>
          </cell>
          <cell r="AH315">
            <v>101.92247520483603</v>
          </cell>
        </row>
        <row r="316">
          <cell r="AD316">
            <v>82.944425319575814</v>
          </cell>
          <cell r="AE316">
            <v>85.057414064088832</v>
          </cell>
          <cell r="AF316">
            <v>88.004756197276762</v>
          </cell>
          <cell r="AG316">
            <v>93.069580693431178</v>
          </cell>
          <cell r="AH316">
            <v>101.97213027598504</v>
          </cell>
        </row>
        <row r="317">
          <cell r="AD317">
            <v>82.991804782927687</v>
          </cell>
          <cell r="AE317">
            <v>85.10229648067083</v>
          </cell>
          <cell r="AF317">
            <v>88.05552724748766</v>
          </cell>
          <cell r="AG317">
            <v>93.116793739659002</v>
          </cell>
          <cell r="AH317">
            <v>102.01969836502204</v>
          </cell>
        </row>
        <row r="318">
          <cell r="AD318">
            <v>83.03656019452734</v>
          </cell>
          <cell r="AE318">
            <v>85.147178897252829</v>
          </cell>
          <cell r="AF318">
            <v>88.106298297698572</v>
          </cell>
          <cell r="AG318">
            <v>93.164006785886826</v>
          </cell>
          <cell r="AH318">
            <v>102.06459660376342</v>
          </cell>
        </row>
        <row r="319">
          <cell r="AD319">
            <v>83.080766796955942</v>
          </cell>
          <cell r="AE319">
            <v>85.192061313834827</v>
          </cell>
          <cell r="AF319">
            <v>88.15706934790947</v>
          </cell>
          <cell r="AG319">
            <v>93.211219832114651</v>
          </cell>
          <cell r="AH319">
            <v>102.1094948425048</v>
          </cell>
        </row>
        <row r="320">
          <cell r="AD320">
            <v>83.124973399384558</v>
          </cell>
          <cell r="AE320">
            <v>85.236943730416826</v>
          </cell>
          <cell r="AF320">
            <v>88.207840398120382</v>
          </cell>
          <cell r="AG320">
            <v>93.258432878342475</v>
          </cell>
          <cell r="AH320">
            <v>102.15439308124618</v>
          </cell>
        </row>
        <row r="321">
          <cell r="AD321">
            <v>83.16918000181316</v>
          </cell>
          <cell r="AE321">
            <v>85.281826146998839</v>
          </cell>
          <cell r="AF321">
            <v>88.258611448331294</v>
          </cell>
          <cell r="AG321">
            <v>93.3056459245703</v>
          </cell>
          <cell r="AH321">
            <v>102.19929131998755</v>
          </cell>
        </row>
        <row r="322">
          <cell r="AD322">
            <v>83.213386604241776</v>
          </cell>
          <cell r="AE322">
            <v>85.326708563580837</v>
          </cell>
          <cell r="AF322">
            <v>88.309382498542192</v>
          </cell>
          <cell r="AG322">
            <v>93.352858970798124</v>
          </cell>
          <cell r="AH322">
            <v>102.24418955872893</v>
          </cell>
        </row>
        <row r="323">
          <cell r="AD323">
            <v>83.257593206670379</v>
          </cell>
          <cell r="AE323">
            <v>85.371590980162836</v>
          </cell>
          <cell r="AF323">
            <v>88.360153548753104</v>
          </cell>
          <cell r="AG323">
            <v>93.400072017025948</v>
          </cell>
          <cell r="AH323">
            <v>102.28908779747032</v>
          </cell>
        </row>
        <row r="324">
          <cell r="AD324">
            <v>83.301799809098995</v>
          </cell>
          <cell r="AE324">
            <v>85.416473396744834</v>
          </cell>
          <cell r="AF324">
            <v>88.410924598964016</v>
          </cell>
          <cell r="AG324">
            <v>93.447285063253773</v>
          </cell>
          <cell r="AH324">
            <v>102.3339860362117</v>
          </cell>
        </row>
        <row r="325">
          <cell r="AD325">
            <v>83.346006411527597</v>
          </cell>
          <cell r="AE325">
            <v>85.461355813326847</v>
          </cell>
          <cell r="AF325">
            <v>88.461695649174914</v>
          </cell>
          <cell r="AG325">
            <v>93.494498109481597</v>
          </cell>
          <cell r="AH325">
            <v>102.37888427495307</v>
          </cell>
        </row>
        <row r="326">
          <cell r="AD326">
            <v>83.390213013956213</v>
          </cell>
          <cell r="AE326">
            <v>85.506238229908845</v>
          </cell>
          <cell r="AF326">
            <v>88.512466699385826</v>
          </cell>
          <cell r="AG326">
            <v>93.541711155709422</v>
          </cell>
          <cell r="AH326">
            <v>102.42378251369445</v>
          </cell>
        </row>
        <row r="327">
          <cell r="AD327">
            <v>83.434419616384815</v>
          </cell>
          <cell r="AE327">
            <v>85.551120646490844</v>
          </cell>
          <cell r="AF327">
            <v>88.563237749596723</v>
          </cell>
          <cell r="AG327">
            <v>93.588924201937246</v>
          </cell>
          <cell r="AH327">
            <v>102.46868075243583</v>
          </cell>
        </row>
        <row r="328">
          <cell r="AD328">
            <v>83.478626218813432</v>
          </cell>
          <cell r="AE328">
            <v>85.596003063072843</v>
          </cell>
          <cell r="AF328">
            <v>88.614008799807635</v>
          </cell>
          <cell r="AG328">
            <v>93.63613724816507</v>
          </cell>
          <cell r="AH328">
            <v>102.51357899117721</v>
          </cell>
        </row>
        <row r="329">
          <cell r="AD329">
            <v>83.522832821242034</v>
          </cell>
          <cell r="AE329">
            <v>85.640885479654855</v>
          </cell>
          <cell r="AF329">
            <v>88.664779850018547</v>
          </cell>
          <cell r="AG329">
            <v>93.683350294392895</v>
          </cell>
          <cell r="AH329">
            <v>102.55847722991859</v>
          </cell>
        </row>
        <row r="330">
          <cell r="AD330">
            <v>83.56703942367065</v>
          </cell>
          <cell r="AE330">
            <v>85.685767896236854</v>
          </cell>
          <cell r="AF330">
            <v>88.715550900229445</v>
          </cell>
          <cell r="AG330">
            <v>93.730563340620719</v>
          </cell>
          <cell r="AH330">
            <v>102.60337546865996</v>
          </cell>
        </row>
        <row r="331">
          <cell r="AD331">
            <v>83.611246026099252</v>
          </cell>
          <cell r="AE331">
            <v>85.730650312818852</v>
          </cell>
          <cell r="AF331">
            <v>88.766321950440357</v>
          </cell>
          <cell r="AG331">
            <v>93.777776386848544</v>
          </cell>
          <cell r="AH331">
            <v>102.64827370740134</v>
          </cell>
        </row>
        <row r="332">
          <cell r="AD332">
            <v>83.655452628527868</v>
          </cell>
          <cell r="AE332">
            <v>85.775532729400851</v>
          </cell>
          <cell r="AF332">
            <v>88.817093000651269</v>
          </cell>
          <cell r="AG332">
            <v>93.824989433076368</v>
          </cell>
          <cell r="AH332">
            <v>102.69317194614273</v>
          </cell>
        </row>
        <row r="333">
          <cell r="AD333">
            <v>83.69965923095647</v>
          </cell>
          <cell r="AE333">
            <v>85.820415145982849</v>
          </cell>
          <cell r="AF333">
            <v>88.867864050862167</v>
          </cell>
          <cell r="AG333">
            <v>93.872202479304192</v>
          </cell>
          <cell r="AH333">
            <v>102.73807018488411</v>
          </cell>
        </row>
        <row r="334">
          <cell r="AD334">
            <v>83.743865833385087</v>
          </cell>
          <cell r="AE334">
            <v>85.865297562564862</v>
          </cell>
          <cell r="AF334">
            <v>88.918635101073079</v>
          </cell>
          <cell r="AG334">
            <v>93.919415525532017</v>
          </cell>
          <cell r="AH334">
            <v>102.78296842362549</v>
          </cell>
        </row>
        <row r="335">
          <cell r="AD335">
            <v>83.788072435813689</v>
          </cell>
          <cell r="AE335">
            <v>85.910179979146861</v>
          </cell>
          <cell r="AF335">
            <v>88.969406151283977</v>
          </cell>
          <cell r="AG335">
            <v>93.966628571759841</v>
          </cell>
          <cell r="AH335">
            <v>102.82786666236686</v>
          </cell>
        </row>
        <row r="336">
          <cell r="AD336">
            <v>83.832279038242305</v>
          </cell>
          <cell r="AE336">
            <v>85.955062395728859</v>
          </cell>
          <cell r="AF336">
            <v>89.018466905731287</v>
          </cell>
          <cell r="AG336">
            <v>94.012923283729691</v>
          </cell>
          <cell r="AH336">
            <v>102.87276490110824</v>
          </cell>
        </row>
        <row r="337">
          <cell r="AD337">
            <v>83.876485640670907</v>
          </cell>
          <cell r="AE337">
            <v>85.999944812310858</v>
          </cell>
          <cell r="AF337">
            <v>89.064934410075779</v>
          </cell>
          <cell r="AG337">
            <v>94.057003939090123</v>
          </cell>
          <cell r="AH337">
            <v>102.91766313984962</v>
          </cell>
        </row>
        <row r="338">
          <cell r="AD338">
            <v>83.920692243099523</v>
          </cell>
          <cell r="AE338">
            <v>86.041129946887025</v>
          </cell>
          <cell r="AF338">
            <v>89.11140191442027</v>
          </cell>
          <cell r="AG338">
            <v>94.101084594450555</v>
          </cell>
          <cell r="AH338">
            <v>102.962561378591</v>
          </cell>
        </row>
        <row r="339">
          <cell r="AD339">
            <v>83.964898845528126</v>
          </cell>
          <cell r="AE339">
            <v>86.082310529666103</v>
          </cell>
          <cell r="AF339">
            <v>89.157869418764761</v>
          </cell>
          <cell r="AG339">
            <v>94.145165249810972</v>
          </cell>
          <cell r="AH339">
            <v>103.00673656424885</v>
          </cell>
        </row>
        <row r="340">
          <cell r="AD340">
            <v>84.008495683346354</v>
          </cell>
          <cell r="AE340">
            <v>86.12349111244518</v>
          </cell>
          <cell r="AF340">
            <v>89.204336923109267</v>
          </cell>
          <cell r="AG340">
            <v>94.189245905171404</v>
          </cell>
          <cell r="AH340">
            <v>103.04728286259964</v>
          </cell>
        </row>
        <row r="341">
          <cell r="AD341">
            <v>84.049741901856009</v>
          </cell>
          <cell r="AE341">
            <v>86.164671695224243</v>
          </cell>
          <cell r="AF341">
            <v>89.250804427453758</v>
          </cell>
          <cell r="AG341">
            <v>94.233326560531836</v>
          </cell>
          <cell r="AH341">
            <v>103.08782916095045</v>
          </cell>
        </row>
        <row r="342">
          <cell r="AD342">
            <v>84.090988120365651</v>
          </cell>
          <cell r="AE342">
            <v>86.20585227800332</v>
          </cell>
          <cell r="AF342">
            <v>89.29727193179825</v>
          </cell>
          <cell r="AG342">
            <v>94.277407215892268</v>
          </cell>
          <cell r="AH342">
            <v>103.12837545930124</v>
          </cell>
        </row>
        <row r="343">
          <cell r="AD343">
            <v>84.132234338875293</v>
          </cell>
          <cell r="AE343">
            <v>86.247032860782397</v>
          </cell>
          <cell r="AF343">
            <v>89.343739436142741</v>
          </cell>
          <cell r="AG343">
            <v>94.3214878712527</v>
          </cell>
          <cell r="AH343">
            <v>103.16892175765203</v>
          </cell>
        </row>
        <row r="344">
          <cell r="AD344">
            <v>84.173480557384934</v>
          </cell>
          <cell r="AE344">
            <v>86.288213443561474</v>
          </cell>
          <cell r="AF344">
            <v>89.390206940487232</v>
          </cell>
          <cell r="AG344">
            <v>94.365568526613131</v>
          </cell>
          <cell r="AH344">
            <v>103.20946805600283</v>
          </cell>
        </row>
        <row r="345">
          <cell r="AD345">
            <v>84.214726775894576</v>
          </cell>
          <cell r="AE345">
            <v>86.329394026340537</v>
          </cell>
          <cell r="AF345">
            <v>89.436674444831723</v>
          </cell>
          <cell r="AG345">
            <v>94.409649181973549</v>
          </cell>
          <cell r="AH345">
            <v>103.25001435435362</v>
          </cell>
        </row>
        <row r="346">
          <cell r="AD346">
            <v>84.255972994404218</v>
          </cell>
          <cell r="AE346">
            <v>86.370574609119615</v>
          </cell>
          <cell r="AF346">
            <v>89.483141949176215</v>
          </cell>
          <cell r="AG346">
            <v>94.453729837333981</v>
          </cell>
          <cell r="AH346">
            <v>103.29056065270443</v>
          </cell>
        </row>
        <row r="347">
          <cell r="AD347">
            <v>84.297219212913859</v>
          </cell>
          <cell r="AE347">
            <v>86.411755191898692</v>
          </cell>
          <cell r="AF347">
            <v>89.529609453520706</v>
          </cell>
          <cell r="AG347">
            <v>94.497810492694413</v>
          </cell>
          <cell r="AH347">
            <v>103.33110695105522</v>
          </cell>
        </row>
        <row r="348">
          <cell r="AD348">
            <v>84.338465431423501</v>
          </cell>
          <cell r="AE348">
            <v>86.452935774677769</v>
          </cell>
          <cell r="AF348">
            <v>89.576076957865197</v>
          </cell>
          <cell r="AG348">
            <v>94.541891148054845</v>
          </cell>
          <cell r="AH348">
            <v>103.37165324940601</v>
          </cell>
        </row>
        <row r="349">
          <cell r="AD349">
            <v>84.379711649933142</v>
          </cell>
          <cell r="AE349">
            <v>86.494116357456846</v>
          </cell>
          <cell r="AF349">
            <v>89.622544462209689</v>
          </cell>
          <cell r="AG349">
            <v>94.585971803415276</v>
          </cell>
          <cell r="AH349">
            <v>103.41219954775681</v>
          </cell>
        </row>
        <row r="350">
          <cell r="AD350">
            <v>84.420957868442784</v>
          </cell>
          <cell r="AE350">
            <v>86.535296940235909</v>
          </cell>
          <cell r="AF350">
            <v>89.66901196655418</v>
          </cell>
          <cell r="AG350">
            <v>94.630052458775694</v>
          </cell>
          <cell r="AH350">
            <v>103.4527458461076</v>
          </cell>
        </row>
        <row r="351">
          <cell r="AD351">
            <v>84.462204086952426</v>
          </cell>
          <cell r="AE351">
            <v>86.576477523014987</v>
          </cell>
          <cell r="AF351">
            <v>89.715479470898671</v>
          </cell>
          <cell r="AG351">
            <v>94.674133114136126</v>
          </cell>
          <cell r="AH351">
            <v>103.49329214445841</v>
          </cell>
        </row>
        <row r="352">
          <cell r="AD352">
            <v>84.503450305462081</v>
          </cell>
          <cell r="AE352">
            <v>86.617658105794064</v>
          </cell>
          <cell r="AF352">
            <v>89.761946975243163</v>
          </cell>
          <cell r="AG352">
            <v>94.718213769496558</v>
          </cell>
          <cell r="AH352">
            <v>103.5338384428092</v>
          </cell>
        </row>
        <row r="353">
          <cell r="AD353">
            <v>84.544696523971723</v>
          </cell>
          <cell r="AE353">
            <v>86.658838688573141</v>
          </cell>
          <cell r="AF353">
            <v>89.808414479587654</v>
          </cell>
          <cell r="AG353">
            <v>94.762294424856989</v>
          </cell>
          <cell r="AH353">
            <v>103.57438474115999</v>
          </cell>
        </row>
        <row r="354">
          <cell r="AD354">
            <v>84.585942742481365</v>
          </cell>
          <cell r="AE354">
            <v>86.700019271352204</v>
          </cell>
          <cell r="AF354">
            <v>89.854881983932145</v>
          </cell>
          <cell r="AG354">
            <v>94.806375080217421</v>
          </cell>
          <cell r="AH354">
            <v>103.61493103951079</v>
          </cell>
        </row>
        <row r="355">
          <cell r="AD355">
            <v>84.627188960991006</v>
          </cell>
          <cell r="AE355">
            <v>86.741199854131281</v>
          </cell>
          <cell r="AF355">
            <v>89.901349488276637</v>
          </cell>
          <cell r="AG355">
            <v>94.850455735577853</v>
          </cell>
          <cell r="AH355">
            <v>103.65547733786158</v>
          </cell>
        </row>
        <row r="356">
          <cell r="AD356">
            <v>84.668435179500648</v>
          </cell>
          <cell r="AE356">
            <v>86.782380436910358</v>
          </cell>
          <cell r="AF356">
            <v>89.947816992621142</v>
          </cell>
          <cell r="AG356">
            <v>94.894536390938271</v>
          </cell>
          <cell r="AH356">
            <v>103.69602363621237</v>
          </cell>
        </row>
        <row r="357">
          <cell r="AD357">
            <v>84.709681398010289</v>
          </cell>
          <cell r="AE357">
            <v>86.823561019689436</v>
          </cell>
          <cell r="AF357">
            <v>89.994284496965633</v>
          </cell>
          <cell r="AG357">
            <v>94.938617046298702</v>
          </cell>
          <cell r="AH357">
            <v>103.73656993456318</v>
          </cell>
        </row>
        <row r="358">
          <cell r="AD358">
            <v>84.750927616519931</v>
          </cell>
          <cell r="AE358">
            <v>86.864741602468499</v>
          </cell>
          <cell r="AF358">
            <v>90.036066635925749</v>
          </cell>
          <cell r="AG358">
            <v>94.982697701659134</v>
          </cell>
          <cell r="AH358">
            <v>103.77711623291397</v>
          </cell>
        </row>
        <row r="359">
          <cell r="AD359">
            <v>84.792173835029573</v>
          </cell>
          <cell r="AE359">
            <v>86.905922185247576</v>
          </cell>
          <cell r="AF359">
            <v>90.077191648383845</v>
          </cell>
          <cell r="AG359">
            <v>95.024001308619916</v>
          </cell>
          <cell r="AH359">
            <v>103.81766253126477</v>
          </cell>
        </row>
        <row r="360">
          <cell r="AD360">
            <v>84.833420053539214</v>
          </cell>
          <cell r="AE360">
            <v>86.947102768026653</v>
          </cell>
          <cell r="AF360">
            <v>90.118316660841927</v>
          </cell>
          <cell r="AG360">
            <v>95.063510581451752</v>
          </cell>
          <cell r="AH360">
            <v>103.85820882961556</v>
          </cell>
        </row>
        <row r="361">
          <cell r="AD361">
            <v>84.874666272048856</v>
          </cell>
          <cell r="AE361">
            <v>86.98828335080573</v>
          </cell>
          <cell r="AF361">
            <v>90.159441673300023</v>
          </cell>
          <cell r="AG361">
            <v>95.103019854283588</v>
          </cell>
          <cell r="AH361">
            <v>103.89875512796635</v>
          </cell>
        </row>
        <row r="362">
          <cell r="AD362">
            <v>84.915912490558497</v>
          </cell>
          <cell r="AE362">
            <v>87.027010646912942</v>
          </cell>
          <cell r="AF362">
            <v>90.200566685758119</v>
          </cell>
          <cell r="AG362">
            <v>95.142529127115409</v>
          </cell>
          <cell r="AH362">
            <v>103.93930142631716</v>
          </cell>
        </row>
        <row r="363">
          <cell r="AD363">
            <v>84.957158709068153</v>
          </cell>
          <cell r="AE363">
            <v>87.064762367263285</v>
          </cell>
          <cell r="AF363">
            <v>90.241691698216215</v>
          </cell>
          <cell r="AG363">
            <v>95.182038399947245</v>
          </cell>
          <cell r="AH363">
            <v>103.97984772466795</v>
          </cell>
        </row>
      </sheetData>
      <sheetData sheetId="2"/>
      <sheetData sheetId="3"/>
      <sheetData sheetId="4">
        <row r="4">
          <cell r="AV4">
            <v>20</v>
          </cell>
        </row>
      </sheetData>
      <sheetData sheetId="5">
        <row r="6">
          <cell r="R6"/>
        </row>
      </sheetData>
      <sheetData sheetId="6">
        <row r="6">
          <cell r="Y6">
            <v>0.78396012978844121</v>
          </cell>
        </row>
      </sheetData>
      <sheetData sheetId="7">
        <row r="1">
          <cell r="AD1">
            <v>1000</v>
          </cell>
        </row>
        <row r="4">
          <cell r="N4">
            <v>3.301579276669484</v>
          </cell>
          <cell r="O4">
            <v>4.0057487176130557</v>
          </cell>
          <cell r="P4">
            <v>4.2565036636761029</v>
          </cell>
          <cell r="Q4">
            <v>3.3562706551221395</v>
          </cell>
          <cell r="R4">
            <v>1.7550190606299467</v>
          </cell>
          <cell r="S4">
            <v>3.301579276669484</v>
          </cell>
          <cell r="T4">
            <v>4.0057487176130557</v>
          </cell>
          <cell r="U4">
            <v>4.2565036636761029</v>
          </cell>
          <cell r="V4">
            <v>3.3562706551221395</v>
          </cell>
          <cell r="W4">
            <v>1.7550190606299467</v>
          </cell>
        </row>
        <row r="5">
          <cell r="N5">
            <v>6.840124329863615</v>
          </cell>
          <cell r="O5">
            <v>8.3787062090179365</v>
          </cell>
          <cell r="P5">
            <v>8.9944214875541597</v>
          </cell>
          <cell r="Q5">
            <v>7.192360993180591</v>
          </cell>
          <cell r="R5">
            <v>3.819793082834837</v>
          </cell>
          <cell r="S5">
            <v>3.5385450531941309</v>
          </cell>
          <cell r="T5">
            <v>4.3729574914048808</v>
          </cell>
          <cell r="U5">
            <v>4.7379178238780568</v>
          </cell>
          <cell r="V5">
            <v>3.8360903380584515</v>
          </cell>
          <cell r="W5">
            <v>2.0647740222048903</v>
          </cell>
          <cell r="FZ5">
            <v>1</v>
          </cell>
          <cell r="GA5">
            <v>50</v>
          </cell>
          <cell r="GB5">
            <v>0.2</v>
          </cell>
        </row>
        <row r="6">
          <cell r="N6">
            <v>10.632643013866151</v>
          </cell>
          <cell r="O6">
            <v>13.120311648049476</v>
          </cell>
          <cell r="P6">
            <v>14.210666074680118</v>
          </cell>
          <cell r="Q6">
            <v>11.453968457804642</v>
          </cell>
          <cell r="R6">
            <v>6.1162429781958272</v>
          </cell>
          <cell r="S6">
            <v>3.7925186840025358</v>
          </cell>
          <cell r="T6">
            <v>4.7416054390315399</v>
          </cell>
          <cell r="U6">
            <v>5.2162445871259582</v>
          </cell>
          <cell r="V6">
            <v>4.2616074646240509</v>
          </cell>
          <cell r="W6">
            <v>2.2964498953609902</v>
          </cell>
          <cell r="FZ6">
            <v>2</v>
          </cell>
          <cell r="GA6">
            <v>72.5</v>
          </cell>
          <cell r="GB6">
            <v>0.2</v>
          </cell>
        </row>
        <row r="7">
          <cell r="N7">
            <v>14.697363895553133</v>
          </cell>
          <cell r="O7">
            <v>18.221663954542464</v>
          </cell>
          <cell r="P7">
            <v>19.852560134291625</v>
          </cell>
          <cell r="Q7">
            <v>16.076200284493559</v>
          </cell>
          <cell r="R7">
            <v>8.6584407264078909</v>
          </cell>
          <cell r="S7">
            <v>4.0647208816869824</v>
          </cell>
          <cell r="T7">
            <v>5.1013523064929878</v>
          </cell>
          <cell r="U7">
            <v>5.6418940596115075</v>
          </cell>
          <cell r="V7">
            <v>4.6222318266889175</v>
          </cell>
          <cell r="W7">
            <v>2.5421977482120637</v>
          </cell>
          <cell r="FZ7">
            <v>3</v>
          </cell>
          <cell r="GA7">
            <v>94.612499999999997</v>
          </cell>
          <cell r="GB7">
            <v>0.2</v>
          </cell>
        </row>
        <row r="8">
          <cell r="N8">
            <v>19.053823869162375</v>
          </cell>
          <cell r="O8">
            <v>23.611664224090969</v>
          </cell>
          <cell r="P8">
            <v>25.76723160268055</v>
          </cell>
          <cell r="Q8">
            <v>20.905358492970112</v>
          </cell>
          <cell r="R8">
            <v>11.280360786818976</v>
          </cell>
          <cell r="S8">
            <v>4.3564599736092422</v>
          </cell>
          <cell r="T8">
            <v>5.390000269548505</v>
          </cell>
          <cell r="U8">
            <v>5.9146714683889243</v>
          </cell>
          <cell r="V8">
            <v>4.829158208476553</v>
          </cell>
          <cell r="W8">
            <v>2.6219200604110853</v>
          </cell>
          <cell r="FZ8">
            <v>4</v>
          </cell>
          <cell r="GA8">
            <v>111.12238124999999</v>
          </cell>
          <cell r="GB8">
            <v>0.2</v>
          </cell>
        </row>
        <row r="9">
          <cell r="N9">
            <v>23.722962059478306</v>
          </cell>
          <cell r="O9">
            <v>29.439164482679558</v>
          </cell>
          <cell r="P9">
            <v>32.156578214936147</v>
          </cell>
          <cell r="Q9">
            <v>26.203507172736675</v>
          </cell>
          <cell r="R9">
            <v>14.251775743858198</v>
          </cell>
          <cell r="S9">
            <v>4.6691381903159304</v>
          </cell>
          <cell r="T9">
            <v>5.8275002585885893</v>
          </cell>
          <cell r="U9">
            <v>6.3893466122555971</v>
          </cell>
          <cell r="V9">
            <v>5.2981486797665625</v>
          </cell>
          <cell r="W9">
            <v>2.9714149570392223</v>
          </cell>
          <cell r="FZ9">
            <v>5</v>
          </cell>
          <cell r="GA9">
            <v>127.79073843749998</v>
          </cell>
          <cell r="GB9">
            <v>0.2</v>
          </cell>
        </row>
        <row r="10">
          <cell r="N10">
            <v>28.727220464773662</v>
          </cell>
          <cell r="O10">
            <v>35.787309596867416</v>
          </cell>
          <cell r="P10">
            <v>39.195606953575002</v>
          </cell>
          <cell r="Q10">
            <v>31.878971252634962</v>
          </cell>
          <cell r="R10">
            <v>17.200235901845417</v>
          </cell>
          <cell r="S10">
            <v>5.0042584052953565</v>
          </cell>
          <cell r="T10">
            <v>6.348145114187858</v>
          </cell>
          <cell r="U10">
            <v>7.039028738638855</v>
          </cell>
          <cell r="V10">
            <v>5.6754640798982869</v>
          </cell>
          <cell r="W10">
            <v>2.9484601579872187</v>
          </cell>
          <cell r="FZ10">
            <v>6</v>
          </cell>
          <cell r="GA10">
            <v>143.76458074218749</v>
          </cell>
          <cell r="GB10">
            <v>0.2</v>
          </cell>
        </row>
        <row r="11">
          <cell r="N11">
            <v>34.090651823243419</v>
          </cell>
          <cell r="O11">
            <v>42.270259067554726</v>
          </cell>
          <cell r="P11">
            <v>46.0009621388201</v>
          </cell>
          <cell r="Q11">
            <v>37.281240393448371</v>
          </cell>
          <cell r="R11">
            <v>20.167288517504215</v>
          </cell>
          <cell r="S11">
            <v>5.3634313584697573</v>
          </cell>
          <cell r="T11">
            <v>6.4829494706873092</v>
          </cell>
          <cell r="U11">
            <v>6.805355185245098</v>
          </cell>
          <cell r="V11">
            <v>5.4022691408134094</v>
          </cell>
          <cell r="W11">
            <v>2.9670526156587975</v>
          </cell>
          <cell r="FZ11">
            <v>7</v>
          </cell>
          <cell r="GA11">
            <v>158.14103881640625</v>
          </cell>
          <cell r="GB11">
            <v>0.2</v>
          </cell>
        </row>
        <row r="12">
          <cell r="N12">
            <v>39.839035221386283</v>
          </cell>
          <cell r="O12">
            <v>49.380484156908295</v>
          </cell>
          <cell r="P12">
            <v>53.946817052663931</v>
          </cell>
          <cell r="Q12">
            <v>44.049328391500353</v>
          </cell>
          <cell r="R12">
            <v>23.889044437512744</v>
          </cell>
          <cell r="S12">
            <v>5.7483833981428631</v>
          </cell>
          <cell r="T12">
            <v>7.1102250893535697</v>
          </cell>
          <cell r="U12">
            <v>7.9458549138438315</v>
          </cell>
          <cell r="V12">
            <v>6.7680879980519819</v>
          </cell>
          <cell r="W12">
            <v>3.7217559200085297</v>
          </cell>
          <cell r="FZ12">
            <v>8</v>
          </cell>
          <cell r="GA12">
            <v>170.0016167276367</v>
          </cell>
          <cell r="GB12">
            <v>0.2</v>
          </cell>
        </row>
        <row r="13">
          <cell r="N13">
            <v>46</v>
          </cell>
          <cell r="O13">
            <v>57.271599999999999</v>
          </cell>
          <cell r="P13">
            <v>62.744500000000002</v>
          </cell>
          <cell r="Q13">
            <v>51.479400000000005</v>
          </cell>
          <cell r="R13">
            <v>28.139600000000002</v>
          </cell>
          <cell r="S13">
            <v>6.1609647786137174</v>
          </cell>
          <cell r="T13">
            <v>7.8911158430917041</v>
          </cell>
          <cell r="U13">
            <v>8.7976829473360709</v>
          </cell>
          <cell r="V13">
            <v>7.4300716084996523</v>
          </cell>
          <cell r="W13">
            <v>4.2505555624872571</v>
          </cell>
          <cell r="FZ13">
            <v>9</v>
          </cell>
          <cell r="GA13">
            <v>178.50169756401854</v>
          </cell>
          <cell r="GB13">
            <v>0.2</v>
          </cell>
        </row>
        <row r="14">
          <cell r="N14">
            <v>52.603158553338972</v>
          </cell>
          <cell r="O14">
            <v>65.684306183936783</v>
          </cell>
          <cell r="P14">
            <v>72.302812722179397</v>
          </cell>
          <cell r="Q14">
            <v>59.304915307726851</v>
          </cell>
          <cell r="R14">
            <v>32.720765585871938</v>
          </cell>
          <cell r="S14">
            <v>6.6031585533389716</v>
          </cell>
          <cell r="T14">
            <v>8.412706183936784</v>
          </cell>
          <cell r="U14">
            <v>9.5583127221793944</v>
          </cell>
          <cell r="V14">
            <v>7.825515307726846</v>
          </cell>
          <cell r="W14">
            <v>4.5811655858719362</v>
          </cell>
          <cell r="FZ14">
            <v>10</v>
          </cell>
          <cell r="GA14">
            <v>187.42678244221949</v>
          </cell>
          <cell r="GB14">
            <v>0.2</v>
          </cell>
        </row>
        <row r="15">
          <cell r="N15">
            <v>59.680248659727226</v>
          </cell>
          <cell r="O15">
            <v>74.54737703889127</v>
          </cell>
          <cell r="P15">
            <v>82.431656845525254</v>
          </cell>
          <cell r="Q15">
            <v>68.205701920440248</v>
          </cell>
          <cell r="R15">
            <v>37.657458466261879</v>
          </cell>
          <cell r="S15">
            <v>7.0770901063882548</v>
          </cell>
          <cell r="T15">
            <v>8.8630708549544863</v>
          </cell>
          <cell r="U15">
            <v>10.128844123345857</v>
          </cell>
          <cell r="V15">
            <v>8.9007866127133966</v>
          </cell>
          <cell r="W15">
            <v>4.9366928803899413</v>
          </cell>
          <cell r="FZ15">
            <v>11</v>
          </cell>
          <cell r="GA15">
            <v>196.79812156433047</v>
          </cell>
          <cell r="GB15">
            <v>0.2</v>
          </cell>
        </row>
        <row r="16">
          <cell r="N16">
            <v>67.265286027732301</v>
          </cell>
          <cell r="O16">
            <v>84.609786258865753</v>
          </cell>
          <cell r="P16">
            <v>93.680071393057432</v>
          </cell>
          <cell r="Q16">
            <v>77.82315758531557</v>
          </cell>
          <cell r="R16">
            <v>43.121288981373802</v>
          </cell>
          <cell r="S16">
            <v>7.5850373680050751</v>
          </cell>
          <cell r="T16">
            <v>10.062409219974484</v>
          </cell>
          <cell r="U16">
            <v>11.248414547532178</v>
          </cell>
          <cell r="V16">
            <v>9.6174556648753224</v>
          </cell>
          <cell r="W16">
            <v>5.4638305151119226</v>
          </cell>
          <cell r="FZ16">
            <v>12</v>
          </cell>
          <cell r="GA16">
            <v>206.638027642547</v>
          </cell>
          <cell r="GB16">
            <v>0.2</v>
          </cell>
        </row>
        <row r="17">
          <cell r="N17">
            <v>75.394727791106263</v>
          </cell>
          <cell r="O17">
            <v>94.714626787577259</v>
          </cell>
          <cell r="P17">
            <v>105.06156976741366</v>
          </cell>
          <cell r="Q17">
            <v>87.144176609439413</v>
          </cell>
          <cell r="R17">
            <v>48.214600619248152</v>
          </cell>
          <cell r="S17">
            <v>8.1294417633739613</v>
          </cell>
          <cell r="T17">
            <v>10.104840528711506</v>
          </cell>
          <cell r="U17">
            <v>11.381498374356227</v>
          </cell>
          <cell r="V17">
            <v>9.3210190241238422</v>
          </cell>
          <cell r="W17">
            <v>5.0933116378743506</v>
          </cell>
          <cell r="FZ17">
            <v>13</v>
          </cell>
          <cell r="GA17">
            <v>216.96992902467437</v>
          </cell>
          <cell r="GB17">
            <v>0.2</v>
          </cell>
        </row>
        <row r="18">
          <cell r="N18">
            <v>84.107647738324729</v>
          </cell>
          <cell r="O18">
            <v>105.81948847383583</v>
          </cell>
          <cell r="P18">
            <v>117.65215461163081</v>
          </cell>
          <cell r="Q18">
            <v>97.742228807557069</v>
          </cell>
          <cell r="R18">
            <v>54.294960626625631</v>
          </cell>
          <cell r="S18">
            <v>8.7129199472184666</v>
          </cell>
          <cell r="T18">
            <v>11.104861686258573</v>
          </cell>
          <cell r="U18">
            <v>12.590584844217148</v>
          </cell>
          <cell r="V18">
            <v>10.598052198117657</v>
          </cell>
          <cell r="W18">
            <v>6.0803600073774788</v>
          </cell>
          <cell r="FZ18">
            <v>14</v>
          </cell>
          <cell r="GA18">
            <v>227.8184254759081</v>
          </cell>
          <cell r="GB18">
            <v>0.2</v>
          </cell>
        </row>
        <row r="19">
          <cell r="N19">
            <v>93.445924118956611</v>
          </cell>
          <cell r="O19">
            <v>117.82698143815891</v>
          </cell>
          <cell r="P19">
            <v>131.02906222634775</v>
          </cell>
          <cell r="Q19">
            <v>109.36850015888693</v>
          </cell>
          <cell r="R19">
            <v>61.243849237624261</v>
          </cell>
          <cell r="S19">
            <v>9.338276380631882</v>
          </cell>
          <cell r="T19">
            <v>12.007492964323077</v>
          </cell>
          <cell r="U19">
            <v>13.376907614716941</v>
          </cell>
          <cell r="V19">
            <v>11.626271351329862</v>
          </cell>
          <cell r="W19">
            <v>6.9488886109986296</v>
          </cell>
          <cell r="FZ19">
            <v>15</v>
          </cell>
          <cell r="GA19">
            <v>239.20934674970351</v>
          </cell>
          <cell r="GB19">
            <v>0.2</v>
          </cell>
        </row>
        <row r="20">
          <cell r="N20">
            <v>103.45444092954733</v>
          </cell>
          <cell r="O20">
            <v>130.20573524530138</v>
          </cell>
          <cell r="P20">
            <v>144.73546167193922</v>
          </cell>
          <cell r="Q20">
            <v>120.9434141686873</v>
          </cell>
          <cell r="R20">
            <v>67.270575511562512</v>
          </cell>
          <cell r="S20">
            <v>10.00851681059072</v>
          </cell>
          <cell r="T20">
            <v>12.378753807142473</v>
          </cell>
          <cell r="U20">
            <v>13.706399445591472</v>
          </cell>
          <cell r="V20">
            <v>11.574914009800366</v>
          </cell>
          <cell r="W20">
            <v>6.0267262739382517</v>
          </cell>
          <cell r="FZ20">
            <v>16</v>
          </cell>
          <cell r="GA20">
            <v>251.16981408718871</v>
          </cell>
          <cell r="GB20">
            <v>0.2</v>
          </cell>
        </row>
        <row r="21">
          <cell r="N21">
            <v>114.18130364648684</v>
          </cell>
          <cell r="O21">
            <v>144.15538517504154</v>
          </cell>
          <cell r="P21">
            <v>160.98496467185777</v>
          </cell>
          <cell r="Q21">
            <v>134.58302040586085</v>
          </cell>
          <cell r="R21">
            <v>74.731415016400319</v>
          </cell>
          <cell r="S21">
            <v>10.726862716939507</v>
          </cell>
          <cell r="T21">
            <v>13.949649929740161</v>
          </cell>
          <cell r="U21">
            <v>16.249502999918548</v>
          </cell>
          <cell r="V21">
            <v>13.639606237173552</v>
          </cell>
          <cell r="W21">
            <v>7.4608395048378071</v>
          </cell>
          <cell r="FZ21">
            <v>17</v>
          </cell>
          <cell r="GA21">
            <v>263.72830479154817</v>
          </cell>
          <cell r="GB21">
            <v>0.2</v>
          </cell>
        </row>
        <row r="22">
          <cell r="N22">
            <v>125.67807044277257</v>
          </cell>
          <cell r="O22">
            <v>159.01800361247061</v>
          </cell>
          <cell r="P22">
            <v>177.54240476934203</v>
          </cell>
          <cell r="Q22">
            <v>148.27471429518647</v>
          </cell>
          <cell r="R22">
            <v>82.678138280367776</v>
          </cell>
          <cell r="S22">
            <v>11.496766796285726</v>
          </cell>
          <cell r="T22">
            <v>14.862618437429063</v>
          </cell>
          <cell r="U22">
            <v>16.55744009748426</v>
          </cell>
          <cell r="V22">
            <v>13.69169388932562</v>
          </cell>
          <cell r="W22">
            <v>7.9467232639674563</v>
          </cell>
          <cell r="FZ22">
            <v>18</v>
          </cell>
          <cell r="GA22">
            <v>276.91472003112557</v>
          </cell>
          <cell r="GB22">
            <v>0.2</v>
          </cell>
        </row>
        <row r="23">
          <cell r="N23">
            <v>138</v>
          </cell>
          <cell r="O23">
            <v>174.4479</v>
          </cell>
          <cell r="P23">
            <v>194.48519999999999</v>
          </cell>
          <cell r="Q23">
            <v>162.75029999999998</v>
          </cell>
          <cell r="R23">
            <v>90.6297</v>
          </cell>
          <cell r="S23">
            <v>12.321929557227435</v>
          </cell>
          <cell r="T23">
            <v>15.429896387529396</v>
          </cell>
          <cell r="U23">
            <v>16.942795230657964</v>
          </cell>
          <cell r="V23">
            <v>14.475585704813511</v>
          </cell>
          <cell r="W23">
            <v>7.9515617196322239</v>
          </cell>
          <cell r="FZ23">
            <v>19</v>
          </cell>
          <cell r="GA23">
            <v>290.76045603268187</v>
          </cell>
          <cell r="GB23">
            <v>0.2</v>
          </cell>
        </row>
        <row r="24">
          <cell r="N24">
            <v>151.20631710667794</v>
          </cell>
          <cell r="O24">
            <v>191.07613583385876</v>
          </cell>
          <cell r="P24">
            <v>213.54572326529612</v>
          </cell>
          <cell r="Q24">
            <v>178.86688314626454</v>
          </cell>
          <cell r="R24">
            <v>100.08148903660003</v>
          </cell>
          <cell r="S24">
            <v>13.206317106677943</v>
          </cell>
          <cell r="T24">
            <v>16.628235833858753</v>
          </cell>
          <cell r="U24">
            <v>19.060523265296126</v>
          </cell>
          <cell r="V24">
            <v>16.11658314626456</v>
          </cell>
          <cell r="W24">
            <v>9.451789036600033</v>
          </cell>
          <cell r="FZ24">
            <v>20</v>
          </cell>
          <cell r="GA24">
            <v>305.29847883431597</v>
          </cell>
          <cell r="GB24">
            <v>0.2</v>
          </cell>
        </row>
        <row r="25">
          <cell r="N25">
            <v>165.36049731945442</v>
          </cell>
          <cell r="O25">
            <v>209.32374240788337</v>
          </cell>
          <cell r="P25">
            <v>234.3204979331129</v>
          </cell>
          <cell r="Q25">
            <v>196.49895740273368</v>
          </cell>
          <cell r="R25">
            <v>110.07940462753481</v>
          </cell>
          <cell r="S25">
            <v>14.154180212776481</v>
          </cell>
          <cell r="T25">
            <v>18.247606574024616</v>
          </cell>
          <cell r="U25">
            <v>20.774774667816786</v>
          </cell>
          <cell r="V25">
            <v>17.632074256469139</v>
          </cell>
          <cell r="W25">
            <v>9.997915590934781</v>
          </cell>
          <cell r="FZ25">
            <v>21</v>
          </cell>
          <cell r="GA25">
            <v>320.56340277603181</v>
          </cell>
          <cell r="GB25">
            <v>0.2</v>
          </cell>
        </row>
        <row r="26">
          <cell r="N26">
            <v>180.53057205546457</v>
          </cell>
          <cell r="O26">
            <v>228.34291669105832</v>
          </cell>
          <cell r="P26">
            <v>255.38835867379359</v>
          </cell>
          <cell r="Q26">
            <v>214.20227094816607</v>
          </cell>
          <cell r="R26">
            <v>119.57167719657959</v>
          </cell>
          <cell r="S26">
            <v>15.17007473601015</v>
          </cell>
          <cell r="T26">
            <v>19.019174283174948</v>
          </cell>
          <cell r="U26">
            <v>21.067860740680686</v>
          </cell>
          <cell r="V26">
            <v>17.703313545432394</v>
          </cell>
          <cell r="W26">
            <v>9.492272569044772</v>
          </cell>
          <cell r="FZ26">
            <v>22</v>
          </cell>
          <cell r="GA26">
            <v>336.59157291483342</v>
          </cell>
          <cell r="GB26">
            <v>0.2</v>
          </cell>
        </row>
        <row r="27">
          <cell r="N27">
            <v>196.78945558221253</v>
          </cell>
          <cell r="O27">
            <v>249.3378016637993</v>
          </cell>
          <cell r="P27">
            <v>279.36231114450891</v>
          </cell>
          <cell r="Q27">
            <v>234.24276701115065</v>
          </cell>
          <cell r="R27">
            <v>130.73707481604291</v>
          </cell>
          <cell r="S27">
            <v>16.258883526747951</v>
          </cell>
          <cell r="T27">
            <v>20.994884972740977</v>
          </cell>
          <cell r="U27">
            <v>23.973952470715318</v>
          </cell>
          <cell r="V27">
            <v>20.040496062984573</v>
          </cell>
          <cell r="W27">
            <v>11.16539761946332</v>
          </cell>
          <cell r="FZ27">
            <v>23</v>
          </cell>
          <cell r="GA27">
            <v>353.42115156057508</v>
          </cell>
          <cell r="GB27">
            <v>0.2</v>
          </cell>
        </row>
        <row r="28">
          <cell r="N28">
            <v>214.21529547664952</v>
          </cell>
          <cell r="O28">
            <v>271.6352397437405</v>
          </cell>
          <cell r="P28">
            <v>304.3542977006739</v>
          </cell>
          <cell r="Q28">
            <v>255.27291665272404</v>
          </cell>
          <cell r="R28">
            <v>142.17003475360278</v>
          </cell>
          <cell r="S28">
            <v>17.42583989443699</v>
          </cell>
          <cell r="T28">
            <v>22.297438079941202</v>
          </cell>
          <cell r="U28">
            <v>24.991986556164989</v>
          </cell>
          <cell r="V28">
            <v>21.030149641573388</v>
          </cell>
          <cell r="W28">
            <v>11.432959937559872</v>
          </cell>
          <cell r="FZ28">
            <v>24</v>
          </cell>
          <cell r="GA28">
            <v>371.09220913860383</v>
          </cell>
          <cell r="GB28">
            <v>0.2</v>
          </cell>
        </row>
        <row r="29">
          <cell r="N29">
            <v>232.89184823791322</v>
          </cell>
          <cell r="O29">
            <v>295.38584427942419</v>
          </cell>
          <cell r="P29">
            <v>330.98184442270946</v>
          </cell>
          <cell r="Q29">
            <v>277.21622982385412</v>
          </cell>
          <cell r="R29">
            <v>154.46096176415654</v>
          </cell>
          <cell r="S29">
            <v>18.676552761263707</v>
          </cell>
          <cell r="T29">
            <v>23.750604535683692</v>
          </cell>
          <cell r="U29">
            <v>26.627546722035561</v>
          </cell>
          <cell r="V29">
            <v>21.943313171130086</v>
          </cell>
          <cell r="W29">
            <v>12.290927010553759</v>
          </cell>
          <cell r="FZ29">
            <v>25</v>
          </cell>
          <cell r="GA29">
            <v>389.64681959553405</v>
          </cell>
          <cell r="GB29">
            <v>0.2</v>
          </cell>
        </row>
        <row r="30">
          <cell r="N30">
            <v>252.90888185909469</v>
          </cell>
          <cell r="O30">
            <v>320.81106802484203</v>
          </cell>
          <cell r="P30">
            <v>359.37967250835402</v>
          </cell>
          <cell r="Q30">
            <v>300.81642170621222</v>
          </cell>
          <cell r="R30">
            <v>167.79349727325055</v>
          </cell>
          <cell r="S30">
            <v>20.017033621181469</v>
          </cell>
          <cell r="T30">
            <v>25.425223745417838</v>
          </cell>
          <cell r="U30">
            <v>28.397828085644562</v>
          </cell>
          <cell r="V30">
            <v>23.600191882358104</v>
          </cell>
          <cell r="W30">
            <v>13.332535509094015</v>
          </cell>
          <cell r="FZ30">
            <v>26</v>
          </cell>
          <cell r="GA30">
            <v>409.12916057531078</v>
          </cell>
          <cell r="GB30">
            <v>0.2</v>
          </cell>
        </row>
        <row r="31">
          <cell r="N31">
            <v>274.36260729297362</v>
          </cell>
          <cell r="O31">
            <v>347.82498471701922</v>
          </cell>
          <cell r="P31">
            <v>389.05094866504174</v>
          </cell>
          <cell r="Q31">
            <v>326.02687556759241</v>
          </cell>
          <cell r="R31">
            <v>182.70283171999623</v>
          </cell>
          <cell r="S31">
            <v>21.45372543387893</v>
          </cell>
          <cell r="T31">
            <v>27.01391669217719</v>
          </cell>
          <cell r="U31">
            <v>29.671276156687725</v>
          </cell>
          <cell r="V31">
            <v>25.210453861380188</v>
          </cell>
          <cell r="W31">
            <v>14.909334446745675</v>
          </cell>
          <cell r="FZ31">
            <v>27</v>
          </cell>
          <cell r="GA31">
            <v>429.58561860407633</v>
          </cell>
          <cell r="GB31">
            <v>0.2</v>
          </cell>
        </row>
        <row r="32">
          <cell r="N32">
            <v>297.35614088554507</v>
          </cell>
          <cell r="O32">
            <v>377.36498200194677</v>
          </cell>
          <cell r="P32">
            <v>423.24444883501349</v>
          </cell>
          <cell r="Q32">
            <v>355.68060864106502</v>
          </cell>
          <cell r="R32">
            <v>199.4794278338882</v>
          </cell>
          <cell r="S32">
            <v>22.993533592571453</v>
          </cell>
          <cell r="T32">
            <v>29.539997284927551</v>
          </cell>
          <cell r="U32">
            <v>34.193500169971742</v>
          </cell>
          <cell r="V32">
            <v>29.653733073472608</v>
          </cell>
          <cell r="W32">
            <v>16.776596113891969</v>
          </cell>
          <cell r="FZ32">
            <v>28</v>
          </cell>
          <cell r="GA32">
            <v>451.06489953428019</v>
          </cell>
          <cell r="GB32">
            <v>0.2</v>
          </cell>
        </row>
        <row r="33">
          <cell r="N33">
            <v>322</v>
          </cell>
          <cell r="O33">
            <v>408.87419999999997</v>
          </cell>
          <cell r="P33">
            <v>458.83110000000005</v>
          </cell>
          <cell r="Q33">
            <v>385.51869999999997</v>
          </cell>
          <cell r="R33">
            <v>216.37209999999999</v>
          </cell>
          <cell r="S33">
            <v>24.643859114454926</v>
          </cell>
          <cell r="T33">
            <v>31.509217998053202</v>
          </cell>
          <cell r="U33">
            <v>35.586651164986563</v>
          </cell>
          <cell r="V33">
            <v>29.838091358934946</v>
          </cell>
          <cell r="W33">
            <v>16.892672166111794</v>
          </cell>
          <cell r="FZ33">
            <v>29</v>
          </cell>
          <cell r="GA33">
            <v>473.61814451099423</v>
          </cell>
          <cell r="GB33">
            <v>0.2</v>
          </cell>
        </row>
        <row r="34">
          <cell r="N34">
            <v>348.41263421335577</v>
          </cell>
          <cell r="O34">
            <v>442.97106572009051</v>
          </cell>
          <cell r="P34">
            <v>497.15680452796772</v>
          </cell>
          <cell r="Q34">
            <v>417.37561322449938</v>
          </cell>
          <cell r="R34">
            <v>234.66651300547557</v>
          </cell>
          <cell r="S34">
            <v>26.412634213355773</v>
          </cell>
          <cell r="T34">
            <v>34.096865720090534</v>
          </cell>
          <cell r="U34">
            <v>38.325704527967673</v>
          </cell>
          <cell r="V34">
            <v>31.856913224499408</v>
          </cell>
          <cell r="W34">
            <v>18.294413005475576</v>
          </cell>
          <cell r="FZ34">
            <v>30</v>
          </cell>
          <cell r="GA34">
            <v>497.29905173654396</v>
          </cell>
          <cell r="GB34">
            <v>0.2</v>
          </cell>
        </row>
        <row r="35">
          <cell r="N35">
            <v>376.72099463890885</v>
          </cell>
          <cell r="O35">
            <v>479.18173455253606</v>
          </cell>
          <cell r="P35">
            <v>537.4760326381712</v>
          </cell>
          <cell r="Q35">
            <v>451.70894653915161</v>
          </cell>
          <cell r="R35">
            <v>253.90176079978457</v>
          </cell>
          <cell r="S35">
            <v>28.308360425553076</v>
          </cell>
          <cell r="T35">
            <v>36.210668832445549</v>
          </cell>
          <cell r="U35">
            <v>40.319228110203483</v>
          </cell>
          <cell r="V35">
            <v>34.333333314652236</v>
          </cell>
          <cell r="W35">
            <v>19.235247794309004</v>
          </cell>
          <cell r="FZ35">
            <v>31</v>
          </cell>
          <cell r="GA35">
            <v>522.16400432337116</v>
          </cell>
          <cell r="GB35">
            <v>0.2</v>
          </cell>
        </row>
        <row r="36">
          <cell r="N36">
            <v>407.06114411092915</v>
          </cell>
          <cell r="O36">
            <v>516.70660293933065</v>
          </cell>
          <cell r="P36">
            <v>579.63560107228818</v>
          </cell>
          <cell r="Q36">
            <v>487.81499577829209</v>
          </cell>
          <cell r="R36">
            <v>274.25921567579985</v>
          </cell>
          <cell r="S36">
            <v>30.3401494720203</v>
          </cell>
          <cell r="T36">
            <v>37.524868386794594</v>
          </cell>
          <cell r="U36">
            <v>42.159568434116977</v>
          </cell>
          <cell r="V36">
            <v>36.106049239140475</v>
          </cell>
          <cell r="W36">
            <v>20.357454876015282</v>
          </cell>
          <cell r="FZ36">
            <v>32</v>
          </cell>
          <cell r="GA36">
            <v>548.27220453953976</v>
          </cell>
          <cell r="GB36">
            <v>0.2</v>
          </cell>
        </row>
        <row r="37">
          <cell r="N37">
            <v>439.57891116442499</v>
          </cell>
          <cell r="O37">
            <v>558.17539018392961</v>
          </cell>
          <cell r="P37">
            <v>627.15678862157131</v>
          </cell>
          <cell r="Q37">
            <v>528.26013406653317</v>
          </cell>
          <cell r="R37">
            <v>296.75876732077467</v>
          </cell>
          <cell r="S37">
            <v>32.517767053495845</v>
          </cell>
          <cell r="T37">
            <v>41.468787244598957</v>
          </cell>
          <cell r="U37">
            <v>47.521187549283127</v>
          </cell>
          <cell r="V37">
            <v>40.445138288241083</v>
          </cell>
          <cell r="W37">
            <v>22.499551644974815</v>
          </cell>
          <cell r="FZ37">
            <v>33</v>
          </cell>
          <cell r="GA37">
            <v>575.68581476651673</v>
          </cell>
          <cell r="GB37">
            <v>0.2</v>
          </cell>
        </row>
        <row r="38">
          <cell r="N38">
            <v>474.43059095329892</v>
          </cell>
          <cell r="O38">
            <v>603.32822566106074</v>
          </cell>
          <cell r="P38">
            <v>678.38211377902269</v>
          </cell>
          <cell r="Q38">
            <v>570.67399318242508</v>
          </cell>
          <cell r="R38">
            <v>320.39329177926174</v>
          </cell>
          <cell r="S38">
            <v>34.851679788873923</v>
          </cell>
          <cell r="T38">
            <v>45.152835477131134</v>
          </cell>
          <cell r="U38">
            <v>51.22532515745138</v>
          </cell>
          <cell r="V38">
            <v>42.41385911589191</v>
          </cell>
          <cell r="W38">
            <v>23.634524458487078</v>
          </cell>
          <cell r="FZ38">
            <v>34</v>
          </cell>
          <cell r="GA38">
            <v>604.47010550484254</v>
          </cell>
          <cell r="GB38">
            <v>0.2</v>
          </cell>
        </row>
        <row r="39">
          <cell r="N39">
            <v>511.78369647582645</v>
          </cell>
          <cell r="O39">
            <v>651.64973042965698</v>
          </cell>
          <cell r="P39">
            <v>731.69158798522301</v>
          </cell>
          <cell r="Q39">
            <v>614.91701190173114</v>
          </cell>
          <cell r="R39">
            <v>343.89973028645079</v>
          </cell>
          <cell r="S39">
            <v>37.353105522527528</v>
          </cell>
          <cell r="T39">
            <v>48.321504768596242</v>
          </cell>
          <cell r="U39">
            <v>53.309474206200321</v>
          </cell>
          <cell r="V39">
            <v>44.243018719306065</v>
          </cell>
          <cell r="W39">
            <v>23.506438507189046</v>
          </cell>
          <cell r="FZ39">
            <v>35</v>
          </cell>
          <cell r="GA39">
            <v>634.69361078008467</v>
          </cell>
          <cell r="GB39">
            <v>0.2</v>
          </cell>
        </row>
        <row r="40">
          <cell r="N40">
            <v>551.81776371818933</v>
          </cell>
          <cell r="O40">
            <v>702.3836397563656</v>
          </cell>
          <cell r="P40">
            <v>788.70953087090561</v>
          </cell>
          <cell r="Q40">
            <v>660.91813362444623</v>
          </cell>
          <cell r="R40">
            <v>370.80114395344231</v>
          </cell>
          <cell r="S40">
            <v>40.03406724236288</v>
          </cell>
          <cell r="T40">
            <v>50.733909326708613</v>
          </cell>
          <cell r="U40">
            <v>57.017942885682601</v>
          </cell>
          <cell r="V40">
            <v>46.001121722715084</v>
          </cell>
          <cell r="W40">
            <v>26.901413666991516</v>
          </cell>
          <cell r="FZ40">
            <v>36</v>
          </cell>
          <cell r="GA40">
            <v>666.42829131908888</v>
          </cell>
          <cell r="GB40">
            <v>0.2</v>
          </cell>
        </row>
        <row r="41">
          <cell r="N41">
            <v>594.72521458594724</v>
          </cell>
          <cell r="O41">
            <v>756.5654600455988</v>
          </cell>
          <cell r="P41">
            <v>848.03678381072007</v>
          </cell>
          <cell r="Q41">
            <v>710.3113529216273</v>
          </cell>
          <cell r="R41">
            <v>398.70119809661651</v>
          </cell>
          <cell r="S41">
            <v>42.907450867757916</v>
          </cell>
          <cell r="T41">
            <v>54.181820289233201</v>
          </cell>
          <cell r="U41">
            <v>59.327252939814457</v>
          </cell>
          <cell r="V41">
            <v>49.393219297181076</v>
          </cell>
          <cell r="W41">
            <v>27.900054143174202</v>
          </cell>
          <cell r="FZ41">
            <v>37</v>
          </cell>
          <cell r="GA41">
            <v>699.74970588504334</v>
          </cell>
          <cell r="GB41">
            <v>0.2</v>
          </cell>
        </row>
        <row r="42">
          <cell r="N42">
            <v>640.71228177109015</v>
          </cell>
          <cell r="O42">
            <v>813.85363309743559</v>
          </cell>
          <cell r="P42">
            <v>911.45639925575597</v>
          </cell>
          <cell r="Q42">
            <v>764.23185972705107</v>
          </cell>
          <cell r="R42">
            <v>429.53072799376594</v>
          </cell>
          <cell r="S42">
            <v>45.987067185142905</v>
          </cell>
          <cell r="T42">
            <v>57.288173051836793</v>
          </cell>
          <cell r="U42">
            <v>63.419615445035902</v>
          </cell>
          <cell r="V42">
            <v>53.92050680542377</v>
          </cell>
          <cell r="W42">
            <v>30.829529897149428</v>
          </cell>
          <cell r="FZ42">
            <v>38</v>
          </cell>
          <cell r="GA42">
            <v>734.73719117929556</v>
          </cell>
          <cell r="GB42">
            <v>0.2</v>
          </cell>
        </row>
        <row r="43">
          <cell r="N43">
            <v>690</v>
          </cell>
          <cell r="O43">
            <v>874.95300000000009</v>
          </cell>
          <cell r="P43">
            <v>981.16200000000003</v>
          </cell>
          <cell r="Q43">
            <v>824.10299999999995</v>
          </cell>
          <cell r="R43">
            <v>463.5</v>
          </cell>
          <cell r="S43">
            <v>49.287718228909853</v>
          </cell>
          <cell r="T43">
            <v>61.099366902564498</v>
          </cell>
          <cell r="U43">
            <v>69.705600744244066</v>
          </cell>
          <cell r="V43">
            <v>59.871140272948878</v>
          </cell>
          <cell r="W43">
            <v>33.969272006234064</v>
          </cell>
          <cell r="FZ43">
            <v>39</v>
          </cell>
          <cell r="GA43">
            <v>771.47405073826042</v>
          </cell>
          <cell r="GB43">
            <v>0.2</v>
          </cell>
        </row>
        <row r="44">
          <cell r="N44">
            <v>742.82526842671143</v>
          </cell>
          <cell r="O44">
            <v>942.37074325168692</v>
          </cell>
          <cell r="P44">
            <v>1057.6007055976104</v>
          </cell>
          <cell r="Q44">
            <v>888.85825684924259</v>
          </cell>
          <cell r="R44">
            <v>500.64808254420291</v>
          </cell>
          <cell r="S44">
            <v>52.825268426711432</v>
          </cell>
          <cell r="T44">
            <v>67.417743251686829</v>
          </cell>
          <cell r="U44">
            <v>76.438705597610351</v>
          </cell>
          <cell r="V44">
            <v>64.755256849242642</v>
          </cell>
          <cell r="W44">
            <v>37.148082544202907</v>
          </cell>
          <cell r="FZ44">
            <v>40</v>
          </cell>
          <cell r="GA44">
            <v>810.04775327517348</v>
          </cell>
          <cell r="GB44">
            <v>0.2</v>
          </cell>
        </row>
        <row r="45">
          <cell r="N45">
            <v>799.4419892778177</v>
          </cell>
          <cell r="O45">
            <v>1017.2238904960392</v>
          </cell>
          <cell r="P45">
            <v>1141.846469120243</v>
          </cell>
          <cell r="Q45">
            <v>960.18544247843488</v>
          </cell>
          <cell r="R45">
            <v>540.59657648860423</v>
          </cell>
          <cell r="S45">
            <v>56.616720851106265</v>
          </cell>
          <cell r="T45">
            <v>74.853147244352272</v>
          </cell>
          <cell r="U45">
            <v>84.245763522632615</v>
          </cell>
          <cell r="V45">
            <v>71.327185629192286</v>
          </cell>
          <cell r="W45">
            <v>39.948493944401321</v>
          </cell>
          <cell r="FZ45">
            <v>41</v>
          </cell>
          <cell r="GA45">
            <v>842.44966340618043</v>
          </cell>
          <cell r="GB45">
            <v>0.2</v>
          </cell>
        </row>
        <row r="46">
          <cell r="N46">
            <v>860.12228822185841</v>
          </cell>
          <cell r="O46">
            <v>1094.6851155442046</v>
          </cell>
          <cell r="P46">
            <v>1229.3671770623182</v>
          </cell>
          <cell r="Q46">
            <v>1032.1037397518191</v>
          </cell>
          <cell r="R46">
            <v>580.8592795468345</v>
          </cell>
          <cell r="S46">
            <v>60.680298944040715</v>
          </cell>
          <cell r="T46">
            <v>77.461225048165375</v>
          </cell>
          <cell r="U46">
            <v>87.520707942075205</v>
          </cell>
          <cell r="V46">
            <v>71.918297273384269</v>
          </cell>
          <cell r="W46">
            <v>40.262703058230272</v>
          </cell>
          <cell r="FZ46">
            <v>42</v>
          </cell>
          <cell r="GA46">
            <v>867.72315330836591</v>
          </cell>
          <cell r="GB46">
            <v>0.2</v>
          </cell>
        </row>
        <row r="47">
          <cell r="N47">
            <v>925.1578223288501</v>
          </cell>
          <cell r="O47">
            <v>1177.4564053285565</v>
          </cell>
          <cell r="P47">
            <v>1321.4069400576111</v>
          </cell>
          <cell r="Q47">
            <v>1109.1073543850268</v>
          </cell>
          <cell r="R47">
            <v>623.53626012307257</v>
          </cell>
          <cell r="S47">
            <v>65.03553410699169</v>
          </cell>
          <cell r="T47">
            <v>82.771289784351893</v>
          </cell>
          <cell r="U47">
            <v>92.039762995292904</v>
          </cell>
          <cell r="V47">
            <v>77.00361463320769</v>
          </cell>
          <cell r="W47">
            <v>42.676980576238066</v>
          </cell>
          <cell r="FZ47">
            <v>43</v>
          </cell>
          <cell r="GA47">
            <v>885.07761637453325</v>
          </cell>
          <cell r="GB47">
            <v>0.2</v>
          </cell>
        </row>
        <row r="48">
          <cell r="N48">
            <v>994.86118190659784</v>
          </cell>
          <cell r="O48">
            <v>1266.3133808732127</v>
          </cell>
          <cell r="P48">
            <v>1419.9805041271859</v>
          </cell>
          <cell r="Q48">
            <v>1192.0015760681895</v>
          </cell>
          <cell r="R48">
            <v>669.40099721265346</v>
          </cell>
          <cell r="S48">
            <v>69.703359577747733</v>
          </cell>
          <cell r="T48">
            <v>88.856975544656279</v>
          </cell>
          <cell r="U48">
            <v>98.573564069574786</v>
          </cell>
          <cell r="V48">
            <v>82.894221683162641</v>
          </cell>
          <cell r="W48">
            <v>45.864737089580899</v>
          </cell>
          <cell r="FZ48">
            <v>44</v>
          </cell>
          <cell r="GA48">
            <v>902.77916870202398</v>
          </cell>
          <cell r="GB48">
            <v>0.2</v>
          </cell>
        </row>
        <row r="49">
          <cell r="N49">
            <v>1069.5673929516524</v>
          </cell>
          <cell r="O49">
            <v>1360.7803671478041</v>
          </cell>
          <cell r="P49">
            <v>1524.9171093287671</v>
          </cell>
          <cell r="Q49">
            <v>1279.8350418199216</v>
          </cell>
          <cell r="R49">
            <v>716.31485967129208</v>
          </cell>
          <cell r="S49">
            <v>74.706211045054602</v>
          </cell>
          <cell r="T49">
            <v>94.466986274591363</v>
          </cell>
          <cell r="U49">
            <v>104.93660520158119</v>
          </cell>
          <cell r="V49">
            <v>87.833465751732092</v>
          </cell>
          <cell r="W49">
            <v>46.913862458638619</v>
          </cell>
          <cell r="FZ49">
            <v>45</v>
          </cell>
          <cell r="GA49">
            <v>920.83475207606443</v>
          </cell>
          <cell r="GB49">
            <v>0.2</v>
          </cell>
        </row>
        <row r="50">
          <cell r="N50">
            <v>1149.6355274363787</v>
          </cell>
          <cell r="O50">
            <v>1462.1464511162799</v>
          </cell>
          <cell r="P50">
            <v>1637.7082921941562</v>
          </cell>
          <cell r="Q50">
            <v>1373.584528180985</v>
          </cell>
          <cell r="R50">
            <v>766.59196494058733</v>
          </cell>
          <cell r="S50">
            <v>80.068134484726215</v>
          </cell>
          <cell r="T50">
            <v>101.36608396847578</v>
          </cell>
          <cell r="U50">
            <v>112.79118286538915</v>
          </cell>
          <cell r="V50">
            <v>93.749486361063418</v>
          </cell>
          <cell r="W50">
            <v>50.277105269295248</v>
          </cell>
          <cell r="FZ50">
            <v>46</v>
          </cell>
          <cell r="GA50">
            <v>939.25144711758571</v>
          </cell>
          <cell r="GB50">
            <v>0.2</v>
          </cell>
        </row>
        <row r="51">
          <cell r="N51">
            <v>1235.4504291718947</v>
          </cell>
          <cell r="O51">
            <v>1569.4893676019494</v>
          </cell>
          <cell r="P51">
            <v>1758.9779200570902</v>
          </cell>
          <cell r="Q51">
            <v>1469.7536030643444</v>
          </cell>
          <cell r="R51">
            <v>819.941592223361</v>
          </cell>
          <cell r="S51">
            <v>85.814901735516059</v>
          </cell>
          <cell r="T51">
            <v>107.34291648566955</v>
          </cell>
          <cell r="U51">
            <v>121.26962786293393</v>
          </cell>
          <cell r="V51">
            <v>96.169074883359372</v>
          </cell>
          <cell r="W51">
            <v>53.349627282773668</v>
          </cell>
          <cell r="FZ51">
            <v>47</v>
          </cell>
          <cell r="GA51">
            <v>958.0364760599374</v>
          </cell>
          <cell r="GB51">
            <v>0.2</v>
          </cell>
        </row>
        <row r="52">
          <cell r="N52">
            <v>1327.4245635421805</v>
          </cell>
          <cell r="O52">
            <v>1686.1379661948713</v>
          </cell>
          <cell r="P52">
            <v>1885.4623072330214</v>
          </cell>
          <cell r="Q52">
            <v>1572.6316231897233</v>
          </cell>
          <cell r="R52">
            <v>880.3883704191951</v>
          </cell>
          <cell r="S52">
            <v>91.97413437028581</v>
          </cell>
          <cell r="T52">
            <v>116.64859859292187</v>
          </cell>
          <cell r="U52">
            <v>126.48438717593126</v>
          </cell>
          <cell r="V52">
            <v>102.87802012537895</v>
          </cell>
          <cell r="W52">
            <v>60.446778195834099</v>
          </cell>
          <cell r="FZ52">
            <v>48</v>
          </cell>
          <cell r="GA52">
            <v>977.19720558113613</v>
          </cell>
          <cell r="GB52">
            <v>0.2</v>
          </cell>
        </row>
        <row r="53">
          <cell r="N53">
            <v>1426</v>
          </cell>
          <cell r="O53">
            <v>1811.3516999999999</v>
          </cell>
          <cell r="P53">
            <v>2020.6823000000002</v>
          </cell>
          <cell r="Q53">
            <v>1687.8197999999998</v>
          </cell>
          <cell r="R53">
            <v>946.40519999999992</v>
          </cell>
          <cell r="S53">
            <v>98.575436457819478</v>
          </cell>
          <cell r="T53">
            <v>125.21373380512864</v>
          </cell>
          <cell r="U53">
            <v>135.21999276697875</v>
          </cell>
          <cell r="V53">
            <v>115.18817681027645</v>
          </cell>
          <cell r="W53">
            <v>66.016829580804824</v>
          </cell>
          <cell r="FZ53">
            <v>49</v>
          </cell>
          <cell r="GA53">
            <v>996.74114969275888</v>
          </cell>
          <cell r="GB53">
            <v>0.2</v>
          </cell>
        </row>
        <row r="54">
          <cell r="N54">
            <v>1531.6505368534229</v>
          </cell>
          <cell r="O54">
            <v>1938.1905454352827</v>
          </cell>
          <cell r="P54">
            <v>2164.3320878515306</v>
          </cell>
          <cell r="Q54">
            <v>1811.4964086368636</v>
          </cell>
          <cell r="R54">
            <v>1014.1224688260519</v>
          </cell>
          <cell r="S54">
            <v>105.65053685342286</v>
          </cell>
          <cell r="T54">
            <v>126.83884543528279</v>
          </cell>
          <cell r="U54">
            <v>143.64978785153039</v>
          </cell>
          <cell r="V54">
            <v>123.67660863686388</v>
          </cell>
          <cell r="W54">
            <v>67.717268826051964</v>
          </cell>
          <cell r="FZ54">
            <v>50</v>
          </cell>
          <cell r="GA54">
            <v>1016.675972686614</v>
          </cell>
          <cell r="GB54">
            <v>0.2</v>
          </cell>
        </row>
        <row r="55">
          <cell r="N55">
            <v>1644.8839785556356</v>
          </cell>
          <cell r="O55">
            <v>2082.4374201903788</v>
          </cell>
          <cell r="P55">
            <v>2330.1962815429533</v>
          </cell>
          <cell r="Q55">
            <v>1949.8383165103787</v>
          </cell>
          <cell r="R55">
            <v>1088.7272503975591</v>
          </cell>
          <cell r="S55">
            <v>113.23344170221276</v>
          </cell>
          <cell r="T55">
            <v>144.24687475509609</v>
          </cell>
          <cell r="U55">
            <v>165.86419369142277</v>
          </cell>
          <cell r="V55">
            <v>138.34190787351508</v>
          </cell>
          <cell r="W55">
            <v>74.60478157150726</v>
          </cell>
          <cell r="FZ55">
            <v>51</v>
          </cell>
          <cell r="GA55">
            <v>1037.0094921403463</v>
          </cell>
          <cell r="GB55">
            <v>0.2</v>
          </cell>
        </row>
        <row r="56">
          <cell r="N56">
            <v>1766.2445764437161</v>
          </cell>
          <cell r="O56">
            <v>2239.6825954973315</v>
          </cell>
          <cell r="P56">
            <v>2509.806665491662</v>
          </cell>
          <cell r="Q56">
            <v>2092.9076711948587</v>
          </cell>
          <cell r="R56">
            <v>1167.8677915794442</v>
          </cell>
          <cell r="S56">
            <v>121.36059788808052</v>
          </cell>
          <cell r="T56">
            <v>157.24517530695266</v>
          </cell>
          <cell r="U56">
            <v>179.61038394870866</v>
          </cell>
          <cell r="V56">
            <v>143.06935468448</v>
          </cell>
          <cell r="W56">
            <v>79.140541181885055</v>
          </cell>
          <cell r="FZ56">
            <v>52</v>
          </cell>
          <cell r="GA56">
            <v>1057.7496819831533</v>
          </cell>
          <cell r="GB56">
            <v>0.2</v>
          </cell>
        </row>
        <row r="57">
          <cell r="N57">
            <v>1896.3156446577002</v>
          </cell>
          <cell r="O57">
            <v>2408.4857657278585</v>
          </cell>
          <cell r="P57">
            <v>2689.3837042307518</v>
          </cell>
          <cell r="Q57">
            <v>2241.5151732157478</v>
          </cell>
          <cell r="R57">
            <v>1247.5036141140115</v>
          </cell>
          <cell r="S57">
            <v>130.07106821398406</v>
          </cell>
          <cell r="T57">
            <v>168.80317023052703</v>
          </cell>
          <cell r="U57">
            <v>179.57703873908986</v>
          </cell>
          <cell r="V57">
            <v>148.60750202088911</v>
          </cell>
          <cell r="W57">
            <v>79.635822534567296</v>
          </cell>
          <cell r="FZ57">
            <v>53</v>
          </cell>
          <cell r="GA57">
            <v>1078.9046756228165</v>
          </cell>
          <cell r="GB57">
            <v>0.2</v>
          </cell>
        </row>
        <row r="58">
          <cell r="N58">
            <v>2035.7223638131961</v>
          </cell>
          <cell r="O58">
            <v>2581.6898253376967</v>
          </cell>
          <cell r="P58">
            <v>2879.4407739457738</v>
          </cell>
          <cell r="Q58">
            <v>2398.0942210221438</v>
          </cell>
          <cell r="R58">
            <v>1333.2875112126535</v>
          </cell>
          <cell r="S58">
            <v>139.40671915549592</v>
          </cell>
          <cell r="T58">
            <v>173.20405960983817</v>
          </cell>
          <cell r="U58">
            <v>190.05706971502195</v>
          </cell>
          <cell r="V58">
            <v>156.57904780639592</v>
          </cell>
          <cell r="W58">
            <v>85.783897098642001</v>
          </cell>
          <cell r="FZ58">
            <v>54</v>
          </cell>
          <cell r="GA58">
            <v>1100.482769135273</v>
          </cell>
          <cell r="GB58">
            <v>0.2</v>
          </cell>
        </row>
        <row r="59">
          <cell r="N59">
            <v>2185.1347859033053</v>
          </cell>
          <cell r="O59">
            <v>2765.4448312300565</v>
          </cell>
          <cell r="P59">
            <v>3083.8617221732834</v>
          </cell>
          <cell r="Q59">
            <v>2565.7852656076611</v>
          </cell>
          <cell r="R59">
            <v>1425.2731652774821</v>
          </cell>
          <cell r="S59">
            <v>149.4124220901092</v>
          </cell>
          <cell r="T59">
            <v>183.7550058923598</v>
          </cell>
          <cell r="U59">
            <v>204.4209482275096</v>
          </cell>
          <cell r="V59">
            <v>167.69104458551737</v>
          </cell>
          <cell r="W59">
            <v>91.985654064828623</v>
          </cell>
          <cell r="FZ59">
            <v>55</v>
          </cell>
          <cell r="GA59">
            <v>1122.4924245179784</v>
          </cell>
          <cell r="GB59">
            <v>0.2</v>
          </cell>
        </row>
        <row r="60">
          <cell r="N60">
            <v>2345.2710548727578</v>
          </cell>
          <cell r="O60">
            <v>2968.7919553027004</v>
          </cell>
          <cell r="P60">
            <v>3304.7571323285597</v>
          </cell>
          <cell r="Q60">
            <v>2746.4653577160998</v>
          </cell>
          <cell r="R60">
            <v>1526.0474817443567</v>
          </cell>
          <cell r="S60">
            <v>160.13626896945243</v>
          </cell>
          <cell r="T60">
            <v>203.34712407264396</v>
          </cell>
          <cell r="U60">
            <v>220.89541015527629</v>
          </cell>
          <cell r="V60">
            <v>180.68009210843866</v>
          </cell>
          <cell r="W60">
            <v>100.77431646687455</v>
          </cell>
          <cell r="FZ60">
            <v>56</v>
          </cell>
          <cell r="GA60">
            <v>1144.9422730083379</v>
          </cell>
          <cell r="GB60">
            <v>0.2</v>
          </cell>
        </row>
        <row r="61">
          <cell r="N61">
            <v>2516.9008583437885</v>
          </cell>
          <cell r="O61">
            <v>3179.8197152899115</v>
          </cell>
          <cell r="P61">
            <v>3541.126305028768</v>
          </cell>
          <cell r="Q61">
            <v>2942.9465153781307</v>
          </cell>
          <cell r="R61">
            <v>1633.2169669792843</v>
          </cell>
          <cell r="S61">
            <v>171.62980347103075</v>
          </cell>
          <cell r="T61">
            <v>211.02775998721108</v>
          </cell>
          <cell r="U61">
            <v>236.36917270020831</v>
          </cell>
          <cell r="V61">
            <v>196.48115766203091</v>
          </cell>
          <cell r="W61">
            <v>107.16948523492761</v>
          </cell>
          <cell r="FZ61">
            <v>57</v>
          </cell>
          <cell r="GA61">
            <v>1167.8411184685046</v>
          </cell>
          <cell r="GB61">
            <v>0.2</v>
          </cell>
        </row>
        <row r="62">
          <cell r="N62">
            <v>2700.8491270843624</v>
          </cell>
          <cell r="O62">
            <v>3413.0043277850505</v>
          </cell>
          <cell r="P62">
            <v>3797.2588302242589</v>
          </cell>
          <cell r="Q62">
            <v>3152.5896292338052</v>
          </cell>
          <cell r="R62">
            <v>1751.3714878690009</v>
          </cell>
          <cell r="S62">
            <v>183.94826874057389</v>
          </cell>
          <cell r="T62">
            <v>233.18461249513894</v>
          </cell>
          <cell r="U62">
            <v>256.13252519549087</v>
          </cell>
          <cell r="V62">
            <v>209.64311385567453</v>
          </cell>
          <cell r="W62">
            <v>118.15452088971665</v>
          </cell>
          <cell r="FZ62">
            <v>58</v>
          </cell>
          <cell r="GA62">
            <v>1191.1979408378747</v>
          </cell>
          <cell r="GB62">
            <v>0.2</v>
          </cell>
        </row>
        <row r="63">
          <cell r="N63">
            <v>2898</v>
          </cell>
          <cell r="O63">
            <v>3657.4965000000002</v>
          </cell>
          <cell r="P63">
            <v>4069.2833999999998</v>
          </cell>
          <cell r="Q63">
            <v>3379.4712</v>
          </cell>
          <cell r="R63">
            <v>1882.4589000000003</v>
          </cell>
          <cell r="S63">
            <v>197.15087291563759</v>
          </cell>
          <cell r="T63">
            <v>244.49217221494973</v>
          </cell>
          <cell r="U63">
            <v>272.02456977574093</v>
          </cell>
          <cell r="V63">
            <v>226.88157076619473</v>
          </cell>
          <cell r="W63">
            <v>131.08741213099938</v>
          </cell>
          <cell r="FZ63">
            <v>59</v>
          </cell>
          <cell r="GA63">
            <v>1215.0218996546323</v>
          </cell>
          <cell r="GB63">
            <v>0.2</v>
          </cell>
        </row>
        <row r="64">
          <cell r="N64">
            <v>3109.3010737068457</v>
          </cell>
          <cell r="O64">
            <v>3925.9860381165895</v>
          </cell>
          <cell r="P64">
            <v>4365.9859367969093</v>
          </cell>
          <cell r="Q64">
            <v>3628.6625026184524</v>
          </cell>
          <cell r="R64">
            <v>2019.01789286138</v>
          </cell>
          <cell r="S64">
            <v>211.30107370684573</v>
          </cell>
          <cell r="T64">
            <v>268.4895381165893</v>
          </cell>
          <cell r="U64">
            <v>296.7025367969095</v>
          </cell>
          <cell r="V64">
            <v>249.19130261845248</v>
          </cell>
          <cell r="W64">
            <v>136.55899286137969</v>
          </cell>
          <cell r="FZ64">
            <v>60</v>
          </cell>
          <cell r="GA64">
            <v>1239.3223376477249</v>
          </cell>
          <cell r="GB64">
            <v>0.2</v>
          </cell>
        </row>
        <row r="65">
          <cell r="N65">
            <v>3335.7679571112699</v>
          </cell>
          <cell r="O65">
            <v>4210.4788321605647</v>
          </cell>
          <cell r="P65">
            <v>4687.2833516127894</v>
          </cell>
          <cell r="Q65">
            <v>3898.1856863497019</v>
          </cell>
          <cell r="R65">
            <v>2175.7836567037139</v>
          </cell>
          <cell r="S65">
            <v>226.46688340442415</v>
          </cell>
          <cell r="T65">
            <v>284.49279404397521</v>
          </cell>
          <cell r="U65">
            <v>321.29741481588007</v>
          </cell>
          <cell r="V65">
            <v>269.52318373124945</v>
          </cell>
          <cell r="W65">
            <v>156.76576384233385</v>
          </cell>
          <cell r="FZ65">
            <v>61</v>
          </cell>
          <cell r="GA65">
            <v>1264.1087844006795</v>
          </cell>
          <cell r="GB65">
            <v>0.2</v>
          </cell>
        </row>
        <row r="66">
          <cell r="N66">
            <v>3578.4891528874323</v>
          </cell>
          <cell r="O66">
            <v>4520.4953050880667</v>
          </cell>
          <cell r="P66">
            <v>5030.4689059957536</v>
          </cell>
          <cell r="Q66">
            <v>4189.8429073612688</v>
          </cell>
          <cell r="R66">
            <v>2338.1070192541943</v>
          </cell>
          <cell r="S66">
            <v>242.7211957761624</v>
          </cell>
          <cell r="T66">
            <v>310.01647292750204</v>
          </cell>
          <cell r="U66">
            <v>343.18555438296426</v>
          </cell>
          <cell r="V66">
            <v>291.65722101156689</v>
          </cell>
          <cell r="W66">
            <v>162.3233625504804</v>
          </cell>
          <cell r="FZ66">
            <v>62</v>
          </cell>
          <cell r="GA66">
            <v>1289.3909600886932</v>
          </cell>
          <cell r="GB66">
            <v>0.2</v>
          </cell>
        </row>
        <row r="67">
          <cell r="N67">
            <v>3838.631289315399</v>
          </cell>
          <cell r="O67">
            <v>4850.7949118015804</v>
          </cell>
          <cell r="P67">
            <v>5402.2393310636253</v>
          </cell>
          <cell r="Q67">
            <v>4503.0232618402342</v>
          </cell>
          <cell r="R67">
            <v>2507.2187163176109</v>
          </cell>
          <cell r="S67">
            <v>260.14213642796676</v>
          </cell>
          <cell r="T67">
            <v>330.29960671351364</v>
          </cell>
          <cell r="U67">
            <v>371.77042506787166</v>
          </cell>
          <cell r="V67">
            <v>313.18035447896546</v>
          </cell>
          <cell r="W67">
            <v>169.11169706341661</v>
          </cell>
          <cell r="FZ67">
            <v>63</v>
          </cell>
          <cell r="GA67">
            <v>1315.178779290467</v>
          </cell>
          <cell r="GB67">
            <v>0.2</v>
          </cell>
        </row>
        <row r="68">
          <cell r="N68">
            <v>4117.4447276263909</v>
          </cell>
          <cell r="O68">
            <v>5202.5256778579324</v>
          </cell>
          <cell r="P68">
            <v>5806.0267123595722</v>
          </cell>
          <cell r="Q68">
            <v>4833.7816495985917</v>
          </cell>
          <cell r="R68">
            <v>2677.3415812386629</v>
          </cell>
          <cell r="S68">
            <v>278.81343831099184</v>
          </cell>
          <cell r="T68">
            <v>351.73076605635197</v>
          </cell>
          <cell r="U68">
            <v>403.78738129594694</v>
          </cell>
          <cell r="V68">
            <v>330.75838775835746</v>
          </cell>
          <cell r="W68">
            <v>170.12286492105204</v>
          </cell>
          <cell r="FZ68">
            <v>64</v>
          </cell>
          <cell r="GA68">
            <v>1341.4823548762763</v>
          </cell>
          <cell r="GB68">
            <v>0.2</v>
          </cell>
        </row>
        <row r="69">
          <cell r="N69">
            <v>4416.2695718066107</v>
          </cell>
          <cell r="O69">
            <v>5584.6032876140744</v>
          </cell>
          <cell r="P69">
            <v>6232.6428443465666</v>
          </cell>
          <cell r="Q69">
            <v>5166.7953843630921</v>
          </cell>
          <cell r="R69">
            <v>2868.6839062272406</v>
          </cell>
          <cell r="S69">
            <v>298.82484418021977</v>
          </cell>
          <cell r="T69">
            <v>382.07760975614201</v>
          </cell>
          <cell r="U69">
            <v>426.61613198699433</v>
          </cell>
          <cell r="V69">
            <v>333.01373476450044</v>
          </cell>
          <cell r="W69">
            <v>191.34232498857773</v>
          </cell>
          <cell r="FZ69">
            <v>65</v>
          </cell>
          <cell r="GA69">
            <v>1368.3120019738019</v>
          </cell>
          <cell r="GB69">
            <v>0.2</v>
          </cell>
        </row>
        <row r="70">
          <cell r="N70">
            <v>4736.5421097455128</v>
          </cell>
          <cell r="O70">
            <v>5994.4338352951672</v>
          </cell>
          <cell r="P70">
            <v>6669.648506700737</v>
          </cell>
          <cell r="Q70">
            <v>5523.467097126364</v>
          </cell>
          <cell r="R70">
            <v>3069.2998807764393</v>
          </cell>
          <cell r="S70">
            <v>320.27253793890213</v>
          </cell>
          <cell r="T70">
            <v>409.83054768109287</v>
          </cell>
          <cell r="U70">
            <v>437.00566235417045</v>
          </cell>
          <cell r="V70">
            <v>356.6717127632719</v>
          </cell>
          <cell r="W70">
            <v>200.61597454919865</v>
          </cell>
          <cell r="FZ70">
            <v>66</v>
          </cell>
          <cell r="GA70">
            <v>1395.6782420132779</v>
          </cell>
          <cell r="GB70">
            <v>0.2</v>
          </cell>
        </row>
        <row r="71">
          <cell r="N71">
            <v>5079.8017166875779</v>
          </cell>
          <cell r="O71">
            <v>6420.7147672321553</v>
          </cell>
          <cell r="P71">
            <v>7120.8439603582265</v>
          </cell>
          <cell r="Q71">
            <v>5913.5186519153212</v>
          </cell>
          <cell r="R71">
            <v>3281.4966937441241</v>
          </cell>
          <cell r="S71">
            <v>343.25960694206515</v>
          </cell>
          <cell r="T71">
            <v>426.28093193698805</v>
          </cell>
          <cell r="U71">
            <v>451.19545365748945</v>
          </cell>
          <cell r="V71">
            <v>390.05155478895722</v>
          </cell>
          <cell r="W71">
            <v>212.19681296768476</v>
          </cell>
          <cell r="FZ71">
            <v>67</v>
          </cell>
          <cell r="GA71">
            <v>1423.5918068535434</v>
          </cell>
          <cell r="GB71">
            <v>0.2</v>
          </cell>
        </row>
        <row r="72">
          <cell r="N72">
            <v>5447.6982541687212</v>
          </cell>
          <cell r="O72">
            <v>6868.2684736992569</v>
          </cell>
          <cell r="P72">
            <v>7634.4043333920454</v>
          </cell>
          <cell r="Q72">
            <v>6338.1363766348895</v>
          </cell>
          <cell r="R72">
            <v>3508.175561817156</v>
          </cell>
          <cell r="S72">
            <v>367.89653748114324</v>
          </cell>
          <cell r="T72">
            <v>447.55370646710162</v>
          </cell>
          <cell r="U72">
            <v>513.56037303381891</v>
          </cell>
          <cell r="V72">
            <v>424.61772471956829</v>
          </cell>
          <cell r="W72">
            <v>226.67886807303194</v>
          </cell>
          <cell r="FZ72">
            <v>68</v>
          </cell>
          <cell r="GA72">
            <v>1452.0636429906142</v>
          </cell>
          <cell r="GB72">
            <v>0.2</v>
          </cell>
        </row>
        <row r="73">
          <cell r="N73">
            <v>5842</v>
          </cell>
          <cell r="O73">
            <v>7367.9431000000004</v>
          </cell>
          <cell r="P73">
            <v>8199.691499999999</v>
          </cell>
          <cell r="Q73">
            <v>6790.3471000000009</v>
          </cell>
          <cell r="R73">
            <v>3759.4794000000002</v>
          </cell>
          <cell r="S73">
            <v>394.30174583127882</v>
          </cell>
          <cell r="T73">
            <v>499.67462630074351</v>
          </cell>
          <cell r="U73">
            <v>565.28716660795362</v>
          </cell>
          <cell r="V73">
            <v>452.21072336511133</v>
          </cell>
          <cell r="W73">
            <v>251.30383818284417</v>
          </cell>
          <cell r="FZ73">
            <v>69</v>
          </cell>
          <cell r="GA73">
            <v>1481.1049158504266</v>
          </cell>
          <cell r="GB73">
            <v>0.2</v>
          </cell>
        </row>
        <row r="74">
          <cell r="N74">
            <v>6264.6021474136924</v>
          </cell>
          <cell r="O74">
            <v>7908.2294703902389</v>
          </cell>
          <cell r="P74">
            <v>8789.1278632188478</v>
          </cell>
          <cell r="Q74">
            <v>7273.1349996456938</v>
          </cell>
          <cell r="R74">
            <v>4030.0321801315486</v>
          </cell>
          <cell r="S74">
            <v>422.60214741369236</v>
          </cell>
          <cell r="T74">
            <v>540.28637039023852</v>
          </cell>
          <cell r="U74">
            <v>589.43636321884878</v>
          </cell>
          <cell r="V74">
            <v>482.78789964569296</v>
          </cell>
          <cell r="W74">
            <v>270.55278013154839</v>
          </cell>
          <cell r="FZ74">
            <v>70</v>
          </cell>
          <cell r="GA74">
            <v>1510.7270141674351</v>
          </cell>
          <cell r="GB74">
            <v>0.2</v>
          </cell>
        </row>
        <row r="75">
          <cell r="N75">
            <v>6717.5359142225398</v>
          </cell>
          <cell r="O75">
            <v>8480.9767117396204</v>
          </cell>
          <cell r="P75">
            <v>9401.9946955963624</v>
          </cell>
          <cell r="Q75">
            <v>7785.4488845165961</v>
          </cell>
          <cell r="R75">
            <v>4315.3888813133908</v>
          </cell>
          <cell r="S75">
            <v>452.93376680884739</v>
          </cell>
          <cell r="T75">
            <v>572.74724134938151</v>
          </cell>
          <cell r="U75">
            <v>612.86683237751458</v>
          </cell>
          <cell r="V75">
            <v>512.31388487090226</v>
          </cell>
          <cell r="W75">
            <v>285.35670118184225</v>
          </cell>
          <cell r="FZ75">
            <v>71</v>
          </cell>
          <cell r="GA75">
            <v>1540.9415544507838</v>
          </cell>
          <cell r="GB75">
            <v>0.2</v>
          </cell>
        </row>
        <row r="76">
          <cell r="N76">
            <v>7202.9783057748664</v>
          </cell>
          <cell r="O76">
            <v>9072.871473954021</v>
          </cell>
          <cell r="P76">
            <v>10062.905183434286</v>
          </cell>
          <cell r="Q76">
            <v>8338.3869078438565</v>
          </cell>
          <cell r="R76">
            <v>4622.4017171915848</v>
          </cell>
          <cell r="S76">
            <v>485.44239155232663</v>
          </cell>
          <cell r="T76">
            <v>591.89476221440054</v>
          </cell>
          <cell r="U76">
            <v>660.91048783792394</v>
          </cell>
          <cell r="V76">
            <v>552.93802332726045</v>
          </cell>
          <cell r="W76">
            <v>307.01283587819398</v>
          </cell>
          <cell r="FZ76">
            <v>72</v>
          </cell>
          <cell r="GA76">
            <v>1571.7603855397995</v>
          </cell>
          <cell r="GB76">
            <v>0.2</v>
          </cell>
        </row>
        <row r="77">
          <cell r="N77">
            <v>7723.2625786307999</v>
          </cell>
          <cell r="O77">
            <v>9725.9717240747977</v>
          </cell>
          <cell r="P77">
            <v>10801.990098290646</v>
          </cell>
          <cell r="Q77">
            <v>8947.6011737588742</v>
          </cell>
          <cell r="R77">
            <v>4961.4742496161989</v>
          </cell>
          <cell r="S77">
            <v>520.28427285593352</v>
          </cell>
          <cell r="T77">
            <v>653.10025012077676</v>
          </cell>
          <cell r="U77">
            <v>739.08491485635932</v>
          </cell>
          <cell r="V77">
            <v>609.21426591501768</v>
          </cell>
          <cell r="W77">
            <v>339.07253242461411</v>
          </cell>
          <cell r="FZ77">
            <v>73</v>
          </cell>
          <cell r="GA77">
            <v>1603.1955932505955</v>
          </cell>
          <cell r="GB77">
            <v>0.2</v>
          </cell>
        </row>
        <row r="78">
          <cell r="N78">
            <v>8280.8894552527818</v>
          </cell>
          <cell r="O78">
            <v>10435.432876040768</v>
          </cell>
          <cell r="P78">
            <v>11591.73307493163</v>
          </cell>
          <cell r="Q78">
            <v>9601.0432537560609</v>
          </cell>
          <cell r="R78">
            <v>5330.8225868189775</v>
          </cell>
          <cell r="S78">
            <v>557.62687662198186</v>
          </cell>
          <cell r="T78">
            <v>709.4611519659702</v>
          </cell>
          <cell r="U78">
            <v>789.74297664098412</v>
          </cell>
          <cell r="V78">
            <v>653.44207999718674</v>
          </cell>
          <cell r="W78">
            <v>369.34833720277857</v>
          </cell>
          <cell r="FZ78">
            <v>74</v>
          </cell>
          <cell r="GA78">
            <v>1635.2595051156075</v>
          </cell>
          <cell r="GB78">
            <v>0.2</v>
          </cell>
        </row>
        <row r="79">
          <cell r="N79">
            <v>8878.5391436132213</v>
          </cell>
          <cell r="O79">
            <v>11187.287440877531</v>
          </cell>
          <cell r="P79">
            <v>12423.064282636185</v>
          </cell>
          <cell r="Q79">
            <v>10303.911398432119</v>
          </cell>
          <cell r="R79">
            <v>5733.4517601925972</v>
          </cell>
          <cell r="S79">
            <v>597.64968836043954</v>
          </cell>
          <cell r="T79">
            <v>751.85456483676353</v>
          </cell>
          <cell r="U79">
            <v>831.33120770455571</v>
          </cell>
          <cell r="V79">
            <v>702.86814467605836</v>
          </cell>
          <cell r="W79">
            <v>402.62917337361978</v>
          </cell>
          <cell r="FZ79">
            <v>75</v>
          </cell>
          <cell r="GA79">
            <v>1667.9646952179196</v>
          </cell>
          <cell r="GB79">
            <v>0.2</v>
          </cell>
        </row>
        <row r="80">
          <cell r="N80">
            <v>9519.0842194910274</v>
          </cell>
          <cell r="O80">
            <v>12001.33028535274</v>
          </cell>
          <cell r="P80">
            <v>13334.39525564707</v>
          </cell>
          <cell r="Q80">
            <v>11064.341993234622</v>
          </cell>
          <cell r="R80">
            <v>6132.1733605347736</v>
          </cell>
          <cell r="S80">
            <v>640.54507587780608</v>
          </cell>
          <cell r="T80">
            <v>814.04284447520877</v>
          </cell>
          <cell r="U80">
            <v>911.33097301088492</v>
          </cell>
          <cell r="V80">
            <v>760.43059480250304</v>
          </cell>
          <cell r="W80">
            <v>398.72160034217632</v>
          </cell>
          <cell r="FZ80">
            <v>76</v>
          </cell>
          <cell r="GA80">
            <v>1701.3239891222779</v>
          </cell>
          <cell r="GB80">
            <v>0.2</v>
          </cell>
        </row>
        <row r="81">
          <cell r="N81">
            <v>10205.603433375156</v>
          </cell>
          <cell r="O81">
            <v>12866.869831288672</v>
          </cell>
          <cell r="P81">
            <v>14308.189455308708</v>
          </cell>
          <cell r="Q81">
            <v>11862.30566202825</v>
          </cell>
          <cell r="R81">
            <v>6556.1462038834607</v>
          </cell>
          <cell r="S81">
            <v>686.51921388412848</v>
          </cell>
          <cell r="T81">
            <v>865.53954593593153</v>
          </cell>
          <cell r="U81">
            <v>973.79419966163732</v>
          </cell>
          <cell r="V81">
            <v>797.96366879362722</v>
          </cell>
          <cell r="W81">
            <v>423.97284334868709</v>
          </cell>
          <cell r="FZ81">
            <v>77</v>
          </cell>
          <cell r="GA81">
            <v>1735.3504689047236</v>
          </cell>
          <cell r="GB81">
            <v>0.2</v>
          </cell>
        </row>
        <row r="82">
          <cell r="N82">
            <v>10941.396508337442</v>
          </cell>
          <cell r="O82">
            <v>13807.281252895182</v>
          </cell>
          <cell r="P82">
            <v>15354.918003354933</v>
          </cell>
          <cell r="Q82">
            <v>12680.793125428094</v>
          </cell>
          <cell r="R82">
            <v>7016.5748669292998</v>
          </cell>
          <cell r="S82">
            <v>735.79307496228648</v>
          </cell>
          <cell r="T82">
            <v>940.41142160650998</v>
          </cell>
          <cell r="U82">
            <v>1046.7285480462251</v>
          </cell>
          <cell r="V82">
            <v>818.48746339984427</v>
          </cell>
          <cell r="W82">
            <v>460.42866304583913</v>
          </cell>
          <cell r="FZ82">
            <v>78</v>
          </cell>
          <cell r="GA82">
            <v>1770.057478282818</v>
          </cell>
          <cell r="GB82">
            <v>0.2</v>
          </cell>
        </row>
        <row r="83">
          <cell r="N83">
            <v>11730</v>
          </cell>
          <cell r="O83">
            <v>14812.695</v>
          </cell>
          <cell r="P83">
            <v>16410.576000000001</v>
          </cell>
          <cell r="Q83">
            <v>13552.740000000002</v>
          </cell>
          <cell r="R83">
            <v>7496.0309999999999</v>
          </cell>
          <cell r="S83">
            <v>788.60349166255764</v>
          </cell>
          <cell r="T83">
            <v>1005.413747104818</v>
          </cell>
          <cell r="U83">
            <v>1055.6579966450681</v>
          </cell>
          <cell r="V83">
            <v>871.94687457190776</v>
          </cell>
          <cell r="W83">
            <v>479.45613307070016</v>
          </cell>
          <cell r="FZ83">
            <v>79</v>
          </cell>
          <cell r="GA83">
            <v>1805.4586278484744</v>
          </cell>
          <cell r="GB83">
            <v>0.2</v>
          </cell>
        </row>
        <row r="84">
          <cell r="N84">
            <v>12575.204294827385</v>
          </cell>
          <cell r="O84">
            <v>15836.064118078692</v>
          </cell>
          <cell r="P84">
            <v>17533.333974271412</v>
          </cell>
          <cell r="Q84">
            <v>14498.308417714825</v>
          </cell>
          <cell r="R84">
            <v>8019.2624536127059</v>
          </cell>
          <cell r="S84">
            <v>845.20429482738473</v>
          </cell>
          <cell r="T84">
            <v>1023.3691180786918</v>
          </cell>
          <cell r="U84">
            <v>1122.7579742714115</v>
          </cell>
          <cell r="V84">
            <v>945.56841771482323</v>
          </cell>
          <cell r="W84">
            <v>523.23145361270599</v>
          </cell>
          <cell r="FZ84">
            <v>80</v>
          </cell>
          <cell r="GA84">
            <v>1841.5678004054439</v>
          </cell>
          <cell r="GB84">
            <v>0.2</v>
          </cell>
        </row>
        <row r="85">
          <cell r="N85">
            <v>13481.07182844507</v>
          </cell>
          <cell r="O85">
            <v>16961.1226009245</v>
          </cell>
          <cell r="P85">
            <v>18780.363937495276</v>
          </cell>
          <cell r="Q85">
            <v>15533.652934359494</v>
          </cell>
          <cell r="R85">
            <v>8572.7894157755472</v>
          </cell>
          <cell r="S85">
            <v>905.86753361768569</v>
          </cell>
          <cell r="T85">
            <v>1125.0584828458086</v>
          </cell>
          <cell r="U85">
            <v>1247.0299632238639</v>
          </cell>
          <cell r="V85">
            <v>1035.3445166446691</v>
          </cell>
          <cell r="W85">
            <v>553.5269621628413</v>
          </cell>
          <cell r="FZ85">
            <v>81</v>
          </cell>
          <cell r="GA85">
            <v>1878.3991564135529</v>
          </cell>
          <cell r="GB85">
            <v>0.2</v>
          </cell>
        </row>
        <row r="86">
          <cell r="N86">
            <v>14451.956611549746</v>
          </cell>
          <cell r="O86">
            <v>18193.159753419211</v>
          </cell>
          <cell r="P86">
            <v>20161.484826615306</v>
          </cell>
          <cell r="Q86">
            <v>16642.653312781815</v>
          </cell>
          <cell r="R86">
            <v>9186.9517314772656</v>
          </cell>
          <cell r="S86">
            <v>970.88478310467508</v>
          </cell>
          <cell r="T86">
            <v>1232.0371524947113</v>
          </cell>
          <cell r="U86">
            <v>1381.1208891200295</v>
          </cell>
          <cell r="V86">
            <v>1109.0003784223209</v>
          </cell>
          <cell r="W86">
            <v>614.1623157017184</v>
          </cell>
          <cell r="FZ86">
            <v>82</v>
          </cell>
          <cell r="GA86">
            <v>1915.9671395418241</v>
          </cell>
          <cell r="GB86">
            <v>0.2</v>
          </cell>
        </row>
        <row r="87">
          <cell r="N87">
            <v>15492.5251572616</v>
          </cell>
          <cell r="O87">
            <v>19514.384688086713</v>
          </cell>
          <cell r="P87">
            <v>21591.696555857881</v>
          </cell>
          <cell r="Q87">
            <v>17816.673366070961</v>
          </cell>
          <cell r="R87">
            <v>9851.8988239177452</v>
          </cell>
          <cell r="S87">
            <v>1040.5685457118543</v>
          </cell>
          <cell r="T87">
            <v>1321.2249346675017</v>
          </cell>
          <cell r="U87">
            <v>1430.2117292425755</v>
          </cell>
          <cell r="V87">
            <v>1174.0200532891467</v>
          </cell>
          <cell r="W87">
            <v>664.94709244047954</v>
          </cell>
          <cell r="FZ87">
            <v>83</v>
          </cell>
          <cell r="GA87">
            <v>1954.2864823326606</v>
          </cell>
          <cell r="GB87">
            <v>0.2</v>
          </cell>
        </row>
        <row r="88">
          <cell r="N88">
            <v>16607.778910505567</v>
          </cell>
          <cell r="O88">
            <v>20885.292888242257</v>
          </cell>
          <cell r="P88">
            <v>23106.583317522378</v>
          </cell>
          <cell r="Q88">
            <v>19114.109371304035</v>
          </cell>
          <cell r="R88">
            <v>10561.103232393669</v>
          </cell>
          <cell r="S88">
            <v>1115.2537532439674</v>
          </cell>
          <cell r="T88">
            <v>1370.9082001555435</v>
          </cell>
          <cell r="U88">
            <v>1514.8867616644966</v>
          </cell>
          <cell r="V88">
            <v>1297.436005233074</v>
          </cell>
          <cell r="W88">
            <v>709.20440847592363</v>
          </cell>
          <cell r="FZ88">
            <v>84</v>
          </cell>
          <cell r="GA88">
            <v>1993.3722119793138</v>
          </cell>
          <cell r="GB88">
            <v>0.2</v>
          </cell>
        </row>
        <row r="89">
          <cell r="N89">
            <v>17803.078287226446</v>
          </cell>
          <cell r="O89">
            <v>22378.082383602617</v>
          </cell>
          <cell r="P89">
            <v>24773.138246052011</v>
          </cell>
          <cell r="Q89">
            <v>20537.631112144427</v>
          </cell>
          <cell r="R89">
            <v>11221.551160847546</v>
          </cell>
          <cell r="S89">
            <v>1195.2993767208791</v>
          </cell>
          <cell r="T89">
            <v>1492.7894953603609</v>
          </cell>
          <cell r="U89">
            <v>1666.5549285296329</v>
          </cell>
          <cell r="V89">
            <v>1423.5217408403914</v>
          </cell>
          <cell r="W89">
            <v>660.44792845387747</v>
          </cell>
          <cell r="FZ89">
            <v>85</v>
          </cell>
          <cell r="GA89">
            <v>2033.2396562189001</v>
          </cell>
          <cell r="GB89">
            <v>0.2</v>
          </cell>
        </row>
        <row r="90">
          <cell r="N90">
            <v>19084.16843898204</v>
          </cell>
          <cell r="O90">
            <v>24005.062758296252</v>
          </cell>
          <cell r="P90">
            <v>26608.641181245723</v>
          </cell>
          <cell r="Q90">
            <v>21895.847272561801</v>
          </cell>
          <cell r="R90">
            <v>11922.21192241363</v>
          </cell>
          <cell r="S90">
            <v>1281.090151755594</v>
          </cell>
          <cell r="T90">
            <v>1626.9803746936341</v>
          </cell>
          <cell r="U90">
            <v>1835.5029351937119</v>
          </cell>
          <cell r="V90">
            <v>1358.2161604173743</v>
          </cell>
          <cell r="W90">
            <v>700.66076156608324</v>
          </cell>
          <cell r="FZ90">
            <v>86</v>
          </cell>
          <cell r="GA90">
            <v>2073.904449343278</v>
          </cell>
          <cell r="GB90">
            <v>0.2</v>
          </cell>
        </row>
        <row r="91">
          <cell r="N91">
            <v>20457.206866750312</v>
          </cell>
          <cell r="O91">
            <v>25779.816315968015</v>
          </cell>
          <cell r="P91">
            <v>28474.475182207443</v>
          </cell>
          <cell r="Q91">
            <v>23278.789359941271</v>
          </cell>
          <cell r="R91">
            <v>12688.360198157678</v>
          </cell>
          <cell r="S91">
            <v>1373.0384277682715</v>
          </cell>
          <cell r="T91">
            <v>1774.7535576717637</v>
          </cell>
          <cell r="U91">
            <v>1865.8340009617204</v>
          </cell>
          <cell r="V91">
            <v>1382.9420873794697</v>
          </cell>
          <cell r="W91">
            <v>766.14827574404808</v>
          </cell>
          <cell r="FZ91">
            <v>87</v>
          </cell>
          <cell r="GA91">
            <v>2115.3825383301437</v>
          </cell>
          <cell r="GB91">
            <v>0.2</v>
          </cell>
        </row>
        <row r="92">
          <cell r="N92">
            <v>21928.793016674885</v>
          </cell>
          <cell r="O92">
            <v>27589.567920062011</v>
          </cell>
          <cell r="P92">
            <v>30266.835190952177</v>
          </cell>
          <cell r="Q92">
            <v>24752.029774993443</v>
          </cell>
          <cell r="R92">
            <v>13453.791228621709</v>
          </cell>
          <cell r="S92">
            <v>1471.586149924573</v>
          </cell>
          <cell r="T92">
            <v>1809.7516040939954</v>
          </cell>
          <cell r="U92">
            <v>1792.3600087447339</v>
          </cell>
          <cell r="V92">
            <v>1473.2404150521725</v>
          </cell>
          <cell r="W92">
            <v>765.43103046403121</v>
          </cell>
          <cell r="FZ92">
            <v>88</v>
          </cell>
          <cell r="GA92">
            <v>2157.6901890967465</v>
          </cell>
          <cell r="GB92">
            <v>0.2</v>
          </cell>
        </row>
        <row r="93">
          <cell r="N93">
            <v>23506</v>
          </cell>
          <cell r="O93">
            <v>29354.803800000002</v>
          </cell>
          <cell r="P93">
            <v>32225.192999999999</v>
          </cell>
          <cell r="Q93">
            <v>26253.340400000001</v>
          </cell>
          <cell r="R93">
            <v>14263.543000000001</v>
          </cell>
          <cell r="S93">
            <v>1577.2069833251153</v>
          </cell>
          <cell r="T93">
            <v>1765.2358799379908</v>
          </cell>
          <cell r="U93">
            <v>1958.3578090478222</v>
          </cell>
          <cell r="V93">
            <v>1501.3106250065575</v>
          </cell>
          <cell r="W93">
            <v>809.75177137829269</v>
          </cell>
          <cell r="FZ93">
            <v>89</v>
          </cell>
          <cell r="GA93">
            <v>2200.8439928786815</v>
          </cell>
          <cell r="GB93">
            <v>0.2</v>
          </cell>
        </row>
        <row r="94">
          <cell r="N94">
            <v>25196.408589654777</v>
          </cell>
          <cell r="O94">
            <v>31465.822794773703</v>
          </cell>
          <cell r="P94">
            <v>34437.958287128611</v>
          </cell>
          <cell r="Q94">
            <v>28079.261155920252</v>
          </cell>
          <cell r="R94">
            <v>15232.872236484771</v>
          </cell>
          <cell r="S94">
            <v>1690.4085896547767</v>
          </cell>
          <cell r="T94">
            <v>2111.0189947737017</v>
          </cell>
          <cell r="U94">
            <v>2212.7652871286118</v>
          </cell>
          <cell r="V94">
            <v>1825.9207559202514</v>
          </cell>
          <cell r="W94">
            <v>969.32923648476935</v>
          </cell>
          <cell r="FZ94">
            <v>90</v>
          </cell>
          <cell r="GA94">
            <v>2244.8608727362553</v>
          </cell>
          <cell r="GB94">
            <v>0.2</v>
          </cell>
        </row>
        <row r="95">
          <cell r="N95">
            <v>27008.143656890144</v>
          </cell>
          <cell r="O95">
            <v>33653.614830379513</v>
          </cell>
          <cell r="P95">
            <v>36866.116091655043</v>
          </cell>
          <cell r="Q95">
            <v>30031.764052634771</v>
          </cell>
          <cell r="R95">
            <v>16237.472106589683</v>
          </cell>
          <cell r="S95">
            <v>1811.7350672353678</v>
          </cell>
          <cell r="T95">
            <v>2187.7920356058094</v>
          </cell>
          <cell r="U95">
            <v>2428.1578045264323</v>
          </cell>
          <cell r="V95">
            <v>1952.502896714519</v>
          </cell>
          <cell r="W95">
            <v>1004.599870104912</v>
          </cell>
          <cell r="FZ95">
            <v>91</v>
          </cell>
          <cell r="GA95">
            <v>2289.7580901909805</v>
          </cell>
          <cell r="GB95">
            <v>0.2</v>
          </cell>
        </row>
        <row r="96">
          <cell r="N96">
            <v>28949.913223099466</v>
          </cell>
          <cell r="O96">
            <v>36068.948623035481</v>
          </cell>
          <cell r="P96">
            <v>39465.088117074862</v>
          </cell>
          <cell r="Q96">
            <v>32087.20273216796</v>
          </cell>
          <cell r="R96">
            <v>17340.054001727131</v>
          </cell>
          <cell r="S96">
            <v>1941.7695662093211</v>
          </cell>
          <cell r="T96">
            <v>2415.3337926559689</v>
          </cell>
          <cell r="U96">
            <v>2598.9720254198182</v>
          </cell>
          <cell r="V96">
            <v>2055.4386795331884</v>
          </cell>
          <cell r="W96">
            <v>1102.5818951374476</v>
          </cell>
          <cell r="FZ96">
            <v>92</v>
          </cell>
          <cell r="GA96">
            <v>2335.5532519948001</v>
          </cell>
          <cell r="GB96">
            <v>0.2</v>
          </cell>
        </row>
        <row r="97">
          <cell r="N97">
            <v>31031.050314523203</v>
          </cell>
          <cell r="O97">
            <v>38612.138282776315</v>
          </cell>
          <cell r="P97">
            <v>42228.469902908837</v>
          </cell>
          <cell r="Q97">
            <v>34268.803120818542</v>
          </cell>
          <cell r="R97">
            <v>18503.208173304902</v>
          </cell>
          <cell r="S97">
            <v>2081.1370914237377</v>
          </cell>
          <cell r="T97">
            <v>2543.189659740834</v>
          </cell>
          <cell r="U97">
            <v>2763.3817858339753</v>
          </cell>
          <cell r="V97">
            <v>2181.6003886505823</v>
          </cell>
          <cell r="W97">
            <v>1163.1541715777712</v>
          </cell>
          <cell r="FZ97">
            <v>93</v>
          </cell>
          <cell r="GA97">
            <v>2382.264317034696</v>
          </cell>
          <cell r="GB97">
            <v>0.2</v>
          </cell>
        </row>
        <row r="98">
          <cell r="N98">
            <v>33261.557821011134</v>
          </cell>
          <cell r="O98">
            <v>41416.641029113518</v>
          </cell>
          <cell r="P98">
            <v>45132.246268658033</v>
          </cell>
          <cell r="Q98">
            <v>36605.428998038653</v>
          </cell>
          <cell r="R98">
            <v>19863.00694562952</v>
          </cell>
          <cell r="S98">
            <v>2230.5075064879311</v>
          </cell>
          <cell r="T98">
            <v>2804.5027463372026</v>
          </cell>
          <cell r="U98">
            <v>2903.776365749196</v>
          </cell>
          <cell r="V98">
            <v>2336.6258772201109</v>
          </cell>
          <cell r="W98">
            <v>1359.7987723246188</v>
          </cell>
          <cell r="FZ98">
            <v>94</v>
          </cell>
          <cell r="GA98">
            <v>2429.9096033753899</v>
          </cell>
          <cell r="GB98">
            <v>0.2</v>
          </cell>
        </row>
        <row r="99">
          <cell r="N99">
            <v>35652.156574452893</v>
          </cell>
          <cell r="O99">
            <v>44289.511542119748</v>
          </cell>
          <cell r="P99">
            <v>48227.912273273716</v>
          </cell>
          <cell r="Q99">
            <v>39212.411931853043</v>
          </cell>
          <cell r="R99">
            <v>21306.581320463309</v>
          </cell>
          <cell r="S99">
            <v>2390.5987534417582</v>
          </cell>
          <cell r="T99">
            <v>2872.8705130062299</v>
          </cell>
          <cell r="U99">
            <v>3095.6660046156831</v>
          </cell>
          <cell r="V99">
            <v>2606.98293381439</v>
          </cell>
          <cell r="W99">
            <v>1443.5743748337882</v>
          </cell>
          <cell r="FZ99">
            <v>95</v>
          </cell>
          <cell r="GA99">
            <v>2478.5077954428975</v>
          </cell>
          <cell r="GB99">
            <v>0.2</v>
          </cell>
        </row>
        <row r="100">
          <cell r="N100">
            <v>38214.336877964088</v>
          </cell>
          <cell r="O100">
            <v>47416.764571404769</v>
          </cell>
          <cell r="P100">
            <v>51807.259580101301</v>
          </cell>
          <cell r="Q100">
            <v>42210.144246427553</v>
          </cell>
          <cell r="R100">
            <v>23000.378620392712</v>
          </cell>
          <cell r="S100">
            <v>2562.1803035111952</v>
          </cell>
          <cell r="T100">
            <v>3127.2530292850206</v>
          </cell>
          <cell r="U100">
            <v>3579.3473068275853</v>
          </cell>
          <cell r="V100">
            <v>2997.7323145745104</v>
          </cell>
          <cell r="W100">
            <v>1693.7972999294034</v>
          </cell>
          <cell r="FZ100">
            <v>96</v>
          </cell>
          <cell r="GA100">
            <v>2528.0779513517555</v>
          </cell>
          <cell r="GB100">
            <v>0.2</v>
          </cell>
        </row>
        <row r="101">
          <cell r="N101">
            <v>40960.413733500631</v>
          </cell>
          <cell r="O101">
            <v>50943.446048509235</v>
          </cell>
          <cell r="P101">
            <v>55781.316132324064</v>
          </cell>
          <cell r="Q101">
            <v>45518.506382640116</v>
          </cell>
          <cell r="R101">
            <v>24799.927716836362</v>
          </cell>
          <cell r="S101">
            <v>2746.076855536543</v>
          </cell>
          <cell r="T101">
            <v>3526.6814771044665</v>
          </cell>
          <cell r="U101">
            <v>3974.0565522227625</v>
          </cell>
          <cell r="V101">
            <v>3308.3621362125632</v>
          </cell>
          <cell r="W101">
            <v>1799.5490964436503</v>
          </cell>
          <cell r="FZ101">
            <v>97</v>
          </cell>
          <cell r="GA101">
            <v>2578.6395103787904</v>
          </cell>
          <cell r="GB101">
            <v>0.2</v>
          </cell>
        </row>
        <row r="102">
          <cell r="N102">
            <v>43903.586033349777</v>
          </cell>
          <cell r="O102">
            <v>54706.25426201216</v>
          </cell>
          <cell r="P102">
            <v>59937.080210150787</v>
          </cell>
          <cell r="Q102">
            <v>48966.146715886673</v>
          </cell>
          <cell r="R102">
            <v>26532.750448941599</v>
          </cell>
          <cell r="S102">
            <v>2943.1722998491459</v>
          </cell>
          <cell r="T102">
            <v>3762.8082135029254</v>
          </cell>
          <cell r="U102">
            <v>4155.7640778267232</v>
          </cell>
          <cell r="V102">
            <v>3447.6403332465561</v>
          </cell>
          <cell r="W102">
            <v>1732.8227321052364</v>
          </cell>
          <cell r="FZ102">
            <v>98</v>
          </cell>
          <cell r="GA102">
            <v>2630.2123005863664</v>
          </cell>
          <cell r="GB102">
            <v>0.2</v>
          </cell>
        </row>
        <row r="103">
          <cell r="N103">
            <v>47058</v>
          </cell>
          <cell r="O103">
            <v>58650.533700000007</v>
          </cell>
          <cell r="P103">
            <v>64308.644399999997</v>
          </cell>
          <cell r="Q103">
            <v>52347.319199999998</v>
          </cell>
          <cell r="R103">
            <v>28302.113400000002</v>
          </cell>
          <cell r="S103">
            <v>3154.4139666502233</v>
          </cell>
          <cell r="T103">
            <v>3944.2794379878469</v>
          </cell>
          <cell r="U103">
            <v>4371.5641898492104</v>
          </cell>
          <cell r="V103">
            <v>3381.1724841133255</v>
          </cell>
          <cell r="W103">
            <v>1769.3629510584033</v>
          </cell>
          <cell r="FZ103">
            <v>99</v>
          </cell>
          <cell r="GA103">
            <v>2682.8165465980937</v>
          </cell>
          <cell r="GB103">
            <v>0.2</v>
          </cell>
        </row>
        <row r="104">
          <cell r="N104">
            <v>50438.81717930951</v>
          </cell>
          <cell r="O104">
            <v>62922.972679201433</v>
          </cell>
          <cell r="P104">
            <v>68819.051108257583</v>
          </cell>
          <cell r="Q104">
            <v>55825.792503662335</v>
          </cell>
          <cell r="R104">
            <v>30222.500655432003</v>
          </cell>
          <cell r="S104">
            <v>3380.8171793095098</v>
          </cell>
          <cell r="T104">
            <v>4272.4389792014263</v>
          </cell>
          <cell r="U104">
            <v>4510.4067082575857</v>
          </cell>
          <cell r="V104">
            <v>3478.4733036623365</v>
          </cell>
          <cell r="W104">
            <v>1920.3872554320005</v>
          </cell>
          <cell r="FZ104">
            <v>100</v>
          </cell>
          <cell r="GA104">
            <v>2736.4728775300555</v>
          </cell>
          <cell r="GB104">
            <v>0.2</v>
          </cell>
        </row>
        <row r="105">
          <cell r="N105">
            <v>54062.287313780289</v>
          </cell>
          <cell r="O105">
            <v>67285.805264019393</v>
          </cell>
          <cell r="P105">
            <v>73367.224953261932</v>
          </cell>
          <cell r="Q105">
            <v>59533.625843357957</v>
          </cell>
          <cell r="R105">
            <v>32296.810441252339</v>
          </cell>
          <cell r="S105">
            <v>3623.4701344707792</v>
          </cell>
          <cell r="T105">
            <v>4362.8325848179593</v>
          </cell>
          <cell r="U105">
            <v>4548.1738450043485</v>
          </cell>
          <cell r="V105">
            <v>3707.8333396956223</v>
          </cell>
          <cell r="W105">
            <v>2074.3097858203364</v>
          </cell>
          <cell r="FZ105">
            <v>101</v>
          </cell>
          <cell r="GA105">
            <v>2791.2023350806567</v>
          </cell>
          <cell r="GB105">
            <v>0.2</v>
          </cell>
        </row>
        <row r="106">
          <cell r="N106">
            <v>57945.826446198938</v>
          </cell>
          <cell r="O106">
            <v>71916.691171565428</v>
          </cell>
          <cell r="P106">
            <v>78396.798136881436</v>
          </cell>
          <cell r="Q106">
            <v>63758.296715504403</v>
          </cell>
          <cell r="R106">
            <v>34590.887066246381</v>
          </cell>
          <cell r="S106">
            <v>3883.5391324186494</v>
          </cell>
          <cell r="T106">
            <v>4630.885907546035</v>
          </cell>
          <cell r="U106">
            <v>5029.5731836195046</v>
          </cell>
          <cell r="V106">
            <v>4224.6708721464456</v>
          </cell>
          <cell r="W106">
            <v>2294.0766249940425</v>
          </cell>
          <cell r="FZ106">
            <v>102</v>
          </cell>
          <cell r="GA106">
            <v>2847.0263817822697</v>
          </cell>
          <cell r="GB106">
            <v>0.2</v>
          </cell>
        </row>
        <row r="107">
          <cell r="N107">
            <v>62108.100629046407</v>
          </cell>
          <cell r="O107">
            <v>77100.591068068024</v>
          </cell>
          <cell r="P107">
            <v>84212.373642924023</v>
          </cell>
          <cell r="Q107">
            <v>68504.96495861806</v>
          </cell>
          <cell r="R107">
            <v>37131.192943465336</v>
          </cell>
          <cell r="S107">
            <v>4162.2741828474682</v>
          </cell>
          <cell r="T107">
            <v>5183.8998965025967</v>
          </cell>
          <cell r="U107">
            <v>5815.5755060425872</v>
          </cell>
          <cell r="V107">
            <v>4746.6682431136578</v>
          </cell>
          <cell r="W107">
            <v>2540.3058772189543</v>
          </cell>
          <cell r="FZ107">
            <v>103</v>
          </cell>
          <cell r="GA107">
            <v>2903.9669094179153</v>
          </cell>
          <cell r="GB107">
            <v>0.2</v>
          </cell>
        </row>
        <row r="108">
          <cell r="N108">
            <v>66569.115642022269</v>
          </cell>
          <cell r="O108">
            <v>82735.42537568738</v>
          </cell>
          <cell r="P108">
            <v>90379.585867954564</v>
          </cell>
          <cell r="Q108">
            <v>73499.973588638299</v>
          </cell>
          <cell r="R108">
            <v>39798.201071114236</v>
          </cell>
          <cell r="S108">
            <v>4461.0150129758622</v>
          </cell>
          <cell r="T108">
            <v>5634.834307619356</v>
          </cell>
          <cell r="U108">
            <v>6167.2122250305401</v>
          </cell>
          <cell r="V108">
            <v>4995.0086300202383</v>
          </cell>
          <cell r="W108">
            <v>2667.0081276489</v>
          </cell>
          <cell r="FZ108">
            <v>104</v>
          </cell>
          <cell r="GA108">
            <v>2962.0462476062735</v>
          </cell>
          <cell r="GB108">
            <v>0.2</v>
          </cell>
        </row>
        <row r="109">
          <cell r="N109">
            <v>71350.313148905741</v>
          </cell>
          <cell r="O109">
            <v>88740.090666434582</v>
          </cell>
          <cell r="P109">
            <v>96885.039131134996</v>
          </cell>
          <cell r="Q109">
            <v>78731.037716030813</v>
          </cell>
          <cell r="R109">
            <v>42496.866948993898</v>
          </cell>
          <cell r="S109">
            <v>4781.1975068834727</v>
          </cell>
          <cell r="T109">
            <v>6004.6652907472017</v>
          </cell>
          <cell r="U109">
            <v>6505.4532631804323</v>
          </cell>
          <cell r="V109">
            <v>5231.0641273925139</v>
          </cell>
          <cell r="W109">
            <v>2698.6658778796627</v>
          </cell>
          <cell r="FZ109">
            <v>105</v>
          </cell>
          <cell r="GA109">
            <v>3021.2871725583991</v>
          </cell>
          <cell r="GB109">
            <v>0.2</v>
          </cell>
        </row>
        <row r="110">
          <cell r="N110">
            <v>76474.673755928176</v>
          </cell>
          <cell r="O110">
            <v>95068.825682519018</v>
          </cell>
          <cell r="P110">
            <v>103888.68305664834</v>
          </cell>
          <cell r="Q110">
            <v>84060.13014606238</v>
          </cell>
          <cell r="R110">
            <v>45343.496562797547</v>
          </cell>
          <cell r="S110">
            <v>5124.3606070224341</v>
          </cell>
          <cell r="T110">
            <v>6328.7350160844362</v>
          </cell>
          <cell r="U110">
            <v>7003.6439255133446</v>
          </cell>
          <cell r="V110">
            <v>5329.0924300315673</v>
          </cell>
          <cell r="W110">
            <v>2846.6296138036487</v>
          </cell>
          <cell r="FZ110">
            <v>106</v>
          </cell>
          <cell r="GA110">
            <v>3081.7129160095669</v>
          </cell>
          <cell r="GB110">
            <v>0.2</v>
          </cell>
        </row>
        <row r="111">
          <cell r="N111">
            <v>81966.827467001276</v>
          </cell>
          <cell r="O111">
            <v>101896.34881058118</v>
          </cell>
          <cell r="P111">
            <v>110846.94818122237</v>
          </cell>
          <cell r="Q111">
            <v>89785.037297310293</v>
          </cell>
          <cell r="R111">
            <v>48526.500125529114</v>
          </cell>
          <cell r="S111">
            <v>5492.1537110731006</v>
          </cell>
          <cell r="T111">
            <v>6827.5231280621665</v>
          </cell>
          <cell r="U111">
            <v>6958.2651245740271</v>
          </cell>
          <cell r="V111">
            <v>5724.9071512479131</v>
          </cell>
          <cell r="W111">
            <v>3183.0035627315665</v>
          </cell>
          <cell r="FZ111">
            <v>107</v>
          </cell>
          <cell r="GA111">
            <v>3143.3471743297582</v>
          </cell>
          <cell r="GB111">
            <v>0.2</v>
          </cell>
        </row>
        <row r="112">
          <cell r="N112">
            <v>87853.172066699568</v>
          </cell>
          <cell r="O112">
            <v>108855.61876018409</v>
          </cell>
          <cell r="P112">
            <v>118442.30968422769</v>
          </cell>
          <cell r="Q112">
            <v>95977.107675832609</v>
          </cell>
          <cell r="R112">
            <v>51972.026743092792</v>
          </cell>
          <cell r="S112">
            <v>5886.3445996982919</v>
          </cell>
          <cell r="T112">
            <v>6959.269949602909</v>
          </cell>
          <cell r="U112">
            <v>7595.3615030053188</v>
          </cell>
          <cell r="V112">
            <v>6192.0703785223159</v>
          </cell>
          <cell r="W112">
            <v>3445.5266175636789</v>
          </cell>
          <cell r="FZ112">
            <v>108</v>
          </cell>
          <cell r="GA112">
            <v>3206.2141178163533</v>
          </cell>
          <cell r="GB112">
            <v>0.2</v>
          </cell>
        </row>
        <row r="113">
          <cell r="N113">
            <v>94162</v>
          </cell>
          <cell r="O113">
            <v>116672.65430000001</v>
          </cell>
          <cell r="P113">
            <v>127152.68019999999</v>
          </cell>
          <cell r="Q113">
            <v>103143.41720000001</v>
          </cell>
          <cell r="R113">
            <v>55830.696799999991</v>
          </cell>
          <cell r="S113">
            <v>6308.8279333004321</v>
          </cell>
          <cell r="T113">
            <v>7817.0355398159154</v>
          </cell>
          <cell r="U113">
            <v>8710.3705157723016</v>
          </cell>
          <cell r="V113">
            <v>7166.3095241674018</v>
          </cell>
          <cell r="W113">
            <v>3858.6700569071982</v>
          </cell>
          <cell r="FZ113">
            <v>109</v>
          </cell>
          <cell r="GA113">
            <v>3270.3384001726804</v>
          </cell>
          <cell r="GB113">
            <v>0.2</v>
          </cell>
        </row>
        <row r="114">
          <cell r="N114">
            <v>100923.63435861902</v>
          </cell>
          <cell r="O114">
            <v>125227.14250820011</v>
          </cell>
          <cell r="P114">
            <v>136542.87591185258</v>
          </cell>
          <cell r="Q114">
            <v>110888.96565471216</v>
          </cell>
          <cell r="R114">
            <v>60065.79798455775</v>
          </cell>
          <cell r="S114">
            <v>6761.6343586190196</v>
          </cell>
          <cell r="T114">
            <v>8554.4882082000986</v>
          </cell>
          <cell r="U114">
            <v>9390.1957118525897</v>
          </cell>
          <cell r="V114">
            <v>7745.548454712145</v>
          </cell>
          <cell r="W114">
            <v>4235.1011845577596</v>
          </cell>
          <cell r="FZ114">
            <v>110</v>
          </cell>
          <cell r="GA114">
            <v>3335.745168176134</v>
          </cell>
          <cell r="GB114">
            <v>0.2</v>
          </cell>
        </row>
        <row r="115">
          <cell r="N115">
            <v>108170.57462756058</v>
          </cell>
          <cell r="O115">
            <v>134313.75644108024</v>
          </cell>
          <cell r="P115">
            <v>146454.49252248529</v>
          </cell>
          <cell r="Q115">
            <v>118996.80307381767</v>
          </cell>
          <cell r="R115">
            <v>64185.126836071002</v>
          </cell>
          <cell r="S115">
            <v>7246.9402689415583</v>
          </cell>
          <cell r="T115">
            <v>9086.6139328801364</v>
          </cell>
          <cell r="U115">
            <v>9911.6166106327146</v>
          </cell>
          <cell r="V115">
            <v>8107.8374191055191</v>
          </cell>
          <cell r="W115">
            <v>4119.3288515132517</v>
          </cell>
          <cell r="FZ115">
            <v>111</v>
          </cell>
          <cell r="GA115">
            <v>3402.4600715396568</v>
          </cell>
          <cell r="GB115">
            <v>0.2</v>
          </cell>
        </row>
        <row r="116">
          <cell r="N116">
            <v>115937.65289239788</v>
          </cell>
          <cell r="O116">
            <v>144025.56561258808</v>
          </cell>
          <cell r="P116">
            <v>157131.05708019441</v>
          </cell>
          <cell r="Q116">
            <v>127281.6481511673</v>
          </cell>
          <cell r="R116">
            <v>68560.235114671188</v>
          </cell>
          <cell r="S116">
            <v>7767.0782648372988</v>
          </cell>
          <cell r="T116">
            <v>9711.8091715078335</v>
          </cell>
          <cell r="U116">
            <v>10676.56455770912</v>
          </cell>
          <cell r="V116">
            <v>8284.8450773496297</v>
          </cell>
          <cell r="W116">
            <v>4375.1082786001862</v>
          </cell>
          <cell r="FZ116">
            <v>112</v>
          </cell>
          <cell r="GA116">
            <v>3470.5092729704502</v>
          </cell>
          <cell r="GB116">
            <v>0.2</v>
          </cell>
        </row>
        <row r="117">
          <cell r="N117">
            <v>124262.20125809284</v>
          </cell>
          <cell r="O117">
            <v>154403.07871412375</v>
          </cell>
          <cell r="P117">
            <v>168020.05489024971</v>
          </cell>
          <cell r="Q117">
            <v>135892.06275496984</v>
          </cell>
          <cell r="R117">
            <v>73232.577635356385</v>
          </cell>
          <cell r="S117">
            <v>8324.5483656949655</v>
          </cell>
          <cell r="T117">
            <v>10377.513101535675</v>
          </cell>
          <cell r="U117">
            <v>10888.997810055298</v>
          </cell>
          <cell r="V117">
            <v>8610.4146038025356</v>
          </cell>
          <cell r="W117">
            <v>4672.3425206851971</v>
          </cell>
          <cell r="FZ117">
            <v>113</v>
          </cell>
          <cell r="GA117">
            <v>3539.9194584298593</v>
          </cell>
          <cell r="GB117">
            <v>0.2</v>
          </cell>
        </row>
        <row r="118">
          <cell r="N118">
            <v>133184.23128404454</v>
          </cell>
          <cell r="O118">
            <v>165023.65895812085</v>
          </cell>
          <cell r="P118">
            <v>179267.13343207428</v>
          </cell>
          <cell r="Q118">
            <v>144933.39673079786</v>
          </cell>
          <cell r="R118">
            <v>78162.640500292429</v>
          </cell>
          <cell r="S118">
            <v>8922.0300259516953</v>
          </cell>
          <cell r="T118">
            <v>10620.580243997101</v>
          </cell>
          <cell r="U118">
            <v>11247.078541824565</v>
          </cell>
          <cell r="V118">
            <v>9041.3339758280199</v>
          </cell>
          <cell r="W118">
            <v>4930.0628649360442</v>
          </cell>
          <cell r="FZ118">
            <v>114</v>
          </cell>
          <cell r="GA118">
            <v>3610.7178475984565</v>
          </cell>
          <cell r="GB118">
            <v>0.2</v>
          </cell>
        </row>
        <row r="119">
          <cell r="N119">
            <v>142746.62629781148</v>
          </cell>
          <cell r="O119">
            <v>176664.15566242993</v>
          </cell>
          <cell r="P119">
            <v>191912.2882198116</v>
          </cell>
          <cell r="Q119">
            <v>155435.24978192279</v>
          </cell>
          <cell r="R119">
            <v>83774.581467904514</v>
          </cell>
          <cell r="S119">
            <v>9562.3950137669453</v>
          </cell>
          <cell r="T119">
            <v>11640.496704309073</v>
          </cell>
          <cell r="U119">
            <v>12645.154787737323</v>
          </cell>
          <cell r="V119">
            <v>10501.853051124926</v>
          </cell>
          <cell r="W119">
            <v>5611.9409676120849</v>
          </cell>
          <cell r="FZ119">
            <v>115</v>
          </cell>
          <cell r="GA119">
            <v>3682.9322045504259</v>
          </cell>
          <cell r="GB119">
            <v>0.2</v>
          </cell>
        </row>
        <row r="120">
          <cell r="N120">
            <v>152995.34751185621</v>
          </cell>
          <cell r="O120">
            <v>189392.60808634528</v>
          </cell>
          <cell r="P120">
            <v>205902.80167436381</v>
          </cell>
          <cell r="Q120">
            <v>166663.48622055128</v>
          </cell>
          <cell r="R120">
            <v>89926.341485908968</v>
          </cell>
          <cell r="S120">
            <v>10248.721214044723</v>
          </cell>
          <cell r="T120">
            <v>12728.452423915354</v>
          </cell>
          <cell r="U120">
            <v>13990.513454552216</v>
          </cell>
          <cell r="V120">
            <v>11228.23643862849</v>
          </cell>
          <cell r="W120">
            <v>6151.7600180044537</v>
          </cell>
          <cell r="FZ120">
            <v>116</v>
          </cell>
          <cell r="GA120">
            <v>3756.5908486414346</v>
          </cell>
          <cell r="GB120">
            <v>0.2</v>
          </cell>
        </row>
        <row r="121">
          <cell r="N121">
            <v>163979.6549340027</v>
          </cell>
          <cell r="O121">
            <v>203037.82635172849</v>
          </cell>
          <cell r="P121">
            <v>220782.92035816269</v>
          </cell>
          <cell r="Q121">
            <v>178959.55288973456</v>
          </cell>
          <cell r="R121">
            <v>96419.324146172134</v>
          </cell>
          <cell r="S121">
            <v>10984.307422146492</v>
          </cell>
          <cell r="T121">
            <v>13645.218265383213</v>
          </cell>
          <cell r="U121">
            <v>14880.118683798879</v>
          </cell>
          <cell r="V121">
            <v>12296.066669183288</v>
          </cell>
          <cell r="W121">
            <v>6492.9826602631656</v>
          </cell>
          <cell r="FZ121">
            <v>117</v>
          </cell>
          <cell r="GA121">
            <v>3831.7226656142634</v>
          </cell>
          <cell r="GB121">
            <v>0.2</v>
          </cell>
        </row>
        <row r="122">
          <cell r="N122">
            <v>175752.34413339914</v>
          </cell>
          <cell r="O122">
            <v>217768.23442036819</v>
          </cell>
          <cell r="P122">
            <v>237016.17266548204</v>
          </cell>
          <cell r="Q122">
            <v>191925.76256711851</v>
          </cell>
          <cell r="R122">
            <v>103026.78827162522</v>
          </cell>
          <cell r="S122">
            <v>11772.689199396438</v>
          </cell>
          <cell r="T122">
            <v>14730.408068639692</v>
          </cell>
          <cell r="U122">
            <v>16233.252307319344</v>
          </cell>
          <cell r="V122">
            <v>12966.209677383944</v>
          </cell>
          <cell r="W122">
            <v>6607.464125453087</v>
          </cell>
          <cell r="FZ122">
            <v>118</v>
          </cell>
          <cell r="GA122">
            <v>3908.3571189265485</v>
          </cell>
          <cell r="GB122">
            <v>0.2</v>
          </cell>
        </row>
        <row r="123">
          <cell r="N123">
            <v>188370</v>
          </cell>
          <cell r="O123">
            <v>233566.92449999999</v>
          </cell>
          <cell r="P123">
            <v>254069.361</v>
          </cell>
          <cell r="Q123">
            <v>204818.796</v>
          </cell>
          <cell r="R123">
            <v>110001.52799999999</v>
          </cell>
          <cell r="S123">
            <v>12617.655866600864</v>
          </cell>
          <cell r="T123">
            <v>15798.690079631808</v>
          </cell>
          <cell r="U123">
            <v>17053.188334517967</v>
          </cell>
          <cell r="V123">
            <v>12893.033432881493</v>
          </cell>
          <cell r="W123">
            <v>6974.7397283747705</v>
          </cell>
          <cell r="FZ123">
            <v>119</v>
          </cell>
          <cell r="GA123">
            <v>3986.5242613050796</v>
          </cell>
          <cell r="GB123">
            <v>0.2</v>
          </cell>
        </row>
        <row r="124">
          <cell r="N124">
            <v>201893.26871723824</v>
          </cell>
          <cell r="O124">
            <v>250011.4570271202</v>
          </cell>
          <cell r="P124">
            <v>271071.11944637942</v>
          </cell>
          <cell r="Q124">
            <v>218573.6027989744</v>
          </cell>
          <cell r="R124">
            <v>117763.02694753431</v>
          </cell>
          <cell r="S124">
            <v>13523.268717238243</v>
          </cell>
          <cell r="T124">
            <v>16444.532527120202</v>
          </cell>
          <cell r="U124">
            <v>17001.758446379419</v>
          </cell>
          <cell r="V124">
            <v>13754.806798974401</v>
          </cell>
          <cell r="W124">
            <v>7761.4989475343173</v>
          </cell>
          <cell r="FZ124">
            <v>120</v>
          </cell>
          <cell r="GA124">
            <v>4066.2547465311814</v>
          </cell>
          <cell r="GB124">
            <v>0.2</v>
          </cell>
        </row>
        <row r="125">
          <cell r="N125">
            <v>216387.14925512118</v>
          </cell>
          <cell r="O125">
            <v>267297.87099954294</v>
          </cell>
          <cell r="P125">
            <v>289717.93169660447</v>
          </cell>
          <cell r="Q125">
            <v>233925.79810909499</v>
          </cell>
          <cell r="R125">
            <v>126071.85722449567</v>
          </cell>
          <cell r="S125">
            <v>14493.880537882942</v>
          </cell>
          <cell r="T125">
            <v>17286.413972422743</v>
          </cell>
          <cell r="U125">
            <v>18646.812250225048</v>
          </cell>
          <cell r="V125">
            <v>15352.195310120587</v>
          </cell>
          <cell r="W125">
            <v>8308.8302769613656</v>
          </cell>
          <cell r="FZ125">
            <v>121</v>
          </cell>
          <cell r="GA125">
            <v>4147.5798414618048</v>
          </cell>
          <cell r="GB125">
            <v>0.2</v>
          </cell>
        </row>
        <row r="126">
          <cell r="N126">
            <v>231921.30578479578</v>
          </cell>
          <cell r="O126">
            <v>286486.84309168946</v>
          </cell>
          <cell r="P126">
            <v>311204.61252083164</v>
          </cell>
          <cell r="Q126">
            <v>251601.8452876425</v>
          </cell>
          <cell r="R126">
            <v>135589.76636657064</v>
          </cell>
          <cell r="S126">
            <v>15534.156529674598</v>
          </cell>
          <cell r="T126">
            <v>19188.97209214652</v>
          </cell>
          <cell r="U126">
            <v>21486.680824227165</v>
          </cell>
          <cell r="V126">
            <v>17676.047178547509</v>
          </cell>
          <cell r="W126">
            <v>9517.909142074961</v>
          </cell>
          <cell r="FZ126">
            <v>122</v>
          </cell>
          <cell r="GA126">
            <v>4230.531438291041</v>
          </cell>
          <cell r="GB126">
            <v>0.2</v>
          </cell>
        </row>
        <row r="127">
          <cell r="N127">
            <v>248570.40251618548</v>
          </cell>
          <cell r="O127">
            <v>307632.35126535187</v>
          </cell>
          <cell r="P127">
            <v>334086.18616791681</v>
          </cell>
          <cell r="Q127">
            <v>270276.00236025098</v>
          </cell>
          <cell r="R127">
            <v>145824.36700656047</v>
          </cell>
          <cell r="S127">
            <v>16649.096731389698</v>
          </cell>
          <cell r="T127">
            <v>21145.508173662412</v>
          </cell>
          <cell r="U127">
            <v>22881.57364708517</v>
          </cell>
          <cell r="V127">
            <v>18674.157072608476</v>
          </cell>
          <cell r="W127">
            <v>10234.600639989832</v>
          </cell>
          <cell r="FZ127">
            <v>123</v>
          </cell>
          <cell r="GA127">
            <v>4315.1420670568623</v>
          </cell>
          <cell r="GB127">
            <v>0.2</v>
          </cell>
        </row>
        <row r="128">
          <cell r="N128">
            <v>266414.46256808913</v>
          </cell>
          <cell r="O128">
            <v>329561.0609773529</v>
          </cell>
          <cell r="P128">
            <v>358543.47953351011</v>
          </cell>
          <cell r="Q128">
            <v>290095.8124810165</v>
          </cell>
          <cell r="R128">
            <v>155517.12587662143</v>
          </cell>
          <cell r="S128">
            <v>17844.060051903652</v>
          </cell>
          <cell r="T128">
            <v>21928.709712001029</v>
          </cell>
          <cell r="U128">
            <v>24457.293365593301</v>
          </cell>
          <cell r="V128">
            <v>19819.810120765527</v>
          </cell>
          <cell r="W128">
            <v>9692.7588700609631</v>
          </cell>
          <cell r="FZ128">
            <v>124</v>
          </cell>
          <cell r="GA128">
            <v>4401.4449083979998</v>
          </cell>
          <cell r="GB128">
            <v>0.2</v>
          </cell>
        </row>
        <row r="129">
          <cell r="N129">
            <v>285539.25259562297</v>
          </cell>
          <cell r="O129">
            <v>353717.95652788441</v>
          </cell>
          <cell r="P129">
            <v>384564.26539578498</v>
          </cell>
          <cell r="Q129">
            <v>309705.805165303</v>
          </cell>
          <cell r="R129">
            <v>165849.88823261682</v>
          </cell>
          <cell r="S129">
            <v>19124.790027533832</v>
          </cell>
          <cell r="T129">
            <v>24156.89555053151</v>
          </cell>
          <cell r="U129">
            <v>26020.785862274875</v>
          </cell>
          <cell r="V129">
            <v>19609.992684286495</v>
          </cell>
          <cell r="W129">
            <v>10332.762355995394</v>
          </cell>
          <cell r="FZ129">
            <v>125</v>
          </cell>
          <cell r="GA129">
            <v>4489.4738065659603</v>
          </cell>
          <cell r="GB129">
            <v>0.2</v>
          </cell>
        </row>
        <row r="130">
          <cell r="N130">
            <v>306036.69502371247</v>
          </cell>
          <cell r="O130">
            <v>379109.60893225478</v>
          </cell>
          <cell r="P130">
            <v>410293.41756084486</v>
          </cell>
          <cell r="Q130">
            <v>329950.8015511632</v>
          </cell>
          <cell r="R130">
            <v>177138.69615986643</v>
          </cell>
          <cell r="S130">
            <v>20497.442428089504</v>
          </cell>
          <cell r="T130">
            <v>25391.652404370368</v>
          </cell>
          <cell r="U130">
            <v>25729.152165059873</v>
          </cell>
          <cell r="V130">
            <v>20244.996385860199</v>
          </cell>
          <cell r="W130">
            <v>11288.807927249611</v>
          </cell>
          <cell r="FZ130">
            <v>126</v>
          </cell>
          <cell r="GA130">
            <v>4579.2632826972795</v>
          </cell>
          <cell r="GB130">
            <v>0.2</v>
          </cell>
        </row>
        <row r="131">
          <cell r="N131">
            <v>328005.30986800481</v>
          </cell>
          <cell r="O131">
            <v>404412.72069171362</v>
          </cell>
          <cell r="P131">
            <v>437345.16685748287</v>
          </cell>
          <cell r="Q131">
            <v>352167.17926991213</v>
          </cell>
          <cell r="R131">
            <v>189413.79673349392</v>
          </cell>
          <cell r="S131">
            <v>21968.614844292344</v>
          </cell>
          <cell r="T131">
            <v>25303.111759458843</v>
          </cell>
          <cell r="U131">
            <v>27051.749296638009</v>
          </cell>
          <cell r="V131">
            <v>22216.377718748932</v>
          </cell>
          <cell r="W131">
            <v>12275.100573627482</v>
          </cell>
          <cell r="FZ131">
            <v>127</v>
          </cell>
          <cell r="GA131">
            <v>4670.848548351225</v>
          </cell>
          <cell r="GB131">
            <v>0.2</v>
          </cell>
        </row>
        <row r="132">
          <cell r="N132">
            <v>351550.68826679827</v>
          </cell>
          <cell r="O132">
            <v>433442.89261729561</v>
          </cell>
          <cell r="P132">
            <v>469504.35082720249</v>
          </cell>
          <cell r="Q132">
            <v>378706.45045415516</v>
          </cell>
          <cell r="R132">
            <v>203482.88805320952</v>
          </cell>
          <cell r="S132">
            <v>23545.378398793458</v>
          </cell>
          <cell r="T132">
            <v>29030.171925581992</v>
          </cell>
          <cell r="U132">
            <v>32159.183969719626</v>
          </cell>
          <cell r="V132">
            <v>26539.271184243029</v>
          </cell>
          <cell r="W132">
            <v>14069.091319715604</v>
          </cell>
          <cell r="FZ132">
            <v>128</v>
          </cell>
          <cell r="GA132">
            <v>4764.26551931825</v>
          </cell>
          <cell r="GB132">
            <v>0.2</v>
          </cell>
        </row>
        <row r="133">
          <cell r="N133">
            <v>376786</v>
          </cell>
          <cell r="O133">
            <v>465105.45750000002</v>
          </cell>
          <cell r="P133">
            <v>504324.78460000001</v>
          </cell>
          <cell r="Q133">
            <v>406987.85519999999</v>
          </cell>
          <cell r="R133">
            <v>218848.77620000002</v>
          </cell>
          <cell r="S133">
            <v>25235.311733201728</v>
          </cell>
          <cell r="T133">
            <v>31662.564882704406</v>
          </cell>
          <cell r="U133">
            <v>34820.433772797522</v>
          </cell>
          <cell r="V133">
            <v>28281.404745844833</v>
          </cell>
          <cell r="W133">
            <v>15365.888146790501</v>
          </cell>
          <cell r="FZ133">
            <v>129</v>
          </cell>
          <cell r="GA133">
            <v>4859.5508297046154</v>
          </cell>
          <cell r="GB133">
            <v>0.2</v>
          </cell>
        </row>
        <row r="134">
          <cell r="N134">
            <v>403832.53743447649</v>
          </cell>
          <cell r="O134">
            <v>498727.03845383495</v>
          </cell>
          <cell r="P134">
            <v>541005.67143276311</v>
          </cell>
          <cell r="Q134">
            <v>437197.00609794882</v>
          </cell>
          <cell r="R134">
            <v>234377.38155240606</v>
          </cell>
          <cell r="S134">
            <v>27046.537434476486</v>
          </cell>
          <cell r="T134">
            <v>33621.580953834928</v>
          </cell>
          <cell r="U134">
            <v>36680.886832763092</v>
          </cell>
          <cell r="V134">
            <v>30209.150897948828</v>
          </cell>
          <cell r="W134">
            <v>15528.605352406041</v>
          </cell>
          <cell r="FZ134">
            <v>130</v>
          </cell>
          <cell r="GA134">
            <v>4956.741846298708</v>
          </cell>
          <cell r="GB134">
            <v>0.2</v>
          </cell>
        </row>
        <row r="135">
          <cell r="N135">
            <v>432820.29851024237</v>
          </cell>
          <cell r="O135">
            <v>534904.72956865281</v>
          </cell>
          <cell r="P135">
            <v>581124.29196739208</v>
          </cell>
          <cell r="Q135">
            <v>468095.15283882717</v>
          </cell>
          <cell r="R135">
            <v>250426.06106325664</v>
          </cell>
          <cell r="S135">
            <v>28987.761075765884</v>
          </cell>
          <cell r="T135">
            <v>36177.691114817862</v>
          </cell>
          <cell r="U135">
            <v>40118.620534628979</v>
          </cell>
          <cell r="V135">
            <v>30898.14674087835</v>
          </cell>
          <cell r="W135">
            <v>16048.679510850576</v>
          </cell>
          <cell r="FZ135">
            <v>131</v>
          </cell>
          <cell r="GA135">
            <v>5055.876683224682</v>
          </cell>
          <cell r="GB135">
            <v>0.2</v>
          </cell>
        </row>
        <row r="136">
          <cell r="N136">
            <v>463888.61156959157</v>
          </cell>
          <cell r="O136">
            <v>573706.17273066507</v>
          </cell>
          <cell r="P136">
            <v>621277.94984712673</v>
          </cell>
          <cell r="Q136">
            <v>499306.50706292992</v>
          </cell>
          <cell r="R136">
            <v>267363.20973163756</v>
          </cell>
          <cell r="S136">
            <v>31068.313059349195</v>
          </cell>
          <cell r="T136">
            <v>38801.443162012263</v>
          </cell>
          <cell r="U136">
            <v>40153.657879734645</v>
          </cell>
          <cell r="V136">
            <v>31211.354224102746</v>
          </cell>
          <cell r="W136">
            <v>16937.14866838092</v>
          </cell>
          <cell r="FZ136">
            <v>132</v>
          </cell>
          <cell r="GA136">
            <v>5156.9942168891757</v>
          </cell>
          <cell r="GB136">
            <v>0.2</v>
          </cell>
        </row>
        <row r="137">
          <cell r="N137">
            <v>497186.80503237102</v>
          </cell>
          <cell r="O137">
            <v>613149.14226088859</v>
          </cell>
          <cell r="P137">
            <v>662824.58912890544</v>
          </cell>
          <cell r="Q137">
            <v>533031.81199344399</v>
          </cell>
          <cell r="R137">
            <v>285886.73625713534</v>
          </cell>
          <cell r="S137">
            <v>33298.193462779454</v>
          </cell>
          <cell r="T137">
            <v>39442.96953022352</v>
          </cell>
          <cell r="U137">
            <v>41546.639281778713</v>
          </cell>
          <cell r="V137">
            <v>33725.304930514074</v>
          </cell>
          <cell r="W137">
            <v>18523.526525497786</v>
          </cell>
          <cell r="FZ137">
            <v>133</v>
          </cell>
          <cell r="GA137">
            <v>5260.1341012269595</v>
          </cell>
          <cell r="GB137">
            <v>0.2</v>
          </cell>
        </row>
        <row r="138">
          <cell r="N138">
            <v>532874.92513617827</v>
          </cell>
          <cell r="O138">
            <v>656384.90696899174</v>
          </cell>
          <cell r="P138">
            <v>709453.45739380363</v>
          </cell>
          <cell r="Q138">
            <v>571531.52568355715</v>
          </cell>
          <cell r="R138">
            <v>306884.98623342562</v>
          </cell>
          <cell r="S138">
            <v>35688.120103807247</v>
          </cell>
          <cell r="T138">
            <v>43235.764708103146</v>
          </cell>
          <cell r="U138">
            <v>46628.868264898192</v>
          </cell>
          <cell r="V138">
            <v>38499.71369011316</v>
          </cell>
          <cell r="W138">
            <v>20998.249976290273</v>
          </cell>
          <cell r="GA138">
            <v>5365.3367832514987</v>
          </cell>
          <cell r="GB138">
            <v>0.2</v>
          </cell>
        </row>
        <row r="139">
          <cell r="N139">
            <v>571124.50519124593</v>
          </cell>
          <cell r="O139">
            <v>703999.10447401193</v>
          </cell>
          <cell r="P139">
            <v>762976.40066008712</v>
          </cell>
          <cell r="Q139">
            <v>614601.97893643519</v>
          </cell>
          <cell r="R139">
            <v>330064.0257251226</v>
          </cell>
          <cell r="S139">
            <v>38249.580055067665</v>
          </cell>
          <cell r="T139">
            <v>47614.197505020187</v>
          </cell>
          <cell r="U139">
            <v>53522.943266283488</v>
          </cell>
          <cell r="V139">
            <v>43070.45325287804</v>
          </cell>
          <cell r="W139">
            <v>23179.039491696982</v>
          </cell>
          <cell r="FZ139">
            <v>135</v>
          </cell>
          <cell r="GA139">
            <v>5472.6435189165286</v>
          </cell>
          <cell r="GB139">
            <v>0.2</v>
          </cell>
        </row>
        <row r="140">
          <cell r="N140">
            <v>612119.39004742505</v>
          </cell>
          <cell r="O140">
            <v>755423.19272915821</v>
          </cell>
          <cell r="P140">
            <v>818589.92169907386</v>
          </cell>
          <cell r="Q140">
            <v>659951.19760232652</v>
          </cell>
          <cell r="R140">
            <v>354166.95630413538</v>
          </cell>
          <cell r="S140">
            <v>40994.884856179124</v>
          </cell>
          <cell r="T140">
            <v>51424.088255146286</v>
          </cell>
          <cell r="U140">
            <v>55613.521038986742</v>
          </cell>
          <cell r="V140">
            <v>45349.218665891327</v>
          </cell>
          <cell r="W140">
            <v>24102.930579012784</v>
          </cell>
          <cell r="FZ140">
            <v>136</v>
          </cell>
          <cell r="GA140">
            <v>5582.0963892948594</v>
          </cell>
          <cell r="GB140">
            <v>0.2</v>
          </cell>
        </row>
        <row r="141">
          <cell r="N141">
            <v>656056.61973600974</v>
          </cell>
          <cell r="O141">
            <v>809646.60546642425</v>
          </cell>
          <cell r="P141">
            <v>877996.29556257313</v>
          </cell>
          <cell r="Q141">
            <v>707762.43863146473</v>
          </cell>
          <cell r="R141">
            <v>378119.65899489215</v>
          </cell>
          <cell r="S141">
            <v>43937.229688584688</v>
          </cell>
          <cell r="T141">
            <v>54223.412737266044</v>
          </cell>
          <cell r="U141">
            <v>59406.373863499262</v>
          </cell>
          <cell r="V141">
            <v>47811.241029138211</v>
          </cell>
          <cell r="W141">
            <v>23952.702690756763</v>
          </cell>
          <cell r="FZ141">
            <v>137</v>
          </cell>
          <cell r="GA141">
            <v>5693.738317080757</v>
          </cell>
          <cell r="GB141">
            <v>0.2</v>
          </cell>
        </row>
        <row r="142">
          <cell r="N142">
            <v>703147.37653359666</v>
          </cell>
          <cell r="O142">
            <v>868171.48006227182</v>
          </cell>
          <cell r="P142">
            <v>941156.64916520589</v>
          </cell>
          <cell r="Q142">
            <v>755573.12777918961</v>
          </cell>
          <cell r="R142">
            <v>403843.52422455128</v>
          </cell>
          <cell r="S142">
            <v>47090.756797586917</v>
          </cell>
          <cell r="T142">
            <v>58524.874595847563</v>
          </cell>
          <cell r="U142">
            <v>63160.353602632764</v>
          </cell>
          <cell r="V142">
            <v>47810.689147724886</v>
          </cell>
          <cell r="W142">
            <v>25723.865229659132</v>
          </cell>
          <cell r="FZ142">
            <v>138</v>
          </cell>
          <cell r="GA142">
            <v>5807.6130834223723</v>
          </cell>
          <cell r="GB142">
            <v>0.2</v>
          </cell>
        </row>
        <row r="143">
          <cell r="N143">
            <v>753618</v>
          </cell>
          <cell r="O143">
            <v>930048.16530000011</v>
          </cell>
          <cell r="P143">
            <v>1004387.6661</v>
          </cell>
          <cell r="Q143">
            <v>806263.13219999999</v>
          </cell>
          <cell r="R143">
            <v>431818.19910000003</v>
          </cell>
          <cell r="S143">
            <v>50470.62346640334</v>
          </cell>
          <cell r="T143">
            <v>61876.685237728292</v>
          </cell>
          <cell r="U143">
            <v>63231.016934794141</v>
          </cell>
          <cell r="V143">
            <v>50690.004420810379</v>
          </cell>
          <cell r="W143">
            <v>27974.674875448749</v>
          </cell>
          <cell r="FZ143">
            <v>139</v>
          </cell>
          <cell r="GA143">
            <v>5923.7653450908201</v>
          </cell>
          <cell r="GB143">
            <v>0.2</v>
          </cell>
        </row>
        <row r="144">
          <cell r="N144">
            <v>807711.07486895169</v>
          </cell>
          <cell r="O144">
            <v>994216.82973711565</v>
          </cell>
          <cell r="P144">
            <v>1072805.3614282238</v>
          </cell>
          <cell r="Q144">
            <v>863230.67590434593</v>
          </cell>
          <cell r="R144">
            <v>462451.46412893618</v>
          </cell>
          <cell r="S144">
            <v>54093.074868951691</v>
          </cell>
          <cell r="T144">
            <v>64168.664437115542</v>
          </cell>
          <cell r="U144">
            <v>68417.695328223752</v>
          </cell>
          <cell r="V144">
            <v>56967.543704345939</v>
          </cell>
          <cell r="W144">
            <v>30633.265028936148</v>
          </cell>
          <cell r="FZ144">
            <v>140</v>
          </cell>
          <cell r="GA144">
            <v>6042.2406519926362</v>
          </cell>
          <cell r="GB144">
            <v>0.2</v>
          </cell>
        </row>
        <row r="145">
          <cell r="N145">
            <v>865686.59702048497</v>
          </cell>
          <cell r="O145">
            <v>1065579.2780546695</v>
          </cell>
          <cell r="P145">
            <v>1152720.0436817054</v>
          </cell>
          <cell r="Q145">
            <v>927323.48272834357</v>
          </cell>
          <cell r="R145">
            <v>496808.12839313212</v>
          </cell>
          <cell r="S145">
            <v>57975.522151533281</v>
          </cell>
          <cell r="T145">
            <v>71362.448317553848</v>
          </cell>
          <cell r="U145">
            <v>79914.682253481587</v>
          </cell>
          <cell r="V145">
            <v>64092.806823997642</v>
          </cell>
          <cell r="W145">
            <v>34356.664264195948</v>
          </cell>
          <cell r="FZ145">
            <v>141</v>
          </cell>
          <cell r="GA145">
            <v>6163.0854650324891</v>
          </cell>
          <cell r="GB145">
            <v>0.2</v>
          </cell>
        </row>
        <row r="146">
          <cell r="N146">
            <v>927823.22313918336</v>
          </cell>
          <cell r="O146">
            <v>1143415.0510776134</v>
          </cell>
          <cell r="P146">
            <v>1237111.0775656232</v>
          </cell>
          <cell r="Q146">
            <v>995961.75384372217</v>
          </cell>
          <cell r="R146">
            <v>534129.6764981664</v>
          </cell>
          <cell r="S146">
            <v>62136.62611869839</v>
          </cell>
          <cell r="T146">
            <v>77835.773022943875</v>
          </cell>
          <cell r="U146">
            <v>84391.033883917844</v>
          </cell>
          <cell r="V146">
            <v>68638.271115378593</v>
          </cell>
          <cell r="W146">
            <v>37321.548105034279</v>
          </cell>
          <cell r="FZ146">
            <v>142</v>
          </cell>
          <cell r="GA146">
            <v>6286.3471743331393</v>
          </cell>
          <cell r="GB146">
            <v>0.2</v>
          </cell>
        </row>
        <row r="147">
          <cell r="N147">
            <v>994419.61006474204</v>
          </cell>
          <cell r="O147">
            <v>1225485.977153851</v>
          </cell>
          <cell r="P147">
            <v>1327284.2802798264</v>
          </cell>
          <cell r="Q147">
            <v>1069230.2296862649</v>
          </cell>
          <cell r="R147">
            <v>571354.59587150253</v>
          </cell>
          <cell r="S147">
            <v>66596.386925558676</v>
          </cell>
          <cell r="T147">
            <v>82070.926076237578</v>
          </cell>
          <cell r="U147">
            <v>90173.202714203158</v>
          </cell>
          <cell r="V147">
            <v>73268.475842542714</v>
          </cell>
          <cell r="W147">
            <v>37224.919373336132</v>
          </cell>
          <cell r="FZ147">
            <v>143</v>
          </cell>
          <cell r="GA147">
            <v>6412.0741178198023</v>
          </cell>
          <cell r="GB147">
            <v>0.2</v>
          </cell>
        </row>
        <row r="148">
          <cell r="N148">
            <v>1065795.8502723568</v>
          </cell>
          <cell r="O148">
            <v>1315310.2435586185</v>
          </cell>
          <cell r="P148">
            <v>1424239.2133514546</v>
          </cell>
          <cell r="Q148">
            <v>1143828.3251447973</v>
          </cell>
          <cell r="R148">
            <v>610455.42577099777</v>
          </cell>
          <cell r="S148">
            <v>71376.240207614726</v>
          </cell>
          <cell r="T148">
            <v>89824.266404767521</v>
          </cell>
          <cell r="U148">
            <v>96954.933071628213</v>
          </cell>
          <cell r="V148">
            <v>74598.095458532451</v>
          </cell>
          <cell r="W148">
            <v>39100.829899495235</v>
          </cell>
          <cell r="FZ148">
            <v>144</v>
          </cell>
          <cell r="GA148">
            <v>6540.3156001761981</v>
          </cell>
          <cell r="GB148">
            <v>0.2</v>
          </cell>
        </row>
        <row r="149">
          <cell r="N149">
            <v>1142295.0103824921</v>
          </cell>
          <cell r="O149">
            <v>1409385.933060122</v>
          </cell>
          <cell r="P149">
            <v>1521494.7385790958</v>
          </cell>
          <cell r="Q149">
            <v>1220301.3433415035</v>
          </cell>
          <cell r="R149">
            <v>651458.29417120293</v>
          </cell>
          <cell r="S149">
            <v>76499.16011013533</v>
          </cell>
          <cell r="T149">
            <v>94075.689501503482</v>
          </cell>
          <cell r="U149">
            <v>97255.525227641221</v>
          </cell>
          <cell r="V149">
            <v>76473.018196706194</v>
          </cell>
          <cell r="W149">
            <v>41002.86840020516</v>
          </cell>
          <cell r="FZ149">
            <v>145</v>
          </cell>
          <cell r="GA149">
            <v>6671.1219121797221</v>
          </cell>
          <cell r="GB149">
            <v>0.2</v>
          </cell>
        </row>
        <row r="150">
          <cell r="N150">
            <v>1224284.7800948501</v>
          </cell>
          <cell r="O150">
            <v>1505553.5623670323</v>
          </cell>
          <cell r="P150">
            <v>1623194.0222908854</v>
          </cell>
          <cell r="Q150">
            <v>1301036.7898521877</v>
          </cell>
          <cell r="R150">
            <v>695750.39457329374</v>
          </cell>
          <cell r="S150">
            <v>81989.769712358015</v>
          </cell>
          <cell r="T150">
            <v>96167.629306910327</v>
          </cell>
          <cell r="U150">
            <v>101699.28371178964</v>
          </cell>
          <cell r="V150">
            <v>80735.446510684211</v>
          </cell>
          <cell r="W150">
            <v>44292.100402090815</v>
          </cell>
          <cell r="FZ150">
            <v>146</v>
          </cell>
          <cell r="GA150">
            <v>6804.5443504233162</v>
          </cell>
          <cell r="GB150">
            <v>0.2</v>
          </cell>
        </row>
        <row r="151">
          <cell r="N151">
            <v>1312159.2394720195</v>
          </cell>
          <cell r="O151">
            <v>1613616.414660373</v>
          </cell>
          <cell r="P151">
            <v>1740738.9722844393</v>
          </cell>
          <cell r="Q151">
            <v>1397358.3093949549</v>
          </cell>
          <cell r="R151">
            <v>745982.49528044381</v>
          </cell>
          <cell r="S151">
            <v>87874.459377169376</v>
          </cell>
          <cell r="T151">
            <v>108062.85229334072</v>
          </cell>
          <cell r="U151">
            <v>117544.9499935538</v>
          </cell>
          <cell r="V151">
            <v>96321.519542767201</v>
          </cell>
          <cell r="W151">
            <v>50232.100707150064</v>
          </cell>
          <cell r="FZ151">
            <v>147</v>
          </cell>
          <cell r="GA151">
            <v>6940.635237431783</v>
          </cell>
          <cell r="GB151">
            <v>0.2</v>
          </cell>
        </row>
        <row r="152">
          <cell r="N152">
            <v>1406340.7530671936</v>
          </cell>
          <cell r="O152">
            <v>1729844.985210248</v>
          </cell>
          <cell r="P152">
            <v>1867351.4809726463</v>
          </cell>
          <cell r="Q152">
            <v>1498599.763730908</v>
          </cell>
          <cell r="R152">
            <v>800155.91503261973</v>
          </cell>
          <cell r="S152">
            <v>94181.513595174067</v>
          </cell>
          <cell r="T152">
            <v>116228.57054987503</v>
          </cell>
          <cell r="U152">
            <v>126612.50868820702</v>
          </cell>
          <cell r="V152">
            <v>101241.45433595311</v>
          </cell>
          <cell r="W152">
            <v>54173.41975217592</v>
          </cell>
          <cell r="FZ152">
            <v>148</v>
          </cell>
          <cell r="GA152">
            <v>7079.447942180419</v>
          </cell>
          <cell r="GB152">
            <v>0.2</v>
          </cell>
        </row>
        <row r="153">
          <cell r="N153">
            <v>1507282</v>
          </cell>
          <cell r="O153">
            <v>1854006.0105000001</v>
          </cell>
          <cell r="P153">
            <v>2001680.3260999999</v>
          </cell>
          <cell r="Q153">
            <v>1607175.4762000002</v>
          </cell>
          <cell r="R153">
            <v>860625.25500000012</v>
          </cell>
          <cell r="S153">
            <v>100941.24693280645</v>
          </cell>
          <cell r="T153">
            <v>124161.02528975205</v>
          </cell>
          <cell r="U153">
            <v>134328.84512735368</v>
          </cell>
          <cell r="V153">
            <v>108575.7124690921</v>
          </cell>
          <cell r="W153">
            <v>60469.339967380394</v>
          </cell>
          <cell r="FZ153">
            <v>149</v>
          </cell>
          <cell r="GA153">
            <v>7221.0369010240274</v>
          </cell>
          <cell r="GB153">
            <v>0.2</v>
          </cell>
        </row>
        <row r="154">
          <cell r="N154">
            <v>1615468.1497379036</v>
          </cell>
          <cell r="O154">
            <v>1988019.6882784385</v>
          </cell>
          <cell r="P154">
            <v>2146950.1472271094</v>
          </cell>
          <cell r="Q154">
            <v>1730851.2063892924</v>
          </cell>
          <cell r="R154">
            <v>936866.17022952298</v>
          </cell>
          <cell r="S154">
            <v>108186.14973790362</v>
          </cell>
          <cell r="T154">
            <v>134013.67777843843</v>
          </cell>
          <cell r="U154">
            <v>145269.82112710946</v>
          </cell>
          <cell r="V154">
            <v>123675.73018929223</v>
          </cell>
          <cell r="W154">
            <v>76240.915229522856</v>
          </cell>
          <cell r="FZ154">
            <v>150</v>
          </cell>
          <cell r="GA154">
            <v>7365.4576390445081</v>
          </cell>
          <cell r="GB154">
            <v>0.2</v>
          </cell>
        </row>
        <row r="155">
          <cell r="N155">
            <v>1731419.1940409699</v>
          </cell>
          <cell r="O155">
            <v>2130206.4379310715</v>
          </cell>
          <cell r="P155">
            <v>2313721.8166803354</v>
          </cell>
          <cell r="Q155">
            <v>1880283.6051807969</v>
          </cell>
          <cell r="R155">
            <v>1453827.5297789667</v>
          </cell>
          <cell r="S155">
            <v>115951.04430306633</v>
          </cell>
          <cell r="T155">
            <v>142186.74965263298</v>
          </cell>
          <cell r="U155">
            <v>166771.66945322603</v>
          </cell>
          <cell r="V155">
            <v>149432.39879150456</v>
          </cell>
          <cell r="W155">
            <v>516961.3595494437</v>
          </cell>
          <cell r="FZ155">
            <v>151</v>
          </cell>
          <cell r="GA155">
            <v>7512.7667918253983</v>
          </cell>
          <cell r="GB155">
            <v>0.2</v>
          </cell>
        </row>
        <row r="156">
          <cell r="N156">
            <v>1855692.4462783667</v>
          </cell>
          <cell r="O156">
            <v>2300130.7871620352</v>
          </cell>
          <cell r="P156">
            <v>2507322.8829030287</v>
          </cell>
          <cell r="Q156">
            <v>2493082.4604348489</v>
          </cell>
          <cell r="R156">
            <v>2493082.4604348489</v>
          </cell>
          <cell r="S156">
            <v>124273.25223739678</v>
          </cell>
          <cell r="T156">
            <v>169924.34923096374</v>
          </cell>
          <cell r="U156">
            <v>193601.06622269331</v>
          </cell>
          <cell r="V156">
            <v>612798.85525405197</v>
          </cell>
          <cell r="W156">
            <v>1039254.9306558822</v>
          </cell>
          <cell r="FZ156">
            <v>152</v>
          </cell>
          <cell r="GA156">
            <v>7663.0221276619068</v>
          </cell>
          <cell r="GB156">
            <v>0.2</v>
          </cell>
        </row>
        <row r="157">
          <cell r="N157">
            <v>1988885.2201294843</v>
          </cell>
          <cell r="O157">
            <v>2476810.6485895114</v>
          </cell>
          <cell r="P157">
            <v>3088609.0369554288</v>
          </cell>
          <cell r="Q157">
            <v>3518165.0078681773</v>
          </cell>
          <cell r="R157">
            <v>3518165.0078681773</v>
          </cell>
          <cell r="S157">
            <v>133192.77385111758</v>
          </cell>
          <cell r="T157">
            <v>176679.86142747616</v>
          </cell>
          <cell r="U157">
            <v>581286.15405240003</v>
          </cell>
          <cell r="V157">
            <v>1025082.5474333283</v>
          </cell>
          <cell r="W157">
            <v>1025082.5474333283</v>
          </cell>
          <cell r="FZ157">
            <v>153</v>
          </cell>
          <cell r="GA157">
            <v>7816.2825702151449</v>
          </cell>
          <cell r="GB157">
            <v>0.2</v>
          </cell>
        </row>
        <row r="158">
          <cell r="N158">
            <v>2131637.700544714</v>
          </cell>
          <cell r="O158">
            <v>2953263.5502346703</v>
          </cell>
          <cell r="P158">
            <v>4040667.5492225429</v>
          </cell>
          <cell r="Q158">
            <v>4573502.8304387024</v>
          </cell>
          <cell r="R158">
            <v>4587821.8749923613</v>
          </cell>
          <cell r="S158">
            <v>142752.48041522969</v>
          </cell>
          <cell r="T158">
            <v>476452.90164515888</v>
          </cell>
          <cell r="U158">
            <v>952058.51226711413</v>
          </cell>
          <cell r="V158">
            <v>1055337.8225705251</v>
          </cell>
          <cell r="W158">
            <v>1069656.867124184</v>
          </cell>
          <cell r="FZ158">
            <v>154</v>
          </cell>
          <cell r="GA158">
            <v>7972.6082216194482</v>
          </cell>
          <cell r="GB158">
            <v>0.2</v>
          </cell>
        </row>
        <row r="159">
          <cell r="N159">
            <v>2284636.0207649847</v>
          </cell>
          <cell r="O159">
            <v>3327622.0302446513</v>
          </cell>
          <cell r="P159">
            <v>4564802.1014893418</v>
          </cell>
          <cell r="Q159">
            <v>5166754.0269604633</v>
          </cell>
          <cell r="R159">
            <v>5182100.82109995</v>
          </cell>
          <cell r="S159">
            <v>152998.32022027066</v>
          </cell>
          <cell r="T159">
            <v>374358.48000998097</v>
          </cell>
          <cell r="U159">
            <v>524134.55226679891</v>
          </cell>
          <cell r="V159">
            <v>593251.1965217609</v>
          </cell>
          <cell r="W159">
            <v>594278.94610758871</v>
          </cell>
          <cell r="FZ159">
            <v>155</v>
          </cell>
          <cell r="GA159">
            <v>8132.0603860518377</v>
          </cell>
          <cell r="GB159">
            <v>0.2</v>
          </cell>
        </row>
        <row r="160">
          <cell r="N160">
            <v>2448615.5601897002</v>
          </cell>
          <cell r="O160">
            <v>3566461.794189346</v>
          </cell>
          <cell r="P160">
            <v>4892440.3508051168</v>
          </cell>
          <cell r="Q160">
            <v>5537597.3201420549</v>
          </cell>
          <cell r="R160">
            <v>5537597.3201420549</v>
          </cell>
          <cell r="S160">
            <v>163979.53942471556</v>
          </cell>
          <cell r="T160">
            <v>238839.76394469477</v>
          </cell>
          <cell r="U160">
            <v>327638.249315775</v>
          </cell>
          <cell r="V160">
            <v>370843.29318159167</v>
          </cell>
          <cell r="W160">
            <v>355496.49904210493</v>
          </cell>
          <cell r="FZ160">
            <v>156</v>
          </cell>
          <cell r="GA160">
            <v>8294.7015937728738</v>
          </cell>
          <cell r="GB160">
            <v>0.2</v>
          </cell>
        </row>
        <row r="161">
          <cell r="N161">
            <v>2624364.4789440394</v>
          </cell>
          <cell r="O161">
            <v>3822443.9149837093</v>
          </cell>
          <cell r="P161">
            <v>5243594.3317336226</v>
          </cell>
          <cell r="Q161">
            <v>5935057.3205336612</v>
          </cell>
          <cell r="R161">
            <v>5935057.3205336612</v>
          </cell>
          <cell r="S161">
            <v>175748.91875433922</v>
          </cell>
          <cell r="T161">
            <v>255982.12079436332</v>
          </cell>
          <cell r="U161">
            <v>351153.98092850577</v>
          </cell>
          <cell r="V161">
            <v>397460.00039160624</v>
          </cell>
          <cell r="W161">
            <v>397460.00039160624</v>
          </cell>
          <cell r="FZ161">
            <v>157</v>
          </cell>
          <cell r="GA161">
            <v>8460.5956256483314</v>
          </cell>
          <cell r="GB161">
            <v>0.2</v>
          </cell>
        </row>
        <row r="162">
          <cell r="N162">
            <v>2812727.5061343871</v>
          </cell>
          <cell r="O162">
            <v>4096798.758934868</v>
          </cell>
          <cell r="P162">
            <v>5619951.8497567717</v>
          </cell>
          <cell r="Q162">
            <v>6361044.4013730492</v>
          </cell>
          <cell r="R162">
            <v>6361044.4013730492</v>
          </cell>
          <cell r="S162">
            <v>188363.02719034767</v>
          </cell>
          <cell r="T162">
            <v>274354.84395115869</v>
          </cell>
          <cell r="U162">
            <v>376357.51802314911</v>
          </cell>
          <cell r="V162">
            <v>425987.08083938807</v>
          </cell>
          <cell r="W162">
            <v>425987.08083938807</v>
          </cell>
          <cell r="FZ162">
            <v>158</v>
          </cell>
          <cell r="GA162">
            <v>8629.807538161298</v>
          </cell>
          <cell r="GB162">
            <v>0.2</v>
          </cell>
        </row>
        <row r="163">
          <cell r="N163">
            <v>3014610</v>
          </cell>
          <cell r="O163">
            <v>4390845</v>
          </cell>
          <cell r="P163">
            <v>6023321.8500000006</v>
          </cell>
          <cell r="Q163">
            <v>6817606.0500000007</v>
          </cell>
          <cell r="R163">
            <v>6817606.0500000007</v>
          </cell>
          <cell r="S163">
            <v>201882.49386561289</v>
          </cell>
          <cell r="T163">
            <v>294046.24106513197</v>
          </cell>
          <cell r="U163">
            <v>403370.00024322886</v>
          </cell>
          <cell r="V163">
            <v>456561.6486269515</v>
          </cell>
          <cell r="W163">
            <v>456561.6486269515</v>
          </cell>
          <cell r="FZ163">
            <v>159</v>
          </cell>
          <cell r="GA163">
            <v>8802.4036889245235</v>
          </cell>
          <cell r="GB163">
            <v>0.2</v>
          </cell>
        </row>
        <row r="164">
          <cell r="FZ164">
            <v>160</v>
          </cell>
          <cell r="GA164">
            <v>8978.4517627030145</v>
          </cell>
          <cell r="GB164">
            <v>0.2</v>
          </cell>
        </row>
      </sheetData>
      <sheetData sheetId="8">
        <row r="6">
          <cell r="H6">
            <v>15</v>
          </cell>
        </row>
      </sheetData>
      <sheetData sheetId="9">
        <row r="5">
          <cell r="E5">
            <v>5</v>
          </cell>
          <cell r="BS5">
            <v>3000.9499786311926</v>
          </cell>
          <cell r="BT5">
            <v>2540.3792165822738</v>
          </cell>
          <cell r="BU5">
            <v>2069.9864618428155</v>
          </cell>
          <cell r="BV5">
            <v>1547.440937944968</v>
          </cell>
          <cell r="BW5">
            <v>994.78057521795677</v>
          </cell>
          <cell r="BX5">
            <v>0</v>
          </cell>
          <cell r="BY5">
            <v>0</v>
          </cell>
          <cell r="BZ5">
            <v>0</v>
          </cell>
          <cell r="CA5">
            <v>0</v>
          </cell>
          <cell r="CB5">
            <v>0</v>
          </cell>
        </row>
        <row r="6">
          <cell r="BS6">
            <v>13226.299117408525</v>
          </cell>
          <cell r="BT6">
            <v>11322.35944369215</v>
          </cell>
          <cell r="BU6">
            <v>9384.2575826203574</v>
          </cell>
          <cell r="BV6">
            <v>7148.2179597286276</v>
          </cell>
          <cell r="BW6">
            <v>4705.5756249764117</v>
          </cell>
          <cell r="BX6">
            <v>0</v>
          </cell>
          <cell r="BY6">
            <v>0</v>
          </cell>
          <cell r="BZ6">
            <v>0</v>
          </cell>
          <cell r="CA6">
            <v>0</v>
          </cell>
          <cell r="CB6">
            <v>0</v>
          </cell>
        </row>
        <row r="7">
          <cell r="BS7">
            <v>35816.585327046218</v>
          </cell>
          <cell r="BT7">
            <v>30868.166966342869</v>
          </cell>
          <cell r="BU7">
            <v>25958.12413273584</v>
          </cell>
          <cell r="BV7">
            <v>19919.776765319759</v>
          </cell>
          <cell r="BW7">
            <v>13188.968503122403</v>
          </cell>
          <cell r="BX7">
            <v>0</v>
          </cell>
          <cell r="BY7">
            <v>0</v>
          </cell>
          <cell r="BZ7">
            <v>0</v>
          </cell>
          <cell r="CA7">
            <v>0</v>
          </cell>
          <cell r="CB7">
            <v>0</v>
          </cell>
        </row>
        <row r="8">
          <cell r="BS8">
            <v>76974.791573133611</v>
          </cell>
          <cell r="BT8">
            <v>66455.287673108411</v>
          </cell>
          <cell r="BU8">
            <v>56383.330803128942</v>
          </cell>
          <cell r="BV8">
            <v>43362.14669639826</v>
          </cell>
          <cell r="BW8">
            <v>29106.378685128617</v>
          </cell>
          <cell r="BX8">
            <v>0</v>
          </cell>
          <cell r="BY8">
            <v>0</v>
          </cell>
          <cell r="BZ8">
            <v>0</v>
          </cell>
          <cell r="CA8">
            <v>0</v>
          </cell>
          <cell r="CB8">
            <v>0</v>
          </cell>
        </row>
        <row r="9">
          <cell r="BS9">
            <v>144132.87768067655</v>
          </cell>
          <cell r="BT9">
            <v>123426.09649231065</v>
          </cell>
          <cell r="BU9">
            <v>104858.11014300247</v>
          </cell>
          <cell r="BV9">
            <v>80470.979065668012</v>
          </cell>
          <cell r="BW9">
            <v>54019.5890304481</v>
          </cell>
          <cell r="BX9">
            <v>0</v>
          </cell>
          <cell r="BY9">
            <v>0</v>
          </cell>
          <cell r="BZ9">
            <v>0</v>
          </cell>
          <cell r="CA9">
            <v>0</v>
          </cell>
          <cell r="CB9">
            <v>0</v>
          </cell>
        </row>
        <row r="10">
          <cell r="BS10">
            <v>220885.367921784</v>
          </cell>
          <cell r="BT10">
            <v>188771.61383970367</v>
          </cell>
          <cell r="BU10">
            <v>160593.82613387218</v>
          </cell>
          <cell r="BV10">
            <v>123662.63932186703</v>
          </cell>
          <cell r="BW10">
            <v>84026.780929468528</v>
          </cell>
          <cell r="BX10">
            <v>0</v>
          </cell>
          <cell r="BY10">
            <v>0</v>
          </cell>
          <cell r="BZ10">
            <v>0</v>
          </cell>
          <cell r="CA10">
            <v>0</v>
          </cell>
          <cell r="CB10">
            <v>0</v>
          </cell>
        </row>
        <row r="11">
          <cell r="BS11">
            <v>308482.17383317801</v>
          </cell>
          <cell r="BT11">
            <v>264160.09533604258</v>
          </cell>
          <cell r="BU11">
            <v>225858.13874148743</v>
          </cell>
          <cell r="BV11">
            <v>172663.28319546403</v>
          </cell>
          <cell r="BW11">
            <v>115617.27633460428</v>
          </cell>
          <cell r="BX11">
            <v>0</v>
          </cell>
          <cell r="BY11">
            <v>0</v>
          </cell>
          <cell r="BZ11">
            <v>0</v>
          </cell>
          <cell r="CA11">
            <v>0</v>
          </cell>
          <cell r="CB11">
            <v>0</v>
          </cell>
        </row>
        <row r="12">
          <cell r="BS12">
            <v>408329.63334400661</v>
          </cell>
          <cell r="BT12">
            <v>345565.39429961669</v>
          </cell>
          <cell r="BU12">
            <v>292806.47879310121</v>
          </cell>
          <cell r="BV12">
            <v>221980.49478206871</v>
          </cell>
          <cell r="BW12">
            <v>149290.62241320498</v>
          </cell>
          <cell r="BX12">
            <v>0</v>
          </cell>
          <cell r="BY12">
            <v>0</v>
          </cell>
          <cell r="BZ12">
            <v>0</v>
          </cell>
          <cell r="CA12">
            <v>0</v>
          </cell>
          <cell r="CB12">
            <v>0</v>
          </cell>
        </row>
        <row r="13">
          <cell r="BS13">
            <v>522010.3728884203</v>
          </cell>
          <cell r="BT13">
            <v>439824.0928526863</v>
          </cell>
          <cell r="BU13">
            <v>375665.02299446997</v>
          </cell>
          <cell r="BV13">
            <v>287210.3393859936</v>
          </cell>
          <cell r="BW13">
            <v>193983.76015207783</v>
          </cell>
          <cell r="BX13">
            <v>0</v>
          </cell>
          <cell r="BY13">
            <v>0</v>
          </cell>
          <cell r="BZ13">
            <v>0</v>
          </cell>
          <cell r="CA13">
            <v>0</v>
          </cell>
          <cell r="CB13">
            <v>0</v>
          </cell>
        </row>
        <row r="14">
          <cell r="BS14">
            <v>651305.8383388489</v>
          </cell>
          <cell r="BT14">
            <v>550106.55898458709</v>
          </cell>
          <cell r="BU14">
            <v>472810.79701856792</v>
          </cell>
          <cell r="BV14">
            <v>362702.75239305239</v>
          </cell>
          <cell r="BW14">
            <v>247932.11498098343</v>
          </cell>
          <cell r="BX14">
            <v>0</v>
          </cell>
          <cell r="BY14">
            <v>0</v>
          </cell>
          <cell r="BZ14">
            <v>0</v>
          </cell>
          <cell r="CA14">
            <v>0</v>
          </cell>
          <cell r="CB14">
            <v>0</v>
          </cell>
        </row>
        <row r="15">
          <cell r="BS15">
            <v>797142.91719458799</v>
          </cell>
          <cell r="BT15">
            <v>673408.92082911276</v>
          </cell>
          <cell r="BU15">
            <v>584032.75934983941</v>
          </cell>
          <cell r="BV15">
            <v>446088.31764754525</v>
          </cell>
          <cell r="BW15">
            <v>309078.22717277682</v>
          </cell>
          <cell r="BX15">
            <v>0</v>
          </cell>
          <cell r="BY15">
            <v>0</v>
          </cell>
          <cell r="BZ15">
            <v>0</v>
          </cell>
          <cell r="CA15">
            <v>0</v>
          </cell>
          <cell r="CB15">
            <v>0</v>
          </cell>
        </row>
        <row r="16">
          <cell r="BS16">
            <v>961450.84091705515</v>
          </cell>
          <cell r="BT16">
            <v>809488.08864955942</v>
          </cell>
          <cell r="BU16">
            <v>708123.87214967422</v>
          </cell>
          <cell r="BV16">
            <v>545440.65081684792</v>
          </cell>
          <cell r="BW16">
            <v>378306.31768726918</v>
          </cell>
          <cell r="BX16">
            <v>0</v>
          </cell>
          <cell r="BY16">
            <v>0</v>
          </cell>
          <cell r="BZ16">
            <v>0</v>
          </cell>
          <cell r="CA16">
            <v>0</v>
          </cell>
          <cell r="CB16">
            <v>0</v>
          </cell>
        </row>
        <row r="17">
          <cell r="BS17">
            <v>1146366.1243503345</v>
          </cell>
          <cell r="BT17">
            <v>971150.54062736628</v>
          </cell>
          <cell r="BU17">
            <v>853135.13926452142</v>
          </cell>
          <cell r="BV17">
            <v>657774.2403811008</v>
          </cell>
          <cell r="BW17">
            <v>458743.58651472244</v>
          </cell>
          <cell r="BX17">
            <v>0</v>
          </cell>
          <cell r="BY17">
            <v>0</v>
          </cell>
          <cell r="BZ17">
            <v>0</v>
          </cell>
          <cell r="CA17">
            <v>0</v>
          </cell>
          <cell r="CB17">
            <v>0</v>
          </cell>
        </row>
        <row r="18">
          <cell r="BS18">
            <v>1354307.0406442895</v>
          </cell>
          <cell r="BT18">
            <v>1140852.3959236657</v>
          </cell>
          <cell r="BU18">
            <v>1007377.8621997697</v>
          </cell>
          <cell r="BV18">
            <v>771579.61645722308</v>
          </cell>
          <cell r="BW18">
            <v>537362.01348193327</v>
          </cell>
          <cell r="BX18">
            <v>0</v>
          </cell>
          <cell r="BY18">
            <v>0</v>
          </cell>
          <cell r="BZ18">
            <v>0</v>
          </cell>
          <cell r="CA18">
            <v>0</v>
          </cell>
          <cell r="CB18">
            <v>0</v>
          </cell>
        </row>
        <row r="19">
          <cell r="BS19">
            <v>1587968.5096867085</v>
          </cell>
          <cell r="BT19">
            <v>1335608.4657120432</v>
          </cell>
          <cell r="BU19">
            <v>1186586.0037617991</v>
          </cell>
          <cell r="BV19">
            <v>906707.8687945432</v>
          </cell>
          <cell r="BW19">
            <v>635726.345539851</v>
          </cell>
          <cell r="BX19">
            <v>0</v>
          </cell>
          <cell r="BY19">
            <v>0</v>
          </cell>
          <cell r="BZ19">
            <v>0</v>
          </cell>
          <cell r="CA19">
            <v>0</v>
          </cell>
          <cell r="CB19">
            <v>0</v>
          </cell>
        </row>
        <row r="20">
          <cell r="BS20">
            <v>1850354.328652136</v>
          </cell>
          <cell r="BT20">
            <v>1555313.9424787634</v>
          </cell>
          <cell r="BU20">
            <v>1386371.8040721102</v>
          </cell>
          <cell r="BV20">
            <v>1061365.4646220461</v>
          </cell>
          <cell r="BW20">
            <v>753490.84774772741</v>
          </cell>
          <cell r="BX20">
            <v>0</v>
          </cell>
          <cell r="BY20">
            <v>0</v>
          </cell>
          <cell r="BZ20">
            <v>0</v>
          </cell>
          <cell r="CA20">
            <v>0</v>
          </cell>
          <cell r="CB20">
            <v>0</v>
          </cell>
        </row>
        <row r="21">
          <cell r="BS21">
            <v>2152443.5325339329</v>
          </cell>
          <cell r="BT21">
            <v>1791407.4473292092</v>
          </cell>
          <cell r="BU21">
            <v>1600998.5162710857</v>
          </cell>
          <cell r="BV21">
            <v>1221862.5480151025</v>
          </cell>
          <cell r="BW21">
            <v>860331.61265500763</v>
          </cell>
          <cell r="BX21">
            <v>0</v>
          </cell>
          <cell r="BY21">
            <v>0</v>
          </cell>
          <cell r="BZ21">
            <v>0</v>
          </cell>
          <cell r="CA21">
            <v>0</v>
          </cell>
          <cell r="CB21">
            <v>0</v>
          </cell>
        </row>
        <row r="22">
          <cell r="BS22">
            <v>2500729.6561669377</v>
          </cell>
          <cell r="BT22">
            <v>2072633.2554619676</v>
          </cell>
          <cell r="BU22">
            <v>1867824.1378269303</v>
          </cell>
          <cell r="BV22">
            <v>1418829.9639947182</v>
          </cell>
          <cell r="BW22">
            <v>998682.75397538266</v>
          </cell>
          <cell r="BX22">
            <v>0</v>
          </cell>
          <cell r="BY22">
            <v>0</v>
          </cell>
          <cell r="BZ22">
            <v>0</v>
          </cell>
          <cell r="CA22">
            <v>0</v>
          </cell>
          <cell r="CB22">
            <v>0</v>
          </cell>
        </row>
        <row r="23">
          <cell r="BS23">
            <v>2977133.2378180176</v>
          </cell>
          <cell r="BT23">
            <v>2462469.8945923364</v>
          </cell>
          <cell r="BU23">
            <v>2213751.5051074917</v>
          </cell>
          <cell r="BV23">
            <v>1675242.9549280829</v>
          </cell>
          <cell r="BW23">
            <v>1189401.2536403546</v>
          </cell>
          <cell r="BX23">
            <v>0</v>
          </cell>
          <cell r="BY23">
            <v>0</v>
          </cell>
          <cell r="BZ23">
            <v>0</v>
          </cell>
          <cell r="CA23">
            <v>0</v>
          </cell>
          <cell r="CB23">
            <v>0</v>
          </cell>
        </row>
        <row r="24">
          <cell r="BS24">
            <v>3523554.1872493145</v>
          </cell>
          <cell r="BT24">
            <v>2893294.6835756148</v>
          </cell>
          <cell r="BU24">
            <v>2587359.1864364156</v>
          </cell>
          <cell r="BV24">
            <v>1956933.57023</v>
          </cell>
          <cell r="BW24">
            <v>1388566.7185070554</v>
          </cell>
          <cell r="BX24">
            <v>0</v>
          </cell>
          <cell r="BY24">
            <v>0</v>
          </cell>
          <cell r="BZ24">
            <v>0</v>
          </cell>
          <cell r="CA24">
            <v>0</v>
          </cell>
          <cell r="CB24">
            <v>0</v>
          </cell>
        </row>
        <row r="25">
          <cell r="BS25">
            <v>4143074.186320228</v>
          </cell>
          <cell r="BT25">
            <v>3387771.7577071008</v>
          </cell>
          <cell r="BU25">
            <v>3035540.7890206771</v>
          </cell>
          <cell r="BV25">
            <v>2282552.9434519201</v>
          </cell>
          <cell r="BW25">
            <v>1635533.3694952531</v>
          </cell>
          <cell r="BX25">
            <v>0</v>
          </cell>
          <cell r="BY25">
            <v>0</v>
          </cell>
          <cell r="BZ25">
            <v>0</v>
          </cell>
          <cell r="CA25">
            <v>0</v>
          </cell>
          <cell r="CB25">
            <v>0</v>
          </cell>
        </row>
        <row r="26">
          <cell r="BS26">
            <v>4834866.4368193094</v>
          </cell>
          <cell r="BT26">
            <v>3966297.8559869789</v>
          </cell>
          <cell r="BU26">
            <v>3556769.250329013</v>
          </cell>
          <cell r="BV26">
            <v>2652158.8379673096</v>
          </cell>
          <cell r="BW26">
            <v>1907859.6424582927</v>
          </cell>
          <cell r="BX26">
            <v>0</v>
          </cell>
          <cell r="BY26">
            <v>0</v>
          </cell>
          <cell r="BZ26">
            <v>0</v>
          </cell>
          <cell r="CA26">
            <v>0</v>
          </cell>
          <cell r="CB26">
            <v>0</v>
          </cell>
        </row>
        <row r="27">
          <cell r="BS27">
            <v>5681659.8051737854</v>
          </cell>
          <cell r="BT27">
            <v>4660018.9019514006</v>
          </cell>
          <cell r="BU27">
            <v>4177520.5253750002</v>
          </cell>
          <cell r="BV27">
            <v>3087048.2815944613</v>
          </cell>
          <cell r="BW27">
            <v>2210058.007038503</v>
          </cell>
          <cell r="BX27">
            <v>0</v>
          </cell>
          <cell r="BY27">
            <v>0</v>
          </cell>
          <cell r="BZ27">
            <v>0</v>
          </cell>
          <cell r="CA27">
            <v>0</v>
          </cell>
          <cell r="CB27">
            <v>0</v>
          </cell>
        </row>
        <row r="28">
          <cell r="BS28">
            <v>6633036.4446440814</v>
          </cell>
          <cell r="BT28">
            <v>5459393.7616918562</v>
          </cell>
          <cell r="BU28">
            <v>4934272.9955006177</v>
          </cell>
          <cell r="BV28">
            <v>3610436.3040188611</v>
          </cell>
          <cell r="BW28">
            <v>2582872.8795005335</v>
          </cell>
          <cell r="BX28">
            <v>0</v>
          </cell>
          <cell r="BY28">
            <v>0</v>
          </cell>
          <cell r="BZ28">
            <v>0</v>
          </cell>
          <cell r="CA28">
            <v>0</v>
          </cell>
          <cell r="CB28">
            <v>0</v>
          </cell>
        </row>
        <row r="29">
          <cell r="BS29">
            <v>7701045.1331762262</v>
          </cell>
          <cell r="BT29">
            <v>6344774.8576118704</v>
          </cell>
          <cell r="BU29">
            <v>5766275.0115531692</v>
          </cell>
          <cell r="BV29">
            <v>4194131.6981295627</v>
          </cell>
          <cell r="BW29">
            <v>2982913.7154193926</v>
          </cell>
          <cell r="BX29">
            <v>0</v>
          </cell>
          <cell r="BY29">
            <v>0</v>
          </cell>
          <cell r="BZ29">
            <v>0</v>
          </cell>
          <cell r="CA29">
            <v>0</v>
          </cell>
          <cell r="CB29">
            <v>0</v>
          </cell>
        </row>
        <row r="30">
          <cell r="BS30">
            <v>8898999.6192028001</v>
          </cell>
          <cell r="BT30">
            <v>7327446.8125783</v>
          </cell>
          <cell r="BU30">
            <v>6693664.0362325488</v>
          </cell>
          <cell r="BV30">
            <v>4841174.8174553681</v>
          </cell>
          <cell r="BW30">
            <v>3433310.1488763103</v>
          </cell>
          <cell r="BX30">
            <v>0</v>
          </cell>
          <cell r="BY30">
            <v>0</v>
          </cell>
          <cell r="BZ30">
            <v>0</v>
          </cell>
          <cell r="CA30">
            <v>0</v>
          </cell>
          <cell r="CB30">
            <v>0</v>
          </cell>
        </row>
        <row r="31">
          <cell r="BS31">
            <v>10241969.491429593</v>
          </cell>
          <cell r="BT31">
            <v>8422626.9370127674</v>
          </cell>
          <cell r="BU31">
            <v>7727786.4403453674</v>
          </cell>
          <cell r="BV31">
            <v>5580637.722481844</v>
          </cell>
          <cell r="BW31">
            <v>3944659.8449189034</v>
          </cell>
          <cell r="BX31">
            <v>0</v>
          </cell>
          <cell r="BY31">
            <v>0</v>
          </cell>
          <cell r="BZ31">
            <v>0</v>
          </cell>
          <cell r="CA31">
            <v>0</v>
          </cell>
          <cell r="CB31">
            <v>0</v>
          </cell>
        </row>
        <row r="32">
          <cell r="BS32">
            <v>11746744.245370986</v>
          </cell>
          <cell r="BT32">
            <v>9633060.620228352</v>
          </cell>
          <cell r="BU32">
            <v>8856814.8738657273</v>
          </cell>
          <cell r="BV32">
            <v>6419786.4816884417</v>
          </cell>
          <cell r="BW32">
            <v>4542792.7261464279</v>
          </cell>
          <cell r="BX32">
            <v>0</v>
          </cell>
          <cell r="BY32">
            <v>0</v>
          </cell>
          <cell r="BZ32">
            <v>0</v>
          </cell>
          <cell r="CA32">
            <v>0</v>
          </cell>
          <cell r="CB32">
            <v>0</v>
          </cell>
        </row>
        <row r="33">
          <cell r="BS33">
            <v>13429303.075803597</v>
          </cell>
          <cell r="BT33">
            <v>11008855.562939584</v>
          </cell>
          <cell r="BU33">
            <v>10216130.612883667</v>
          </cell>
          <cell r="BV33">
            <v>7445508.7880494762</v>
          </cell>
          <cell r="BW33">
            <v>5246654.321567338</v>
          </cell>
          <cell r="BX33">
            <v>0</v>
          </cell>
          <cell r="BY33">
            <v>0</v>
          </cell>
          <cell r="BZ33">
            <v>0</v>
          </cell>
          <cell r="CA33">
            <v>0</v>
          </cell>
          <cell r="CB33">
            <v>0</v>
          </cell>
        </row>
        <row r="34">
          <cell r="BS34">
            <v>15309469.801982995</v>
          </cell>
          <cell r="BT34">
            <v>12533035.173399368</v>
          </cell>
          <cell r="BU34">
            <v>11693321.609698102</v>
          </cell>
          <cell r="BV34">
            <v>8517329.8400601782</v>
          </cell>
          <cell r="BW34">
            <v>5991240.7530949963</v>
          </cell>
          <cell r="BX34">
            <v>0</v>
          </cell>
          <cell r="BY34">
            <v>0</v>
          </cell>
          <cell r="BZ34">
            <v>0</v>
          </cell>
          <cell r="CA34">
            <v>0</v>
          </cell>
          <cell r="CB34">
            <v>0</v>
          </cell>
        </row>
        <row r="35">
          <cell r="BS35">
            <v>17430003.48429773</v>
          </cell>
          <cell r="BT35">
            <v>14261647.464029688</v>
          </cell>
          <cell r="BU35">
            <v>13367820.118010888</v>
          </cell>
          <cell r="BV35">
            <v>9716467.767529076</v>
          </cell>
          <cell r="BW35">
            <v>6854804.3246292854</v>
          </cell>
          <cell r="BX35">
            <v>0</v>
          </cell>
          <cell r="BY35">
            <v>0</v>
          </cell>
          <cell r="BZ35">
            <v>0</v>
          </cell>
          <cell r="CA35">
            <v>0</v>
          </cell>
          <cell r="CB35">
            <v>0</v>
          </cell>
        </row>
        <row r="36">
          <cell r="BS36">
            <v>19818745.356290299</v>
          </cell>
          <cell r="BT36">
            <v>16183351.937074816</v>
          </cell>
          <cell r="BU36">
            <v>15219876.689178776</v>
          </cell>
          <cell r="BV36">
            <v>11069144.4066201</v>
          </cell>
          <cell r="BW36">
            <v>7826125.2576610493</v>
          </cell>
          <cell r="BX36">
            <v>0</v>
          </cell>
          <cell r="BY36">
            <v>0</v>
          </cell>
          <cell r="BZ36">
            <v>0</v>
          </cell>
          <cell r="CA36">
            <v>0</v>
          </cell>
          <cell r="CB36">
            <v>0</v>
          </cell>
        </row>
        <row r="37">
          <cell r="BS37">
            <v>22507059.986337736</v>
          </cell>
          <cell r="BT37">
            <v>18265839.781550787</v>
          </cell>
          <cell r="BU37">
            <v>17254003.033515342</v>
          </cell>
          <cell r="BV37">
            <v>12556432.755293787</v>
          </cell>
          <cell r="BW37">
            <v>8925475.4367096573</v>
          </cell>
          <cell r="BX37">
            <v>0</v>
          </cell>
          <cell r="BY37">
            <v>0</v>
          </cell>
          <cell r="BZ37">
            <v>0</v>
          </cell>
          <cell r="CA37">
            <v>0</v>
          </cell>
          <cell r="CB37">
            <v>0</v>
          </cell>
        </row>
        <row r="38">
          <cell r="BS38">
            <v>25530318.347039446</v>
          </cell>
          <cell r="BT38">
            <v>20669715.902884986</v>
          </cell>
          <cell r="BU38">
            <v>19659817.496552508</v>
          </cell>
          <cell r="BV38">
            <v>14296410.897961449</v>
          </cell>
          <cell r="BW38">
            <v>10225762.949331705</v>
          </cell>
          <cell r="BX38">
            <v>0</v>
          </cell>
          <cell r="BY38">
            <v>0</v>
          </cell>
          <cell r="BZ38">
            <v>0</v>
          </cell>
          <cell r="CA38">
            <v>0</v>
          </cell>
          <cell r="CB38">
            <v>0</v>
          </cell>
        </row>
        <row r="39">
          <cell r="BS39">
            <v>28926622.189479247</v>
          </cell>
          <cell r="BT39">
            <v>23401109.575324763</v>
          </cell>
          <cell r="BU39">
            <v>22374996.157664489</v>
          </cell>
          <cell r="BV39">
            <v>16200235.98135148</v>
          </cell>
          <cell r="BW39">
            <v>11686951.949596882</v>
          </cell>
          <cell r="BX39">
            <v>0</v>
          </cell>
          <cell r="BY39">
            <v>0</v>
          </cell>
          <cell r="BZ39">
            <v>0</v>
          </cell>
          <cell r="CA39">
            <v>0</v>
          </cell>
          <cell r="CB39">
            <v>0</v>
          </cell>
        </row>
        <row r="40">
          <cell r="BS40">
            <v>32731921.183686286</v>
          </cell>
          <cell r="BT40">
            <v>26448417.7430235</v>
          </cell>
          <cell r="BU40">
            <v>25331151.173784319</v>
          </cell>
          <cell r="BV40">
            <v>18270317.654864576</v>
          </cell>
          <cell r="BW40">
            <v>13216685.090872023</v>
          </cell>
          <cell r="BX40">
            <v>0</v>
          </cell>
          <cell r="BY40">
            <v>0</v>
          </cell>
          <cell r="BZ40">
            <v>0</v>
          </cell>
          <cell r="CA40">
            <v>0</v>
          </cell>
          <cell r="CB40">
            <v>0</v>
          </cell>
        </row>
        <row r="41">
          <cell r="BS41">
            <v>36991999.900268599</v>
          </cell>
          <cell r="BT41">
            <v>29780932.423721597</v>
          </cell>
          <cell r="BU41">
            <v>28635775.233977843</v>
          </cell>
          <cell r="BV41">
            <v>20511948.98163572</v>
          </cell>
          <cell r="BW41">
            <v>15051370.488421472</v>
          </cell>
          <cell r="BX41">
            <v>0</v>
          </cell>
          <cell r="BY41">
            <v>0</v>
          </cell>
          <cell r="BZ41">
            <v>0</v>
          </cell>
          <cell r="CA41">
            <v>0</v>
          </cell>
          <cell r="CB41">
            <v>0</v>
          </cell>
        </row>
        <row r="42">
          <cell r="BS42">
            <v>41757998.175900035</v>
          </cell>
          <cell r="BT42">
            <v>33484659.345851742</v>
          </cell>
          <cell r="BU42">
            <v>32224557.23860158</v>
          </cell>
          <cell r="BV42">
            <v>23016401.611483753</v>
          </cell>
          <cell r="BW42">
            <v>17043296.358243939</v>
          </cell>
          <cell r="BX42">
            <v>0</v>
          </cell>
          <cell r="BY42">
            <v>0</v>
          </cell>
          <cell r="BZ42">
            <v>0</v>
          </cell>
          <cell r="CA42">
            <v>0</v>
          </cell>
          <cell r="CB42">
            <v>0</v>
          </cell>
        </row>
        <row r="43">
          <cell r="BS43">
            <v>47086632.130360581</v>
          </cell>
          <cell r="BT43">
            <v>37556617.659513801</v>
          </cell>
          <cell r="BU43">
            <v>36225939.363685824</v>
          </cell>
          <cell r="BV43">
            <v>25858934.060930829</v>
          </cell>
          <cell r="BW43">
            <v>19341724.037117749</v>
          </cell>
          <cell r="BX43">
            <v>0</v>
          </cell>
          <cell r="BY43">
            <v>0</v>
          </cell>
          <cell r="BZ43">
            <v>0</v>
          </cell>
          <cell r="CA43">
            <v>0</v>
          </cell>
          <cell r="CB43">
            <v>0</v>
          </cell>
        </row>
        <row r="44">
          <cell r="BS44">
            <v>53040772.831134111</v>
          </cell>
          <cell r="BT44">
            <v>42068781.7894089</v>
          </cell>
          <cell r="BU44">
            <v>40810771.793364339</v>
          </cell>
          <cell r="BV44">
            <v>29137582.260234848</v>
          </cell>
          <cell r="BW44">
            <v>21981798.788979843</v>
          </cell>
          <cell r="BX44">
            <v>0</v>
          </cell>
          <cell r="BY44">
            <v>0</v>
          </cell>
          <cell r="BZ44">
            <v>0</v>
          </cell>
          <cell r="CA44">
            <v>0</v>
          </cell>
          <cell r="CB44">
            <v>0</v>
          </cell>
        </row>
        <row r="45">
          <cell r="BS45">
            <v>59689876.723243244</v>
          </cell>
          <cell r="BT45">
            <v>47237463.372777864</v>
          </cell>
          <cell r="BU45">
            <v>46049644.758491844</v>
          </cell>
          <cell r="BV45">
            <v>32818496.782144934</v>
          </cell>
          <cell r="BW45">
            <v>24989609.574568134</v>
          </cell>
          <cell r="BX45">
            <v>0</v>
          </cell>
          <cell r="BY45">
            <v>0</v>
          </cell>
          <cell r="BZ45">
            <v>0</v>
          </cell>
          <cell r="CA45">
            <v>0</v>
          </cell>
          <cell r="CB45">
            <v>0</v>
          </cell>
        </row>
        <row r="46">
          <cell r="BS46">
            <v>67111132.143297613</v>
          </cell>
          <cell r="BT46">
            <v>53190773.724689841</v>
          </cell>
          <cell r="BU46">
            <v>52063665.578532062</v>
          </cell>
          <cell r="BV46">
            <v>37023831.343610927</v>
          </cell>
          <cell r="BW46">
            <v>28357966.111186225</v>
          </cell>
          <cell r="BX46">
            <v>0</v>
          </cell>
          <cell r="BY46">
            <v>0</v>
          </cell>
          <cell r="BZ46">
            <v>0</v>
          </cell>
          <cell r="CA46">
            <v>0</v>
          </cell>
          <cell r="CB46">
            <v>0</v>
          </cell>
        </row>
        <row r="47">
          <cell r="BS47">
            <v>75390812.685906127</v>
          </cell>
          <cell r="BT47">
            <v>59577198.530792519</v>
          </cell>
          <cell r="BU47">
            <v>58566893.97244104</v>
          </cell>
          <cell r="BV47">
            <v>41418918.839567214</v>
          </cell>
          <cell r="BW47">
            <v>31890793.44379653</v>
          </cell>
          <cell r="BX47">
            <v>0</v>
          </cell>
          <cell r="BY47">
            <v>0</v>
          </cell>
          <cell r="BZ47">
            <v>0</v>
          </cell>
          <cell r="CA47">
            <v>0</v>
          </cell>
          <cell r="CB47">
            <v>0</v>
          </cell>
        </row>
        <row r="48">
          <cell r="BS48">
            <v>84623962.578762949</v>
          </cell>
          <cell r="BT48">
            <v>66646994.061509848</v>
          </cell>
          <cell r="BU48">
            <v>65681570.102806836</v>
          </cell>
          <cell r="BV48">
            <v>46293383.239927694</v>
          </cell>
          <cell r="BW48">
            <v>35786134.295243748</v>
          </cell>
          <cell r="BX48">
            <v>0</v>
          </cell>
          <cell r="BY48">
            <v>0</v>
          </cell>
          <cell r="BZ48">
            <v>0</v>
          </cell>
          <cell r="CA48">
            <v>0</v>
          </cell>
          <cell r="CB48">
            <v>0</v>
          </cell>
        </row>
        <row r="49">
          <cell r="BS49">
            <v>95401788.146960571</v>
          </cell>
          <cell r="BT49">
            <v>74945896.765842453</v>
          </cell>
          <cell r="BU49">
            <v>73993551.117347151</v>
          </cell>
          <cell r="BV49">
            <v>52050283.247805849</v>
          </cell>
          <cell r="BW49">
            <v>40374063.316028841</v>
          </cell>
          <cell r="BX49">
            <v>0</v>
          </cell>
          <cell r="BY49">
            <v>0</v>
          </cell>
          <cell r="BZ49">
            <v>0</v>
          </cell>
          <cell r="CA49">
            <v>0</v>
          </cell>
          <cell r="CB49">
            <v>0</v>
          </cell>
        </row>
        <row r="50">
          <cell r="BS50">
            <v>107406328.25307395</v>
          </cell>
          <cell r="BT50">
            <v>84073359.428269163</v>
          </cell>
          <cell r="BU50">
            <v>83187449.948286086</v>
          </cell>
          <cell r="BV50">
            <v>58359906.029913433</v>
          </cell>
          <cell r="BW50">
            <v>45249644.065405048</v>
          </cell>
          <cell r="BX50">
            <v>0</v>
          </cell>
          <cell r="BY50">
            <v>0</v>
          </cell>
          <cell r="BZ50">
            <v>0</v>
          </cell>
          <cell r="CA50">
            <v>0</v>
          </cell>
          <cell r="CB50">
            <v>0</v>
          </cell>
        </row>
        <row r="51">
          <cell r="BS51">
            <v>120772275.09680477</v>
          </cell>
          <cell r="BT51">
            <v>94199172.100607097</v>
          </cell>
          <cell r="BU51">
            <v>93449115.748207971</v>
          </cell>
          <cell r="BV51">
            <v>65321376.073091298</v>
          </cell>
          <cell r="BW51">
            <v>50670042.549222261</v>
          </cell>
          <cell r="BX51">
            <v>0</v>
          </cell>
          <cell r="BY51">
            <v>0</v>
          </cell>
          <cell r="BZ51">
            <v>0</v>
          </cell>
          <cell r="CA51">
            <v>0</v>
          </cell>
          <cell r="CB51">
            <v>0</v>
          </cell>
        </row>
        <row r="52">
          <cell r="BS52">
            <v>135646514.84294823</v>
          </cell>
          <cell r="BT52">
            <v>105278835.36655465</v>
          </cell>
          <cell r="BU52">
            <v>104901820.96875936</v>
          </cell>
          <cell r="BV52">
            <v>72699565.457013234</v>
          </cell>
          <cell r="BW52">
            <v>56633472.494354405</v>
          </cell>
          <cell r="BX52">
            <v>0</v>
          </cell>
          <cell r="BY52">
            <v>0</v>
          </cell>
          <cell r="BZ52">
            <v>0</v>
          </cell>
          <cell r="CA52">
            <v>0</v>
          </cell>
          <cell r="CB52">
            <v>0</v>
          </cell>
        </row>
        <row r="53">
          <cell r="BS53">
            <v>152194856.9375158</v>
          </cell>
          <cell r="BT53">
            <v>117712624.77626954</v>
          </cell>
          <cell r="BU53">
            <v>117291736.39356434</v>
          </cell>
          <cell r="BV53">
            <v>80849395.506768376</v>
          </cell>
          <cell r="BW53">
            <v>63636783.866814159</v>
          </cell>
          <cell r="BX53">
            <v>0</v>
          </cell>
          <cell r="BY53">
            <v>0</v>
          </cell>
          <cell r="BZ53">
            <v>0</v>
          </cell>
          <cell r="CA53">
            <v>0</v>
          </cell>
          <cell r="CB53">
            <v>0</v>
          </cell>
        </row>
        <row r="54">
          <cell r="BS54">
            <v>170135277.74625903</v>
          </cell>
          <cell r="BT54">
            <v>131143341.99848378</v>
          </cell>
          <cell r="BU54">
            <v>130682545.00252947</v>
          </cell>
          <cell r="BV54">
            <v>90030714.719441608</v>
          </cell>
          <cell r="BW54">
            <v>71363848.289153174</v>
          </cell>
          <cell r="BX54">
            <v>274329.31591607397</v>
          </cell>
          <cell r="BY54">
            <v>228539.38009858175</v>
          </cell>
          <cell r="BZ54">
            <v>202281.04112082755</v>
          </cell>
          <cell r="CA54">
            <v>152847.8171293347</v>
          </cell>
          <cell r="CB54">
            <v>0</v>
          </cell>
        </row>
        <row r="55">
          <cell r="BS55">
            <v>189564821.1181846</v>
          </cell>
          <cell r="BT55">
            <v>144818855.56078786</v>
          </cell>
          <cell r="BU55">
            <v>145050478.72401023</v>
          </cell>
          <cell r="BV55">
            <v>99937587.633671656</v>
          </cell>
          <cell r="BW55">
            <v>79363312.736169696</v>
          </cell>
          <cell r="BX55">
            <v>883110.29807739414</v>
          </cell>
          <cell r="BY55">
            <v>706177.16406574799</v>
          </cell>
          <cell r="BZ55">
            <v>647114.93101511581</v>
          </cell>
          <cell r="CA55">
            <v>491439.44859104161</v>
          </cell>
          <cell r="CB55">
            <v>0</v>
          </cell>
        </row>
        <row r="56">
          <cell r="BS56">
            <v>210590137.88720056</v>
          </cell>
          <cell r="BT56">
            <v>160431555.05001193</v>
          </cell>
          <cell r="BU56">
            <v>161797963.37196556</v>
          </cell>
          <cell r="BV56">
            <v>111060241.98784727</v>
          </cell>
          <cell r="BW56">
            <v>88246238.037520409</v>
          </cell>
          <cell r="BX56">
            <v>1895904.332384188</v>
          </cell>
          <cell r="BY56">
            <v>1546132.681491341</v>
          </cell>
          <cell r="BZ56">
            <v>1444386.8083796436</v>
          </cell>
          <cell r="CA56">
            <v>1077099.893363636</v>
          </cell>
          <cell r="CB56">
            <v>0</v>
          </cell>
        </row>
        <row r="57">
          <cell r="BS57">
            <v>233321966.02931875</v>
          </cell>
          <cell r="BT57">
            <v>177496808.06674996</v>
          </cell>
          <cell r="BU57">
            <v>180089306.7041266</v>
          </cell>
          <cell r="BV57">
            <v>122592148.54998073</v>
          </cell>
          <cell r="BW57">
            <v>97733130.770999134</v>
          </cell>
          <cell r="BX57">
            <v>3393133.5045988024</v>
          </cell>
          <cell r="BY57">
            <v>2803974.5637589777</v>
          </cell>
          <cell r="BZ57">
            <v>2635239.0266353814</v>
          </cell>
          <cell r="CA57">
            <v>1909127.2350657382</v>
          </cell>
          <cell r="CB57">
            <v>0</v>
          </cell>
        </row>
        <row r="58">
          <cell r="BS58">
            <v>257874729.96597078</v>
          </cell>
          <cell r="BT58">
            <v>195841895.53055939</v>
          </cell>
          <cell r="BU58">
            <v>198512060.47640201</v>
          </cell>
          <cell r="BV58">
            <v>134585514.15047663</v>
          </cell>
          <cell r="BW58">
            <v>107332640.63912374</v>
          </cell>
          <cell r="BX58">
            <v>7013221.3797772089</v>
          </cell>
          <cell r="BY58">
            <v>5911876.15386442</v>
          </cell>
          <cell r="BZ58">
            <v>5350480.1648090333</v>
          </cell>
          <cell r="CA58">
            <v>3940962.7383867474</v>
          </cell>
          <cell r="CB58">
            <v>0</v>
          </cell>
        </row>
        <row r="59">
          <cell r="BS59">
            <v>284361410.52510303</v>
          </cell>
          <cell r="BT59">
            <v>214668323.31163901</v>
          </cell>
          <cell r="BU59">
            <v>218128634.302158</v>
          </cell>
          <cell r="BV59">
            <v>147222918.75963783</v>
          </cell>
          <cell r="BW59">
            <v>117720428.37244129</v>
          </cell>
          <cell r="BX59">
            <v>11809984.856454756</v>
          </cell>
          <cell r="BY59">
            <v>9841097.5645725727</v>
          </cell>
          <cell r="BZ59">
            <v>8902598.2703330703</v>
          </cell>
          <cell r="CA59">
            <v>6578487.0389872603</v>
          </cell>
          <cell r="CB59">
            <v>0</v>
          </cell>
        </row>
        <row r="60">
          <cell r="BS60">
            <v>312903280.69338781</v>
          </cell>
          <cell r="BT60">
            <v>234618555.77456149</v>
          </cell>
          <cell r="BU60">
            <v>239337298.18954003</v>
          </cell>
          <cell r="BV60">
            <v>160739311.87561303</v>
          </cell>
          <cell r="BW60">
            <v>128898707.85168876</v>
          </cell>
          <cell r="BX60">
            <v>17987910.090115715</v>
          </cell>
          <cell r="BY60">
            <v>14832414.90608668</v>
          </cell>
          <cell r="BZ60">
            <v>13492998.44282149</v>
          </cell>
          <cell r="CA60">
            <v>9960132.2142939586</v>
          </cell>
          <cell r="CB60">
            <v>0</v>
          </cell>
        </row>
        <row r="61">
          <cell r="BS61">
            <v>343631544.51951861</v>
          </cell>
          <cell r="BT61">
            <v>256639729.17592418</v>
          </cell>
          <cell r="BU61">
            <v>262349360.13395134</v>
          </cell>
          <cell r="BV61">
            <v>175263579.68449178</v>
          </cell>
          <cell r="BW61">
            <v>141170331.53790864</v>
          </cell>
          <cell r="BX61">
            <v>25779489.463178817</v>
          </cell>
          <cell r="BY61">
            <v>21306829.761281397</v>
          </cell>
          <cell r="BZ61">
            <v>19328493.605846804</v>
          </cell>
          <cell r="CA61">
            <v>14230392.184037985</v>
          </cell>
          <cell r="CB61">
            <v>0</v>
          </cell>
        </row>
        <row r="62">
          <cell r="BS62">
            <v>381229602.02716041</v>
          </cell>
          <cell r="BT62">
            <v>283181960.23952103</v>
          </cell>
          <cell r="BU62">
            <v>290538103.68826485</v>
          </cell>
          <cell r="BV62">
            <v>193725799.94133335</v>
          </cell>
          <cell r="BW62">
            <v>156231619.48590392</v>
          </cell>
          <cell r="BX62">
            <v>35540610.615634203</v>
          </cell>
          <cell r="BY62">
            <v>29203981.498319294</v>
          </cell>
          <cell r="BZ62">
            <v>26651671.228751324</v>
          </cell>
          <cell r="CA62">
            <v>19723485.602656372</v>
          </cell>
          <cell r="CB62">
            <v>3967659.7483393517</v>
          </cell>
        </row>
        <row r="63">
          <cell r="BS63">
            <v>422938626.52817404</v>
          </cell>
          <cell r="BT63">
            <v>313317018.67965651</v>
          </cell>
          <cell r="BU63">
            <v>322139010.34857959</v>
          </cell>
          <cell r="BV63">
            <v>213961973.52677462</v>
          </cell>
          <cell r="BW63">
            <v>173368544.58038828</v>
          </cell>
          <cell r="BX63">
            <v>46300444.705199987</v>
          </cell>
          <cell r="BY63">
            <v>38142667.82307528</v>
          </cell>
          <cell r="BZ63">
            <v>34810444.436557181</v>
          </cell>
          <cell r="CA63">
            <v>25725956.394372512</v>
          </cell>
          <cell r="CB63">
            <v>8458049.8472340759</v>
          </cell>
        </row>
        <row r="64">
          <cell r="BS64">
            <v>469175068.29209566</v>
          </cell>
          <cell r="BT64">
            <v>345769945.51205778</v>
          </cell>
          <cell r="BU64">
            <v>356840249.81859368</v>
          </cell>
          <cell r="BV64">
            <v>236450080.67168546</v>
          </cell>
          <cell r="BW64">
            <v>192992661.65785122</v>
          </cell>
          <cell r="BX64">
            <v>58160589.422632739</v>
          </cell>
          <cell r="BY64">
            <v>47742574.348167099</v>
          </cell>
          <cell r="BZ64">
            <v>43720244.568164386</v>
          </cell>
          <cell r="CA64">
            <v>32378167.692055948</v>
          </cell>
          <cell r="CB64">
            <v>13573334.254596338</v>
          </cell>
        </row>
        <row r="65">
          <cell r="BS65">
            <v>520411232.09467441</v>
          </cell>
          <cell r="BT65">
            <v>382356495.21343106</v>
          </cell>
          <cell r="BU65">
            <v>395973770.50952995</v>
          </cell>
          <cell r="BV65">
            <v>261801541.22438022</v>
          </cell>
          <cell r="BW65">
            <v>214088629.14759967</v>
          </cell>
          <cell r="BX65">
            <v>71233327.39591676</v>
          </cell>
          <cell r="BY65">
            <v>58537552.617898181</v>
          </cell>
          <cell r="BZ65">
            <v>53714638.232273713</v>
          </cell>
          <cell r="CA65">
            <v>39858197.047270402</v>
          </cell>
          <cell r="CB65">
            <v>19044064.524263844</v>
          </cell>
        </row>
        <row r="66">
          <cell r="BS66">
            <v>577189114.02993941</v>
          </cell>
          <cell r="BT66">
            <v>422143475.93644953</v>
          </cell>
          <cell r="BU66">
            <v>439806125.66917163</v>
          </cell>
          <cell r="BV66">
            <v>289935129.97467375</v>
          </cell>
          <cell r="BW66">
            <v>239088049.94567931</v>
          </cell>
          <cell r="BX66">
            <v>85653346.71846199</v>
          </cell>
          <cell r="BY66">
            <v>70250960.492685214</v>
          </cell>
          <cell r="BZ66">
            <v>64861669.132815219</v>
          </cell>
          <cell r="CA66">
            <v>48140810.95828414</v>
          </cell>
          <cell r="CB66">
            <v>25493941.933938649</v>
          </cell>
        </row>
        <row r="67">
          <cell r="BS67">
            <v>640146248.48522413</v>
          </cell>
          <cell r="BT67">
            <v>466620713.57645774</v>
          </cell>
          <cell r="BU67">
            <v>488230093.80602145</v>
          </cell>
          <cell r="BV67">
            <v>321158638.65170735</v>
          </cell>
          <cell r="BW67">
            <v>265799298.31492779</v>
          </cell>
          <cell r="BX67">
            <v>101593154.83561672</v>
          </cell>
          <cell r="BY67">
            <v>83326153.857087076</v>
          </cell>
          <cell r="BZ67">
            <v>77138347.385128215</v>
          </cell>
          <cell r="CA67">
            <v>57319740.116871566</v>
          </cell>
          <cell r="CB67">
            <v>32355489.474505778</v>
          </cell>
        </row>
        <row r="68">
          <cell r="BS68">
            <v>709965099.45528293</v>
          </cell>
          <cell r="BT68">
            <v>515218126.91599065</v>
          </cell>
          <cell r="BU68">
            <v>542508372.09194529</v>
          </cell>
          <cell r="BV68">
            <v>355533870.46657461</v>
          </cell>
          <cell r="BW68">
            <v>294500136.40608758</v>
          </cell>
          <cell r="BX68">
            <v>119212176.07216504</v>
          </cell>
          <cell r="BY68">
            <v>97590437.509359181</v>
          </cell>
          <cell r="BZ68">
            <v>90850741.310722604</v>
          </cell>
          <cell r="CA68">
            <v>67409537.567490116</v>
          </cell>
          <cell r="CB68">
            <v>39698251.212738737</v>
          </cell>
        </row>
        <row r="69">
          <cell r="BS69">
            <v>787468769.47700906</v>
          </cell>
          <cell r="BT69">
            <v>568270222.942662</v>
          </cell>
          <cell r="BU69">
            <v>603564594.18273509</v>
          </cell>
          <cell r="BV69">
            <v>392742274.71314234</v>
          </cell>
          <cell r="BW69">
            <v>324264855.51560736</v>
          </cell>
          <cell r="BX69">
            <v>138673716.56795281</v>
          </cell>
          <cell r="BY69">
            <v>113125110.28367072</v>
          </cell>
          <cell r="BZ69">
            <v>106198064.49921408</v>
          </cell>
          <cell r="CA69">
            <v>78304873.053087905</v>
          </cell>
          <cell r="CB69">
            <v>47277085.853769645</v>
          </cell>
        </row>
        <row r="70">
          <cell r="BS70">
            <v>873232075.4791553</v>
          </cell>
          <cell r="BT70">
            <v>627329791.93733776</v>
          </cell>
          <cell r="BU70">
            <v>670257050.67348814</v>
          </cell>
          <cell r="BV70">
            <v>431129121.84595025</v>
          </cell>
          <cell r="BW70">
            <v>358788086.54467094</v>
          </cell>
          <cell r="BX70">
            <v>160138868.64843798</v>
          </cell>
          <cell r="BY70">
            <v>130392124.7586004</v>
          </cell>
          <cell r="BZ70">
            <v>122921329.7471859</v>
          </cell>
          <cell r="CA70">
            <v>89527884.943825901</v>
          </cell>
          <cell r="CB70">
            <v>56034584.94523783</v>
          </cell>
        </row>
        <row r="71">
          <cell r="BS71">
            <v>967969684.54707158</v>
          </cell>
          <cell r="BT71">
            <v>692228679.06531239</v>
          </cell>
          <cell r="BU71">
            <v>740805515.4536289</v>
          </cell>
          <cell r="BV71">
            <v>473240596.61025774</v>
          </cell>
          <cell r="BW71">
            <v>396128851.87444055</v>
          </cell>
          <cell r="BX71">
            <v>183847372.14801061</v>
          </cell>
          <cell r="BY71">
            <v>149366890.32095981</v>
          </cell>
          <cell r="BZ71">
            <v>140615215.25608891</v>
          </cell>
          <cell r="CA71">
            <v>101840197.16517857</v>
          </cell>
          <cell r="CB71">
            <v>65492763.179279327</v>
          </cell>
        </row>
        <row r="72">
          <cell r="BS72">
            <v>1072600746.151843</v>
          </cell>
          <cell r="BT72">
            <v>761364316.02493727</v>
          </cell>
          <cell r="BU72">
            <v>815968632.88122928</v>
          </cell>
          <cell r="BV72">
            <v>520398579.43389881</v>
          </cell>
          <cell r="BW72">
            <v>436875523.68277937</v>
          </cell>
          <cell r="BX72">
            <v>210042158.2273435</v>
          </cell>
          <cell r="BY72">
            <v>169586086.49756595</v>
          </cell>
          <cell r="BZ72">
            <v>159478544.15517595</v>
          </cell>
          <cell r="CA72">
            <v>115631876.07255685</v>
          </cell>
          <cell r="CB72">
            <v>75800332.913226843</v>
          </cell>
        </row>
        <row r="73">
          <cell r="BS73">
            <v>1188147056.6456008</v>
          </cell>
          <cell r="BT73">
            <v>835682845.87593007</v>
          </cell>
          <cell r="BU73">
            <v>904228255.76000023</v>
          </cell>
          <cell r="BV73">
            <v>572945821.30678475</v>
          </cell>
          <cell r="BW73">
            <v>481808805.31753713</v>
          </cell>
          <cell r="BX73">
            <v>238991389.01446921</v>
          </cell>
          <cell r="BY73">
            <v>191331009.31592283</v>
          </cell>
          <cell r="BZ73">
            <v>181646681.03778338</v>
          </cell>
          <cell r="CA73">
            <v>131006718.94329713</v>
          </cell>
          <cell r="CB73">
            <v>87148484.500261977</v>
          </cell>
        </row>
        <row r="74">
          <cell r="BS74">
            <v>1315740758.132895</v>
          </cell>
          <cell r="BT74">
            <v>920606149.15281188</v>
          </cell>
          <cell r="BU74">
            <v>1004486259.6897764</v>
          </cell>
          <cell r="BV74">
            <v>630214013.48247588</v>
          </cell>
          <cell r="BW74">
            <v>533267699.52471966</v>
          </cell>
          <cell r="BX74">
            <v>270984076.63182545</v>
          </cell>
          <cell r="BY74">
            <v>216190511.04542035</v>
          </cell>
          <cell r="BZ74">
            <v>206850631.11750051</v>
          </cell>
          <cell r="CA74">
            <v>147770771.53549469</v>
          </cell>
          <cell r="CB74">
            <v>100118063.05496816</v>
          </cell>
        </row>
        <row r="75">
          <cell r="BS75">
            <v>1456645668.882894</v>
          </cell>
          <cell r="BT75">
            <v>1014563106.3373669</v>
          </cell>
          <cell r="BU75">
            <v>1112348385.5384603</v>
          </cell>
          <cell r="BV75">
            <v>692759494.48116291</v>
          </cell>
          <cell r="BW75">
            <v>590388048.19966972</v>
          </cell>
          <cell r="BX75">
            <v>306343399.76924711</v>
          </cell>
          <cell r="BY75">
            <v>243707836.61022282</v>
          </cell>
          <cell r="BZ75">
            <v>233997753.25099364</v>
          </cell>
          <cell r="CA75">
            <v>166088567.4158721</v>
          </cell>
          <cell r="CB75">
            <v>114516406.97466317</v>
          </cell>
        </row>
        <row r="76">
          <cell r="BS76">
            <v>1612268465.6365457</v>
          </cell>
          <cell r="BT76">
            <v>1116445108.7650089</v>
          </cell>
          <cell r="BU76">
            <v>1228010156.3501811</v>
          </cell>
          <cell r="BV76">
            <v>760639146.5655942</v>
          </cell>
          <cell r="BW76">
            <v>652470378.38674533</v>
          </cell>
          <cell r="BX76">
            <v>345435958.9936716</v>
          </cell>
          <cell r="BY76">
            <v>273563654.01637697</v>
          </cell>
          <cell r="BZ76">
            <v>263105901.58927131</v>
          </cell>
          <cell r="CA76">
            <v>185980230.81015387</v>
          </cell>
          <cell r="CB76">
            <v>130177833.36216278</v>
          </cell>
        </row>
        <row r="77">
          <cell r="BS77">
            <v>1784101333.578526</v>
          </cell>
          <cell r="BT77">
            <v>1224121467.292165</v>
          </cell>
          <cell r="BU77">
            <v>1356515092.8740306</v>
          </cell>
          <cell r="BV77">
            <v>835542905.82184899</v>
          </cell>
          <cell r="BW77">
            <v>721288858.11958039</v>
          </cell>
          <cell r="BX77">
            <v>388658675.3863461</v>
          </cell>
          <cell r="BY77">
            <v>305141037.21419191</v>
          </cell>
          <cell r="BZ77">
            <v>295444656.76060873</v>
          </cell>
          <cell r="CA77">
            <v>207946656.32216737</v>
          </cell>
          <cell r="CB77">
            <v>147556885.71168178</v>
          </cell>
        </row>
        <row r="78">
          <cell r="BS78">
            <v>1973819339.5872502</v>
          </cell>
          <cell r="BT78">
            <v>1345582865.9524024</v>
          </cell>
          <cell r="BU78">
            <v>1504588555.579036</v>
          </cell>
          <cell r="BV78">
            <v>919893902.48478675</v>
          </cell>
          <cell r="BW78">
            <v>799623487.34331727</v>
          </cell>
          <cell r="BX78">
            <v>436322642.82699305</v>
          </cell>
          <cell r="BY78">
            <v>340742099.37949514</v>
          </cell>
          <cell r="BZ78">
            <v>332670745.31003112</v>
          </cell>
          <cell r="CA78">
            <v>232670437.77888143</v>
          </cell>
          <cell r="CB78">
            <v>167335170.93355471</v>
          </cell>
        </row>
        <row r="79">
          <cell r="BS79">
            <v>2183314146.3691821</v>
          </cell>
          <cell r="BT79">
            <v>1480440538.5102699</v>
          </cell>
          <cell r="BU79">
            <v>1667640366.6918261</v>
          </cell>
          <cell r="BV79">
            <v>1012342783.868395</v>
          </cell>
          <cell r="BW79">
            <v>887597640.13018095</v>
          </cell>
          <cell r="BX79">
            <v>488876413.97390509</v>
          </cell>
          <cell r="BY79">
            <v>380242820.65243608</v>
          </cell>
          <cell r="BZ79">
            <v>373616897.7420314</v>
          </cell>
          <cell r="CA79">
            <v>259749338.26904148</v>
          </cell>
          <cell r="CB79">
            <v>189543466.77095979</v>
          </cell>
        </row>
        <row r="80">
          <cell r="BS80">
            <v>2415083339.0199318</v>
          </cell>
          <cell r="BT80">
            <v>1626465635.7793243</v>
          </cell>
          <cell r="BU80">
            <v>1844467932.4786687</v>
          </cell>
          <cell r="BV80">
            <v>1113926182.1227818</v>
          </cell>
          <cell r="BW80">
            <v>986484448.32734275</v>
          </cell>
          <cell r="BX80">
            <v>546968301.91493165</v>
          </cell>
          <cell r="BY80">
            <v>422999195.81857508</v>
          </cell>
          <cell r="BZ80">
            <v>417988053.56995648</v>
          </cell>
          <cell r="CA80">
            <v>289493114.97348821</v>
          </cell>
          <cell r="CB80">
            <v>214497636.10192457</v>
          </cell>
        </row>
        <row r="81">
          <cell r="BS81">
            <v>2671563086.1437788</v>
          </cell>
          <cell r="BT81">
            <v>1787978055.0128593</v>
          </cell>
          <cell r="BU81">
            <v>2043865765.3561172</v>
          </cell>
          <cell r="BV81">
            <v>1226167575.3945272</v>
          </cell>
          <cell r="BW81">
            <v>1087421526.8646209</v>
          </cell>
          <cell r="BX81">
            <v>611200743.47416925</v>
          </cell>
          <cell r="BY81">
            <v>470273895.18862158</v>
          </cell>
          <cell r="BZ81">
            <v>468078979.70057935</v>
          </cell>
          <cell r="CA81">
            <v>322346180.69423991</v>
          </cell>
          <cell r="CB81">
            <v>239934812.70827648</v>
          </cell>
        </row>
        <row r="82">
          <cell r="BS82">
            <v>2955019956.467823</v>
          </cell>
          <cell r="BT82">
            <v>1963355473.4362578</v>
          </cell>
          <cell r="BU82">
            <v>2263108951.2521129</v>
          </cell>
          <cell r="BV82">
            <v>1346425105.7369726</v>
          </cell>
          <cell r="BW82">
            <v>1198020842.4144886</v>
          </cell>
          <cell r="BX82">
            <v>682363877.5850271</v>
          </cell>
          <cell r="BY82">
            <v>521673274.31488496</v>
          </cell>
          <cell r="BZ82">
            <v>523316912.15250123</v>
          </cell>
          <cell r="CA82">
            <v>357591096.77537888</v>
          </cell>
          <cell r="CB82">
            <v>267825252.43418115</v>
          </cell>
        </row>
        <row r="83">
          <cell r="BS83">
            <v>3267972376.2341127</v>
          </cell>
          <cell r="BT83">
            <v>2157912165.9843249</v>
          </cell>
          <cell r="BU83">
            <v>2505711006.3280072</v>
          </cell>
          <cell r="BV83">
            <v>1472349394.5882864</v>
          </cell>
          <cell r="BW83">
            <v>1321788932.3048337</v>
          </cell>
          <cell r="BX83">
            <v>761252898.72673512</v>
          </cell>
          <cell r="BY83">
            <v>578813606.75162947</v>
          </cell>
          <cell r="BZ83">
            <v>584678448.21180105</v>
          </cell>
          <cell r="CA83">
            <v>394574433.77904963</v>
          </cell>
          <cell r="CB83">
            <v>299085813.86683303</v>
          </cell>
        </row>
        <row r="84">
          <cell r="BS84">
            <v>3613563434.4669166</v>
          </cell>
          <cell r="BT84">
            <v>2370230792.079967</v>
          </cell>
          <cell r="BU84">
            <v>2756644406.0957656</v>
          </cell>
          <cell r="BV84">
            <v>1609256922.6434197</v>
          </cell>
          <cell r="BW84">
            <v>1454517730.7331471</v>
          </cell>
          <cell r="BX84">
            <v>848765821.68710792</v>
          </cell>
          <cell r="BY84">
            <v>641316057.28314543</v>
          </cell>
          <cell r="BZ84">
            <v>648642151.86194384</v>
          </cell>
          <cell r="CA84">
            <v>434877332.10226816</v>
          </cell>
          <cell r="CB84">
            <v>332693096.96077758</v>
          </cell>
        </row>
        <row r="85">
          <cell r="BS85">
            <v>3992799936.9839387</v>
          </cell>
          <cell r="BT85">
            <v>2590438983.9205737</v>
          </cell>
          <cell r="BU85">
            <v>3029650600.1653481</v>
          </cell>
          <cell r="BV85">
            <v>1760507012.6762433</v>
          </cell>
          <cell r="BW85">
            <v>1603285334.9179716</v>
          </cell>
          <cell r="BX85">
            <v>946464661.03385949</v>
          </cell>
          <cell r="BY85">
            <v>706778619.47295046</v>
          </cell>
          <cell r="BZ85">
            <v>719414747.73196673</v>
          </cell>
          <cell r="CA85">
            <v>479840320.72784168</v>
          </cell>
          <cell r="CB85">
            <v>370798360.1615411</v>
          </cell>
        </row>
        <row r="86">
          <cell r="BS86">
            <v>4408733714.6410484</v>
          </cell>
          <cell r="BT86">
            <v>2837009388.8161049</v>
          </cell>
          <cell r="BU86">
            <v>3339883351.674509</v>
          </cell>
          <cell r="BV86">
            <v>1929136847.8132992</v>
          </cell>
          <cell r="BW86">
            <v>1764934260.8292918</v>
          </cell>
          <cell r="BX86">
            <v>1055674048.5342312</v>
          </cell>
          <cell r="BY86">
            <v>780862565.33226538</v>
          </cell>
          <cell r="BZ86">
            <v>801354730.85096216</v>
          </cell>
          <cell r="CA86">
            <v>530506432.02312011</v>
          </cell>
          <cell r="CB86">
            <v>412722861.01890415</v>
          </cell>
        </row>
        <row r="87">
          <cell r="BS87">
            <v>4864801757.5685711</v>
          </cell>
          <cell r="BT87">
            <v>3111919085.7313914</v>
          </cell>
          <cell r="BU87">
            <v>3691421877.0740495</v>
          </cell>
          <cell r="BV87">
            <v>2113005849.5036433</v>
          </cell>
          <cell r="BW87">
            <v>1948621756.5821226</v>
          </cell>
          <cell r="BX87">
            <v>1177742370.9983258</v>
          </cell>
          <cell r="BY87">
            <v>864349427.98819947</v>
          </cell>
          <cell r="BZ87">
            <v>896029899.2715323</v>
          </cell>
          <cell r="CA87">
            <v>586345299.34228849</v>
          </cell>
          <cell r="CB87">
            <v>461059630.75758386</v>
          </cell>
        </row>
        <row r="88">
          <cell r="BS88">
            <v>5400992326.0572062</v>
          </cell>
          <cell r="BT88">
            <v>3444526910.5981464</v>
          </cell>
          <cell r="BU88">
            <v>4091517208.5761757</v>
          </cell>
          <cell r="BV88">
            <v>2333510534.7988873</v>
          </cell>
          <cell r="BW88">
            <v>2168184480.6543388</v>
          </cell>
          <cell r="BX88">
            <v>1326586807.0751987</v>
          </cell>
          <cell r="BY88">
            <v>967326043.55266142</v>
          </cell>
          <cell r="BZ88">
            <v>1007776412.441692</v>
          </cell>
          <cell r="CA88">
            <v>654614367.32620478</v>
          </cell>
          <cell r="CB88">
            <v>521000810.49251938</v>
          </cell>
        </row>
        <row r="89">
          <cell r="BS89">
            <v>5986165260.0381813</v>
          </cell>
          <cell r="BT89">
            <v>3795582658.1655145</v>
          </cell>
          <cell r="BU89">
            <v>4524779651.1178131</v>
          </cell>
          <cell r="BV89">
            <v>2581321578.8807502</v>
          </cell>
          <cell r="BW89">
            <v>2407273204.5394306</v>
          </cell>
          <cell r="BX89">
            <v>1489701108.1489494</v>
          </cell>
          <cell r="BY89">
            <v>1076349597.5604947</v>
          </cell>
          <cell r="BZ89">
            <v>1130209441.4065762</v>
          </cell>
          <cell r="CA89">
            <v>731574340.02402222</v>
          </cell>
          <cell r="CB89">
            <v>586897992.91018724</v>
          </cell>
        </row>
        <row r="90">
          <cell r="BS90">
            <v>6624179946.1206055</v>
          </cell>
          <cell r="BT90">
            <v>4184298179.5623493</v>
          </cell>
          <cell r="BU90">
            <v>5011966480.0952892</v>
          </cell>
          <cell r="BV90">
            <v>2857766433.3008852</v>
          </cell>
          <cell r="BW90">
            <v>2634460333.5850945</v>
          </cell>
          <cell r="BX90">
            <v>1667857228.2416241</v>
          </cell>
          <cell r="BY90">
            <v>1197292948.808784</v>
          </cell>
          <cell r="BZ90">
            <v>1269342048.8450034</v>
          </cell>
          <cell r="CA90">
            <v>817586256.93634963</v>
          </cell>
          <cell r="CB90">
            <v>649981329.78376961</v>
          </cell>
        </row>
        <row r="91">
          <cell r="BS91">
            <v>7319602477.9902363</v>
          </cell>
          <cell r="BT91">
            <v>4614942748.0291576</v>
          </cell>
          <cell r="BU91">
            <v>5560171190.1708622</v>
          </cell>
          <cell r="BV91">
            <v>3125931325.6513305</v>
          </cell>
          <cell r="BW91">
            <v>2880308194.8906627</v>
          </cell>
          <cell r="BX91">
            <v>1862372064.3258576</v>
          </cell>
          <cell r="BY91">
            <v>1331521679.431107</v>
          </cell>
          <cell r="BZ91">
            <v>1427480726.7626858</v>
          </cell>
          <cell r="CA91">
            <v>901171272.82503021</v>
          </cell>
          <cell r="CB91">
            <v>718751556.49195361</v>
          </cell>
        </row>
        <row r="92">
          <cell r="BS92">
            <v>8077339615.9749603</v>
          </cell>
          <cell r="BT92">
            <v>5092340642.4898682</v>
          </cell>
          <cell r="BU92">
            <v>6129429535.3858013</v>
          </cell>
          <cell r="BV92">
            <v>3403457202.3653755</v>
          </cell>
          <cell r="BW92">
            <v>3154515643.4015479</v>
          </cell>
          <cell r="BX92">
            <v>2074659388.6185763</v>
          </cell>
          <cell r="BY92">
            <v>1480578798.5727172</v>
          </cell>
          <cell r="BZ92">
            <v>1593328337.153677</v>
          </cell>
          <cell r="CA92">
            <v>987822697.45474172</v>
          </cell>
          <cell r="CB92">
            <v>796053434.41063881</v>
          </cell>
        </row>
        <row r="93">
          <cell r="BS93">
            <v>8902779579.4755592</v>
          </cell>
          <cell r="BT93">
            <v>5587025533.8825474</v>
          </cell>
          <cell r="BU93">
            <v>6687816749.3510284</v>
          </cell>
          <cell r="BV93">
            <v>3703859308.5832939</v>
          </cell>
          <cell r="BW93">
            <v>3433879947.2759867</v>
          </cell>
          <cell r="BX93">
            <v>2306276670.2299223</v>
          </cell>
          <cell r="BY93">
            <v>1635290117.1469138</v>
          </cell>
          <cell r="BZ93">
            <v>1757547517.1828074</v>
          </cell>
          <cell r="CA93">
            <v>1081772617.4221737</v>
          </cell>
          <cell r="CB93">
            <v>875416796.50444102</v>
          </cell>
        </row>
        <row r="94">
          <cell r="BS94">
            <v>9801811662.5509567</v>
          </cell>
          <cell r="BT94">
            <v>6077272689.2624683</v>
          </cell>
          <cell r="BU94">
            <v>7308855050.3394766</v>
          </cell>
          <cell r="BV94">
            <v>4014846099.7418904</v>
          </cell>
          <cell r="BW94">
            <v>3735292671.1405053</v>
          </cell>
          <cell r="BX94">
            <v>2558930228.2700014</v>
          </cell>
          <cell r="BY94">
            <v>1788861079.3887005</v>
          </cell>
          <cell r="BZ94">
            <v>1941009754.5286491</v>
          </cell>
          <cell r="CA94">
            <v>1179189889.9929862</v>
          </cell>
          <cell r="CB94">
            <v>961728330.39974177</v>
          </cell>
        </row>
        <row r="95">
          <cell r="BS95">
            <v>10957301134.887989</v>
          </cell>
          <cell r="BT95">
            <v>6780044426.7736511</v>
          </cell>
          <cell r="BU95">
            <v>8150306153.609354</v>
          </cell>
          <cell r="BV95">
            <v>4468137885.214572</v>
          </cell>
          <cell r="BW95">
            <v>4169997197.8102741</v>
          </cell>
          <cell r="BX95">
            <v>2883605267.3720198</v>
          </cell>
          <cell r="BY95">
            <v>2008988756.581774</v>
          </cell>
          <cell r="BZ95">
            <v>2189554480.3668756</v>
          </cell>
          <cell r="CA95">
            <v>1321173499.3227718</v>
          </cell>
          <cell r="CB95">
            <v>1087097325.6160707</v>
          </cell>
        </row>
        <row r="96">
          <cell r="BS96">
            <v>12401081254.704386</v>
          </cell>
          <cell r="BT96">
            <v>7628920847.9515705</v>
          </cell>
          <cell r="BU96">
            <v>9226715225.727335</v>
          </cell>
          <cell r="BV96">
            <v>5033638261.6262684</v>
          </cell>
          <cell r="BW96">
            <v>4697533200.6144648</v>
          </cell>
          <cell r="BX96">
            <v>3289218119.5848455</v>
          </cell>
          <cell r="BY96">
            <v>2274858370.2730508</v>
          </cell>
          <cell r="BZ96">
            <v>2507458733.2517424</v>
          </cell>
          <cell r="CA96">
            <v>1498289228.8540754</v>
          </cell>
          <cell r="CB96">
            <v>1240222588.5999684</v>
          </cell>
        </row>
        <row r="97">
          <cell r="BS97">
            <v>14168353085.82807</v>
          </cell>
          <cell r="BT97">
            <v>8698813055.3384647</v>
          </cell>
          <cell r="BU97">
            <v>10543287381.551443</v>
          </cell>
          <cell r="BV97">
            <v>5713996555.3969784</v>
          </cell>
          <cell r="BW97">
            <v>5361799954.288785</v>
          </cell>
          <cell r="BX97">
            <v>3785635253.5655365</v>
          </cell>
          <cell r="BY97">
            <v>2609924583.2053785</v>
          </cell>
          <cell r="BZ97">
            <v>2896259443.3293834</v>
          </cell>
          <cell r="CA97">
            <v>1711362167.751008</v>
          </cell>
          <cell r="CB97">
            <v>1434342629.2223327</v>
          </cell>
        </row>
        <row r="98">
          <cell r="BS98">
            <v>16297699317.935858</v>
          </cell>
          <cell r="BT98">
            <v>9965883033.0563374</v>
          </cell>
          <cell r="BU98">
            <v>12118127516.228125</v>
          </cell>
          <cell r="BV98">
            <v>6526379661.0097609</v>
          </cell>
          <cell r="BW98">
            <v>6153366630.1228619</v>
          </cell>
          <cell r="BX98">
            <v>4383658147.4468536</v>
          </cell>
          <cell r="BY98">
            <v>3006709608.0941644</v>
          </cell>
          <cell r="BZ98">
            <v>3361291527.2679977</v>
          </cell>
          <cell r="CA98">
            <v>1965761258.9206748</v>
          </cell>
          <cell r="CB98">
            <v>1667292697.8915637</v>
          </cell>
        </row>
        <row r="99">
          <cell r="BS99">
            <v>18833166104.176655</v>
          </cell>
          <cell r="BT99">
            <v>11518395912.874491</v>
          </cell>
          <cell r="BU99">
            <v>13956850226.82943</v>
          </cell>
          <cell r="BV99">
            <v>7493170114.8163223</v>
          </cell>
          <cell r="BW99">
            <v>7186910956.1395779</v>
          </cell>
          <cell r="BX99">
            <v>5095720811.3823452</v>
          </cell>
          <cell r="BY99">
            <v>3492875252.1122479</v>
          </cell>
          <cell r="BZ99">
            <v>3904238060.2668772</v>
          </cell>
          <cell r="CA99">
            <v>2268509345.403832</v>
          </cell>
          <cell r="CB99">
            <v>1974175340.312449</v>
          </cell>
        </row>
        <row r="100">
          <cell r="BS100">
            <v>21822356722.475227</v>
          </cell>
          <cell r="BT100">
            <v>13267791711.202312</v>
          </cell>
          <cell r="BU100">
            <v>16113103924.493271</v>
          </cell>
          <cell r="BV100">
            <v>8679687332.6738968</v>
          </cell>
          <cell r="BW100">
            <v>8400586781.3754959</v>
          </cell>
          <cell r="BX100">
            <v>5935207664.938201</v>
          </cell>
          <cell r="BY100">
            <v>4040694304.6898952</v>
          </cell>
          <cell r="BZ100">
            <v>4540946609.4475965</v>
          </cell>
          <cell r="CA100">
            <v>2640064335.2895446</v>
          </cell>
          <cell r="CB100">
            <v>2337966114.5226264</v>
          </cell>
        </row>
        <row r="101">
          <cell r="BS101">
            <v>25317340554.280495</v>
          </cell>
          <cell r="BT101">
            <v>15345208371.003252</v>
          </cell>
          <cell r="BU101">
            <v>18832911383.424263</v>
          </cell>
          <cell r="BV101">
            <v>10168079126.868725</v>
          </cell>
          <cell r="BW101">
            <v>9962781840.4656773</v>
          </cell>
          <cell r="BX101">
            <v>6916741917.7991972</v>
          </cell>
          <cell r="BY101">
            <v>4691232294.7027817</v>
          </cell>
          <cell r="BZ101">
            <v>5344063915.6825085</v>
          </cell>
          <cell r="CA101">
            <v>3106150616.8157344</v>
          </cell>
          <cell r="CB101">
            <v>2810614253.0728841</v>
          </cell>
        </row>
        <row r="102">
          <cell r="BS102">
            <v>29375324054.113075</v>
          </cell>
          <cell r="BT102">
            <v>17883192671.565319</v>
          </cell>
          <cell r="BU102">
            <v>22104287429.654594</v>
          </cell>
          <cell r="BV102">
            <v>11947585572.838522</v>
          </cell>
          <cell r="BW102">
            <v>11771131010.428762</v>
          </cell>
          <cell r="BX102">
            <v>8056389479.6515951</v>
          </cell>
          <cell r="BY102">
            <v>5485995924.7056885</v>
          </cell>
          <cell r="BZ102">
            <v>6310050941.4562263</v>
          </cell>
          <cell r="CA102">
            <v>3663398745.6947494</v>
          </cell>
          <cell r="CB102">
            <v>3362918924.7521801</v>
          </cell>
        </row>
        <row r="103">
          <cell r="BS103">
            <v>34059119928.838398</v>
          </cell>
          <cell r="BT103">
            <v>20799407145.853088</v>
          </cell>
          <cell r="BU103">
            <v>25788392387.565632</v>
          </cell>
          <cell r="BV103">
            <v>13944654985.092648</v>
          </cell>
          <cell r="BW103">
            <v>13656568517.592819</v>
          </cell>
          <cell r="BX103">
            <v>9371790724.8920593</v>
          </cell>
          <cell r="BY103">
            <v>6399201416.5358334</v>
          </cell>
          <cell r="BZ103">
            <v>7397910466.206234</v>
          </cell>
          <cell r="CA103">
            <v>4288776189.9521298</v>
          </cell>
          <cell r="CB103">
            <v>3943863557.0118732</v>
          </cell>
        </row>
        <row r="104">
          <cell r="BS104">
            <v>39437657202.910789</v>
          </cell>
          <cell r="BT104">
            <v>24074610550.66824</v>
          </cell>
          <cell r="BU104">
            <v>29940620388.767048</v>
          </cell>
          <cell r="BV104">
            <v>16043120113.068027</v>
          </cell>
          <cell r="BW104">
            <v>15730667325.158463</v>
          </cell>
          <cell r="BX104">
            <v>10882303739.787693</v>
          </cell>
          <cell r="BY104">
            <v>7424823421.5388994</v>
          </cell>
          <cell r="BZ104">
            <v>8623999524.9180412</v>
          </cell>
          <cell r="CA104">
            <v>4945905456.7387199</v>
          </cell>
          <cell r="CB104">
            <v>4588600452.9150763</v>
          </cell>
        </row>
        <row r="105">
          <cell r="BS105">
            <v>45202230720.523804</v>
          </cell>
          <cell r="BT105">
            <v>27622307135.442673</v>
          </cell>
          <cell r="BU105">
            <v>34224724708.754135</v>
          </cell>
          <cell r="BV105">
            <v>18201973280.312737</v>
          </cell>
          <cell r="BW105">
            <v>17987460935.073185</v>
          </cell>
          <cell r="BX105">
            <v>12501231503.9685</v>
          </cell>
          <cell r="BY105">
            <v>8535776005.1462193</v>
          </cell>
          <cell r="BZ105">
            <v>9889029632.0307369</v>
          </cell>
          <cell r="CA105">
            <v>5621945091.6027727</v>
          </cell>
          <cell r="CB105">
            <v>5292926394.2066717</v>
          </cell>
        </row>
        <row r="106">
          <cell r="BS106">
            <v>51380547639.540985</v>
          </cell>
          <cell r="BT106">
            <v>31245063677.186031</v>
          </cell>
          <cell r="BU106">
            <v>38544701260.261742</v>
          </cell>
          <cell r="BV106">
            <v>20503174712.731281</v>
          </cell>
          <cell r="BW106">
            <v>20425140656.380142</v>
          </cell>
          <cell r="BX106">
            <v>14236355319.380724</v>
          </cell>
          <cell r="BY106">
            <v>9670233432.2843971</v>
          </cell>
          <cell r="BZ106">
            <v>11164652257.3207</v>
          </cell>
          <cell r="CA106">
            <v>6342560740.5616016</v>
          </cell>
          <cell r="CB106">
            <v>6053705340.3779316</v>
          </cell>
        </row>
        <row r="107">
          <cell r="BS107">
            <v>58002303756.482689</v>
          </cell>
          <cell r="BT107">
            <v>35090403118.816132</v>
          </cell>
          <cell r="BU107">
            <v>43321923714.322754</v>
          </cell>
          <cell r="BV107">
            <v>23125142253.289173</v>
          </cell>
          <cell r="BW107">
            <v>23121085160.956974</v>
          </cell>
          <cell r="BX107">
            <v>16096014978.954292</v>
          </cell>
          <cell r="BY107">
            <v>10874392154.836964</v>
          </cell>
          <cell r="BZ107">
            <v>12575292564.226248</v>
          </cell>
          <cell r="CA107">
            <v>7163623518.539422</v>
          </cell>
          <cell r="CB107">
            <v>6895086511.6617918</v>
          </cell>
        </row>
        <row r="108">
          <cell r="BS108">
            <v>65099326238.008087</v>
          </cell>
          <cell r="BT108">
            <v>39394947677.126534</v>
          </cell>
          <cell r="BU108">
            <v>48845712090.886444</v>
          </cell>
          <cell r="BV108">
            <v>26071078264.84827</v>
          </cell>
          <cell r="BW108">
            <v>26106392449.744877</v>
          </cell>
          <cell r="BX108">
            <v>18089148851.434494</v>
          </cell>
          <cell r="BY108">
            <v>12222349846.267284</v>
          </cell>
          <cell r="BZ108">
            <v>14206382304.284977</v>
          </cell>
          <cell r="CA108">
            <v>8086136237.7018223</v>
          </cell>
          <cell r="CB108">
            <v>7826775327.5919523</v>
          </cell>
        </row>
        <row r="109">
          <cell r="BS109">
            <v>73107287772.48114</v>
          </cell>
          <cell r="BT109">
            <v>44434394519.095673</v>
          </cell>
          <cell r="BU109">
            <v>55014152019.62751</v>
          </cell>
          <cell r="BV109">
            <v>29420372684.033291</v>
          </cell>
          <cell r="BW109">
            <v>29412899204.154751</v>
          </cell>
          <cell r="BX109">
            <v>20364132711.143456</v>
          </cell>
          <cell r="BY109">
            <v>13809543608.864847</v>
          </cell>
          <cell r="BZ109">
            <v>16043916000.224257</v>
          </cell>
          <cell r="CA109">
            <v>9141009793.8550797</v>
          </cell>
          <cell r="CB109">
            <v>8864843463.4733219</v>
          </cell>
        </row>
        <row r="110">
          <cell r="BS110">
            <v>81690008434.14064</v>
          </cell>
          <cell r="BT110">
            <v>49804595288.907158</v>
          </cell>
          <cell r="BU110">
            <v>61520900319.98494</v>
          </cell>
          <cell r="BV110">
            <v>32927948983.897209</v>
          </cell>
          <cell r="BW110">
            <v>32758654644.716827</v>
          </cell>
          <cell r="BX110">
            <v>22802400039.677876</v>
          </cell>
          <cell r="BY110">
            <v>15500909632.364935</v>
          </cell>
          <cell r="BZ110">
            <v>17982229316.236824</v>
          </cell>
          <cell r="CA110">
            <v>10245734855.862816</v>
          </cell>
          <cell r="CB110">
            <v>9915233609.7106266</v>
          </cell>
        </row>
        <row r="111">
          <cell r="BS111">
            <v>90888740675.669327</v>
          </cell>
          <cell r="BT111">
            <v>55464623951.567291</v>
          </cell>
          <cell r="BU111">
            <v>68525938457.229752</v>
          </cell>
          <cell r="BV111">
            <v>36501256030.446518</v>
          </cell>
          <cell r="BW111">
            <v>36287852755.426163</v>
          </cell>
          <cell r="BX111">
            <v>25415670256.970356</v>
          </cell>
          <cell r="BY111">
            <v>17283558099.788258</v>
          </cell>
          <cell r="BZ111">
            <v>20068979575.172092</v>
          </cell>
          <cell r="CA111">
            <v>11371162077.139519</v>
          </cell>
          <cell r="CB111">
            <v>11023215046.329208</v>
          </cell>
        </row>
        <row r="112">
          <cell r="BS112">
            <v>100747697781.11693</v>
          </cell>
          <cell r="BT112">
            <v>61570737811.855865</v>
          </cell>
          <cell r="BU112">
            <v>75485588760.001068</v>
          </cell>
          <cell r="BV112">
            <v>40339968031.220261</v>
          </cell>
          <cell r="BW112">
            <v>40234080991.61853</v>
          </cell>
          <cell r="BX112">
            <v>28216503926.300934</v>
          </cell>
          <cell r="BY112">
            <v>19206702868.783104</v>
          </cell>
          <cell r="BZ112">
            <v>22142209126.084873</v>
          </cell>
          <cell r="CA112">
            <v>12580179640.990984</v>
          </cell>
          <cell r="CB112">
            <v>12262121872.526741</v>
          </cell>
        </row>
        <row r="113">
          <cell r="BS113">
            <v>111314266375.01913</v>
          </cell>
          <cell r="BT113">
            <v>67794677870.308823</v>
          </cell>
          <cell r="BU113">
            <v>83082462267.646362</v>
          </cell>
          <cell r="BV113">
            <v>44491926175.46508</v>
          </cell>
          <cell r="BW113">
            <v>44505780397.167961</v>
          </cell>
          <cell r="BX113">
            <v>31218363126.067558</v>
          </cell>
          <cell r="BY113">
            <v>21166957466.031246</v>
          </cell>
          <cell r="BZ113">
            <v>24405262866.633453</v>
          </cell>
          <cell r="CA113">
            <v>13887855319.644743</v>
          </cell>
          <cell r="CB113">
            <v>13603209421.508827</v>
          </cell>
        </row>
        <row r="114">
          <cell r="BS114">
            <v>122639234184.03294</v>
          </cell>
          <cell r="BT114">
            <v>74785750351.609344</v>
          </cell>
          <cell r="BU114">
            <v>91794566752.319366</v>
          </cell>
          <cell r="BV114">
            <v>49297139193.755524</v>
          </cell>
          <cell r="BW114">
            <v>49289687305.412094</v>
          </cell>
          <cell r="BX114">
            <v>34435676154.64785</v>
          </cell>
          <cell r="BY114">
            <v>23368823461.278427</v>
          </cell>
          <cell r="BZ114">
            <v>27000535859.167507</v>
          </cell>
          <cell r="CA114">
            <v>15401276210.816019</v>
          </cell>
          <cell r="CB114">
            <v>15105103019.593218</v>
          </cell>
        </row>
        <row r="115">
          <cell r="BS115">
            <v>134777034145.8116</v>
          </cell>
          <cell r="BT115">
            <v>82436354829.399155</v>
          </cell>
          <cell r="BU115">
            <v>101186631765.51869</v>
          </cell>
          <cell r="BV115">
            <v>54490748281.231613</v>
          </cell>
          <cell r="BW115">
            <v>54540286479.511414</v>
          </cell>
          <cell r="BX115">
            <v>37883906879.35244</v>
          </cell>
          <cell r="BY115">
            <v>25778411673.643448</v>
          </cell>
          <cell r="BZ115">
            <v>29798364181.332664</v>
          </cell>
          <cell r="CA115">
            <v>17037023983.837681</v>
          </cell>
          <cell r="CB115">
            <v>16753513291.14287</v>
          </cell>
        </row>
        <row r="116">
          <cell r="BS116">
            <v>147786006038.42014</v>
          </cell>
          <cell r="BT116">
            <v>90562859601.034912</v>
          </cell>
          <cell r="BU116">
            <v>111100221476.48366</v>
          </cell>
          <cell r="BV116">
            <v>59927282355.720215</v>
          </cell>
          <cell r="BW116">
            <v>59647353282.180405</v>
          </cell>
          <cell r="BX116">
            <v>41579629062.793152</v>
          </cell>
          <cell r="BY116">
            <v>28337886570.340572</v>
          </cell>
          <cell r="BZ116">
            <v>32751550943.634968</v>
          </cell>
          <cell r="CA116">
            <v>18749281944.63517</v>
          </cell>
          <cell r="CB116">
            <v>18356861993.999035</v>
          </cell>
        </row>
        <row r="117">
          <cell r="BS117">
            <v>161728676887.79871</v>
          </cell>
          <cell r="BT117">
            <v>99248500276.038086</v>
          </cell>
          <cell r="BU117">
            <v>121778911412.31255</v>
          </cell>
          <cell r="BV117">
            <v>65482505066.369911</v>
          </cell>
          <cell r="BW117">
            <v>65071530630.758217</v>
          </cell>
          <cell r="BX117">
            <v>45540606023.911652</v>
          </cell>
          <cell r="BY117">
            <v>31073463536.589905</v>
          </cell>
          <cell r="BZ117">
            <v>35932655536.085464</v>
          </cell>
          <cell r="CA117">
            <v>20498921361.952297</v>
          </cell>
          <cell r="CB117">
            <v>20059766626.333</v>
          </cell>
        </row>
        <row r="118">
          <cell r="BS118">
            <v>176672061501.04083</v>
          </cell>
          <cell r="BT118">
            <v>108529505319.31186</v>
          </cell>
          <cell r="BU118">
            <v>132670076889.46402</v>
          </cell>
          <cell r="BV118">
            <v>71256031343.394226</v>
          </cell>
          <cell r="BW118">
            <v>70864213428.909729</v>
          </cell>
          <cell r="BX118">
            <v>49785876016.556061</v>
          </cell>
          <cell r="BY118">
            <v>33996552871.04644</v>
          </cell>
          <cell r="BZ118">
            <v>39177055057.440765</v>
          </cell>
          <cell r="CA118">
            <v>22317316352.999657</v>
          </cell>
          <cell r="CB118">
            <v>21878362468.004707</v>
          </cell>
        </row>
        <row r="119">
          <cell r="BS119">
            <v>192687984569.98688</v>
          </cell>
          <cell r="BT119">
            <v>118027894561.76381</v>
          </cell>
          <cell r="BU119">
            <v>143919394381.32864</v>
          </cell>
          <cell r="BV119">
            <v>77318501234.883911</v>
          </cell>
          <cell r="BW119">
            <v>76976413085.738953</v>
          </cell>
          <cell r="BX119">
            <v>54335843735.973976</v>
          </cell>
          <cell r="BY119">
            <v>36988108220.889702</v>
          </cell>
          <cell r="BZ119">
            <v>42528145476.803764</v>
          </cell>
          <cell r="CA119">
            <v>24226715280.987572</v>
          </cell>
          <cell r="CB119">
            <v>23797269694.018181</v>
          </cell>
        </row>
        <row r="120">
          <cell r="BS120">
            <v>209853425893.30588</v>
          </cell>
          <cell r="BT120">
            <v>128438433923.34912</v>
          </cell>
          <cell r="BU120">
            <v>156567066433.41275</v>
          </cell>
          <cell r="BV120">
            <v>84360290432.972137</v>
          </cell>
          <cell r="BW120">
            <v>83933992450.567062</v>
          </cell>
          <cell r="BX120">
            <v>59212378393.042816</v>
          </cell>
          <cell r="BY120">
            <v>40266948867.123825</v>
          </cell>
          <cell r="BZ120">
            <v>46295795618.391068</v>
          </cell>
          <cell r="CA120">
            <v>26444554707.261841</v>
          </cell>
          <cell r="CB120">
            <v>25981581409.656223</v>
          </cell>
        </row>
        <row r="121">
          <cell r="BS121">
            <v>228250890376.36304</v>
          </cell>
          <cell r="BT121">
            <v>139821973503.93967</v>
          </cell>
          <cell r="BU121">
            <v>170560364972.15756</v>
          </cell>
          <cell r="BV121">
            <v>91889140216.167786</v>
          </cell>
          <cell r="BW121">
            <v>91560829369.497574</v>
          </cell>
          <cell r="BX121">
            <v>64438918827.627716</v>
          </cell>
          <cell r="BY121">
            <v>43852239789.953735</v>
          </cell>
          <cell r="BZ121">
            <v>50464298169.980209</v>
          </cell>
          <cell r="CA121">
            <v>28815795795.847836</v>
          </cell>
          <cell r="CB121">
            <v>28376004579.228249</v>
          </cell>
        </row>
        <row r="122">
          <cell r="BS122">
            <v>247968804587.25873</v>
          </cell>
          <cell r="BT122">
            <v>152025411678.24103</v>
          </cell>
          <cell r="BU122">
            <v>185443445833.39648</v>
          </cell>
          <cell r="BV122">
            <v>100134000340.23444</v>
          </cell>
          <cell r="BW122">
            <v>99610707733.142624</v>
          </cell>
          <cell r="BX122">
            <v>70040586166.289017</v>
          </cell>
          <cell r="BY122">
            <v>47695761025.496262</v>
          </cell>
          <cell r="BZ122">
            <v>54897860447.93808</v>
          </cell>
          <cell r="CA122">
            <v>31412547180.032413</v>
          </cell>
          <cell r="CB122">
            <v>30903240374.490421</v>
          </cell>
        </row>
        <row r="123">
          <cell r="BS123">
            <v>269101941775.0629</v>
          </cell>
          <cell r="BT123">
            <v>165199376407.25638</v>
          </cell>
          <cell r="BU123">
            <v>201679929685.7583</v>
          </cell>
          <cell r="BV123">
            <v>108828210286.02766</v>
          </cell>
          <cell r="BW123">
            <v>107802518074.41495</v>
          </cell>
          <cell r="BX123">
            <v>76044304565.822189</v>
          </cell>
          <cell r="BY123">
            <v>51844953447.258789</v>
          </cell>
          <cell r="BZ123">
            <v>59734591700.4021</v>
          </cell>
          <cell r="CA123">
            <v>34150823072.091362</v>
          </cell>
          <cell r="CB123">
            <v>33475035299.487019</v>
          </cell>
        </row>
        <row r="124">
          <cell r="BS124">
            <v>291751877393.09052</v>
          </cell>
          <cell r="BT124">
            <v>179328746408.67645</v>
          </cell>
          <cell r="BU124">
            <v>218736512789.5546</v>
          </cell>
          <cell r="BV124">
            <v>117473353492.30496</v>
          </cell>
          <cell r="BW124">
            <v>116449669833.36081</v>
          </cell>
          <cell r="BX124">
            <v>82478930622.982773</v>
          </cell>
          <cell r="BY124">
            <v>56295054547.427193</v>
          </cell>
          <cell r="BZ124">
            <v>64815624595.734352</v>
          </cell>
          <cell r="CA124">
            <v>36873645200.006577</v>
          </cell>
          <cell r="CB124">
            <v>36189783332.322739</v>
          </cell>
        </row>
        <row r="125">
          <cell r="BS125">
            <v>316027477316.64819</v>
          </cell>
          <cell r="BT125">
            <v>194035717898.39655</v>
          </cell>
          <cell r="BU125">
            <v>235741655767.0914</v>
          </cell>
          <cell r="BV125">
            <v>126696340089.74486</v>
          </cell>
          <cell r="BW125">
            <v>126072230945.31024</v>
          </cell>
          <cell r="BX125">
            <v>89375392072.392059</v>
          </cell>
          <cell r="BY125">
            <v>60927073526.332199</v>
          </cell>
          <cell r="BZ125">
            <v>69881333849.040894</v>
          </cell>
          <cell r="CA125">
            <v>39778461394.924019</v>
          </cell>
          <cell r="CB125">
            <v>39210758281.962204</v>
          </cell>
        </row>
        <row r="126">
          <cell r="BS126">
            <v>342045421101.86499</v>
          </cell>
          <cell r="BT126">
            <v>209495616015.45432</v>
          </cell>
          <cell r="BU126">
            <v>254392180028.47385</v>
          </cell>
          <cell r="BV126">
            <v>136990420817.73293</v>
          </cell>
          <cell r="BW126">
            <v>136373363194.29108</v>
          </cell>
          <cell r="BX126">
            <v>96766836439.273407</v>
          </cell>
          <cell r="BY126">
            <v>65796229731.619171</v>
          </cell>
          <cell r="BZ126">
            <v>75437190301.098083</v>
          </cell>
          <cell r="CA126">
            <v>43020622932.787201</v>
          </cell>
          <cell r="CB126">
            <v>42444768657.687408</v>
          </cell>
        </row>
        <row r="127">
          <cell r="BS127">
            <v>369930762800.62213</v>
          </cell>
          <cell r="BT127">
            <v>226657044290.22055</v>
          </cell>
          <cell r="BU127">
            <v>275883138195.00934</v>
          </cell>
          <cell r="BV127">
            <v>148842709883.37177</v>
          </cell>
          <cell r="BW127">
            <v>148173488788.16156</v>
          </cell>
          <cell r="BX127">
            <v>104688790361.51041</v>
          </cell>
          <cell r="BY127">
            <v>71201289606.073792</v>
          </cell>
          <cell r="BZ127">
            <v>81839191495.116379</v>
          </cell>
          <cell r="CA127">
            <v>46753548364.367821</v>
          </cell>
          <cell r="CB127">
            <v>46149383614.864883</v>
          </cell>
        </row>
        <row r="128">
          <cell r="BS128">
            <v>399817532027.10596</v>
          </cell>
          <cell r="BT128">
            <v>245568277268.89111</v>
          </cell>
          <cell r="BU128">
            <v>298769266864.98724</v>
          </cell>
          <cell r="BV128">
            <v>161364259834.33124</v>
          </cell>
          <cell r="BW128">
            <v>160862155085.79538</v>
          </cell>
          <cell r="BX128">
            <v>113179330346.7991</v>
          </cell>
          <cell r="BY128">
            <v>77157457409.412842</v>
          </cell>
          <cell r="BZ128">
            <v>88656803903.845673</v>
          </cell>
          <cell r="CA128">
            <v>50697260165.175507</v>
          </cell>
          <cell r="CB128">
            <v>50132953330.196159</v>
          </cell>
        </row>
        <row r="129">
          <cell r="BS129">
            <v>431849378164.99854</v>
          </cell>
          <cell r="BT129">
            <v>265179957200.1312</v>
          </cell>
          <cell r="BU129">
            <v>323231428931.17303</v>
          </cell>
          <cell r="BV129">
            <v>174654002524.22885</v>
          </cell>
          <cell r="BW129">
            <v>172879056099.50763</v>
          </cell>
          <cell r="BX129">
            <v>122279265785.63506</v>
          </cell>
          <cell r="BY129">
            <v>83334233757.501297</v>
          </cell>
          <cell r="BZ129">
            <v>95943905276.545273</v>
          </cell>
          <cell r="CA129">
            <v>54882917314.738754</v>
          </cell>
          <cell r="CB129">
            <v>53905624297.14283</v>
          </cell>
        </row>
        <row r="130">
          <cell r="BS130">
            <v>466180260811.63654</v>
          </cell>
          <cell r="BT130">
            <v>286784388554.80164</v>
          </cell>
          <cell r="BU130">
            <v>349257394737.67365</v>
          </cell>
          <cell r="BV130">
            <v>187803056694.6265</v>
          </cell>
          <cell r="BW130">
            <v>185689421455.2103</v>
          </cell>
          <cell r="BX130">
            <v>132032335099.77274</v>
          </cell>
          <cell r="BY130">
            <v>90138635066.991318</v>
          </cell>
          <cell r="BZ130">
            <v>103696852487.06773</v>
          </cell>
          <cell r="CA130">
            <v>59024264057.302612</v>
          </cell>
          <cell r="CB130">
            <v>57927401076.22184</v>
          </cell>
        </row>
        <row r="131">
          <cell r="BS131">
            <v>502975189777.75085</v>
          </cell>
          <cell r="BT131">
            <v>309493109971.60645</v>
          </cell>
          <cell r="BU131">
            <v>374991668791.59174</v>
          </cell>
          <cell r="BV131">
            <v>201377898788.80481</v>
          </cell>
          <cell r="BW131">
            <v>199685074214.46597</v>
          </cell>
          <cell r="BX131">
            <v>142485415968.94254</v>
          </cell>
          <cell r="BY131">
            <v>97290836909.690903</v>
          </cell>
          <cell r="BZ131">
            <v>111362906831.58357</v>
          </cell>
          <cell r="CA131">
            <v>63299714394.567749</v>
          </cell>
          <cell r="CB131">
            <v>62321295372.934509</v>
          </cell>
        </row>
        <row r="132">
          <cell r="BS132">
            <v>542411018199.54114</v>
          </cell>
          <cell r="BT132">
            <v>332122646118.88489</v>
          </cell>
          <cell r="BU132">
            <v>402048803265.80688</v>
          </cell>
          <cell r="BV132">
            <v>216274607767.58606</v>
          </cell>
          <cell r="BW132">
            <v>214903514134.83469</v>
          </cell>
          <cell r="BX132">
            <v>153688750646.26483</v>
          </cell>
          <cell r="BY132">
            <v>104418099037.81009</v>
          </cell>
          <cell r="BZ132">
            <v>119423031739.38628</v>
          </cell>
          <cell r="CA132">
            <v>67991491947.89817</v>
          </cell>
          <cell r="CB132">
            <v>67099080126.614616</v>
          </cell>
        </row>
        <row r="133">
          <cell r="BS133">
            <v>584677292575.15051</v>
          </cell>
          <cell r="BT133">
            <v>358085434063.5766</v>
          </cell>
          <cell r="BU133">
            <v>434214389147.45148</v>
          </cell>
          <cell r="BV133">
            <v>234069938957.28674</v>
          </cell>
          <cell r="BW133">
            <v>232346110201.48346</v>
          </cell>
          <cell r="BX133">
            <v>165696187445.33148</v>
          </cell>
          <cell r="BY133">
            <v>112595182034.75189</v>
          </cell>
          <cell r="BZ133">
            <v>129004927419.64682</v>
          </cell>
          <cell r="CA133">
            <v>73596202058.624207</v>
          </cell>
          <cell r="CB133">
            <v>72575132204.744843</v>
          </cell>
        </row>
        <row r="134">
          <cell r="BS134">
            <v>629977163811.20569</v>
          </cell>
          <cell r="BT134">
            <v>386402471246.20148</v>
          </cell>
          <cell r="BU134">
            <v>469041754605.77966</v>
          </cell>
          <cell r="BV134">
            <v>253033419923.60236</v>
          </cell>
          <cell r="BW134">
            <v>251396450700.31754</v>
          </cell>
          <cell r="BX134">
            <v>178565439559.65265</v>
          </cell>
          <cell r="BY134">
            <v>121513745162.99069</v>
          </cell>
          <cell r="BZ134">
            <v>139379748007.95901</v>
          </cell>
          <cell r="CA134">
            <v>79568825572.817841</v>
          </cell>
          <cell r="CB134">
            <v>78555930950.477173</v>
          </cell>
        </row>
        <row r="135">
          <cell r="BS135">
            <v>680962975364.53162</v>
          </cell>
          <cell r="BT135">
            <v>418622306184.76514</v>
          </cell>
          <cell r="BU135">
            <v>507577649915.68286</v>
          </cell>
          <cell r="BV135">
            <v>274796821145.03363</v>
          </cell>
          <cell r="BW135">
            <v>271651750041.36316</v>
          </cell>
          <cell r="BX135">
            <v>193200684016.13742</v>
          </cell>
          <cell r="BY135">
            <v>131714153144.23709</v>
          </cell>
          <cell r="BZ135">
            <v>150950552615.77332</v>
          </cell>
          <cell r="CA135">
            <v>86458853778.780197</v>
          </cell>
          <cell r="CB135">
            <v>84949027231.50235</v>
          </cell>
        </row>
        <row r="136">
          <cell r="BS136">
            <v>735608215153.26184</v>
          </cell>
          <cell r="BT136">
            <v>453291682314.88489</v>
          </cell>
          <cell r="BU136">
            <v>549725130371.8891</v>
          </cell>
          <cell r="BV136">
            <v>297056591596.44519</v>
          </cell>
          <cell r="BW136">
            <v>292585426964.92645</v>
          </cell>
          <cell r="BX136">
            <v>208886350642.32895</v>
          </cell>
          <cell r="BY136">
            <v>142690056082.80972</v>
          </cell>
          <cell r="BZ136">
            <v>163605773343.05994</v>
          </cell>
          <cell r="CA136">
            <v>93506026447.611176</v>
          </cell>
          <cell r="CB136">
            <v>91556237020.647156</v>
          </cell>
        </row>
        <row r="137">
          <cell r="BS137">
            <v>794175533012.75671</v>
          </cell>
          <cell r="BT137">
            <v>490475421407.18658</v>
          </cell>
          <cell r="BU137">
            <v>591909420065.26257</v>
          </cell>
          <cell r="BV137">
            <v>319542004276.13373</v>
          </cell>
          <cell r="BW137">
            <v>314678010843.27795</v>
          </cell>
          <cell r="BX137">
            <v>225697831874.47266</v>
          </cell>
          <cell r="BY137">
            <v>154461975763.12222</v>
          </cell>
          <cell r="BZ137">
            <v>176272046427.83298</v>
          </cell>
          <cell r="CA137">
            <v>100624634702.33548</v>
          </cell>
          <cell r="CB137">
            <v>98529227814.45462</v>
          </cell>
        </row>
        <row r="138">
          <cell r="BS138">
            <v>856946430066.48975</v>
          </cell>
          <cell r="BT138">
            <v>528273940444.57416</v>
          </cell>
          <cell r="BU138">
            <v>635557136357.95874</v>
          </cell>
          <cell r="BV138">
            <v>343838527703.66669</v>
          </cell>
          <cell r="BW138">
            <v>338839844189.60754</v>
          </cell>
          <cell r="BX138">
            <v>243715931325.0108</v>
          </cell>
          <cell r="BY138">
            <v>166428527298.95233</v>
          </cell>
          <cell r="BZ138">
            <v>189377728616.83121</v>
          </cell>
          <cell r="CA138">
            <v>108316618598.56943</v>
          </cell>
          <cell r="CB138">
            <v>106155327251.85724</v>
          </cell>
        </row>
        <row r="139">
          <cell r="BS139">
            <v>924222611748.27991</v>
          </cell>
          <cell r="BT139">
            <v>569707126000.31665</v>
          </cell>
          <cell r="BU139">
            <v>684544097716.54883</v>
          </cell>
          <cell r="BV139">
            <v>371574650402.99933</v>
          </cell>
          <cell r="BW139">
            <v>366229672783.71002</v>
          </cell>
          <cell r="BX139">
            <v>263027252161.43777</v>
          </cell>
          <cell r="BY139">
            <v>179545770060.65903</v>
          </cell>
          <cell r="BZ139">
            <v>204086574840.65646</v>
          </cell>
          <cell r="CA139">
            <v>117097537802.23914</v>
          </cell>
          <cell r="CB139">
            <v>114800265466.52173</v>
          </cell>
        </row>
        <row r="140">
          <cell r="BS140">
            <v>996327437935.59106</v>
          </cell>
          <cell r="BT140">
            <v>615336199375.84863</v>
          </cell>
          <cell r="BU140">
            <v>740773777980.03491</v>
          </cell>
          <cell r="BV140">
            <v>402603644170.41211</v>
          </cell>
          <cell r="BW140">
            <v>396464093241.14636</v>
          </cell>
          <cell r="BX140">
            <v>283724613360.44385</v>
          </cell>
          <cell r="BY140">
            <v>193991379888.39835</v>
          </cell>
          <cell r="BZ140">
            <v>220970122978.21506</v>
          </cell>
          <cell r="CA140">
            <v>126920939948.11218</v>
          </cell>
          <cell r="CB140">
            <v>124343030435.37602</v>
          </cell>
        </row>
        <row r="141">
          <cell r="BS141">
            <v>1073607477163.9432</v>
          </cell>
          <cell r="BT141">
            <v>664616322095.89453</v>
          </cell>
          <cell r="BU141">
            <v>799199759727.5448</v>
          </cell>
          <cell r="BV141">
            <v>435274315525.5354</v>
          </cell>
          <cell r="BW141">
            <v>427903624531.61737</v>
          </cell>
          <cell r="BX141">
            <v>305907495838.06696</v>
          </cell>
          <cell r="BY141">
            <v>209592867545.57773</v>
          </cell>
          <cell r="BZ141">
            <v>238513133550.13837</v>
          </cell>
          <cell r="CA141">
            <v>137264077257.13074</v>
          </cell>
          <cell r="CB141">
            <v>134266159547.71571</v>
          </cell>
        </row>
        <row r="142">
          <cell r="BS142">
            <v>1156434172392.6567</v>
          </cell>
          <cell r="BT142">
            <v>716579060272.87634</v>
          </cell>
          <cell r="BU142">
            <v>861610404660.48059</v>
          </cell>
          <cell r="BV142">
            <v>469718687197.112</v>
          </cell>
          <cell r="BW142">
            <v>459147200629.91608</v>
          </cell>
          <cell r="BX142">
            <v>329682520600.14532</v>
          </cell>
          <cell r="BY142">
            <v>226043638638.5575</v>
          </cell>
          <cell r="BZ142">
            <v>257252580815.06528</v>
          </cell>
          <cell r="CA142">
            <v>148168746519.95316</v>
          </cell>
          <cell r="CB142">
            <v>144127440133.93732</v>
          </cell>
        </row>
        <row r="143">
          <cell r="BS143">
            <v>1245205626328.3733</v>
          </cell>
          <cell r="BT143">
            <v>772663924392.36877</v>
          </cell>
          <cell r="BU143">
            <v>927964873822.15698</v>
          </cell>
          <cell r="BV143">
            <v>504162661280.0022</v>
          </cell>
          <cell r="BW143">
            <v>492701056794.77307</v>
          </cell>
          <cell r="BX143">
            <v>355163961211.28418</v>
          </cell>
          <cell r="BY143">
            <v>243799424684.0925</v>
          </cell>
          <cell r="BZ143">
            <v>277176202450.18243</v>
          </cell>
          <cell r="CA143">
            <v>159073289911.03174</v>
          </cell>
          <cell r="CB143">
            <v>154717904853.79996</v>
          </cell>
        </row>
        <row r="144">
          <cell r="BS144">
            <v>1340348514887.4358</v>
          </cell>
          <cell r="BT144">
            <v>831960855956.72656</v>
          </cell>
          <cell r="BU144">
            <v>994393579868.64038</v>
          </cell>
          <cell r="BV144">
            <v>540680963560.42566</v>
          </cell>
          <cell r="BW144">
            <v>529190838118.42853</v>
          </cell>
          <cell r="BX144">
            <v>382474293045.49689</v>
          </cell>
          <cell r="BY144">
            <v>262572112227.21063</v>
          </cell>
          <cell r="BZ144">
            <v>297122114484.46863</v>
          </cell>
          <cell r="CA144">
            <v>170634540387.73596</v>
          </cell>
          <cell r="CB144">
            <v>166235023477.81143</v>
          </cell>
        </row>
        <row r="145">
          <cell r="BS145">
            <v>1442320137994.085</v>
          </cell>
          <cell r="BT145">
            <v>893454209860.30383</v>
          </cell>
          <cell r="BU145">
            <v>1066271262557.5536</v>
          </cell>
          <cell r="BV145">
            <v>581721756611.02686</v>
          </cell>
          <cell r="BW145">
            <v>569148447889.13123</v>
          </cell>
          <cell r="BX145">
            <v>411744781958.4657</v>
          </cell>
          <cell r="BY145">
            <v>282040160376.67212</v>
          </cell>
          <cell r="BZ145">
            <v>318704138604.25494</v>
          </cell>
          <cell r="CA145">
            <v>183627556453.40723</v>
          </cell>
          <cell r="CB145">
            <v>178846678438.94458</v>
          </cell>
        </row>
        <row r="146">
          <cell r="BS146">
            <v>1551610617571.5481</v>
          </cell>
          <cell r="BT146">
            <v>961841425463.29602</v>
          </cell>
          <cell r="BU146">
            <v>1150227352362.168</v>
          </cell>
          <cell r="BV146">
            <v>627895761138.01477</v>
          </cell>
          <cell r="BW146">
            <v>613962808434.60474</v>
          </cell>
          <cell r="BX146">
            <v>443116115210.84955</v>
          </cell>
          <cell r="BY146">
            <v>303690721317.84735</v>
          </cell>
          <cell r="BZ146">
            <v>343912830473.3045</v>
          </cell>
          <cell r="CA146">
            <v>198245684857.89096</v>
          </cell>
          <cell r="CB146">
            <v>192991249541.83688</v>
          </cell>
        </row>
        <row r="147">
          <cell r="BS147">
            <v>1668745253290.5378</v>
          </cell>
          <cell r="BT147">
            <v>1036432080868.7705</v>
          </cell>
          <cell r="BU147">
            <v>1238886169736.7908</v>
          </cell>
          <cell r="BV147">
            <v>677344427817.71252</v>
          </cell>
          <cell r="BW147">
            <v>662644522702.11133</v>
          </cell>
          <cell r="BX147">
            <v>476739077675.13696</v>
          </cell>
          <cell r="BY147">
            <v>327305215872.99292</v>
          </cell>
          <cell r="BZ147">
            <v>370533565358.32019</v>
          </cell>
          <cell r="CA147">
            <v>213900531483.3736</v>
          </cell>
          <cell r="CB147">
            <v>208356457490.49713</v>
          </cell>
        </row>
        <row r="148">
          <cell r="BS148">
            <v>1794287047398.0037</v>
          </cell>
          <cell r="BT148">
            <v>1115081317948.4392</v>
          </cell>
          <cell r="BU148">
            <v>1333619569051.7017</v>
          </cell>
          <cell r="BV148">
            <v>730128805704.75439</v>
          </cell>
          <cell r="BW148">
            <v>711200195780.40125</v>
          </cell>
          <cell r="BX148">
            <v>512775276576.21313</v>
          </cell>
          <cell r="BY148">
            <v>352204608037.97821</v>
          </cell>
          <cell r="BZ148">
            <v>398978256846.39337</v>
          </cell>
          <cell r="CA148">
            <v>230611423718.25821</v>
          </cell>
          <cell r="CB148">
            <v>223681883580.37219</v>
          </cell>
        </row>
        <row r="149">
          <cell r="BS149">
            <v>1928839410761.5842</v>
          </cell>
          <cell r="BT149">
            <v>1201160644230.3604</v>
          </cell>
          <cell r="BU149">
            <v>1435477661187.2971</v>
          </cell>
          <cell r="BV149">
            <v>783871073645.45667</v>
          </cell>
          <cell r="BW149">
            <v>762202780759.79651</v>
          </cell>
          <cell r="BX149">
            <v>551397918249.06714</v>
          </cell>
          <cell r="BY149">
            <v>379456276102.09662</v>
          </cell>
          <cell r="BZ149">
            <v>429562211685.06146</v>
          </cell>
          <cell r="CA149">
            <v>247625572297.16647</v>
          </cell>
          <cell r="CB149">
            <v>239779618344.21747</v>
          </cell>
        </row>
        <row r="150">
          <cell r="BS150">
            <v>2073049063136.2065</v>
          </cell>
          <cell r="BT150">
            <v>1291314143901.6563</v>
          </cell>
          <cell r="BU150">
            <v>1537651546883.3896</v>
          </cell>
          <cell r="BV150">
            <v>838964081166.62268</v>
          </cell>
          <cell r="BW150">
            <v>815686358611.1051</v>
          </cell>
          <cell r="BX150">
            <v>592792640647.07935</v>
          </cell>
          <cell r="BY150">
            <v>407997777923.50159</v>
          </cell>
          <cell r="BZ150">
            <v>460240986834.9104</v>
          </cell>
          <cell r="CA150">
            <v>265067348603.63507</v>
          </cell>
          <cell r="CB150">
            <v>256660418617.76556</v>
          </cell>
        </row>
        <row r="151">
          <cell r="BS151">
            <v>2227609141592.9106</v>
          </cell>
          <cell r="BT151">
            <v>1383472366531.2263</v>
          </cell>
          <cell r="BU151">
            <v>1644493918718.009</v>
          </cell>
          <cell r="BV151">
            <v>897127844893.02148</v>
          </cell>
          <cell r="BW151">
            <v>873460365466.71692</v>
          </cell>
          <cell r="BX151">
            <v>637158405602.32544</v>
          </cell>
          <cell r="BY151">
            <v>437173950658.11139</v>
          </cell>
          <cell r="BZ151">
            <v>492321523653.68573</v>
          </cell>
          <cell r="CA151">
            <v>283481288987.41956</v>
          </cell>
          <cell r="CB151">
            <v>274895389237.03796</v>
          </cell>
        </row>
        <row r="152">
          <cell r="BS152">
            <v>2393262532050.3379</v>
          </cell>
          <cell r="BT152">
            <v>1487029878257.4763</v>
          </cell>
          <cell r="BU152">
            <v>1767983296382.4961</v>
          </cell>
          <cell r="BV152">
            <v>966520191707.03003</v>
          </cell>
          <cell r="BW152">
            <v>938982427059.66113</v>
          </cell>
          <cell r="BX152">
            <v>684708455126.48218</v>
          </cell>
          <cell r="BY152">
            <v>469958999717.01099</v>
          </cell>
          <cell r="BZ152">
            <v>529400497649.3714</v>
          </cell>
          <cell r="CA152">
            <v>305450062248.63306</v>
          </cell>
          <cell r="CB152">
            <v>295575846298.7666</v>
          </cell>
        </row>
        <row r="153">
          <cell r="BS153">
            <v>2570805439921.7715</v>
          </cell>
          <cell r="BT153">
            <v>1598412664313.9731</v>
          </cell>
          <cell r="BU153">
            <v>1900998793035.5093</v>
          </cell>
          <cell r="BV153">
            <v>1039456978258.8217</v>
          </cell>
          <cell r="BW153">
            <v>1009645491031.3667</v>
          </cell>
          <cell r="BX153">
            <v>735671336348.76001</v>
          </cell>
          <cell r="BY153">
            <v>505221435481.51892</v>
          </cell>
          <cell r="BZ153">
            <v>569339788256.37756</v>
          </cell>
          <cell r="CA153">
            <v>328540962034.05969</v>
          </cell>
          <cell r="CB153">
            <v>317878936659.31787</v>
          </cell>
        </row>
        <row r="154">
          <cell r="BS154">
            <v>2765634363126.8486</v>
          </cell>
          <cell r="BT154">
            <v>1721368481510.293</v>
          </cell>
          <cell r="BU154">
            <v>2045504090104.25</v>
          </cell>
          <cell r="BV154">
            <v>1120386281381.439</v>
          </cell>
          <cell r="BW154">
            <v>1090474176751.8381</v>
          </cell>
          <cell r="BX154">
            <v>791864842402.23975</v>
          </cell>
          <cell r="BY154">
            <v>544241172605.6571</v>
          </cell>
          <cell r="BZ154">
            <v>612888514450.93555</v>
          </cell>
          <cell r="CA154">
            <v>354223684539.51221</v>
          </cell>
          <cell r="CB154">
            <v>343453669784.83484</v>
          </cell>
        </row>
        <row r="155">
          <cell r="BS155">
            <v>2974446832752.5688</v>
          </cell>
          <cell r="BT155">
            <v>1854081313321.0674</v>
          </cell>
          <cell r="BU155">
            <v>2201779226968.5146</v>
          </cell>
          <cell r="BV155">
            <v>1212570715909.0918</v>
          </cell>
          <cell r="BW155">
            <v>1192384549503.5911</v>
          </cell>
          <cell r="BX155">
            <v>852091550957.23108</v>
          </cell>
          <cell r="BY155">
            <v>586357275188.97913</v>
          </cell>
          <cell r="BZ155">
            <v>659984249239.68555</v>
          </cell>
          <cell r="CA155">
            <v>383478196316.39789</v>
          </cell>
          <cell r="CB155">
            <v>375698788737.54755</v>
          </cell>
        </row>
        <row r="156">
          <cell r="BS156">
            <v>3198246496344.0879</v>
          </cell>
          <cell r="BT156">
            <v>1994887882509.9819</v>
          </cell>
          <cell r="BU156">
            <v>2381185143948.894</v>
          </cell>
          <cell r="BV156">
            <v>1323953451726.553</v>
          </cell>
          <cell r="BW156">
            <v>1883400976724.2339</v>
          </cell>
          <cell r="BX156">
            <v>916640938922.38025</v>
          </cell>
          <cell r="BY156">
            <v>631041906143.28967</v>
          </cell>
          <cell r="BZ156">
            <v>714050773545.33496</v>
          </cell>
          <cell r="CA156">
            <v>418825243498.60107</v>
          </cell>
          <cell r="CB156">
            <v>594340976891.30371</v>
          </cell>
        </row>
        <row r="157">
          <cell r="BS157">
            <v>3438109036706.0288</v>
          </cell>
          <cell r="BT157">
            <v>2163162807531.646</v>
          </cell>
          <cell r="BU157">
            <v>2589452992606.5039</v>
          </cell>
          <cell r="BV157">
            <v>1780716600521.5994</v>
          </cell>
          <cell r="BW157">
            <v>3272561338301.6636</v>
          </cell>
          <cell r="BX157">
            <v>985823259966.38684</v>
          </cell>
          <cell r="BY157">
            <v>684443554708.20142</v>
          </cell>
          <cell r="BZ157">
            <v>776815251390.08447</v>
          </cell>
          <cell r="CA157">
            <v>563777946025.22705</v>
          </cell>
          <cell r="CB157">
            <v>1033880543806.3623</v>
          </cell>
        </row>
        <row r="158">
          <cell r="BS158">
            <v>3695187342122.4912</v>
          </cell>
          <cell r="BT158">
            <v>2338127670243.2051</v>
          </cell>
          <cell r="BU158">
            <v>3214776081580.064</v>
          </cell>
          <cell r="BV158">
            <v>2544784496742.4263</v>
          </cell>
          <cell r="BW158">
            <v>4642777634836.8115</v>
          </cell>
          <cell r="BX158">
            <v>1059971035738.0175</v>
          </cell>
          <cell r="BY158">
            <v>739968239140.70264</v>
          </cell>
          <cell r="BZ158">
            <v>965265256595.7113</v>
          </cell>
          <cell r="CA158">
            <v>806253081690.64514</v>
          </cell>
          <cell r="CB158">
            <v>1467426082692.2593</v>
          </cell>
        </row>
        <row r="159">
          <cell r="BS159">
            <v>3970717047661.6626</v>
          </cell>
          <cell r="BT159">
            <v>2809955731751.437</v>
          </cell>
          <cell r="BU159">
            <v>4238960410802.4951</v>
          </cell>
          <cell r="BV159">
            <v>3331403829900.2515</v>
          </cell>
          <cell r="BW159">
            <v>6072575922500.6797</v>
          </cell>
          <cell r="BX159">
            <v>1139440654116.1445</v>
          </cell>
          <cell r="BY159">
            <v>889701756005.92981</v>
          </cell>
          <cell r="BZ159">
            <v>1273917768516.0723</v>
          </cell>
          <cell r="CA159">
            <v>1055884862410.5081</v>
          </cell>
          <cell r="CB159">
            <v>1919823759388.1616</v>
          </cell>
        </row>
        <row r="160">
          <cell r="BS160">
            <v>4266022474198.978</v>
          </cell>
          <cell r="BT160">
            <v>3180680383280.2168</v>
          </cell>
          <cell r="BU160">
            <v>4802802220858.2412</v>
          </cell>
          <cell r="BV160">
            <v>3773596699920.1675</v>
          </cell>
          <cell r="BW160">
            <v>6866941896912.4258</v>
          </cell>
          <cell r="BX160">
            <v>1224614082171.7056</v>
          </cell>
          <cell r="BY160">
            <v>1007350345376.8092</v>
          </cell>
          <cell r="BZ160">
            <v>1443839516031.5364</v>
          </cell>
          <cell r="CA160">
            <v>1196213721506.2598</v>
          </cell>
          <cell r="CB160">
            <v>2171166430848.0078</v>
          </cell>
        </row>
        <row r="161">
          <cell r="BS161">
            <v>4582522993704.6328</v>
          </cell>
          <cell r="BT161">
            <v>3417201773839.4805</v>
          </cell>
          <cell r="BU161">
            <v>5155261608888.9443</v>
          </cell>
          <cell r="BV161">
            <v>4050012931528.3745</v>
          </cell>
          <cell r="BW161">
            <v>7342130063532.1152</v>
          </cell>
          <cell r="BX161">
            <v>1315900702074.8999</v>
          </cell>
          <cell r="BY161">
            <v>1082409848003.858</v>
          </cell>
          <cell r="BZ161">
            <v>1550058164727.501</v>
          </cell>
          <cell r="CA161">
            <v>1283933757370.6545</v>
          </cell>
          <cell r="CB161">
            <v>2321519123550.8203</v>
          </cell>
        </row>
        <row r="162">
          <cell r="BS162">
            <v>4921739851389.7529</v>
          </cell>
          <cell r="BT162">
            <v>3670699123563.0879</v>
          </cell>
          <cell r="BU162">
            <v>5533018227602.043</v>
          </cell>
          <cell r="BV162">
            <v>4346268513180.3438</v>
          </cell>
          <cell r="BW162">
            <v>7873410369807.0264</v>
          </cell>
          <cell r="BX162">
            <v>1413739278771.7834</v>
          </cell>
          <cell r="BY162">
            <v>1162856631030.7043</v>
          </cell>
          <cell r="BZ162">
            <v>1663900493626.304</v>
          </cell>
          <cell r="CA162">
            <v>1377949763942.8472</v>
          </cell>
          <cell r="CB162">
            <v>2489619741873.5366</v>
          </cell>
        </row>
        <row r="163">
          <cell r="BS163">
            <v>5285303477501.6152</v>
          </cell>
          <cell r="BT163">
            <v>3942390855820.1328</v>
          </cell>
          <cell r="BU163">
            <v>5937887746836.1836</v>
          </cell>
          <cell r="BV163">
            <v>4663787383723.1787</v>
          </cell>
          <cell r="BW163">
            <v>8442822503240.6309</v>
          </cell>
          <cell r="BX163">
            <v>1518600068887.8252</v>
          </cell>
          <cell r="BY163">
            <v>1249077358225.2932</v>
          </cell>
          <cell r="BZ163">
            <v>1785913680653.3696</v>
          </cell>
          <cell r="CA163">
            <v>1478713624840.561</v>
          </cell>
          <cell r="CB163">
            <v>2669785523627.7661</v>
          </cell>
        </row>
        <row r="164">
          <cell r="BS164">
            <v>5674961323911.7695</v>
          </cell>
          <cell r="BT164">
            <v>4233582844443.7437</v>
          </cell>
          <cell r="BU164">
            <v>6371816153341.1553</v>
          </cell>
          <cell r="BV164">
            <v>5004095683025.4805</v>
          </cell>
          <cell r="BW164">
            <v>9053103317100.9316</v>
          </cell>
          <cell r="BX164">
            <v>1630987080994.7847</v>
          </cell>
          <cell r="BY164">
            <v>1341486445553.0332</v>
          </cell>
          <cell r="BZ164">
            <v>1916684176588.4539</v>
          </cell>
          <cell r="CA164">
            <v>1586709656933.4275</v>
          </cell>
          <cell r="CB164">
            <v>2862882427369.0518</v>
          </cell>
        </row>
      </sheetData>
      <sheetData sheetId="10">
        <row r="1">
          <cell r="CW1">
            <v>600</v>
          </cell>
        </row>
        <row r="4">
          <cell r="EQ4">
            <v>1907.0045220506599</v>
          </cell>
          <cell r="ER4">
            <v>1607.4598161939193</v>
          </cell>
          <cell r="ES4">
            <v>1272.4440909640425</v>
          </cell>
          <cell r="ET4">
            <v>896.74831554399543</v>
          </cell>
          <cell r="EU4">
            <v>474.17126277064233</v>
          </cell>
          <cell r="HF4">
            <v>0</v>
          </cell>
          <cell r="HG4">
            <v>0</v>
          </cell>
          <cell r="HH4">
            <v>0</v>
          </cell>
          <cell r="HI4">
            <v>0</v>
          </cell>
          <cell r="HJ4">
            <v>0</v>
          </cell>
        </row>
        <row r="5">
          <cell r="EQ5">
            <v>5211.348232766908</v>
          </cell>
          <cell r="ER5">
            <v>4508.2486610271999</v>
          </cell>
          <cell r="ES5">
            <v>3671.9691029342021</v>
          </cell>
          <cell r="ET5">
            <v>2674.6670701820149</v>
          </cell>
          <cell r="EU5">
            <v>1462.3829037093142</v>
          </cell>
          <cell r="HF5">
            <v>0</v>
          </cell>
          <cell r="HG5">
            <v>0</v>
          </cell>
          <cell r="HH5">
            <v>0</v>
          </cell>
          <cell r="HI5">
            <v>0</v>
          </cell>
          <cell r="HJ5">
            <v>0</v>
          </cell>
        </row>
        <row r="6">
          <cell r="EQ6">
            <v>10067.208168051759</v>
          </cell>
          <cell r="ER6">
            <v>8807.866861780316</v>
          </cell>
          <cell r="ES6">
            <v>7248.163560721342</v>
          </cell>
          <cell r="ET6">
            <v>5322.5937872881941</v>
          </cell>
          <cell r="EU6">
            <v>2922.5159688981471</v>
          </cell>
          <cell r="HF6">
            <v>0</v>
          </cell>
          <cell r="HG6">
            <v>0</v>
          </cell>
          <cell r="HH6">
            <v>0</v>
          </cell>
          <cell r="HI6">
            <v>0</v>
          </cell>
          <cell r="HJ6">
            <v>0</v>
          </cell>
        </row>
        <row r="7">
          <cell r="EQ7">
            <v>16594.532968843028</v>
          </cell>
          <cell r="ER7">
            <v>15254.387431693389</v>
          </cell>
          <cell r="ES7">
            <v>13156.747427556807</v>
          </cell>
          <cell r="ET7">
            <v>10058.132592044614</v>
          </cell>
          <cell r="EU7">
            <v>5757.5750053439388</v>
          </cell>
          <cell r="HF7">
            <v>0</v>
          </cell>
          <cell r="HG7">
            <v>0</v>
          </cell>
          <cell r="HH7">
            <v>0</v>
          </cell>
          <cell r="HI7">
            <v>0</v>
          </cell>
          <cell r="HJ7">
            <v>0</v>
          </cell>
        </row>
        <row r="8">
          <cell r="EQ8">
            <v>28050.128586403334</v>
          </cell>
          <cell r="ER8">
            <v>25690.681028796647</v>
          </cell>
          <cell r="ES8">
            <v>22741.837665253188</v>
          </cell>
          <cell r="ET8">
            <v>17777.411224951258</v>
          </cell>
          <cell r="EU8">
            <v>10369.853782517845</v>
          </cell>
          <cell r="HF8">
            <v>0</v>
          </cell>
          <cell r="HG8">
            <v>0</v>
          </cell>
          <cell r="HH8">
            <v>0</v>
          </cell>
          <cell r="HI8">
            <v>0</v>
          </cell>
          <cell r="HJ8">
            <v>0</v>
          </cell>
        </row>
        <row r="9">
          <cell r="EQ9">
            <v>45974.296926228795</v>
          </cell>
          <cell r="ER9">
            <v>41722.395173021258</v>
          </cell>
          <cell r="ES9">
            <v>36032.597916538652</v>
          </cell>
          <cell r="ET9">
            <v>28098.483779821399</v>
          </cell>
          <cell r="EU9">
            <v>16467.370033410934</v>
          </cell>
          <cell r="HF9">
            <v>0</v>
          </cell>
          <cell r="HG9">
            <v>0</v>
          </cell>
          <cell r="HH9">
            <v>0</v>
          </cell>
          <cell r="HI9">
            <v>0</v>
          </cell>
          <cell r="HJ9">
            <v>0</v>
          </cell>
        </row>
        <row r="10">
          <cell r="EQ10">
            <v>67755.008721422957</v>
          </cell>
          <cell r="ER10">
            <v>61683.484051391591</v>
          </cell>
          <cell r="ES10">
            <v>52785.176906642475</v>
          </cell>
          <cell r="ET10">
            <v>40338.74596713252</v>
          </cell>
          <cell r="EU10">
            <v>23215.149804538763</v>
          </cell>
          <cell r="HF10">
            <v>0</v>
          </cell>
          <cell r="HG10">
            <v>0</v>
          </cell>
          <cell r="HH10">
            <v>0</v>
          </cell>
          <cell r="HI10">
            <v>0</v>
          </cell>
          <cell r="HJ10">
            <v>0</v>
          </cell>
        </row>
        <row r="11">
          <cell r="EQ11">
            <v>93006.976327769604</v>
          </cell>
          <cell r="ER11">
            <v>83636.163768505314</v>
          </cell>
          <cell r="ES11">
            <v>70771.994921471312</v>
          </cell>
          <cell r="ET11">
            <v>53389.78902389836</v>
          </cell>
          <cell r="EU11">
            <v>30669.18776930487</v>
          </cell>
          <cell r="HF11">
            <v>0</v>
          </cell>
          <cell r="HG11">
            <v>0</v>
          </cell>
          <cell r="HH11">
            <v>0</v>
          </cell>
          <cell r="HI11">
            <v>0</v>
          </cell>
          <cell r="HJ11">
            <v>0</v>
          </cell>
        </row>
        <row r="12">
          <cell r="EQ12">
            <v>123815.18943510056</v>
          </cell>
          <cell r="ER12">
            <v>110042.90301378933</v>
          </cell>
          <cell r="ES12">
            <v>93532.581650213993</v>
          </cell>
          <cell r="ET12">
            <v>71475.968056023354</v>
          </cell>
          <cell r="EU12">
            <v>40855.531380800458</v>
          </cell>
          <cell r="HF12">
            <v>0</v>
          </cell>
          <cell r="HG12">
            <v>0</v>
          </cell>
          <cell r="HH12">
            <v>0</v>
          </cell>
          <cell r="HI12">
            <v>0</v>
          </cell>
          <cell r="HJ12">
            <v>0</v>
          </cell>
        </row>
        <row r="13">
          <cell r="EQ13">
            <v>159250.30803059111</v>
          </cell>
          <cell r="ER13">
            <v>142803.86882447288</v>
          </cell>
          <cell r="ES13">
            <v>120707.56081835467</v>
          </cell>
          <cell r="ET13">
            <v>92971.098034843759</v>
          </cell>
          <cell r="EU13">
            <v>53786.464217421875</v>
          </cell>
          <cell r="HF13">
            <v>0</v>
          </cell>
          <cell r="HG13">
            <v>0</v>
          </cell>
          <cell r="HH13">
            <v>0</v>
          </cell>
          <cell r="HI13">
            <v>0</v>
          </cell>
          <cell r="HJ13">
            <v>0</v>
          </cell>
        </row>
        <row r="14">
          <cell r="EQ14">
            <v>199599.62610539421</v>
          </cell>
          <cell r="ER14">
            <v>179914.32825027689</v>
          </cell>
          <cell r="ES14">
            <v>153505.86508323904</v>
          </cell>
          <cell r="ET14">
            <v>117059.4346488814</v>
          </cell>
          <cell r="EU14">
            <v>68824.933065238205</v>
          </cell>
          <cell r="HF14">
            <v>0</v>
          </cell>
          <cell r="HG14">
            <v>0</v>
          </cell>
          <cell r="HH14">
            <v>0</v>
          </cell>
          <cell r="HI14">
            <v>0</v>
          </cell>
          <cell r="HJ14">
            <v>0</v>
          </cell>
        </row>
        <row r="15">
          <cell r="EQ15">
            <v>247435.8917834913</v>
          </cell>
          <cell r="ER15">
            <v>221364.92636930462</v>
          </cell>
          <cell r="ES15">
            <v>190166.06499006849</v>
          </cell>
          <cell r="ET15">
            <v>146924.59827367513</v>
          </cell>
          <cell r="EU15">
            <v>86205.008067399947</v>
          </cell>
          <cell r="HF15">
            <v>0</v>
          </cell>
          <cell r="HG15">
            <v>0</v>
          </cell>
          <cell r="HH15">
            <v>0</v>
          </cell>
          <cell r="HI15">
            <v>0</v>
          </cell>
          <cell r="HJ15">
            <v>0</v>
          </cell>
        </row>
        <row r="16">
          <cell r="EQ16">
            <v>300545.24759343301</v>
          </cell>
          <cell r="ER16">
            <v>272577.54045160126</v>
          </cell>
          <cell r="ES16">
            <v>232885.31848047642</v>
          </cell>
          <cell r="ET16">
            <v>181835.9358042895</v>
          </cell>
          <cell r="EU16">
            <v>106737.97704939413</v>
          </cell>
          <cell r="HF16">
            <v>0</v>
          </cell>
          <cell r="HG16">
            <v>0</v>
          </cell>
          <cell r="HH16">
            <v>0</v>
          </cell>
          <cell r="HI16">
            <v>0</v>
          </cell>
          <cell r="HJ16">
            <v>0</v>
          </cell>
        </row>
        <row r="17">
          <cell r="EQ17">
            <v>361622.09701565129</v>
          </cell>
          <cell r="ER17">
            <v>325940.81787262706</v>
          </cell>
          <cell r="ES17">
            <v>280950.45892722107</v>
          </cell>
          <cell r="ET17">
            <v>217764.70389439855</v>
          </cell>
          <cell r="EU17">
            <v>133027.0218175546</v>
          </cell>
          <cell r="HF17">
            <v>0</v>
          </cell>
          <cell r="HG17">
            <v>0</v>
          </cell>
          <cell r="HH17">
            <v>0</v>
          </cell>
          <cell r="HI17">
            <v>0</v>
          </cell>
          <cell r="HJ17">
            <v>0</v>
          </cell>
        </row>
        <row r="18">
          <cell r="EQ18">
            <v>431177.99584962492</v>
          </cell>
          <cell r="ER18">
            <v>390095.75850879843</v>
          </cell>
          <cell r="ES18">
            <v>339391.34870025457</v>
          </cell>
          <cell r="ET18">
            <v>272882.80682146334</v>
          </cell>
          <cell r="EU18">
            <v>167931.69894489081</v>
          </cell>
          <cell r="HF18">
            <v>0</v>
          </cell>
          <cell r="HG18">
            <v>0</v>
          </cell>
          <cell r="HH18">
            <v>0</v>
          </cell>
          <cell r="HI18">
            <v>0</v>
          </cell>
          <cell r="HJ18">
            <v>0</v>
          </cell>
        </row>
        <row r="19">
          <cell r="EQ19">
            <v>509755.93748449325</v>
          </cell>
          <cell r="ER19">
            <v>471147.6972289235</v>
          </cell>
          <cell r="ES19">
            <v>418135.7648656565</v>
          </cell>
          <cell r="ET19">
            <v>341192.68734965427</v>
          </cell>
          <cell r="EU19">
            <v>215496.09937285876</v>
          </cell>
          <cell r="HF19">
            <v>0</v>
          </cell>
          <cell r="HG19">
            <v>0</v>
          </cell>
          <cell r="HH19">
            <v>0</v>
          </cell>
          <cell r="HI19">
            <v>0</v>
          </cell>
          <cell r="HJ19">
            <v>0</v>
          </cell>
        </row>
        <row r="20">
          <cell r="EQ20">
            <v>616117.70654030051</v>
          </cell>
          <cell r="ER20">
            <v>570118.60527982027</v>
          </cell>
          <cell r="ES20">
            <v>510205.85089245456</v>
          </cell>
          <cell r="ET20">
            <v>420421.73759087268</v>
          </cell>
          <cell r="EU20">
            <v>259331.54281241374</v>
          </cell>
          <cell r="HF20">
            <v>0</v>
          </cell>
          <cell r="HG20">
            <v>0</v>
          </cell>
          <cell r="HH20">
            <v>0</v>
          </cell>
          <cell r="HI20">
            <v>0</v>
          </cell>
          <cell r="HJ20">
            <v>0</v>
          </cell>
        </row>
        <row r="21">
          <cell r="EQ21">
            <v>741034.35480573878</v>
          </cell>
          <cell r="ER21">
            <v>702064.5092437563</v>
          </cell>
          <cell r="ES21">
            <v>636099.14323327399</v>
          </cell>
          <cell r="ET21">
            <v>518974.96455934359</v>
          </cell>
          <cell r="EU21">
            <v>314906.24975392554</v>
          </cell>
          <cell r="HF21">
            <v>0</v>
          </cell>
          <cell r="HG21">
            <v>0</v>
          </cell>
          <cell r="HH21">
            <v>0</v>
          </cell>
          <cell r="HI21">
            <v>0</v>
          </cell>
          <cell r="HJ21">
            <v>0</v>
          </cell>
        </row>
        <row r="22">
          <cell r="EQ22">
            <v>907661.06703387969</v>
          </cell>
          <cell r="ER22">
            <v>858460.07194868161</v>
          </cell>
          <cell r="ES22">
            <v>771609.94331774593</v>
          </cell>
          <cell r="ET22">
            <v>620962.39840492676</v>
          </cell>
          <cell r="EU22">
            <v>378355.38719979406</v>
          </cell>
          <cell r="HF22">
            <v>0</v>
          </cell>
          <cell r="HG22">
            <v>0</v>
          </cell>
          <cell r="HH22">
            <v>0</v>
          </cell>
          <cell r="HI22">
            <v>0</v>
          </cell>
          <cell r="HJ22">
            <v>0</v>
          </cell>
        </row>
        <row r="23">
          <cell r="EQ23">
            <v>1096514.4597328953</v>
          </cell>
          <cell r="ER23">
            <v>1030613.2484501546</v>
          </cell>
          <cell r="ES23">
            <v>914456.69793761591</v>
          </cell>
          <cell r="ET23">
            <v>735725.32587010751</v>
          </cell>
          <cell r="EU23">
            <v>442444.18566881219</v>
          </cell>
          <cell r="HF23">
            <v>0</v>
          </cell>
          <cell r="HG23">
            <v>0</v>
          </cell>
          <cell r="HH23">
            <v>0</v>
          </cell>
          <cell r="HI23">
            <v>0</v>
          </cell>
          <cell r="HJ23">
            <v>0</v>
          </cell>
        </row>
        <row r="24">
          <cell r="EQ24">
            <v>1313177.7013972744</v>
          </cell>
          <cell r="ER24">
            <v>1221026.8997230371</v>
          </cell>
          <cell r="ES24">
            <v>1084101.3739608452</v>
          </cell>
          <cell r="ET24">
            <v>865509.19698503648</v>
          </cell>
          <cell r="EU24">
            <v>525534.77132462093</v>
          </cell>
          <cell r="HF24">
            <v>0</v>
          </cell>
          <cell r="HG24">
            <v>0</v>
          </cell>
          <cell r="HH24">
            <v>0</v>
          </cell>
          <cell r="HI24">
            <v>0</v>
          </cell>
          <cell r="HJ24">
            <v>0</v>
          </cell>
        </row>
        <row r="25">
          <cell r="EQ25">
            <v>1549254.6577670337</v>
          </cell>
          <cell r="ER25">
            <v>1441619.8100505851</v>
          </cell>
          <cell r="ES25">
            <v>1273457.7377023173</v>
          </cell>
          <cell r="ET25">
            <v>1018859.1725081881</v>
          </cell>
          <cell r="EU25">
            <v>614850.58801001532</v>
          </cell>
          <cell r="HF25">
            <v>0</v>
          </cell>
          <cell r="HG25">
            <v>0</v>
          </cell>
          <cell r="HH25">
            <v>0</v>
          </cell>
          <cell r="HI25">
            <v>0</v>
          </cell>
          <cell r="HJ25">
            <v>0</v>
          </cell>
        </row>
        <row r="26">
          <cell r="EQ26">
            <v>1818019.643494498</v>
          </cell>
          <cell r="ER26">
            <v>1677071.5103108336</v>
          </cell>
          <cell r="ES26">
            <v>1478334.0296512411</v>
          </cell>
          <cell r="ET26">
            <v>1174488.8300092537</v>
          </cell>
          <cell r="EU26">
            <v>705304.02000620682</v>
          </cell>
          <cell r="HF26">
            <v>0</v>
          </cell>
          <cell r="HG26">
            <v>0</v>
          </cell>
          <cell r="HH26">
            <v>0</v>
          </cell>
          <cell r="HI26">
            <v>0</v>
          </cell>
          <cell r="HJ26">
            <v>0</v>
          </cell>
        </row>
        <row r="27">
          <cell r="EQ27">
            <v>2111188.5207211468</v>
          </cell>
          <cell r="ER27">
            <v>1952555.0727905277</v>
          </cell>
          <cell r="ES27">
            <v>1716880.6526354558</v>
          </cell>
          <cell r="ET27">
            <v>1363909.5340144439</v>
          </cell>
          <cell r="EU27">
            <v>813068.86523186346</v>
          </cell>
          <cell r="HF27">
            <v>0</v>
          </cell>
          <cell r="HG27">
            <v>0</v>
          </cell>
          <cell r="HH27">
            <v>0</v>
          </cell>
          <cell r="HI27">
            <v>0</v>
          </cell>
          <cell r="HJ27">
            <v>0</v>
          </cell>
        </row>
        <row r="28">
          <cell r="EQ28">
            <v>2445247.995340426</v>
          </cell>
          <cell r="ER28">
            <v>2253893.9661206845</v>
          </cell>
          <cell r="ES28">
            <v>1980349.1934460215</v>
          </cell>
          <cell r="ET28">
            <v>1564309.3009445686</v>
          </cell>
          <cell r="EU28">
            <v>930454.94989717717</v>
          </cell>
          <cell r="HF28">
            <v>0</v>
          </cell>
          <cell r="HG28">
            <v>0</v>
          </cell>
          <cell r="HH28">
            <v>0</v>
          </cell>
          <cell r="HI28">
            <v>0</v>
          </cell>
          <cell r="HJ28">
            <v>0</v>
          </cell>
        </row>
        <row r="29">
          <cell r="EQ29">
            <v>2812880.5079892734</v>
          </cell>
          <cell r="ER29">
            <v>2590742.907947368</v>
          </cell>
          <cell r="ES29">
            <v>2267547.4749610196</v>
          </cell>
          <cell r="ET29">
            <v>1787767.0170431626</v>
          </cell>
          <cell r="EU29">
            <v>1057511.0316441485</v>
          </cell>
          <cell r="HF29">
            <v>0</v>
          </cell>
          <cell r="HG29">
            <v>0</v>
          </cell>
          <cell r="HH29">
            <v>0</v>
          </cell>
          <cell r="HI29">
            <v>0</v>
          </cell>
          <cell r="HJ29">
            <v>0</v>
          </cell>
        </row>
        <row r="30">
          <cell r="EQ30">
            <v>3225756.6726099066</v>
          </cell>
          <cell r="ER30">
            <v>2963204.9796939734</v>
          </cell>
          <cell r="ES30">
            <v>2588690.5835267017</v>
          </cell>
          <cell r="ET30">
            <v>2030078.2065820121</v>
          </cell>
          <cell r="EU30">
            <v>1204242.4453526211</v>
          </cell>
          <cell r="HF30">
            <v>0</v>
          </cell>
          <cell r="HG30">
            <v>0</v>
          </cell>
          <cell r="HH30">
            <v>0</v>
          </cell>
          <cell r="HI30">
            <v>0</v>
          </cell>
          <cell r="HJ30">
            <v>0</v>
          </cell>
        </row>
        <row r="31">
          <cell r="EQ31">
            <v>3683515.7449632525</v>
          </cell>
          <cell r="ER31">
            <v>3373098.661618703</v>
          </cell>
          <cell r="ES31">
            <v>2933508.6351930639</v>
          </cell>
          <cell r="ET31">
            <v>2303270.8620578293</v>
          </cell>
          <cell r="EU31">
            <v>1368836.9514184105</v>
          </cell>
          <cell r="HF31">
            <v>0</v>
          </cell>
          <cell r="HG31">
            <v>0</v>
          </cell>
          <cell r="HH31">
            <v>0</v>
          </cell>
          <cell r="HI31">
            <v>0</v>
          </cell>
          <cell r="HJ31">
            <v>0</v>
          </cell>
        </row>
        <row r="32">
          <cell r="EQ32">
            <v>4189926.2862827177</v>
          </cell>
          <cell r="ER32">
            <v>3839361.5059278542</v>
          </cell>
          <cell r="ES32">
            <v>3345033.7319694017</v>
          </cell>
          <cell r="ET32">
            <v>2629625.4532484137</v>
          </cell>
          <cell r="EU32">
            <v>1565856.0840335921</v>
          </cell>
          <cell r="HF32">
            <v>0</v>
          </cell>
          <cell r="HG32">
            <v>0</v>
          </cell>
          <cell r="HH32">
            <v>0</v>
          </cell>
          <cell r="HI32">
            <v>0</v>
          </cell>
          <cell r="HJ32">
            <v>0</v>
          </cell>
        </row>
        <row r="33">
          <cell r="EQ33">
            <v>4756486.464379766</v>
          </cell>
          <cell r="ER33">
            <v>4348066.7468689671</v>
          </cell>
          <cell r="ES33">
            <v>3788329.2153517259</v>
          </cell>
          <cell r="ET33">
            <v>2973875.1554871616</v>
          </cell>
          <cell r="EU33">
            <v>1764760.0631704014</v>
          </cell>
          <cell r="HF33">
            <v>0</v>
          </cell>
          <cell r="HG33">
            <v>0</v>
          </cell>
          <cell r="HH33">
            <v>0</v>
          </cell>
          <cell r="HI33">
            <v>0</v>
          </cell>
          <cell r="HJ33">
            <v>0</v>
          </cell>
        </row>
        <row r="34">
          <cell r="EQ34">
            <v>5373800.140628933</v>
          </cell>
          <cell r="ER34">
            <v>4924949.0734449616</v>
          </cell>
          <cell r="ES34">
            <v>4278056.1903409595</v>
          </cell>
          <cell r="ET34">
            <v>3347992.8471022537</v>
          </cell>
          <cell r="EU34">
            <v>1995563.7985727636</v>
          </cell>
          <cell r="HF34">
            <v>0</v>
          </cell>
          <cell r="HG34">
            <v>0</v>
          </cell>
          <cell r="HH34">
            <v>0</v>
          </cell>
          <cell r="HI34">
            <v>0</v>
          </cell>
          <cell r="HJ34">
            <v>0</v>
          </cell>
        </row>
        <row r="35">
          <cell r="EQ35">
            <v>6071396.91260444</v>
          </cell>
          <cell r="ER35">
            <v>5543944.9311944377</v>
          </cell>
          <cell r="ES35">
            <v>4813991.7762981253</v>
          </cell>
          <cell r="ET35">
            <v>3768780.8416687632</v>
          </cell>
          <cell r="EU35">
            <v>2238237.1787455948</v>
          </cell>
          <cell r="HF35">
            <v>0</v>
          </cell>
          <cell r="HG35">
            <v>0</v>
          </cell>
          <cell r="HH35">
            <v>0</v>
          </cell>
          <cell r="HI35">
            <v>0</v>
          </cell>
          <cell r="HJ35">
            <v>0</v>
          </cell>
        </row>
        <row r="36">
          <cell r="EQ36">
            <v>6820096.5477739889</v>
          </cell>
          <cell r="ER36">
            <v>6221408.8237417024</v>
          </cell>
          <cell r="ES36">
            <v>5382022.0442957254</v>
          </cell>
          <cell r="ET36">
            <v>4224297.5632230984</v>
          </cell>
          <cell r="EU36">
            <v>2553793.1336513693</v>
          </cell>
          <cell r="HF36">
            <v>0</v>
          </cell>
          <cell r="HG36">
            <v>0</v>
          </cell>
          <cell r="HH36">
            <v>0</v>
          </cell>
          <cell r="HI36">
            <v>0</v>
          </cell>
          <cell r="HJ36">
            <v>0</v>
          </cell>
        </row>
        <row r="37">
          <cell r="EQ37">
            <v>7675172.4396850448</v>
          </cell>
          <cell r="ER37">
            <v>6970075.1677874764</v>
          </cell>
          <cell r="ES37">
            <v>6060612.0694390349</v>
          </cell>
          <cell r="ET37">
            <v>4788790.6870050486</v>
          </cell>
          <cell r="EU37">
            <v>2907858.3111026357</v>
          </cell>
          <cell r="HF37">
            <v>0</v>
          </cell>
          <cell r="HG37">
            <v>0</v>
          </cell>
          <cell r="HH37">
            <v>0</v>
          </cell>
          <cell r="HI37">
            <v>0</v>
          </cell>
          <cell r="HJ37">
            <v>0</v>
          </cell>
        </row>
        <row r="38">
          <cell r="EQ38">
            <v>8591620.0890898705</v>
          </cell>
          <cell r="ER38">
            <v>7841441.268487867</v>
          </cell>
          <cell r="ES38">
            <v>6796836.4895850718</v>
          </cell>
          <cell r="ET38">
            <v>5456238.2340149619</v>
          </cell>
          <cell r="EU38">
            <v>3342477.202543186</v>
          </cell>
          <cell r="HF38">
            <v>0</v>
          </cell>
          <cell r="HG38">
            <v>0</v>
          </cell>
          <cell r="HH38">
            <v>0</v>
          </cell>
          <cell r="HI38">
            <v>0</v>
          </cell>
          <cell r="HJ38">
            <v>0</v>
          </cell>
        </row>
        <row r="39">
          <cell r="EQ39">
            <v>9632364.1130626947</v>
          </cell>
          <cell r="ER39">
            <v>8778630.3625263888</v>
          </cell>
          <cell r="ES39">
            <v>7746368.4412307711</v>
          </cell>
          <cell r="ET39">
            <v>6189608.8702199087</v>
          </cell>
          <cell r="EU39">
            <v>3792573.9227218507</v>
          </cell>
          <cell r="HF39">
            <v>0</v>
          </cell>
          <cell r="HG39">
            <v>0</v>
          </cell>
          <cell r="HH39">
            <v>0</v>
          </cell>
          <cell r="HI39">
            <v>0</v>
          </cell>
          <cell r="HJ39">
            <v>0</v>
          </cell>
        </row>
        <row r="40">
          <cell r="EQ40">
            <v>10763288.219203822</v>
          </cell>
          <cell r="ER40">
            <v>9943669.0288676023</v>
          </cell>
          <cell r="ES40">
            <v>8761954.4959281217</v>
          </cell>
          <cell r="ET40">
            <v>7070429.4167098142</v>
          </cell>
          <cell r="EU40">
            <v>4324111.491726622</v>
          </cell>
          <cell r="HF40">
            <v>0</v>
          </cell>
          <cell r="HG40">
            <v>0</v>
          </cell>
          <cell r="HH40">
            <v>0</v>
          </cell>
          <cell r="HI40">
            <v>0</v>
          </cell>
          <cell r="HJ40">
            <v>20543.154605859265</v>
          </cell>
        </row>
        <row r="41">
          <cell r="EQ41">
            <v>12145346.111474549</v>
          </cell>
          <cell r="ER41">
            <v>11254435.625304734</v>
          </cell>
          <cell r="ES41">
            <v>10002270.14443519</v>
          </cell>
          <cell r="ET41">
            <v>8016201.1888958681</v>
          </cell>
          <cell r="EU41">
            <v>4890789.2205543211</v>
          </cell>
          <cell r="HF41">
            <v>0</v>
          </cell>
          <cell r="HG41">
            <v>0</v>
          </cell>
          <cell r="HH41">
            <v>0</v>
          </cell>
          <cell r="HI41">
            <v>0</v>
          </cell>
          <cell r="HJ41">
            <v>61109.291581410405</v>
          </cell>
        </row>
        <row r="42">
          <cell r="EQ42">
            <v>13765754.408561058</v>
          </cell>
          <cell r="ER42">
            <v>12787335.964060115</v>
          </cell>
          <cell r="ES42">
            <v>11376750.228517281</v>
          </cell>
          <cell r="ET42">
            <v>9107851.9969880637</v>
          </cell>
          <cell r="EU42">
            <v>5527145.1029177448</v>
          </cell>
          <cell r="HF42">
            <v>0</v>
          </cell>
          <cell r="HG42">
            <v>0</v>
          </cell>
          <cell r="HH42">
            <v>0</v>
          </cell>
          <cell r="HI42">
            <v>73989.267229079036</v>
          </cell>
          <cell r="HJ42">
            <v>107158.09864356404</v>
          </cell>
        </row>
        <row r="43">
          <cell r="EQ43">
            <v>15621603.319217741</v>
          </cell>
          <cell r="ER43">
            <v>14585867.871374194</v>
          </cell>
          <cell r="ES43">
            <v>12934608.194698084</v>
          </cell>
          <cell r="ET43">
            <v>10323894.145798722</v>
          </cell>
          <cell r="EU43">
            <v>6256607.1863572467</v>
          </cell>
          <cell r="HF43">
            <v>0</v>
          </cell>
          <cell r="HG43">
            <v>0</v>
          </cell>
          <cell r="HH43">
            <v>58928.793959300659</v>
          </cell>
          <cell r="HI43">
            <v>161040.74263953359</v>
          </cell>
          <cell r="HJ43">
            <v>161297.8626488396</v>
          </cell>
        </row>
        <row r="44">
          <cell r="EQ44">
            <v>17886456.845252577</v>
          </cell>
          <cell r="ER44">
            <v>16596013.880527491</v>
          </cell>
          <cell r="ES44">
            <v>14691885.317212153</v>
          </cell>
          <cell r="ET44">
            <v>11694151.914747782</v>
          </cell>
          <cell r="EU44">
            <v>7060651.9664494824</v>
          </cell>
          <cell r="HF44">
            <v>0</v>
          </cell>
          <cell r="HG44">
            <v>32031.554971196088</v>
          </cell>
          <cell r="HH44">
            <v>184725.06374279672</v>
          </cell>
          <cell r="HI44">
            <v>261805.93349546229</v>
          </cell>
          <cell r="HJ44">
            <v>221689.03986491551</v>
          </cell>
        </row>
        <row r="45">
          <cell r="EQ45">
            <v>20321652.75651532</v>
          </cell>
          <cell r="ER45">
            <v>18933255.363152817</v>
          </cell>
          <cell r="ES45">
            <v>16663626.550927985</v>
          </cell>
          <cell r="ET45">
            <v>13225844.36389412</v>
          </cell>
          <cell r="EU45">
            <v>7972129.2154675284</v>
          </cell>
          <cell r="HF45">
            <v>9732.5069085294308</v>
          </cell>
          <cell r="HG45">
            <v>199345.09722961707</v>
          </cell>
          <cell r="HH45">
            <v>327574.42718584958</v>
          </cell>
          <cell r="HI45">
            <v>375486.23245554208</v>
          </cell>
          <cell r="HJ45">
            <v>295411.46441784571</v>
          </cell>
        </row>
        <row r="46">
          <cell r="EQ46">
            <v>23081329.433917481</v>
          </cell>
          <cell r="ER46">
            <v>21351932.401361227</v>
          </cell>
          <cell r="ES46">
            <v>18790899.107571937</v>
          </cell>
          <cell r="ET46">
            <v>14824219.127704736</v>
          </cell>
          <cell r="EU46">
            <v>8890775.5572450589</v>
          </cell>
          <cell r="HF46">
            <v>207286.45407938902</v>
          </cell>
          <cell r="HG46">
            <v>372488.27727757586</v>
          </cell>
          <cell r="HH46">
            <v>485457.93724926788</v>
          </cell>
          <cell r="HI46">
            <v>500231.51460382721</v>
          </cell>
          <cell r="HJ46">
            <v>369713.7420616165</v>
          </cell>
        </row>
        <row r="47">
          <cell r="EQ47">
            <v>26039077.661937438</v>
          </cell>
          <cell r="ER47">
            <v>24084132.261278454</v>
          </cell>
          <cell r="ES47">
            <v>21038536.153672006</v>
          </cell>
          <cell r="ET47">
            <v>16581157.522629093</v>
          </cell>
          <cell r="EU47">
            <v>9917556.4185267985</v>
          </cell>
          <cell r="HF47">
            <v>419019.53207641252</v>
          </cell>
          <cell r="HG47">
            <v>575255.38341231097</v>
          </cell>
          <cell r="HH47">
            <v>653466.99310621095</v>
          </cell>
          <cell r="HI47">
            <v>642336.82595800317</v>
          </cell>
          <cell r="HJ47">
            <v>489363.82698050921</v>
          </cell>
        </row>
        <row r="48">
          <cell r="EQ48">
            <v>29353021.944575138</v>
          </cell>
          <cell r="ER48">
            <v>27017526.482005209</v>
          </cell>
          <cell r="ES48">
            <v>23584203.861898664</v>
          </cell>
          <cell r="ET48">
            <v>18504684.37281194</v>
          </cell>
          <cell r="EU48">
            <v>11025577.220417537</v>
          </cell>
          <cell r="HF48">
            <v>663246.08763087436</v>
          </cell>
          <cell r="HG48">
            <v>792968.23573187471</v>
          </cell>
          <cell r="HH48">
            <v>859366.5871539556</v>
          </cell>
          <cell r="HI48">
            <v>820123.33472850593</v>
          </cell>
          <cell r="HJ48">
            <v>621454.26979850233</v>
          </cell>
        </row>
        <row r="49">
          <cell r="EQ49">
            <v>32945156.419311952</v>
          </cell>
          <cell r="ER49">
            <v>30281327.532095935</v>
          </cell>
          <cell r="ES49">
            <v>26294197.45697704</v>
          </cell>
          <cell r="ET49">
            <v>20626604.465038642</v>
          </cell>
          <cell r="EU49">
            <v>12198062.041596957</v>
          </cell>
          <cell r="HF49">
            <v>929849.81817774731</v>
          </cell>
          <cell r="HG49">
            <v>1051652.6030572949</v>
          </cell>
          <cell r="HH49">
            <v>1078557.2455794122</v>
          </cell>
          <cell r="HI49">
            <v>1073083.7160934946</v>
          </cell>
          <cell r="HJ49">
            <v>804649.69419629849</v>
          </cell>
        </row>
        <row r="50">
          <cell r="EQ50">
            <v>36921928.441969037</v>
          </cell>
          <cell r="ER50">
            <v>33836826.138254672</v>
          </cell>
          <cell r="ES50">
            <v>29343450.412374996</v>
          </cell>
          <cell r="ET50">
            <v>22891446.425251856</v>
          </cell>
          <cell r="EU50">
            <v>13480157.513598124</v>
          </cell>
          <cell r="HF50">
            <v>1239366.9251108854</v>
          </cell>
          <cell r="HG50">
            <v>1339229.6962024868</v>
          </cell>
          <cell r="HH50">
            <v>1419307.2901427364</v>
          </cell>
          <cell r="HI50">
            <v>1343082.2368133576</v>
          </cell>
          <cell r="HJ50">
            <v>1032390.337249137</v>
          </cell>
        </row>
        <row r="51">
          <cell r="EQ51">
            <v>41306099.839156024</v>
          </cell>
          <cell r="ER51">
            <v>37704985.495746255</v>
          </cell>
          <cell r="ES51">
            <v>32659468.438791431</v>
          </cell>
          <cell r="ET51">
            <v>25342804.743662134</v>
          </cell>
          <cell r="EU51">
            <v>14856700.530008314</v>
          </cell>
          <cell r="HF51">
            <v>1593969.0234127743</v>
          </cell>
          <cell r="HG51">
            <v>1723173.2033257678</v>
          </cell>
          <cell r="HH51">
            <v>1814619.624310436</v>
          </cell>
          <cell r="HI51">
            <v>1777459.7688705041</v>
          </cell>
          <cell r="HJ51">
            <v>1346482.6047237511</v>
          </cell>
        </row>
        <row r="52">
          <cell r="EQ52">
            <v>46075033.781873249</v>
          </cell>
          <cell r="ER52">
            <v>42037209.986055799</v>
          </cell>
          <cell r="ES52">
            <v>36215505.544109955</v>
          </cell>
          <cell r="ET52">
            <v>27966254.185803056</v>
          </cell>
          <cell r="EU52">
            <v>16479256.378123285</v>
          </cell>
          <cell r="HF52">
            <v>2028054.0006336151</v>
          </cell>
          <cell r="HG52">
            <v>2239630.5210362803</v>
          </cell>
          <cell r="HH52">
            <v>2346683.4531258396</v>
          </cell>
          <cell r="HI52">
            <v>2243467.235566589</v>
          </cell>
          <cell r="HJ52">
            <v>1985363.9699190212</v>
          </cell>
        </row>
        <row r="53">
          <cell r="EQ53">
            <v>51407364.86984545</v>
          </cell>
          <cell r="ER53">
            <v>46735775.652747862</v>
          </cell>
          <cell r="ES53">
            <v>40118400.3155609</v>
          </cell>
          <cell r="ET53">
            <v>31000150.134596262</v>
          </cell>
          <cell r="EU53">
            <v>18251327.547298133</v>
          </cell>
          <cell r="HF53">
            <v>2663736.9891303014</v>
          </cell>
          <cell r="HG53">
            <v>2853304.3171254639</v>
          </cell>
          <cell r="HH53">
            <v>3039960.8138440992</v>
          </cell>
          <cell r="HI53">
            <v>3199622.6575632333</v>
          </cell>
          <cell r="HJ53">
            <v>2683116.9927816177</v>
          </cell>
        </row>
        <row r="54">
          <cell r="EQ54">
            <v>57122415.823391303</v>
          </cell>
          <cell r="ER54">
            <v>51708161.292546317</v>
          </cell>
          <cell r="ES54">
            <v>44299358.962025292</v>
          </cell>
          <cell r="ET54">
            <v>34319966.518666178</v>
          </cell>
          <cell r="EU54">
            <v>20156035.711721614</v>
          </cell>
          <cell r="HF54">
            <v>3345045.146786809</v>
          </cell>
          <cell r="HG54">
            <v>3736557.0294580832</v>
          </cell>
          <cell r="HH54">
            <v>3932842.9043963966</v>
          </cell>
          <cell r="HI54">
            <v>4506800.3587907627</v>
          </cell>
          <cell r="HJ54">
            <v>3431464.7215854954</v>
          </cell>
        </row>
        <row r="55">
          <cell r="EQ55">
            <v>63579524.087567225</v>
          </cell>
          <cell r="ER55">
            <v>57362983.253094748</v>
          </cell>
          <cell r="ES55">
            <v>49338714.156729095</v>
          </cell>
          <cell r="ET55">
            <v>38102192.225003675</v>
          </cell>
          <cell r="EU55">
            <v>22258760.615540531</v>
          </cell>
          <cell r="HF55">
            <v>4483174.6206441652</v>
          </cell>
          <cell r="HG55">
            <v>4741031.982976554</v>
          </cell>
          <cell r="HH55">
            <v>5917089.012311019</v>
          </cell>
          <cell r="HI55">
            <v>5994762.6152125942</v>
          </cell>
          <cell r="HJ55">
            <v>4257535.2195143551</v>
          </cell>
        </row>
        <row r="56">
          <cell r="EQ56">
            <v>70509108.696021944</v>
          </cell>
          <cell r="ER56">
            <v>63810963.476819739</v>
          </cell>
          <cell r="ES56">
            <v>54795711.843997106</v>
          </cell>
          <cell r="ET56">
            <v>42134581.151442833</v>
          </cell>
          <cell r="EU56">
            <v>24570220.634458348</v>
          </cell>
          <cell r="HF56">
            <v>5714087.6760933567</v>
          </cell>
          <cell r="HG56">
            <v>7112193.9531296808</v>
          </cell>
          <cell r="HH56">
            <v>8065781.8516728003</v>
          </cell>
          <cell r="HI56">
            <v>7578915.4077422647</v>
          </cell>
          <cell r="HJ56">
            <v>5169517.6092859395</v>
          </cell>
        </row>
        <row r="57">
          <cell r="EQ57">
            <v>78213011.231047392</v>
          </cell>
          <cell r="ER57">
            <v>70776739.671646014</v>
          </cell>
          <cell r="ES57">
            <v>60514902.525144652</v>
          </cell>
          <cell r="ET57">
            <v>46341535.259713337</v>
          </cell>
          <cell r="EU57">
            <v>26935877.739690252</v>
          </cell>
          <cell r="HF57">
            <v>8279657.0273898039</v>
          </cell>
          <cell r="HG57">
            <v>9854968.3298425265</v>
          </cell>
          <cell r="HH57">
            <v>10312778.067962848</v>
          </cell>
          <cell r="HI57">
            <v>9232539.9965600092</v>
          </cell>
          <cell r="HJ57">
            <v>6104735.9679054795</v>
          </cell>
        </row>
        <row r="58">
          <cell r="EQ58">
            <v>86591961.168462932</v>
          </cell>
          <cell r="ER58">
            <v>78154489.306395248</v>
          </cell>
          <cell r="ES58">
            <v>66578015.444545723</v>
          </cell>
          <cell r="ET58">
            <v>50992863.332740545</v>
          </cell>
          <cell r="EU58">
            <v>29522481.595187228</v>
          </cell>
          <cell r="HF58">
            <v>11578868.565247171</v>
          </cell>
          <cell r="HG58">
            <v>12755637.85257758</v>
          </cell>
          <cell r="HH58">
            <v>12694715.286298983</v>
          </cell>
          <cell r="HI58">
            <v>11071355.688080555</v>
          </cell>
          <cell r="HJ58">
            <v>7129057.9359203912</v>
          </cell>
        </row>
        <row r="59">
          <cell r="EQ59">
            <v>95768614.357742593</v>
          </cell>
          <cell r="ER59">
            <v>86116401.728869215</v>
          </cell>
          <cell r="ES59">
            <v>73322150.714647621</v>
          </cell>
          <cell r="ET59">
            <v>55974283.734787554</v>
          </cell>
          <cell r="EU59">
            <v>32394920.293863442</v>
          </cell>
          <cell r="HF59">
            <v>15188494.814730335</v>
          </cell>
          <cell r="HG59">
            <v>15883532.018549498</v>
          </cell>
          <cell r="HH59">
            <v>15354962.184723869</v>
          </cell>
          <cell r="HI59">
            <v>13040667.217504261</v>
          </cell>
          <cell r="HJ59">
            <v>8271037.504520176</v>
          </cell>
        </row>
        <row r="60">
          <cell r="EQ60">
            <v>105874744.66793996</v>
          </cell>
          <cell r="ER60">
            <v>95087273.55607678</v>
          </cell>
          <cell r="ES60">
            <v>80749363.211318165</v>
          </cell>
          <cell r="ET60">
            <v>61539701.017403007</v>
          </cell>
          <cell r="EU60">
            <v>35552240.71081797</v>
          </cell>
          <cell r="HF60">
            <v>19158760.293736443</v>
          </cell>
          <cell r="HG60">
            <v>19415536.765892088</v>
          </cell>
          <cell r="HH60">
            <v>18291171.944326308</v>
          </cell>
          <cell r="HI60">
            <v>15249934.993617896</v>
          </cell>
          <cell r="HJ60">
            <v>9526731.1402013917</v>
          </cell>
        </row>
        <row r="61">
          <cell r="EQ61">
            <v>116800904.57259454</v>
          </cell>
          <cell r="ER61">
            <v>104724350.71377812</v>
          </cell>
          <cell r="ES61">
            <v>88824302.149805725</v>
          </cell>
          <cell r="ET61">
            <v>67675223.850467414</v>
          </cell>
          <cell r="EU61">
            <v>39061839.499056652</v>
          </cell>
          <cell r="HF61">
            <v>23455755.015675917</v>
          </cell>
          <cell r="HG61">
            <v>23225375.250676129</v>
          </cell>
          <cell r="HH61">
            <v>21489291.169620376</v>
          </cell>
          <cell r="HI61">
            <v>17689200.876390636</v>
          </cell>
          <cell r="HJ61">
            <v>10929132.29533775</v>
          </cell>
        </row>
        <row r="62">
          <cell r="EQ62">
            <v>129036311.64313278</v>
          </cell>
          <cell r="ER62">
            <v>115395263.42884479</v>
          </cell>
          <cell r="ES62">
            <v>97877275.291765884</v>
          </cell>
          <cell r="ET62">
            <v>74395492.443572611</v>
          </cell>
          <cell r="EU62">
            <v>42931177.514728338</v>
          </cell>
          <cell r="HF62">
            <v>28292794.708471529</v>
          </cell>
          <cell r="HG62">
            <v>27444929.4956108</v>
          </cell>
          <cell r="HH62">
            <v>25088431.637949809</v>
          </cell>
          <cell r="HI62">
            <v>20368517.914168458</v>
          </cell>
          <cell r="HJ62">
            <v>12475281.707337707</v>
          </cell>
        </row>
        <row r="63">
          <cell r="EQ63">
            <v>142149896.24466434</v>
          </cell>
          <cell r="ER63">
            <v>127132288.96373147</v>
          </cell>
          <cell r="ES63">
            <v>107565474.33454247</v>
          </cell>
          <cell r="ET63">
            <v>81825436.555828318</v>
          </cell>
          <cell r="EU63">
            <v>47912095.690121427</v>
          </cell>
          <cell r="HF63">
            <v>33477005.48844447</v>
          </cell>
          <cell r="HG63">
            <v>32111153.830755576</v>
          </cell>
          <cell r="HH63">
            <v>28943321.862012513</v>
          </cell>
          <cell r="HI63">
            <v>23337450.500008345</v>
          </cell>
          <cell r="HJ63">
            <v>14677873.358971745</v>
          </cell>
        </row>
        <row r="64">
          <cell r="EQ64">
            <v>156846025.30234954</v>
          </cell>
          <cell r="ER64">
            <v>140021325.59903875</v>
          </cell>
          <cell r="ES64">
            <v>118563213.58682859</v>
          </cell>
          <cell r="ET64">
            <v>90571160.743296519</v>
          </cell>
          <cell r="EU64">
            <v>53176834.654674232</v>
          </cell>
          <cell r="HF64">
            <v>39316247.857366592</v>
          </cell>
          <cell r="HG64">
            <v>37235376.848374166</v>
          </cell>
          <cell r="HH64">
            <v>33337910.2927416</v>
          </cell>
          <cell r="HI64">
            <v>27012684.749766812</v>
          </cell>
          <cell r="HJ64">
            <v>17026157.710001603</v>
          </cell>
        </row>
        <row r="65">
          <cell r="EQ65">
            <v>172680904.87434641</v>
          </cell>
          <cell r="ER65">
            <v>154281089.01688927</v>
          </cell>
          <cell r="ES65">
            <v>130551594.50510158</v>
          </cell>
          <cell r="ET65">
            <v>100962048.79473829</v>
          </cell>
          <cell r="EU65">
            <v>60013040.072743684</v>
          </cell>
          <cell r="HF65">
            <v>45611633.360560194</v>
          </cell>
          <cell r="HG65">
            <v>42930827.43755842</v>
          </cell>
          <cell r="HH65">
            <v>38152719.346108325</v>
          </cell>
          <cell r="HI65">
            <v>31647436.817968644</v>
          </cell>
          <cell r="HJ65">
            <v>20291529.465755634</v>
          </cell>
        </row>
        <row r="66">
          <cell r="EQ66">
            <v>190286263.15274191</v>
          </cell>
          <cell r="ER66">
            <v>169888595.34684372</v>
          </cell>
          <cell r="ES66">
            <v>145527095.80250493</v>
          </cell>
          <cell r="ET66">
            <v>112790875.64975241</v>
          </cell>
          <cell r="EU66">
            <v>67275040.603157416</v>
          </cell>
          <cell r="HF66">
            <v>52638546.319320783</v>
          </cell>
          <cell r="HG66">
            <v>49167433.450552508</v>
          </cell>
          <cell r="HH66">
            <v>44832392.466142461</v>
          </cell>
          <cell r="HI66">
            <v>37083028.756699488</v>
          </cell>
          <cell r="HJ66">
            <v>23804522.222343281</v>
          </cell>
        </row>
        <row r="67">
          <cell r="EQ67">
            <v>209361784.76428914</v>
          </cell>
          <cell r="ER67">
            <v>188847771.48525307</v>
          </cell>
          <cell r="ES67">
            <v>161749947.87723804</v>
          </cell>
          <cell r="ET67">
            <v>126801895.78022888</v>
          </cell>
          <cell r="EU67">
            <v>75118362.161543727</v>
          </cell>
          <cell r="HF67">
            <v>60260937.127213627</v>
          </cell>
          <cell r="HG67">
            <v>57462308.685184851</v>
          </cell>
          <cell r="HH67">
            <v>52068433.970320642</v>
          </cell>
          <cell r="HI67">
            <v>43860859.744817473</v>
          </cell>
          <cell r="HJ67">
            <v>27595934.506968807</v>
          </cell>
        </row>
        <row r="68">
          <cell r="EQ68">
            <v>232127538.36894736</v>
          </cell>
          <cell r="ER68">
            <v>209694087.53132585</v>
          </cell>
          <cell r="ES68">
            <v>182021259.84611803</v>
          </cell>
          <cell r="ET68">
            <v>141770668.14809862</v>
          </cell>
          <cell r="EU68">
            <v>83090815.115234286</v>
          </cell>
          <cell r="HF68">
            <v>70073977.942073122</v>
          </cell>
          <cell r="HG68">
            <v>66760600.220095471</v>
          </cell>
          <cell r="HH68">
            <v>61833448.442257255</v>
          </cell>
          <cell r="HI68">
            <v>51100278.619104102</v>
          </cell>
          <cell r="HJ68">
            <v>31448969.645685606</v>
          </cell>
        </row>
        <row r="69">
          <cell r="EQ69">
            <v>257923554.06565124</v>
          </cell>
          <cell r="ER69">
            <v>234779848.83411795</v>
          </cell>
          <cell r="ES69">
            <v>203623975.62849244</v>
          </cell>
          <cell r="ET69">
            <v>157376661.70207989</v>
          </cell>
          <cell r="EU69">
            <v>92293254.329174921</v>
          </cell>
          <cell r="HF69">
            <v>81580033.681464523</v>
          </cell>
          <cell r="HG69">
            <v>78615637.195768073</v>
          </cell>
          <cell r="HH69">
            <v>72283762.201980874</v>
          </cell>
          <cell r="HI69">
            <v>58642554.740061648</v>
          </cell>
          <cell r="HJ69">
            <v>35894185.443073899</v>
          </cell>
        </row>
        <row r="70">
          <cell r="EQ70">
            <v>287843590.31200683</v>
          </cell>
          <cell r="ER70">
            <v>262966403.51642358</v>
          </cell>
          <cell r="ES70">
            <v>226644118.68552828</v>
          </cell>
          <cell r="ET70">
            <v>174107948.72267991</v>
          </cell>
          <cell r="EU70">
            <v>102121021.89947942</v>
          </cell>
          <cell r="HF70">
            <v>95545443.466262713</v>
          </cell>
          <cell r="HG70">
            <v>92250883.023333415</v>
          </cell>
          <cell r="HH70">
            <v>83410784.477187246</v>
          </cell>
          <cell r="HI70">
            <v>66728518.314471565</v>
          </cell>
          <cell r="HJ70">
            <v>40639785.536953807</v>
          </cell>
        </row>
        <row r="71">
          <cell r="EQ71">
            <v>322229248.32915974</v>
          </cell>
          <cell r="ER71">
            <v>293058620.28860283</v>
          </cell>
          <cell r="ES71">
            <v>250576715.51355311</v>
          </cell>
          <cell r="ET71">
            <v>193215779.14104813</v>
          </cell>
          <cell r="EU71">
            <v>112689926.50717436</v>
          </cell>
          <cell r="HF71">
            <v>112179505.53206041</v>
          </cell>
          <cell r="HG71">
            <v>106800199.26317748</v>
          </cell>
          <cell r="HH71">
            <v>94977254.304573953</v>
          </cell>
          <cell r="HI71">
            <v>75955244.646628827</v>
          </cell>
          <cell r="HJ71">
            <v>45741665.648688793</v>
          </cell>
        </row>
        <row r="72">
          <cell r="EQ72">
            <v>359752773.31279099</v>
          </cell>
          <cell r="ER72">
            <v>325301725.28370613</v>
          </cell>
          <cell r="ES72">
            <v>278598615.92984247</v>
          </cell>
          <cell r="ET72">
            <v>214016935.74960163</v>
          </cell>
          <cell r="EU72">
            <v>124276165.69175695</v>
          </cell>
          <cell r="HF72">
            <v>130324767.77894224</v>
          </cell>
          <cell r="HG72">
            <v>122383084.13551264</v>
          </cell>
          <cell r="HH72">
            <v>108512550.38698474</v>
          </cell>
          <cell r="HI72">
            <v>85999638.762402937</v>
          </cell>
          <cell r="HJ72">
            <v>51331962.673197463</v>
          </cell>
        </row>
        <row r="73">
          <cell r="EQ73">
            <v>401127712.68057543</v>
          </cell>
          <cell r="ER73">
            <v>361927809.31246036</v>
          </cell>
          <cell r="ES73">
            <v>309942609.04834527</v>
          </cell>
          <cell r="ET73">
            <v>237000585.5292795</v>
          </cell>
          <cell r="EU73">
            <v>137222367.48039863</v>
          </cell>
          <cell r="HF73">
            <v>150321009.35883808</v>
          </cell>
          <cell r="HG73">
            <v>140078199.55107045</v>
          </cell>
          <cell r="HH73">
            <v>123647834.73530285</v>
          </cell>
          <cell r="HI73">
            <v>97090271.165084898</v>
          </cell>
          <cell r="HJ73">
            <v>57577541.674007177</v>
          </cell>
        </row>
        <row r="74">
          <cell r="EQ74">
            <v>445978325.97044748</v>
          </cell>
          <cell r="ER74">
            <v>402616695.22679245</v>
          </cell>
          <cell r="ES74">
            <v>343367318.61770463</v>
          </cell>
          <cell r="ET74">
            <v>261677328.13113099</v>
          </cell>
          <cell r="EU74">
            <v>151626072.14939815</v>
          </cell>
          <cell r="HF74">
            <v>171992158.92689273</v>
          </cell>
          <cell r="HG74">
            <v>159725915.0097034</v>
          </cell>
          <cell r="HH74">
            <v>139781030.58000085</v>
          </cell>
          <cell r="HI74">
            <v>108996664.47735679</v>
          </cell>
          <cell r="HJ74">
            <v>64522184.996560514</v>
          </cell>
        </row>
        <row r="75">
          <cell r="EQ75">
            <v>495660827.77943468</v>
          </cell>
          <cell r="ER75">
            <v>446258318.58782578</v>
          </cell>
          <cell r="ES75">
            <v>378823617.96284711</v>
          </cell>
          <cell r="ET75">
            <v>288632149.60398602</v>
          </cell>
          <cell r="EU75">
            <v>166839457.08395875</v>
          </cell>
          <cell r="HF75">
            <v>195982682.06068447</v>
          </cell>
          <cell r="HG75">
            <v>180794767.77919239</v>
          </cell>
          <cell r="HH75">
            <v>156888501.05178183</v>
          </cell>
          <cell r="HI75">
            <v>121995443.97955179</v>
          </cell>
          <cell r="HJ75">
            <v>71857027.606655136</v>
          </cell>
        </row>
        <row r="76">
          <cell r="EQ76">
            <v>549185242.61003768</v>
          </cell>
          <cell r="ER76">
            <v>492767465.46759325</v>
          </cell>
          <cell r="ES76">
            <v>417600137.51435608</v>
          </cell>
          <cell r="ET76">
            <v>318069496.29986471</v>
          </cell>
          <cell r="EU76">
            <v>183836641.50446174</v>
          </cell>
          <cell r="HF76">
            <v>221825838.13699669</v>
          </cell>
          <cell r="HG76">
            <v>203235176.72227496</v>
          </cell>
          <cell r="HH76">
            <v>175593195.5037238</v>
          </cell>
          <cell r="HI76">
            <v>136188450.42220756</v>
          </cell>
          <cell r="HJ76">
            <v>80046580.100170225</v>
          </cell>
        </row>
        <row r="77">
          <cell r="EQ77">
            <v>608731099.00673902</v>
          </cell>
          <cell r="ER77">
            <v>544308301.93757415</v>
          </cell>
          <cell r="ES77">
            <v>462136257.42988515</v>
          </cell>
          <cell r="ET77">
            <v>351219242.51393342</v>
          </cell>
          <cell r="EU77">
            <v>202608750.32871535</v>
          </cell>
          <cell r="HF77">
            <v>250556388.10520819</v>
          </cell>
          <cell r="HG77">
            <v>228101389.27516177</v>
          </cell>
          <cell r="HH77">
            <v>197065967.60585389</v>
          </cell>
          <cell r="HI77">
            <v>152165304.32548162</v>
          </cell>
          <cell r="HJ77">
            <v>89091323.442765146</v>
          </cell>
        </row>
        <row r="78">
          <cell r="EQ78">
            <v>672550767.6967206</v>
          </cell>
          <cell r="ER78">
            <v>602373143.96784925</v>
          </cell>
          <cell r="ES78">
            <v>510159668.99023944</v>
          </cell>
          <cell r="ET78">
            <v>387395826.17389411</v>
          </cell>
          <cell r="EU78">
            <v>223850730.62503386</v>
          </cell>
          <cell r="HF78">
            <v>281349029.12521023</v>
          </cell>
          <cell r="HG78">
            <v>256096938.11118722</v>
          </cell>
          <cell r="HH78">
            <v>220216435.36663142</v>
          </cell>
          <cell r="HI78">
            <v>169595840.08891723</v>
          </cell>
          <cell r="HJ78">
            <v>99283833.347601071</v>
          </cell>
        </row>
        <row r="79">
          <cell r="EQ79">
            <v>743758550.59125352</v>
          </cell>
          <cell r="ER79">
            <v>663907614.76447153</v>
          </cell>
          <cell r="ES79">
            <v>562253988.53765106</v>
          </cell>
          <cell r="ET79">
            <v>427055985.18568367</v>
          </cell>
          <cell r="EU79">
            <v>247087202.93443459</v>
          </cell>
          <cell r="HF79">
            <v>315681659.37200069</v>
          </cell>
          <cell r="HG79">
            <v>285765343.6738444</v>
          </cell>
          <cell r="HH79">
            <v>245316425.69402063</v>
          </cell>
          <cell r="HI79">
            <v>188665040.09455281</v>
          </cell>
          <cell r="HJ79">
            <v>110429234.30995896</v>
          </cell>
        </row>
        <row r="80">
          <cell r="EQ80">
            <v>820115979.60163307</v>
          </cell>
          <cell r="ER80">
            <v>733143080.64047718</v>
          </cell>
          <cell r="ES80">
            <v>619629381.21251345</v>
          </cell>
          <cell r="ET80">
            <v>470941837.54778486</v>
          </cell>
          <cell r="EU80">
            <v>270902706.55702275</v>
          </cell>
          <cell r="HF80">
            <v>352496848.35914809</v>
          </cell>
          <cell r="HG80">
            <v>319124641.08249366</v>
          </cell>
          <cell r="HH80">
            <v>272946663.53313166</v>
          </cell>
          <cell r="HI80">
            <v>209714940.21009552</v>
          </cell>
          <cell r="HJ80">
            <v>123449095.24891067</v>
          </cell>
        </row>
        <row r="81">
          <cell r="EQ81">
            <v>904770456.13295197</v>
          </cell>
          <cell r="ER81">
            <v>806809538.95010495</v>
          </cell>
          <cell r="ES81">
            <v>683239758.54144382</v>
          </cell>
          <cell r="ET81">
            <v>517658592.90934998</v>
          </cell>
          <cell r="EU81">
            <v>296366762.50301671</v>
          </cell>
          <cell r="HF81">
            <v>393288574.83143383</v>
          </cell>
          <cell r="HG81">
            <v>354618480.08622336</v>
          </cell>
          <cell r="HH81">
            <v>303457454.9845081</v>
          </cell>
          <cell r="HI81">
            <v>233442071.41727173</v>
          </cell>
          <cell r="HJ81">
            <v>137639260.50373137</v>
          </cell>
        </row>
        <row r="82">
          <cell r="EQ82">
            <v>995983204.62566793</v>
          </cell>
          <cell r="ER82">
            <v>889794981.3967644</v>
          </cell>
          <cell r="ES82">
            <v>751639857.14027643</v>
          </cell>
          <cell r="ET82">
            <v>566817426.74995816</v>
          </cell>
          <cell r="EU82">
            <v>324734103.39999866</v>
          </cell>
          <cell r="HF82">
            <v>437236535.46883333</v>
          </cell>
          <cell r="HG82">
            <v>394445477.91931063</v>
          </cell>
          <cell r="HH82">
            <v>336316228.83362323</v>
          </cell>
          <cell r="HI82">
            <v>260836449.49325314</v>
          </cell>
          <cell r="HJ82">
            <v>154910373.07542774</v>
          </cell>
        </row>
        <row r="83">
          <cell r="EQ83">
            <v>1096797227.9174128</v>
          </cell>
          <cell r="ER83">
            <v>978996489.5339303</v>
          </cell>
          <cell r="ES83">
            <v>823404183.79044771</v>
          </cell>
          <cell r="ET83">
            <v>619486161.80193424</v>
          </cell>
          <cell r="EU83">
            <v>354656634.82096714</v>
          </cell>
          <cell r="HF83">
            <v>485647916.27498263</v>
          </cell>
          <cell r="HG83">
            <v>437231085.01998609</v>
          </cell>
          <cell r="HH83">
            <v>376307801.92498964</v>
          </cell>
          <cell r="HI83">
            <v>290799878.89401978</v>
          </cell>
          <cell r="HJ83">
            <v>173893484.40700987</v>
          </cell>
        </row>
        <row r="84">
          <cell r="EQ84">
            <v>1206018201.6962893</v>
          </cell>
          <cell r="ER84">
            <v>1072577736.2477082</v>
          </cell>
          <cell r="ES84">
            <v>899730011.16140151</v>
          </cell>
          <cell r="ET84">
            <v>678498444.13220346</v>
          </cell>
          <cell r="EU84">
            <v>387868309.40669435</v>
          </cell>
          <cell r="HF84">
            <v>538035883.34915304</v>
          </cell>
          <cell r="HG84">
            <v>487648052.91998243</v>
          </cell>
          <cell r="HH84">
            <v>418841328.63031161</v>
          </cell>
          <cell r="HI84">
            <v>328237778.43687868</v>
          </cell>
          <cell r="HJ84">
            <v>194928166.80692905</v>
          </cell>
        </row>
        <row r="85">
          <cell r="EQ85">
            <v>1325985442.0913262</v>
          </cell>
          <cell r="ER85">
            <v>1176456568.9181569</v>
          </cell>
          <cell r="ES85">
            <v>987131701.83751261</v>
          </cell>
          <cell r="ET85">
            <v>743113591.78380144</v>
          </cell>
          <cell r="EU85">
            <v>423713640.66672468</v>
          </cell>
          <cell r="HF85">
            <v>601347839.1121217</v>
          </cell>
          <cell r="HG85">
            <v>545535838.16510677</v>
          </cell>
          <cell r="HH85">
            <v>472933636.50169694</v>
          </cell>
          <cell r="HI85">
            <v>369230183.93627954</v>
          </cell>
          <cell r="HJ85">
            <v>217586873.61378762</v>
          </cell>
        </row>
        <row r="86">
          <cell r="EQ86">
            <v>1456553404.713793</v>
          </cell>
          <cell r="ER86">
            <v>1292838361.8925138</v>
          </cell>
          <cell r="ES86">
            <v>1084692867.2727416</v>
          </cell>
          <cell r="ET86">
            <v>814858801.29235613</v>
          </cell>
          <cell r="EU86">
            <v>463875915.45774019</v>
          </cell>
          <cell r="HF86">
            <v>674108477.50089848</v>
          </cell>
          <cell r="HG86">
            <v>615772835.84212613</v>
          </cell>
          <cell r="HH86">
            <v>534827279.08963782</v>
          </cell>
          <cell r="HI86">
            <v>414586417.87517434</v>
          </cell>
          <cell r="HJ86">
            <v>242950735.03349888</v>
          </cell>
        </row>
        <row r="87">
          <cell r="EQ87">
            <v>1599138053.2635903</v>
          </cell>
          <cell r="ER87">
            <v>1419600231.6840398</v>
          </cell>
          <cell r="ES87">
            <v>1188288490.7208452</v>
          </cell>
          <cell r="ET87">
            <v>890886060.29277253</v>
          </cell>
          <cell r="EU87">
            <v>508498384.41840625</v>
          </cell>
          <cell r="HF87">
            <v>758988259.35081863</v>
          </cell>
          <cell r="HG87">
            <v>696191656.46255672</v>
          </cell>
          <cell r="HH87">
            <v>600387581.3798182</v>
          </cell>
          <cell r="HI87">
            <v>462645099.73035985</v>
          </cell>
          <cell r="HJ87">
            <v>271062890.47871852</v>
          </cell>
        </row>
        <row r="88">
          <cell r="EQ88">
            <v>1754986522.0995193</v>
          </cell>
          <cell r="ER88">
            <v>1553428379.9826355</v>
          </cell>
          <cell r="ES88">
            <v>1299326027.9872534</v>
          </cell>
          <cell r="ET88">
            <v>977424677.89132309</v>
          </cell>
          <cell r="EU88">
            <v>556362243.04192209</v>
          </cell>
          <cell r="HF88">
            <v>857859868.61232185</v>
          </cell>
          <cell r="HG88">
            <v>780948560.32312918</v>
          </cell>
          <cell r="HH88">
            <v>670577112.70884299</v>
          </cell>
          <cell r="HI88">
            <v>517195363.66177863</v>
          </cell>
          <cell r="HJ88">
            <v>301187736.92380738</v>
          </cell>
        </row>
        <row r="89">
          <cell r="EQ89">
            <v>1924259534.99382</v>
          </cell>
          <cell r="ER89">
            <v>1702040698.7470121</v>
          </cell>
          <cell r="ES89">
            <v>1423776633.5902529</v>
          </cell>
          <cell r="ET89">
            <v>1072952661.1213112</v>
          </cell>
          <cell r="EU89">
            <v>602381741.72732341</v>
          </cell>
          <cell r="HF89">
            <v>965107126.94222295</v>
          </cell>
          <cell r="HG89">
            <v>874890026.07055902</v>
          </cell>
          <cell r="HH89">
            <v>749106004.04722679</v>
          </cell>
          <cell r="HI89">
            <v>577377993.09667122</v>
          </cell>
          <cell r="HJ89">
            <v>329996090.83601695</v>
          </cell>
        </row>
        <row r="90">
          <cell r="EQ90">
            <v>2110019834.9812534</v>
          </cell>
          <cell r="ER90">
            <v>1865938668.5363965</v>
          </cell>
          <cell r="ES90">
            <v>1563194175.2172742</v>
          </cell>
          <cell r="ET90">
            <v>1166631176.6835043</v>
          </cell>
          <cell r="EU90">
            <v>651203239.39071476</v>
          </cell>
          <cell r="HF90">
            <v>1082530736.2607043</v>
          </cell>
          <cell r="HG90">
            <v>978376994.35842001</v>
          </cell>
          <cell r="HH90">
            <v>836939055.27225018</v>
          </cell>
          <cell r="HI90">
            <v>636121235.21818864</v>
          </cell>
          <cell r="HJ90">
            <v>360558505.10362947</v>
          </cell>
        </row>
        <row r="91">
          <cell r="EQ91">
            <v>2310762786.0800591</v>
          </cell>
          <cell r="ER91">
            <v>2049029662.4263554</v>
          </cell>
          <cell r="ES91">
            <v>1707134465.1154325</v>
          </cell>
          <cell r="ET91">
            <v>1262993507.2023292</v>
          </cell>
          <cell r="EU91">
            <v>705801099.93883872</v>
          </cell>
          <cell r="HF91">
            <v>1209325096.7060499</v>
          </cell>
          <cell r="HG91">
            <v>1093724320.509094</v>
          </cell>
          <cell r="HH91">
            <v>927381215.64456785</v>
          </cell>
          <cell r="HI91">
            <v>696444363.47234857</v>
          </cell>
          <cell r="HJ91">
            <v>394743705.80902934</v>
          </cell>
        </row>
        <row r="92">
          <cell r="EQ92">
            <v>2531884600.6078558</v>
          </cell>
          <cell r="ER92">
            <v>2237252663.25881</v>
          </cell>
          <cell r="ES92">
            <v>1848493762.7897246</v>
          </cell>
          <cell r="ET92">
            <v>1366746744.6854692</v>
          </cell>
          <cell r="EU92">
            <v>760762317.72861648</v>
          </cell>
          <cell r="HF92">
            <v>1348631839.8585618</v>
          </cell>
          <cell r="HG92">
            <v>1212140096.2113411</v>
          </cell>
          <cell r="HH92">
            <v>1015872589.7905935</v>
          </cell>
          <cell r="HI92">
            <v>761400350.8902272</v>
          </cell>
          <cell r="HJ92">
            <v>429158673.95776862</v>
          </cell>
        </row>
        <row r="93">
          <cell r="EQ93">
            <v>2769790423.0367913</v>
          </cell>
          <cell r="ER93">
            <v>2426342622.9734335</v>
          </cell>
          <cell r="ES93">
            <v>2003204953.3420749</v>
          </cell>
          <cell r="ET93">
            <v>1474547260.9267168</v>
          </cell>
          <cell r="EU93">
            <v>819426085.57939827</v>
          </cell>
          <cell r="HF93">
            <v>1498413630.1288295</v>
          </cell>
          <cell r="HG93">
            <v>1330511018.0230637</v>
          </cell>
          <cell r="HH93">
            <v>1112723741.5972974</v>
          </cell>
          <cell r="HI93">
            <v>828901608.72353184</v>
          </cell>
          <cell r="HJ93">
            <v>465863589.48407447</v>
          </cell>
        </row>
        <row r="94">
          <cell r="EQ94">
            <v>3033529441.1152425</v>
          </cell>
          <cell r="ER94">
            <v>2652472457.0738969</v>
          </cell>
          <cell r="ES94">
            <v>2183042953.5745726</v>
          </cell>
          <cell r="ET94">
            <v>1605656171.2516217</v>
          </cell>
          <cell r="EU94">
            <v>891304765.86341667</v>
          </cell>
          <cell r="HF94">
            <v>1663515102.1201551</v>
          </cell>
          <cell r="HG94">
            <v>1472069020.1084261</v>
          </cell>
          <cell r="HH94">
            <v>1225332582.8643754</v>
          </cell>
          <cell r="HI94">
            <v>910997842.29146314</v>
          </cell>
          <cell r="HJ94">
            <v>510747109.29943436</v>
          </cell>
        </row>
        <row r="95">
          <cell r="EQ95">
            <v>3316197921.7271023</v>
          </cell>
          <cell r="ER95">
            <v>2893767416.2550159</v>
          </cell>
          <cell r="ES95">
            <v>2380386542.7726908</v>
          </cell>
          <cell r="ET95">
            <v>1750428577.4043474</v>
          </cell>
          <cell r="EU95">
            <v>965798869.78470314</v>
          </cell>
          <cell r="HF95">
            <v>1840466478.4261346</v>
          </cell>
          <cell r="HG95">
            <v>1623159141.9788957</v>
          </cell>
          <cell r="HH95">
            <v>1348902867.6893654</v>
          </cell>
          <cell r="HI95">
            <v>1001399324.0445561</v>
          </cell>
          <cell r="HJ95">
            <v>557263789.57607472</v>
          </cell>
        </row>
        <row r="96">
          <cell r="EQ96">
            <v>3628155049.2091379</v>
          </cell>
          <cell r="ER96">
            <v>3160385659.1964588</v>
          </cell>
          <cell r="ES96">
            <v>2597585553.4215975</v>
          </cell>
          <cell r="ET96">
            <v>1902845541.7634871</v>
          </cell>
          <cell r="EU96">
            <v>1050069628.6935401</v>
          </cell>
          <cell r="HF96">
            <v>2035802826.4049716</v>
          </cell>
          <cell r="HG96">
            <v>1790107013.7272758</v>
          </cell>
          <cell r="HH96">
            <v>1484579035.1595063</v>
          </cell>
          <cell r="HI96">
            <v>1096573718.0787702</v>
          </cell>
          <cell r="HJ96">
            <v>609752252.20396483</v>
          </cell>
        </row>
        <row r="97">
          <cell r="EQ97">
            <v>3962758461.0838199</v>
          </cell>
          <cell r="ER97">
            <v>3448611224.1769605</v>
          </cell>
          <cell r="ES97">
            <v>2829520134.3949089</v>
          </cell>
          <cell r="ET97">
            <v>2068673715.0802162</v>
          </cell>
          <cell r="EU97">
            <v>1139052955.5158501</v>
          </cell>
          <cell r="HF97">
            <v>2245320850.6629496</v>
          </cell>
          <cell r="HG97">
            <v>1970174492.3100202</v>
          </cell>
          <cell r="HH97">
            <v>1629406963.5500808</v>
          </cell>
          <cell r="HI97">
            <v>1199907543.8483915</v>
          </cell>
          <cell r="HJ97">
            <v>665171692.5932982</v>
          </cell>
        </row>
        <row r="98">
          <cell r="EQ98">
            <v>4331398429.5101643</v>
          </cell>
          <cell r="ER98">
            <v>3768314491.2794147</v>
          </cell>
          <cell r="ES98">
            <v>3078571828.4788613</v>
          </cell>
          <cell r="ET98">
            <v>2247429678.1114173</v>
          </cell>
          <cell r="EU98">
            <v>1245454543.250994</v>
          </cell>
          <cell r="HF98">
            <v>2475602943.9028058</v>
          </cell>
          <cell r="HG98">
            <v>2169808206.6092901</v>
          </cell>
          <cell r="HH98">
            <v>1784640694.4213252</v>
          </cell>
          <cell r="HI98">
            <v>1311238012.0520344</v>
          </cell>
          <cell r="HJ98">
            <v>731317344.58184958</v>
          </cell>
        </row>
        <row r="99">
          <cell r="EQ99">
            <v>4728329288.968585</v>
          </cell>
          <cell r="ER99">
            <v>4102864633.564105</v>
          </cell>
          <cell r="ES99">
            <v>3346625207.6354556</v>
          </cell>
          <cell r="ET99">
            <v>2450411322.6814857</v>
          </cell>
          <cell r="EU99">
            <v>1359281083.4708979</v>
          </cell>
          <cell r="HF99">
            <v>2723460222.6596475</v>
          </cell>
          <cell r="HG99">
            <v>2378338959.992053</v>
          </cell>
          <cell r="HH99">
            <v>1951586220.036397</v>
          </cell>
          <cell r="HI99">
            <v>1437474376.3220253</v>
          </cell>
          <cell r="HJ99">
            <v>802035109.9950664</v>
          </cell>
        </row>
        <row r="100">
          <cell r="EQ100">
            <v>5163642190.3928909</v>
          </cell>
          <cell r="ER100">
            <v>4470651994.0088301</v>
          </cell>
          <cell r="ES100">
            <v>3661452930.9974909</v>
          </cell>
          <cell r="ET100">
            <v>2686783970.8955469</v>
          </cell>
          <cell r="EU100">
            <v>1495561848.7559295</v>
          </cell>
          <cell r="HF100">
            <v>2994760184.9820032</v>
          </cell>
          <cell r="HG100">
            <v>2607399509.0409608</v>
          </cell>
          <cell r="HH100">
            <v>2147411769.8378816</v>
          </cell>
          <cell r="HI100">
            <v>1584327170.5316124</v>
          </cell>
          <cell r="HJ100">
            <v>886567372.60484314</v>
          </cell>
        </row>
        <row r="101">
          <cell r="EQ101">
            <v>5634037992.0675468</v>
          </cell>
          <cell r="ER101">
            <v>4892245294.4154463</v>
          </cell>
          <cell r="ES101">
            <v>4016130927.6407042</v>
          </cell>
          <cell r="ET101">
            <v>2951965302.3942337</v>
          </cell>
          <cell r="EU101">
            <v>1641683837.6791179</v>
          </cell>
          <cell r="HF101">
            <v>3287725991.2881494</v>
          </cell>
          <cell r="HG101">
            <v>2869619845.2468648</v>
          </cell>
          <cell r="HH101">
            <v>2367764908.1779203</v>
          </cell>
          <cell r="HI101">
            <v>1748863012.6987615</v>
          </cell>
          <cell r="HJ101">
            <v>977138853.34235656</v>
          </cell>
        </row>
        <row r="102">
          <cell r="EQ102">
            <v>6147698458.681529</v>
          </cell>
          <cell r="ER102">
            <v>5348365043.4719439</v>
          </cell>
          <cell r="ES102">
            <v>4392472941.2927227</v>
          </cell>
          <cell r="ET102">
            <v>3231911019.6749544</v>
          </cell>
          <cell r="EU102">
            <v>1785280944.4618824</v>
          </cell>
          <cell r="HF102">
            <v>3607149099.0551095</v>
          </cell>
          <cell r="HG102">
            <v>3152996370.1926041</v>
          </cell>
          <cell r="HH102">
            <v>2601305875.061389</v>
          </cell>
          <cell r="HI102">
            <v>1922383085.3934231</v>
          </cell>
          <cell r="HJ102">
            <v>1066005273.5801744</v>
          </cell>
        </row>
        <row r="103">
          <cell r="EQ103">
            <v>6704630816.758626</v>
          </cell>
          <cell r="ER103">
            <v>5833063214.0791426</v>
          </cell>
          <cell r="ES103">
            <v>4794249474.6233568</v>
          </cell>
          <cell r="ET103">
            <v>3510559272.319571</v>
          </cell>
          <cell r="EU103">
            <v>1933107611.5837855</v>
          </cell>
          <cell r="HF103">
            <v>3953158138.541306</v>
          </cell>
          <cell r="HG103">
            <v>3453799956.7760406</v>
          </cell>
          <cell r="HH103">
            <v>2850340916.38203</v>
          </cell>
          <cell r="HI103">
            <v>2094900495.1240201</v>
          </cell>
          <cell r="HJ103">
            <v>1157432208.26601</v>
          </cell>
        </row>
        <row r="104">
          <cell r="EQ104">
            <v>7310311286.0958557</v>
          </cell>
          <cell r="ER104">
            <v>6366386032.7557201</v>
          </cell>
          <cell r="ES104">
            <v>5213463695.4404573</v>
          </cell>
          <cell r="ET104">
            <v>3801178624.8076096</v>
          </cell>
          <cell r="EU104">
            <v>2095701920.557219</v>
          </cell>
          <cell r="HF104">
            <v>4329015814.873105</v>
          </cell>
          <cell r="HG104">
            <v>3784371951.8235064</v>
          </cell>
          <cell r="HH104">
            <v>3109958040.6459074</v>
          </cell>
          <cell r="HI104">
            <v>2274640978.1889114</v>
          </cell>
          <cell r="HJ104">
            <v>1257891402.6459939</v>
          </cell>
        </row>
        <row r="105">
          <cell r="EQ105">
            <v>7969114871.7273569</v>
          </cell>
          <cell r="ER105">
            <v>6916243618.887785</v>
          </cell>
          <cell r="ES105">
            <v>5643563004.5916023</v>
          </cell>
          <cell r="ET105">
            <v>4113119696.8795419</v>
          </cell>
          <cell r="EU105">
            <v>2273878283.9229999</v>
          </cell>
          <cell r="HF105">
            <v>4737365144.8099861</v>
          </cell>
          <cell r="HG105">
            <v>4124938586.3696909</v>
          </cell>
          <cell r="HH105">
            <v>3375963235.8638844</v>
          </cell>
          <cell r="HI105">
            <v>2467466810.0220132</v>
          </cell>
          <cell r="HJ105">
            <v>1367859626.9108119</v>
          </cell>
        </row>
        <row r="106">
          <cell r="EQ106">
            <v>8682821587.2628021</v>
          </cell>
          <cell r="ER106">
            <v>7511031840.1449919</v>
          </cell>
          <cell r="ES106">
            <v>6121096259.5315504</v>
          </cell>
          <cell r="ET106">
            <v>4476004979.2814207</v>
          </cell>
          <cell r="EU106">
            <v>2472448462.3417931</v>
          </cell>
          <cell r="HF106">
            <v>5179376557.470438</v>
          </cell>
          <cell r="HG106">
            <v>4492799574.6171198</v>
          </cell>
          <cell r="HH106">
            <v>3671215218.335885</v>
          </cell>
          <cell r="HI106">
            <v>2691435070.2544227</v>
          </cell>
          <cell r="HJ106">
            <v>1490345262.3305705</v>
          </cell>
        </row>
        <row r="107">
          <cell r="EQ107">
            <v>9461478125.1767788</v>
          </cell>
          <cell r="ER107">
            <v>8179900069.4893131</v>
          </cell>
          <cell r="ES107">
            <v>6686508238.7528791</v>
          </cell>
          <cell r="ET107">
            <v>4885171603.4416847</v>
          </cell>
          <cell r="EU107">
            <v>2696618864.3193531</v>
          </cell>
          <cell r="HF107">
            <v>5660955299.7947454</v>
          </cell>
          <cell r="HG107">
            <v>4906333568.3462772</v>
          </cell>
          <cell r="HH107">
            <v>4020180424.261549</v>
          </cell>
          <cell r="HI107">
            <v>2943901543.5159392</v>
          </cell>
          <cell r="HJ107">
            <v>1628427411.0772042</v>
          </cell>
        </row>
        <row r="108">
          <cell r="EQ108">
            <v>10301942888.523994</v>
          </cell>
          <cell r="ER108">
            <v>8923980780.8304958</v>
          </cell>
          <cell r="ES108">
            <v>7287193234.9159746</v>
          </cell>
          <cell r="ET108">
            <v>5325958322.283144</v>
          </cell>
          <cell r="EU108">
            <v>2933106758.9198389</v>
          </cell>
          <cell r="HF108">
            <v>6180482244.2713289</v>
          </cell>
          <cell r="HG108">
            <v>5365570882.3771639</v>
          </cell>
          <cell r="HH108">
            <v>4390866020.2931423</v>
          </cell>
          <cell r="HI108">
            <v>3215412754.3612485</v>
          </cell>
          <cell r="HJ108">
            <v>1774046135.4163263</v>
          </cell>
        </row>
        <row r="109">
          <cell r="EQ109">
            <v>11221529314.056612</v>
          </cell>
          <cell r="ER109">
            <v>9718402251.1760464</v>
          </cell>
          <cell r="ES109">
            <v>7936972204.5419149</v>
          </cell>
          <cell r="ET109">
            <v>5787816541.7839928</v>
          </cell>
          <cell r="EU109">
            <v>3177590167.0719819</v>
          </cell>
          <cell r="HF109">
            <v>6748039491.2797422</v>
          </cell>
          <cell r="HG109">
            <v>5855809038.2691927</v>
          </cell>
          <cell r="HH109">
            <v>4791110100.4429617</v>
          </cell>
          <cell r="HI109">
            <v>3499892648.5169349</v>
          </cell>
          <cell r="HJ109">
            <v>1924358156.7246809</v>
          </cell>
        </row>
        <row r="110">
          <cell r="EQ110">
            <v>12210666139.727957</v>
          </cell>
          <cell r="ER110">
            <v>10576964110.981956</v>
          </cell>
          <cell r="ES110">
            <v>8636511552.4462013</v>
          </cell>
          <cell r="ET110">
            <v>6270601272.6879787</v>
          </cell>
          <cell r="EU110">
            <v>3435478227.7741623</v>
          </cell>
          <cell r="HF110">
            <v>7358360000.3945885</v>
          </cell>
          <cell r="HG110">
            <v>6384657027.9595251</v>
          </cell>
          <cell r="HH110">
            <v>5222005059.9885674</v>
          </cell>
          <cell r="HI110">
            <v>3796715853.4430895</v>
          </cell>
          <cell r="HJ110">
            <v>2082911557.008244</v>
          </cell>
        </row>
        <row r="111">
          <cell r="EQ111">
            <v>13295877506.749317</v>
          </cell>
          <cell r="ER111">
            <v>11503192012.734686</v>
          </cell>
          <cell r="ES111">
            <v>9349183880.5760975</v>
          </cell>
          <cell r="ET111">
            <v>6789244511.6173429</v>
          </cell>
          <cell r="EU111">
            <v>3730879428.195694</v>
          </cell>
          <cell r="HF111">
            <v>8026817192.2480497</v>
          </cell>
          <cell r="HG111">
            <v>6955185241.2064533</v>
          </cell>
          <cell r="HH111">
            <v>5660202696.0028772</v>
          </cell>
          <cell r="HI111">
            <v>4115585400.3404026</v>
          </cell>
          <cell r="HJ111">
            <v>2264223168.7005701</v>
          </cell>
        </row>
        <row r="112">
          <cell r="EQ112">
            <v>14459314819.176104</v>
          </cell>
          <cell r="ER112">
            <v>12470987047.142439</v>
          </cell>
          <cell r="ES112">
            <v>10128017257.024925</v>
          </cell>
          <cell r="ET112">
            <v>7361762266.7822247</v>
          </cell>
          <cell r="EU112">
            <v>4051116707.5464821</v>
          </cell>
          <cell r="HF112">
            <v>8743444195.8955841</v>
          </cell>
          <cell r="HG112">
            <v>7550262178.3426085</v>
          </cell>
          <cell r="HH112">
            <v>6139040994.11586</v>
          </cell>
          <cell r="HI112">
            <v>4467076589.2655525</v>
          </cell>
          <cell r="HJ112">
            <v>2460758683.1035814</v>
          </cell>
        </row>
        <row r="113">
          <cell r="EQ113">
            <v>15739074280.289431</v>
          </cell>
          <cell r="ER113">
            <v>13559678420.711544</v>
          </cell>
          <cell r="ES113">
            <v>11038405676.088791</v>
          </cell>
          <cell r="ET113">
            <v>8027819946.7045288</v>
          </cell>
          <cell r="EU113">
            <v>4417051613.0322638</v>
          </cell>
          <cell r="HF113">
            <v>9530259271.9874802</v>
          </cell>
          <cell r="HG113">
            <v>8219605763.5739851</v>
          </cell>
          <cell r="HH113">
            <v>6698014114.6045637</v>
          </cell>
          <cell r="HI113">
            <v>4875848450.5897112</v>
          </cell>
          <cell r="HJ113">
            <v>2685031003.9188547</v>
          </cell>
        </row>
        <row r="114">
          <cell r="EQ114">
            <v>17110686509.140425</v>
          </cell>
          <cell r="ER114">
            <v>14775493840.297247</v>
          </cell>
          <cell r="ES114">
            <v>12026246009.858572</v>
          </cell>
          <cell r="ET114">
            <v>8760497292.2769756</v>
          </cell>
          <cell r="EU114">
            <v>4820621394.8816013</v>
          </cell>
          <cell r="HF114">
            <v>10373546790.46624</v>
          </cell>
          <cell r="HG114">
            <v>8966047698.9086342</v>
          </cell>
          <cell r="HH114">
            <v>7304269915.1130934</v>
          </cell>
          <cell r="HI114">
            <v>5324965414.6016741</v>
          </cell>
          <cell r="HJ114">
            <v>2932288546.3195052</v>
          </cell>
        </row>
        <row r="115">
          <cell r="EQ115">
            <v>18614945213.836815</v>
          </cell>
          <cell r="ER115">
            <v>16073810938.403717</v>
          </cell>
          <cell r="ES115">
            <v>13086784599.293959</v>
          </cell>
          <cell r="ET115">
            <v>9533106501.8111248</v>
          </cell>
          <cell r="EU115">
            <v>5220524039.2098112</v>
          </cell>
          <cell r="HF115">
            <v>11296903469.444794</v>
          </cell>
          <cell r="HG115">
            <v>9762848806.0497894</v>
          </cell>
          <cell r="HH115">
            <v>7954387301.4548283</v>
          </cell>
          <cell r="HI115">
            <v>5798324578.1894989</v>
          </cell>
          <cell r="HJ115">
            <v>3176995533.6733236</v>
          </cell>
        </row>
        <row r="116">
          <cell r="EQ116">
            <v>20231362002.503754</v>
          </cell>
          <cell r="ER116">
            <v>17486165998.835693</v>
          </cell>
          <cell r="ES116">
            <v>14238333041.013706</v>
          </cell>
          <cell r="ET116">
            <v>10334756212.592226</v>
          </cell>
          <cell r="EU116">
            <v>5647711310.6035099</v>
          </cell>
          <cell r="HF116">
            <v>12288928213.392014</v>
          </cell>
          <cell r="HG116">
            <v>10628592188.657656</v>
          </cell>
          <cell r="HH116">
            <v>8659913459.4098854</v>
          </cell>
          <cell r="HI116">
            <v>6288974049.7615051</v>
          </cell>
          <cell r="HJ116">
            <v>3438299087.9966168</v>
          </cell>
        </row>
        <row r="117">
          <cell r="EQ117">
            <v>21998141745.524616</v>
          </cell>
          <cell r="ER117">
            <v>19006400419.613255</v>
          </cell>
          <cell r="ES117">
            <v>15429301757.766722</v>
          </cell>
          <cell r="ET117">
            <v>11175480438.357838</v>
          </cell>
          <cell r="EU117">
            <v>6109902227.3308334</v>
          </cell>
          <cell r="HF117">
            <v>13371780936.436575</v>
          </cell>
          <cell r="HG117">
            <v>11560003418.28898</v>
          </cell>
          <cell r="HH117">
            <v>9388910573.3376236</v>
          </cell>
          <cell r="HI117">
            <v>6803231479.9549017</v>
          </cell>
          <cell r="HJ117">
            <v>3720773016.7176676</v>
          </cell>
        </row>
        <row r="118">
          <cell r="EQ118">
            <v>23901839171.30542</v>
          </cell>
          <cell r="ER118">
            <v>20584544914.624241</v>
          </cell>
          <cell r="ES118">
            <v>16672284384.272081</v>
          </cell>
          <cell r="ET118">
            <v>12066645256.685368</v>
          </cell>
          <cell r="EU118">
            <v>6602854905.373868</v>
          </cell>
          <cell r="HF118">
            <v>14538130767.724813</v>
          </cell>
          <cell r="HG118">
            <v>12525974845.640818</v>
          </cell>
          <cell r="HH118">
            <v>10149222970.306538</v>
          </cell>
          <cell r="HI118">
            <v>7348005852.1209517</v>
          </cell>
          <cell r="HJ118">
            <v>4021838075.1197896</v>
          </cell>
        </row>
        <row r="119">
          <cell r="EQ119">
            <v>25975949487.104904</v>
          </cell>
          <cell r="ER119">
            <v>22331828642.017799</v>
          </cell>
          <cell r="ES119">
            <v>18081900655.203663</v>
          </cell>
          <cell r="ET119">
            <v>13116716366.890898</v>
          </cell>
          <cell r="EU119">
            <v>7168536424.4012966</v>
          </cell>
          <cell r="HF119">
            <v>15807495241.589779</v>
          </cell>
          <cell r="HG119">
            <v>13594760080.953716</v>
          </cell>
          <cell r="HH119">
            <v>11010974429.765188</v>
          </cell>
          <cell r="HI119">
            <v>7989324449.6290264</v>
          </cell>
          <cell r="HJ119">
            <v>4367142621.0091591</v>
          </cell>
        </row>
        <row r="120">
          <cell r="EQ120">
            <v>28216622950.16576</v>
          </cell>
          <cell r="ER120">
            <v>24262177199.918915</v>
          </cell>
          <cell r="ES120">
            <v>19665270097.036835</v>
          </cell>
          <cell r="ET120">
            <v>14246434585.499786</v>
          </cell>
          <cell r="EU120">
            <v>7798094404.9622803</v>
          </cell>
          <cell r="HF120">
            <v>17178079009.372709</v>
          </cell>
          <cell r="HG120">
            <v>14774727734.281395</v>
          </cell>
          <cell r="HH120">
            <v>11977998719.743837</v>
          </cell>
          <cell r="HI120">
            <v>8679010760.1352959</v>
          </cell>
          <cell r="HJ120">
            <v>4751069782.9250383</v>
          </cell>
        </row>
        <row r="121">
          <cell r="EQ121">
            <v>30650394952.679886</v>
          </cell>
          <cell r="ER121">
            <v>26359646834.082947</v>
          </cell>
          <cell r="ES121">
            <v>21359614814.21484</v>
          </cell>
          <cell r="ET121">
            <v>15504787784.980635</v>
          </cell>
          <cell r="EU121">
            <v>8466508170.0391226</v>
          </cell>
          <cell r="HF121">
            <v>18665478689.34901</v>
          </cell>
          <cell r="HG121">
            <v>16055732678.636608</v>
          </cell>
          <cell r="HH121">
            <v>13012395176.562025</v>
          </cell>
          <cell r="HI121">
            <v>9446399924.4088631</v>
          </cell>
          <cell r="HJ121">
            <v>5158541439.8352079</v>
          </cell>
        </row>
        <row r="122">
          <cell r="EQ122">
            <v>33286166981.851189</v>
          </cell>
          <cell r="ER122">
            <v>28641367508.889114</v>
          </cell>
          <cell r="ES122">
            <v>23239960593.566399</v>
          </cell>
          <cell r="ET122">
            <v>16837449435.543234</v>
          </cell>
          <cell r="EU122">
            <v>9158221136.7848072</v>
          </cell>
          <cell r="HF122">
            <v>20275245499.111347</v>
          </cell>
          <cell r="HG122">
            <v>17448581162.393394</v>
          </cell>
          <cell r="HH122">
            <v>14159097848.560024</v>
          </cell>
          <cell r="HI122">
            <v>10258885085.242044</v>
          </cell>
          <cell r="HJ122">
            <v>5579776900.3534136</v>
          </cell>
        </row>
        <row r="123">
          <cell r="EQ123">
            <v>36140699464.875999</v>
          </cell>
          <cell r="ER123">
            <v>31126902320.700798</v>
          </cell>
          <cell r="ES123">
            <v>25223131832.089409</v>
          </cell>
          <cell r="ET123">
            <v>18187177294.35294</v>
          </cell>
          <cell r="EU123">
            <v>9889144018.6964684</v>
          </cell>
          <cell r="HF123">
            <v>22017454828.894089</v>
          </cell>
          <cell r="HG123">
            <v>18964349932.875275</v>
          </cell>
          <cell r="HH123">
            <v>15368205701.475775</v>
          </cell>
          <cell r="HI123">
            <v>11080834742.850519</v>
          </cell>
          <cell r="HJ123">
            <v>6024861618.4652596</v>
          </cell>
        </row>
        <row r="124">
          <cell r="EQ124">
            <v>39239527093.020889</v>
          </cell>
          <cell r="ER124">
            <v>33726660754.85677</v>
          </cell>
          <cell r="ES124">
            <v>27237694478.627254</v>
          </cell>
          <cell r="ET124">
            <v>19627121278.502815</v>
          </cell>
          <cell r="EU124">
            <v>10719898695.94836</v>
          </cell>
          <cell r="HF124">
            <v>23907231677.533268</v>
          </cell>
          <cell r="HG124">
            <v>20549291830.472412</v>
          </cell>
          <cell r="HH124">
            <v>16595022697.764847</v>
          </cell>
          <cell r="HI124">
            <v>11957723707.557175</v>
          </cell>
          <cell r="HJ124">
            <v>6530085466.0729923</v>
          </cell>
        </row>
        <row r="125">
          <cell r="EQ125">
            <v>42586136905.59063</v>
          </cell>
          <cell r="ER125">
            <v>36508669137.972023</v>
          </cell>
          <cell r="ES125">
            <v>29447181900.459641</v>
          </cell>
          <cell r="ET125">
            <v>21268513470.068794</v>
          </cell>
          <cell r="EU125">
            <v>11609237168.031849</v>
          </cell>
          <cell r="HF125">
            <v>25947140694.448635</v>
          </cell>
          <cell r="HG125">
            <v>22243463602.241318</v>
          </cell>
          <cell r="HH125">
            <v>17940543884.137135</v>
          </cell>
          <cell r="HI125">
            <v>12956004534.545301</v>
          </cell>
          <cell r="HJ125">
            <v>7070937076.0548</v>
          </cell>
        </row>
        <row r="126">
          <cell r="EQ126">
            <v>46227451259.843948</v>
          </cell>
          <cell r="ER126">
            <v>39600884447.126823</v>
          </cell>
          <cell r="ES126">
            <v>32047683878.75909</v>
          </cell>
          <cell r="ET126">
            <v>23160475186.248428</v>
          </cell>
          <cell r="EU126">
            <v>12648264774.527437</v>
          </cell>
          <cell r="HF126">
            <v>28164607769.154186</v>
          </cell>
          <cell r="HG126">
            <v>24126392631.334843</v>
          </cell>
          <cell r="HH126">
            <v>19522136120.59301</v>
          </cell>
          <cell r="HI126">
            <v>14106601941.877117</v>
          </cell>
          <cell r="HJ126">
            <v>7702077668.2213621</v>
          </cell>
        </row>
        <row r="127">
          <cell r="EQ127">
            <v>50149361154.544075</v>
          </cell>
          <cell r="ER127">
            <v>43080311540.137054</v>
          </cell>
          <cell r="ES127">
            <v>34819784011.644821</v>
          </cell>
          <cell r="ET127">
            <v>25197697712.569527</v>
          </cell>
          <cell r="EU127">
            <v>13767767125.852524</v>
          </cell>
          <cell r="HF127">
            <v>30552227734.476677</v>
          </cell>
          <cell r="HG127">
            <v>26242407854.043259</v>
          </cell>
          <cell r="HH127">
            <v>21207990119.902824</v>
          </cell>
          <cell r="HI127">
            <v>15344128638.209293</v>
          </cell>
          <cell r="HJ127">
            <v>8382020814.1181936</v>
          </cell>
        </row>
        <row r="128">
          <cell r="EQ128">
            <v>54425977202.601013</v>
          </cell>
          <cell r="ER128">
            <v>46688611991.470123</v>
          </cell>
          <cell r="ES128">
            <v>37841386912.435844</v>
          </cell>
          <cell r="ET128">
            <v>27365669362.222073</v>
          </cell>
          <cell r="EU128">
            <v>14848119902.918282</v>
          </cell>
          <cell r="HF128">
            <v>33153053795.050491</v>
          </cell>
          <cell r="HG128">
            <v>28436797470.214462</v>
          </cell>
          <cell r="HH128">
            <v>23043427276.421749</v>
          </cell>
          <cell r="HI128">
            <v>16660872155.482925</v>
          </cell>
          <cell r="HJ128">
            <v>9037463043.4776039</v>
          </cell>
        </row>
        <row r="129">
          <cell r="EQ129">
            <v>59020279710.945953</v>
          </cell>
          <cell r="ER129">
            <v>50747979826.301308</v>
          </cell>
          <cell r="ES129">
            <v>41062977518.638824</v>
          </cell>
          <cell r="ET129">
            <v>29547808728.27953</v>
          </cell>
          <cell r="EU129">
            <v>16002628533.197174</v>
          </cell>
          <cell r="HF129">
            <v>35946686672.349556</v>
          </cell>
          <cell r="HG129">
            <v>30902403630.49873</v>
          </cell>
          <cell r="HH129">
            <v>25000098871.60025</v>
          </cell>
          <cell r="HI129">
            <v>17984886814.683376</v>
          </cell>
          <cell r="HJ129">
            <v>9737795605.9891243</v>
          </cell>
        </row>
        <row r="130">
          <cell r="EQ130">
            <v>64040620253.611519</v>
          </cell>
          <cell r="ER130">
            <v>55017779457.838371</v>
          </cell>
          <cell r="ES130">
            <v>44303761685.3592</v>
          </cell>
          <cell r="ET130">
            <v>31809839174.946957</v>
          </cell>
          <cell r="EU130">
            <v>17280529960.244026</v>
          </cell>
          <cell r="HF130">
            <v>38995850560.226181</v>
          </cell>
          <cell r="HG130">
            <v>33495717517.137802</v>
          </cell>
          <cell r="HH130">
            <v>26966440779.904526</v>
          </cell>
          <cell r="HI130">
            <v>19357049427.977131</v>
          </cell>
          <cell r="HJ130">
            <v>10512396114.317135</v>
          </cell>
        </row>
        <row r="131">
          <cell r="EQ131">
            <v>69421288020.135666</v>
          </cell>
          <cell r="ER131">
            <v>59352323331.916031</v>
          </cell>
          <cell r="ES131">
            <v>47724910210.033623</v>
          </cell>
          <cell r="ET131">
            <v>34320323537.763649</v>
          </cell>
          <cell r="EU131">
            <v>18680892501.80085</v>
          </cell>
          <cell r="HF131">
            <v>42263863498.17643</v>
          </cell>
          <cell r="HG131">
            <v>36125493109.313019</v>
          </cell>
          <cell r="HH131">
            <v>29041732077.154472</v>
          </cell>
          <cell r="HI131">
            <v>20878934302.630661</v>
          </cell>
          <cell r="HJ131">
            <v>11360851065.966269</v>
          </cell>
        </row>
        <row r="132">
          <cell r="EQ132">
            <v>75311247496.695435</v>
          </cell>
          <cell r="ER132">
            <v>64338788302.096947</v>
          </cell>
          <cell r="ES132">
            <v>51841695291.533714</v>
          </cell>
          <cell r="ET132">
            <v>37347964820.51442</v>
          </cell>
          <cell r="EU132">
            <v>20301505755.31916</v>
          </cell>
          <cell r="HF132">
            <v>45836777356.682358</v>
          </cell>
          <cell r="HG132">
            <v>39150315703.837181</v>
          </cell>
          <cell r="HH132">
            <v>31537252209.495918</v>
          </cell>
          <cell r="HI132">
            <v>22713328726.88554</v>
          </cell>
          <cell r="HJ132">
            <v>12342214921.337023</v>
          </cell>
        </row>
        <row r="133">
          <cell r="EQ133">
            <v>81624727504.854507</v>
          </cell>
          <cell r="ER133">
            <v>69858867965.679245</v>
          </cell>
          <cell r="ES133">
            <v>56337893368.499428</v>
          </cell>
          <cell r="ET133">
            <v>40605582185.934761</v>
          </cell>
          <cell r="EU133">
            <v>22090560587.751381</v>
          </cell>
          <cell r="HF133">
            <v>49666576040.310379</v>
          </cell>
          <cell r="HG133">
            <v>42495967144.588676</v>
          </cell>
          <cell r="HH133">
            <v>34261419279.657494</v>
          </cell>
          <cell r="HI133">
            <v>24685985582.766991</v>
          </cell>
          <cell r="HJ133">
            <v>13424928220.503496</v>
          </cell>
        </row>
        <row r="134">
          <cell r="EQ134">
            <v>88517749674.274536</v>
          </cell>
          <cell r="ER134">
            <v>75755390724.484344</v>
          </cell>
          <cell r="ES134">
            <v>61125550218.550941</v>
          </cell>
          <cell r="ET134">
            <v>44122842423.764755</v>
          </cell>
          <cell r="EU134">
            <v>23913995988.762295</v>
          </cell>
          <cell r="HF134">
            <v>53843482259.377449</v>
          </cell>
          <cell r="HG134">
            <v>46068566227.864708</v>
          </cell>
          <cell r="HH134">
            <v>37160411104.197296</v>
          </cell>
          <cell r="HI134">
            <v>26814586879.43644</v>
          </cell>
          <cell r="HJ134">
            <v>14527927125.492104</v>
          </cell>
        </row>
        <row r="135">
          <cell r="EQ135">
            <v>95922484190.463226</v>
          </cell>
          <cell r="ER135">
            <v>82182253038.659866</v>
          </cell>
          <cell r="ES135">
            <v>66412531926.351402</v>
          </cell>
          <cell r="ET135">
            <v>47749644110.529213</v>
          </cell>
          <cell r="EU135">
            <v>25820242559.818882</v>
          </cell>
          <cell r="HF135">
            <v>58329880230.950592</v>
          </cell>
          <cell r="HG135">
            <v>49959661713.159264</v>
          </cell>
          <cell r="HH135">
            <v>40360025394.220627</v>
          </cell>
          <cell r="HI135">
            <v>29008491416.133896</v>
          </cell>
          <cell r="HJ135">
            <v>15680290871.837046</v>
          </cell>
        </row>
        <row r="136">
          <cell r="EQ136">
            <v>103986640342.51352</v>
          </cell>
          <cell r="ER136">
            <v>89127317558.968292</v>
          </cell>
          <cell r="ES136">
            <v>71750607499.961472</v>
          </cell>
          <cell r="ET136">
            <v>51456898462.982483</v>
          </cell>
          <cell r="EU136">
            <v>27840811541.778709</v>
          </cell>
          <cell r="HF136">
            <v>63211401490.958069</v>
          </cell>
          <cell r="HG136">
            <v>54162726696.631218</v>
          </cell>
          <cell r="HH136">
            <v>43588992055.025345</v>
          </cell>
          <cell r="HI136">
            <v>31249599979.481354</v>
          </cell>
          <cell r="HJ136">
            <v>16901473874.502438</v>
          </cell>
        </row>
        <row r="137">
          <cell r="EQ137">
            <v>112667566243.11263</v>
          </cell>
          <cell r="ER137">
            <v>96260912071.321182</v>
          </cell>
          <cell r="ES137">
            <v>77336228996.298935</v>
          </cell>
          <cell r="ET137">
            <v>55476359064.811699</v>
          </cell>
          <cell r="EU137">
            <v>30084524946.597683</v>
          </cell>
          <cell r="HF137">
            <v>68464987770.859543</v>
          </cell>
          <cell r="HG137">
            <v>58477399510.110245</v>
          </cell>
          <cell r="HH137">
            <v>46965610699.703918</v>
          </cell>
          <cell r="HI137">
            <v>33678993300.011616</v>
          </cell>
          <cell r="HJ137">
            <v>18256403299.019157</v>
          </cell>
        </row>
        <row r="138">
          <cell r="EQ138">
            <v>122098732622.3351</v>
          </cell>
          <cell r="ER138">
            <v>104155788519.41766</v>
          </cell>
          <cell r="ES138">
            <v>83633645695.086456</v>
          </cell>
          <cell r="ET138">
            <v>60139743413.860657</v>
          </cell>
          <cell r="EU138">
            <v>32632308270.248714</v>
          </cell>
          <cell r="HF138">
            <v>74168316625.212097</v>
          </cell>
          <cell r="HG138">
            <v>63250008436.360657</v>
          </cell>
          <cell r="HH138">
            <v>50771579554.824677</v>
          </cell>
          <cell r="HI138">
            <v>36495109056.501015</v>
          </cell>
          <cell r="HJ138">
            <v>19794813964.646111</v>
          </cell>
        </row>
        <row r="139">
          <cell r="EQ139">
            <v>132271657454.78969</v>
          </cell>
          <cell r="ER139">
            <v>112915430801.05878</v>
          </cell>
          <cell r="ES139">
            <v>90971676506.746628</v>
          </cell>
          <cell r="ET139">
            <v>65367349791.377876</v>
          </cell>
          <cell r="EU139">
            <v>35494375052.56485</v>
          </cell>
          <cell r="HF139">
            <v>80318050845.961487</v>
          </cell>
          <cell r="HG139">
            <v>68543225830.973129</v>
          </cell>
          <cell r="HH139">
            <v>55202855779.040512</v>
          </cell>
          <cell r="HI139">
            <v>39651602879.55162</v>
          </cell>
          <cell r="HJ139">
            <v>21521386860.499863</v>
          </cell>
        </row>
        <row r="140">
          <cell r="EQ140">
            <v>143298068104.53577</v>
          </cell>
          <cell r="ER140">
            <v>122491179352.18303</v>
          </cell>
          <cell r="ES140">
            <v>98623076150.763519</v>
          </cell>
          <cell r="ET140">
            <v>70966912810.118637</v>
          </cell>
          <cell r="EU140">
            <v>38473333990.950302</v>
          </cell>
          <cell r="HF140">
            <v>86979652658.523285</v>
          </cell>
          <cell r="HG140">
            <v>74325810828.60495</v>
          </cell>
          <cell r="HH140">
            <v>59822500582.753151</v>
          </cell>
          <cell r="HI140">
            <v>43029600135.422409</v>
          </cell>
          <cell r="HJ140">
            <v>23318386665.827579</v>
          </cell>
        </row>
        <row r="141">
          <cell r="EQ141">
            <v>155214761746.96042</v>
          </cell>
          <cell r="ER141">
            <v>132645701559.9705</v>
          </cell>
          <cell r="ES141">
            <v>106925658736.54257</v>
          </cell>
          <cell r="ET141">
            <v>76874762130.061707</v>
          </cell>
          <cell r="EU141">
            <v>41487188620.777557</v>
          </cell>
          <cell r="HF141">
            <v>94175883168.353119</v>
          </cell>
          <cell r="HG141">
            <v>80456038473.618668</v>
          </cell>
          <cell r="HH141">
            <v>64831123773.08725</v>
          </cell>
          <cell r="HI141">
            <v>46593438071.613586</v>
          </cell>
          <cell r="HJ141">
            <v>25134736389.403473</v>
          </cell>
        </row>
        <row r="142">
          <cell r="EQ142">
            <v>168102300553.32974</v>
          </cell>
          <cell r="ER142">
            <v>143755015546.53702</v>
          </cell>
          <cell r="ES142">
            <v>115767826903.72838</v>
          </cell>
          <cell r="ET142">
            <v>82890553696.610397</v>
          </cell>
          <cell r="EU142">
            <v>44723900206.956024</v>
          </cell>
          <cell r="HF142">
            <v>101954636515.79341</v>
          </cell>
          <cell r="HG142">
            <v>87157852889.427811</v>
          </cell>
          <cell r="HH142">
            <v>70164782489.158218</v>
          </cell>
          <cell r="HI142">
            <v>50218955122.386925</v>
          </cell>
          <cell r="HJ142">
            <v>27085394572.00703</v>
          </cell>
        </row>
        <row r="143">
          <cell r="EQ143">
            <v>182056418529.32092</v>
          </cell>
          <cell r="ER143">
            <v>155542617068.51599</v>
          </cell>
          <cell r="ES143">
            <v>124773035469.38696</v>
          </cell>
          <cell r="ET143">
            <v>89268635806.257996</v>
          </cell>
          <cell r="EU143">
            <v>48298834711.522194</v>
          </cell>
          <cell r="HF143">
            <v>110372609860.00549</v>
          </cell>
          <cell r="HG143">
            <v>94267513409.085098</v>
          </cell>
          <cell r="HH143">
            <v>75591921518.061798</v>
          </cell>
          <cell r="HI143">
            <v>54062812607.134544</v>
          </cell>
          <cell r="HJ143">
            <v>29238169893.094814</v>
          </cell>
        </row>
        <row r="144">
          <cell r="EQ144">
            <v>197114769631.76697</v>
          </cell>
          <cell r="ER144">
            <v>167954943801.4267</v>
          </cell>
          <cell r="ES144">
            <v>134516918232.61531</v>
          </cell>
          <cell r="ET144">
            <v>96545666381.399307</v>
          </cell>
          <cell r="EU144">
            <v>52225222228.520378</v>
          </cell>
          <cell r="HF144">
            <v>119453454734.4859</v>
          </cell>
          <cell r="HG144">
            <v>101748008986.78595</v>
          </cell>
          <cell r="HH144">
            <v>81464234863.367416</v>
          </cell>
          <cell r="HI144">
            <v>58445029054.30909</v>
          </cell>
          <cell r="HJ144">
            <v>31602225204.376442</v>
          </cell>
        </row>
        <row r="145">
          <cell r="EQ145">
            <v>213448742829.24243</v>
          </cell>
          <cell r="ER145">
            <v>181769466927.88382</v>
          </cell>
          <cell r="ES145">
            <v>146084995460.87457</v>
          </cell>
          <cell r="ET145">
            <v>104760696558.73787</v>
          </cell>
          <cell r="EU145">
            <v>56685945739.538239</v>
          </cell>
          <cell r="HF145">
            <v>129297395914.83112</v>
          </cell>
          <cell r="HG145">
            <v>110073227893.87889</v>
          </cell>
          <cell r="HH145">
            <v>88430093462.140045</v>
          </cell>
          <cell r="HI145">
            <v>63391251412.392509</v>
          </cell>
          <cell r="HJ145">
            <v>34286250342.422142</v>
          </cell>
        </row>
        <row r="146">
          <cell r="EQ146">
            <v>231038537659.83109</v>
          </cell>
          <cell r="ER146">
            <v>197106506459.03403</v>
          </cell>
          <cell r="ES146">
            <v>158328112802.11383</v>
          </cell>
          <cell r="ET146">
            <v>113678032131.1244</v>
          </cell>
          <cell r="EU146">
            <v>61557255654.842949</v>
          </cell>
          <cell r="HF146">
            <v>139895571307.12497</v>
          </cell>
          <cell r="HG146">
            <v>119307571067.08452</v>
          </cell>
          <cell r="HH146">
            <v>95801603903.200317</v>
          </cell>
          <cell r="HI146">
            <v>68756657272.451523</v>
          </cell>
          <cell r="HJ146">
            <v>37216549880.163277</v>
          </cell>
        </row>
        <row r="147">
          <cell r="EQ147">
            <v>250151584887.66309</v>
          </cell>
          <cell r="ER147">
            <v>213278055718.50272</v>
          </cell>
          <cell r="ES147">
            <v>171609281623.66534</v>
          </cell>
          <cell r="ET147">
            <v>123241232774.53226</v>
          </cell>
          <cell r="EU147">
            <v>66474003426.141136</v>
          </cell>
          <cell r="HF147">
            <v>151403426967.86151</v>
          </cell>
          <cell r="HG147">
            <v>129044367741.63373</v>
          </cell>
          <cell r="HH147">
            <v>103792010643.6722</v>
          </cell>
          <cell r="HI147">
            <v>74509328096.506622</v>
          </cell>
          <cell r="HJ147">
            <v>40172434103.860001</v>
          </cell>
        </row>
        <row r="148">
          <cell r="EQ148">
            <v>270692706240.0892</v>
          </cell>
          <cell r="ER148">
            <v>231287486605.1196</v>
          </cell>
          <cell r="ES148">
            <v>185932870716.25522</v>
          </cell>
          <cell r="ET148">
            <v>133096707737.18431</v>
          </cell>
          <cell r="EU148">
            <v>71669387637.843231</v>
          </cell>
          <cell r="HF148">
            <v>163769392444.55582</v>
          </cell>
          <cell r="HG148">
            <v>139878231841.12866</v>
          </cell>
          <cell r="HH148">
            <v>112408257038.70053</v>
          </cell>
          <cell r="HI148">
            <v>80434238941.575272</v>
          </cell>
          <cell r="HJ148">
            <v>43294912493.721352</v>
          </cell>
        </row>
        <row r="149">
          <cell r="EQ149">
            <v>293050151210.85095</v>
          </cell>
          <cell r="ER149">
            <v>250164180896.87918</v>
          </cell>
          <cell r="ES149">
            <v>200493966668.6431</v>
          </cell>
          <cell r="ET149">
            <v>143257789033.4538</v>
          </cell>
          <cell r="EU149">
            <v>77162310672.949921</v>
          </cell>
          <cell r="HF149">
            <v>177218343917.97037</v>
          </cell>
          <cell r="HG149">
            <v>151233364140.02774</v>
          </cell>
          <cell r="HH149">
            <v>121161558929.94435</v>
          </cell>
          <cell r="HI149">
            <v>86541151437.818024</v>
          </cell>
          <cell r="HJ149">
            <v>46594889108.535042</v>
          </cell>
        </row>
        <row r="150">
          <cell r="EQ150">
            <v>317031380406.44983</v>
          </cell>
          <cell r="ER150">
            <v>269761155583.22443</v>
          </cell>
          <cell r="ES150">
            <v>215788823691.18665</v>
          </cell>
          <cell r="ET150">
            <v>154070434629.04312</v>
          </cell>
          <cell r="EU150">
            <v>83151497089.7285</v>
          </cell>
          <cell r="HF150">
            <v>191643494912.29782</v>
          </cell>
          <cell r="HG150">
            <v>163012725726.35175</v>
          </cell>
          <cell r="HH150">
            <v>130353922493.99829</v>
          </cell>
          <cell r="HI150">
            <v>93037140039.702026</v>
          </cell>
          <cell r="HJ150">
            <v>50191373259.553436</v>
          </cell>
        </row>
        <row r="151">
          <cell r="EQ151">
            <v>343175483910.05176</v>
          </cell>
          <cell r="ER151">
            <v>291834622171.31561</v>
          </cell>
          <cell r="ES151">
            <v>233638567393.18497</v>
          </cell>
          <cell r="ET151">
            <v>167095049204.82382</v>
          </cell>
          <cell r="EU151">
            <v>89977835401.183182</v>
          </cell>
          <cell r="HF151">
            <v>207356365199.81616</v>
          </cell>
          <cell r="HG151">
            <v>176279102110.10352</v>
          </cell>
          <cell r="HH151">
            <v>141076716359.32501</v>
          </cell>
          <cell r="HI151">
            <v>100858372613.74402</v>
          </cell>
          <cell r="HJ151">
            <v>54289577336.051819</v>
          </cell>
        </row>
        <row r="152">
          <cell r="EQ152">
            <v>371196040247.01459</v>
          </cell>
          <cell r="ER152">
            <v>315880920876.03796</v>
          </cell>
          <cell r="ES152">
            <v>253016792722.92746</v>
          </cell>
          <cell r="ET152">
            <v>180868409461.68597</v>
          </cell>
          <cell r="EU152">
            <v>97430414901.381546</v>
          </cell>
          <cell r="HF152">
            <v>224197002594.25342</v>
          </cell>
          <cell r="HG152">
            <v>190722152266.85892</v>
          </cell>
          <cell r="HH152">
            <v>152713268542.44583</v>
          </cell>
          <cell r="HI152">
            <v>109126797867.69542</v>
          </cell>
          <cell r="HJ152">
            <v>58761125036.170845</v>
          </cell>
        </row>
        <row r="153">
          <cell r="EQ153">
            <v>401728258751.81848</v>
          </cell>
          <cell r="ER153">
            <v>341690995931.37488</v>
          </cell>
          <cell r="ES153">
            <v>273742884229.52185</v>
          </cell>
          <cell r="ET153">
            <v>195805054271.41461</v>
          </cell>
          <cell r="EU153">
            <v>105783030530.12982</v>
          </cell>
          <cell r="HF153">
            <v>242532367884.28989</v>
          </cell>
          <cell r="HG153">
            <v>206221006270.31186</v>
          </cell>
          <cell r="HH153">
            <v>165154358823.73886</v>
          </cell>
          <cell r="HI153">
            <v>118088784753.53259</v>
          </cell>
          <cell r="HJ153">
            <v>63771725467.467163</v>
          </cell>
        </row>
        <row r="154">
          <cell r="EQ154">
            <v>434484390794.89691</v>
          </cell>
          <cell r="ER154">
            <v>369854740151.95758</v>
          </cell>
          <cell r="ES154">
            <v>296362832113.50751</v>
          </cell>
          <cell r="ET154">
            <v>212909368128.49472</v>
          </cell>
          <cell r="EU154">
            <v>116450481740.31013</v>
          </cell>
          <cell r="HF154">
            <v>262202303255.07144</v>
          </cell>
          <cell r="HG154">
            <v>223124348472.54221</v>
          </cell>
          <cell r="HH154">
            <v>178726327554.13028</v>
          </cell>
          <cell r="HI154">
            <v>128348790903.90019</v>
          </cell>
          <cell r="HJ154">
            <v>70167079910.021317</v>
          </cell>
        </row>
        <row r="155">
          <cell r="EQ155">
            <v>470106436069.86957</v>
          </cell>
          <cell r="ER155">
            <v>399925327732.22546</v>
          </cell>
          <cell r="ES155">
            <v>322519360853.28381</v>
          </cell>
          <cell r="ET155">
            <v>233817601175.40482</v>
          </cell>
          <cell r="EU155">
            <v>122312899854.92981</v>
          </cell>
          <cell r="HF155">
            <v>283578242118.63147</v>
          </cell>
          <cell r="HG155">
            <v>241166701020.70294</v>
          </cell>
          <cell r="HH155">
            <v>194414858214.68829</v>
          </cell>
          <cell r="HI155">
            <v>140883702802.52737</v>
          </cell>
          <cell r="HJ155">
            <v>73681719067.467163</v>
          </cell>
        </row>
        <row r="156">
          <cell r="EQ156">
            <v>508386920306.89166</v>
          </cell>
          <cell r="ER156">
            <v>436217353626.42688</v>
          </cell>
          <cell r="ES156">
            <v>353179642588.33514</v>
          </cell>
          <cell r="ET156">
            <v>244625799709.85962</v>
          </cell>
          <cell r="EU156">
            <v>122312899854.92981</v>
          </cell>
          <cell r="HF156">
            <v>306546532660.84473</v>
          </cell>
          <cell r="HG156">
            <v>262931764883.00272</v>
          </cell>
          <cell r="HH156">
            <v>212796322084.62311</v>
          </cell>
          <cell r="HI156">
            <v>147363438134.93433</v>
          </cell>
          <cell r="HJ156">
            <v>73681719067.467163</v>
          </cell>
        </row>
        <row r="157">
          <cell r="EQ157">
            <v>549937384163.35474</v>
          </cell>
          <cell r="ER157">
            <v>474220717157.16272</v>
          </cell>
          <cell r="ES157">
            <v>366938699564.78943</v>
          </cell>
          <cell r="ET157">
            <v>244625799709.85962</v>
          </cell>
          <cell r="EU157">
            <v>122312899854.92981</v>
          </cell>
          <cell r="HF157">
            <v>331461883639.9173</v>
          </cell>
          <cell r="HG157">
            <v>285715555968.57574</v>
          </cell>
          <cell r="HH157">
            <v>221045157202.40146</v>
          </cell>
          <cell r="HI157">
            <v>147363438134.93433</v>
          </cell>
          <cell r="HJ157">
            <v>73681719067.467163</v>
          </cell>
        </row>
        <row r="158">
          <cell r="EQ158">
            <v>594660867349.30444</v>
          </cell>
          <cell r="ER158">
            <v>489251599419.71924</v>
          </cell>
          <cell r="ES158">
            <v>366938699564.78943</v>
          </cell>
          <cell r="ET158">
            <v>244625799709.85962</v>
          </cell>
          <cell r="EU158">
            <v>122312899854.92981</v>
          </cell>
          <cell r="HF158">
            <v>358274523439.64734</v>
          </cell>
          <cell r="HG158">
            <v>294726876269.86865</v>
          </cell>
          <cell r="HH158">
            <v>221045157202.40146</v>
          </cell>
          <cell r="HI158">
            <v>147363438134.93433</v>
          </cell>
          <cell r="HJ158">
            <v>73681719067.467163</v>
          </cell>
        </row>
        <row r="159">
          <cell r="EQ159">
            <v>611564499274.64893</v>
          </cell>
          <cell r="ER159">
            <v>489251599419.71924</v>
          </cell>
          <cell r="ES159">
            <v>366938699564.78943</v>
          </cell>
          <cell r="ET159">
            <v>244625799709.85962</v>
          </cell>
          <cell r="EU159">
            <v>122312899854.92981</v>
          </cell>
          <cell r="HF159">
            <v>368408595337.33588</v>
          </cell>
          <cell r="HG159">
            <v>294726876269.86865</v>
          </cell>
          <cell r="HH159">
            <v>221045157202.40146</v>
          </cell>
          <cell r="HI159">
            <v>147363438134.93433</v>
          </cell>
          <cell r="HJ159">
            <v>73681719067.467163</v>
          </cell>
        </row>
        <row r="160">
          <cell r="EQ160">
            <v>611564499274.64893</v>
          </cell>
          <cell r="ER160">
            <v>489251599419.71924</v>
          </cell>
          <cell r="ES160">
            <v>366938699564.78943</v>
          </cell>
          <cell r="ET160">
            <v>244625799709.85962</v>
          </cell>
          <cell r="EU160">
            <v>122312899854.92981</v>
          </cell>
          <cell r="HF160">
            <v>368408595337.33588</v>
          </cell>
          <cell r="HG160">
            <v>294726876269.86865</v>
          </cell>
          <cell r="HH160">
            <v>221045157202.40146</v>
          </cell>
          <cell r="HI160">
            <v>147363438134.93433</v>
          </cell>
          <cell r="HJ160">
            <v>73681719067.467163</v>
          </cell>
        </row>
        <row r="161">
          <cell r="EQ161">
            <v>611564499274.64893</v>
          </cell>
          <cell r="ER161">
            <v>489251599419.71924</v>
          </cell>
          <cell r="ES161">
            <v>366938699564.78943</v>
          </cell>
          <cell r="ET161">
            <v>244625799709.85962</v>
          </cell>
          <cell r="EU161">
            <v>122312899854.92981</v>
          </cell>
          <cell r="HF161">
            <v>368408595337.33588</v>
          </cell>
          <cell r="HG161">
            <v>294726876269.86865</v>
          </cell>
          <cell r="HH161">
            <v>221045157202.40146</v>
          </cell>
          <cell r="HI161">
            <v>147363438134.93433</v>
          </cell>
          <cell r="HJ161">
            <v>73681719067.467163</v>
          </cell>
        </row>
        <row r="162">
          <cell r="EQ162">
            <v>611564499274.64893</v>
          </cell>
          <cell r="ER162">
            <v>489251599419.71924</v>
          </cell>
          <cell r="ES162">
            <v>366938699564.78943</v>
          </cell>
          <cell r="ET162">
            <v>244625799709.85962</v>
          </cell>
          <cell r="EU162">
            <v>122312899854.92981</v>
          </cell>
          <cell r="HF162">
            <v>368408595337.33588</v>
          </cell>
          <cell r="HG162">
            <v>294726876269.86865</v>
          </cell>
          <cell r="HH162">
            <v>221045157202.40146</v>
          </cell>
          <cell r="HI162">
            <v>147363438134.93433</v>
          </cell>
          <cell r="HJ162">
            <v>73681719067.467163</v>
          </cell>
        </row>
        <row r="163">
          <cell r="EQ163">
            <v>611564499274.64893</v>
          </cell>
          <cell r="ER163">
            <v>489251599419.71924</v>
          </cell>
          <cell r="ES163">
            <v>366938699564.78943</v>
          </cell>
          <cell r="ET163">
            <v>244625799709.85962</v>
          </cell>
          <cell r="EU163">
            <v>122312899854.92981</v>
          </cell>
          <cell r="HF163">
            <v>368408595337.33588</v>
          </cell>
          <cell r="HG163">
            <v>294726876269.86865</v>
          </cell>
          <cell r="HH163">
            <v>221045157202.40146</v>
          </cell>
          <cell r="HI163">
            <v>147363438134.93433</v>
          </cell>
          <cell r="HJ163">
            <v>73681719067.467163</v>
          </cell>
        </row>
      </sheetData>
      <sheetData sheetId="11">
        <row r="5">
          <cell r="AJ5">
            <v>13341</v>
          </cell>
          <cell r="BE5">
            <v>22716</v>
          </cell>
          <cell r="BF5">
            <v>22782</v>
          </cell>
          <cell r="BG5">
            <v>22866</v>
          </cell>
          <cell r="BH5">
            <v>22956</v>
          </cell>
          <cell r="BI5">
            <v>23034</v>
          </cell>
        </row>
        <row r="6">
          <cell r="BE6">
            <v>27276</v>
          </cell>
          <cell r="BF6">
            <v>27450</v>
          </cell>
          <cell r="BG6">
            <v>27714</v>
          </cell>
          <cell r="BH6">
            <v>28086</v>
          </cell>
          <cell r="BI6">
            <v>28314</v>
          </cell>
        </row>
        <row r="7">
          <cell r="BE7">
            <v>31857</v>
          </cell>
          <cell r="BF7">
            <v>32166</v>
          </cell>
          <cell r="BG7">
            <v>32676</v>
          </cell>
          <cell r="BH7">
            <v>33426</v>
          </cell>
          <cell r="BI7">
            <v>33876</v>
          </cell>
        </row>
        <row r="8">
          <cell r="BE8">
            <v>42955.5</v>
          </cell>
          <cell r="BF8">
            <v>43515.5</v>
          </cell>
          <cell r="BG8">
            <v>44464</v>
          </cell>
          <cell r="BH8">
            <v>45860.5</v>
          </cell>
          <cell r="BI8">
            <v>46704</v>
          </cell>
        </row>
        <row r="9">
          <cell r="BE9">
            <v>56256</v>
          </cell>
          <cell r="BF9">
            <v>57168</v>
          </cell>
          <cell r="BG9">
            <v>58724</v>
          </cell>
          <cell r="BH9">
            <v>61028</v>
          </cell>
          <cell r="BI9">
            <v>62428</v>
          </cell>
        </row>
        <row r="10">
          <cell r="BE10">
            <v>63984</v>
          </cell>
          <cell r="BF10">
            <v>65212</v>
          </cell>
          <cell r="BG10">
            <v>67324</v>
          </cell>
          <cell r="BH10">
            <v>70456</v>
          </cell>
          <cell r="BI10">
            <v>72368</v>
          </cell>
        </row>
        <row r="11">
          <cell r="BE11">
            <v>72304</v>
          </cell>
          <cell r="BF11">
            <v>73888</v>
          </cell>
          <cell r="BG11">
            <v>76652</v>
          </cell>
          <cell r="BH11">
            <v>80644</v>
          </cell>
          <cell r="BI11">
            <v>82920</v>
          </cell>
        </row>
        <row r="12">
          <cell r="BE12">
            <v>81240</v>
          </cell>
          <cell r="BF12">
            <v>83092</v>
          </cell>
          <cell r="BG12">
            <v>86368</v>
          </cell>
          <cell r="BH12">
            <v>91236</v>
          </cell>
          <cell r="BI12">
            <v>94124</v>
          </cell>
        </row>
        <row r="13">
          <cell r="BE13">
            <v>99413.6</v>
          </cell>
          <cell r="BF13">
            <v>101864.40000000001</v>
          </cell>
          <cell r="BG13">
            <v>106304</v>
          </cell>
          <cell r="BH13">
            <v>112882.00000000001</v>
          </cell>
          <cell r="BI13">
            <v>116820</v>
          </cell>
        </row>
        <row r="14">
          <cell r="BE14">
            <v>120374.39999999999</v>
          </cell>
          <cell r="BF14">
            <v>123321.59999999999</v>
          </cell>
          <cell r="BG14">
            <v>129148.79999999999</v>
          </cell>
          <cell r="BH14">
            <v>137803.20000000001</v>
          </cell>
          <cell r="BI14">
            <v>143035.20000000001</v>
          </cell>
        </row>
        <row r="15">
          <cell r="BE15">
            <v>139575</v>
          </cell>
          <cell r="BF15">
            <v>143025</v>
          </cell>
          <cell r="BG15">
            <v>149780</v>
          </cell>
          <cell r="BH15">
            <v>160330</v>
          </cell>
          <cell r="BI15">
            <v>166520</v>
          </cell>
        </row>
        <row r="16">
          <cell r="BE16">
            <v>151335</v>
          </cell>
          <cell r="BF16">
            <v>155545</v>
          </cell>
          <cell r="BG16">
            <v>162445</v>
          </cell>
          <cell r="BH16">
            <v>174130</v>
          </cell>
          <cell r="BI16">
            <v>181420</v>
          </cell>
        </row>
        <row r="17">
          <cell r="BE17">
            <v>163705</v>
          </cell>
          <cell r="BF17">
            <v>168280</v>
          </cell>
          <cell r="BG17">
            <v>176240</v>
          </cell>
          <cell r="BH17">
            <v>188405</v>
          </cell>
          <cell r="BI17">
            <v>196955</v>
          </cell>
        </row>
        <row r="18">
          <cell r="BE18">
            <v>176570</v>
          </cell>
          <cell r="BF18">
            <v>181520</v>
          </cell>
          <cell r="BG18">
            <v>189810</v>
          </cell>
          <cell r="BH18">
            <v>203045</v>
          </cell>
          <cell r="BI18">
            <v>212530</v>
          </cell>
        </row>
        <row r="19">
          <cell r="BE19">
            <v>189960</v>
          </cell>
          <cell r="BF19">
            <v>195240</v>
          </cell>
          <cell r="BG19">
            <v>204085</v>
          </cell>
          <cell r="BH19">
            <v>218170</v>
          </cell>
          <cell r="BI19">
            <v>229965</v>
          </cell>
        </row>
        <row r="20">
          <cell r="BE20">
            <v>216112.8</v>
          </cell>
          <cell r="BF20">
            <v>222080.59999999998</v>
          </cell>
          <cell r="BG20">
            <v>231901.5</v>
          </cell>
          <cell r="BH20">
            <v>249656.5</v>
          </cell>
          <cell r="BI20">
            <v>262482.5</v>
          </cell>
        </row>
        <row r="21">
          <cell r="BE21">
            <v>244473.59999999998</v>
          </cell>
          <cell r="BF21">
            <v>251126.39999999997</v>
          </cell>
          <cell r="BG21">
            <v>263060</v>
          </cell>
          <cell r="BH21">
            <v>282436</v>
          </cell>
          <cell r="BI21">
            <v>297242.39999999997</v>
          </cell>
        </row>
        <row r="22">
          <cell r="BE22">
            <v>275299.90000000002</v>
          </cell>
          <cell r="BF22">
            <v>283831.30000000005</v>
          </cell>
          <cell r="BG22">
            <v>296427.80000000005</v>
          </cell>
          <cell r="BH22">
            <v>318216.5</v>
          </cell>
          <cell r="BI22">
            <v>335249.80000000005</v>
          </cell>
        </row>
        <row r="23">
          <cell r="BE23">
            <v>299772</v>
          </cell>
          <cell r="BF23">
            <v>308118</v>
          </cell>
          <cell r="BG23">
            <v>321666</v>
          </cell>
          <cell r="BH23">
            <v>345120</v>
          </cell>
          <cell r="BI23">
            <v>364074</v>
          </cell>
        </row>
        <row r="24">
          <cell r="BE24">
            <v>319686</v>
          </cell>
          <cell r="BF24">
            <v>327474</v>
          </cell>
          <cell r="BG24">
            <v>341910</v>
          </cell>
          <cell r="BH24">
            <v>365976</v>
          </cell>
          <cell r="BI24">
            <v>386118</v>
          </cell>
        </row>
        <row r="25">
          <cell r="BE25">
            <v>339636</v>
          </cell>
          <cell r="BF25">
            <v>348258</v>
          </cell>
          <cell r="BG25">
            <v>363978</v>
          </cell>
          <cell r="BH25">
            <v>389910</v>
          </cell>
          <cell r="BI25">
            <v>411870</v>
          </cell>
        </row>
        <row r="26">
          <cell r="BE26">
            <v>360222</v>
          </cell>
          <cell r="BF26">
            <v>369666</v>
          </cell>
          <cell r="BG26">
            <v>386538</v>
          </cell>
          <cell r="BH26">
            <v>414318</v>
          </cell>
          <cell r="BI26">
            <v>439956</v>
          </cell>
        </row>
        <row r="27">
          <cell r="BE27">
            <v>381264</v>
          </cell>
          <cell r="BF27">
            <v>391674</v>
          </cell>
          <cell r="BG27">
            <v>409326</v>
          </cell>
          <cell r="BH27">
            <v>439428</v>
          </cell>
          <cell r="BI27">
            <v>468192</v>
          </cell>
        </row>
        <row r="28">
          <cell r="BE28">
            <v>402726</v>
          </cell>
          <cell r="BF28">
            <v>414024</v>
          </cell>
          <cell r="BG28">
            <v>433044</v>
          </cell>
          <cell r="BH28">
            <v>466230</v>
          </cell>
          <cell r="BI28">
            <v>497856</v>
          </cell>
        </row>
        <row r="29">
          <cell r="BE29">
            <v>424542</v>
          </cell>
          <cell r="BF29">
            <v>436884</v>
          </cell>
          <cell r="BG29">
            <v>458004</v>
          </cell>
          <cell r="BH29">
            <v>494154</v>
          </cell>
          <cell r="BI29">
            <v>528090</v>
          </cell>
        </row>
        <row r="30">
          <cell r="BE30">
            <v>446916</v>
          </cell>
          <cell r="BF30">
            <v>460956</v>
          </cell>
          <cell r="BG30">
            <v>484098</v>
          </cell>
          <cell r="BH30">
            <v>522564</v>
          </cell>
          <cell r="BI30">
            <v>559548</v>
          </cell>
        </row>
        <row r="31">
          <cell r="BE31">
            <v>470412</v>
          </cell>
          <cell r="BF31">
            <v>486210</v>
          </cell>
          <cell r="BG31">
            <v>510864</v>
          </cell>
          <cell r="BH31">
            <v>552060</v>
          </cell>
          <cell r="BI31">
            <v>591858</v>
          </cell>
        </row>
        <row r="32">
          <cell r="BE32">
            <v>495072</v>
          </cell>
          <cell r="BF32">
            <v>513486</v>
          </cell>
          <cell r="BG32">
            <v>540870</v>
          </cell>
          <cell r="BH32">
            <v>592788</v>
          </cell>
          <cell r="BI32">
            <v>639876</v>
          </cell>
        </row>
        <row r="33">
          <cell r="BE33">
            <v>524136</v>
          </cell>
          <cell r="BF33">
            <v>546498</v>
          </cell>
          <cell r="BG33">
            <v>580824</v>
          </cell>
          <cell r="BH33">
            <v>641064</v>
          </cell>
          <cell r="BI33">
            <v>692844</v>
          </cell>
        </row>
        <row r="34">
          <cell r="BE34">
            <v>554220</v>
          </cell>
          <cell r="BF34">
            <v>580752</v>
          </cell>
          <cell r="BG34">
            <v>622410</v>
          </cell>
          <cell r="BH34">
            <v>691548</v>
          </cell>
          <cell r="BI34">
            <v>748662</v>
          </cell>
        </row>
        <row r="35">
          <cell r="BE35">
            <v>590178</v>
          </cell>
          <cell r="BF35">
            <v>621192</v>
          </cell>
          <cell r="BG35">
            <v>671202</v>
          </cell>
          <cell r="BH35">
            <v>750414</v>
          </cell>
          <cell r="BI35">
            <v>813120</v>
          </cell>
        </row>
        <row r="36">
          <cell r="BE36">
            <v>627348</v>
          </cell>
          <cell r="BF36">
            <v>663546</v>
          </cell>
          <cell r="BG36">
            <v>722352</v>
          </cell>
          <cell r="BH36">
            <v>812544</v>
          </cell>
          <cell r="BI36">
            <v>881460</v>
          </cell>
        </row>
        <row r="37">
          <cell r="BE37">
            <v>666210</v>
          </cell>
          <cell r="BF37">
            <v>707442</v>
          </cell>
          <cell r="BG37">
            <v>776112</v>
          </cell>
          <cell r="BH37">
            <v>878016</v>
          </cell>
          <cell r="BI37">
            <v>952968</v>
          </cell>
        </row>
        <row r="38">
          <cell r="BE38">
            <v>706428</v>
          </cell>
          <cell r="BF38">
            <v>753564</v>
          </cell>
          <cell r="BG38">
            <v>832470</v>
          </cell>
          <cell r="BH38">
            <v>942594</v>
          </cell>
          <cell r="BI38">
            <v>1019568</v>
          </cell>
        </row>
        <row r="39">
          <cell r="BE39">
            <v>752070</v>
          </cell>
          <cell r="BF39">
            <v>802896</v>
          </cell>
          <cell r="BG39">
            <v>883830</v>
          </cell>
          <cell r="BH39">
            <v>1000476</v>
          </cell>
          <cell r="BI39">
            <v>1082250</v>
          </cell>
        </row>
        <row r="40">
          <cell r="BE40">
            <v>804870</v>
          </cell>
          <cell r="BF40">
            <v>855168</v>
          </cell>
          <cell r="BG40">
            <v>934494</v>
          </cell>
          <cell r="BH40">
            <v>1060458</v>
          </cell>
          <cell r="BI40">
            <v>1146816</v>
          </cell>
        </row>
        <row r="41">
          <cell r="BE41">
            <v>860040</v>
          </cell>
          <cell r="BF41">
            <v>909246</v>
          </cell>
          <cell r="BG41">
            <v>987078</v>
          </cell>
          <cell r="BH41">
            <v>1121952</v>
          </cell>
          <cell r="BI41">
            <v>1214346</v>
          </cell>
        </row>
        <row r="42">
          <cell r="BE42">
            <v>917430</v>
          </cell>
          <cell r="BF42">
            <v>965460</v>
          </cell>
          <cell r="BG42">
            <v>1041132</v>
          </cell>
          <cell r="BH42">
            <v>1185930</v>
          </cell>
          <cell r="BI42">
            <v>1284510</v>
          </cell>
        </row>
        <row r="43">
          <cell r="BE43">
            <v>977328</v>
          </cell>
          <cell r="BF43">
            <v>1023642</v>
          </cell>
          <cell r="BG43">
            <v>1097166</v>
          </cell>
          <cell r="BH43">
            <v>1252674</v>
          </cell>
          <cell r="BI43">
            <v>1357692</v>
          </cell>
        </row>
        <row r="44">
          <cell r="BE44">
            <v>1039920</v>
          </cell>
          <cell r="BF44">
            <v>1080498</v>
          </cell>
          <cell r="BG44">
            <v>1154904</v>
          </cell>
          <cell r="BH44">
            <v>1323240</v>
          </cell>
          <cell r="BI44">
            <v>1434744</v>
          </cell>
        </row>
        <row r="45">
          <cell r="BE45">
            <v>1082790</v>
          </cell>
          <cell r="BF45">
            <v>1124460</v>
          </cell>
          <cell r="BG45">
            <v>1205010</v>
          </cell>
          <cell r="BH45">
            <v>1386762</v>
          </cell>
          <cell r="BI45">
            <v>1505406</v>
          </cell>
        </row>
        <row r="46">
          <cell r="BE46">
            <v>1127268</v>
          </cell>
          <cell r="BF46">
            <v>1170090</v>
          </cell>
          <cell r="BG46">
            <v>1256490</v>
          </cell>
          <cell r="BH46">
            <v>1453170</v>
          </cell>
          <cell r="BI46">
            <v>1577712</v>
          </cell>
        </row>
        <row r="47">
          <cell r="BE47">
            <v>1173426</v>
          </cell>
          <cell r="BF47">
            <v>1216974</v>
          </cell>
          <cell r="BG47">
            <v>1309110</v>
          </cell>
          <cell r="BH47">
            <v>1521666</v>
          </cell>
          <cell r="BI47">
            <v>1653900</v>
          </cell>
        </row>
        <row r="48">
          <cell r="BE48">
            <v>1221210</v>
          </cell>
          <cell r="BF48">
            <v>1265784</v>
          </cell>
          <cell r="BG48">
            <v>1365228</v>
          </cell>
          <cell r="BH48">
            <v>1594986</v>
          </cell>
          <cell r="BI48">
            <v>1730844</v>
          </cell>
        </row>
        <row r="49">
          <cell r="BE49">
            <v>1269744</v>
          </cell>
          <cell r="BF49">
            <v>1317480</v>
          </cell>
          <cell r="BG49">
            <v>1423926</v>
          </cell>
          <cell r="BH49">
            <v>1669668</v>
          </cell>
          <cell r="BI49">
            <v>1809804</v>
          </cell>
        </row>
        <row r="50">
          <cell r="BE50">
            <v>1320192</v>
          </cell>
          <cell r="BF50">
            <v>1370754</v>
          </cell>
          <cell r="BG50">
            <v>1485144</v>
          </cell>
          <cell r="BH50">
            <v>1743378</v>
          </cell>
          <cell r="BI50">
            <v>1890660</v>
          </cell>
        </row>
        <row r="51">
          <cell r="BE51">
            <v>1372248</v>
          </cell>
          <cell r="BF51">
            <v>1425690</v>
          </cell>
          <cell r="BG51">
            <v>1545618</v>
          </cell>
          <cell r="BH51">
            <v>1819440</v>
          </cell>
          <cell r="BI51">
            <v>1973934</v>
          </cell>
        </row>
        <row r="52">
          <cell r="BE52">
            <v>1426350</v>
          </cell>
          <cell r="BF52">
            <v>1481112</v>
          </cell>
          <cell r="BG52">
            <v>1607292</v>
          </cell>
          <cell r="BH52">
            <v>1897182</v>
          </cell>
          <cell r="BI52">
            <v>2059668</v>
          </cell>
        </row>
        <row r="53">
          <cell r="BE53">
            <v>1481820</v>
          </cell>
          <cell r="BF53">
            <v>1536402</v>
          </cell>
          <cell r="BG53">
            <v>1670304</v>
          </cell>
          <cell r="BH53">
            <v>1976268</v>
          </cell>
          <cell r="BI53">
            <v>2147238</v>
          </cell>
        </row>
        <row r="54">
          <cell r="BE54">
            <v>1539000</v>
          </cell>
          <cell r="BF54">
            <v>1599024</v>
          </cell>
          <cell r="BG54">
            <v>1777254</v>
          </cell>
          <cell r="BH54">
            <v>2054202</v>
          </cell>
          <cell r="BI54">
            <v>2237556</v>
          </cell>
        </row>
        <row r="55">
          <cell r="BE55">
            <v>1611600</v>
          </cell>
          <cell r="BF55">
            <v>1674948</v>
          </cell>
          <cell r="BG55">
            <v>1910466</v>
          </cell>
          <cell r="BH55">
            <v>2155788</v>
          </cell>
          <cell r="BI55">
            <v>2360010</v>
          </cell>
        </row>
        <row r="56">
          <cell r="BE56">
            <v>1686330</v>
          </cell>
          <cell r="BF56">
            <v>1754232</v>
          </cell>
          <cell r="BG56">
            <v>2048304</v>
          </cell>
          <cell r="BH56">
            <v>2261226</v>
          </cell>
          <cell r="BI56">
            <v>2487078</v>
          </cell>
        </row>
        <row r="57">
          <cell r="BE57">
            <v>1763706</v>
          </cell>
          <cell r="BF57">
            <v>1835640</v>
          </cell>
          <cell r="BG57">
            <v>2191302</v>
          </cell>
          <cell r="BH57">
            <v>2372262</v>
          </cell>
          <cell r="BI57">
            <v>2617380</v>
          </cell>
        </row>
        <row r="58">
          <cell r="BE58">
            <v>1845588</v>
          </cell>
          <cell r="BF58">
            <v>1924062</v>
          </cell>
          <cell r="BG58">
            <v>2275110</v>
          </cell>
          <cell r="BH58">
            <v>2496738</v>
          </cell>
          <cell r="BI58">
            <v>2750802</v>
          </cell>
        </row>
        <row r="59">
          <cell r="BE59">
            <v>1933344</v>
          </cell>
          <cell r="BF59">
            <v>2016138</v>
          </cell>
          <cell r="BG59">
            <v>2344398</v>
          </cell>
          <cell r="BH59">
            <v>2624928</v>
          </cell>
          <cell r="BI59">
            <v>2889570</v>
          </cell>
        </row>
        <row r="60">
          <cell r="BE60">
            <v>2023632</v>
          </cell>
          <cell r="BF60">
            <v>2111250</v>
          </cell>
          <cell r="BG60">
            <v>2415258</v>
          </cell>
          <cell r="BH60">
            <v>2758128</v>
          </cell>
          <cell r="BI60">
            <v>3033618</v>
          </cell>
        </row>
        <row r="61">
          <cell r="BE61">
            <v>2115984</v>
          </cell>
          <cell r="BF61">
            <v>2209884</v>
          </cell>
          <cell r="BG61">
            <v>2488284</v>
          </cell>
          <cell r="BH61">
            <v>2896602</v>
          </cell>
          <cell r="BI61">
            <v>3183102</v>
          </cell>
        </row>
        <row r="62">
          <cell r="BE62">
            <v>2211594</v>
          </cell>
          <cell r="BF62">
            <v>2310714</v>
          </cell>
          <cell r="BG62">
            <v>2563944</v>
          </cell>
          <cell r="BH62">
            <v>3040992</v>
          </cell>
          <cell r="BI62">
            <v>3336642</v>
          </cell>
        </row>
        <row r="63">
          <cell r="BE63">
            <v>2309706</v>
          </cell>
          <cell r="BF63">
            <v>2414850</v>
          </cell>
          <cell r="BG63">
            <v>2642478</v>
          </cell>
          <cell r="BH63">
            <v>3193260</v>
          </cell>
          <cell r="BI63">
            <v>3495432</v>
          </cell>
        </row>
        <row r="64">
          <cell r="BE64">
            <v>2423244</v>
          </cell>
          <cell r="BF64">
            <v>2538522</v>
          </cell>
          <cell r="BG64">
            <v>2775780</v>
          </cell>
          <cell r="BH64">
            <v>3358260</v>
          </cell>
          <cell r="BI64">
            <v>3658986</v>
          </cell>
        </row>
        <row r="65">
          <cell r="BE65">
            <v>2573310</v>
          </cell>
          <cell r="BF65">
            <v>2702682</v>
          </cell>
          <cell r="BG65">
            <v>2966166</v>
          </cell>
          <cell r="BH65">
            <v>3578868</v>
          </cell>
          <cell r="BI65">
            <v>3876786</v>
          </cell>
        </row>
        <row r="66">
          <cell r="BE66">
            <v>2729460</v>
          </cell>
          <cell r="BF66">
            <v>2873226</v>
          </cell>
          <cell r="BG66">
            <v>3165618</v>
          </cell>
          <cell r="BH66">
            <v>3809058</v>
          </cell>
          <cell r="BI66">
            <v>4103286</v>
          </cell>
        </row>
        <row r="67">
          <cell r="BE67">
            <v>2890944</v>
          </cell>
          <cell r="BF67">
            <v>3051954</v>
          </cell>
          <cell r="BG67">
            <v>3373134</v>
          </cell>
          <cell r="BH67">
            <v>4049778</v>
          </cell>
          <cell r="BI67">
            <v>4338324</v>
          </cell>
        </row>
        <row r="68">
          <cell r="BE68">
            <v>3059418</v>
          </cell>
          <cell r="BF68">
            <v>3236772</v>
          </cell>
          <cell r="BG68">
            <v>3590748</v>
          </cell>
          <cell r="BH68">
            <v>4300272</v>
          </cell>
          <cell r="BI68">
            <v>4580052</v>
          </cell>
        </row>
        <row r="69">
          <cell r="BE69">
            <v>3234480</v>
          </cell>
          <cell r="BF69">
            <v>3426240</v>
          </cell>
          <cell r="BG69">
            <v>3816222</v>
          </cell>
          <cell r="BH69">
            <v>4546866</v>
          </cell>
          <cell r="BI69">
            <v>4821690</v>
          </cell>
        </row>
        <row r="70">
          <cell r="BE70">
            <v>3399810</v>
          </cell>
          <cell r="BF70">
            <v>3612804</v>
          </cell>
          <cell r="BG70">
            <v>4045740</v>
          </cell>
          <cell r="BH70">
            <v>4787148</v>
          </cell>
          <cell r="BI70">
            <v>5076030</v>
          </cell>
        </row>
        <row r="71">
          <cell r="BE71">
            <v>3569736</v>
          </cell>
          <cell r="BF71">
            <v>3806598</v>
          </cell>
          <cell r="BG71">
            <v>4278744</v>
          </cell>
          <cell r="BH71">
            <v>5038356</v>
          </cell>
          <cell r="BI71">
            <v>5346738</v>
          </cell>
        </row>
        <row r="72">
          <cell r="BE72">
            <v>3745728</v>
          </cell>
          <cell r="BF72">
            <v>4005816</v>
          </cell>
          <cell r="BG72">
            <v>4519650</v>
          </cell>
          <cell r="BH72">
            <v>5310948</v>
          </cell>
          <cell r="BI72">
            <v>5628684</v>
          </cell>
        </row>
        <row r="73">
          <cell r="BE73">
            <v>3927426</v>
          </cell>
          <cell r="BF73">
            <v>4210674</v>
          </cell>
          <cell r="BG73">
            <v>4777920</v>
          </cell>
          <cell r="BH73">
            <v>5586246</v>
          </cell>
          <cell r="BI73">
            <v>5921628</v>
          </cell>
        </row>
        <row r="74">
          <cell r="BE74">
            <v>4110942</v>
          </cell>
          <cell r="BF74">
            <v>4423296</v>
          </cell>
          <cell r="BG74">
            <v>5025072</v>
          </cell>
          <cell r="BH74">
            <v>5853600</v>
          </cell>
          <cell r="BI74">
            <v>6228336</v>
          </cell>
        </row>
        <row r="75">
          <cell r="BE75">
            <v>4294998</v>
          </cell>
          <cell r="BF75">
            <v>4628988</v>
          </cell>
          <cell r="BG75">
            <v>5225820</v>
          </cell>
          <cell r="BH75">
            <v>6079794</v>
          </cell>
          <cell r="BI75">
            <v>6486738</v>
          </cell>
        </row>
        <row r="76">
          <cell r="BE76">
            <v>4491774</v>
          </cell>
          <cell r="BF76">
            <v>4839234</v>
          </cell>
          <cell r="BG76">
            <v>5431314</v>
          </cell>
          <cell r="BH76">
            <v>6316806</v>
          </cell>
          <cell r="BI76">
            <v>6766836</v>
          </cell>
        </row>
        <row r="77">
          <cell r="BE77">
            <v>4701036</v>
          </cell>
          <cell r="BF77">
            <v>5052330</v>
          </cell>
          <cell r="BG77">
            <v>5653548</v>
          </cell>
          <cell r="BH77">
            <v>6624576</v>
          </cell>
          <cell r="BI77">
            <v>7094514</v>
          </cell>
        </row>
        <row r="78">
          <cell r="BE78">
            <v>4919334</v>
          </cell>
          <cell r="BF78">
            <v>5273166</v>
          </cell>
          <cell r="BG78">
            <v>5885700</v>
          </cell>
          <cell r="BH78">
            <v>6944274</v>
          </cell>
          <cell r="BI78">
            <v>7434978</v>
          </cell>
        </row>
        <row r="79">
          <cell r="BE79">
            <v>5145870</v>
          </cell>
          <cell r="BF79">
            <v>5499828</v>
          </cell>
          <cell r="BG79">
            <v>6126996</v>
          </cell>
          <cell r="BH79">
            <v>7264812</v>
          </cell>
          <cell r="BI79">
            <v>7782516</v>
          </cell>
        </row>
        <row r="80">
          <cell r="BE80">
            <v>5381352</v>
          </cell>
          <cell r="BF80">
            <v>5730588</v>
          </cell>
          <cell r="BG80">
            <v>6405114</v>
          </cell>
          <cell r="BH80">
            <v>7598814</v>
          </cell>
          <cell r="BI80">
            <v>8178930</v>
          </cell>
        </row>
        <row r="81">
          <cell r="BE81">
            <v>5625438</v>
          </cell>
          <cell r="BF81">
            <v>5966448</v>
          </cell>
          <cell r="BG81">
            <v>6693978</v>
          </cell>
          <cell r="BH81">
            <v>7943772</v>
          </cell>
          <cell r="BI81">
            <v>8584446</v>
          </cell>
        </row>
        <row r="82">
          <cell r="BE82">
            <v>5876520</v>
          </cell>
          <cell r="BF82">
            <v>6239286</v>
          </cell>
          <cell r="BG82">
            <v>6990510</v>
          </cell>
          <cell r="BH82">
            <v>8317368</v>
          </cell>
          <cell r="BI82">
            <v>9030252</v>
          </cell>
        </row>
        <row r="83">
          <cell r="BE83">
            <v>6140574</v>
          </cell>
          <cell r="BF83">
            <v>6566802</v>
          </cell>
          <cell r="BG83">
            <v>7297266</v>
          </cell>
          <cell r="BH83">
            <v>8707854</v>
          </cell>
          <cell r="BI83">
            <v>9500718</v>
          </cell>
        </row>
        <row r="84">
          <cell r="BE84">
            <v>6411906</v>
          </cell>
          <cell r="BF84">
            <v>6907062</v>
          </cell>
          <cell r="BG84">
            <v>7609500</v>
          </cell>
          <cell r="BH84">
            <v>9125886</v>
          </cell>
          <cell r="BI84">
            <v>10005600</v>
          </cell>
        </row>
        <row r="85">
          <cell r="BE85">
            <v>6692328</v>
          </cell>
          <cell r="BF85">
            <v>7241904</v>
          </cell>
          <cell r="BG85">
            <v>7928604</v>
          </cell>
          <cell r="BH85">
            <v>9654414</v>
          </cell>
          <cell r="BI85">
            <v>10628376</v>
          </cell>
        </row>
        <row r="86">
          <cell r="BE86">
            <v>6999150</v>
          </cell>
          <cell r="BF86">
            <v>7590702</v>
          </cell>
          <cell r="BG86">
            <v>8255814</v>
          </cell>
          <cell r="BH86">
            <v>10197942</v>
          </cell>
          <cell r="BI86">
            <v>11253450</v>
          </cell>
        </row>
        <row r="87">
          <cell r="BE87">
            <v>7329186</v>
          </cell>
          <cell r="BF87">
            <v>7901970</v>
          </cell>
          <cell r="BG87">
            <v>8592318</v>
          </cell>
          <cell r="BH87">
            <v>10690320</v>
          </cell>
          <cell r="BI87">
            <v>11750520</v>
          </cell>
        </row>
        <row r="88">
          <cell r="BE88">
            <v>7676808</v>
          </cell>
          <cell r="BF88">
            <v>8215896</v>
          </cell>
          <cell r="BG88">
            <v>8935326</v>
          </cell>
          <cell r="BH88">
            <v>11169828</v>
          </cell>
          <cell r="BI88">
            <v>12248010</v>
          </cell>
        </row>
        <row r="89">
          <cell r="BE89">
            <v>7984044</v>
          </cell>
          <cell r="BF89">
            <v>8523672</v>
          </cell>
          <cell r="BG89">
            <v>9298392</v>
          </cell>
          <cell r="BH89">
            <v>11567976</v>
          </cell>
          <cell r="BI89">
            <v>12730410</v>
          </cell>
        </row>
        <row r="90">
          <cell r="BE90">
            <v>8304828</v>
          </cell>
          <cell r="BF90">
            <v>8847678</v>
          </cell>
          <cell r="BG90">
            <v>9687600</v>
          </cell>
          <cell r="BH90">
            <v>12031170</v>
          </cell>
          <cell r="BI90">
            <v>13064172</v>
          </cell>
        </row>
        <row r="91">
          <cell r="BE91">
            <v>8605908</v>
          </cell>
          <cell r="BF91">
            <v>9193686</v>
          </cell>
          <cell r="BG91">
            <v>10148370</v>
          </cell>
          <cell r="BH91">
            <v>12495780</v>
          </cell>
          <cell r="BI91">
            <v>13402776</v>
          </cell>
        </row>
        <row r="92">
          <cell r="BE92">
            <v>8891514</v>
          </cell>
          <cell r="BF92">
            <v>9552546</v>
          </cell>
          <cell r="BG92">
            <v>10663446</v>
          </cell>
          <cell r="BH92">
            <v>12971736</v>
          </cell>
          <cell r="BI92">
            <v>13728552</v>
          </cell>
        </row>
        <row r="93">
          <cell r="BE93">
            <v>9183096</v>
          </cell>
          <cell r="BF93">
            <v>9921552</v>
          </cell>
          <cell r="BG93">
            <v>11195946</v>
          </cell>
          <cell r="BH93">
            <v>13452906</v>
          </cell>
          <cell r="BI93">
            <v>14060946</v>
          </cell>
        </row>
        <row r="94">
          <cell r="BE94">
            <v>9484284</v>
          </cell>
          <cell r="BF94">
            <v>10297536</v>
          </cell>
          <cell r="BG94">
            <v>11749446</v>
          </cell>
          <cell r="BH94">
            <v>13943256</v>
          </cell>
          <cell r="BI94">
            <v>14405262</v>
          </cell>
        </row>
        <row r="95">
          <cell r="BE95">
            <v>9779802</v>
          </cell>
          <cell r="BF95">
            <v>10733574</v>
          </cell>
          <cell r="BG95">
            <v>12190122</v>
          </cell>
          <cell r="BH95">
            <v>14297868</v>
          </cell>
          <cell r="BI95">
            <v>14819658</v>
          </cell>
        </row>
        <row r="96">
          <cell r="BE96">
            <v>10083486</v>
          </cell>
          <cell r="BF96">
            <v>11167860</v>
          </cell>
          <cell r="BG96">
            <v>12573990</v>
          </cell>
          <cell r="BH96">
            <v>14673240</v>
          </cell>
          <cell r="BI96">
            <v>15248718</v>
          </cell>
        </row>
        <row r="97">
          <cell r="BE97">
            <v>10376352</v>
          </cell>
          <cell r="BF97">
            <v>11623938</v>
          </cell>
          <cell r="BG97">
            <v>12977526</v>
          </cell>
          <cell r="BH97">
            <v>15059670</v>
          </cell>
          <cell r="BI97">
            <v>15686502</v>
          </cell>
        </row>
        <row r="98">
          <cell r="BE98">
            <v>10684974</v>
          </cell>
          <cell r="BF98">
            <v>12020370</v>
          </cell>
          <cell r="BG98">
            <v>13390194</v>
          </cell>
          <cell r="BH98">
            <v>15453516</v>
          </cell>
          <cell r="BI98">
            <v>16118148</v>
          </cell>
        </row>
        <row r="99">
          <cell r="BE99">
            <v>11006538</v>
          </cell>
          <cell r="BF99">
            <v>12426246</v>
          </cell>
          <cell r="BG99">
            <v>13807236</v>
          </cell>
          <cell r="BH99">
            <v>15851568</v>
          </cell>
          <cell r="BI99">
            <v>16540098</v>
          </cell>
        </row>
        <row r="100">
          <cell r="BE100">
            <v>11339124</v>
          </cell>
          <cell r="BF100">
            <v>12842724</v>
          </cell>
          <cell r="BG100">
            <v>14261046</v>
          </cell>
          <cell r="BH100">
            <v>16255500</v>
          </cell>
          <cell r="BI100">
            <v>16973328</v>
          </cell>
        </row>
        <row r="101">
          <cell r="BE101">
            <v>11685486</v>
          </cell>
          <cell r="BF101">
            <v>13256052</v>
          </cell>
          <cell r="BG101">
            <v>14724228</v>
          </cell>
          <cell r="BH101">
            <v>16672020</v>
          </cell>
          <cell r="BI101">
            <v>17420298</v>
          </cell>
        </row>
        <row r="102">
          <cell r="BE102">
            <v>12064284</v>
          </cell>
          <cell r="BF102">
            <v>13616292</v>
          </cell>
          <cell r="BG102">
            <v>15188856</v>
          </cell>
          <cell r="BH102">
            <v>17066520</v>
          </cell>
          <cell r="BI102">
            <v>17874732</v>
          </cell>
        </row>
        <row r="103">
          <cell r="BE103">
            <v>12448368</v>
          </cell>
          <cell r="BF103">
            <v>13979232</v>
          </cell>
          <cell r="BG103">
            <v>15662292</v>
          </cell>
          <cell r="BH103">
            <v>17464908</v>
          </cell>
          <cell r="BI103">
            <v>18330306</v>
          </cell>
        </row>
        <row r="104">
          <cell r="BE104">
            <v>12843162</v>
          </cell>
          <cell r="BF104">
            <v>14349324</v>
          </cell>
          <cell r="BG104">
            <v>16144818</v>
          </cell>
          <cell r="BH104">
            <v>17864352</v>
          </cell>
          <cell r="BI104">
            <v>18795072</v>
          </cell>
        </row>
        <row r="105">
          <cell r="BE105">
            <v>13263228</v>
          </cell>
          <cell r="BF105">
            <v>14751444</v>
          </cell>
          <cell r="BG105">
            <v>16589382</v>
          </cell>
          <cell r="BH105">
            <v>18288918</v>
          </cell>
          <cell r="BI105">
            <v>19236954</v>
          </cell>
        </row>
        <row r="106">
          <cell r="BE106">
            <v>13705470</v>
          </cell>
          <cell r="BF106">
            <v>15161844</v>
          </cell>
          <cell r="BG106">
            <v>17035026</v>
          </cell>
          <cell r="BH106">
            <v>18724368</v>
          </cell>
          <cell r="BI106">
            <v>19688388</v>
          </cell>
        </row>
        <row r="107">
          <cell r="BE107">
            <v>14160942</v>
          </cell>
          <cell r="BF107">
            <v>15579978</v>
          </cell>
          <cell r="BG107">
            <v>17494524</v>
          </cell>
          <cell r="BH107">
            <v>19170630</v>
          </cell>
          <cell r="BI107">
            <v>20154132</v>
          </cell>
        </row>
        <row r="108">
          <cell r="BE108">
            <v>14628066</v>
          </cell>
          <cell r="BF108">
            <v>16012410</v>
          </cell>
          <cell r="BG108">
            <v>17965056</v>
          </cell>
          <cell r="BH108">
            <v>19635048</v>
          </cell>
          <cell r="BI108">
            <v>20629434</v>
          </cell>
        </row>
        <row r="109">
          <cell r="BE109">
            <v>15058512</v>
          </cell>
          <cell r="BF109">
            <v>16450986</v>
          </cell>
          <cell r="BG109">
            <v>18447882</v>
          </cell>
          <cell r="BH109">
            <v>20102502</v>
          </cell>
          <cell r="BI109">
            <v>21114114</v>
          </cell>
        </row>
        <row r="110">
          <cell r="BE110">
            <v>15491814</v>
          </cell>
          <cell r="BF110">
            <v>16914774</v>
          </cell>
          <cell r="BG110">
            <v>18839430</v>
          </cell>
          <cell r="BH110">
            <v>20582442</v>
          </cell>
          <cell r="BI110">
            <v>21599826</v>
          </cell>
        </row>
        <row r="111">
          <cell r="BE111">
            <v>15938442</v>
          </cell>
          <cell r="BF111">
            <v>17384778</v>
          </cell>
          <cell r="BG111">
            <v>19242456</v>
          </cell>
          <cell r="BH111">
            <v>21061524</v>
          </cell>
          <cell r="BI111">
            <v>22099596</v>
          </cell>
        </row>
        <row r="112">
          <cell r="BE112">
            <v>16353174</v>
          </cell>
          <cell r="BF112">
            <v>17862312</v>
          </cell>
          <cell r="BG112">
            <v>19638852</v>
          </cell>
          <cell r="BH112">
            <v>21554562</v>
          </cell>
          <cell r="BI112">
            <v>22606326</v>
          </cell>
        </row>
        <row r="113">
          <cell r="BE113">
            <v>16742262</v>
          </cell>
          <cell r="BF113">
            <v>18336984</v>
          </cell>
          <cell r="BG113">
            <v>20046696</v>
          </cell>
          <cell r="BH113">
            <v>22054158</v>
          </cell>
          <cell r="BI113">
            <v>23127342</v>
          </cell>
        </row>
        <row r="114">
          <cell r="BE114">
            <v>17130984</v>
          </cell>
          <cell r="BF114">
            <v>18824820</v>
          </cell>
          <cell r="BG114">
            <v>20464044</v>
          </cell>
          <cell r="BH114">
            <v>22572726</v>
          </cell>
          <cell r="BI114">
            <v>23696766</v>
          </cell>
        </row>
        <row r="115">
          <cell r="BE115">
            <v>17658294</v>
          </cell>
          <cell r="BF115">
            <v>19422426</v>
          </cell>
          <cell r="BG115">
            <v>20996040</v>
          </cell>
          <cell r="BH115">
            <v>23055282</v>
          </cell>
          <cell r="BI115">
            <v>24205428</v>
          </cell>
        </row>
        <row r="116">
          <cell r="BE116">
            <v>18196086</v>
          </cell>
          <cell r="BF116">
            <v>20033226</v>
          </cell>
          <cell r="BG116">
            <v>21566178</v>
          </cell>
          <cell r="BH116">
            <v>23558766</v>
          </cell>
          <cell r="BI116">
            <v>24711348</v>
          </cell>
        </row>
        <row r="117">
          <cell r="BE117">
            <v>18751116</v>
          </cell>
          <cell r="BF117">
            <v>20685948</v>
          </cell>
          <cell r="BG117">
            <v>22164612</v>
          </cell>
          <cell r="BH117">
            <v>24065364</v>
          </cell>
          <cell r="BI117">
            <v>25228014</v>
          </cell>
        </row>
        <row r="118">
          <cell r="BE118">
            <v>19348452</v>
          </cell>
          <cell r="BF118">
            <v>21369714</v>
          </cell>
          <cell r="BG118">
            <v>22772442</v>
          </cell>
          <cell r="BH118">
            <v>24579846</v>
          </cell>
          <cell r="BI118">
            <v>25752846</v>
          </cell>
        </row>
        <row r="119">
          <cell r="BE119">
            <v>19973094</v>
          </cell>
          <cell r="BF119">
            <v>22067700</v>
          </cell>
          <cell r="BG119">
            <v>23392620</v>
          </cell>
          <cell r="BH119">
            <v>25103322</v>
          </cell>
          <cell r="BI119">
            <v>26286414</v>
          </cell>
        </row>
        <row r="120">
          <cell r="BE120">
            <v>20613396</v>
          </cell>
          <cell r="BF120">
            <v>22681608</v>
          </cell>
          <cell r="BG120">
            <v>24032700</v>
          </cell>
          <cell r="BH120">
            <v>25641894</v>
          </cell>
          <cell r="BI120">
            <v>26837736</v>
          </cell>
        </row>
        <row r="121">
          <cell r="BE121">
            <v>21272670</v>
          </cell>
          <cell r="BF121">
            <v>23312586</v>
          </cell>
          <cell r="BG121">
            <v>24689052</v>
          </cell>
          <cell r="BH121">
            <v>26194782</v>
          </cell>
          <cell r="BI121">
            <v>27398208</v>
          </cell>
        </row>
        <row r="122">
          <cell r="BE122">
            <v>21949416</v>
          </cell>
          <cell r="BF122">
            <v>23957664</v>
          </cell>
          <cell r="BG122">
            <v>25364244</v>
          </cell>
          <cell r="BH122">
            <v>26756274</v>
          </cell>
          <cell r="BI122">
            <v>27970260</v>
          </cell>
        </row>
        <row r="123">
          <cell r="BE123">
            <v>22644828</v>
          </cell>
          <cell r="BF123">
            <v>24620730</v>
          </cell>
          <cell r="BG123">
            <v>26051490</v>
          </cell>
          <cell r="BH123">
            <v>27330594</v>
          </cell>
          <cell r="BI123">
            <v>28543752</v>
          </cell>
        </row>
        <row r="124">
          <cell r="BE124">
            <v>23359674</v>
          </cell>
          <cell r="BF124">
            <v>25297284</v>
          </cell>
          <cell r="BG124">
            <v>26755542</v>
          </cell>
          <cell r="BH124">
            <v>27904368</v>
          </cell>
          <cell r="BI124">
            <v>29131704</v>
          </cell>
        </row>
        <row r="125">
          <cell r="BE125">
            <v>23975724</v>
          </cell>
          <cell r="BF125">
            <v>25886328</v>
          </cell>
          <cell r="BG125">
            <v>27327390</v>
          </cell>
          <cell r="BH125">
            <v>28510464</v>
          </cell>
          <cell r="BI125">
            <v>29718780</v>
          </cell>
        </row>
        <row r="126">
          <cell r="BE126">
            <v>24605196</v>
          </cell>
          <cell r="BF126">
            <v>26481660</v>
          </cell>
          <cell r="BG126">
            <v>27918888</v>
          </cell>
          <cell r="BH126">
            <v>29126982</v>
          </cell>
          <cell r="BI126">
            <v>30322224</v>
          </cell>
        </row>
        <row r="127">
          <cell r="BE127">
            <v>25244196</v>
          </cell>
          <cell r="BF127">
            <v>27096972</v>
          </cell>
          <cell r="BG127">
            <v>28511814</v>
          </cell>
          <cell r="BH127">
            <v>29767956</v>
          </cell>
          <cell r="BI127">
            <v>30938262</v>
          </cell>
        </row>
        <row r="128">
          <cell r="BE128">
            <v>25900800</v>
          </cell>
          <cell r="BF128">
            <v>27722100</v>
          </cell>
          <cell r="BG128">
            <v>29121066</v>
          </cell>
          <cell r="BH128">
            <v>30416202</v>
          </cell>
          <cell r="BI128">
            <v>31568400</v>
          </cell>
        </row>
        <row r="129">
          <cell r="BE129">
            <v>26568306</v>
          </cell>
          <cell r="BF129">
            <v>28363206</v>
          </cell>
          <cell r="BG129">
            <v>29737512</v>
          </cell>
          <cell r="BH129">
            <v>31077858</v>
          </cell>
          <cell r="BI129">
            <v>32189670</v>
          </cell>
        </row>
        <row r="130">
          <cell r="BE130">
            <v>27246984</v>
          </cell>
          <cell r="BF130">
            <v>28961670</v>
          </cell>
          <cell r="BG130">
            <v>30314010</v>
          </cell>
          <cell r="BH130">
            <v>31684560</v>
          </cell>
          <cell r="BI130">
            <v>32771388</v>
          </cell>
        </row>
        <row r="131">
          <cell r="BE131">
            <v>27935340</v>
          </cell>
          <cell r="BF131">
            <v>29577108</v>
          </cell>
          <cell r="BG131">
            <v>30888606</v>
          </cell>
          <cell r="BH131">
            <v>32303034</v>
          </cell>
          <cell r="BI131">
            <v>33363042</v>
          </cell>
        </row>
        <row r="132">
          <cell r="BE132">
            <v>28645506</v>
          </cell>
          <cell r="BF132">
            <v>30193728</v>
          </cell>
          <cell r="BG132">
            <v>31475784</v>
          </cell>
          <cell r="BH132">
            <v>32935014</v>
          </cell>
          <cell r="BI132">
            <v>33970104</v>
          </cell>
        </row>
        <row r="133">
          <cell r="BE133">
            <v>29364234</v>
          </cell>
          <cell r="BF133">
            <v>30833958</v>
          </cell>
          <cell r="BG133">
            <v>32082972</v>
          </cell>
          <cell r="BH133">
            <v>33592872</v>
          </cell>
          <cell r="BI133">
            <v>34598238</v>
          </cell>
        </row>
        <row r="134">
          <cell r="BE134">
            <v>30105144</v>
          </cell>
          <cell r="BF134">
            <v>31485924</v>
          </cell>
          <cell r="BG134">
            <v>32704224</v>
          </cell>
          <cell r="BH134">
            <v>34265994</v>
          </cell>
          <cell r="BI134">
            <v>35238324</v>
          </cell>
        </row>
        <row r="135">
          <cell r="BE135">
            <v>30822156</v>
          </cell>
          <cell r="BF135">
            <v>32121162</v>
          </cell>
          <cell r="BG135">
            <v>33360108</v>
          </cell>
          <cell r="BH135">
            <v>34949226</v>
          </cell>
          <cell r="BI135">
            <v>35867766</v>
          </cell>
        </row>
        <row r="136">
          <cell r="BE136">
            <v>31559016</v>
          </cell>
          <cell r="BF136">
            <v>32767080</v>
          </cell>
          <cell r="BG136">
            <v>34030848</v>
          </cell>
          <cell r="BH136">
            <v>35616192</v>
          </cell>
          <cell r="BI136">
            <v>36464382</v>
          </cell>
        </row>
        <row r="137">
          <cell r="BE137">
            <v>32306550</v>
          </cell>
          <cell r="BF137">
            <v>33426864</v>
          </cell>
          <cell r="BG137">
            <v>34681356</v>
          </cell>
          <cell r="BH137">
            <v>36248292</v>
          </cell>
          <cell r="BI137">
            <v>37072020</v>
          </cell>
        </row>
        <row r="138">
          <cell r="BE138">
            <v>33072996</v>
          </cell>
          <cell r="BF138">
            <v>34062330</v>
          </cell>
          <cell r="BG138">
            <v>35303910</v>
          </cell>
          <cell r="BH138">
            <v>36897060</v>
          </cell>
          <cell r="BI138">
            <v>37686372</v>
          </cell>
        </row>
        <row r="139">
          <cell r="BE139">
            <v>33811938</v>
          </cell>
          <cell r="BF139">
            <v>34682040</v>
          </cell>
          <cell r="BG139">
            <v>35948088</v>
          </cell>
          <cell r="BH139">
            <v>37558416</v>
          </cell>
          <cell r="BI139">
            <v>38324472</v>
          </cell>
        </row>
        <row r="140">
          <cell r="BE140">
            <v>34506630</v>
          </cell>
          <cell r="BF140">
            <v>35367858</v>
          </cell>
          <cell r="BG140">
            <v>36657834</v>
          </cell>
          <cell r="BH140">
            <v>38295186</v>
          </cell>
          <cell r="BI140">
            <v>39020238</v>
          </cell>
        </row>
        <row r="141">
          <cell r="BE141">
            <v>35212188</v>
          </cell>
          <cell r="BF141">
            <v>36063498</v>
          </cell>
          <cell r="BG141">
            <v>37381422</v>
          </cell>
          <cell r="BH141">
            <v>39033966</v>
          </cell>
          <cell r="BI141">
            <v>39728478</v>
          </cell>
        </row>
        <row r="142">
          <cell r="BE142">
            <v>35930496</v>
          </cell>
          <cell r="BF142">
            <v>36772320</v>
          </cell>
          <cell r="BG142">
            <v>38110428</v>
          </cell>
          <cell r="BH142">
            <v>39787908</v>
          </cell>
          <cell r="BI142">
            <v>40429056</v>
          </cell>
        </row>
        <row r="143">
          <cell r="BE143">
            <v>36661710</v>
          </cell>
          <cell r="BF143">
            <v>37489704</v>
          </cell>
          <cell r="BG143">
            <v>38855160</v>
          </cell>
          <cell r="BH143">
            <v>40536618</v>
          </cell>
          <cell r="BI143">
            <v>41150976</v>
          </cell>
        </row>
        <row r="144">
          <cell r="BE144">
            <v>37404270</v>
          </cell>
          <cell r="BF144">
            <v>38219844</v>
          </cell>
          <cell r="BG144">
            <v>39596472</v>
          </cell>
          <cell r="BH144">
            <v>41306220</v>
          </cell>
          <cell r="BI144">
            <v>41921196</v>
          </cell>
        </row>
        <row r="145">
          <cell r="BE145">
            <v>38105478</v>
          </cell>
          <cell r="BF145">
            <v>38926968</v>
          </cell>
          <cell r="BG145">
            <v>40324746</v>
          </cell>
          <cell r="BH145">
            <v>42076902</v>
          </cell>
          <cell r="BI145">
            <v>42700548</v>
          </cell>
        </row>
        <row r="146">
          <cell r="BE146">
            <v>38814420</v>
          </cell>
          <cell r="BF146">
            <v>39658446</v>
          </cell>
          <cell r="BG146">
            <v>41103960</v>
          </cell>
          <cell r="BH146">
            <v>42874878</v>
          </cell>
          <cell r="BI146">
            <v>43499514</v>
          </cell>
        </row>
        <row r="147">
          <cell r="BE147">
            <v>39549414</v>
          </cell>
          <cell r="BF147">
            <v>40405596</v>
          </cell>
          <cell r="BG147">
            <v>41901792</v>
          </cell>
          <cell r="BH147">
            <v>43685208</v>
          </cell>
          <cell r="BI147">
            <v>44318034</v>
          </cell>
        </row>
        <row r="148">
          <cell r="BE148">
            <v>40310490</v>
          </cell>
          <cell r="BF148">
            <v>41181876</v>
          </cell>
          <cell r="BG148">
            <v>42709038</v>
          </cell>
          <cell r="BH148">
            <v>44513226</v>
          </cell>
          <cell r="BI148">
            <v>45135132</v>
          </cell>
        </row>
        <row r="149">
          <cell r="BE149">
            <v>41090106</v>
          </cell>
          <cell r="BF149">
            <v>41967234</v>
          </cell>
          <cell r="BG149">
            <v>43536342</v>
          </cell>
          <cell r="BH149">
            <v>45342906</v>
          </cell>
          <cell r="BI149">
            <v>45961326</v>
          </cell>
        </row>
        <row r="150">
          <cell r="BE150">
            <v>41875194</v>
          </cell>
          <cell r="BF150">
            <v>42770490</v>
          </cell>
          <cell r="BG150">
            <v>44362914</v>
          </cell>
          <cell r="BH150">
            <v>46180182</v>
          </cell>
          <cell r="BI150">
            <v>46799592</v>
          </cell>
        </row>
        <row r="151">
          <cell r="BE151">
            <v>42681120</v>
          </cell>
          <cell r="BF151">
            <v>43573176</v>
          </cell>
          <cell r="BG151">
            <v>45202320</v>
          </cell>
          <cell r="BH151">
            <v>47030940</v>
          </cell>
          <cell r="BI151">
            <v>47657250</v>
          </cell>
        </row>
        <row r="152">
          <cell r="BE152">
            <v>43490556</v>
          </cell>
          <cell r="BF152">
            <v>44401152</v>
          </cell>
          <cell r="BG152">
            <v>46067670</v>
          </cell>
          <cell r="BH152">
            <v>47910054</v>
          </cell>
          <cell r="BI152">
            <v>48530040</v>
          </cell>
        </row>
        <row r="153">
          <cell r="BE153">
            <v>44322552</v>
          </cell>
          <cell r="BF153">
            <v>45245496</v>
          </cell>
          <cell r="BG153">
            <v>46953408</v>
          </cell>
          <cell r="BH153">
            <v>48802902</v>
          </cell>
          <cell r="BI153">
            <v>49439922</v>
          </cell>
        </row>
        <row r="154">
          <cell r="BE154">
            <v>45125340</v>
          </cell>
          <cell r="BF154">
            <v>46075944</v>
          </cell>
          <cell r="BG154">
            <v>47852484</v>
          </cell>
          <cell r="BH154">
            <v>49740570</v>
          </cell>
          <cell r="BI154">
            <v>50494044</v>
          </cell>
        </row>
        <row r="155">
          <cell r="BE155">
            <v>45909918</v>
          </cell>
          <cell r="BF155">
            <v>46921104</v>
          </cell>
          <cell r="BG155">
            <v>48763962</v>
          </cell>
          <cell r="BH155">
            <v>50812644</v>
          </cell>
          <cell r="BI155">
            <v>51656550</v>
          </cell>
        </row>
        <row r="156">
          <cell r="BE156">
            <v>46699176</v>
          </cell>
          <cell r="BF156">
            <v>47780820</v>
          </cell>
          <cell r="BG156">
            <v>49757214</v>
          </cell>
          <cell r="BH156">
            <v>51900078</v>
          </cell>
          <cell r="BI156">
            <v>52321590</v>
          </cell>
        </row>
        <row r="157">
          <cell r="BE157">
            <v>47549286</v>
          </cell>
          <cell r="BF157">
            <v>48712896</v>
          </cell>
          <cell r="BG157">
            <v>50780328</v>
          </cell>
          <cell r="BH157">
            <v>52555110</v>
          </cell>
          <cell r="BI157">
            <v>52849560</v>
          </cell>
        </row>
        <row r="158">
          <cell r="BE158">
            <v>48407622</v>
          </cell>
          <cell r="BF158">
            <v>49660140</v>
          </cell>
          <cell r="BG158">
            <v>51397326</v>
          </cell>
          <cell r="BH158">
            <v>53063604</v>
          </cell>
          <cell r="BI158">
            <v>53084898</v>
          </cell>
        </row>
        <row r="159">
          <cell r="BE159">
            <v>49284024</v>
          </cell>
          <cell r="BF159">
            <v>50446824</v>
          </cell>
          <cell r="BG159">
            <v>51879804</v>
          </cell>
          <cell r="BH159">
            <v>53293356</v>
          </cell>
          <cell r="BI159">
            <v>53294478</v>
          </cell>
        </row>
        <row r="160">
          <cell r="BE160">
            <v>49876572</v>
          </cell>
          <cell r="BF160">
            <v>51015552</v>
          </cell>
          <cell r="BG160">
            <v>52098828</v>
          </cell>
          <cell r="BH160">
            <v>53482830</v>
          </cell>
          <cell r="BI160">
            <v>53504256</v>
          </cell>
        </row>
        <row r="161">
          <cell r="BE161">
            <v>50307696</v>
          </cell>
          <cell r="BF161">
            <v>51457194</v>
          </cell>
          <cell r="BG161">
            <v>52271442</v>
          </cell>
          <cell r="BH161">
            <v>53672478</v>
          </cell>
          <cell r="BI161">
            <v>53714244</v>
          </cell>
        </row>
        <row r="162">
          <cell r="BE162">
            <v>50550912</v>
          </cell>
          <cell r="BF162">
            <v>51734976</v>
          </cell>
          <cell r="BG162">
            <v>52444212</v>
          </cell>
          <cell r="BH162">
            <v>53862312</v>
          </cell>
          <cell r="BI162">
            <v>53924436</v>
          </cell>
        </row>
        <row r="163">
          <cell r="BE163">
            <v>50691114</v>
          </cell>
          <cell r="BF163">
            <v>51927468</v>
          </cell>
          <cell r="BG163">
            <v>52617138</v>
          </cell>
          <cell r="BH163">
            <v>54052326</v>
          </cell>
          <cell r="BI163">
            <v>54134826</v>
          </cell>
        </row>
        <row r="164">
          <cell r="BE164">
            <v>50831388</v>
          </cell>
          <cell r="BF164">
            <v>52120134</v>
          </cell>
          <cell r="BG164">
            <v>52790220</v>
          </cell>
          <cell r="BH164">
            <v>54242514</v>
          </cell>
          <cell r="BI164">
            <v>54345420</v>
          </cell>
        </row>
      </sheetData>
      <sheetData sheetId="12"/>
      <sheetData sheetId="13">
        <row r="6">
          <cell r="T6">
            <v>0</v>
          </cell>
          <cell r="U6">
            <v>0</v>
          </cell>
          <cell r="V6">
            <v>0</v>
          </cell>
          <cell r="W6">
            <v>0</v>
          </cell>
          <cell r="X6">
            <v>0</v>
          </cell>
        </row>
        <row r="7">
          <cell r="T7">
            <v>0</v>
          </cell>
          <cell r="U7">
            <v>0</v>
          </cell>
          <cell r="V7">
            <v>0</v>
          </cell>
          <cell r="W7">
            <v>0</v>
          </cell>
          <cell r="X7">
            <v>0</v>
          </cell>
        </row>
        <row r="8">
          <cell r="T8">
            <v>0</v>
          </cell>
          <cell r="U8">
            <v>0</v>
          </cell>
          <cell r="V8">
            <v>0</v>
          </cell>
          <cell r="W8">
            <v>0</v>
          </cell>
          <cell r="X8">
            <v>0</v>
          </cell>
        </row>
        <row r="9">
          <cell r="T9">
            <v>0</v>
          </cell>
          <cell r="U9">
            <v>0</v>
          </cell>
          <cell r="V9">
            <v>0</v>
          </cell>
          <cell r="W9">
            <v>0</v>
          </cell>
          <cell r="X9">
            <v>0</v>
          </cell>
        </row>
        <row r="10">
          <cell r="T10">
            <v>0</v>
          </cell>
          <cell r="U10">
            <v>0</v>
          </cell>
          <cell r="V10">
            <v>0</v>
          </cell>
          <cell r="W10">
            <v>0</v>
          </cell>
          <cell r="X10">
            <v>0</v>
          </cell>
        </row>
        <row r="11">
          <cell r="T11">
            <v>0</v>
          </cell>
          <cell r="U11">
            <v>0</v>
          </cell>
          <cell r="V11">
            <v>0</v>
          </cell>
          <cell r="W11">
            <v>0</v>
          </cell>
          <cell r="X11">
            <v>0</v>
          </cell>
        </row>
        <row r="12">
          <cell r="T12">
            <v>0</v>
          </cell>
          <cell r="U12">
            <v>0</v>
          </cell>
          <cell r="V12">
            <v>0</v>
          </cell>
          <cell r="W12">
            <v>0</v>
          </cell>
          <cell r="X12">
            <v>0</v>
          </cell>
        </row>
        <row r="13">
          <cell r="T13">
            <v>0</v>
          </cell>
          <cell r="U13">
            <v>0</v>
          </cell>
          <cell r="V13">
            <v>0</v>
          </cell>
          <cell r="W13">
            <v>0</v>
          </cell>
          <cell r="X13">
            <v>0</v>
          </cell>
        </row>
        <row r="14">
          <cell r="T14">
            <v>0</v>
          </cell>
          <cell r="U14">
            <v>0</v>
          </cell>
          <cell r="V14">
            <v>0</v>
          </cell>
          <cell r="W14">
            <v>0</v>
          </cell>
          <cell r="X14">
            <v>0</v>
          </cell>
        </row>
        <row r="15">
          <cell r="T15">
            <v>0</v>
          </cell>
          <cell r="U15">
            <v>0</v>
          </cell>
          <cell r="V15">
            <v>0</v>
          </cell>
          <cell r="W15">
            <v>0</v>
          </cell>
          <cell r="X15">
            <v>0</v>
          </cell>
        </row>
        <row r="16">
          <cell r="T16">
            <v>0</v>
          </cell>
          <cell r="U16">
            <v>0</v>
          </cell>
          <cell r="V16">
            <v>0</v>
          </cell>
          <cell r="W16">
            <v>0</v>
          </cell>
          <cell r="X16">
            <v>0</v>
          </cell>
        </row>
        <row r="17">
          <cell r="T17">
            <v>0</v>
          </cell>
          <cell r="U17">
            <v>0</v>
          </cell>
          <cell r="V17">
            <v>0</v>
          </cell>
          <cell r="W17">
            <v>0</v>
          </cell>
          <cell r="X17">
            <v>0</v>
          </cell>
        </row>
        <row r="18">
          <cell r="T18">
            <v>0</v>
          </cell>
          <cell r="U18">
            <v>0</v>
          </cell>
          <cell r="V18">
            <v>0</v>
          </cell>
          <cell r="W18">
            <v>0</v>
          </cell>
          <cell r="X18">
            <v>0</v>
          </cell>
        </row>
        <row r="19">
          <cell r="T19">
            <v>0</v>
          </cell>
          <cell r="U19">
            <v>0</v>
          </cell>
          <cell r="V19">
            <v>0</v>
          </cell>
          <cell r="W19">
            <v>0</v>
          </cell>
          <cell r="X19">
            <v>0</v>
          </cell>
        </row>
        <row r="20">
          <cell r="T20">
            <v>0</v>
          </cell>
          <cell r="U20">
            <v>0</v>
          </cell>
          <cell r="V20">
            <v>0</v>
          </cell>
          <cell r="W20">
            <v>0</v>
          </cell>
          <cell r="X20">
            <v>0</v>
          </cell>
        </row>
        <row r="21">
          <cell r="T21">
            <v>0</v>
          </cell>
          <cell r="U21">
            <v>0</v>
          </cell>
          <cell r="V21">
            <v>0</v>
          </cell>
          <cell r="W21">
            <v>0</v>
          </cell>
          <cell r="X21">
            <v>0</v>
          </cell>
        </row>
        <row r="22">
          <cell r="T22">
            <v>0</v>
          </cell>
          <cell r="U22">
            <v>0</v>
          </cell>
          <cell r="V22">
            <v>0</v>
          </cell>
          <cell r="W22">
            <v>0</v>
          </cell>
          <cell r="X22">
            <v>0</v>
          </cell>
        </row>
        <row r="23">
          <cell r="T23">
            <v>0</v>
          </cell>
          <cell r="U23">
            <v>0</v>
          </cell>
          <cell r="V23">
            <v>0</v>
          </cell>
          <cell r="W23">
            <v>0</v>
          </cell>
          <cell r="X23">
            <v>0</v>
          </cell>
        </row>
        <row r="24">
          <cell r="T24">
            <v>0</v>
          </cell>
          <cell r="U24">
            <v>0</v>
          </cell>
          <cell r="V24">
            <v>0</v>
          </cell>
          <cell r="W24">
            <v>0</v>
          </cell>
          <cell r="X24">
            <v>0</v>
          </cell>
        </row>
        <row r="25">
          <cell r="T25">
            <v>0</v>
          </cell>
          <cell r="U25">
            <v>0</v>
          </cell>
          <cell r="V25">
            <v>0</v>
          </cell>
          <cell r="W25">
            <v>0</v>
          </cell>
          <cell r="X25">
            <v>0</v>
          </cell>
        </row>
        <row r="26">
          <cell r="T26">
            <v>0</v>
          </cell>
          <cell r="U26">
            <v>0</v>
          </cell>
          <cell r="V26">
            <v>0</v>
          </cell>
          <cell r="W26">
            <v>0</v>
          </cell>
          <cell r="X26">
            <v>0</v>
          </cell>
        </row>
        <row r="27">
          <cell r="T27">
            <v>0</v>
          </cell>
          <cell r="U27">
            <v>0</v>
          </cell>
          <cell r="V27">
            <v>0</v>
          </cell>
          <cell r="W27">
            <v>0</v>
          </cell>
          <cell r="X27">
            <v>0</v>
          </cell>
        </row>
        <row r="28">
          <cell r="T28">
            <v>0</v>
          </cell>
          <cell r="U28">
            <v>0</v>
          </cell>
          <cell r="V28">
            <v>0</v>
          </cell>
          <cell r="W28">
            <v>0</v>
          </cell>
          <cell r="X28">
            <v>0</v>
          </cell>
        </row>
        <row r="29">
          <cell r="T29">
            <v>0</v>
          </cell>
          <cell r="U29">
            <v>0</v>
          </cell>
          <cell r="V29">
            <v>0</v>
          </cell>
          <cell r="W29">
            <v>0</v>
          </cell>
          <cell r="X29">
            <v>0</v>
          </cell>
        </row>
        <row r="30">
          <cell r="T30">
            <v>0</v>
          </cell>
          <cell r="U30">
            <v>0</v>
          </cell>
          <cell r="V30">
            <v>0</v>
          </cell>
          <cell r="W30">
            <v>0</v>
          </cell>
          <cell r="X30">
            <v>0</v>
          </cell>
        </row>
        <row r="31">
          <cell r="T31">
            <v>0</v>
          </cell>
          <cell r="U31">
            <v>0</v>
          </cell>
          <cell r="V31">
            <v>0</v>
          </cell>
          <cell r="W31">
            <v>0</v>
          </cell>
          <cell r="X31">
            <v>0</v>
          </cell>
        </row>
        <row r="32">
          <cell r="T32">
            <v>0</v>
          </cell>
          <cell r="U32">
            <v>0</v>
          </cell>
          <cell r="V32">
            <v>0</v>
          </cell>
          <cell r="W32">
            <v>0</v>
          </cell>
          <cell r="X32">
            <v>0</v>
          </cell>
        </row>
        <row r="33">
          <cell r="T33">
            <v>0</v>
          </cell>
          <cell r="U33">
            <v>0</v>
          </cell>
          <cell r="V33">
            <v>0</v>
          </cell>
          <cell r="W33">
            <v>0</v>
          </cell>
          <cell r="X33">
            <v>0</v>
          </cell>
        </row>
        <row r="34">
          <cell r="T34">
            <v>0</v>
          </cell>
          <cell r="U34">
            <v>0</v>
          </cell>
          <cell r="V34">
            <v>0</v>
          </cell>
          <cell r="W34">
            <v>0</v>
          </cell>
          <cell r="X34">
            <v>0</v>
          </cell>
        </row>
        <row r="35">
          <cell r="T35">
            <v>0</v>
          </cell>
          <cell r="U35">
            <v>0</v>
          </cell>
          <cell r="V35">
            <v>0</v>
          </cell>
          <cell r="W35">
            <v>0</v>
          </cell>
          <cell r="X35">
            <v>0</v>
          </cell>
        </row>
        <row r="36">
          <cell r="T36">
            <v>0</v>
          </cell>
          <cell r="U36">
            <v>0</v>
          </cell>
          <cell r="V36">
            <v>0</v>
          </cell>
          <cell r="W36">
            <v>0</v>
          </cell>
          <cell r="X36">
            <v>0</v>
          </cell>
        </row>
        <row r="37">
          <cell r="T37">
            <v>0</v>
          </cell>
          <cell r="U37">
            <v>0</v>
          </cell>
          <cell r="V37">
            <v>0</v>
          </cell>
          <cell r="W37">
            <v>0</v>
          </cell>
          <cell r="X37">
            <v>0</v>
          </cell>
        </row>
        <row r="38">
          <cell r="T38">
            <v>0</v>
          </cell>
          <cell r="U38">
            <v>0</v>
          </cell>
          <cell r="V38">
            <v>0</v>
          </cell>
          <cell r="W38">
            <v>0</v>
          </cell>
          <cell r="X38">
            <v>32325.006888290372</v>
          </cell>
        </row>
        <row r="39">
          <cell r="T39">
            <v>0</v>
          </cell>
          <cell r="U39">
            <v>0</v>
          </cell>
          <cell r="V39">
            <v>0</v>
          </cell>
          <cell r="W39">
            <v>11194.932943111658</v>
          </cell>
          <cell r="X39">
            <v>70971.578267059958</v>
          </cell>
        </row>
        <row r="40">
          <cell r="T40">
            <v>0</v>
          </cell>
          <cell r="U40">
            <v>0</v>
          </cell>
          <cell r="V40">
            <v>543.60198856704301</v>
          </cell>
          <cell r="W40">
            <v>38514.647902923301</v>
          </cell>
          <cell r="X40">
            <v>139179.33742544238</v>
          </cell>
        </row>
        <row r="41">
          <cell r="T41">
            <v>0</v>
          </cell>
          <cell r="U41">
            <v>0</v>
          </cell>
          <cell r="V41">
            <v>22135.762534787311</v>
          </cell>
          <cell r="W41">
            <v>74261.785728702933</v>
          </cell>
          <cell r="X41">
            <v>214871.660149167</v>
          </cell>
        </row>
        <row r="42">
          <cell r="T42">
            <v>0</v>
          </cell>
          <cell r="U42">
            <v>12458.143243568455</v>
          </cell>
          <cell r="V42">
            <v>45229.979747300808</v>
          </cell>
          <cell r="W42">
            <v>134522.43064774692</v>
          </cell>
          <cell r="X42">
            <v>340188.89440166898</v>
          </cell>
        </row>
        <row r="43">
          <cell r="T43">
            <v>7016.724792906698</v>
          </cell>
          <cell r="U43">
            <v>30342.080317939028</v>
          </cell>
          <cell r="V43">
            <v>90569.507448220189</v>
          </cell>
          <cell r="W43">
            <v>199226.66258838086</v>
          </cell>
          <cell r="X43">
            <v>506434.94023263571</v>
          </cell>
        </row>
        <row r="44">
          <cell r="T44">
            <v>20281.914842143531</v>
          </cell>
          <cell r="U44">
            <v>61127.330366252616</v>
          </cell>
          <cell r="V44">
            <v>144678.44216087664</v>
          </cell>
          <cell r="W44">
            <v>325797.31182013702</v>
          </cell>
          <cell r="X44">
            <v>716233.21194044291</v>
          </cell>
        </row>
        <row r="45">
          <cell r="T45">
            <v>42012.861860629826</v>
          </cell>
          <cell r="U45">
            <v>107183.33469229221</v>
          </cell>
          <cell r="V45">
            <v>229644.19061903004</v>
          </cell>
          <cell r="W45">
            <v>470038.1899228479</v>
          </cell>
          <cell r="X45">
            <v>1019958.2664689492</v>
          </cell>
        </row>
        <row r="46">
          <cell r="T46">
            <v>82697.577588798042</v>
          </cell>
          <cell r="U46">
            <v>166907.69139294431</v>
          </cell>
          <cell r="V46">
            <v>349282.65000746393</v>
          </cell>
          <cell r="W46">
            <v>684337.41520096932</v>
          </cell>
          <cell r="X46">
            <v>1614887.3150252332</v>
          </cell>
        </row>
        <row r="47">
          <cell r="T47">
            <v>128160.80492777738</v>
          </cell>
          <cell r="U47">
            <v>269848.79617709899</v>
          </cell>
          <cell r="V47">
            <v>502605.15115819947</v>
          </cell>
          <cell r="W47">
            <v>944087.07758765668</v>
          </cell>
          <cell r="X47">
            <v>4201278.4393331883</v>
          </cell>
        </row>
        <row r="48">
          <cell r="T48">
            <v>212618.32903906383</v>
          </cell>
          <cell r="U48">
            <v>376376.63606019493</v>
          </cell>
          <cell r="V48">
            <v>710285.83633399988</v>
          </cell>
          <cell r="W48">
            <v>2050839.8650479007</v>
          </cell>
          <cell r="X48">
            <v>6808012.4497663286</v>
          </cell>
        </row>
        <row r="49">
          <cell r="T49">
            <v>303137.66209305951</v>
          </cell>
          <cell r="U49">
            <v>549965.06207246706</v>
          </cell>
          <cell r="V49">
            <v>1020341.0800644408</v>
          </cell>
          <cell r="W49">
            <v>3948539.5026897378</v>
          </cell>
          <cell r="X49">
            <v>14393224.964906026</v>
          </cell>
        </row>
        <row r="50">
          <cell r="T50">
            <v>441935.42450816731</v>
          </cell>
          <cell r="U50">
            <v>736442.55242097634</v>
          </cell>
          <cell r="V50">
            <v>2558267.6261592591</v>
          </cell>
          <cell r="W50">
            <v>7205419.3850918394</v>
          </cell>
          <cell r="X50">
            <v>22958111.735381264</v>
          </cell>
        </row>
        <row r="51">
          <cell r="T51">
            <v>602406.39315944025</v>
          </cell>
          <cell r="U51">
            <v>1696477.8798057451</v>
          </cell>
          <cell r="V51">
            <v>4195469.1651304523</v>
          </cell>
          <cell r="W51">
            <v>13816373.889953442</v>
          </cell>
          <cell r="X51">
            <v>36345309.094600663</v>
          </cell>
        </row>
        <row r="52">
          <cell r="T52">
            <v>1177112.1884338553</v>
          </cell>
          <cell r="U52">
            <v>3006440.0342465546</v>
          </cell>
          <cell r="V52">
            <v>8939489.1752577536</v>
          </cell>
          <cell r="W52">
            <v>20872609.049100749</v>
          </cell>
          <cell r="X52">
            <v>53714561.850938261</v>
          </cell>
        </row>
        <row r="53">
          <cell r="T53">
            <v>2180398.462117821</v>
          </cell>
          <cell r="U53">
            <v>5884778.4113672338</v>
          </cell>
          <cell r="V53">
            <v>14861677.374617156</v>
          </cell>
          <cell r="W53">
            <v>34119034.317449808</v>
          </cell>
          <cell r="X53">
            <v>73395960.240592808</v>
          </cell>
        </row>
        <row r="54">
          <cell r="T54">
            <v>3988063.342481568</v>
          </cell>
          <cell r="U54">
            <v>10875940.120782344</v>
          </cell>
          <cell r="V54">
            <v>23641304.880263787</v>
          </cell>
          <cell r="W54">
            <v>48340201.706881523</v>
          </cell>
          <cell r="X54">
            <v>100582095.70775816</v>
          </cell>
        </row>
        <row r="55">
          <cell r="T55">
            <v>8235712.2844953267</v>
          </cell>
          <cell r="U55">
            <v>17052804.234194174</v>
          </cell>
          <cell r="V55">
            <v>35732532.803252511</v>
          </cell>
          <cell r="W55">
            <v>67225176.665337026</v>
          </cell>
          <cell r="X55">
            <v>130273379.93604186</v>
          </cell>
        </row>
        <row r="56">
          <cell r="T56">
            <v>12788229.698716003</v>
          </cell>
          <cell r="U56">
            <v>26924308.082203954</v>
          </cell>
          <cell r="V56">
            <v>49183662.739546269</v>
          </cell>
          <cell r="W56">
            <v>89415002.682465911</v>
          </cell>
          <cell r="X56">
            <v>167998171.05530247</v>
          </cell>
        </row>
        <row r="57">
          <cell r="T57">
            <v>21462562.623547263</v>
          </cell>
          <cell r="U57">
            <v>38150628.964593656</v>
          </cell>
          <cell r="V57">
            <v>68409672.901752427</v>
          </cell>
          <cell r="W57">
            <v>116456598.89635186</v>
          </cell>
          <cell r="X57">
            <v>209918329.635923</v>
          </cell>
        </row>
        <row r="58">
          <cell r="T58">
            <v>30862714.050552826</v>
          </cell>
          <cell r="U58">
            <v>53519442.460225798</v>
          </cell>
          <cell r="V58">
            <v>89229061.283189401</v>
          </cell>
          <cell r="W58">
            <v>148327568.08028966</v>
          </cell>
          <cell r="X58">
            <v>263941353.80363506</v>
          </cell>
        </row>
        <row r="59">
          <cell r="T59">
            <v>42980467.746179</v>
          </cell>
          <cell r="U59">
            <v>70502013.151804686</v>
          </cell>
          <cell r="V59">
            <v>114831768.86716077</v>
          </cell>
          <cell r="W59">
            <v>182336343.09921283</v>
          </cell>
          <cell r="X59">
            <v>322994986.82685804</v>
          </cell>
        </row>
        <row r="60">
          <cell r="T60">
            <v>56868685.885265008</v>
          </cell>
          <cell r="U60">
            <v>90523791.965741485</v>
          </cell>
          <cell r="V60">
            <v>142113300.3821643</v>
          </cell>
          <cell r="W60">
            <v>228873026.18622869</v>
          </cell>
          <cell r="X60">
            <v>391219146.6912027</v>
          </cell>
        </row>
        <row r="61">
          <cell r="T61">
            <v>73173249.863974467</v>
          </cell>
          <cell r="U61">
            <v>113283839.37005609</v>
          </cell>
          <cell r="V61">
            <v>177777397.38256562</v>
          </cell>
          <cell r="W61">
            <v>278712293.36618984</v>
          </cell>
          <cell r="X61">
            <v>476271908.47124809</v>
          </cell>
        </row>
        <row r="62">
          <cell r="T62">
            <v>92606432.315148383</v>
          </cell>
          <cell r="U62">
            <v>141471538.98779973</v>
          </cell>
          <cell r="V62">
            <v>220275113.94296092</v>
          </cell>
          <cell r="W62">
            <v>342199978.74811625</v>
          </cell>
          <cell r="X62">
            <v>570108262.62742138</v>
          </cell>
        </row>
        <row r="63">
          <cell r="T63">
            <v>114713385.02231847</v>
          </cell>
          <cell r="U63">
            <v>176861938.73900968</v>
          </cell>
          <cell r="V63">
            <v>269385353.556898</v>
          </cell>
          <cell r="W63">
            <v>415359244.28680521</v>
          </cell>
          <cell r="X63">
            <v>679466250.2673403</v>
          </cell>
        </row>
        <row r="64">
          <cell r="T64">
            <v>145499687.70112386</v>
          </cell>
          <cell r="U64">
            <v>216379342.01765975</v>
          </cell>
          <cell r="V64">
            <v>331241361.47950637</v>
          </cell>
          <cell r="W64">
            <v>497992826.17574489</v>
          </cell>
          <cell r="X64">
            <v>800033598.39571452</v>
          </cell>
        </row>
        <row r="65">
          <cell r="T65">
            <v>178495629.92187685</v>
          </cell>
          <cell r="U65">
            <v>268071931.86726856</v>
          </cell>
          <cell r="V65">
            <v>398061127.19034636</v>
          </cell>
          <cell r="W65">
            <v>591556283.20818591</v>
          </cell>
          <cell r="X65">
            <v>943624260.8691833</v>
          </cell>
        </row>
        <row r="66">
          <cell r="T66">
            <v>222382319.14895332</v>
          </cell>
          <cell r="U66">
            <v>324838246.49827397</v>
          </cell>
          <cell r="V66">
            <v>477536786.19596469</v>
          </cell>
          <cell r="W66">
            <v>697706557.16821682</v>
          </cell>
          <cell r="X66">
            <v>1094292594.8384356</v>
          </cell>
        </row>
        <row r="67">
          <cell r="T67">
            <v>270534603.72725469</v>
          </cell>
          <cell r="U67">
            <v>391129522.10143268</v>
          </cell>
          <cell r="V67">
            <v>563863140.07751572</v>
          </cell>
          <cell r="W67">
            <v>817909046.26855218</v>
          </cell>
          <cell r="X67">
            <v>1272866473.1135333</v>
          </cell>
        </row>
        <row r="68">
          <cell r="T68">
            <v>326854366.4458884</v>
          </cell>
          <cell r="U68">
            <v>464065535.1316433</v>
          </cell>
          <cell r="V68">
            <v>663286467.37833047</v>
          </cell>
          <cell r="W68">
            <v>949669868.59972572</v>
          </cell>
          <cell r="X68">
            <v>1459069967.6467505</v>
          </cell>
        </row>
        <row r="69">
          <cell r="T69">
            <v>388751548.80168641</v>
          </cell>
          <cell r="U69">
            <v>546796151.93069553</v>
          </cell>
          <cell r="V69">
            <v>770991037.63258743</v>
          </cell>
          <cell r="W69">
            <v>1094932160.8543243</v>
          </cell>
          <cell r="X69">
            <v>1658787526.5526431</v>
          </cell>
        </row>
        <row r="70">
          <cell r="T70">
            <v>458579404.00862575</v>
          </cell>
          <cell r="U70">
            <v>636310592.37569666</v>
          </cell>
          <cell r="V70">
            <v>892376671.0863862</v>
          </cell>
          <cell r="W70">
            <v>1249707703.5211172</v>
          </cell>
          <cell r="X70">
            <v>1861395637.5746155</v>
          </cell>
        </row>
        <row r="71">
          <cell r="T71">
            <v>535517338.33488941</v>
          </cell>
          <cell r="U71">
            <v>736190512.57709789</v>
          </cell>
          <cell r="V71">
            <v>1020932984.4904181</v>
          </cell>
          <cell r="W71">
            <v>1409786272.9863896</v>
          </cell>
          <cell r="X71">
            <v>2089286526.8007269</v>
          </cell>
        </row>
        <row r="72">
          <cell r="T72">
            <v>619707702.7556622</v>
          </cell>
          <cell r="U72">
            <v>844709569.23421645</v>
          </cell>
          <cell r="V72">
            <v>1156596082.9605513</v>
          </cell>
          <cell r="W72">
            <v>1581230302.267365</v>
          </cell>
          <cell r="X72">
            <v>2328231136.139174</v>
          </cell>
        </row>
        <row r="73">
          <cell r="T73">
            <v>711705753.84297514</v>
          </cell>
          <cell r="U73">
            <v>959714766.65824926</v>
          </cell>
          <cell r="V73">
            <v>1297400159.0564547</v>
          </cell>
          <cell r="W73">
            <v>1768384975.2159083</v>
          </cell>
          <cell r="X73">
            <v>2580147756.836895</v>
          </cell>
        </row>
        <row r="74">
          <cell r="T74">
            <v>811478220.65702093</v>
          </cell>
          <cell r="U74">
            <v>1082245206.0968904</v>
          </cell>
          <cell r="V74">
            <v>1457401978.1216702</v>
          </cell>
          <cell r="W74">
            <v>1972125199.8665786</v>
          </cell>
          <cell r="X74">
            <v>2847858307.2585831</v>
          </cell>
        </row>
        <row r="75">
          <cell r="T75">
            <v>920437017.94640768</v>
          </cell>
          <cell r="U75">
            <v>1218817262.4604712</v>
          </cell>
          <cell r="V75">
            <v>1633350389.8421926</v>
          </cell>
          <cell r="W75">
            <v>2187123505.2218571</v>
          </cell>
          <cell r="X75">
            <v>3142879035.1754847</v>
          </cell>
        </row>
        <row r="76">
          <cell r="T76">
            <v>1037000134.7869573</v>
          </cell>
          <cell r="U76">
            <v>1366095233.3533297</v>
          </cell>
          <cell r="V76">
            <v>1815717013.1113515</v>
          </cell>
          <cell r="W76">
            <v>2416327807.9192386</v>
          </cell>
          <cell r="X76">
            <v>3452347454.1977825</v>
          </cell>
        </row>
        <row r="77">
          <cell r="T77">
            <v>1161240892.3374178</v>
          </cell>
          <cell r="U77">
            <v>1521654610.974854</v>
          </cell>
          <cell r="V77">
            <v>2004291875.0609603</v>
          </cell>
          <cell r="W77">
            <v>2653778398.8967342</v>
          </cell>
          <cell r="X77">
            <v>3778435769.4783301</v>
          </cell>
        </row>
        <row r="78">
          <cell r="T78">
            <v>1294131768.4882298</v>
          </cell>
          <cell r="U78">
            <v>1680842218.2072778</v>
          </cell>
          <cell r="V78">
            <v>2205264798.9149895</v>
          </cell>
          <cell r="W78">
            <v>2907467294.8886209</v>
          </cell>
          <cell r="X78">
            <v>4120120231.5383902</v>
          </cell>
        </row>
        <row r="79">
          <cell r="T79">
            <v>1434451608.6101322</v>
          </cell>
          <cell r="U79">
            <v>1855824326.0972719</v>
          </cell>
          <cell r="V79">
            <v>2424836531.3126822</v>
          </cell>
          <cell r="W79">
            <v>3182376207.8504629</v>
          </cell>
          <cell r="X79">
            <v>4497484961.2880354</v>
          </cell>
        </row>
        <row r="80">
          <cell r="T80">
            <v>1584842689.5201228</v>
          </cell>
          <cell r="U80">
            <v>2039684364.4313865</v>
          </cell>
          <cell r="V80">
            <v>2657800618.9607358</v>
          </cell>
          <cell r="W80">
            <v>3473260630.1891079</v>
          </cell>
          <cell r="X80">
            <v>4913776979.7301998</v>
          </cell>
        </row>
        <row r="81">
          <cell r="T81">
            <v>1739689662.4220865</v>
          </cell>
          <cell r="U81">
            <v>2234530845.7778339</v>
          </cell>
          <cell r="V81">
            <v>2897153604.4861164</v>
          </cell>
          <cell r="W81">
            <v>3788442818.1009626</v>
          </cell>
          <cell r="X81">
            <v>5368110088.2896557</v>
          </cell>
        </row>
        <row r="82">
          <cell r="T82">
            <v>1905562907.4712739</v>
          </cell>
          <cell r="U82">
            <v>2438582112.8038769</v>
          </cell>
          <cell r="V82">
            <v>3160037948.6465158</v>
          </cell>
          <cell r="W82">
            <v>4132440735.1552801</v>
          </cell>
          <cell r="X82">
            <v>5791573673.0508509</v>
          </cell>
        </row>
        <row r="83">
          <cell r="T83">
            <v>2077545437.2048326</v>
          </cell>
          <cell r="U83">
            <v>2655406427.2585268</v>
          </cell>
          <cell r="V83">
            <v>3445220873.5270252</v>
          </cell>
          <cell r="W83">
            <v>4485361189.9127903</v>
          </cell>
          <cell r="X83">
            <v>6237241044.3522129</v>
          </cell>
        </row>
        <row r="84">
          <cell r="T84">
            <v>2260879217.4265919</v>
          </cell>
          <cell r="U84">
            <v>2894930000.2220135</v>
          </cell>
          <cell r="V84">
            <v>3751592950.6248531</v>
          </cell>
          <cell r="W84">
            <v>4832325641.7869835</v>
          </cell>
          <cell r="X84">
            <v>6706305920.5616045</v>
          </cell>
        </row>
        <row r="85">
          <cell r="T85">
            <v>2460714260.2169504</v>
          </cell>
          <cell r="U85">
            <v>3151652098.207283</v>
          </cell>
          <cell r="V85">
            <v>4042008968.8826694</v>
          </cell>
          <cell r="W85">
            <v>5199792393.1211395</v>
          </cell>
          <cell r="X85">
            <v>7186748996.5436821</v>
          </cell>
        </row>
        <row r="86">
          <cell r="T86">
            <v>2676173812.2562828</v>
          </cell>
          <cell r="U86">
            <v>3402015230.275897</v>
          </cell>
          <cell r="V86">
            <v>4350884477.230423</v>
          </cell>
          <cell r="W86">
            <v>5584591642.8429832</v>
          </cell>
          <cell r="X86">
            <v>7697945198.0437889</v>
          </cell>
        </row>
        <row r="87">
          <cell r="T87">
            <v>2900550820.5476146</v>
          </cell>
          <cell r="U87">
            <v>3673334366.5940571</v>
          </cell>
          <cell r="V87">
            <v>4683820848.7409067</v>
          </cell>
          <cell r="W87">
            <v>6005925293.3167515</v>
          </cell>
          <cell r="X87">
            <v>8222014760.8006039</v>
          </cell>
        </row>
        <row r="88">
          <cell r="T88">
            <v>3136550058.9784422</v>
          </cell>
          <cell r="U88">
            <v>3964986959.3407526</v>
          </cell>
          <cell r="V88">
            <v>5049623287.1045198</v>
          </cell>
          <cell r="W88">
            <v>6435420897.0337791</v>
          </cell>
          <cell r="X88">
            <v>9080138249.7358551</v>
          </cell>
        </row>
        <row r="89">
          <cell r="T89">
            <v>3386980910.7690077</v>
          </cell>
          <cell r="U89">
            <v>4273682260.877182</v>
          </cell>
          <cell r="V89">
            <v>5416289943.5866508</v>
          </cell>
          <cell r="W89">
            <v>6889445680.5613985</v>
          </cell>
          <cell r="X89">
            <v>10816651111.402668</v>
          </cell>
        </row>
        <row r="90">
          <cell r="T90">
            <v>3652514666.7263412</v>
          </cell>
          <cell r="U90">
            <v>4587644705.7782478</v>
          </cell>
          <cell r="V90">
            <v>5798476698.2432346</v>
          </cell>
          <cell r="W90">
            <v>8056137143.7089396</v>
          </cell>
          <cell r="X90">
            <v>12631113870.72471</v>
          </cell>
        </row>
        <row r="91">
          <cell r="T91">
            <v>3933636414.7553272</v>
          </cell>
          <cell r="U91">
            <v>4921561622.9560165</v>
          </cell>
          <cell r="V91">
            <v>6554560931.1267757</v>
          </cell>
          <cell r="W91">
            <v>9489163017.1669273</v>
          </cell>
          <cell r="X91">
            <v>14120345170.555117</v>
          </cell>
        </row>
        <row r="92">
          <cell r="T92">
            <v>4228210978.2591758</v>
          </cell>
          <cell r="U92">
            <v>5453137676.2752371</v>
          </cell>
          <cell r="V92">
            <v>7730896866.3440447</v>
          </cell>
          <cell r="W92">
            <v>10721090813.293793</v>
          </cell>
          <cell r="X92">
            <v>15700251612.430023</v>
          </cell>
        </row>
        <row r="93">
          <cell r="T93">
            <v>4628602761.4055567</v>
          </cell>
          <cell r="U93">
            <v>6407764496.3116379</v>
          </cell>
          <cell r="V93">
            <v>8859979825.5767288</v>
          </cell>
          <cell r="W93">
            <v>11923160776.335571</v>
          </cell>
          <cell r="X93">
            <v>17782019880.248558</v>
          </cell>
        </row>
        <row r="94">
          <cell r="T94">
            <v>5364145178.169178</v>
          </cell>
          <cell r="U94">
            <v>7352959752.9750929</v>
          </cell>
          <cell r="V94">
            <v>9851813250.8116684</v>
          </cell>
          <cell r="W94">
            <v>13322365244.084209</v>
          </cell>
          <cell r="X94">
            <v>19982839981.26712</v>
          </cell>
        </row>
        <row r="95">
          <cell r="T95">
            <v>6141659274.1244392</v>
          </cell>
          <cell r="U95">
            <v>8172818029.3031731</v>
          </cell>
          <cell r="V95">
            <v>10947706522.775585</v>
          </cell>
          <cell r="W95">
            <v>14971751256.541138</v>
          </cell>
          <cell r="X95">
            <v>22409307031.391739</v>
          </cell>
        </row>
        <row r="96">
          <cell r="T96">
            <v>6871218661.4310112</v>
          </cell>
          <cell r="U96">
            <v>9151674278.0440407</v>
          </cell>
          <cell r="V96">
            <v>12492637457.535376</v>
          </cell>
          <cell r="W96">
            <v>16977763939.397148</v>
          </cell>
          <cell r="X96">
            <v>25626283139.810043</v>
          </cell>
        </row>
        <row r="97">
          <cell r="T97">
            <v>7653141052.0904226</v>
          </cell>
          <cell r="U97">
            <v>10413658272.186987</v>
          </cell>
          <cell r="V97">
            <v>14184339226.328045</v>
          </cell>
          <cell r="W97">
            <v>19531061766.445683</v>
          </cell>
          <cell r="X97">
            <v>29022330298.468193</v>
          </cell>
        </row>
        <row r="98">
          <cell r="T98">
            <v>8674589277.7710323</v>
          </cell>
          <cell r="U98">
            <v>11811939185.290947</v>
          </cell>
          <cell r="V98">
            <v>16319129110.784897</v>
          </cell>
          <cell r="W98">
            <v>22259929310.146461</v>
          </cell>
          <cell r="X98">
            <v>32208537818.182587</v>
          </cell>
        </row>
        <row r="99">
          <cell r="T99">
            <v>9774567739.9763985</v>
          </cell>
          <cell r="U99">
            <v>13587263485.690632</v>
          </cell>
          <cell r="V99">
            <v>18650744287.057289</v>
          </cell>
          <cell r="W99">
            <v>24802988780.954865</v>
          </cell>
          <cell r="X99">
            <v>35570911755.768196</v>
          </cell>
        </row>
        <row r="100">
          <cell r="T100">
            <v>11280112826.912476</v>
          </cell>
          <cell r="U100">
            <v>15611599910.438904</v>
          </cell>
          <cell r="V100">
            <v>20880721419.452782</v>
          </cell>
          <cell r="W100">
            <v>27478450684.588783</v>
          </cell>
          <cell r="X100">
            <v>39361479641.395966</v>
          </cell>
        </row>
        <row r="101">
          <cell r="T101">
            <v>12953438097.771175</v>
          </cell>
          <cell r="U101">
            <v>17501797710.541161</v>
          </cell>
          <cell r="V101">
            <v>23142997708.824646</v>
          </cell>
          <cell r="W101">
            <v>30352033577.07016</v>
          </cell>
          <cell r="X101">
            <v>43348894781.621536</v>
          </cell>
        </row>
        <row r="102">
          <cell r="T102">
            <v>14579786616.63862</v>
          </cell>
          <cell r="U102">
            <v>19469014595.123573</v>
          </cell>
          <cell r="V102">
            <v>25698608569.895172</v>
          </cell>
          <cell r="W102">
            <v>33597460766.664013</v>
          </cell>
          <cell r="X102">
            <v>47977856925.743164</v>
          </cell>
        </row>
        <row r="103">
          <cell r="T103">
            <v>16258029011.927694</v>
          </cell>
          <cell r="U103">
            <v>21621662579.438023</v>
          </cell>
          <cell r="V103">
            <v>28468027002.699944</v>
          </cell>
          <cell r="W103">
            <v>37171318807.879906</v>
          </cell>
          <cell r="X103">
            <v>52936946403.821365</v>
          </cell>
        </row>
        <row r="104">
          <cell r="T104">
            <v>17985726387.332497</v>
          </cell>
          <cell r="U104">
            <v>23860669032.948704</v>
          </cell>
          <cell r="V104">
            <v>31358408433.594658</v>
          </cell>
          <cell r="W104">
            <v>40907236850.397385</v>
          </cell>
          <cell r="X104">
            <v>58053534986.897369</v>
          </cell>
        </row>
        <row r="105">
          <cell r="T105">
            <v>19789574774.325409</v>
          </cell>
          <cell r="U105">
            <v>26204213875.036018</v>
          </cell>
          <cell r="V105">
            <v>34384965071.186768</v>
          </cell>
          <cell r="W105">
            <v>44727600906.060867</v>
          </cell>
          <cell r="X105">
            <v>63410021924.325027</v>
          </cell>
        </row>
        <row r="106">
          <cell r="T106">
            <v>21716426752.621571</v>
          </cell>
          <cell r="U106">
            <v>28737970798.46003</v>
          </cell>
          <cell r="V106">
            <v>37615356587.967262</v>
          </cell>
          <cell r="W106">
            <v>48812626011.010681</v>
          </cell>
          <cell r="X106">
            <v>69396047439.191589</v>
          </cell>
        </row>
        <row r="107">
          <cell r="T107">
            <v>23774465210.718216</v>
          </cell>
          <cell r="U107">
            <v>31376066677.655807</v>
          </cell>
          <cell r="V107">
            <v>41041376822.080444</v>
          </cell>
          <cell r="W107">
            <v>53235879079.111465</v>
          </cell>
          <cell r="X107">
            <v>76018922853.573654</v>
          </cell>
        </row>
        <row r="108">
          <cell r="T108">
            <v>26030923529.232086</v>
          </cell>
          <cell r="U108">
            <v>34331985933.04351</v>
          </cell>
          <cell r="V108">
            <v>44842400668.687309</v>
          </cell>
          <cell r="W108">
            <v>58457402915.504662</v>
          </cell>
          <cell r="X108">
            <v>83664271544.118439</v>
          </cell>
        </row>
        <row r="109">
          <cell r="T109">
            <v>28540683999.879192</v>
          </cell>
          <cell r="U109">
            <v>37652328333.421417</v>
          </cell>
          <cell r="V109">
            <v>49435709573.819145</v>
          </cell>
          <cell r="W109">
            <v>64454009395.996216</v>
          </cell>
          <cell r="X109">
            <v>93096998640.465302</v>
          </cell>
        </row>
        <row r="110">
          <cell r="T110">
            <v>31247417107.437553</v>
          </cell>
          <cell r="U110">
            <v>41394138762.55764</v>
          </cell>
          <cell r="V110">
            <v>54351524641.38195</v>
          </cell>
          <cell r="W110">
            <v>71691628122.754181</v>
          </cell>
          <cell r="X110">
            <v>102908553542.97806</v>
          </cell>
        </row>
        <row r="111">
          <cell r="T111">
            <v>34201879059.48584</v>
          </cell>
          <cell r="U111">
            <v>45420208761.809616</v>
          </cell>
          <cell r="V111">
            <v>60321726305.81459</v>
          </cell>
          <cell r="W111">
            <v>79171572165.55835</v>
          </cell>
          <cell r="X111">
            <v>112758218161.6313</v>
          </cell>
        </row>
        <row r="112">
          <cell r="T112">
            <v>37449350607.944717</v>
          </cell>
          <cell r="U112">
            <v>50345414306.347076</v>
          </cell>
          <cell r="V112">
            <v>66781031569.105675</v>
          </cell>
          <cell r="W112">
            <v>86723399495.1521</v>
          </cell>
          <cell r="X112">
            <v>123120963579.1635</v>
          </cell>
        </row>
        <row r="113">
          <cell r="T113">
            <v>41502112536.222099</v>
          </cell>
          <cell r="U113">
            <v>55676352800.56041</v>
          </cell>
          <cell r="V113">
            <v>73035251811.235397</v>
          </cell>
          <cell r="W113">
            <v>94761806420.991531</v>
          </cell>
          <cell r="X113">
            <v>137388300920.32748</v>
          </cell>
        </row>
        <row r="114">
          <cell r="T114">
            <v>45844337184.489563</v>
          </cell>
          <cell r="U114">
            <v>60967404153.12619</v>
          </cell>
          <cell r="V114">
            <v>79860142111.142181</v>
          </cell>
          <cell r="W114">
            <v>105113956695.99542</v>
          </cell>
          <cell r="X114">
            <v>152979493332.88254</v>
          </cell>
        </row>
        <row r="115">
          <cell r="T115">
            <v>50359947798.755989</v>
          </cell>
          <cell r="U115">
            <v>66911418336.203423</v>
          </cell>
          <cell r="V115">
            <v>89050750756.744675</v>
          </cell>
          <cell r="W115">
            <v>117599960726.03542</v>
          </cell>
          <cell r="X115">
            <v>173212815898.55295</v>
          </cell>
        </row>
        <row r="116">
          <cell r="T116">
            <v>55199659422.273903</v>
          </cell>
          <cell r="U116">
            <v>74543749967.194977</v>
          </cell>
          <cell r="V116">
            <v>99477786114.881134</v>
          </cell>
          <cell r="W116">
            <v>132964392849.75226</v>
          </cell>
          <cell r="X116">
            <v>196204508274.15366</v>
          </cell>
        </row>
        <row r="117">
          <cell r="T117">
            <v>61269693663.555885</v>
          </cell>
          <cell r="U117">
            <v>82949024500.779266</v>
          </cell>
          <cell r="V117">
            <v>111882132020.89915</v>
          </cell>
          <cell r="W117">
            <v>149799689936.59778</v>
          </cell>
          <cell r="X117">
            <v>219173577990.20007</v>
          </cell>
        </row>
        <row r="118">
          <cell r="T118">
            <v>67883624750.636948</v>
          </cell>
          <cell r="U118">
            <v>93170340529.311523</v>
          </cell>
          <cell r="V118">
            <v>126000504987.92169</v>
          </cell>
          <cell r="W118">
            <v>167434388475.75293</v>
          </cell>
          <cell r="X118">
            <v>243745104536.34418</v>
          </cell>
        </row>
        <row r="119">
          <cell r="T119">
            <v>76075236780.330933</v>
          </cell>
          <cell r="U119">
            <v>104652232374.88809</v>
          </cell>
          <cell r="V119">
            <v>140666433466.86526</v>
          </cell>
          <cell r="W119">
            <v>185958492437.30334</v>
          </cell>
          <cell r="X119">
            <v>270275587796.74725</v>
          </cell>
        </row>
        <row r="120">
          <cell r="T120">
            <v>85179440805.520935</v>
          </cell>
          <cell r="U120">
            <v>116573819535.71936</v>
          </cell>
          <cell r="V120">
            <v>156036449822.62634</v>
          </cell>
          <cell r="W120">
            <v>205570625995.49014</v>
          </cell>
          <cell r="X120">
            <v>298457526333.28198</v>
          </cell>
        </row>
        <row r="121">
          <cell r="T121">
            <v>95097683541.052933</v>
          </cell>
          <cell r="U121">
            <v>129848281004.38699</v>
          </cell>
          <cell r="V121">
            <v>173428211383.29596</v>
          </cell>
          <cell r="W121">
            <v>228482476103.63818</v>
          </cell>
          <cell r="X121">
            <v>330560371415.31396</v>
          </cell>
        </row>
        <row r="122">
          <cell r="T122">
            <v>105811934279.2916</v>
          </cell>
          <cell r="U122">
            <v>144437618916.6568</v>
          </cell>
          <cell r="V122">
            <v>192774335974.41446</v>
          </cell>
          <cell r="W122">
            <v>253105821937.69037</v>
          </cell>
          <cell r="X122">
            <v>365914722434.13281</v>
          </cell>
        </row>
        <row r="123">
          <cell r="T123">
            <v>117291509166.53574</v>
          </cell>
          <cell r="U123">
            <v>160126115674.12546</v>
          </cell>
          <cell r="V123">
            <v>213453714594.88345</v>
          </cell>
          <cell r="W123">
            <v>280198003619.40411</v>
          </cell>
          <cell r="X123">
            <v>402578002280.48804</v>
          </cell>
        </row>
        <row r="124">
          <cell r="T124">
            <v>129591902606.61771</v>
          </cell>
          <cell r="U124">
            <v>177135388842.19537</v>
          </cell>
          <cell r="V124">
            <v>236133376052.28168</v>
          </cell>
          <cell r="W124">
            <v>308361378962.30774</v>
          </cell>
          <cell r="X124">
            <v>437958024924.65808</v>
          </cell>
        </row>
        <row r="125">
          <cell r="T125">
            <v>142942774304.40747</v>
          </cell>
          <cell r="U125">
            <v>195575679579.37894</v>
          </cell>
          <cell r="V125">
            <v>259691200761.77185</v>
          </cell>
          <cell r="W125">
            <v>334817076511.80652</v>
          </cell>
          <cell r="X125">
            <v>476510590919.27771</v>
          </cell>
        </row>
        <row r="126">
          <cell r="T126">
            <v>157475245618.78119</v>
          </cell>
          <cell r="U126">
            <v>214498360354.64172</v>
          </cell>
          <cell r="V126">
            <v>281836284162.57153</v>
          </cell>
          <cell r="W126">
            <v>363034838711.89001</v>
          </cell>
          <cell r="X126">
            <v>543802416452.22955</v>
          </cell>
        </row>
        <row r="127">
          <cell r="T127">
            <v>172687511293.96454</v>
          </cell>
          <cell r="U127">
            <v>233294388451.97028</v>
          </cell>
          <cell r="V127">
            <v>306194523200.578</v>
          </cell>
          <cell r="W127">
            <v>412658143549.4812</v>
          </cell>
          <cell r="X127">
            <v>616017910632.64331</v>
          </cell>
        </row>
        <row r="128">
          <cell r="T128">
            <v>188211134761.70166</v>
          </cell>
          <cell r="U128">
            <v>254880255502.23251</v>
          </cell>
          <cell r="V128">
            <v>350168862897.88458</v>
          </cell>
          <cell r="W128">
            <v>470974657180.61719</v>
          </cell>
          <cell r="X128">
            <v>721492499505.82617</v>
          </cell>
        </row>
        <row r="129">
          <cell r="T129">
            <v>206837116774.37</v>
          </cell>
          <cell r="U129">
            <v>291277718379.1601</v>
          </cell>
          <cell r="V129">
            <v>397887735714.68469</v>
          </cell>
          <cell r="W129">
            <v>549039457552.57471</v>
          </cell>
          <cell r="X129">
            <v>837810890601.69495</v>
          </cell>
        </row>
        <row r="130">
          <cell r="T130">
            <v>234363592580.13367</v>
          </cell>
          <cell r="U130">
            <v>328962726934.50232</v>
          </cell>
          <cell r="V130">
            <v>462919675346.073</v>
          </cell>
          <cell r="W130">
            <v>634478552086.15222</v>
          </cell>
          <cell r="X130">
            <v>895768908600.20935</v>
          </cell>
        </row>
        <row r="131">
          <cell r="T131">
            <v>264841733460.28381</v>
          </cell>
          <cell r="U131">
            <v>382881702597.93964</v>
          </cell>
          <cell r="V131">
            <v>533816561846.06799</v>
          </cell>
          <cell r="W131">
            <v>682713573207.8645</v>
          </cell>
          <cell r="X131">
            <v>950276520731.81787</v>
          </cell>
        </row>
        <row r="132">
          <cell r="T132">
            <v>306258517238.42834</v>
          </cell>
          <cell r="U132">
            <v>439905535407.2099</v>
          </cell>
          <cell r="V132">
            <v>573894248684.96057</v>
          </cell>
          <cell r="W132">
            <v>723564089452.06848</v>
          </cell>
          <cell r="X132">
            <v>977095119779.14966</v>
          </cell>
        </row>
        <row r="133">
          <cell r="T133">
            <v>350647926995.44843</v>
          </cell>
          <cell r="U133">
            <v>470873896050.72723</v>
          </cell>
          <cell r="V133">
            <v>608548962324.80933</v>
          </cell>
          <cell r="W133">
            <v>747669870958.24036</v>
          </cell>
          <cell r="X133">
            <v>985048116420.9906</v>
          </cell>
        </row>
        <row r="134">
          <cell r="T134">
            <v>374060783091.57581</v>
          </cell>
          <cell r="U134">
            <v>502034170066.75012</v>
          </cell>
          <cell r="V134">
            <v>629497458729.58911</v>
          </cell>
          <cell r="W134">
            <v>755313759482.6908</v>
          </cell>
          <cell r="X134">
            <v>996805061079.06628</v>
          </cell>
        </row>
        <row r="135">
          <cell r="T135">
            <v>399001405212.59888</v>
          </cell>
          <cell r="U135">
            <v>515930846338.35388</v>
          </cell>
          <cell r="V135">
            <v>636283384457.16052</v>
          </cell>
          <cell r="W135">
            <v>765985914425.05566</v>
          </cell>
          <cell r="X135">
            <v>1013521688217.0768</v>
          </cell>
        </row>
        <row r="136">
          <cell r="T136">
            <v>406760699791.52167</v>
          </cell>
          <cell r="U136">
            <v>521979334632.07819</v>
          </cell>
          <cell r="V136">
            <v>645487657794.16504</v>
          </cell>
          <cell r="W136">
            <v>779758237960.3606</v>
          </cell>
          <cell r="X136">
            <v>1029006576604.7277</v>
          </cell>
        </row>
        <row r="137">
          <cell r="T137">
            <v>412528969754.46191</v>
          </cell>
          <cell r="U137">
            <v>530785297995.25104</v>
          </cell>
          <cell r="V137">
            <v>657772297164.42773</v>
          </cell>
          <cell r="W137">
            <v>792912014666.82642</v>
          </cell>
          <cell r="X137">
            <v>1043164996933.0262</v>
          </cell>
        </row>
        <row r="138">
          <cell r="T138">
            <v>421466422281.92413</v>
          </cell>
          <cell r="U138">
            <v>541702285218.01196</v>
          </cell>
          <cell r="V138">
            <v>669150398712.16663</v>
          </cell>
          <cell r="W138">
            <v>804976512971.12317</v>
          </cell>
          <cell r="X138">
            <v>1057394889921.49</v>
          </cell>
        </row>
        <row r="139">
          <cell r="T139">
            <v>431863068224.71497</v>
          </cell>
          <cell r="U139">
            <v>552021298756.58594</v>
          </cell>
          <cell r="V139">
            <v>679654861745.52344</v>
          </cell>
          <cell r="W139">
            <v>817591546745.3302</v>
          </cell>
          <cell r="X139">
            <v>1071802008628.775</v>
          </cell>
        </row>
        <row r="140">
          <cell r="T140">
            <v>441982445205.43787</v>
          </cell>
          <cell r="U140">
            <v>562272720479.17163</v>
          </cell>
          <cell r="V140">
            <v>691494603345.20947</v>
          </cell>
          <cell r="W140">
            <v>830516998144.65356</v>
          </cell>
          <cell r="X140">
            <v>1088309147169.3636</v>
          </cell>
        </row>
        <row r="141">
          <cell r="T141">
            <v>452306242602.70453</v>
          </cell>
          <cell r="U141">
            <v>573451969838.59717</v>
          </cell>
          <cell r="V141">
            <v>703672599773.17761</v>
          </cell>
          <cell r="W141">
            <v>845560412786.24597</v>
          </cell>
          <cell r="X141">
            <v>1116719779983.3076</v>
          </cell>
        </row>
        <row r="142">
          <cell r="T142">
            <v>462513259786.87677</v>
          </cell>
          <cell r="U142">
            <v>584184393804.32104</v>
          </cell>
          <cell r="V142">
            <v>717478152029.19214</v>
          </cell>
          <cell r="W142">
            <v>870164162701.15149</v>
          </cell>
          <cell r="X142">
            <v>1146216819717.2629</v>
          </cell>
        </row>
        <row r="143">
          <cell r="T143">
            <v>472765222987.64868</v>
          </cell>
          <cell r="U143">
            <v>597485549264.92773</v>
          </cell>
          <cell r="V143">
            <v>738428302049.07178</v>
          </cell>
          <cell r="W143">
            <v>894989547750.64868</v>
          </cell>
          <cell r="X143">
            <v>1171119000675.7881</v>
          </cell>
        </row>
        <row r="144">
          <cell r="T144">
            <v>486526960326.71667</v>
          </cell>
          <cell r="U144">
            <v>616511677771.36377</v>
          </cell>
          <cell r="V144">
            <v>760168178584.55115</v>
          </cell>
          <cell r="W144">
            <v>915995838012.85156</v>
          </cell>
          <cell r="X144">
            <v>1196551007396.3164</v>
          </cell>
        </row>
        <row r="145">
          <cell r="T145">
            <v>504675863789.78979</v>
          </cell>
          <cell r="U145">
            <v>636051068734.01501</v>
          </cell>
          <cell r="V145">
            <v>778765307335.04126</v>
          </cell>
          <cell r="W145">
            <v>938372123935.46692</v>
          </cell>
          <cell r="X145">
            <v>1222220659288.3313</v>
          </cell>
        </row>
        <row r="146">
          <cell r="T146">
            <v>523176436792.26514</v>
          </cell>
          <cell r="U146">
            <v>653632696999.89893</v>
          </cell>
          <cell r="V146">
            <v>799052801334.83704</v>
          </cell>
          <cell r="W146">
            <v>961178769516.5459</v>
          </cell>
          <cell r="X146">
            <v>1249649242608.7363</v>
          </cell>
        </row>
        <row r="147">
          <cell r="T147">
            <v>541200792888.51428</v>
          </cell>
          <cell r="U147">
            <v>673725242114.83081</v>
          </cell>
          <cell r="V147">
            <v>820493507986.19934</v>
          </cell>
          <cell r="W147">
            <v>986255446318.43762</v>
          </cell>
          <cell r="X147">
            <v>1281003398812.5618</v>
          </cell>
        </row>
        <row r="148">
          <cell r="T148">
            <v>559850743935.95972</v>
          </cell>
          <cell r="U148">
            <v>692762364896.23804</v>
          </cell>
          <cell r="V148">
            <v>842529207732.89209</v>
          </cell>
          <cell r="W148">
            <v>1013336825235.0797</v>
          </cell>
          <cell r="X148">
            <v>1315035787030.0237</v>
          </cell>
        </row>
        <row r="149">
          <cell r="T149">
            <v>577752251070.08801</v>
          </cell>
          <cell r="U149">
            <v>712501764835.11047</v>
          </cell>
          <cell r="V149">
            <v>866075507156.56287</v>
          </cell>
          <cell r="W149">
            <v>1041887932477.76</v>
          </cell>
          <cell r="X149">
            <v>1345450120882.9546</v>
          </cell>
        </row>
        <row r="150">
          <cell r="T150">
            <v>596922332572.35339</v>
          </cell>
          <cell r="U150">
            <v>734282127888.38501</v>
          </cell>
          <cell r="V150">
            <v>891488845068.15332</v>
          </cell>
          <cell r="W150">
            <v>1068373031694.5454</v>
          </cell>
          <cell r="X150">
            <v>1375275904821.7251</v>
          </cell>
        </row>
        <row r="151">
          <cell r="T151">
            <v>617369363093.08093</v>
          </cell>
          <cell r="U151">
            <v>756860595401.97864</v>
          </cell>
          <cell r="V151">
            <v>913623314149.86572</v>
          </cell>
          <cell r="W151">
            <v>1092974101567.2324</v>
          </cell>
          <cell r="X151">
            <v>1404100852483.2744</v>
          </cell>
        </row>
        <row r="152">
          <cell r="T152">
            <v>639152517440.25366</v>
          </cell>
          <cell r="U152">
            <v>777093758798.85266</v>
          </cell>
          <cell r="V152">
            <v>935926032813.5177</v>
          </cell>
          <cell r="W152">
            <v>1118352930298.5178</v>
          </cell>
          <cell r="X152">
            <v>1432845058699.2456</v>
          </cell>
        </row>
        <row r="153">
          <cell r="T153">
            <v>659462062030.5144</v>
          </cell>
          <cell r="U153">
            <v>799419113905.89136</v>
          </cell>
          <cell r="V153">
            <v>960361123456.04517</v>
          </cell>
          <cell r="W153">
            <v>1146191605479.0576</v>
          </cell>
          <cell r="X153">
            <v>1471134261632.0669</v>
          </cell>
        </row>
        <row r="154">
          <cell r="T154">
            <v>681229292958.55347</v>
          </cell>
          <cell r="U154">
            <v>821429658990.68213</v>
          </cell>
          <cell r="V154">
            <v>984920555861.78711</v>
          </cell>
          <cell r="W154">
            <v>1182055682769.8391</v>
          </cell>
          <cell r="X154">
            <v>1530651667549.6167</v>
          </cell>
        </row>
        <row r="155">
          <cell r="T155">
            <v>701583501261.09253</v>
          </cell>
          <cell r="U155">
            <v>844006576593.16187</v>
          </cell>
          <cell r="V155">
            <v>1018463833043.7963</v>
          </cell>
          <cell r="W155">
            <v>1232185163749.0137</v>
          </cell>
          <cell r="X155">
            <v>1595792368487.0283</v>
          </cell>
        </row>
        <row r="156">
          <cell r="T156">
            <v>723205347293.55615</v>
          </cell>
          <cell r="U156">
            <v>877277287030.62402</v>
          </cell>
          <cell r="V156">
            <v>1063861626821.8408</v>
          </cell>
          <cell r="W156">
            <v>1289092611449.1909</v>
          </cell>
          <cell r="X156">
            <v>1677177249099.176</v>
          </cell>
        </row>
        <row r="157">
          <cell r="T157">
            <v>758006944188.03198</v>
          </cell>
          <cell r="U157">
            <v>917957066605.14893</v>
          </cell>
          <cell r="V157">
            <v>1113665472235.2969</v>
          </cell>
          <cell r="W157">
            <v>1357293523223.3042</v>
          </cell>
          <cell r="X157">
            <v>1704831210034.04</v>
          </cell>
        </row>
        <row r="158">
          <cell r="T158">
            <v>797603560127.8363</v>
          </cell>
          <cell r="U158">
            <v>965419937555.17798</v>
          </cell>
          <cell r="V158">
            <v>1172891899044.0659</v>
          </cell>
          <cell r="W158">
            <v>1378885103913.7681</v>
          </cell>
          <cell r="X158">
            <v>1704831210034.04</v>
          </cell>
        </row>
        <row r="159">
          <cell r="T159">
            <v>835763062201.28711</v>
          </cell>
          <cell r="U159">
            <v>1009818616244.2769</v>
          </cell>
          <cell r="V159">
            <v>1187265851885.564</v>
          </cell>
          <cell r="W159">
            <v>1378885103913.7681</v>
          </cell>
          <cell r="X159">
            <v>1704831210034.04</v>
          </cell>
        </row>
        <row r="160">
          <cell r="T160">
            <v>875098697192.07556</v>
          </cell>
          <cell r="U160">
            <v>1024292798825.428</v>
          </cell>
          <cell r="V160">
            <v>1187265851885.564</v>
          </cell>
          <cell r="W160">
            <v>1378885103913.7681</v>
          </cell>
          <cell r="X160">
            <v>1704831210034.04</v>
          </cell>
        </row>
        <row r="161">
          <cell r="T161">
            <v>889965944733.35999</v>
          </cell>
          <cell r="U161">
            <v>1024292798825.428</v>
          </cell>
          <cell r="V161">
            <v>1187265851885.564</v>
          </cell>
          <cell r="W161">
            <v>1378885103913.7681</v>
          </cell>
          <cell r="X161">
            <v>1704831210034.04</v>
          </cell>
        </row>
        <row r="162">
          <cell r="T162">
            <v>889965944733.35999</v>
          </cell>
          <cell r="U162">
            <v>1024292798825.428</v>
          </cell>
          <cell r="V162">
            <v>1187265851885.564</v>
          </cell>
          <cell r="W162">
            <v>1378885103913.7681</v>
          </cell>
          <cell r="X162">
            <v>1704831210034.04</v>
          </cell>
        </row>
        <row r="163">
          <cell r="T163">
            <v>889965944733.35999</v>
          </cell>
          <cell r="U163">
            <v>1024292798825.428</v>
          </cell>
          <cell r="V163">
            <v>1187265851885.564</v>
          </cell>
          <cell r="W163">
            <v>1378885103913.7681</v>
          </cell>
          <cell r="X163">
            <v>1704831210034.04</v>
          </cell>
        </row>
        <row r="164">
          <cell r="T164">
            <v>889965944733.35999</v>
          </cell>
          <cell r="U164">
            <v>1024292798825.428</v>
          </cell>
          <cell r="V164">
            <v>1187265851885.564</v>
          </cell>
          <cell r="W164">
            <v>1378885103913.7681</v>
          </cell>
          <cell r="X164">
            <v>1704831210034.04</v>
          </cell>
        </row>
        <row r="165">
          <cell r="T165">
            <v>889965944733.35999</v>
          </cell>
          <cell r="U165">
            <v>1024292798825.428</v>
          </cell>
          <cell r="V165">
            <v>1187265851885.564</v>
          </cell>
          <cell r="W165">
            <v>1378885103913.7681</v>
          </cell>
          <cell r="X165">
            <v>1704831210034.04</v>
          </cell>
        </row>
      </sheetData>
      <sheetData sheetId="14">
        <row r="6">
          <cell r="C6">
            <v>563347.17133977113</v>
          </cell>
          <cell r="U6">
            <v>124496.71131844865</v>
          </cell>
          <cell r="V6">
            <v>130034.13832928086</v>
          </cell>
          <cell r="W6">
            <v>134363.38016755763</v>
          </cell>
          <cell r="X6">
            <v>135228.58521441091</v>
          </cell>
          <cell r="Y6">
            <v>144608.40448455571</v>
          </cell>
        </row>
        <row r="7">
          <cell r="U7">
            <v>253996.18685308349</v>
          </cell>
          <cell r="V7">
            <v>269134.56269353529</v>
          </cell>
          <cell r="W7">
            <v>279626.4202868201</v>
          </cell>
          <cell r="X7">
            <v>277346.39773360878</v>
          </cell>
          <cell r="Y7">
            <v>286431.1585535843</v>
          </cell>
        </row>
        <row r="8">
          <cell r="U8">
            <v>528119.37617910584</v>
          </cell>
          <cell r="V8">
            <v>560692.79485261848</v>
          </cell>
          <cell r="W8">
            <v>583103.37804124609</v>
          </cell>
          <cell r="X8">
            <v>575204.02238841914</v>
          </cell>
          <cell r="Y8">
            <v>576990.42509176338</v>
          </cell>
        </row>
        <row r="9">
          <cell r="U9">
            <v>807594.06381752924</v>
          </cell>
          <cell r="V9">
            <v>859906.08915389201</v>
          </cell>
          <cell r="W9">
            <v>891429.83434273722</v>
          </cell>
          <cell r="X9">
            <v>863956.7250488986</v>
          </cell>
          <cell r="Y9">
            <v>832029.76551892387</v>
          </cell>
        </row>
        <row r="10">
          <cell r="U10">
            <v>1338723.9640770692</v>
          </cell>
          <cell r="V10">
            <v>1413541.3530805111</v>
          </cell>
          <cell r="W10">
            <v>1450769.4556995528</v>
          </cell>
          <cell r="X10">
            <v>1389537.8693932579</v>
          </cell>
          <cell r="Y10">
            <v>1310513.3032626612</v>
          </cell>
        </row>
        <row r="11">
          <cell r="U11">
            <v>1671548.6041463646</v>
          </cell>
          <cell r="V11">
            <v>1777412.3799379496</v>
          </cell>
          <cell r="W11">
            <v>1826406.2876247535</v>
          </cell>
          <cell r="X11">
            <v>1731789.5347496811</v>
          </cell>
          <cell r="Y11">
            <v>1592077.7503358689</v>
          </cell>
        </row>
        <row r="12">
          <cell r="U12">
            <v>2032207.1164354286</v>
          </cell>
          <cell r="V12">
            <v>2176542.501957214</v>
          </cell>
          <cell r="W12">
            <v>2242024.4112566346</v>
          </cell>
          <cell r="X12">
            <v>2104644.7912015389</v>
          </cell>
          <cell r="Y12">
            <v>1887637.1849666145</v>
          </cell>
        </row>
        <row r="13">
          <cell r="U13">
            <v>2606327.0806600507</v>
          </cell>
          <cell r="V13">
            <v>2787342.8685421972</v>
          </cell>
          <cell r="W13">
            <v>2860272.4893781701</v>
          </cell>
          <cell r="X13">
            <v>2676806.0719852448</v>
          </cell>
          <cell r="Y13">
            <v>2387744.9878817946</v>
          </cell>
        </row>
        <row r="14">
          <cell r="U14">
            <v>3107031.8737523761</v>
          </cell>
          <cell r="V14">
            <v>3330213.0067997505</v>
          </cell>
          <cell r="W14">
            <v>3421185.9965720116</v>
          </cell>
          <cell r="X14">
            <v>3188264.2119569322</v>
          </cell>
          <cell r="Y14">
            <v>2795454.283229358</v>
          </cell>
        </row>
        <row r="15">
          <cell r="U15">
            <v>3918836.9064145889</v>
          </cell>
          <cell r="V15">
            <v>4255854.3814092372</v>
          </cell>
          <cell r="W15">
            <v>4531072.0468785567</v>
          </cell>
          <cell r="X15">
            <v>4147937.7414751439</v>
          </cell>
          <cell r="Y15">
            <v>3566332.9112964026</v>
          </cell>
        </row>
        <row r="16">
          <cell r="U16">
            <v>4576303.0952811129</v>
          </cell>
          <cell r="V16">
            <v>5038081.0433769822</v>
          </cell>
          <cell r="W16">
            <v>5557106.5606895592</v>
          </cell>
          <cell r="X16">
            <v>4971930.1133009391</v>
          </cell>
          <cell r="Y16">
            <v>4155278.1620977898</v>
          </cell>
        </row>
        <row r="17">
          <cell r="U17">
            <v>5590692.5344275255</v>
          </cell>
          <cell r="V17">
            <v>6232297.0278738765</v>
          </cell>
          <cell r="W17">
            <v>6982691.7206450356</v>
          </cell>
          <cell r="X17">
            <v>6194709.9507182287</v>
          </cell>
          <cell r="Y17">
            <v>5100190.6878191503</v>
          </cell>
        </row>
        <row r="18">
          <cell r="U18">
            <v>6413141.4825912956</v>
          </cell>
          <cell r="V18">
            <v>7308284.1498182286</v>
          </cell>
          <cell r="W18">
            <v>8344256.0131020816</v>
          </cell>
          <cell r="X18">
            <v>7255615.6429138202</v>
          </cell>
          <cell r="Y18">
            <v>5848388.8346517859</v>
          </cell>
        </row>
        <row r="19">
          <cell r="U19">
            <v>7715592.2428317089</v>
          </cell>
          <cell r="V19">
            <v>8900669.1712866072</v>
          </cell>
          <cell r="W19">
            <v>10508059.744556008</v>
          </cell>
          <cell r="X19">
            <v>8797441.0647838712</v>
          </cell>
          <cell r="Y19">
            <v>7042719.1499266224</v>
          </cell>
        </row>
        <row r="20">
          <cell r="U20">
            <v>8759879.837267777</v>
          </cell>
          <cell r="V20">
            <v>10151952.827218791</v>
          </cell>
          <cell r="W20">
            <v>12132196.439752137</v>
          </cell>
          <cell r="X20">
            <v>9937349.4996036366</v>
          </cell>
          <cell r="Y20">
            <v>7941328.826563241</v>
          </cell>
        </row>
        <row r="21">
          <cell r="U21">
            <v>10381501.548194375</v>
          </cell>
          <cell r="V21">
            <v>11997650.675545949</v>
          </cell>
          <cell r="W21">
            <v>14352287.324425627</v>
          </cell>
          <cell r="X21">
            <v>11805325.700442705</v>
          </cell>
          <cell r="Y21">
            <v>9463552.6847004481</v>
          </cell>
        </row>
        <row r="22">
          <cell r="U22">
            <v>11717008.665929452</v>
          </cell>
          <cell r="V22">
            <v>13521405.100526143</v>
          </cell>
          <cell r="W22">
            <v>16266573.861354209</v>
          </cell>
          <cell r="X22">
            <v>13439830.118955284</v>
          </cell>
          <cell r="Y22">
            <v>10583638.89345872</v>
          </cell>
        </row>
        <row r="23">
          <cell r="U23">
            <v>13731035.438338738</v>
          </cell>
          <cell r="V23">
            <v>15861149.406573404</v>
          </cell>
          <cell r="W23">
            <v>19022288.713760518</v>
          </cell>
          <cell r="X23">
            <v>15901409.140455903</v>
          </cell>
          <cell r="Y23">
            <v>12495094.565556414</v>
          </cell>
        </row>
        <row r="24">
          <cell r="U24">
            <v>15387771.988345878</v>
          </cell>
          <cell r="V24">
            <v>17875804.822408225</v>
          </cell>
          <cell r="W24">
            <v>21412714.727209087</v>
          </cell>
          <cell r="X24">
            <v>17972382.150098544</v>
          </cell>
          <cell r="Y24">
            <v>14225282.10667525</v>
          </cell>
        </row>
        <row r="25">
          <cell r="U25">
            <v>17222128.407055628</v>
          </cell>
          <cell r="V25">
            <v>20085766.901121803</v>
          </cell>
          <cell r="W25">
            <v>24191862.696755547</v>
          </cell>
          <cell r="X25">
            <v>20409695.825021543</v>
          </cell>
          <cell r="Y25">
            <v>16124502.592146035</v>
          </cell>
        </row>
        <row r="26">
          <cell r="U26">
            <v>19675140.58125256</v>
          </cell>
          <cell r="V26">
            <v>22906064.730592255</v>
          </cell>
          <cell r="W26">
            <v>27820922.894713115</v>
          </cell>
          <cell r="X26">
            <v>23517203.548833281</v>
          </cell>
          <cell r="Y26">
            <v>18833141.378623344</v>
          </cell>
        </row>
        <row r="27">
          <cell r="U27">
            <v>22142611.295390178</v>
          </cell>
          <cell r="V27">
            <v>25926754.864091232</v>
          </cell>
          <cell r="W27">
            <v>31613695.871910471</v>
          </cell>
          <cell r="X27">
            <v>26854513.375892401</v>
          </cell>
          <cell r="Y27">
            <v>21717506.681302954</v>
          </cell>
        </row>
        <row r="28">
          <cell r="U28">
            <v>24975534.320182461</v>
          </cell>
          <cell r="V28">
            <v>29278743.395395003</v>
          </cell>
          <cell r="W28">
            <v>35723380.080042258</v>
          </cell>
          <cell r="X28">
            <v>30485108.21725668</v>
          </cell>
          <cell r="Y28">
            <v>25013555.786949534</v>
          </cell>
        </row>
        <row r="29">
          <cell r="U29">
            <v>28105915.495317806</v>
          </cell>
          <cell r="V29">
            <v>33067796.721321497</v>
          </cell>
          <cell r="W29">
            <v>40407063.681290276</v>
          </cell>
          <cell r="X29">
            <v>34961618.396025054</v>
          </cell>
          <cell r="Y29">
            <v>28849603.829361465</v>
          </cell>
        </row>
        <row r="30">
          <cell r="U30">
            <v>32135262.809262227</v>
          </cell>
          <cell r="V30">
            <v>37758163.222800687</v>
          </cell>
          <cell r="W30">
            <v>46281547.484861843</v>
          </cell>
          <cell r="X30">
            <v>40330455.256632127</v>
          </cell>
          <cell r="Y30">
            <v>33684973.613723673</v>
          </cell>
        </row>
        <row r="31">
          <cell r="U31">
            <v>36281668.355377823</v>
          </cell>
          <cell r="V31">
            <v>42741681.686895393</v>
          </cell>
          <cell r="W31">
            <v>52444065.762042418</v>
          </cell>
          <cell r="X31">
            <v>46032749.220791966</v>
          </cell>
          <cell r="Y31">
            <v>38701944.46026127</v>
          </cell>
        </row>
        <row r="32">
          <cell r="U32">
            <v>41072943.043290131</v>
          </cell>
          <cell r="V32">
            <v>48385127.204095766</v>
          </cell>
          <cell r="W32">
            <v>59304648.071725316</v>
          </cell>
          <cell r="X32">
            <v>52323579.744762421</v>
          </cell>
          <cell r="Y32">
            <v>44578090.149988845</v>
          </cell>
        </row>
        <row r="33">
          <cell r="U33">
            <v>46463107.102556817</v>
          </cell>
          <cell r="V33">
            <v>54639730.346737891</v>
          </cell>
          <cell r="W33">
            <v>66844359.075723127</v>
          </cell>
          <cell r="X33">
            <v>59527374.442110792</v>
          </cell>
          <cell r="Y33">
            <v>51154014.793134548</v>
          </cell>
        </row>
        <row r="34">
          <cell r="U34">
            <v>52487070.910367407</v>
          </cell>
          <cell r="V34">
            <v>61670608.488673672</v>
          </cell>
          <cell r="W34">
            <v>75469171.980244964</v>
          </cell>
          <cell r="X34">
            <v>67901656.791854784</v>
          </cell>
          <cell r="Y34">
            <v>58816209.995434113</v>
          </cell>
        </row>
        <row r="35">
          <cell r="U35">
            <v>59187064.446426183</v>
          </cell>
          <cell r="V35">
            <v>69436386.107944101</v>
          </cell>
          <cell r="W35">
            <v>84890041.981795877</v>
          </cell>
          <cell r="X35">
            <v>76933601.34783949</v>
          </cell>
          <cell r="Y35">
            <v>67049881.993011475</v>
          </cell>
        </row>
        <row r="36">
          <cell r="U36">
            <v>69182844.950890884</v>
          </cell>
          <cell r="V36">
            <v>80720723.108909488</v>
          </cell>
          <cell r="W36">
            <v>97772404.777548969</v>
          </cell>
          <cell r="X36">
            <v>89406087.541211113</v>
          </cell>
          <cell r="Y36">
            <v>79076553.034817547</v>
          </cell>
        </row>
        <row r="37">
          <cell r="U37">
            <v>78025534.32249704</v>
          </cell>
          <cell r="V37">
            <v>90770688.254343733</v>
          </cell>
          <cell r="W37">
            <v>109523178.82326201</v>
          </cell>
          <cell r="X37">
            <v>100959155.29727677</v>
          </cell>
          <cell r="Y37">
            <v>89808333.719270661</v>
          </cell>
        </row>
        <row r="38">
          <cell r="U38">
            <v>87729862.998911485</v>
          </cell>
          <cell r="V38">
            <v>101754005.72649306</v>
          </cell>
          <cell r="W38">
            <v>122207956.45319629</v>
          </cell>
          <cell r="X38">
            <v>113597983.89607461</v>
          </cell>
          <cell r="Y38">
            <v>101631003.50054842</v>
          </cell>
        </row>
        <row r="39">
          <cell r="U39">
            <v>98695151.766226441</v>
          </cell>
          <cell r="V39">
            <v>114114460.00906093</v>
          </cell>
          <cell r="W39">
            <v>136689230.5498794</v>
          </cell>
          <cell r="X39">
            <v>127835970.69737217</v>
          </cell>
          <cell r="Y39">
            <v>114815815.90025578</v>
          </cell>
        </row>
        <row r="40">
          <cell r="U40">
            <v>110725692.968009</v>
          </cell>
          <cell r="V40">
            <v>127979680.93248318</v>
          </cell>
          <cell r="W40">
            <v>152576284.13215786</v>
          </cell>
          <cell r="X40">
            <v>143264595.29208875</v>
          </cell>
          <cell r="Y40">
            <v>129649056.44900253</v>
          </cell>
        </row>
        <row r="41">
          <cell r="U41">
            <v>124161363.91209754</v>
          </cell>
          <cell r="V41">
            <v>143239361.21305323</v>
          </cell>
          <cell r="W41">
            <v>169866480.89054614</v>
          </cell>
          <cell r="X41">
            <v>160090555.55976295</v>
          </cell>
          <cell r="Y41">
            <v>145426235.26430961</v>
          </cell>
        </row>
        <row r="42">
          <cell r="U42">
            <v>138964357.40737954</v>
          </cell>
          <cell r="V42">
            <v>159851866.24461782</v>
          </cell>
          <cell r="W42">
            <v>188658407.28716743</v>
          </cell>
          <cell r="X42">
            <v>178592342.38908756</v>
          </cell>
          <cell r="Y42">
            <v>163490598.85810977</v>
          </cell>
        </row>
        <row r="43">
          <cell r="U43">
            <v>155410916.96799961</v>
          </cell>
          <cell r="V43">
            <v>178199415.4163436</v>
          </cell>
          <cell r="W43">
            <v>209496748.60946804</v>
          </cell>
          <cell r="X43">
            <v>199028639.47411895</v>
          </cell>
          <cell r="Y43">
            <v>183285143.64614016</v>
          </cell>
        </row>
        <row r="44">
          <cell r="U44">
            <v>173715658.93012103</v>
          </cell>
          <cell r="V44">
            <v>198601110.53896993</v>
          </cell>
          <cell r="W44">
            <v>232489849.11419174</v>
          </cell>
          <cell r="X44">
            <v>222234540.45519757</v>
          </cell>
          <cell r="Y44">
            <v>205683761.60528025</v>
          </cell>
        </row>
        <row r="45">
          <cell r="U45">
            <v>194127639.48996195</v>
          </cell>
          <cell r="V45">
            <v>221366822.75598779</v>
          </cell>
          <cell r="W45">
            <v>258236422.15045398</v>
          </cell>
          <cell r="X45">
            <v>248250846.32103696</v>
          </cell>
          <cell r="Y45">
            <v>231330718.26264364</v>
          </cell>
        </row>
        <row r="46">
          <cell r="U46">
            <v>217784566.35926419</v>
          </cell>
          <cell r="V46">
            <v>247669677.9413583</v>
          </cell>
          <cell r="W46">
            <v>287701501.74628621</v>
          </cell>
          <cell r="X46">
            <v>278318915.49302185</v>
          </cell>
          <cell r="Y46">
            <v>260546603.40849847</v>
          </cell>
        </row>
        <row r="47">
          <cell r="U47">
            <v>243903387.2010904</v>
          </cell>
          <cell r="V47">
            <v>277493749.29254395</v>
          </cell>
          <cell r="W47">
            <v>320772626.91804385</v>
          </cell>
          <cell r="X47">
            <v>311999656.73043996</v>
          </cell>
          <cell r="Y47">
            <v>293096663.24022806</v>
          </cell>
        </row>
        <row r="48">
          <cell r="U48">
            <v>273116705.51703191</v>
          </cell>
          <cell r="V48">
            <v>309818359.51861513</v>
          </cell>
          <cell r="W48">
            <v>357034633.82317656</v>
          </cell>
          <cell r="X48">
            <v>347995140.97605467</v>
          </cell>
          <cell r="Y48">
            <v>327701035.30532467</v>
          </cell>
        </row>
        <row r="49">
          <cell r="U49">
            <v>305154492.19239032</v>
          </cell>
          <cell r="V49">
            <v>345816646.30139291</v>
          </cell>
          <cell r="W49">
            <v>396322259.76691425</v>
          </cell>
          <cell r="X49">
            <v>387556239.44028324</v>
          </cell>
          <cell r="Y49">
            <v>366297511.77352703</v>
          </cell>
        </row>
        <row r="50">
          <cell r="U50">
            <v>340943955.79640591</v>
          </cell>
          <cell r="V50">
            <v>385465203.59039509</v>
          </cell>
          <cell r="W50">
            <v>439909247.1285376</v>
          </cell>
          <cell r="X50">
            <v>431430584.02931094</v>
          </cell>
          <cell r="Y50">
            <v>408762901.19209027</v>
          </cell>
        </row>
        <row r="51">
          <cell r="U51">
            <v>380389219.47577751</v>
          </cell>
          <cell r="V51">
            <v>429059268.83428407</v>
          </cell>
          <cell r="W51">
            <v>487731255.36283082</v>
          </cell>
          <cell r="X51">
            <v>480010569.41506469</v>
          </cell>
          <cell r="Y51">
            <v>454471765.90463632</v>
          </cell>
        </row>
        <row r="52">
          <cell r="U52">
            <v>424007576.41035068</v>
          </cell>
          <cell r="V52">
            <v>477373435.92963409</v>
          </cell>
          <cell r="W52">
            <v>541195549.99969745</v>
          </cell>
          <cell r="X52">
            <v>533374061.31928515</v>
          </cell>
          <cell r="Y52">
            <v>504818913.65800017</v>
          </cell>
        </row>
        <row r="53">
          <cell r="U53">
            <v>472388435.31252241</v>
          </cell>
          <cell r="V53">
            <v>530799013.85696918</v>
          </cell>
          <cell r="W53">
            <v>600356072.38215673</v>
          </cell>
          <cell r="X53">
            <v>591246949.8728596</v>
          </cell>
          <cell r="Y53">
            <v>559928396.57250965</v>
          </cell>
        </row>
        <row r="54">
          <cell r="U54">
            <v>526147458.31680739</v>
          </cell>
          <cell r="V54">
            <v>590767166.58170199</v>
          </cell>
          <cell r="W54">
            <v>664911385.84963977</v>
          </cell>
          <cell r="X54">
            <v>655011494.18072248</v>
          </cell>
          <cell r="Y54">
            <v>622868509.58528292</v>
          </cell>
        </row>
        <row r="55">
          <cell r="U55">
            <v>586003172.34366107</v>
          </cell>
          <cell r="V55">
            <v>657019856.8628732</v>
          </cell>
          <cell r="W55">
            <v>736026539.80387175</v>
          </cell>
          <cell r="X55">
            <v>727099551.94666922</v>
          </cell>
          <cell r="Y55">
            <v>692391133.54965377</v>
          </cell>
        </row>
        <row r="56">
          <cell r="U56">
            <v>652815389.24104309</v>
          </cell>
          <cell r="V56">
            <v>729199213.66231871</v>
          </cell>
          <cell r="W56">
            <v>814861582.47603047</v>
          </cell>
          <cell r="X56">
            <v>807421239.30800235</v>
          </cell>
          <cell r="Y56">
            <v>767770852.95688009</v>
          </cell>
        </row>
        <row r="57">
          <cell r="U57">
            <v>726663103.93516624</v>
          </cell>
          <cell r="V57">
            <v>810865704.85949826</v>
          </cell>
          <cell r="W57">
            <v>905468416.97894204</v>
          </cell>
          <cell r="X57">
            <v>897472126.07139564</v>
          </cell>
          <cell r="Y57">
            <v>851215256.29883265</v>
          </cell>
        </row>
        <row r="58">
          <cell r="U58">
            <v>807367852.01520538</v>
          </cell>
          <cell r="V58">
            <v>901401363.8252883</v>
          </cell>
          <cell r="W58">
            <v>1005025403.1366237</v>
          </cell>
          <cell r="X58">
            <v>993883975.58191085</v>
          </cell>
          <cell r="Y58">
            <v>942597781.02595806</v>
          </cell>
        </row>
        <row r="59">
          <cell r="U59">
            <v>896350960.44434416</v>
          </cell>
          <cell r="V59">
            <v>1000992273.6306094</v>
          </cell>
          <cell r="W59">
            <v>1110427368.096473</v>
          </cell>
          <cell r="X59">
            <v>1097778425.4886229</v>
          </cell>
          <cell r="Y59">
            <v>1039800739.526433</v>
          </cell>
        </row>
        <row r="60">
          <cell r="U60">
            <v>994061059.98643541</v>
          </cell>
          <cell r="V60">
            <v>1107838927.529248</v>
          </cell>
          <cell r="W60">
            <v>1224951659.0030246</v>
          </cell>
          <cell r="X60">
            <v>1211707797.9123869</v>
          </cell>
          <cell r="Y60">
            <v>1146780538.4858062</v>
          </cell>
        </row>
        <row r="61">
          <cell r="U61">
            <v>1101253506.3795605</v>
          </cell>
          <cell r="V61">
            <v>1224470387.2511203</v>
          </cell>
          <cell r="W61">
            <v>1351472941.4263434</v>
          </cell>
          <cell r="X61">
            <v>1336235721.6885886</v>
          </cell>
          <cell r="Y61">
            <v>1265829419.0155418</v>
          </cell>
        </row>
        <row r="62">
          <cell r="U62">
            <v>1219030481.9007652</v>
          </cell>
          <cell r="V62">
            <v>1355016610.4526386</v>
          </cell>
          <cell r="W62">
            <v>1491315767.5774095</v>
          </cell>
          <cell r="X62">
            <v>1475077553.155931</v>
          </cell>
          <cell r="Y62">
            <v>1397199733.3214409</v>
          </cell>
        </row>
        <row r="63">
          <cell r="U63">
            <v>1349523065.8729956</v>
          </cell>
          <cell r="V63">
            <v>1497936559.2750163</v>
          </cell>
          <cell r="W63">
            <v>1646251815.5085635</v>
          </cell>
          <cell r="X63">
            <v>1630073414.1104794</v>
          </cell>
          <cell r="Y63">
            <v>1541696688.9246857</v>
          </cell>
        </row>
        <row r="64">
          <cell r="U64">
            <v>1495198186.9179707</v>
          </cell>
          <cell r="V64">
            <v>1658628810.5862155</v>
          </cell>
          <cell r="W64">
            <v>1820397254.8290992</v>
          </cell>
          <cell r="X64">
            <v>1800983962.366292</v>
          </cell>
          <cell r="Y64">
            <v>1702905581.6118479</v>
          </cell>
        </row>
        <row r="65">
          <cell r="U65">
            <v>1655652429.9150648</v>
          </cell>
          <cell r="V65">
            <v>1835970697.2757952</v>
          </cell>
          <cell r="W65">
            <v>2011030236.7145004</v>
          </cell>
          <cell r="X65">
            <v>1989857107.7186399</v>
          </cell>
          <cell r="Y65">
            <v>1882125091.9207678</v>
          </cell>
        </row>
        <row r="66">
          <cell r="U66">
            <v>1838468415.6420238</v>
          </cell>
          <cell r="V66">
            <v>2037589278.0831637</v>
          </cell>
          <cell r="W66">
            <v>2227239376.1585379</v>
          </cell>
          <cell r="X66">
            <v>2203800549.8137388</v>
          </cell>
          <cell r="Y66">
            <v>2079626998.2846174</v>
          </cell>
        </row>
        <row r="67">
          <cell r="U67">
            <v>2039052522.4016247</v>
          </cell>
          <cell r="V67">
            <v>2257776953.2963314</v>
          </cell>
          <cell r="W67">
            <v>2465229562.378911</v>
          </cell>
          <cell r="X67">
            <v>2438507748.9469371</v>
          </cell>
          <cell r="Y67">
            <v>2304811877.5291648</v>
          </cell>
        </row>
        <row r="68">
          <cell r="U68">
            <v>2263597464.0421824</v>
          </cell>
          <cell r="V68">
            <v>2502539173.2682805</v>
          </cell>
          <cell r="W68">
            <v>2726522815.4089541</v>
          </cell>
          <cell r="X68">
            <v>2698718103.5781817</v>
          </cell>
          <cell r="Y68">
            <v>2548211081.746563</v>
          </cell>
        </row>
        <row r="69">
          <cell r="U69">
            <v>2511257578.6019216</v>
          </cell>
          <cell r="V69">
            <v>2769647704.6888866</v>
          </cell>
          <cell r="W69">
            <v>3013995214.5922832</v>
          </cell>
          <cell r="X69">
            <v>2985268808.5156345</v>
          </cell>
          <cell r="Y69">
            <v>2810813182.8782654</v>
          </cell>
        </row>
        <row r="70">
          <cell r="U70">
            <v>2782441162.5067711</v>
          </cell>
          <cell r="V70">
            <v>3073907109.9539528</v>
          </cell>
          <cell r="W70">
            <v>3336753837.5307121</v>
          </cell>
          <cell r="X70">
            <v>3299988118.1803002</v>
          </cell>
          <cell r="Y70">
            <v>3092517627.3013601</v>
          </cell>
        </row>
        <row r="71">
          <cell r="U71">
            <v>3079830021.3609886</v>
          </cell>
          <cell r="V71">
            <v>3419342530.3159561</v>
          </cell>
          <cell r="W71">
            <v>3689339827.9323311</v>
          </cell>
          <cell r="X71">
            <v>3635666916.5432529</v>
          </cell>
          <cell r="Y71">
            <v>3413820439.1108179</v>
          </cell>
        </row>
        <row r="72">
          <cell r="U72">
            <v>3409449882.3437071</v>
          </cell>
          <cell r="V72">
            <v>3789588474.677022</v>
          </cell>
          <cell r="W72">
            <v>4070554191.4046431</v>
          </cell>
          <cell r="X72">
            <v>4006775186.205472</v>
          </cell>
          <cell r="Y72">
            <v>3768819021.4765186</v>
          </cell>
        </row>
        <row r="73">
          <cell r="U73">
            <v>3774332181.2977891</v>
          </cell>
          <cell r="V73">
            <v>4189061181.4030204</v>
          </cell>
          <cell r="W73">
            <v>4524182737.9336147</v>
          </cell>
          <cell r="X73">
            <v>4429673511.5684958</v>
          </cell>
          <cell r="Y73">
            <v>4160019966.7956896</v>
          </cell>
        </row>
        <row r="74">
          <cell r="U74">
            <v>4173398918.277977</v>
          </cell>
          <cell r="V74">
            <v>4620271191.1763849</v>
          </cell>
          <cell r="W74">
            <v>5050100878.3532343</v>
          </cell>
          <cell r="X74">
            <v>4898731105.1847515</v>
          </cell>
          <cell r="Y74">
            <v>4589979869.8136663</v>
          </cell>
        </row>
        <row r="75">
          <cell r="U75">
            <v>4611065728.7551384</v>
          </cell>
          <cell r="V75">
            <v>5106661724.5338278</v>
          </cell>
          <cell r="W75">
            <v>5604120571.8355894</v>
          </cell>
          <cell r="X75">
            <v>5417498430.0881214</v>
          </cell>
          <cell r="Y75">
            <v>5071708669.9984045</v>
          </cell>
        </row>
        <row r="76">
          <cell r="U76">
            <v>5100437074.2235193</v>
          </cell>
          <cell r="V76">
            <v>5656606714.0056648</v>
          </cell>
          <cell r="W76">
            <v>6203463636.4054041</v>
          </cell>
          <cell r="X76">
            <v>5995002751.7623358</v>
          </cell>
          <cell r="Y76">
            <v>5621705623.624651</v>
          </cell>
        </row>
        <row r="77">
          <cell r="U77">
            <v>5645115540.6661167</v>
          </cell>
          <cell r="V77">
            <v>6262011640.7422123</v>
          </cell>
          <cell r="W77">
            <v>6850984303.3518171</v>
          </cell>
          <cell r="X77">
            <v>6638443709.1632881</v>
          </cell>
          <cell r="Y77">
            <v>6219423084.5501003</v>
          </cell>
        </row>
        <row r="78">
          <cell r="U78">
            <v>6259605317.0523014</v>
          </cell>
          <cell r="V78">
            <v>6918634363.7049217</v>
          </cell>
          <cell r="W78">
            <v>7567441262.4659348</v>
          </cell>
          <cell r="X78">
            <v>7419378438.9911947</v>
          </cell>
          <cell r="Y78">
            <v>6883644251.0310173</v>
          </cell>
        </row>
        <row r="79">
          <cell r="U79">
            <v>6932763183.3082762</v>
          </cell>
          <cell r="V79">
            <v>7656373502.1062737</v>
          </cell>
          <cell r="W79">
            <v>8384626456.3302917</v>
          </cell>
          <cell r="X79">
            <v>8251375849.5262384</v>
          </cell>
          <cell r="Y79">
            <v>7622034391.6186237</v>
          </cell>
        </row>
        <row r="80">
          <cell r="U80">
            <v>7664422648.1257782</v>
          </cell>
          <cell r="V80">
            <v>8534776659.6390953</v>
          </cell>
          <cell r="W80">
            <v>9281907696.2272663</v>
          </cell>
          <cell r="X80">
            <v>9147775475.5392075</v>
          </cell>
          <cell r="Y80">
            <v>8441989543.0874376</v>
          </cell>
        </row>
        <row r="81">
          <cell r="U81">
            <v>8483542907.8173771</v>
          </cell>
          <cell r="V81">
            <v>9477789027.2782192</v>
          </cell>
          <cell r="W81">
            <v>10269748159.052099</v>
          </cell>
          <cell r="X81">
            <v>10132443578.548597</v>
          </cell>
          <cell r="Y81">
            <v>9349093985.1015644</v>
          </cell>
        </row>
        <row r="82">
          <cell r="U82">
            <v>9381661295.5495014</v>
          </cell>
          <cell r="V82">
            <v>10498429513.391914</v>
          </cell>
          <cell r="W82">
            <v>11368265305.919285</v>
          </cell>
          <cell r="X82">
            <v>11218039050.1999</v>
          </cell>
          <cell r="Y82">
            <v>10301057492.932119</v>
          </cell>
        </row>
        <row r="83">
          <cell r="U83">
            <v>10378998382.774837</v>
          </cell>
          <cell r="V83">
            <v>11614304011.37682</v>
          </cell>
          <cell r="W83">
            <v>12803363820.630222</v>
          </cell>
          <cell r="X83">
            <v>12396542637.396919</v>
          </cell>
          <cell r="Y83">
            <v>11339262916.967611</v>
          </cell>
        </row>
        <row r="84">
          <cell r="U84">
            <v>11968757307.381092</v>
          </cell>
          <cell r="V84">
            <v>12853439765.888039</v>
          </cell>
          <cell r="W84">
            <v>14240986015.663986</v>
          </cell>
          <cell r="X84">
            <v>13657407189.72311</v>
          </cell>
          <cell r="Y84">
            <v>12490755103.092842</v>
          </cell>
        </row>
        <row r="85">
          <cell r="U85">
            <v>13839788338.568573</v>
          </cell>
          <cell r="V85">
            <v>14217565917.305134</v>
          </cell>
          <cell r="W85">
            <v>15692617873.628969</v>
          </cell>
          <cell r="X85">
            <v>15039976519.018215</v>
          </cell>
          <cell r="Y85">
            <v>13739238469.557308</v>
          </cell>
        </row>
        <row r="86">
          <cell r="U86">
            <v>15894627528.947956</v>
          </cell>
          <cell r="V86">
            <v>16347352839.105719</v>
          </cell>
          <cell r="W86">
            <v>17278609134.94421</v>
          </cell>
          <cell r="X86">
            <v>16594123576.328705</v>
          </cell>
          <cell r="Y86">
            <v>15157485599.074478</v>
          </cell>
        </row>
        <row r="87">
          <cell r="U87">
            <v>18131141059.349968</v>
          </cell>
          <cell r="V87">
            <v>18955420473.102924</v>
          </cell>
          <cell r="W87">
            <v>19059010014.128902</v>
          </cell>
          <cell r="X87">
            <v>18313860658.446373</v>
          </cell>
          <cell r="Y87">
            <v>16709282695.619137</v>
          </cell>
        </row>
        <row r="88">
          <cell r="U88">
            <v>20562525235.866047</v>
          </cell>
          <cell r="V88">
            <v>21841204677.165714</v>
          </cell>
          <cell r="W88">
            <v>21045620371.990337</v>
          </cell>
          <cell r="X88">
            <v>20437491179.046459</v>
          </cell>
          <cell r="Y88">
            <v>18386538103.119843</v>
          </cell>
        </row>
        <row r="89">
          <cell r="U89">
            <v>22759096382.280724</v>
          </cell>
          <cell r="V89">
            <v>24984860708.314537</v>
          </cell>
          <cell r="W89">
            <v>24125544852.863281</v>
          </cell>
          <cell r="X89">
            <v>22529617130.207104</v>
          </cell>
          <cell r="Y89">
            <v>20178195457.338657</v>
          </cell>
        </row>
        <row r="90">
          <cell r="U90">
            <v>24712547828.12141</v>
          </cell>
          <cell r="V90">
            <v>28324319027.70665</v>
          </cell>
          <cell r="W90">
            <v>27728681509.46582</v>
          </cell>
          <cell r="X90">
            <v>24786922534.499321</v>
          </cell>
          <cell r="Y90">
            <v>22108980915.866058</v>
          </cell>
        </row>
        <row r="91">
          <cell r="U91">
            <v>26847019835.464085</v>
          </cell>
          <cell r="V91">
            <v>31475722917.888252</v>
          </cell>
          <cell r="W91">
            <v>31698230632.480289</v>
          </cell>
          <cell r="X91">
            <v>27263927461.542118</v>
          </cell>
          <cell r="Y91">
            <v>24031584369.164356</v>
          </cell>
        </row>
        <row r="92">
          <cell r="U92">
            <v>29185989942.904839</v>
          </cell>
          <cell r="V92">
            <v>34103290238.148262</v>
          </cell>
          <cell r="W92">
            <v>36081684103.724579</v>
          </cell>
          <cell r="X92">
            <v>29767886833.395584</v>
          </cell>
          <cell r="Y92">
            <v>26111350666.329502</v>
          </cell>
        </row>
        <row r="93">
          <cell r="U93">
            <v>31730453249.474506</v>
          </cell>
          <cell r="V93">
            <v>36976527301.93576</v>
          </cell>
          <cell r="W93">
            <v>40641852531.271103</v>
          </cell>
          <cell r="X93">
            <v>32504759148.071491</v>
          </cell>
          <cell r="Y93">
            <v>28342826465.968338</v>
          </cell>
        </row>
        <row r="94">
          <cell r="U94">
            <v>34487873779.307961</v>
          </cell>
          <cell r="V94">
            <v>40025015059.194397</v>
          </cell>
          <cell r="W94">
            <v>44615247865.778198</v>
          </cell>
          <cell r="X94">
            <v>36730340187.803452</v>
          </cell>
          <cell r="Y94">
            <v>30689461205.717617</v>
          </cell>
        </row>
        <row r="95">
          <cell r="U95">
            <v>37485022710.558479</v>
          </cell>
          <cell r="V95">
            <v>43151269759.096672</v>
          </cell>
          <cell r="W95">
            <v>47958950736.110115</v>
          </cell>
          <cell r="X95">
            <v>41131685196.998344</v>
          </cell>
          <cell r="Y95">
            <v>33252402308.699463</v>
          </cell>
        </row>
        <row r="96">
          <cell r="U96">
            <v>40783407131.578819</v>
          </cell>
          <cell r="V96">
            <v>46835193806.688774</v>
          </cell>
          <cell r="W96">
            <v>51752030759.014015</v>
          </cell>
          <cell r="X96">
            <v>46423955529.794998</v>
          </cell>
          <cell r="Y96">
            <v>36338322389.530327</v>
          </cell>
        </row>
        <row r="97">
          <cell r="U97">
            <v>44365944105.964981</v>
          </cell>
          <cell r="V97">
            <v>50736792854.294327</v>
          </cell>
          <cell r="W97">
            <v>55969370776.696541</v>
          </cell>
          <cell r="X97">
            <v>52274681801.787071</v>
          </cell>
          <cell r="Y97">
            <v>39823906883.892746</v>
          </cell>
        </row>
        <row r="98">
          <cell r="U98">
            <v>47600235230.542084</v>
          </cell>
          <cell r="V98">
            <v>54472595563.688095</v>
          </cell>
          <cell r="W98">
            <v>60062224726.783875</v>
          </cell>
          <cell r="X98">
            <v>57957511300.409966</v>
          </cell>
          <cell r="Y98">
            <v>42768650155.108871</v>
          </cell>
        </row>
        <row r="99">
          <cell r="U99">
            <v>55673928953.203178</v>
          </cell>
          <cell r="V99">
            <v>63133378090.29007</v>
          </cell>
          <cell r="W99">
            <v>69076433491.789307</v>
          </cell>
          <cell r="X99">
            <v>67758716764.624573</v>
          </cell>
          <cell r="Y99">
            <v>50410785758.947182</v>
          </cell>
        </row>
        <row r="100">
          <cell r="U100">
            <v>60715419538.259399</v>
          </cell>
          <cell r="V100">
            <v>68857634663.251541</v>
          </cell>
          <cell r="W100">
            <v>74954967224.501114</v>
          </cell>
          <cell r="X100">
            <v>73186901690.778137</v>
          </cell>
          <cell r="Y100">
            <v>54954211254.720978</v>
          </cell>
        </row>
        <row r="101">
          <cell r="U101">
            <v>66254225141.57756</v>
          </cell>
          <cell r="V101">
            <v>74928362976.674072</v>
          </cell>
          <cell r="W101">
            <v>81350873176.864426</v>
          </cell>
          <cell r="X101">
            <v>79185659408.672073</v>
          </cell>
          <cell r="Y101">
            <v>59844815452.383186</v>
          </cell>
        </row>
        <row r="102">
          <cell r="U102">
            <v>72292790489.097992</v>
          </cell>
          <cell r="V102">
            <v>81645006887.736847</v>
          </cell>
          <cell r="W102">
            <v>88684959089.181259</v>
          </cell>
          <cell r="X102">
            <v>86006188892.400314</v>
          </cell>
          <cell r="Y102">
            <v>65827079030.683258</v>
          </cell>
        </row>
        <row r="103">
          <cell r="U103">
            <v>78894790701.199432</v>
          </cell>
          <cell r="V103">
            <v>89208493049.255341</v>
          </cell>
          <cell r="W103">
            <v>96882424694.75032</v>
          </cell>
          <cell r="X103">
            <v>93910427293.575775</v>
          </cell>
          <cell r="Y103">
            <v>74107671698.225662</v>
          </cell>
        </row>
        <row r="104">
          <cell r="U104">
            <v>86178301940.686539</v>
          </cell>
          <cell r="V104">
            <v>97546234986.104279</v>
          </cell>
          <cell r="W104">
            <v>106063097549.10861</v>
          </cell>
          <cell r="X104">
            <v>102795357388.67102</v>
          </cell>
          <cell r="Y104">
            <v>82574772800.095932</v>
          </cell>
        </row>
        <row r="105">
          <cell r="U105">
            <v>94127254722.617172</v>
          </cell>
          <cell r="V105">
            <v>106760284653.15785</v>
          </cell>
          <cell r="W105">
            <v>116263436075.29268</v>
          </cell>
          <cell r="X105">
            <v>111863903731.40376</v>
          </cell>
          <cell r="Y105">
            <v>91396135882.839279</v>
          </cell>
        </row>
        <row r="106">
          <cell r="U106">
            <v>102299421292.82635</v>
          </cell>
          <cell r="V106">
            <v>116113133154.2265</v>
          </cell>
          <cell r="W106">
            <v>124909884376.00237</v>
          </cell>
          <cell r="X106">
            <v>119650439814.21637</v>
          </cell>
          <cell r="Y106">
            <v>99688150352.880096</v>
          </cell>
        </row>
        <row r="107">
          <cell r="U107">
            <v>112012900645.04565</v>
          </cell>
          <cell r="V107">
            <v>126879363412.44</v>
          </cell>
          <cell r="W107">
            <v>135976943990.84056</v>
          </cell>
          <cell r="X107">
            <v>129782448763.46002</v>
          </cell>
          <cell r="Y107">
            <v>109703780500.01167</v>
          </cell>
        </row>
        <row r="108">
          <cell r="U108">
            <v>122602181559.17287</v>
          </cell>
          <cell r="V108">
            <v>138517513193.11755</v>
          </cell>
          <cell r="W108">
            <v>148323959070.10504</v>
          </cell>
          <cell r="X108">
            <v>141153087856.61157</v>
          </cell>
          <cell r="Y108">
            <v>119922604396.25964</v>
          </cell>
        </row>
        <row r="109">
          <cell r="U109">
            <v>134122511477.45378</v>
          </cell>
          <cell r="V109">
            <v>151625002669.36188</v>
          </cell>
          <cell r="W109">
            <v>162466624041.31631</v>
          </cell>
          <cell r="X109">
            <v>154067172649.70129</v>
          </cell>
          <cell r="Y109">
            <v>130607819883.97771</v>
          </cell>
        </row>
        <row r="110">
          <cell r="U110">
            <v>146775297534.33771</v>
          </cell>
          <cell r="V110">
            <v>166089183081.11359</v>
          </cell>
          <cell r="W110">
            <v>177956069427.83243</v>
          </cell>
          <cell r="X110">
            <v>168663636609.62256</v>
          </cell>
          <cell r="Y110">
            <v>142021663786.85938</v>
          </cell>
        </row>
        <row r="111">
          <cell r="U111">
            <v>160546486962.6756</v>
          </cell>
          <cell r="V111">
            <v>181934640133.99918</v>
          </cell>
          <cell r="W111">
            <v>195245906462.22522</v>
          </cell>
          <cell r="X111">
            <v>184296431800.01898</v>
          </cell>
          <cell r="Y111">
            <v>153809264492.94366</v>
          </cell>
        </row>
        <row r="112">
          <cell r="U112">
            <v>175665334460.11053</v>
          </cell>
          <cell r="V112">
            <v>199521035512.7775</v>
          </cell>
          <cell r="W112">
            <v>214261629348.59302</v>
          </cell>
          <cell r="X112">
            <v>200615148372.8273</v>
          </cell>
          <cell r="Y112">
            <v>166496862048.65884</v>
          </cell>
        </row>
        <row r="113">
          <cell r="U113">
            <v>192638096399.82437</v>
          </cell>
          <cell r="V113">
            <v>218927449127.9819</v>
          </cell>
          <cell r="W113">
            <v>233828338074.22116</v>
          </cell>
          <cell r="X113">
            <v>218496508249.4487</v>
          </cell>
          <cell r="Y113">
            <v>180368719818.56845</v>
          </cell>
        </row>
        <row r="114">
          <cell r="U114">
            <v>211187739374.38107</v>
          </cell>
          <cell r="V114">
            <v>239265334240.85468</v>
          </cell>
          <cell r="W114">
            <v>255573505420.96851</v>
          </cell>
          <cell r="X114">
            <v>238002075255.07318</v>
          </cell>
          <cell r="Y114">
            <v>195491959739.25366</v>
          </cell>
        </row>
        <row r="115">
          <cell r="U115">
            <v>231379177157.16406</v>
          </cell>
          <cell r="V115">
            <v>262400079699.4223</v>
          </cell>
          <cell r="W115">
            <v>280533190187.41626</v>
          </cell>
          <cell r="X115">
            <v>260528759455.85992</v>
          </cell>
          <cell r="Y115">
            <v>213362371684.85577</v>
          </cell>
        </row>
        <row r="116">
          <cell r="U116">
            <v>253486193003.8515</v>
          </cell>
          <cell r="V116">
            <v>287961579945.7345</v>
          </cell>
          <cell r="W116">
            <v>307972924868.86932</v>
          </cell>
          <cell r="X116">
            <v>285985298200.2951</v>
          </cell>
          <cell r="Y116">
            <v>233351545575.34824</v>
          </cell>
        </row>
        <row r="117">
          <cell r="U117">
            <v>277598125387.92651</v>
          </cell>
          <cell r="V117">
            <v>315870686117.42267</v>
          </cell>
          <cell r="W117">
            <v>338334914803.91284</v>
          </cell>
          <cell r="X117">
            <v>313701115344.08307</v>
          </cell>
          <cell r="Y117">
            <v>253358980714.75009</v>
          </cell>
        </row>
        <row r="118">
          <cell r="U118">
            <v>304017334604.63354</v>
          </cell>
          <cell r="V118">
            <v>346948315387.06183</v>
          </cell>
          <cell r="W118">
            <v>372064307850.77325</v>
          </cell>
          <cell r="X118">
            <v>342740171352.1864</v>
          </cell>
          <cell r="Y118">
            <v>274783751476.04565</v>
          </cell>
        </row>
        <row r="119">
          <cell r="U119">
            <v>333573620721.8501</v>
          </cell>
          <cell r="V119">
            <v>381276531794.87225</v>
          </cell>
          <cell r="W119">
            <v>407522946080.28748</v>
          </cell>
          <cell r="X119">
            <v>373646119552.51404</v>
          </cell>
          <cell r="Y119">
            <v>297930986617.93481</v>
          </cell>
        </row>
        <row r="120">
          <cell r="U120">
            <v>366124907755.62726</v>
          </cell>
          <cell r="V120">
            <v>417425030787.15161</v>
          </cell>
          <cell r="W120">
            <v>445167202667.45667</v>
          </cell>
          <cell r="X120">
            <v>406896996786.78864</v>
          </cell>
          <cell r="Y120">
            <v>322658098090.61969</v>
          </cell>
        </row>
        <row r="121">
          <cell r="U121">
            <v>401602715907.81805</v>
          </cell>
          <cell r="V121">
            <v>457625345755.29022</v>
          </cell>
          <cell r="W121">
            <v>487879526608.23187</v>
          </cell>
          <cell r="X121">
            <v>445107641913.86493</v>
          </cell>
          <cell r="Y121">
            <v>351121151324.8233</v>
          </cell>
        </row>
        <row r="122">
          <cell r="U122">
            <v>440360971522.32092</v>
          </cell>
          <cell r="V122">
            <v>502247226967.73956</v>
          </cell>
          <cell r="W122">
            <v>535547617525.13049</v>
          </cell>
          <cell r="X122">
            <v>487305011053.18823</v>
          </cell>
          <cell r="Y122">
            <v>383786131657.39917</v>
          </cell>
        </row>
        <row r="123">
          <cell r="U123">
            <v>482664868014.2674</v>
          </cell>
          <cell r="V123">
            <v>550992688776.7417</v>
          </cell>
          <cell r="W123">
            <v>587927460225.98999</v>
          </cell>
          <cell r="X123">
            <v>535279454442.41974</v>
          </cell>
          <cell r="Y123">
            <v>418736975432.31323</v>
          </cell>
        </row>
        <row r="124">
          <cell r="U124">
            <v>528867880557.54456</v>
          </cell>
          <cell r="V124">
            <v>605097901524.80371</v>
          </cell>
          <cell r="W124">
            <v>647044159843.72913</v>
          </cell>
          <cell r="X124">
            <v>586939671409.16504</v>
          </cell>
          <cell r="Y124">
            <v>454718965698.16632</v>
          </cell>
        </row>
        <row r="125">
          <cell r="U125">
            <v>579967766337.57996</v>
          </cell>
          <cell r="V125">
            <v>665242573898.20386</v>
          </cell>
          <cell r="W125">
            <v>710745699710.21008</v>
          </cell>
          <cell r="X125">
            <v>639760528561.66626</v>
          </cell>
          <cell r="Y125">
            <v>493642600692.06915</v>
          </cell>
        </row>
        <row r="126">
          <cell r="U126">
            <v>636629175738.30811</v>
          </cell>
          <cell r="V126">
            <v>729678264754.75464</v>
          </cell>
          <cell r="W126">
            <v>776248673386.85242</v>
          </cell>
          <cell r="X126">
            <v>697385770139.8717</v>
          </cell>
          <cell r="Y126">
            <v>536058239361.51563</v>
          </cell>
        </row>
        <row r="127">
          <cell r="U127">
            <v>698455807910.43237</v>
          </cell>
          <cell r="V127">
            <v>798688333406.32385</v>
          </cell>
          <cell r="W127">
            <v>849304611114.59094</v>
          </cell>
          <cell r="X127">
            <v>761611593119.98376</v>
          </cell>
          <cell r="Y127">
            <v>582400479129.24976</v>
          </cell>
        </row>
        <row r="128">
          <cell r="U128">
            <v>765767572776.36951</v>
          </cell>
          <cell r="V128">
            <v>876337712623.27759</v>
          </cell>
          <cell r="W128">
            <v>933227115947.64844</v>
          </cell>
          <cell r="X128">
            <v>835719744917.63513</v>
          </cell>
          <cell r="Y128">
            <v>637445029622.25793</v>
          </cell>
        </row>
        <row r="129">
          <cell r="U129">
            <v>839840566401.55664</v>
          </cell>
          <cell r="V129">
            <v>963179312717.02112</v>
          </cell>
          <cell r="W129">
            <v>1025277147682.3647</v>
          </cell>
          <cell r="X129">
            <v>918679413064.35291</v>
          </cell>
          <cell r="Y129">
            <v>698902023089.48157</v>
          </cell>
        </row>
        <row r="130">
          <cell r="U130">
            <v>920504286177.6687</v>
          </cell>
          <cell r="V130">
            <v>1056005417218.0662</v>
          </cell>
          <cell r="W130">
            <v>1128169053953.8459</v>
          </cell>
          <cell r="X130">
            <v>1009633002548.4673</v>
          </cell>
          <cell r="Y130">
            <v>759367133507.67358</v>
          </cell>
        </row>
        <row r="131">
          <cell r="U131">
            <v>1008953322510.7971</v>
          </cell>
          <cell r="V131">
            <v>1162012605268.4941</v>
          </cell>
          <cell r="W131">
            <v>1240936886127.0198</v>
          </cell>
          <cell r="X131">
            <v>1102294643187.5371</v>
          </cell>
          <cell r="Y131">
            <v>824874260418.0448</v>
          </cell>
        </row>
        <row r="132">
          <cell r="U132">
            <v>1107824213479.3772</v>
          </cell>
          <cell r="V132">
            <v>1277011049717.062</v>
          </cell>
          <cell r="W132">
            <v>1356466245945.3958</v>
          </cell>
          <cell r="X132">
            <v>1201085338551.3596</v>
          </cell>
          <cell r="Y132">
            <v>896362207776.39282</v>
          </cell>
        </row>
        <row r="133">
          <cell r="U133">
            <v>1216344664092.1448</v>
          </cell>
          <cell r="V133">
            <v>1395629025875.0784</v>
          </cell>
          <cell r="W133">
            <v>1481160829601.5813</v>
          </cell>
          <cell r="X133">
            <v>1310719018199.7939</v>
          </cell>
          <cell r="Y133">
            <v>974488839641.58398</v>
          </cell>
        </row>
        <row r="134">
          <cell r="U134">
            <v>1334766093313.8406</v>
          </cell>
          <cell r="V134">
            <v>1533052471854.4631</v>
          </cell>
          <cell r="W134">
            <v>1629559589338.3054</v>
          </cell>
          <cell r="X134">
            <v>1440827293275.8623</v>
          </cell>
          <cell r="Y134">
            <v>1065478358276.7024</v>
          </cell>
        </row>
        <row r="135">
          <cell r="U135">
            <v>1464678710349.5801</v>
          </cell>
          <cell r="V135">
            <v>1685408754789.5583</v>
          </cell>
          <cell r="W135">
            <v>1793395269352.0449</v>
          </cell>
          <cell r="X135">
            <v>1584424285893.5513</v>
          </cell>
          <cell r="Y135">
            <v>1168236582728.2896</v>
          </cell>
        </row>
        <row r="136">
          <cell r="U136">
            <v>1607134420018.1367</v>
          </cell>
          <cell r="V136">
            <v>1851926765858.2568</v>
          </cell>
          <cell r="W136">
            <v>1972776393213.5154</v>
          </cell>
          <cell r="X136">
            <v>1743335194341.2263</v>
          </cell>
          <cell r="Y136">
            <v>1275365835449.6416</v>
          </cell>
        </row>
        <row r="137">
          <cell r="U137">
            <v>1763257179016.4119</v>
          </cell>
          <cell r="V137">
            <v>2036546692777.168</v>
          </cell>
          <cell r="W137">
            <v>2174116015907.3025</v>
          </cell>
          <cell r="X137">
            <v>1910310446607.8694</v>
          </cell>
          <cell r="Y137">
            <v>1387583360451.2336</v>
          </cell>
        </row>
        <row r="138">
          <cell r="U138">
            <v>1936274763916.4993</v>
          </cell>
          <cell r="V138">
            <v>2240321546630.5493</v>
          </cell>
          <cell r="W138">
            <v>2382549750552.064</v>
          </cell>
          <cell r="X138">
            <v>2084107470859.0068</v>
          </cell>
          <cell r="Y138">
            <v>1508218548740.0601</v>
          </cell>
        </row>
        <row r="139">
          <cell r="U139">
            <v>2126389270225.844</v>
          </cell>
          <cell r="V139">
            <v>2453905449667.2705</v>
          </cell>
          <cell r="W139">
            <v>2603530163178.6289</v>
          </cell>
          <cell r="X139">
            <v>2275078466332.6523</v>
          </cell>
          <cell r="Y139">
            <v>1640315986296.6853</v>
          </cell>
        </row>
        <row r="140">
          <cell r="U140">
            <v>2333973295049.2988</v>
          </cell>
          <cell r="V140">
            <v>2691486010029.0176</v>
          </cell>
          <cell r="W140">
            <v>2855121022760.3398</v>
          </cell>
          <cell r="X140">
            <v>2493284131450.0938</v>
          </cell>
          <cell r="Y140">
            <v>1790051587005.8501</v>
          </cell>
        </row>
        <row r="141">
          <cell r="U141">
            <v>2560960850717.9717</v>
          </cell>
          <cell r="V141">
            <v>2957578777209.8496</v>
          </cell>
          <cell r="W141">
            <v>3145416672668.8345</v>
          </cell>
          <cell r="X141">
            <v>2740635285545.2964</v>
          </cell>
          <cell r="Y141">
            <v>1961554374779.9163</v>
          </cell>
        </row>
        <row r="142">
          <cell r="U142">
            <v>2808975632679.0928</v>
          </cell>
          <cell r="V142">
            <v>3249966625406.3271</v>
          </cell>
          <cell r="W142">
            <v>3456413867710.1094</v>
          </cell>
          <cell r="X142">
            <v>3012153404546.5601</v>
          </cell>
          <cell r="Y142">
            <v>2144701064930.0313</v>
          </cell>
        </row>
        <row r="143">
          <cell r="U143">
            <v>3080068807947.9883</v>
          </cell>
          <cell r="V143">
            <v>3567353380416.1196</v>
          </cell>
          <cell r="W143">
            <v>3799263311386.0396</v>
          </cell>
          <cell r="X143">
            <v>3304568638693.3994</v>
          </cell>
          <cell r="Y143">
            <v>2330864276113.3672</v>
          </cell>
        </row>
        <row r="144">
          <cell r="U144">
            <v>3378332842423.5078</v>
          </cell>
          <cell r="V144">
            <v>3919275354647.085</v>
          </cell>
          <cell r="W144">
            <v>4172014670600.0874</v>
          </cell>
          <cell r="X144">
            <v>3604476911339.7065</v>
          </cell>
          <cell r="Y144">
            <v>2533051464710.8828</v>
          </cell>
        </row>
        <row r="145">
          <cell r="U145">
            <v>3706571765393.9927</v>
          </cell>
          <cell r="V145">
            <v>4300154865911.9341</v>
          </cell>
          <cell r="W145">
            <v>4555594966682.5273</v>
          </cell>
          <cell r="X145">
            <v>3929877238134.4697</v>
          </cell>
          <cell r="Y145">
            <v>2755346016716.6147</v>
          </cell>
        </row>
        <row r="146">
          <cell r="U146">
            <v>4065121945054.79</v>
          </cell>
          <cell r="V146">
            <v>4704081735039.2539</v>
          </cell>
          <cell r="W146">
            <v>4979187085073.8984</v>
          </cell>
          <cell r="X146">
            <v>4299983063391.2681</v>
          </cell>
          <cell r="Y146">
            <v>3002029460058.397</v>
          </cell>
        </row>
        <row r="147">
          <cell r="U147">
            <v>4456252283328.7832</v>
          </cell>
          <cell r="V147">
            <v>5161043726662.4873</v>
          </cell>
          <cell r="W147">
            <v>5479229798682.6777</v>
          </cell>
          <cell r="X147">
            <v>4723366893194.0391</v>
          </cell>
          <cell r="Y147">
            <v>3286437189937.8896</v>
          </cell>
        </row>
        <row r="148">
          <cell r="U148">
            <v>4884591008950.9648</v>
          </cell>
          <cell r="V148">
            <v>5669848668551.4121</v>
          </cell>
          <cell r="W148">
            <v>6023329049350.8887</v>
          </cell>
          <cell r="X148">
            <v>5193750718025.5859</v>
          </cell>
          <cell r="Y148">
            <v>3603743272110.2983</v>
          </cell>
        </row>
        <row r="149">
          <cell r="U149">
            <v>5354912874881.3252</v>
          </cell>
          <cell r="V149">
            <v>6223338179133.8125</v>
          </cell>
          <cell r="W149">
            <v>6626356755338.2988</v>
          </cell>
          <cell r="X149">
            <v>5711536782433.6445</v>
          </cell>
          <cell r="Y149">
            <v>3930507682025.127</v>
          </cell>
        </row>
        <row r="150">
          <cell r="U150">
            <v>5873015203082.8262</v>
          </cell>
          <cell r="V150">
            <v>6848602752072.8818</v>
          </cell>
          <cell r="W150">
            <v>7293322737377.6846</v>
          </cell>
          <cell r="X150">
            <v>6254623948347.5459</v>
          </cell>
          <cell r="Y150">
            <v>4280625581055.1855</v>
          </cell>
        </row>
        <row r="151">
          <cell r="U151">
            <v>6447503272145.3809</v>
          </cell>
          <cell r="V151">
            <v>7524460394732.4082</v>
          </cell>
          <cell r="W151">
            <v>7984623498137.626</v>
          </cell>
          <cell r="X151">
            <v>6828140450738.5303</v>
          </cell>
          <cell r="Y151">
            <v>4655813185159.457</v>
          </cell>
        </row>
        <row r="152">
          <cell r="U152">
            <v>7078624978986.5449</v>
          </cell>
          <cell r="V152">
            <v>8235978783302.9248</v>
          </cell>
          <cell r="W152">
            <v>8728180392399.5</v>
          </cell>
          <cell r="X152">
            <v>7449304988215.5469</v>
          </cell>
          <cell r="Y152">
            <v>5065595899590.9287</v>
          </cell>
        </row>
        <row r="153">
          <cell r="U153">
            <v>7769762299348.2646</v>
          </cell>
          <cell r="V153">
            <v>9050395523942.3633</v>
          </cell>
          <cell r="W153">
            <v>9598904535907.459</v>
          </cell>
          <cell r="X153">
            <v>8191815088359.9746</v>
          </cell>
          <cell r="Y153">
            <v>5540904120326.6465</v>
          </cell>
        </row>
        <row r="154">
          <cell r="U154">
            <v>8528634504068.5938</v>
          </cell>
          <cell r="V154">
            <v>9945962053165.6875</v>
          </cell>
          <cell r="W154">
            <v>10557969677133.555</v>
          </cell>
          <cell r="X154">
            <v>9003351348557.4082</v>
          </cell>
          <cell r="Y154">
            <v>6090533776104.3799</v>
          </cell>
        </row>
        <row r="155">
          <cell r="U155">
            <v>9362348865137.6973</v>
          </cell>
          <cell r="V155">
            <v>10930078005001.646</v>
          </cell>
          <cell r="W155">
            <v>11618153112819.949</v>
          </cell>
          <cell r="X155">
            <v>9916724046108.9297</v>
          </cell>
          <cell r="Y155">
            <v>6711633261487.0342</v>
          </cell>
        </row>
        <row r="156">
          <cell r="U156">
            <v>10275968846560.893</v>
          </cell>
          <cell r="V156">
            <v>12029893606545.482</v>
          </cell>
          <cell r="W156">
            <v>12803942421212.883</v>
          </cell>
          <cell r="X156">
            <v>10968802714422.045</v>
          </cell>
          <cell r="Y156">
            <v>7478296597462.0039</v>
          </cell>
        </row>
        <row r="157">
          <cell r="U157">
            <v>11296271780774.336</v>
          </cell>
          <cell r="V157">
            <v>13234860335261.691</v>
          </cell>
          <cell r="W157">
            <v>14181501689066.076</v>
          </cell>
          <cell r="X157">
            <v>12244945692291.445</v>
          </cell>
          <cell r="Y157">
            <v>11167570183005.566</v>
          </cell>
        </row>
        <row r="158">
          <cell r="U158">
            <v>12417090497616.061</v>
          </cell>
          <cell r="V158">
            <v>14683559966759.893</v>
          </cell>
          <cell r="W158">
            <v>15802471768064.648</v>
          </cell>
          <cell r="X158">
            <v>16717062575474.486</v>
          </cell>
          <cell r="Y158">
            <v>18497146067164.063</v>
          </cell>
        </row>
        <row r="159">
          <cell r="U159">
            <v>13639513272618.336</v>
          </cell>
          <cell r="V159">
            <v>16224882808666.359</v>
          </cell>
          <cell r="W159">
            <v>20193515879962.266</v>
          </cell>
          <cell r="X159">
            <v>24191391013339.191</v>
          </cell>
          <cell r="Y159">
            <v>25757146055623.313</v>
          </cell>
        </row>
        <row r="160">
          <cell r="U160">
            <v>14975315824833.754</v>
          </cell>
          <cell r="V160">
            <v>19992555721483.938</v>
          </cell>
          <cell r="W160">
            <v>27384111340018.863</v>
          </cell>
          <cell r="X160">
            <v>31915878169306.727</v>
          </cell>
          <cell r="Y160">
            <v>33339608238167.551</v>
          </cell>
        </row>
        <row r="161">
          <cell r="U161">
            <v>16315523183425.713</v>
          </cell>
          <cell r="V161">
            <v>22978513749956.754</v>
          </cell>
          <cell r="W161">
            <v>31388687318069.422</v>
          </cell>
          <cell r="X161">
            <v>36289465218376.469</v>
          </cell>
          <cell r="Y161">
            <v>37585071556657.219</v>
          </cell>
        </row>
        <row r="162">
          <cell r="U162">
            <v>17709429273069.367</v>
          </cell>
          <cell r="V162">
            <v>24908880306278.801</v>
          </cell>
          <cell r="W162">
            <v>33913838412128.148</v>
          </cell>
          <cell r="X162">
            <v>39045286071526.727</v>
          </cell>
          <cell r="Y162">
            <v>40150849354911.336</v>
          </cell>
        </row>
        <row r="163">
          <cell r="U163">
            <v>19213509574953.266</v>
          </cell>
          <cell r="V163">
            <v>26978135145628.891</v>
          </cell>
          <cell r="W163">
            <v>36620567575258.539</v>
          </cell>
          <cell r="X163">
            <v>41999241015991.234</v>
          </cell>
          <cell r="Y163">
            <v>43014230161931.484</v>
          </cell>
        </row>
        <row r="164">
          <cell r="U164">
            <v>20825908411169.316</v>
          </cell>
          <cell r="V164">
            <v>29196273075621.961</v>
          </cell>
          <cell r="W164">
            <v>39521933608834.773</v>
          </cell>
          <cell r="X164">
            <v>45165577136186.367</v>
          </cell>
          <cell r="Y164">
            <v>46083491370620.805</v>
          </cell>
        </row>
        <row r="165">
          <cell r="U165">
            <v>22554428381312.266</v>
          </cell>
          <cell r="V165">
            <v>31574008154515.422</v>
          </cell>
          <cell r="W165">
            <v>42631934478314.859</v>
          </cell>
          <cell r="X165">
            <v>48559565967800.68</v>
          </cell>
          <cell r="Y165">
            <v>49373437933604.336</v>
          </cell>
        </row>
      </sheetData>
      <sheetData sheetId="15"/>
      <sheetData sheetId="16">
        <row r="3">
          <cell r="C3"/>
        </row>
      </sheetData>
      <sheetData sheetId="17">
        <row r="5">
          <cell r="B5">
            <v>1</v>
          </cell>
        </row>
      </sheetData>
      <sheetData sheetId="18">
        <row r="6">
          <cell r="C6">
            <v>8101.9050560002579</v>
          </cell>
          <cell r="U6">
            <v>7160.6396573852171</v>
          </cell>
          <cell r="V6">
            <v>9700.756205040987</v>
          </cell>
          <cell r="W6">
            <v>12334.517379389406</v>
          </cell>
          <cell r="X6">
            <v>15073.532018450225</v>
          </cell>
          <cell r="Y6">
            <v>20484.384820564243</v>
          </cell>
        </row>
        <row r="7">
          <cell r="U7">
            <v>9528.4880276986405</v>
          </cell>
          <cell r="V7">
            <v>12943.239948278579</v>
          </cell>
          <cell r="W7">
            <v>16495.874577407849</v>
          </cell>
          <cell r="X7">
            <v>20239.630522277359</v>
          </cell>
          <cell r="Y7">
            <v>27640.167282001781</v>
          </cell>
        </row>
        <row r="8">
          <cell r="U8">
            <v>11526.731245978093</v>
          </cell>
          <cell r="V8">
            <v>16000.954650888696</v>
          </cell>
          <cell r="W8">
            <v>20898.283079899709</v>
          </cell>
          <cell r="X8">
            <v>26311.103389539378</v>
          </cell>
          <cell r="Y8">
            <v>36832.804640240262</v>
          </cell>
        </row>
        <row r="9">
          <cell r="U9">
            <v>14648.342458297248</v>
          </cell>
          <cell r="V9">
            <v>20648.672849528204</v>
          </cell>
          <cell r="W9">
            <v>27426.049427400339</v>
          </cell>
          <cell r="X9">
            <v>35091.790606292016</v>
          </cell>
          <cell r="Y9">
            <v>50080.586864910583</v>
          </cell>
        </row>
        <row r="10">
          <cell r="U10">
            <v>18530.224790965462</v>
          </cell>
          <cell r="V10">
            <v>26087.810276769873</v>
          </cell>
          <cell r="W10">
            <v>34595.792648656992</v>
          </cell>
          <cell r="X10">
            <v>44207.221908722589</v>
          </cell>
          <cell r="Y10">
            <v>63007.558044456331</v>
          </cell>
        </row>
        <row r="11">
          <cell r="U11">
            <v>22418.668372009484</v>
          </cell>
          <cell r="V11">
            <v>31587.12783980566</v>
          </cell>
          <cell r="W11">
            <v>41899.499294645488</v>
          </cell>
          <cell r="X11">
            <v>53552.031827981795</v>
          </cell>
          <cell r="Y11">
            <v>76579.147270252681</v>
          </cell>
        </row>
        <row r="12">
          <cell r="U12">
            <v>26376.051175864399</v>
          </cell>
          <cell r="V12">
            <v>37169.463957404165</v>
          </cell>
          <cell r="W12">
            <v>49370.730149821371</v>
          </cell>
          <cell r="X12">
            <v>63422.911854523103</v>
          </cell>
          <cell r="Y12">
            <v>91238.280487517157</v>
          </cell>
        </row>
        <row r="13">
          <cell r="U13">
            <v>30430.279523184498</v>
          </cell>
          <cell r="V13">
            <v>43092.38117407581</v>
          </cell>
          <cell r="W13">
            <v>57538.231228878321</v>
          </cell>
          <cell r="X13">
            <v>74147.744260528663</v>
          </cell>
          <cell r="Y13">
            <v>106871.1737064859</v>
          </cell>
        </row>
        <row r="14">
          <cell r="U14">
            <v>35486.348554970114</v>
          </cell>
          <cell r="V14">
            <v>50325.720087114954</v>
          </cell>
          <cell r="W14">
            <v>67401.298399963227</v>
          </cell>
          <cell r="X14">
            <v>87414.246866973699</v>
          </cell>
          <cell r="Y14">
            <v>126190.87451349982</v>
          </cell>
        </row>
        <row r="15">
          <cell r="U15">
            <v>40922.469586145067</v>
          </cell>
          <cell r="V15">
            <v>58240.814409154846</v>
          </cell>
          <cell r="W15">
            <v>78214.40142924161</v>
          </cell>
          <cell r="X15">
            <v>100717.2870526905</v>
          </cell>
          <cell r="Y15">
            <v>144792.16193107751</v>
          </cell>
        </row>
        <row r="16">
          <cell r="U16">
            <v>46702.362887611627</v>
          </cell>
          <cell r="V16">
            <v>66060.963864065387</v>
          </cell>
          <cell r="W16">
            <v>88141.479382047459</v>
          </cell>
          <cell r="X16">
            <v>115184.35705915635</v>
          </cell>
          <cell r="Y16">
            <v>181783.35601381876</v>
          </cell>
        </row>
        <row r="17">
          <cell r="U17">
            <v>51977.847186080078</v>
          </cell>
          <cell r="V17">
            <v>73514.355848467618</v>
          </cell>
          <cell r="W17">
            <v>104306.57219918576</v>
          </cell>
          <cell r="X17">
            <v>145865.72396926422</v>
          </cell>
          <cell r="Y17">
            <v>224232.57098753055</v>
          </cell>
        </row>
        <row r="18">
          <cell r="U18">
            <v>59214.673257327682</v>
          </cell>
          <cell r="V18">
            <v>89959.481923297251</v>
          </cell>
          <cell r="W18">
            <v>128688.10222325771</v>
          </cell>
          <cell r="X18">
            <v>175460.50640125579</v>
          </cell>
          <cell r="Y18">
            <v>266556.94805781881</v>
          </cell>
        </row>
        <row r="19">
          <cell r="U19">
            <v>71763.884441161819</v>
          </cell>
          <cell r="V19">
            <v>107251.84656612531</v>
          </cell>
          <cell r="W19">
            <v>149736.97756511517</v>
          </cell>
          <cell r="X19">
            <v>203699.8067372439</v>
          </cell>
          <cell r="Y19">
            <v>330630.72438967688</v>
          </cell>
        </row>
        <row r="20">
          <cell r="U20">
            <v>84110.860530630001</v>
          </cell>
          <cell r="V20">
            <v>123782.07838981092</v>
          </cell>
          <cell r="W20">
            <v>176241.16228563202</v>
          </cell>
          <cell r="X20">
            <v>254233.87538379157</v>
          </cell>
          <cell r="Y20">
            <v>414435.81921612524</v>
          </cell>
        </row>
        <row r="21">
          <cell r="U21">
            <v>96258.747305106124</v>
          </cell>
          <cell r="V21">
            <v>146685.20639319249</v>
          </cell>
          <cell r="W21">
            <v>216349.74045902502</v>
          </cell>
          <cell r="X21">
            <v>315488.73478955403</v>
          </cell>
          <cell r="Y21">
            <v>525389.48188674089</v>
          </cell>
        </row>
        <row r="22">
          <cell r="U22">
            <v>114998.37200503108</v>
          </cell>
          <cell r="V22">
            <v>176931.7884043894</v>
          </cell>
          <cell r="W22">
            <v>262137.88514169669</v>
          </cell>
          <cell r="X22">
            <v>384795.45290552883</v>
          </cell>
          <cell r="Y22">
            <v>623814.17735253042</v>
          </cell>
        </row>
        <row r="23">
          <cell r="U23">
            <v>137903.9008360774</v>
          </cell>
          <cell r="V23">
            <v>216064.02244564978</v>
          </cell>
          <cell r="W23">
            <v>323319.50489124667</v>
          </cell>
          <cell r="X23">
            <v>468119.39190053346</v>
          </cell>
          <cell r="Y23">
            <v>746771.71139534644</v>
          </cell>
        </row>
        <row r="24">
          <cell r="U24">
            <v>167310.67215998156</v>
          </cell>
          <cell r="V24">
            <v>261667.08994836765</v>
          </cell>
          <cell r="W24">
            <v>386940.95607077586</v>
          </cell>
          <cell r="X24">
            <v>552736.05516655813</v>
          </cell>
          <cell r="Y24">
            <v>877704.85492873087</v>
          </cell>
        </row>
        <row r="25">
          <cell r="U25">
            <v>200351.10067246875</v>
          </cell>
          <cell r="V25">
            <v>310050.56868931535</v>
          </cell>
          <cell r="W25">
            <v>452783.57607986307</v>
          </cell>
          <cell r="X25">
            <v>642177.75711211341</v>
          </cell>
          <cell r="Y25">
            <v>1008522.4030282049</v>
          </cell>
        </row>
        <row r="26">
          <cell r="U26">
            <v>236671.56835126152</v>
          </cell>
          <cell r="V26">
            <v>362711.19952548551</v>
          </cell>
          <cell r="W26">
            <v>526842.06519518758</v>
          </cell>
          <cell r="X26">
            <v>741753.18729246606</v>
          </cell>
          <cell r="Y26">
            <v>1140566.9207733318</v>
          </cell>
        </row>
        <row r="27">
          <cell r="U27">
            <v>275845.10879400501</v>
          </cell>
          <cell r="V27">
            <v>420489.36236193078</v>
          </cell>
          <cell r="W27">
            <v>607554.20614393684</v>
          </cell>
          <cell r="X27">
            <v>836229.86256194673</v>
          </cell>
          <cell r="Y27">
            <v>1288261.2742360155</v>
          </cell>
        </row>
        <row r="28">
          <cell r="U28">
            <v>317821.40556464531</v>
          </cell>
          <cell r="V28">
            <v>480705.38185829285</v>
          </cell>
          <cell r="W28">
            <v>680319.4214595065</v>
          </cell>
          <cell r="X28">
            <v>928975.22102842759</v>
          </cell>
          <cell r="Y28">
            <v>1460329.4476601549</v>
          </cell>
        </row>
        <row r="29">
          <cell r="U29">
            <v>362807.60733926098</v>
          </cell>
          <cell r="V29">
            <v>540569.28061813442</v>
          </cell>
          <cell r="W29">
            <v>759296.41371608269</v>
          </cell>
          <cell r="X29">
            <v>1061934.3919172916</v>
          </cell>
          <cell r="Y29">
            <v>1657667.0710405849</v>
          </cell>
        </row>
        <row r="30">
          <cell r="U30">
            <v>405969.7576202543</v>
          </cell>
          <cell r="V30">
            <v>600428.87321454484</v>
          </cell>
          <cell r="W30">
            <v>858981.0803104433</v>
          </cell>
          <cell r="X30">
            <v>1204890.9156056703</v>
          </cell>
          <cell r="Y30">
            <v>1833698.9398004571</v>
          </cell>
        </row>
        <row r="31">
          <cell r="U31">
            <v>449786.8676968693</v>
          </cell>
          <cell r="V31">
            <v>675361.5272190501</v>
          </cell>
          <cell r="W31">
            <v>972800.42962517822</v>
          </cell>
          <cell r="X31">
            <v>1334142.3757224914</v>
          </cell>
          <cell r="Y31">
            <v>2023857.2974296978</v>
          </cell>
        </row>
        <row r="32">
          <cell r="U32">
            <v>504713.21947710408</v>
          </cell>
          <cell r="V32">
            <v>763927.63651536126</v>
          </cell>
          <cell r="W32">
            <v>1082743.1279994191</v>
          </cell>
          <cell r="X32">
            <v>1470405.8379896521</v>
          </cell>
          <cell r="Y32">
            <v>2239613.0774900927</v>
          </cell>
        </row>
        <row r="33">
          <cell r="U33">
            <v>570022.32304833597</v>
          </cell>
          <cell r="V33">
            <v>851481.80540239799</v>
          </cell>
          <cell r="W33">
            <v>1190469.8483875834</v>
          </cell>
          <cell r="X33">
            <v>1621694.279309554</v>
          </cell>
          <cell r="Y33">
            <v>2481034.1128274021</v>
          </cell>
        </row>
        <row r="34">
          <cell r="U34">
            <v>635636.86051321984</v>
          </cell>
          <cell r="V34">
            <v>938882.62472762726</v>
          </cell>
          <cell r="W34">
            <v>1317753.9736778906</v>
          </cell>
          <cell r="X34">
            <v>1801647.7934012418</v>
          </cell>
          <cell r="Y34">
            <v>2756131.8420956293</v>
          </cell>
        </row>
        <row r="35">
          <cell r="U35">
            <v>699357.77377119008</v>
          </cell>
          <cell r="V35">
            <v>1033621.3982958496</v>
          </cell>
          <cell r="W35">
            <v>1453551.3585009477</v>
          </cell>
          <cell r="X35">
            <v>1984453.4745389931</v>
          </cell>
          <cell r="Y35">
            <v>3031673.3643726571</v>
          </cell>
        </row>
        <row r="36">
          <cell r="U36">
            <v>768457.66736586578</v>
          </cell>
          <cell r="V36">
            <v>1139653.3082561365</v>
          </cell>
          <cell r="W36">
            <v>1600548.128484251</v>
          </cell>
          <cell r="X36">
            <v>2180346.1133837528</v>
          </cell>
          <cell r="Y36">
            <v>3287006.8797769137</v>
          </cell>
        </row>
        <row r="37">
          <cell r="U37">
            <v>845389.32019050792</v>
          </cell>
          <cell r="V37">
            <v>1252489.8234837125</v>
          </cell>
          <cell r="W37">
            <v>1756449.5088623082</v>
          </cell>
          <cell r="X37">
            <v>2373013.5113998069</v>
          </cell>
          <cell r="Y37">
            <v>3555471.5436894912</v>
          </cell>
        </row>
        <row r="38">
          <cell r="U38">
            <v>927865.21559491672</v>
          </cell>
          <cell r="V38">
            <v>1370732.6408354812</v>
          </cell>
          <cell r="W38">
            <v>1915018.1534674554</v>
          </cell>
          <cell r="X38">
            <v>2561986.8705784315</v>
          </cell>
          <cell r="Y38">
            <v>3916088.347954608</v>
          </cell>
        </row>
        <row r="39">
          <cell r="U39">
            <v>1017410.8728215882</v>
          </cell>
          <cell r="V39">
            <v>1501402.9521985995</v>
          </cell>
          <cell r="W39">
            <v>2071416.1644008995</v>
          </cell>
          <cell r="X39">
            <v>2800160.5360928592</v>
          </cell>
          <cell r="Y39">
            <v>4321560.7176449103</v>
          </cell>
        </row>
        <row r="40">
          <cell r="U40">
            <v>1113383.5319225062</v>
          </cell>
          <cell r="V40">
            <v>1624030.9892852842</v>
          </cell>
          <cell r="W40">
            <v>2241291.2503545373</v>
          </cell>
          <cell r="X40">
            <v>3086793.7138578543</v>
          </cell>
          <cell r="Y40">
            <v>4698511.6259232638</v>
          </cell>
        </row>
        <row r="41">
          <cell r="U41">
            <v>1203964.8476864879</v>
          </cell>
          <cell r="V41">
            <v>1753630.1623457959</v>
          </cell>
          <cell r="W41">
            <v>2467832.0323970797</v>
          </cell>
          <cell r="X41">
            <v>3374908.8140722327</v>
          </cell>
          <cell r="Y41">
            <v>5059488.5552318785</v>
          </cell>
        </row>
        <row r="42">
          <cell r="U42">
            <v>1297798.736631037</v>
          </cell>
          <cell r="V42">
            <v>1919178.7415436413</v>
          </cell>
          <cell r="W42">
            <v>2710132.1031465526</v>
          </cell>
          <cell r="X42">
            <v>3639815.1235574889</v>
          </cell>
          <cell r="Y42">
            <v>5532421.3732534219</v>
          </cell>
        </row>
        <row r="43">
          <cell r="U43">
            <v>1414970.8524949364</v>
          </cell>
          <cell r="V43">
            <v>2106813.5584557788</v>
          </cell>
          <cell r="W43">
            <v>2932365.7125168261</v>
          </cell>
          <cell r="X43">
            <v>3924255.479522788</v>
          </cell>
          <cell r="Y43">
            <v>6078996.0128223086</v>
          </cell>
        </row>
        <row r="44">
          <cell r="U44">
            <v>1554146.6668496102</v>
          </cell>
          <cell r="V44">
            <v>2290852.9887295314</v>
          </cell>
          <cell r="W44">
            <v>3162018.0192249506</v>
          </cell>
          <cell r="X44">
            <v>4315562.3479274781</v>
          </cell>
          <cell r="Y44">
            <v>6706257.4566162629</v>
          </cell>
        </row>
        <row r="45">
          <cell r="U45">
            <v>1696331.3970823842</v>
          </cell>
          <cell r="V45">
            <v>2471155.492630274</v>
          </cell>
          <cell r="W45">
            <v>3450182.5400379878</v>
          </cell>
          <cell r="X45">
            <v>4755400.8346290076</v>
          </cell>
          <cell r="Y45">
            <v>7462177.0371873658</v>
          </cell>
        </row>
        <row r="46">
          <cell r="U46">
            <v>1832562.0950372561</v>
          </cell>
          <cell r="V46">
            <v>2681762.6847731988</v>
          </cell>
          <cell r="W46">
            <v>3803294.4371679765</v>
          </cell>
          <cell r="X46">
            <v>5278344.1219015177</v>
          </cell>
          <cell r="Y46">
            <v>8290073.1286574695</v>
          </cell>
        </row>
        <row r="47">
          <cell r="U47">
            <v>1980696.0944711829</v>
          </cell>
          <cell r="V47">
            <v>2963553.5634252811</v>
          </cell>
          <cell r="W47">
            <v>4209155.1412374396</v>
          </cell>
          <cell r="X47">
            <v>5873561.6493139528</v>
          </cell>
          <cell r="Y47">
            <v>9189553.304829631</v>
          </cell>
        </row>
        <row r="48">
          <cell r="U48">
            <v>2180329.3086260101</v>
          </cell>
          <cell r="V48">
            <v>3255162.7671977528</v>
          </cell>
          <cell r="W48">
            <v>4668411.0708478643</v>
          </cell>
          <cell r="X48">
            <v>6477678.5703459727</v>
          </cell>
          <cell r="Y48">
            <v>10096108.212516202</v>
          </cell>
        </row>
        <row r="49">
          <cell r="U49">
            <v>2394290.8897979781</v>
          </cell>
          <cell r="V49">
            <v>3609029.3363476857</v>
          </cell>
          <cell r="W49">
            <v>5151809.8674834892</v>
          </cell>
          <cell r="X49">
            <v>7127858.5084736329</v>
          </cell>
          <cell r="Y49">
            <v>11045840.339611851</v>
          </cell>
        </row>
        <row r="50">
          <cell r="U50">
            <v>2648315.237737726</v>
          </cell>
          <cell r="V50">
            <v>3989002.8434226019</v>
          </cell>
          <cell r="W50">
            <v>5675176.7519235387</v>
          </cell>
          <cell r="X50">
            <v>7825231.4836671473</v>
          </cell>
          <cell r="Y50">
            <v>12065554.72115745</v>
          </cell>
        </row>
        <row r="51">
          <cell r="U51">
            <v>2927496.79293537</v>
          </cell>
          <cell r="V51">
            <v>4396522.2605684046</v>
          </cell>
          <cell r="W51">
            <v>6232327.5929878168</v>
          </cell>
          <cell r="X51">
            <v>8557534.6692803651</v>
          </cell>
          <cell r="Y51">
            <v>13158316.116982326</v>
          </cell>
        </row>
        <row r="52">
          <cell r="U52">
            <v>3228579.6723815645</v>
          </cell>
          <cell r="V52">
            <v>4835109.8002043255</v>
          </cell>
          <cell r="W52">
            <v>6825190.8061358621</v>
          </cell>
          <cell r="X52">
            <v>9339162.1153140068</v>
          </cell>
          <cell r="Y52">
            <v>14361899.50315116</v>
          </cell>
        </row>
        <row r="53">
          <cell r="U53">
            <v>3553064.6168735223</v>
          </cell>
          <cell r="V53">
            <v>5296843.223682005</v>
          </cell>
          <cell r="W53">
            <v>7460969.9481789032</v>
          </cell>
          <cell r="X53">
            <v>10202002.766803658</v>
          </cell>
          <cell r="Y53">
            <v>15647964.307316016</v>
          </cell>
        </row>
        <row r="54">
          <cell r="U54">
            <v>3899730.7823818331</v>
          </cell>
          <cell r="V54">
            <v>5795212.8853023462</v>
          </cell>
          <cell r="W54">
            <v>8149886.9068184178</v>
          </cell>
          <cell r="X54">
            <v>11125551.43146148</v>
          </cell>
          <cell r="Y54">
            <v>17139999.172016084</v>
          </cell>
        </row>
        <row r="55">
          <cell r="U55">
            <v>4267782.6290815584</v>
          </cell>
          <cell r="V55">
            <v>6337840.6014859332</v>
          </cell>
          <cell r="W55">
            <v>8913197.7339415848</v>
          </cell>
          <cell r="X55">
            <v>12179688.577085977</v>
          </cell>
          <cell r="Y55">
            <v>18769522.106595121</v>
          </cell>
        </row>
        <row r="56">
          <cell r="U56">
            <v>4662250.831211797</v>
          </cell>
          <cell r="V56">
            <v>6921326.8624919774</v>
          </cell>
          <cell r="W56">
            <v>9728110.2631838433</v>
          </cell>
          <cell r="X56">
            <v>13324475.471907511</v>
          </cell>
          <cell r="Y56">
            <v>20408758.082137335</v>
          </cell>
        </row>
        <row r="57">
          <cell r="U57">
            <v>5116667.8466558065</v>
          </cell>
          <cell r="V57">
            <v>7584893.8424957665</v>
          </cell>
          <cell r="W57">
            <v>10693523.05812203</v>
          </cell>
          <cell r="X57">
            <v>14595447.756141635</v>
          </cell>
          <cell r="Y57">
            <v>22213129.926925037</v>
          </cell>
        </row>
        <row r="58">
          <cell r="U58">
            <v>5604560.5049987128</v>
          </cell>
          <cell r="V58">
            <v>8327918.7057030164</v>
          </cell>
          <cell r="W58">
            <v>11738945.574632356</v>
          </cell>
          <cell r="X58">
            <v>15893037.082892042</v>
          </cell>
          <cell r="Y58">
            <v>24081164.142182361</v>
          </cell>
        </row>
        <row r="59">
          <cell r="U59">
            <v>6138992.5629344685</v>
          </cell>
          <cell r="V59">
            <v>9128598.4599972237</v>
          </cell>
          <cell r="W59">
            <v>12763839.561639694</v>
          </cell>
          <cell r="X59">
            <v>17236912.981491879</v>
          </cell>
          <cell r="Y59">
            <v>25938277.474384207</v>
          </cell>
        </row>
        <row r="60">
          <cell r="U60">
            <v>6716862.5997682298</v>
          </cell>
          <cell r="V60">
            <v>9939474.3626945857</v>
          </cell>
          <cell r="W60">
            <v>13847761.49071875</v>
          </cell>
          <cell r="X60">
            <v>18606201.142130144</v>
          </cell>
          <cell r="Y60">
            <v>27977424.666435342</v>
          </cell>
        </row>
        <row r="61">
          <cell r="U61">
            <v>7330748.3183237975</v>
          </cell>
          <cell r="V61">
            <v>10793500.166289117</v>
          </cell>
          <cell r="W61">
            <v>14987187.340830676</v>
          </cell>
          <cell r="X61">
            <v>20072664.025976043</v>
          </cell>
          <cell r="Y61">
            <v>30263725.739016287</v>
          </cell>
        </row>
        <row r="62">
          <cell r="U62">
            <v>7981162.1084856996</v>
          </cell>
          <cell r="V62">
            <v>11727196.954713635</v>
          </cell>
          <cell r="W62">
            <v>16201893.475241663</v>
          </cell>
          <cell r="X62">
            <v>21727695.587826539</v>
          </cell>
          <cell r="Y62">
            <v>32765652.926286861</v>
          </cell>
        </row>
        <row r="63">
          <cell r="U63">
            <v>8674217.2034033928</v>
          </cell>
          <cell r="V63">
            <v>12672872.071441434</v>
          </cell>
          <cell r="W63">
            <v>17528482.946263026</v>
          </cell>
          <cell r="X63">
            <v>23559020.888242621</v>
          </cell>
          <cell r="Y63">
            <v>35385370.917873994</v>
          </cell>
        </row>
        <row r="64">
          <cell r="U64">
            <v>9394604.9197389521</v>
          </cell>
          <cell r="V64">
            <v>13720612.147127461</v>
          </cell>
          <cell r="W64">
            <v>19029662.516985804</v>
          </cell>
          <cell r="X64">
            <v>25495447.641643226</v>
          </cell>
          <cell r="Y64">
            <v>38273613.998295814</v>
          </cell>
        </row>
        <row r="65">
          <cell r="U65">
            <v>10166697.356844511</v>
          </cell>
          <cell r="V65">
            <v>14888364.398972215</v>
          </cell>
          <cell r="W65">
            <v>20619852.324456006</v>
          </cell>
          <cell r="X65">
            <v>27575210.825606577</v>
          </cell>
          <cell r="Y65">
            <v>41509246.345052347</v>
          </cell>
        </row>
        <row r="66">
          <cell r="U66">
            <v>11042742.597899323</v>
          </cell>
          <cell r="V66">
            <v>16170733.727576982</v>
          </cell>
          <cell r="W66">
            <v>22330100.959959406</v>
          </cell>
          <cell r="X66">
            <v>29869447.893443983</v>
          </cell>
          <cell r="Y66">
            <v>44883381.773578078</v>
          </cell>
        </row>
        <row r="67">
          <cell r="U67">
            <v>11988018.701606892</v>
          </cell>
          <cell r="V67">
            <v>17509221.816357255</v>
          </cell>
          <cell r="W67">
            <v>24182866.491656918</v>
          </cell>
          <cell r="X67">
            <v>32366741.473259136</v>
          </cell>
          <cell r="Y67">
            <v>48722414.749792799</v>
          </cell>
        </row>
        <row r="68">
          <cell r="U68">
            <v>12988313.757746622</v>
          </cell>
          <cell r="V68">
            <v>18965487.461073276</v>
          </cell>
          <cell r="W68">
            <v>26182386.704803333</v>
          </cell>
          <cell r="X68">
            <v>35059609.840651639</v>
          </cell>
          <cell r="Y68">
            <v>52689589.808708966</v>
          </cell>
        </row>
        <row r="69">
          <cell r="U69">
            <v>14056224.01287635</v>
          </cell>
          <cell r="V69">
            <v>20530261.5805053</v>
          </cell>
          <cell r="W69">
            <v>28348452.467419088</v>
          </cell>
          <cell r="X69">
            <v>37929902.057934344</v>
          </cell>
          <cell r="Y69">
            <v>56857050.598240644</v>
          </cell>
        </row>
        <row r="70">
          <cell r="U70">
            <v>15208688.320026761</v>
          </cell>
          <cell r="V70">
            <v>22200294.368428938</v>
          </cell>
          <cell r="W70">
            <v>30677098.310258947</v>
          </cell>
          <cell r="X70">
            <v>40969253.600751139</v>
          </cell>
          <cell r="Y70">
            <v>61059613.107308619</v>
          </cell>
        </row>
        <row r="71">
          <cell r="U71">
            <v>16448625.158250149</v>
          </cell>
          <cell r="V71">
            <v>24001179.473031037</v>
          </cell>
          <cell r="W71">
            <v>33135722.79952576</v>
          </cell>
          <cell r="X71">
            <v>44054180.715138726</v>
          </cell>
          <cell r="Y71">
            <v>65756698.864653513</v>
          </cell>
        </row>
        <row r="72">
          <cell r="U72">
            <v>17770162.660383221</v>
          </cell>
          <cell r="V72">
            <v>25925941.738334272</v>
          </cell>
          <cell r="W72">
            <v>35677217.990268722</v>
          </cell>
          <cell r="X72">
            <v>47357482.995264992</v>
          </cell>
          <cell r="Y72">
            <v>70658855.649653673</v>
          </cell>
        </row>
        <row r="73">
          <cell r="U73">
            <v>19179009.206511512</v>
          </cell>
          <cell r="V73">
            <v>27939947.946458086</v>
          </cell>
          <cell r="W73">
            <v>38305492.990194596</v>
          </cell>
          <cell r="X73">
            <v>50931651.029687218</v>
          </cell>
          <cell r="Y73">
            <v>75865481.460007533</v>
          </cell>
        </row>
        <row r="74">
          <cell r="U74">
            <v>20695195.122406989</v>
          </cell>
          <cell r="V74">
            <v>30064508.370575067</v>
          </cell>
          <cell r="W74">
            <v>41276556.675200082</v>
          </cell>
          <cell r="X74">
            <v>54822560.013149478</v>
          </cell>
          <cell r="Y74">
            <v>81464041.666494861</v>
          </cell>
        </row>
        <row r="75">
          <cell r="U75">
            <v>22330959.892785974</v>
          </cell>
          <cell r="V75">
            <v>32426604.601638585</v>
          </cell>
          <cell r="W75">
            <v>44533764.026625618</v>
          </cell>
          <cell r="X75">
            <v>59004821.463740878</v>
          </cell>
          <cell r="Y75">
            <v>87658071.292176664</v>
          </cell>
        </row>
        <row r="76">
          <cell r="U76">
            <v>24079350.187704924</v>
          </cell>
          <cell r="V76">
            <v>34963590.961106136</v>
          </cell>
          <cell r="W76">
            <v>47949220.033798382</v>
          </cell>
          <cell r="X76">
            <v>63476318.651768029</v>
          </cell>
          <cell r="Y76">
            <v>94268031.844821408</v>
          </cell>
        </row>
        <row r="77">
          <cell r="U77">
            <v>25937997.725890167</v>
          </cell>
          <cell r="V77">
            <v>37660852.585380659</v>
          </cell>
          <cell r="W77">
            <v>51518544.518297635</v>
          </cell>
          <cell r="X77">
            <v>68185067.300743997</v>
          </cell>
          <cell r="Y77">
            <v>101242330.51882063</v>
          </cell>
        </row>
        <row r="78">
          <cell r="U78">
            <v>27932605.798734087</v>
          </cell>
          <cell r="V78">
            <v>40470049.931587107</v>
          </cell>
          <cell r="W78">
            <v>55353526.054244243</v>
          </cell>
          <cell r="X78">
            <v>73250943.708214477</v>
          </cell>
          <cell r="Y78">
            <v>108823560.1123995</v>
          </cell>
        </row>
        <row r="79">
          <cell r="U79">
            <v>30090582.106486648</v>
          </cell>
          <cell r="V79">
            <v>43566244.40283455</v>
          </cell>
          <cell r="W79">
            <v>59611429.411032043</v>
          </cell>
          <cell r="X79">
            <v>78865555.624152049</v>
          </cell>
          <cell r="Y79">
            <v>117196456.67170522</v>
          </cell>
        </row>
        <row r="80">
          <cell r="U80">
            <v>32403443.845917895</v>
          </cell>
          <cell r="V80">
            <v>46897039.536236212</v>
          </cell>
          <cell r="W80">
            <v>64172351.176645994</v>
          </cell>
          <cell r="X80">
            <v>84916476.614630401</v>
          </cell>
          <cell r="Y80">
            <v>126227002.82527895</v>
          </cell>
        </row>
        <row r="81">
          <cell r="U81">
            <v>34855862.646457054</v>
          </cell>
          <cell r="V81">
            <v>50426864.275257632</v>
          </cell>
          <cell r="W81">
            <v>69013091.600172058</v>
          </cell>
          <cell r="X81">
            <v>91393326.130278051</v>
          </cell>
          <cell r="Y81">
            <v>136062145.36962917</v>
          </cell>
        </row>
        <row r="82">
          <cell r="U82">
            <v>37483934.409547985</v>
          </cell>
          <cell r="V82">
            <v>54288927.881549403</v>
          </cell>
          <cell r="W82">
            <v>74313332.479094282</v>
          </cell>
          <cell r="X82">
            <v>98359050.228492707</v>
          </cell>
          <cell r="Y82">
            <v>146038905.52732724</v>
          </cell>
        </row>
        <row r="83">
          <cell r="U83">
            <v>40326697.642266326</v>
          </cell>
          <cell r="V83">
            <v>58396095.86871776</v>
          </cell>
          <cell r="W83">
            <v>79922484.333124742</v>
          </cell>
          <cell r="X83">
            <v>105742045.51423967</v>
          </cell>
          <cell r="Y83">
            <v>156688841.41605622</v>
          </cell>
        </row>
        <row r="84">
          <cell r="U84">
            <v>43377959.41779241</v>
          </cell>
          <cell r="V84">
            <v>62816797.058179118</v>
          </cell>
          <cell r="W84">
            <v>85953310.058330789</v>
          </cell>
          <cell r="X84">
            <v>113452007.79220781</v>
          </cell>
          <cell r="Y84">
            <v>168268803.87175897</v>
          </cell>
        </row>
        <row r="85">
          <cell r="U85">
            <v>46622252.758358493</v>
          </cell>
          <cell r="V85">
            <v>67536261.011325687</v>
          </cell>
          <cell r="W85">
            <v>92206286.472279727</v>
          </cell>
          <cell r="X85">
            <v>121667789.25614685</v>
          </cell>
          <cell r="Y85">
            <v>180334974.9274075</v>
          </cell>
        </row>
        <row r="86">
          <cell r="U86">
            <v>50089443.792063944</v>
          </cell>
          <cell r="V86">
            <v>72442650.990632743</v>
          </cell>
          <cell r="W86">
            <v>98856716.018594891</v>
          </cell>
          <cell r="X86">
            <v>130591486.45647308</v>
          </cell>
          <cell r="Y86">
            <v>192686544.37218499</v>
          </cell>
        </row>
        <row r="87">
          <cell r="U87">
            <v>53869733.100664929</v>
          </cell>
          <cell r="V87">
            <v>77873359.429631084</v>
          </cell>
          <cell r="W87">
            <v>106254197.9201908</v>
          </cell>
          <cell r="X87">
            <v>140362435.64583313</v>
          </cell>
          <cell r="Y87">
            <v>204712095.64902887</v>
          </cell>
        </row>
        <row r="88">
          <cell r="U88">
            <v>57965330.932763204</v>
          </cell>
          <cell r="V88">
            <v>83827024.303062081</v>
          </cell>
          <cell r="W88">
            <v>114450291.12200244</v>
          </cell>
          <cell r="X88">
            <v>149436739.74496478</v>
          </cell>
          <cell r="Y88">
            <v>219193257.96378937</v>
          </cell>
        </row>
        <row r="89">
          <cell r="U89">
            <v>62358853.269880563</v>
          </cell>
          <cell r="V89">
            <v>90216567.281228051</v>
          </cell>
          <cell r="W89">
            <v>122154288.44366252</v>
          </cell>
          <cell r="X89">
            <v>159001475.96104693</v>
          </cell>
          <cell r="Y89">
            <v>238194127.49038085</v>
          </cell>
        </row>
        <row r="90">
          <cell r="U90">
            <v>67072260.344166704</v>
          </cell>
          <cell r="V90">
            <v>96425262.168565199</v>
          </cell>
          <cell r="W90">
            <v>129914989.94876908</v>
          </cell>
          <cell r="X90">
            <v>172326715.0644781</v>
          </cell>
          <cell r="Y90">
            <v>258047769.59534779</v>
          </cell>
        </row>
        <row r="91">
          <cell r="U91">
            <v>71877970.599945113</v>
          </cell>
          <cell r="V91">
            <v>102657402.43917432</v>
          </cell>
          <cell r="W91">
            <v>139847753.82754752</v>
          </cell>
          <cell r="X91">
            <v>187580645.32457381</v>
          </cell>
          <cell r="Y91">
            <v>274341935.74671733</v>
          </cell>
        </row>
        <row r="92">
          <cell r="U92">
            <v>76551947.518645704</v>
          </cell>
          <cell r="V92">
            <v>110152050.40281008</v>
          </cell>
          <cell r="W92">
            <v>152215656.6085259</v>
          </cell>
          <cell r="X92">
            <v>200693373.98422694</v>
          </cell>
          <cell r="Y92">
            <v>291628208.24881989</v>
          </cell>
        </row>
        <row r="93">
          <cell r="U93">
            <v>81922285.497335479</v>
          </cell>
          <cell r="V93">
            <v>119897387.69427542</v>
          </cell>
          <cell r="W93">
            <v>164086438.66679761</v>
          </cell>
          <cell r="X93">
            <v>213488036.04916552</v>
          </cell>
          <cell r="Y93">
            <v>331843368.14908558</v>
          </cell>
        </row>
        <row r="94">
          <cell r="U94">
            <v>88984041.903669789</v>
          </cell>
          <cell r="V94">
            <v>129546302.76541674</v>
          </cell>
          <cell r="W94">
            <v>174513775.39879477</v>
          </cell>
          <cell r="X94">
            <v>234357905.55775818</v>
          </cell>
          <cell r="Y94">
            <v>379301933.60351419</v>
          </cell>
        </row>
        <row r="95">
          <cell r="U95">
            <v>96448697.629160464</v>
          </cell>
          <cell r="V95">
            <v>137915209.72105479</v>
          </cell>
          <cell r="W95">
            <v>186858491.49733549</v>
          </cell>
          <cell r="X95">
            <v>269264732.10151058</v>
          </cell>
          <cell r="Y95">
            <v>427766859.78982282</v>
          </cell>
        </row>
        <row r="96">
          <cell r="U96">
            <v>103452371.34996837</v>
          </cell>
          <cell r="V96">
            <v>147923459.46808928</v>
          </cell>
          <cell r="W96">
            <v>219210294.30958045</v>
          </cell>
          <cell r="X96">
            <v>311719037.05873215</v>
          </cell>
          <cell r="Y96">
            <v>480244198.86950856</v>
          </cell>
        </row>
        <row r="97">
          <cell r="U97">
            <v>110958722.98419303</v>
          </cell>
          <cell r="V97">
            <v>173538008.07508636</v>
          </cell>
          <cell r="W97">
            <v>254711250.03497952</v>
          </cell>
          <cell r="X97">
            <v>351372621.92825896</v>
          </cell>
          <cell r="Y97">
            <v>534631011.97553444</v>
          </cell>
        </row>
        <row r="98">
          <cell r="U98">
            <v>130862375.39838228</v>
          </cell>
          <cell r="V98">
            <v>202315844.16302377</v>
          </cell>
          <cell r="W98">
            <v>288542988.63885307</v>
          </cell>
          <cell r="X98">
            <v>393101459.43908072</v>
          </cell>
          <cell r="Y98">
            <v>586978107.1754607</v>
          </cell>
        </row>
        <row r="99">
          <cell r="U99">
            <v>152531925.16773331</v>
          </cell>
          <cell r="V99">
            <v>229480437.16282988</v>
          </cell>
          <cell r="W99">
            <v>323820340.70494342</v>
          </cell>
          <cell r="X99">
            <v>432942978.9813115</v>
          </cell>
          <cell r="Y99">
            <v>641958204.51969218</v>
          </cell>
        </row>
        <row r="100">
          <cell r="U100">
            <v>173240188.31604743</v>
          </cell>
          <cell r="V100">
            <v>258656641.92606115</v>
          </cell>
          <cell r="W100">
            <v>357639991.15446919</v>
          </cell>
          <cell r="X100">
            <v>474360935.85854256</v>
          </cell>
          <cell r="Y100">
            <v>709188088.10154557</v>
          </cell>
        </row>
        <row r="101">
          <cell r="U101">
            <v>194974597.48370779</v>
          </cell>
          <cell r="V101">
            <v>285965418.4545114</v>
          </cell>
          <cell r="W101">
            <v>392144584.61262804</v>
          </cell>
          <cell r="X101">
            <v>522224302.51817822</v>
          </cell>
          <cell r="Y101">
            <v>781642080.42934012</v>
          </cell>
        </row>
        <row r="102">
          <cell r="U102">
            <v>216098816.89966351</v>
          </cell>
          <cell r="V102">
            <v>314370999.59164977</v>
          </cell>
          <cell r="W102">
            <v>433308618.18896371</v>
          </cell>
          <cell r="X102">
            <v>578646146.25223541</v>
          </cell>
          <cell r="Y102">
            <v>868104171.83932805</v>
          </cell>
        </row>
        <row r="103">
          <cell r="U103">
            <v>237897063.7369909</v>
          </cell>
          <cell r="V103">
            <v>347467067.50657904</v>
          </cell>
          <cell r="W103">
            <v>480342605.16229093</v>
          </cell>
          <cell r="X103">
            <v>641775461.72820902</v>
          </cell>
          <cell r="Y103">
            <v>960673455.97219694</v>
          </cell>
        </row>
        <row r="104">
          <cell r="U104">
            <v>262146678.67824993</v>
          </cell>
          <cell r="V104">
            <v>383758797.81706899</v>
          </cell>
          <cell r="W104">
            <v>530130871.42446637</v>
          </cell>
          <cell r="X104">
            <v>708280787.60962331</v>
          </cell>
          <cell r="Y104">
            <v>1056626278.7581617</v>
          </cell>
        </row>
        <row r="105">
          <cell r="U105">
            <v>288734484.59850919</v>
          </cell>
          <cell r="V105">
            <v>422238435.44193959</v>
          </cell>
          <cell r="W105">
            <v>583157578.68957615</v>
          </cell>
          <cell r="X105">
            <v>777125722.17394066</v>
          </cell>
          <cell r="Y105">
            <v>1157433013.3695431</v>
          </cell>
        </row>
        <row r="106">
          <cell r="U106">
            <v>317580731.39687341</v>
          </cell>
          <cell r="V106">
            <v>464471394.27006519</v>
          </cell>
          <cell r="W106">
            <v>640163939.43192387</v>
          </cell>
          <cell r="X106">
            <v>851443473.43689704</v>
          </cell>
          <cell r="Y106">
            <v>1269657577.6740968</v>
          </cell>
        </row>
        <row r="107">
          <cell r="U107">
            <v>348882476.30646384</v>
          </cell>
          <cell r="V107">
            <v>509144207.49336243</v>
          </cell>
          <cell r="W107">
            <v>701267183.63208377</v>
          </cell>
          <cell r="X107">
            <v>931721115.16189766</v>
          </cell>
          <cell r="Y107">
            <v>1394214003.8372035</v>
          </cell>
        </row>
        <row r="108">
          <cell r="U108">
            <v>383776943.05163318</v>
          </cell>
          <cell r="V108">
            <v>559844344.63506532</v>
          </cell>
          <cell r="W108">
            <v>769358688.35713971</v>
          </cell>
          <cell r="X108">
            <v>1026850934.2130994</v>
          </cell>
          <cell r="Y108">
            <v>1534143696.0852463</v>
          </cell>
        </row>
        <row r="109">
          <cell r="U109">
            <v>423600858.70525259</v>
          </cell>
          <cell r="V109">
            <v>617098149.22897422</v>
          </cell>
          <cell r="W109">
            <v>851704177.99736702</v>
          </cell>
          <cell r="X109">
            <v>1134511924.3973477</v>
          </cell>
          <cell r="Y109">
            <v>1695246226.4274132</v>
          </cell>
        </row>
        <row r="110">
          <cell r="U110">
            <v>466864253.07327467</v>
          </cell>
          <cell r="V110">
            <v>682118020.85421312</v>
          </cell>
          <cell r="W110">
            <v>939353293.64904296</v>
          </cell>
          <cell r="X110">
            <v>1253303012.2039943</v>
          </cell>
          <cell r="Y110">
            <v>1865034346.9190714</v>
          </cell>
        </row>
        <row r="111">
          <cell r="U111">
            <v>515077886.69536191</v>
          </cell>
          <cell r="V111">
            <v>751675290.38804579</v>
          </cell>
          <cell r="W111">
            <v>1036638880.9061793</v>
          </cell>
          <cell r="X111">
            <v>1377759602.4576485</v>
          </cell>
          <cell r="Y111">
            <v>2039806457.6817255</v>
          </cell>
        </row>
        <row r="112">
          <cell r="U112">
            <v>567133994.52411211</v>
          </cell>
          <cell r="V112">
            <v>828802158.41445827</v>
          </cell>
          <cell r="W112">
            <v>1141374644.068105</v>
          </cell>
          <cell r="X112">
            <v>1507181431.7882326</v>
          </cell>
          <cell r="Y112">
            <v>2224161056.8345618</v>
          </cell>
        </row>
        <row r="113">
          <cell r="U113">
            <v>625626427.83854353</v>
          </cell>
          <cell r="V113">
            <v>912007644.80423689</v>
          </cell>
          <cell r="W113">
            <v>1247537523.8673551</v>
          </cell>
          <cell r="X113">
            <v>1646215979.6010685</v>
          </cell>
          <cell r="Y113">
            <v>2466905984.2664728</v>
          </cell>
        </row>
        <row r="114">
          <cell r="U114">
            <v>688331508.45176208</v>
          </cell>
          <cell r="V114">
            <v>998513314.62096691</v>
          </cell>
          <cell r="W114">
            <v>1363528995.2341113</v>
          </cell>
          <cell r="X114">
            <v>1819122845.0681858</v>
          </cell>
          <cell r="Y114">
            <v>2732128226.7749667</v>
          </cell>
        </row>
        <row r="115">
          <cell r="U115">
            <v>756945447.5257169</v>
          </cell>
          <cell r="V115">
            <v>1095796444.5713224</v>
          </cell>
          <cell r="W115">
            <v>1515204515.483849</v>
          </cell>
          <cell r="X115">
            <v>2025985056.5826344</v>
          </cell>
          <cell r="Y115">
            <v>3053068056.2731848</v>
          </cell>
        </row>
        <row r="116">
          <cell r="U116">
            <v>830484046.58526289</v>
          </cell>
          <cell r="V116">
            <v>1218128720.9065256</v>
          </cell>
          <cell r="W116">
            <v>1685649243.4094353</v>
          </cell>
          <cell r="X116">
            <v>2265274993.5510945</v>
          </cell>
          <cell r="Y116">
            <v>3411661323.4376278</v>
          </cell>
        </row>
        <row r="117">
          <cell r="U117">
            <v>922639171.68164027</v>
          </cell>
          <cell r="V117">
            <v>1352537874.0760903</v>
          </cell>
          <cell r="W117">
            <v>1877740093.2271807</v>
          </cell>
          <cell r="X117">
            <v>2522714171.1871872</v>
          </cell>
          <cell r="Y117">
            <v>3757707084.4085469</v>
          </cell>
        </row>
        <row r="118">
          <cell r="U118">
            <v>1023043554.5788485</v>
          </cell>
          <cell r="V118">
            <v>1506314947.1255503</v>
          </cell>
          <cell r="W118">
            <v>2090909298.2952936</v>
          </cell>
          <cell r="X118">
            <v>2784072370.8491874</v>
          </cell>
          <cell r="Y118">
            <v>4124325231.7657781</v>
          </cell>
        </row>
        <row r="119">
          <cell r="U119">
            <v>1139094959.0125289</v>
          </cell>
          <cell r="V119">
            <v>1675166113.7392797</v>
          </cell>
          <cell r="W119">
            <v>2307038239.8310709</v>
          </cell>
          <cell r="X119">
            <v>3054642895.8231764</v>
          </cell>
          <cell r="Y119">
            <v>4510253012.2730551</v>
          </cell>
        </row>
        <row r="120">
          <cell r="U120">
            <v>1265960208.2777965</v>
          </cell>
          <cell r="V120">
            <v>1846933207.5906014</v>
          </cell>
          <cell r="W120">
            <v>2529276831.1947889</v>
          </cell>
          <cell r="X120">
            <v>3335818850.1270852</v>
          </cell>
          <cell r="Y120">
            <v>4912538398.2410583</v>
          </cell>
        </row>
        <row r="121">
          <cell r="U121">
            <v>1400986862.3463509</v>
          </cell>
          <cell r="V121">
            <v>2034376152.9745286</v>
          </cell>
          <cell r="W121">
            <v>2776777337.814373</v>
          </cell>
          <cell r="X121">
            <v>3657169367.6401501</v>
          </cell>
          <cell r="Y121">
            <v>5414268682.6312637</v>
          </cell>
        </row>
        <row r="122">
          <cell r="U122">
            <v>1545210182.3401499</v>
          </cell>
          <cell r="V122">
            <v>2237026852.031776</v>
          </cell>
          <cell r="W122">
            <v>3045974233.4670839</v>
          </cell>
          <cell r="X122">
            <v>4026087576.1522756</v>
          </cell>
          <cell r="Y122">
            <v>6055395398.6053028</v>
          </cell>
        </row>
        <row r="123">
          <cell r="U123">
            <v>1697519521.7144358</v>
          </cell>
          <cell r="V123">
            <v>2450987902.1790128</v>
          </cell>
          <cell r="W123">
            <v>3352943499.9660234</v>
          </cell>
          <cell r="X123">
            <v>4506641321.3369293</v>
          </cell>
          <cell r="Y123">
            <v>6757175329.8948421</v>
          </cell>
        </row>
        <row r="124">
          <cell r="U124">
            <v>1858843206.8227475</v>
          </cell>
          <cell r="V124">
            <v>2702961776.3700676</v>
          </cell>
          <cell r="W124">
            <v>3751880780.7100344</v>
          </cell>
          <cell r="X124">
            <v>5027078192.5735035</v>
          </cell>
          <cell r="Y124">
            <v>7544733189.6374283</v>
          </cell>
        </row>
        <row r="125">
          <cell r="U125">
            <v>2053112783.4214711</v>
          </cell>
          <cell r="V125">
            <v>3019362890.4334636</v>
          </cell>
          <cell r="W125">
            <v>4181394177.1617761</v>
          </cell>
          <cell r="X125">
            <v>5603358836.5089016</v>
          </cell>
          <cell r="Y125">
            <v>8373261343.8585653</v>
          </cell>
        </row>
        <row r="126">
          <cell r="U126">
            <v>2289795651.633842</v>
          </cell>
          <cell r="V126">
            <v>3358752223.717792</v>
          </cell>
          <cell r="W126">
            <v>4659249131.2456512</v>
          </cell>
          <cell r="X126">
            <v>6218158213.2874069</v>
          </cell>
          <cell r="Y126">
            <v>9231158779.8152046</v>
          </cell>
        </row>
        <row r="127">
          <cell r="U127">
            <v>2555595854.5378089</v>
          </cell>
          <cell r="V127">
            <v>3754688232.099308</v>
          </cell>
          <cell r="W127">
            <v>5183340309.210804</v>
          </cell>
          <cell r="X127">
            <v>6857039017.131815</v>
          </cell>
          <cell r="Y127">
            <v>10149554084.457809</v>
          </cell>
        </row>
        <row r="128">
          <cell r="U128">
            <v>2866535421.6726036</v>
          </cell>
          <cell r="V128">
            <v>4192350176.1438808</v>
          </cell>
          <cell r="W128">
            <v>5745375921.1180754</v>
          </cell>
          <cell r="X128">
            <v>7589705267.6282101</v>
          </cell>
          <cell r="Y128">
            <v>11128217396.330374</v>
          </cell>
        </row>
        <row r="129">
          <cell r="U129">
            <v>3194470307.3009005</v>
          </cell>
          <cell r="V129">
            <v>4641488722.0088577</v>
          </cell>
          <cell r="W129">
            <v>6341765781.380599</v>
          </cell>
          <cell r="X129">
            <v>8311592019.6569242</v>
          </cell>
          <cell r="Y129">
            <v>12172478653.350876</v>
          </cell>
        </row>
        <row r="130">
          <cell r="U130">
            <v>3525696062.8695297</v>
          </cell>
          <cell r="V130">
            <v>5107262763.0891619</v>
          </cell>
          <cell r="W130">
            <v>6935040568.5628567</v>
          </cell>
          <cell r="X130">
            <v>9069940851.1839333</v>
          </cell>
          <cell r="Y130">
            <v>12665156508.280636</v>
          </cell>
        </row>
        <row r="131">
          <cell r="U131">
            <v>3877780253.5767975</v>
          </cell>
          <cell r="V131">
            <v>5582172272.8160534</v>
          </cell>
          <cell r="W131">
            <v>7561096692.975523</v>
          </cell>
          <cell r="X131">
            <v>9476901028.765007</v>
          </cell>
          <cell r="Y131">
            <v>13120772567.333111</v>
          </cell>
        </row>
        <row r="132">
          <cell r="U132">
            <v>4228999734.238203</v>
          </cell>
          <cell r="V132">
            <v>6080025886.6535959</v>
          </cell>
          <cell r="W132">
            <v>7895941616.6157055</v>
          </cell>
          <cell r="X132">
            <v>9811659482.6662006</v>
          </cell>
          <cell r="Y132">
            <v>13307444632.263081</v>
          </cell>
        </row>
        <row r="133">
          <cell r="U133">
            <v>4605427453.1368866</v>
          </cell>
          <cell r="V133">
            <v>6330597341.49821</v>
          </cell>
          <cell r="W133">
            <v>8177217521.8228149</v>
          </cell>
          <cell r="X133">
            <v>9980583474.1973114</v>
          </cell>
          <cell r="Y133">
            <v>13307444632.263081</v>
          </cell>
        </row>
        <row r="134">
          <cell r="U134">
            <v>4781122783.3572493</v>
          </cell>
          <cell r="V134">
            <v>6576580075.920064</v>
          </cell>
          <cell r="W134">
            <v>8317152895.1644249</v>
          </cell>
          <cell r="X134">
            <v>9980583474.1973114</v>
          </cell>
          <cell r="Y134">
            <v>13307444632.263081</v>
          </cell>
        </row>
        <row r="135">
          <cell r="U135">
            <v>4967989481.759223</v>
          </cell>
          <cell r="V135">
            <v>6653722316.1315403</v>
          </cell>
          <cell r="W135">
            <v>8317152895.1644249</v>
          </cell>
          <cell r="X135">
            <v>9980583474.1973114</v>
          </cell>
          <cell r="Y135">
            <v>13307444632.263081</v>
          </cell>
        </row>
        <row r="136">
          <cell r="U136">
            <v>4990291737.0986557</v>
          </cell>
          <cell r="V136">
            <v>6653722316.1315403</v>
          </cell>
          <cell r="W136">
            <v>8317152895.1644249</v>
          </cell>
          <cell r="X136">
            <v>9980583474.1973114</v>
          </cell>
          <cell r="Y136">
            <v>13307444632.263081</v>
          </cell>
        </row>
        <row r="137">
          <cell r="U137">
            <v>4990291737.0986557</v>
          </cell>
          <cell r="V137">
            <v>6653722316.1315403</v>
          </cell>
          <cell r="W137">
            <v>8317152895.1644249</v>
          </cell>
          <cell r="X137">
            <v>9980583474.1973114</v>
          </cell>
          <cell r="Y137">
            <v>13307444632.263081</v>
          </cell>
        </row>
        <row r="138">
          <cell r="U138">
            <v>4990291737.0986557</v>
          </cell>
          <cell r="V138">
            <v>6653722316.1315403</v>
          </cell>
          <cell r="W138">
            <v>8317152895.1644249</v>
          </cell>
          <cell r="X138">
            <v>9980583474.1973114</v>
          </cell>
          <cell r="Y138">
            <v>13307444632.263081</v>
          </cell>
        </row>
        <row r="139">
          <cell r="U139">
            <v>4990291737.0986557</v>
          </cell>
          <cell r="V139">
            <v>6653722316.1315403</v>
          </cell>
          <cell r="W139">
            <v>8317152895.1644249</v>
          </cell>
          <cell r="X139">
            <v>9980583474.1973114</v>
          </cell>
          <cell r="Y139">
            <v>13307444632.263081</v>
          </cell>
        </row>
        <row r="140">
          <cell r="U140">
            <v>4990291737.0986557</v>
          </cell>
          <cell r="V140">
            <v>6653722316.1315403</v>
          </cell>
          <cell r="W140">
            <v>8317152895.1644249</v>
          </cell>
          <cell r="X140">
            <v>9980583474.1973114</v>
          </cell>
          <cell r="Y140">
            <v>13307444632.263081</v>
          </cell>
        </row>
        <row r="141">
          <cell r="U141">
            <v>4990291737.0986557</v>
          </cell>
          <cell r="V141">
            <v>6653722316.1315403</v>
          </cell>
          <cell r="W141">
            <v>8317152895.1644249</v>
          </cell>
          <cell r="X141">
            <v>9980583474.1973114</v>
          </cell>
          <cell r="Y141">
            <v>13307444632.263081</v>
          </cell>
        </row>
        <row r="142">
          <cell r="U142">
            <v>4990291737.0986557</v>
          </cell>
          <cell r="V142">
            <v>6653722316.1315403</v>
          </cell>
          <cell r="W142">
            <v>8317152895.1644249</v>
          </cell>
          <cell r="X142">
            <v>9980583474.1973114</v>
          </cell>
          <cell r="Y142">
            <v>13307444632.263081</v>
          </cell>
        </row>
        <row r="143">
          <cell r="U143">
            <v>4990291737.0986557</v>
          </cell>
          <cell r="V143">
            <v>6653722316.1315403</v>
          </cell>
          <cell r="W143">
            <v>8317152895.1644249</v>
          </cell>
          <cell r="X143">
            <v>9980583474.1973114</v>
          </cell>
          <cell r="Y143">
            <v>13307444632.263081</v>
          </cell>
        </row>
        <row r="144">
          <cell r="U144">
            <v>4990291737.0986557</v>
          </cell>
          <cell r="V144">
            <v>6653722316.1315403</v>
          </cell>
          <cell r="W144">
            <v>8317152895.1644249</v>
          </cell>
          <cell r="X144">
            <v>9980583474.1973114</v>
          </cell>
          <cell r="Y144">
            <v>13307444632.263081</v>
          </cell>
        </row>
        <row r="145">
          <cell r="U145">
            <v>4990291737.0986557</v>
          </cell>
          <cell r="V145">
            <v>6653722316.1315403</v>
          </cell>
          <cell r="W145">
            <v>8317152895.1644249</v>
          </cell>
          <cell r="X145">
            <v>9980583474.1973114</v>
          </cell>
          <cell r="Y145">
            <v>13307444632.263081</v>
          </cell>
        </row>
        <row r="146">
          <cell r="U146">
            <v>4990291737.0986557</v>
          </cell>
          <cell r="V146">
            <v>6653722316.1315403</v>
          </cell>
          <cell r="W146">
            <v>8317152895.1644249</v>
          </cell>
          <cell r="X146">
            <v>9980583474.1973114</v>
          </cell>
          <cell r="Y146">
            <v>13307444632.263081</v>
          </cell>
        </row>
        <row r="147">
          <cell r="U147">
            <v>4990291737.0986557</v>
          </cell>
          <cell r="V147">
            <v>6653722316.1315403</v>
          </cell>
          <cell r="W147">
            <v>8317152895.1644249</v>
          </cell>
          <cell r="X147">
            <v>9980583474.1973114</v>
          </cell>
          <cell r="Y147">
            <v>13307444632.263081</v>
          </cell>
        </row>
        <row r="148">
          <cell r="U148">
            <v>4990291737.0986557</v>
          </cell>
          <cell r="V148">
            <v>6653722316.1315403</v>
          </cell>
          <cell r="W148">
            <v>8317152895.1644249</v>
          </cell>
          <cell r="X148">
            <v>9980583474.1973114</v>
          </cell>
          <cell r="Y148">
            <v>13307444632.263081</v>
          </cell>
        </row>
        <row r="149">
          <cell r="U149">
            <v>4990291737.0986557</v>
          </cell>
          <cell r="V149">
            <v>6653722316.1315403</v>
          </cell>
          <cell r="W149">
            <v>8317152895.1644249</v>
          </cell>
          <cell r="X149">
            <v>9980583474.1973114</v>
          </cell>
          <cell r="Y149">
            <v>13307444632.263081</v>
          </cell>
        </row>
        <row r="150">
          <cell r="U150">
            <v>4990291737.0986557</v>
          </cell>
          <cell r="V150">
            <v>6653722316.1315403</v>
          </cell>
          <cell r="W150">
            <v>8317152895.1644249</v>
          </cell>
          <cell r="X150">
            <v>9980583474.1973114</v>
          </cell>
          <cell r="Y150">
            <v>13307444632.263081</v>
          </cell>
        </row>
        <row r="151">
          <cell r="U151">
            <v>4990291737.0986557</v>
          </cell>
          <cell r="V151">
            <v>6653722316.1315403</v>
          </cell>
          <cell r="W151">
            <v>8317152895.1644249</v>
          </cell>
          <cell r="X151">
            <v>9980583474.1973114</v>
          </cell>
          <cell r="Y151">
            <v>13307444632.263081</v>
          </cell>
        </row>
        <row r="152">
          <cell r="U152">
            <v>4990291737.0986557</v>
          </cell>
          <cell r="V152">
            <v>6653722316.1315403</v>
          </cell>
          <cell r="W152">
            <v>8317152895.1644249</v>
          </cell>
          <cell r="X152">
            <v>9980583474.1973114</v>
          </cell>
          <cell r="Y152">
            <v>13307444632.263081</v>
          </cell>
        </row>
        <row r="153">
          <cell r="U153">
            <v>4990291737.0986557</v>
          </cell>
          <cell r="V153">
            <v>6653722316.1315403</v>
          </cell>
          <cell r="W153">
            <v>8317152895.1644249</v>
          </cell>
          <cell r="X153">
            <v>9980583474.1973114</v>
          </cell>
          <cell r="Y153">
            <v>13307444632.263081</v>
          </cell>
        </row>
        <row r="154">
          <cell r="U154">
            <v>4990291737.0986557</v>
          </cell>
          <cell r="V154">
            <v>6653722316.1315403</v>
          </cell>
          <cell r="W154">
            <v>8317152895.1644249</v>
          </cell>
          <cell r="X154">
            <v>9980583474.1973114</v>
          </cell>
          <cell r="Y154">
            <v>13307444632.263081</v>
          </cell>
        </row>
        <row r="155">
          <cell r="U155">
            <v>4990291737.0986557</v>
          </cell>
          <cell r="V155">
            <v>6653722316.1315403</v>
          </cell>
          <cell r="W155">
            <v>8317152895.1644249</v>
          </cell>
          <cell r="X155">
            <v>9980583474.1973114</v>
          </cell>
          <cell r="Y155">
            <v>13307444632.263081</v>
          </cell>
        </row>
        <row r="156">
          <cell r="U156">
            <v>4990291737.0986557</v>
          </cell>
          <cell r="V156">
            <v>6653722316.1315403</v>
          </cell>
          <cell r="W156">
            <v>8317152895.1644249</v>
          </cell>
          <cell r="X156">
            <v>9980583474.1973114</v>
          </cell>
          <cell r="Y156">
            <v>13307444632.263081</v>
          </cell>
        </row>
        <row r="157">
          <cell r="U157">
            <v>4990291737.0986557</v>
          </cell>
          <cell r="V157">
            <v>6653722316.1315403</v>
          </cell>
          <cell r="W157">
            <v>8317152895.1644249</v>
          </cell>
          <cell r="X157">
            <v>9980583474.1973114</v>
          </cell>
          <cell r="Y157">
            <v>13307444632.263081</v>
          </cell>
        </row>
        <row r="158">
          <cell r="U158">
            <v>4990291737.0986557</v>
          </cell>
          <cell r="V158">
            <v>6653722316.1315403</v>
          </cell>
          <cell r="W158">
            <v>8317152895.1644249</v>
          </cell>
          <cell r="X158">
            <v>9980583474.1973114</v>
          </cell>
          <cell r="Y158">
            <v>13307444632.263081</v>
          </cell>
        </row>
        <row r="159">
          <cell r="U159">
            <v>4990291737.0986557</v>
          </cell>
          <cell r="V159">
            <v>6653722316.1315403</v>
          </cell>
          <cell r="W159">
            <v>8317152895.1644249</v>
          </cell>
          <cell r="X159">
            <v>9980583474.1973114</v>
          </cell>
          <cell r="Y159">
            <v>13307444632.263081</v>
          </cell>
        </row>
        <row r="160">
          <cell r="U160">
            <v>4990291737.0986557</v>
          </cell>
          <cell r="V160">
            <v>6653722316.1315403</v>
          </cell>
          <cell r="W160">
            <v>8317152895.1644249</v>
          </cell>
          <cell r="X160">
            <v>9980583474.1973114</v>
          </cell>
          <cell r="Y160">
            <v>13307444632.263081</v>
          </cell>
        </row>
        <row r="161">
          <cell r="U161">
            <v>4990291737.0986557</v>
          </cell>
          <cell r="V161">
            <v>6653722316.1315403</v>
          </cell>
          <cell r="W161">
            <v>8317152895.1644249</v>
          </cell>
          <cell r="X161">
            <v>9980583474.1973114</v>
          </cell>
          <cell r="Y161">
            <v>13307444632.263081</v>
          </cell>
        </row>
        <row r="162">
          <cell r="U162">
            <v>4990291737.0986557</v>
          </cell>
          <cell r="V162">
            <v>6653722316.1315403</v>
          </cell>
          <cell r="W162">
            <v>8317152895.1644249</v>
          </cell>
          <cell r="X162">
            <v>9980583474.1973114</v>
          </cell>
          <cell r="Y162">
            <v>13307444632.263081</v>
          </cell>
        </row>
        <row r="163">
          <cell r="U163">
            <v>4990291737.0986557</v>
          </cell>
          <cell r="V163">
            <v>6653722316.1315403</v>
          </cell>
          <cell r="W163">
            <v>8317152895.1644249</v>
          </cell>
          <cell r="X163">
            <v>9980583474.1973114</v>
          </cell>
          <cell r="Y163">
            <v>13307444632.263081</v>
          </cell>
        </row>
        <row r="164">
          <cell r="U164">
            <v>4990291737.0986557</v>
          </cell>
          <cell r="V164">
            <v>6653722316.1315403</v>
          </cell>
          <cell r="W164">
            <v>8317152895.1644249</v>
          </cell>
          <cell r="X164">
            <v>9980583474.1973114</v>
          </cell>
          <cell r="Y164">
            <v>13307444632.263081</v>
          </cell>
        </row>
        <row r="165">
          <cell r="U165">
            <v>4990291737.0986557</v>
          </cell>
          <cell r="V165">
            <v>6653722316.1315403</v>
          </cell>
          <cell r="W165">
            <v>8317152895.1644249</v>
          </cell>
          <cell r="X165">
            <v>9980583474.1973114</v>
          </cell>
          <cell r="Y165">
            <v>13307444632.263081</v>
          </cell>
        </row>
      </sheetData>
      <sheetData sheetId="19">
        <row r="6">
          <cell r="D6">
            <v>39202.306950863218</v>
          </cell>
          <cell r="AJ6">
            <v>4547.5481108185368</v>
          </cell>
          <cell r="AK6">
            <v>4830.2597284523818</v>
          </cell>
          <cell r="AL6">
            <v>5138.1012676536811</v>
          </cell>
          <cell r="AM6">
            <v>5472.7861321656674</v>
          </cell>
          <cell r="AN6">
            <v>5829.1741107586358</v>
          </cell>
        </row>
        <row r="7">
          <cell r="AJ7">
            <v>7967.6704800736979</v>
          </cell>
          <cell r="AK7">
            <v>8641.5240652770499</v>
          </cell>
          <cell r="AL7">
            <v>9422.6062085654667</v>
          </cell>
          <cell r="AM7">
            <v>10361.272454358099</v>
          </cell>
          <cell r="AN7">
            <v>11409.740360685588</v>
          </cell>
        </row>
        <row r="8">
          <cell r="AJ8">
            <v>10759.911334201146</v>
          </cell>
          <cell r="AK8">
            <v>11722.161988129203</v>
          </cell>
          <cell r="AL8">
            <v>12812.232583661058</v>
          </cell>
          <cell r="AM8">
            <v>14034.968202284126</v>
          </cell>
          <cell r="AN8">
            <v>15288.810559576552</v>
          </cell>
        </row>
        <row r="9">
          <cell r="AJ9">
            <v>14147.018522796243</v>
          </cell>
          <cell r="AK9">
            <v>19435.480415773829</v>
          </cell>
          <cell r="AL9">
            <v>25589.901035892453</v>
          </cell>
          <cell r="AM9">
            <v>32468.906067372493</v>
          </cell>
          <cell r="AN9">
            <v>40424.050448804352</v>
          </cell>
        </row>
        <row r="10">
          <cell r="AJ10">
            <v>33379.941101354554</v>
          </cell>
          <cell r="AK10">
            <v>37214.027644053509</v>
          </cell>
          <cell r="AL10">
            <v>43949.013561340078</v>
          </cell>
          <cell r="AM10">
            <v>51596.24711770023</v>
          </cell>
          <cell r="AN10">
            <v>60256.710592029995</v>
          </cell>
        </row>
        <row r="11">
          <cell r="AJ11">
            <v>47116.095299214969</v>
          </cell>
          <cell r="AK11">
            <v>52155.512179818892</v>
          </cell>
          <cell r="AL11">
            <v>57678.121111487591</v>
          </cell>
          <cell r="AM11">
            <v>67251.412596791604</v>
          </cell>
          <cell r="AN11">
            <v>79527.523143466737</v>
          </cell>
        </row>
        <row r="12">
          <cell r="AJ12">
            <v>56766.642150360334</v>
          </cell>
          <cell r="AK12">
            <v>65082.894961131184</v>
          </cell>
          <cell r="AL12">
            <v>72859.503390517057</v>
          </cell>
          <cell r="AM12">
            <v>75066.594818519923</v>
          </cell>
          <cell r="AN12">
            <v>70929.88062198821</v>
          </cell>
        </row>
        <row r="13">
          <cell r="AJ13">
            <v>65894.779085131304</v>
          </cell>
          <cell r="AK13">
            <v>63827.753564957762</v>
          </cell>
          <cell r="AL13">
            <v>59596.258159022604</v>
          </cell>
          <cell r="AM13">
            <v>58733.359669064317</v>
          </cell>
          <cell r="AN13">
            <v>65970.196845495026</v>
          </cell>
        </row>
        <row r="14">
          <cell r="AJ14">
            <v>57018.146069713461</v>
          </cell>
          <cell r="AK14">
            <v>59418.872002587712</v>
          </cell>
          <cell r="AL14">
            <v>66937.260866269935</v>
          </cell>
          <cell r="AM14">
            <v>77994.822401585116</v>
          </cell>
          <cell r="AN14">
            <v>86216.669578875997</v>
          </cell>
        </row>
        <row r="15">
          <cell r="AJ15">
            <v>62136.221067571314</v>
          </cell>
          <cell r="AK15">
            <v>70335.344719177287</v>
          </cell>
          <cell r="AL15">
            <v>77459.546698797261</v>
          </cell>
          <cell r="AM15">
            <v>73634.654923312366</v>
          </cell>
          <cell r="AN15">
            <v>70654.27653253614</v>
          </cell>
        </row>
        <row r="16">
          <cell r="AJ16">
            <v>69007.005341384676</v>
          </cell>
          <cell r="AK16">
            <v>65717.165352703363</v>
          </cell>
          <cell r="AL16">
            <v>60760.665296181047</v>
          </cell>
          <cell r="AM16">
            <v>64978.396877439984</v>
          </cell>
          <cell r="AN16">
            <v>75673.663152201916</v>
          </cell>
        </row>
        <row r="17">
          <cell r="AJ17">
            <v>54274.86949388741</v>
          </cell>
          <cell r="AK17">
            <v>56621.244169767248</v>
          </cell>
          <cell r="AL17">
            <v>63265.58262643608</v>
          </cell>
          <cell r="AM17">
            <v>73373.753103474271</v>
          </cell>
          <cell r="AN17">
            <v>81628.256406561472</v>
          </cell>
        </row>
        <row r="18">
          <cell r="AJ18">
            <v>56337.887659069849</v>
          </cell>
          <cell r="AK18">
            <v>63834.468290344928</v>
          </cell>
          <cell r="AL18">
            <v>69969.413143004174</v>
          </cell>
          <cell r="AM18">
            <v>79665.11073168763</v>
          </cell>
          <cell r="AN18">
            <v>90721.088297222974</v>
          </cell>
        </row>
        <row r="19">
          <cell r="AJ19">
            <v>60022.275131598231</v>
          </cell>
          <cell r="AK19">
            <v>64118.672632873873</v>
          </cell>
          <cell r="AL19">
            <v>71265.728576845839</v>
          </cell>
          <cell r="AM19">
            <v>78708.405172120663</v>
          </cell>
          <cell r="AN19">
            <v>105613.86951656721</v>
          </cell>
        </row>
        <row r="20">
          <cell r="AJ20">
            <v>64568.10257850308</v>
          </cell>
          <cell r="AK20">
            <v>70864.155583893647</v>
          </cell>
          <cell r="AL20">
            <v>83668.652646387811</v>
          </cell>
          <cell r="AM20">
            <v>110492.49931160931</v>
          </cell>
          <cell r="AN20">
            <v>122869.05480734503</v>
          </cell>
        </row>
        <row r="21">
          <cell r="AJ21">
            <v>69436.391663789167</v>
          </cell>
          <cell r="AK21">
            <v>85222.25308346143</v>
          </cell>
          <cell r="AL21">
            <v>105236.65712832357</v>
          </cell>
          <cell r="AM21">
            <v>116533.49231417244</v>
          </cell>
          <cell r="AN21">
            <v>131265.20480026258</v>
          </cell>
        </row>
        <row r="22">
          <cell r="AJ22">
            <v>87458.312705743709</v>
          </cell>
          <cell r="AK22">
            <v>99201.010275639826</v>
          </cell>
          <cell r="AL22">
            <v>103301.05100725195</v>
          </cell>
          <cell r="AM22">
            <v>109325.64494104905</v>
          </cell>
          <cell r="AN22">
            <v>116053.23288986832</v>
          </cell>
        </row>
        <row r="23">
          <cell r="AJ23">
            <v>100165.65839170106</v>
          </cell>
          <cell r="AK23">
            <v>105701.18696756091</v>
          </cell>
          <cell r="AL23">
            <v>115810.76500777272</v>
          </cell>
          <cell r="AM23">
            <v>131045.34062889987</v>
          </cell>
          <cell r="AN23">
            <v>144787.25342663564</v>
          </cell>
        </row>
        <row r="24">
          <cell r="AJ24">
            <v>99542.322918717749</v>
          </cell>
          <cell r="AK24">
            <v>107902.62982187746</v>
          </cell>
          <cell r="AL24">
            <v>120065.72758119577</v>
          </cell>
          <cell r="AM24">
            <v>132852.52629468031</v>
          </cell>
          <cell r="AN24">
            <v>156825.66590098897</v>
          </cell>
        </row>
        <row r="25">
          <cell r="AJ25">
            <v>104237.11450921255</v>
          </cell>
          <cell r="AK25">
            <v>114112.53699408192</v>
          </cell>
          <cell r="AL25">
            <v>124051.57190234168</v>
          </cell>
          <cell r="AM25">
            <v>142585.40215550037</v>
          </cell>
          <cell r="AN25">
            <v>157299.27924329438</v>
          </cell>
        </row>
        <row r="26">
          <cell r="AJ26">
            <v>114155.30265577883</v>
          </cell>
          <cell r="AK26">
            <v>124019.86038249661</v>
          </cell>
          <cell r="AL26">
            <v>141385.06368745933</v>
          </cell>
          <cell r="AM26">
            <v>159365.90630482277</v>
          </cell>
          <cell r="AN26">
            <v>192389.78540571453</v>
          </cell>
        </row>
        <row r="27">
          <cell r="AJ27">
            <v>123008.95853961026</v>
          </cell>
          <cell r="AK27">
            <v>137881.44269516692</v>
          </cell>
          <cell r="AL27">
            <v>155011.29307263182</v>
          </cell>
          <cell r="AM27">
            <v>178801.58161380258</v>
          </cell>
          <cell r="AN27">
            <v>204346.4490829811</v>
          </cell>
        </row>
        <row r="28">
          <cell r="AJ28">
            <v>133768.53995868564</v>
          </cell>
          <cell r="AK28">
            <v>144559.46367078926</v>
          </cell>
          <cell r="AL28">
            <v>160552.93792752316</v>
          </cell>
          <cell r="AM28">
            <v>180174.18082370749</v>
          </cell>
          <cell r="AN28">
            <v>197348.1084976492</v>
          </cell>
        </row>
        <row r="29">
          <cell r="AJ29">
            <v>143996.70288219023</v>
          </cell>
          <cell r="AK29">
            <v>162625.93017417798</v>
          </cell>
          <cell r="AL29">
            <v>184112.04768452072</v>
          </cell>
          <cell r="AM29">
            <v>207868.10267812735</v>
          </cell>
          <cell r="AN29">
            <v>233099.8467612369</v>
          </cell>
        </row>
        <row r="30">
          <cell r="AJ30">
            <v>157441.39171746583</v>
          </cell>
          <cell r="AK30">
            <v>174431.68971734005</v>
          </cell>
          <cell r="AL30">
            <v>194839.48129175021</v>
          </cell>
          <cell r="AM30">
            <v>218612.57264785189</v>
          </cell>
          <cell r="AN30">
            <v>243660.53590991255</v>
          </cell>
        </row>
        <row r="31">
          <cell r="AJ31">
            <v>170244.89515493251</v>
          </cell>
          <cell r="AK31">
            <v>188140.84307912923</v>
          </cell>
          <cell r="AL31">
            <v>208866.36128649628</v>
          </cell>
          <cell r="AM31">
            <v>233178.3481882331</v>
          </cell>
          <cell r="AN31">
            <v>262201.37103426969</v>
          </cell>
        </row>
        <row r="32">
          <cell r="AJ32">
            <v>184689.23152122484</v>
          </cell>
          <cell r="AK32">
            <v>203156.15373611031</v>
          </cell>
          <cell r="AL32">
            <v>226251.16823534109</v>
          </cell>
          <cell r="AM32">
            <v>251484.97996309213</v>
          </cell>
          <cell r="AN32">
            <v>287067.95263552945</v>
          </cell>
        </row>
        <row r="33">
          <cell r="AJ33">
            <v>199744.52065096889</v>
          </cell>
          <cell r="AK33">
            <v>218352.00889403699</v>
          </cell>
          <cell r="AL33">
            <v>238581.80322931195</v>
          </cell>
          <cell r="AM33">
            <v>270775.08211239753</v>
          </cell>
          <cell r="AN33">
            <v>321625.33221287234</v>
          </cell>
        </row>
        <row r="34">
          <cell r="AJ34">
            <v>216313.76466914779</v>
          </cell>
          <cell r="AK34">
            <v>241957.67079881672</v>
          </cell>
          <cell r="AL34">
            <v>276345.62183992565</v>
          </cell>
          <cell r="AM34">
            <v>319242.96903600404</v>
          </cell>
          <cell r="AN34">
            <v>375967.19528839504</v>
          </cell>
        </row>
        <row r="35">
          <cell r="AJ35">
            <v>235203.95456401864</v>
          </cell>
          <cell r="AK35">
            <v>258930.86973368283</v>
          </cell>
          <cell r="AL35">
            <v>289090.39450810058</v>
          </cell>
          <cell r="AM35">
            <v>330672.44190551341</v>
          </cell>
          <cell r="AN35">
            <v>378862.9945823648</v>
          </cell>
        </row>
        <row r="36">
          <cell r="AJ36">
            <v>252684.76610390469</v>
          </cell>
          <cell r="AK36">
            <v>282155.71603981126</v>
          </cell>
          <cell r="AL36">
            <v>316227.15697183367</v>
          </cell>
          <cell r="AM36">
            <v>356960.20319768786</v>
          </cell>
          <cell r="AN36">
            <v>418991.68387949467</v>
          </cell>
        </row>
        <row r="37">
          <cell r="AJ37">
            <v>272958.15127091575</v>
          </cell>
          <cell r="AK37">
            <v>301537.76873006718</v>
          </cell>
          <cell r="AL37">
            <v>340904.62253246782</v>
          </cell>
          <cell r="AM37">
            <v>389673.27834630478</v>
          </cell>
          <cell r="AN37">
            <v>440539.35268459748</v>
          </cell>
        </row>
        <row r="38">
          <cell r="AJ38">
            <v>292795.49147357186</v>
          </cell>
          <cell r="AK38">
            <v>323197.29080276983</v>
          </cell>
          <cell r="AL38">
            <v>357901.18827597611</v>
          </cell>
          <cell r="AM38">
            <v>413463.23504382186</v>
          </cell>
          <cell r="AN38">
            <v>478349.82866310142</v>
          </cell>
        </row>
        <row r="39">
          <cell r="AJ39">
            <v>326344.43221150432</v>
          </cell>
          <cell r="AK39">
            <v>357165.80141417263</v>
          </cell>
          <cell r="AL39">
            <v>410628.21449135989</v>
          </cell>
          <cell r="AM39">
            <v>468743.15893673431</v>
          </cell>
          <cell r="AN39">
            <v>529777.70213067625</v>
          </cell>
        </row>
        <row r="40">
          <cell r="AJ40">
            <v>349767.30209076544</v>
          </cell>
          <cell r="AK40">
            <v>396826.22837981302</v>
          </cell>
          <cell r="AL40">
            <v>442961.29478298686</v>
          </cell>
          <cell r="AM40">
            <v>499341.43523100019</v>
          </cell>
          <cell r="AN40">
            <v>567990.27094772272</v>
          </cell>
        </row>
        <row r="41">
          <cell r="AJ41">
            <v>381478.59877257422</v>
          </cell>
          <cell r="AK41">
            <v>425333.71041433327</v>
          </cell>
          <cell r="AL41">
            <v>473585.92662105057</v>
          </cell>
          <cell r="AM41">
            <v>524279.01755940542</v>
          </cell>
          <cell r="AN41">
            <v>568179.96450265311</v>
          </cell>
        </row>
        <row r="42">
          <cell r="AJ42">
            <v>410606.69555102475</v>
          </cell>
          <cell r="AK42">
            <v>455901.68229284044</v>
          </cell>
          <cell r="AL42">
            <v>506530.88813247904</v>
          </cell>
          <cell r="AM42">
            <v>555952.27025780547</v>
          </cell>
          <cell r="AN42">
            <v>657718.96239143703</v>
          </cell>
        </row>
        <row r="43">
          <cell r="AJ43">
            <v>447086.56659641303</v>
          </cell>
          <cell r="AK43">
            <v>490315.73825534433</v>
          </cell>
          <cell r="AL43">
            <v>538260.65533643216</v>
          </cell>
          <cell r="AM43">
            <v>596947.8868175</v>
          </cell>
          <cell r="AN43">
            <v>689146.20396108925</v>
          </cell>
        </row>
        <row r="44">
          <cell r="AJ44">
            <v>484914.21287095081</v>
          </cell>
          <cell r="AK44">
            <v>525160.15957083274</v>
          </cell>
          <cell r="AL44">
            <v>578358.68779001571</v>
          </cell>
          <cell r="AM44">
            <v>665129.93236368429</v>
          </cell>
          <cell r="AN44">
            <v>764707.47183903493</v>
          </cell>
        </row>
        <row r="45">
          <cell r="AJ45">
            <v>524084.53222324792</v>
          </cell>
          <cell r="AK45">
            <v>567594.5577036012</v>
          </cell>
          <cell r="AL45">
            <v>642834.58478648961</v>
          </cell>
          <cell r="AM45">
            <v>739424.5336261997</v>
          </cell>
          <cell r="AN45">
            <v>851488.9178637024</v>
          </cell>
        </row>
        <row r="46">
          <cell r="AJ46">
            <v>571807.94186430518</v>
          </cell>
          <cell r="AK46">
            <v>629205.42163947597</v>
          </cell>
          <cell r="AL46">
            <v>712351.30461982638</v>
          </cell>
          <cell r="AM46">
            <v>808397.84897370636</v>
          </cell>
          <cell r="AN46">
            <v>933395.01405238174</v>
          </cell>
        </row>
        <row r="47">
          <cell r="AJ47">
            <v>613557.1517940769</v>
          </cell>
          <cell r="AK47">
            <v>710589.55273561273</v>
          </cell>
          <cell r="AL47">
            <v>788775.71191305108</v>
          </cell>
          <cell r="AM47">
            <v>893959.51868674904</v>
          </cell>
          <cell r="AN47">
            <v>1020238.3944911938</v>
          </cell>
        </row>
        <row r="48">
          <cell r="AJ48">
            <v>671217.73439940717</v>
          </cell>
          <cell r="AK48">
            <v>735348.33587750793</v>
          </cell>
          <cell r="AL48">
            <v>827709.91957853921</v>
          </cell>
          <cell r="AM48">
            <v>910869.40228101239</v>
          </cell>
          <cell r="AN48">
            <v>1028262.9323441964</v>
          </cell>
        </row>
        <row r="49">
          <cell r="AJ49">
            <v>719393.35531301796</v>
          </cell>
          <cell r="AK49">
            <v>797374.73973952606</v>
          </cell>
          <cell r="AL49">
            <v>871682.80090324953</v>
          </cell>
          <cell r="AM49">
            <v>983291.68895255402</v>
          </cell>
          <cell r="AN49">
            <v>1106909.9388221782</v>
          </cell>
        </row>
        <row r="50">
          <cell r="AJ50">
            <v>780080.79860853031</v>
          </cell>
          <cell r="AK50">
            <v>856025.53147692606</v>
          </cell>
          <cell r="AL50">
            <v>949809.01913066767</v>
          </cell>
          <cell r="AM50">
            <v>1063665.21055796</v>
          </cell>
          <cell r="AN50">
            <v>1191045.9576545842</v>
          </cell>
        </row>
        <row r="51">
          <cell r="AJ51">
            <v>838607.72647499107</v>
          </cell>
          <cell r="AK51">
            <v>922848.20523616113</v>
          </cell>
          <cell r="AL51">
            <v>1011120.3241780698</v>
          </cell>
          <cell r="AM51">
            <v>1140458.8903024364</v>
          </cell>
          <cell r="AN51">
            <v>1231215.1209902167</v>
          </cell>
        </row>
        <row r="52">
          <cell r="AJ52">
            <v>907724.84874651954</v>
          </cell>
          <cell r="AK52">
            <v>994938.7638229616</v>
          </cell>
          <cell r="AL52">
            <v>1101365.6324584838</v>
          </cell>
          <cell r="AM52">
            <v>1217274.4667046592</v>
          </cell>
          <cell r="AN52">
            <v>1327924.1169238165</v>
          </cell>
        </row>
        <row r="53">
          <cell r="AJ53">
            <v>981461.68590802141</v>
          </cell>
          <cell r="AK53">
            <v>1061851.1004704162</v>
          </cell>
          <cell r="AL53">
            <v>1188163.5733232647</v>
          </cell>
          <cell r="AM53">
            <v>1269847.0837033726</v>
          </cell>
          <cell r="AN53">
            <v>1413884.8998033814</v>
          </cell>
        </row>
        <row r="54">
          <cell r="AJ54">
            <v>1056394.2010248434</v>
          </cell>
          <cell r="AK54">
            <v>1164210.6488502976</v>
          </cell>
          <cell r="AL54">
            <v>1249985.9981227443</v>
          </cell>
          <cell r="AM54">
            <v>1358612.4667890929</v>
          </cell>
          <cell r="AN54">
            <v>1620764.5110947564</v>
          </cell>
        </row>
        <row r="55">
          <cell r="AJ55">
            <v>1146377.6449625622</v>
          </cell>
          <cell r="AK55">
            <v>1253679.5111261401</v>
          </cell>
          <cell r="AL55">
            <v>1347468.0593887568</v>
          </cell>
          <cell r="AM55">
            <v>1535600.8548507094</v>
          </cell>
          <cell r="AN55">
            <v>1770114.7639814653</v>
          </cell>
        </row>
        <row r="56">
          <cell r="AJ56">
            <v>1228657.1379157156</v>
          </cell>
          <cell r="AK56">
            <v>1287531.0290714502</v>
          </cell>
          <cell r="AL56">
            <v>1434931.9032793157</v>
          </cell>
          <cell r="AM56">
            <v>1658075.6172129512</v>
          </cell>
          <cell r="AN56">
            <v>1844273.1985396445</v>
          </cell>
        </row>
        <row r="57">
          <cell r="AJ57">
            <v>1338771.8611660004</v>
          </cell>
          <cell r="AK57">
            <v>1464238.5497629791</v>
          </cell>
          <cell r="AL57">
            <v>1677930.5455783978</v>
          </cell>
          <cell r="AM57">
            <v>1865974.216777727</v>
          </cell>
          <cell r="AN57">
            <v>2033262.3044251241</v>
          </cell>
        </row>
        <row r="58">
          <cell r="AJ58">
            <v>1435456.6758539714</v>
          </cell>
          <cell r="AK58">
            <v>1617365.0626289472</v>
          </cell>
          <cell r="AL58">
            <v>1816991.014295008</v>
          </cell>
          <cell r="AM58">
            <v>1949590.3591619097</v>
          </cell>
          <cell r="AN58">
            <v>2182383.9349084646</v>
          </cell>
        </row>
        <row r="59">
          <cell r="AJ59">
            <v>1555033.2810434587</v>
          </cell>
          <cell r="AK59">
            <v>1739521.4565217122</v>
          </cell>
          <cell r="AL59">
            <v>1845461.9960540198</v>
          </cell>
          <cell r="AM59">
            <v>2027970.2541263811</v>
          </cell>
          <cell r="AN59">
            <v>2208568.5189688392</v>
          </cell>
        </row>
        <row r="60">
          <cell r="AJ60">
            <v>1673939.8788127825</v>
          </cell>
          <cell r="AK60">
            <v>1803783.3268846348</v>
          </cell>
          <cell r="AL60">
            <v>1954273.5435183086</v>
          </cell>
          <cell r="AM60">
            <v>2171231.1413950361</v>
          </cell>
          <cell r="AN60">
            <v>2392672.0141929202</v>
          </cell>
        </row>
        <row r="61">
          <cell r="AJ61">
            <v>1806976.6582348943</v>
          </cell>
          <cell r="AK61">
            <v>1924723.5302094184</v>
          </cell>
          <cell r="AL61">
            <v>2125385.3291812241</v>
          </cell>
          <cell r="AM61">
            <v>2325317.6158494093</v>
          </cell>
          <cell r="AN61">
            <v>2600726.6195524931</v>
          </cell>
        </row>
        <row r="62">
          <cell r="AJ62">
            <v>1954455.7413109988</v>
          </cell>
          <cell r="AK62">
            <v>2142554.7983268872</v>
          </cell>
          <cell r="AL62">
            <v>2311339.1578123532</v>
          </cell>
          <cell r="AM62">
            <v>2540592.5731986016</v>
          </cell>
          <cell r="AN62">
            <v>2851841.0625544563</v>
          </cell>
        </row>
        <row r="63">
          <cell r="AJ63">
            <v>2100703.8687151484</v>
          </cell>
          <cell r="AK63">
            <v>2249284.6890511662</v>
          </cell>
          <cell r="AL63">
            <v>2488325.7342888154</v>
          </cell>
          <cell r="AM63">
            <v>2777573.2105573788</v>
          </cell>
          <cell r="AN63">
            <v>3071112.0952374935</v>
          </cell>
        </row>
        <row r="64">
          <cell r="AJ64">
            <v>2284585.9455282688</v>
          </cell>
          <cell r="AK64">
            <v>2487399.3628086634</v>
          </cell>
          <cell r="AL64">
            <v>2732208.9585689083</v>
          </cell>
          <cell r="AM64">
            <v>2985534.9640567601</v>
          </cell>
          <cell r="AN64">
            <v>3385905.768008098</v>
          </cell>
        </row>
        <row r="65">
          <cell r="AJ65">
            <v>2448558.5893005393</v>
          </cell>
          <cell r="AK65">
            <v>2656696.7953932956</v>
          </cell>
          <cell r="AL65">
            <v>2907909.6796350926</v>
          </cell>
          <cell r="AM65">
            <v>3250826.1779886633</v>
          </cell>
          <cell r="AN65">
            <v>3803193.9695839956</v>
          </cell>
        </row>
        <row r="66">
          <cell r="AJ66">
            <v>2669821.1840687431</v>
          </cell>
          <cell r="AK66">
            <v>2917456.5755989254</v>
          </cell>
          <cell r="AL66">
            <v>3207896.5978629291</v>
          </cell>
          <cell r="AM66">
            <v>3590335.0746395141</v>
          </cell>
          <cell r="AN66">
            <v>3967089.1022951752</v>
          </cell>
        </row>
        <row r="67">
          <cell r="AJ67">
            <v>2867402.7292056307</v>
          </cell>
          <cell r="AK67">
            <v>3129317.0073140711</v>
          </cell>
          <cell r="AL67">
            <v>3475598.4286324903</v>
          </cell>
          <cell r="AM67">
            <v>3914873.9405302331</v>
          </cell>
          <cell r="AN67">
            <v>4596165.0804023966</v>
          </cell>
        </row>
        <row r="68">
          <cell r="AJ68">
            <v>3105165.8411596119</v>
          </cell>
          <cell r="AK68">
            <v>3414378.9902031869</v>
          </cell>
          <cell r="AL68">
            <v>3761449.4215404689</v>
          </cell>
          <cell r="AM68">
            <v>4251890.139739342</v>
          </cell>
          <cell r="AN68">
            <v>4768843.3828228787</v>
          </cell>
        </row>
        <row r="69">
          <cell r="AJ69">
            <v>3338447.9924320579</v>
          </cell>
          <cell r="AK69">
            <v>3677292.3912689611</v>
          </cell>
          <cell r="AL69">
            <v>4074750.9108641446</v>
          </cell>
          <cell r="AM69">
            <v>4600410.0630390719</v>
          </cell>
          <cell r="AN69">
            <v>5014043.3745476305</v>
          </cell>
        </row>
        <row r="70">
          <cell r="AJ70">
            <v>3609551.6201765984</v>
          </cell>
          <cell r="AK70">
            <v>3927031.9842154309</v>
          </cell>
          <cell r="AL70">
            <v>4472579.6746031642</v>
          </cell>
          <cell r="AM70">
            <v>4872743.4123463184</v>
          </cell>
          <cell r="AN70">
            <v>5057580.420868814</v>
          </cell>
        </row>
        <row r="71">
          <cell r="AJ71">
            <v>3887565.6871896535</v>
          </cell>
          <cell r="AK71">
            <v>4298240.4104672149</v>
          </cell>
          <cell r="AL71">
            <v>4728723.0645937994</v>
          </cell>
          <cell r="AM71">
            <v>4950080.4774447531</v>
          </cell>
          <cell r="AN71">
            <v>5726773.5738062859</v>
          </cell>
        </row>
        <row r="72">
          <cell r="AJ72">
            <v>4190714.7010258362</v>
          </cell>
          <cell r="AK72">
            <v>4627418.5817785338</v>
          </cell>
          <cell r="AL72">
            <v>4892863.1477244943</v>
          </cell>
          <cell r="AM72">
            <v>5303096.797121942</v>
          </cell>
          <cell r="AN72">
            <v>6033528.0908304155</v>
          </cell>
        </row>
        <row r="73">
          <cell r="AJ73">
            <v>4516105.9135799184</v>
          </cell>
          <cell r="AK73">
            <v>4845071.1567156985</v>
          </cell>
          <cell r="AL73">
            <v>5060802.6513736099</v>
          </cell>
          <cell r="AM73">
            <v>5865402.8373849988</v>
          </cell>
          <cell r="AN73">
            <v>6409989.9256590903</v>
          </cell>
        </row>
        <row r="74">
          <cell r="AJ74">
            <v>4862329.3208881542</v>
          </cell>
          <cell r="AK74">
            <v>5113611.1269168407</v>
          </cell>
          <cell r="AL74">
            <v>5802721.6040432602</v>
          </cell>
          <cell r="AM74">
            <v>6385191.8465538919</v>
          </cell>
          <cell r="AN74">
            <v>6895433.3096915483</v>
          </cell>
        </row>
        <row r="75">
          <cell r="AJ75">
            <v>5249503.1197211072</v>
          </cell>
          <cell r="AK75">
            <v>5734694.7166219503</v>
          </cell>
          <cell r="AL75">
            <v>6414303.8795066625</v>
          </cell>
          <cell r="AM75">
            <v>6867437.5889292806</v>
          </cell>
          <cell r="AN75">
            <v>7660397.3155417442</v>
          </cell>
        </row>
        <row r="76">
          <cell r="AJ76">
            <v>5642758.4242803305</v>
          </cell>
          <cell r="AK76">
            <v>6244997.5132325441</v>
          </cell>
          <cell r="AL76">
            <v>6728389.9215248078</v>
          </cell>
          <cell r="AM76">
            <v>7343057.1473922729</v>
          </cell>
          <cell r="AN76">
            <v>8320215.8533038944</v>
          </cell>
        </row>
        <row r="77">
          <cell r="AJ77">
            <v>6100282.0455992818</v>
          </cell>
          <cell r="AK77">
            <v>6640788.1863516271</v>
          </cell>
          <cell r="AL77">
            <v>7033819.5638213158</v>
          </cell>
          <cell r="AM77">
            <v>7852431.236036703</v>
          </cell>
          <cell r="AN77">
            <v>8779040.1875566989</v>
          </cell>
        </row>
        <row r="78">
          <cell r="AJ78">
            <v>6547066.8489697576</v>
          </cell>
          <cell r="AK78">
            <v>6919862.3360639513</v>
          </cell>
          <cell r="AL78">
            <v>7613479.7693270594</v>
          </cell>
          <cell r="AM78">
            <v>8502155.6705961525</v>
          </cell>
          <cell r="AN78">
            <v>9549381.2531681359</v>
          </cell>
        </row>
        <row r="79">
          <cell r="AJ79">
            <v>7087623.0865022838</v>
          </cell>
          <cell r="AK79">
            <v>7644135.8842817396</v>
          </cell>
          <cell r="AL79">
            <v>8575343.1606927216</v>
          </cell>
          <cell r="AM79">
            <v>9426727.3343288749</v>
          </cell>
          <cell r="AN79">
            <v>10546571.69410497</v>
          </cell>
        </row>
        <row r="80">
          <cell r="AJ80">
            <v>7596326.3365727216</v>
          </cell>
          <cell r="AK80">
            <v>8385204.1936763376</v>
          </cell>
          <cell r="AL80">
            <v>9187080.8639162481</v>
          </cell>
          <cell r="AM80">
            <v>10162388.700959712</v>
          </cell>
          <cell r="AN80">
            <v>11601877.046402961</v>
          </cell>
        </row>
        <row r="81">
          <cell r="AJ81">
            <v>8229600.1591555476</v>
          </cell>
          <cell r="AK81">
            <v>8886256.890365079</v>
          </cell>
          <cell r="AL81">
            <v>9755900.4710318446</v>
          </cell>
          <cell r="AM81">
            <v>10984539.191832036</v>
          </cell>
          <cell r="AN81">
            <v>12658799.869782031</v>
          </cell>
        </row>
        <row r="82">
          <cell r="AJ82">
            <v>8821484.555109486</v>
          </cell>
          <cell r="AK82">
            <v>9729256.1530952603</v>
          </cell>
          <cell r="AL82">
            <v>10707505.239137888</v>
          </cell>
          <cell r="AM82">
            <v>11954099.890237749</v>
          </cell>
          <cell r="AN82">
            <v>12654160.25931564</v>
          </cell>
        </row>
        <row r="83">
          <cell r="AJ83">
            <v>9547817.0054396838</v>
          </cell>
          <cell r="AK83">
            <v>10346847.433164924</v>
          </cell>
          <cell r="AL83">
            <v>11551251.921639264</v>
          </cell>
          <cell r="AM83">
            <v>12592967.506459922</v>
          </cell>
          <cell r="AN83">
            <v>13476170.328918338</v>
          </cell>
        </row>
        <row r="84">
          <cell r="AJ84">
            <v>10249054.066338181</v>
          </cell>
          <cell r="AK84">
            <v>11347316.9754996</v>
          </cell>
          <cell r="AL84">
            <v>12417655.461858332</v>
          </cell>
          <cell r="AM84">
            <v>13007998.792730629</v>
          </cell>
          <cell r="AN84">
            <v>14746380.362304926</v>
          </cell>
        </row>
        <row r="85">
          <cell r="AJ85">
            <v>11072104.058738291</v>
          </cell>
          <cell r="AK85">
            <v>12148832.496556342</v>
          </cell>
          <cell r="AL85">
            <v>12659783.284707278</v>
          </cell>
          <cell r="AM85">
            <v>13880966.049222857</v>
          </cell>
          <cell r="AN85">
            <v>15415569.889420539</v>
          </cell>
        </row>
        <row r="86">
          <cell r="AJ86">
            <v>11900312.837849766</v>
          </cell>
          <cell r="AK86">
            <v>12468161.330223918</v>
          </cell>
          <cell r="AL86">
            <v>13464467.356497496</v>
          </cell>
          <cell r="AM86">
            <v>15201052.842056632</v>
          </cell>
          <cell r="AN86">
            <v>16922147.781398028</v>
          </cell>
        </row>
        <row r="87">
          <cell r="AJ87">
            <v>12839870.473229259</v>
          </cell>
          <cell r="AK87">
            <v>13743773.238689423</v>
          </cell>
          <cell r="AL87">
            <v>15091547.618326038</v>
          </cell>
          <cell r="AM87">
            <v>16644302.424233139</v>
          </cell>
          <cell r="AN87">
            <v>18028365.904177278</v>
          </cell>
        </row>
        <row r="88">
          <cell r="AJ88">
            <v>13819920.185001105</v>
          </cell>
          <cell r="AK88">
            <v>15153116.720799834</v>
          </cell>
          <cell r="AL88">
            <v>16753940.847020954</v>
          </cell>
          <cell r="AM88">
            <v>18053704.657480747</v>
          </cell>
          <cell r="AN88">
            <v>20071809.317129195</v>
          </cell>
        </row>
        <row r="89">
          <cell r="AJ89">
            <v>14894436.178341001</v>
          </cell>
          <cell r="AK89">
            <v>16326379.907446116</v>
          </cell>
          <cell r="AL89">
            <v>17501633.230563402</v>
          </cell>
          <cell r="AM89">
            <v>19118908.875582278</v>
          </cell>
          <cell r="AN89">
            <v>21931612.967771411</v>
          </cell>
        </row>
        <row r="90">
          <cell r="AJ90">
            <v>16058086.327655286</v>
          </cell>
          <cell r="AK90">
            <v>17042574.536118358</v>
          </cell>
          <cell r="AL90">
            <v>18615398.254757553</v>
          </cell>
          <cell r="AM90">
            <v>21349957.396115065</v>
          </cell>
          <cell r="AN90">
            <v>23435614.016335487</v>
          </cell>
        </row>
        <row r="91">
          <cell r="AJ91">
            <v>17290275.485007942</v>
          </cell>
          <cell r="AK91">
            <v>18686096.392279148</v>
          </cell>
          <cell r="AL91">
            <v>20613567.66566512</v>
          </cell>
          <cell r="AM91">
            <v>23475648.082568526</v>
          </cell>
          <cell r="AN91">
            <v>22060414.739077628</v>
          </cell>
        </row>
        <row r="92">
          <cell r="AJ92">
            <v>18685583.538615406</v>
          </cell>
          <cell r="AK92">
            <v>20450426.8350344</v>
          </cell>
          <cell r="AL92">
            <v>22840896.339892983</v>
          </cell>
          <cell r="AM92">
            <v>22605313.772130489</v>
          </cell>
          <cell r="AN92">
            <v>23403611.890691459</v>
          </cell>
        </row>
        <row r="93">
          <cell r="AJ93">
            <v>20084669.806568444</v>
          </cell>
          <cell r="AK93">
            <v>22496966.827512145</v>
          </cell>
          <cell r="AL93">
            <v>23339011.532850981</v>
          </cell>
          <cell r="AM93">
            <v>23096655.083117127</v>
          </cell>
          <cell r="AN93">
            <v>23295485.415736318</v>
          </cell>
        </row>
        <row r="94">
          <cell r="AJ94">
            <v>21735946.790527403</v>
          </cell>
          <cell r="AK94">
            <v>23002664.936478794</v>
          </cell>
          <cell r="AL94">
            <v>22587850.968984127</v>
          </cell>
          <cell r="AM94">
            <v>23565048.691567361</v>
          </cell>
          <cell r="AN94">
            <v>22489466.432793319</v>
          </cell>
        </row>
        <row r="95">
          <cell r="AJ95">
            <v>23325814.085835993</v>
          </cell>
          <cell r="AK95">
            <v>22661062.448858023</v>
          </cell>
          <cell r="AL95">
            <v>24515805.558211923</v>
          </cell>
          <cell r="AM95">
            <v>22055334.551704943</v>
          </cell>
          <cell r="AN95">
            <v>23112611.820733726</v>
          </cell>
        </row>
        <row r="96">
          <cell r="AJ96">
            <v>25285769.240825713</v>
          </cell>
          <cell r="AK96">
            <v>27100023.183854938</v>
          </cell>
          <cell r="AL96">
            <v>24529179.13281548</v>
          </cell>
          <cell r="AM96">
            <v>26824091.20800513</v>
          </cell>
          <cell r="AN96">
            <v>25507925.434571803</v>
          </cell>
        </row>
        <row r="97">
          <cell r="AJ97">
            <v>27100616.452133179</v>
          </cell>
          <cell r="AK97">
            <v>24802223.009417295</v>
          </cell>
          <cell r="AL97">
            <v>26916870.983303308</v>
          </cell>
          <cell r="AM97">
            <v>25697629.822157443</v>
          </cell>
          <cell r="AN97">
            <v>26436073.125314534</v>
          </cell>
        </row>
        <row r="98">
          <cell r="AJ98">
            <v>25639769.87401396</v>
          </cell>
          <cell r="AK98">
            <v>27274241.120059133</v>
          </cell>
          <cell r="AL98">
            <v>26211101.376333296</v>
          </cell>
          <cell r="AM98">
            <v>27044462.603337169</v>
          </cell>
          <cell r="AN98">
            <v>26544379.310018122</v>
          </cell>
        </row>
        <row r="99">
          <cell r="AJ99">
            <v>27383134.880440652</v>
          </cell>
          <cell r="AK99">
            <v>26272085.936029971</v>
          </cell>
          <cell r="AL99">
            <v>27435905.305017471</v>
          </cell>
          <cell r="AM99">
            <v>26709499.641102016</v>
          </cell>
          <cell r="AN99">
            <v>27920988.004088581</v>
          </cell>
        </row>
        <row r="100">
          <cell r="AJ100">
            <v>26731941.345035017</v>
          </cell>
          <cell r="AK100">
            <v>28363650.620097637</v>
          </cell>
          <cell r="AL100">
            <v>27080889.080197632</v>
          </cell>
          <cell r="AM100">
            <v>28044821.865449309</v>
          </cell>
          <cell r="AN100">
            <v>31316905.391517997</v>
          </cell>
        </row>
        <row r="101">
          <cell r="AJ101">
            <v>28172144.301311135</v>
          </cell>
          <cell r="AK101">
            <v>27320517.849247634</v>
          </cell>
          <cell r="AL101">
            <v>28036395.323182464</v>
          </cell>
          <cell r="AM101">
            <v>30301688.325419188</v>
          </cell>
          <cell r="AN101">
            <v>32761237.39004612</v>
          </cell>
        </row>
        <row r="102">
          <cell r="AJ102">
            <v>28247796.234400511</v>
          </cell>
          <cell r="AK102">
            <v>28850872.533510327</v>
          </cell>
          <cell r="AL102">
            <v>31507340.162853599</v>
          </cell>
          <cell r="AM102">
            <v>34016058.23077035</v>
          </cell>
          <cell r="AN102">
            <v>39511280.509264231</v>
          </cell>
        </row>
        <row r="103">
          <cell r="AJ103">
            <v>29519947.173831224</v>
          </cell>
          <cell r="AK103">
            <v>31583443.924899936</v>
          </cell>
          <cell r="AL103">
            <v>34027477.313597798</v>
          </cell>
          <cell r="AM103">
            <v>38389468.675907969</v>
          </cell>
          <cell r="AN103">
            <v>42502253.083958507</v>
          </cell>
        </row>
        <row r="104">
          <cell r="AJ104">
            <v>30578657.797997952</v>
          </cell>
          <cell r="AK104">
            <v>32819778.560121894</v>
          </cell>
          <cell r="AL104">
            <v>36297416.94987452</v>
          </cell>
          <cell r="AM104">
            <v>40713666.072154522</v>
          </cell>
          <cell r="AN104">
            <v>47263963.376676798</v>
          </cell>
        </row>
        <row r="105">
          <cell r="AJ105">
            <v>32058943.648664951</v>
          </cell>
          <cell r="AK105">
            <v>35049656.462022066</v>
          </cell>
          <cell r="AL105">
            <v>38954684.435597658</v>
          </cell>
          <cell r="AM105">
            <v>44418915.570138454</v>
          </cell>
          <cell r="AN105">
            <v>50892543.539035559</v>
          </cell>
        </row>
        <row r="106">
          <cell r="AJ106">
            <v>35050173.51963973</v>
          </cell>
          <cell r="AK106">
            <v>38781674.103063226</v>
          </cell>
          <cell r="AL106">
            <v>43606980.732866764</v>
          </cell>
          <cell r="AM106">
            <v>50026014.7162323</v>
          </cell>
          <cell r="AN106">
            <v>55359058.770056963</v>
          </cell>
        </row>
        <row r="107">
          <cell r="AJ107">
            <v>38325014.510784507</v>
          </cell>
          <cell r="AK107">
            <v>42477808.504328847</v>
          </cell>
          <cell r="AL107">
            <v>49357012.15314424</v>
          </cell>
          <cell r="AM107">
            <v>53386130.305423498</v>
          </cell>
          <cell r="AN107">
            <v>59941563.772246718</v>
          </cell>
        </row>
        <row r="108">
          <cell r="AJ108">
            <v>44413413.03806293</v>
          </cell>
          <cell r="AK108">
            <v>51192193.594332933</v>
          </cell>
          <cell r="AL108">
            <v>54617486.42398715</v>
          </cell>
          <cell r="AM108">
            <v>61040395.275234222</v>
          </cell>
          <cell r="AN108">
            <v>66377673.781464338</v>
          </cell>
        </row>
        <row r="109">
          <cell r="AJ109">
            <v>53613887.844827414</v>
          </cell>
          <cell r="AK109">
            <v>57348985.142209053</v>
          </cell>
          <cell r="AL109">
            <v>63404740.430339456</v>
          </cell>
          <cell r="AM109">
            <v>68623185.592555761</v>
          </cell>
          <cell r="AN109">
            <v>73743813.616381526</v>
          </cell>
        </row>
        <row r="110">
          <cell r="AJ110">
            <v>57529462.211094379</v>
          </cell>
          <cell r="AK110">
            <v>62580356.57484138</v>
          </cell>
          <cell r="AL110">
            <v>67258882.279927492</v>
          </cell>
          <cell r="AM110">
            <v>72501305.596255183</v>
          </cell>
          <cell r="AN110">
            <v>77488785.04717207</v>
          </cell>
        </row>
        <row r="111">
          <cell r="AJ111">
            <v>61872907.639265537</v>
          </cell>
          <cell r="AK111">
            <v>66708893.006645679</v>
          </cell>
          <cell r="AL111">
            <v>71251123.855230689</v>
          </cell>
          <cell r="AM111">
            <v>75934672.16311264</v>
          </cell>
          <cell r="AN111">
            <v>78713829.492998362</v>
          </cell>
        </row>
        <row r="112">
          <cell r="AJ112">
            <v>66353743.364447832</v>
          </cell>
          <cell r="AK112">
            <v>70608815.000919223</v>
          </cell>
          <cell r="AL112">
            <v>76707568.341014147</v>
          </cell>
          <cell r="AM112">
            <v>77718637.99966073</v>
          </cell>
          <cell r="AN112">
            <v>83029588.76358223</v>
          </cell>
        </row>
        <row r="113">
          <cell r="AJ113">
            <v>71398921.604300618</v>
          </cell>
          <cell r="AK113">
            <v>76173724.48658824</v>
          </cell>
          <cell r="AL113">
            <v>76556988.307166815</v>
          </cell>
          <cell r="AM113">
            <v>83491137.057810545</v>
          </cell>
          <cell r="AN113">
            <v>93247865.551591635</v>
          </cell>
        </row>
        <row r="114">
          <cell r="AJ114">
            <v>76527429.620642543</v>
          </cell>
          <cell r="AK114">
            <v>77992100.106460094</v>
          </cell>
          <cell r="AL114">
            <v>83584346.357904673</v>
          </cell>
          <cell r="AM114">
            <v>90638144.834175348</v>
          </cell>
          <cell r="AN114">
            <v>100965939.86493468</v>
          </cell>
        </row>
        <row r="115">
          <cell r="AJ115">
            <v>82406220.344767332</v>
          </cell>
          <cell r="AK115">
            <v>87628714.55911684</v>
          </cell>
          <cell r="AL115">
            <v>96186547.28947854</v>
          </cell>
          <cell r="AM115">
            <v>104998924.22572803</v>
          </cell>
          <cell r="AN115">
            <v>113486809.22387695</v>
          </cell>
        </row>
        <row r="116">
          <cell r="AJ116">
            <v>88320800.113438845</v>
          </cell>
          <cell r="AK116">
            <v>96248492.144231796</v>
          </cell>
          <cell r="AL116">
            <v>103817007.1243782</v>
          </cell>
          <cell r="AM116">
            <v>113848617.42267919</v>
          </cell>
          <cell r="AN116">
            <v>124667884.67885184</v>
          </cell>
        </row>
        <row r="117">
          <cell r="AJ117">
            <v>95055388.991009712</v>
          </cell>
          <cell r="AK117">
            <v>102334904.85459924</v>
          </cell>
          <cell r="AL117">
            <v>109919447.77532601</v>
          </cell>
          <cell r="AM117">
            <v>119334449.91178846</v>
          </cell>
          <cell r="AN117">
            <v>121680946.89608884</v>
          </cell>
        </row>
        <row r="118">
          <cell r="AJ118">
            <v>101926322.01477337</v>
          </cell>
          <cell r="AK118">
            <v>109726604.6740191</v>
          </cell>
          <cell r="AL118">
            <v>118576030.54137516</v>
          </cell>
          <cell r="AM118">
            <v>122287668.47936821</v>
          </cell>
          <cell r="AN118">
            <v>129376688.8124454</v>
          </cell>
        </row>
        <row r="119">
          <cell r="AJ119">
            <v>109631875.67820191</v>
          </cell>
          <cell r="AK119">
            <v>117404980.488029</v>
          </cell>
          <cell r="AL119">
            <v>121249919.01529384</v>
          </cell>
          <cell r="AM119">
            <v>127309641.24832058</v>
          </cell>
          <cell r="AN119">
            <v>138508848.85932803</v>
          </cell>
        </row>
        <row r="120">
          <cell r="AJ120">
            <v>117615313.04604459</v>
          </cell>
          <cell r="AK120">
            <v>120473634.17995071</v>
          </cell>
          <cell r="AL120">
            <v>125482028.79423189</v>
          </cell>
          <cell r="AM120">
            <v>133920601.96701741</v>
          </cell>
          <cell r="AN120">
            <v>146450560.21446872</v>
          </cell>
        </row>
        <row r="121">
          <cell r="AJ121">
            <v>126443164.19301724</v>
          </cell>
          <cell r="AK121">
            <v>132294311.06908488</v>
          </cell>
          <cell r="AL121">
            <v>141311644.70917153</v>
          </cell>
          <cell r="AM121">
            <v>155982013.28891373</v>
          </cell>
          <cell r="AN121">
            <v>166967738.62331772</v>
          </cell>
        </row>
        <row r="122">
          <cell r="AJ122">
            <v>135720763.59623718</v>
          </cell>
          <cell r="AK122">
            <v>144941872.48550701</v>
          </cell>
          <cell r="AL122">
            <v>156800271.85266304</v>
          </cell>
          <cell r="AM122">
            <v>166972601.30789566</v>
          </cell>
          <cell r="AN122">
            <v>183572742.84227753</v>
          </cell>
        </row>
        <row r="123">
          <cell r="AJ123">
            <v>145831682.07941389</v>
          </cell>
          <cell r="AK123">
            <v>155783514.64465594</v>
          </cell>
          <cell r="AL123">
            <v>166967962.53767395</v>
          </cell>
          <cell r="AM123">
            <v>183461536.05043364</v>
          </cell>
          <cell r="AN123">
            <v>194061683.55095243</v>
          </cell>
        </row>
        <row r="124">
          <cell r="AJ124">
            <v>156611499.42512941</v>
          </cell>
          <cell r="AK124">
            <v>168423566.14270926</v>
          </cell>
          <cell r="AL124">
            <v>182763273.52718306</v>
          </cell>
          <cell r="AM124">
            <v>193683401.96127319</v>
          </cell>
          <cell r="AN124">
            <v>198380310.17413712</v>
          </cell>
        </row>
        <row r="125">
          <cell r="AJ125">
            <v>168192284.46330166</v>
          </cell>
          <cell r="AK125">
            <v>181189206.12667704</v>
          </cell>
          <cell r="AL125">
            <v>192198434.64779377</v>
          </cell>
          <cell r="AM125">
            <v>193548078.57735872</v>
          </cell>
          <cell r="AN125">
            <v>209475409.15722895</v>
          </cell>
        </row>
        <row r="126">
          <cell r="AJ126">
            <v>180717361.97739458</v>
          </cell>
          <cell r="AK126">
            <v>188841849.8789916</v>
          </cell>
          <cell r="AL126">
            <v>192589306.98073006</v>
          </cell>
          <cell r="AM126">
            <v>206484877.35669422</v>
          </cell>
          <cell r="AN126">
            <v>234660743.59642553</v>
          </cell>
        </row>
        <row r="127">
          <cell r="AJ127">
            <v>194083347.58057737</v>
          </cell>
          <cell r="AK127">
            <v>199467016.11868286</v>
          </cell>
          <cell r="AL127">
            <v>211223836.63999176</v>
          </cell>
          <cell r="AM127">
            <v>231996572.15304947</v>
          </cell>
          <cell r="AN127">
            <v>251208729.70389986</v>
          </cell>
        </row>
        <row r="128">
          <cell r="AJ128">
            <v>208862665.8068409</v>
          </cell>
          <cell r="AK128">
            <v>221510433.46601343</v>
          </cell>
          <cell r="AL128">
            <v>245019624.45823193</v>
          </cell>
          <cell r="AM128">
            <v>267208331.97311497</v>
          </cell>
          <cell r="AN128">
            <v>288922423.30885506</v>
          </cell>
        </row>
        <row r="129">
          <cell r="AJ129">
            <v>224198070.9752593</v>
          </cell>
          <cell r="AK129">
            <v>245705793.56719208</v>
          </cell>
          <cell r="AL129">
            <v>261008894.00890207</v>
          </cell>
          <cell r="AM129">
            <v>283394572.74610996</v>
          </cell>
          <cell r="AN129">
            <v>310805869.78033113</v>
          </cell>
        </row>
        <row r="130">
          <cell r="AJ130">
            <v>241600542.10785151</v>
          </cell>
          <cell r="AK130">
            <v>254806409.82668877</v>
          </cell>
          <cell r="AL130">
            <v>280099223.28517437</v>
          </cell>
          <cell r="AM130">
            <v>300945466.27427864</v>
          </cell>
          <cell r="AN130">
            <v>295531308.53906345</v>
          </cell>
        </row>
        <row r="131">
          <cell r="AJ131">
            <v>259063769.29876137</v>
          </cell>
          <cell r="AK131">
            <v>281903386.66208649</v>
          </cell>
          <cell r="AL131">
            <v>298135229.23880625</v>
          </cell>
          <cell r="AM131">
            <v>298848240.19466209</v>
          </cell>
          <cell r="AN131">
            <v>315210442.81723118</v>
          </cell>
        </row>
        <row r="132">
          <cell r="AJ132">
            <v>278758022.63563585</v>
          </cell>
          <cell r="AK132">
            <v>296354622.81451035</v>
          </cell>
          <cell r="AL132">
            <v>295875091.9121294</v>
          </cell>
          <cell r="AM132">
            <v>308796140.65243435</v>
          </cell>
          <cell r="AN132">
            <v>345333175.19307041</v>
          </cell>
        </row>
        <row r="133">
          <cell r="AJ133">
            <v>298765451.12997293</v>
          </cell>
          <cell r="AK133">
            <v>296489025.94386625</v>
          </cell>
          <cell r="AL133">
            <v>311353740.4929409</v>
          </cell>
          <cell r="AM133">
            <v>339680005.40182209</v>
          </cell>
          <cell r="AN133">
            <v>376129464.9241991</v>
          </cell>
        </row>
        <row r="134">
          <cell r="AJ134">
            <v>321653087.59592247</v>
          </cell>
          <cell r="AK134">
            <v>340358181.42036152</v>
          </cell>
          <cell r="AL134">
            <v>371095790.50775719</v>
          </cell>
          <cell r="AM134">
            <v>406603669.3603096</v>
          </cell>
          <cell r="AN134">
            <v>431992932.33377934</v>
          </cell>
        </row>
        <row r="135">
          <cell r="AJ135">
            <v>344748367.72919083</v>
          </cell>
          <cell r="AK135">
            <v>372397955.65084362</v>
          </cell>
          <cell r="AL135">
            <v>402551131.50966167</v>
          </cell>
          <cell r="AM135">
            <v>434188698.54449558</v>
          </cell>
          <cell r="AN135">
            <v>472902773.39240932</v>
          </cell>
        </row>
        <row r="136">
          <cell r="AJ136">
            <v>370953157.53691196</v>
          </cell>
          <cell r="AK136">
            <v>395943172.63675785</v>
          </cell>
          <cell r="AL136">
            <v>425037120.25879765</v>
          </cell>
          <cell r="AM136">
            <v>464860576.39478874</v>
          </cell>
          <cell r="AN136">
            <v>478795258.84808731</v>
          </cell>
        </row>
        <row r="137">
          <cell r="AJ137">
            <v>397773969.07282257</v>
          </cell>
          <cell r="AK137">
            <v>427219609.54321957</v>
          </cell>
          <cell r="AL137">
            <v>465837839.2823782</v>
          </cell>
          <cell r="AM137">
            <v>476303173.50940514</v>
          </cell>
          <cell r="AN137">
            <v>496076897.76433468</v>
          </cell>
        </row>
        <row r="138">
          <cell r="AJ138">
            <v>427788894.83432961</v>
          </cell>
          <cell r="AK138">
            <v>458949079.35521507</v>
          </cell>
          <cell r="AL138">
            <v>467132609.58130932</v>
          </cell>
          <cell r="AM138">
            <v>482383356.46395111</v>
          </cell>
          <cell r="AN138">
            <v>524044212.49145603</v>
          </cell>
        </row>
        <row r="139">
          <cell r="AJ139">
            <v>458927681.76660538</v>
          </cell>
          <cell r="AK139">
            <v>467593221.85426617</v>
          </cell>
          <cell r="AL139">
            <v>484529445.81613541</v>
          </cell>
          <cell r="AM139">
            <v>521627369.25153542</v>
          </cell>
          <cell r="AN139">
            <v>575070920.71669388</v>
          </cell>
        </row>
        <row r="140">
          <cell r="AJ140">
            <v>493324379.03852844</v>
          </cell>
          <cell r="AK140">
            <v>513635785.1169281</v>
          </cell>
          <cell r="AL140">
            <v>544345206.66193295</v>
          </cell>
          <cell r="AM140">
            <v>597620160.73522758</v>
          </cell>
          <cell r="AN140">
            <v>652147103.31925774</v>
          </cell>
        </row>
        <row r="141">
          <cell r="AJ141">
            <v>529475364.69814205</v>
          </cell>
          <cell r="AK141">
            <v>566586546.88685036</v>
          </cell>
          <cell r="AL141">
            <v>626920254.31969643</v>
          </cell>
          <cell r="AM141">
            <v>668873815.49799156</v>
          </cell>
          <cell r="AN141">
            <v>722725746.10879898</v>
          </cell>
        </row>
        <row r="142">
          <cell r="AJ142">
            <v>568892067.02443409</v>
          </cell>
          <cell r="AK142">
            <v>613573743.8680191</v>
          </cell>
          <cell r="AL142">
            <v>651918813.59985542</v>
          </cell>
          <cell r="AM142">
            <v>706997542.05729294</v>
          </cell>
          <cell r="AN142">
            <v>751694459.6956501</v>
          </cell>
        </row>
        <row r="143">
          <cell r="AJ143">
            <v>610857337.67328453</v>
          </cell>
          <cell r="AK143">
            <v>647798843.15441704</v>
          </cell>
          <cell r="AL143">
            <v>698852804.67159271</v>
          </cell>
          <cell r="AM143">
            <v>745503739.98205757</v>
          </cell>
          <cell r="AN143">
            <v>750081397.93078613</v>
          </cell>
        </row>
        <row r="144">
          <cell r="AJ144">
            <v>656026038.52246666</v>
          </cell>
          <cell r="AK144">
            <v>701327733.62478447</v>
          </cell>
          <cell r="AL144">
            <v>743300403.20219421</v>
          </cell>
          <cell r="AM144">
            <v>748598373.53132439</v>
          </cell>
          <cell r="AN144">
            <v>805545538.67074394</v>
          </cell>
        </row>
        <row r="145">
          <cell r="AJ145">
            <v>704735500.07992172</v>
          </cell>
          <cell r="AK145">
            <v>742097785.78666306</v>
          </cell>
          <cell r="AL145">
            <v>747065387.3767662</v>
          </cell>
          <cell r="AM145">
            <v>793681403.47167397</v>
          </cell>
          <cell r="AN145">
            <v>879180445.68803596</v>
          </cell>
        </row>
        <row r="146">
          <cell r="AJ146">
            <v>756497047.39063644</v>
          </cell>
          <cell r="AK146">
            <v>772288027.36986542</v>
          </cell>
          <cell r="AL146">
            <v>808345247.97400856</v>
          </cell>
          <cell r="AM146">
            <v>895095584.4860878</v>
          </cell>
          <cell r="AN146">
            <v>963404327.15267944</v>
          </cell>
        </row>
        <row r="147">
          <cell r="AJ147">
            <v>813032541.68092346</v>
          </cell>
          <cell r="AK147">
            <v>859020191.33893776</v>
          </cell>
          <cell r="AL147">
            <v>947746805.82707214</v>
          </cell>
          <cell r="AM147">
            <v>1007846982.2801075</v>
          </cell>
          <cell r="AN147">
            <v>1083768936.1120415</v>
          </cell>
        </row>
        <row r="148">
          <cell r="AJ148">
            <v>872342804.28551674</v>
          </cell>
          <cell r="AK148">
            <v>940799283.44147682</v>
          </cell>
          <cell r="AL148">
            <v>1001350662.5215931</v>
          </cell>
          <cell r="AM148">
            <v>1082746201.0008163</v>
          </cell>
          <cell r="AN148">
            <v>1178761417.5844097</v>
          </cell>
        </row>
        <row r="149">
          <cell r="AJ149">
            <v>937940655.35561371</v>
          </cell>
          <cell r="AK149">
            <v>991989485.6204834</v>
          </cell>
          <cell r="AL149">
            <v>1073756946.4678669</v>
          </cell>
          <cell r="AM149">
            <v>1157053456.1608219</v>
          </cell>
          <cell r="AN149">
            <v>1179124153.8930683</v>
          </cell>
        </row>
        <row r="150">
          <cell r="AJ150">
            <v>1005903455.8125057</v>
          </cell>
          <cell r="AK150">
            <v>1090138092.0412502</v>
          </cell>
          <cell r="AL150">
            <v>1155342503.846262</v>
          </cell>
          <cell r="AM150">
            <v>1181542728.1745796</v>
          </cell>
          <cell r="AN150">
            <v>1240360258.6089401</v>
          </cell>
        </row>
        <row r="151">
          <cell r="AJ151">
            <v>1082012599.7116776</v>
          </cell>
          <cell r="AK151">
            <v>1141947407.8601208</v>
          </cell>
          <cell r="AL151">
            <v>1162710634.4776478</v>
          </cell>
          <cell r="AM151">
            <v>1212942191.6476707</v>
          </cell>
          <cell r="AN151">
            <v>1304427012.2927017</v>
          </cell>
        </row>
        <row r="152">
          <cell r="AJ152">
            <v>1159897245.2236023</v>
          </cell>
          <cell r="AK152">
            <v>1171760021.4414806</v>
          </cell>
          <cell r="AL152">
            <v>1217178687.7756004</v>
          </cell>
          <cell r="AM152">
            <v>1284095121.654911</v>
          </cell>
          <cell r="AN152">
            <v>1413697598.067215</v>
          </cell>
        </row>
        <row r="153">
          <cell r="AJ153">
            <v>1248342977.5909748</v>
          </cell>
          <cell r="AK153">
            <v>1317469969.9750786</v>
          </cell>
          <cell r="AL153">
            <v>1411593187.8808136</v>
          </cell>
          <cell r="AM153">
            <v>1537175925.0930252</v>
          </cell>
          <cell r="AN153">
            <v>1605236283.7911339</v>
          </cell>
        </row>
        <row r="154">
          <cell r="AJ154">
            <v>1337940875.5255508</v>
          </cell>
          <cell r="AK154">
            <v>1423368020.151741</v>
          </cell>
          <cell r="AL154">
            <v>1524689593.1594238</v>
          </cell>
          <cell r="AM154">
            <v>1618087491.5672379</v>
          </cell>
          <cell r="AN154">
            <v>1736388180.1292458</v>
          </cell>
        </row>
        <row r="155">
          <cell r="AJ155">
            <v>1442302209.9616547</v>
          </cell>
          <cell r="AK155">
            <v>1523063341.685482</v>
          </cell>
          <cell r="AL155">
            <v>1620803401.4960403</v>
          </cell>
          <cell r="AM155">
            <v>1740056144.1653328</v>
          </cell>
          <cell r="AN155">
            <v>1940130017.0237503</v>
          </cell>
        </row>
        <row r="156">
          <cell r="AJ156">
            <v>1546362459.5669136</v>
          </cell>
          <cell r="AK156">
            <v>1648308184.5406342</v>
          </cell>
          <cell r="AL156">
            <v>1756752371.8844299</v>
          </cell>
          <cell r="AM156">
            <v>1984640329.5925636</v>
          </cell>
          <cell r="AN156">
            <v>2453961173.0424309</v>
          </cell>
        </row>
        <row r="157">
          <cell r="AJ157">
            <v>1663260436.1853104</v>
          </cell>
          <cell r="AK157">
            <v>1751548334.4568329</v>
          </cell>
          <cell r="AL157">
            <v>2020374430.1763535</v>
          </cell>
          <cell r="AM157">
            <v>2404885247.8029175</v>
          </cell>
          <cell r="AN157">
            <v>1348602037.1659279</v>
          </cell>
        </row>
        <row r="158">
          <cell r="AJ158">
            <v>1783806005.8807793</v>
          </cell>
          <cell r="AK158">
            <v>2098325869.8872185</v>
          </cell>
          <cell r="AL158">
            <v>2351050232.1477585</v>
          </cell>
          <cell r="AM158">
            <v>1243169480.2960281</v>
          </cell>
          <cell r="AN158">
            <v>0</v>
          </cell>
        </row>
        <row r="159">
          <cell r="AJ159">
            <v>1917820999.8207321</v>
          </cell>
          <cell r="AK159">
            <v>2185591869.8845863</v>
          </cell>
          <cell r="AL159">
            <v>1055053387.2507133</v>
          </cell>
          <cell r="AM159">
            <v>0</v>
          </cell>
          <cell r="AN159">
            <v>0</v>
          </cell>
        </row>
        <row r="160">
          <cell r="AJ160">
            <v>2057655368.6376114</v>
          </cell>
          <cell r="AK160">
            <v>864433329.53060913</v>
          </cell>
          <cell r="AL160">
            <v>0</v>
          </cell>
          <cell r="AM160">
            <v>0</v>
          </cell>
          <cell r="AN160">
            <v>0</v>
          </cell>
        </row>
        <row r="161">
          <cell r="AJ161">
            <v>777708856.80000687</v>
          </cell>
          <cell r="AK161">
            <v>0</v>
          </cell>
          <cell r="AL161">
            <v>0</v>
          </cell>
          <cell r="AM161">
            <v>0</v>
          </cell>
          <cell r="AN161">
            <v>0</v>
          </cell>
        </row>
        <row r="162">
          <cell r="AJ162">
            <v>0</v>
          </cell>
          <cell r="AK162">
            <v>0</v>
          </cell>
          <cell r="AL162">
            <v>0</v>
          </cell>
          <cell r="AM162">
            <v>0</v>
          </cell>
          <cell r="AN162">
            <v>0</v>
          </cell>
        </row>
        <row r="163">
          <cell r="AJ163">
            <v>0</v>
          </cell>
          <cell r="AK163">
            <v>0</v>
          </cell>
          <cell r="AL163">
            <v>0</v>
          </cell>
          <cell r="AM163">
            <v>0</v>
          </cell>
          <cell r="AN163">
            <v>0</v>
          </cell>
        </row>
        <row r="164">
          <cell r="AJ164">
            <v>0</v>
          </cell>
          <cell r="AK164">
            <v>0</v>
          </cell>
          <cell r="AL164">
            <v>0</v>
          </cell>
          <cell r="AM164">
            <v>0</v>
          </cell>
          <cell r="AN164">
            <v>0</v>
          </cell>
        </row>
        <row r="165">
          <cell r="AJ165">
            <v>0</v>
          </cell>
          <cell r="AK165">
            <v>0</v>
          </cell>
          <cell r="AL165">
            <v>0</v>
          </cell>
          <cell r="AM165">
            <v>0</v>
          </cell>
          <cell r="AN165">
            <v>0</v>
          </cell>
        </row>
      </sheetData>
      <sheetData sheetId="20">
        <row r="6">
          <cell r="V6">
            <v>3390.3908593159599</v>
          </cell>
        </row>
      </sheetData>
      <sheetData sheetId="21">
        <row r="5">
          <cell r="AG5">
            <v>0</v>
          </cell>
        </row>
      </sheetData>
      <sheetData sheetId="22">
        <row r="6">
          <cell r="C6">
            <v>5.0636889117865597E-3</v>
          </cell>
          <cell r="H6">
            <v>10.007882973853301</v>
          </cell>
          <cell r="I6">
            <v>5.5769965596819103E-14</v>
          </cell>
          <cell r="J6">
            <v>3.9925012053399231</v>
          </cell>
          <cell r="K6">
            <v>3.1112207100336525E-14</v>
          </cell>
          <cell r="L6">
            <v>0.72009192200987182</v>
          </cell>
          <cell r="S6">
            <v>0</v>
          </cell>
          <cell r="T6">
            <v>0</v>
          </cell>
          <cell r="U6">
            <v>0</v>
          </cell>
          <cell r="V6">
            <v>0</v>
          </cell>
          <cell r="W6">
            <v>0</v>
          </cell>
          <cell r="GY6">
            <v>0</v>
          </cell>
          <cell r="GZ6">
            <v>0</v>
          </cell>
          <cell r="HA6">
            <v>0</v>
          </cell>
          <cell r="HB6">
            <v>0</v>
          </cell>
          <cell r="HC6">
            <v>0</v>
          </cell>
        </row>
        <row r="7">
          <cell r="H7">
            <v>45.934636679285134</v>
          </cell>
          <cell r="I7">
            <v>1.564112957564978E-13</v>
          </cell>
          <cell r="J7">
            <v>19.90182978599276</v>
          </cell>
          <cell r="K7">
            <v>9.279615514133695E-14</v>
          </cell>
          <cell r="L7">
            <v>3.9864265490540083</v>
          </cell>
          <cell r="S7">
            <v>0</v>
          </cell>
          <cell r="T7">
            <v>0</v>
          </cell>
          <cell r="U7">
            <v>0</v>
          </cell>
          <cell r="V7">
            <v>0</v>
          </cell>
          <cell r="W7">
            <v>0</v>
          </cell>
          <cell r="GY7">
            <v>0</v>
          </cell>
          <cell r="GZ7">
            <v>0</v>
          </cell>
          <cell r="HA7">
            <v>0</v>
          </cell>
          <cell r="HB7">
            <v>0</v>
          </cell>
          <cell r="HC7">
            <v>0</v>
          </cell>
        </row>
        <row r="8">
          <cell r="H8">
            <v>128.00307129075767</v>
          </cell>
          <cell r="I8">
            <v>3.0558426836816965E-13</v>
          </cell>
          <cell r="J8">
            <v>57.363651731085127</v>
          </cell>
          <cell r="K8">
            <v>1.8466456791794269E-13</v>
          </cell>
          <cell r="L8">
            <v>11.714087113105615</v>
          </cell>
          <cell r="S8">
            <v>0</v>
          </cell>
          <cell r="T8">
            <v>0</v>
          </cell>
          <cell r="U8">
            <v>0</v>
          </cell>
          <cell r="V8">
            <v>0</v>
          </cell>
          <cell r="W8">
            <v>0</v>
          </cell>
          <cell r="GY8">
            <v>0</v>
          </cell>
          <cell r="GZ8">
            <v>0</v>
          </cell>
          <cell r="HA8">
            <v>0</v>
          </cell>
          <cell r="HB8">
            <v>0</v>
          </cell>
          <cell r="HC8">
            <v>0</v>
          </cell>
        </row>
        <row r="9">
          <cell r="H9">
            <v>280.49379883028143</v>
          </cell>
          <cell r="I9">
            <v>5.2924287978808158E-13</v>
          </cell>
          <cell r="J9">
            <v>143.83122282004354</v>
          </cell>
          <cell r="K9">
            <v>3.4896157463814489E-13</v>
          </cell>
          <cell r="L9">
            <v>32.954975002128805</v>
          </cell>
          <cell r="S9">
            <v>0</v>
          </cell>
          <cell r="T9">
            <v>0</v>
          </cell>
          <cell r="U9">
            <v>0</v>
          </cell>
          <cell r="V9">
            <v>0</v>
          </cell>
          <cell r="W9">
            <v>0</v>
          </cell>
          <cell r="GY9">
            <v>0</v>
          </cell>
          <cell r="GZ9">
            <v>0</v>
          </cell>
          <cell r="HA9">
            <v>0</v>
          </cell>
          <cell r="HB9">
            <v>0</v>
          </cell>
          <cell r="HC9">
            <v>0</v>
          </cell>
        </row>
        <row r="10">
          <cell r="H10">
            <v>627.44515270831766</v>
          </cell>
          <cell r="I10">
            <v>8.9132454988971082E-13</v>
          </cell>
          <cell r="J10">
            <v>325.89238135180204</v>
          </cell>
          <cell r="K10">
            <v>6.1677785188033107E-13</v>
          </cell>
          <cell r="L10">
            <v>77.97538138863078</v>
          </cell>
          <cell r="S10">
            <v>0</v>
          </cell>
          <cell r="T10">
            <v>0</v>
          </cell>
          <cell r="U10">
            <v>0</v>
          </cell>
          <cell r="V10">
            <v>0</v>
          </cell>
          <cell r="W10">
            <v>0</v>
          </cell>
          <cell r="GY10">
            <v>0</v>
          </cell>
          <cell r="GZ10">
            <v>0</v>
          </cell>
          <cell r="HA10">
            <v>0</v>
          </cell>
          <cell r="HB10">
            <v>0</v>
          </cell>
          <cell r="HC10">
            <v>0</v>
          </cell>
        </row>
        <row r="11">
          <cell r="H11">
            <v>1303.3361999674717</v>
          </cell>
          <cell r="I11">
            <v>1.447536367612428E-12</v>
          </cell>
          <cell r="J11">
            <v>640.93766923512749</v>
          </cell>
          <cell r="K11">
            <v>9.7486198904419422E-13</v>
          </cell>
          <cell r="L11">
            <v>153.17104873612618</v>
          </cell>
          <cell r="S11">
            <v>0</v>
          </cell>
          <cell r="T11">
            <v>0</v>
          </cell>
          <cell r="U11">
            <v>0</v>
          </cell>
          <cell r="V11">
            <v>0</v>
          </cell>
          <cell r="W11">
            <v>0</v>
          </cell>
          <cell r="GY11">
            <v>0</v>
          </cell>
          <cell r="GZ11">
            <v>0</v>
          </cell>
          <cell r="HA11">
            <v>0</v>
          </cell>
          <cell r="HB11">
            <v>0</v>
          </cell>
          <cell r="HC11">
            <v>0</v>
          </cell>
        </row>
        <row r="12">
          <cell r="H12">
            <v>2297.9041073281333</v>
          </cell>
          <cell r="I12">
            <v>2.1400757572797996E-12</v>
          </cell>
          <cell r="J12">
            <v>1124.9678069679483</v>
          </cell>
          <cell r="K12">
            <v>1.3995313924129906E-12</v>
          </cell>
          <cell r="L12">
            <v>253.60167591627743</v>
          </cell>
          <cell r="S12">
            <v>0</v>
          </cell>
          <cell r="T12">
            <v>0</v>
          </cell>
          <cell r="U12">
            <v>0</v>
          </cell>
          <cell r="V12">
            <v>0</v>
          </cell>
          <cell r="W12">
            <v>0</v>
          </cell>
          <cell r="GY12">
            <v>0</v>
          </cell>
          <cell r="GZ12">
            <v>0</v>
          </cell>
          <cell r="HA12">
            <v>0</v>
          </cell>
          <cell r="HB12">
            <v>0</v>
          </cell>
          <cell r="HC12">
            <v>0</v>
          </cell>
        </row>
        <row r="13">
          <cell r="H13">
            <v>3666.2607166799271</v>
          </cell>
          <cell r="I13">
            <v>2.9017123345973411E-12</v>
          </cell>
          <cell r="J13">
            <v>1734.8902175255002</v>
          </cell>
          <cell r="K13">
            <v>1.8523304079441068E-12</v>
          </cell>
          <cell r="L13">
            <v>383.68151270854361</v>
          </cell>
          <cell r="S13">
            <v>0</v>
          </cell>
          <cell r="T13">
            <v>0</v>
          </cell>
          <cell r="U13">
            <v>0</v>
          </cell>
          <cell r="V13">
            <v>0</v>
          </cell>
          <cell r="W13">
            <v>0</v>
          </cell>
          <cell r="GY13">
            <v>0</v>
          </cell>
          <cell r="GZ13">
            <v>0</v>
          </cell>
          <cell r="HA13">
            <v>0</v>
          </cell>
          <cell r="HB13">
            <v>0</v>
          </cell>
          <cell r="HC13">
            <v>0</v>
          </cell>
        </row>
        <row r="14">
          <cell r="H14">
            <v>5617.2015017596623</v>
          </cell>
          <cell r="I14">
            <v>3.8178801444531857E-12</v>
          </cell>
          <cell r="J14">
            <v>2640.0028245163116</v>
          </cell>
          <cell r="K14">
            <v>2.4798207950990412E-12</v>
          </cell>
          <cell r="L14">
            <v>594.24737919624226</v>
          </cell>
          <cell r="S14">
            <v>0</v>
          </cell>
          <cell r="T14">
            <v>0</v>
          </cell>
          <cell r="U14">
            <v>0</v>
          </cell>
          <cell r="V14">
            <v>0</v>
          </cell>
          <cell r="W14">
            <v>0</v>
          </cell>
          <cell r="GY14">
            <v>0</v>
          </cell>
          <cell r="GZ14">
            <v>0</v>
          </cell>
          <cell r="HA14">
            <v>0</v>
          </cell>
          <cell r="HB14">
            <v>0</v>
          </cell>
          <cell r="HC14">
            <v>0</v>
          </cell>
        </row>
        <row r="15">
          <cell r="H15">
            <v>8208.1601867217178</v>
          </cell>
          <cell r="I15">
            <v>4.954504474202512E-12</v>
          </cell>
          <cell r="J15">
            <v>3896.8955648093388</v>
          </cell>
          <cell r="K15">
            <v>3.2255829269676932E-12</v>
          </cell>
          <cell r="L15">
            <v>909.10821737972344</v>
          </cell>
          <cell r="S15">
            <v>0</v>
          </cell>
          <cell r="T15">
            <v>0</v>
          </cell>
          <cell r="U15">
            <v>0</v>
          </cell>
          <cell r="V15">
            <v>0</v>
          </cell>
          <cell r="W15">
            <v>0</v>
          </cell>
          <cell r="GY15">
            <v>0</v>
          </cell>
          <cell r="GZ15">
            <v>0</v>
          </cell>
          <cell r="HA15">
            <v>0</v>
          </cell>
          <cell r="HB15">
            <v>0</v>
          </cell>
          <cell r="HC15">
            <v>0</v>
          </cell>
        </row>
        <row r="16">
          <cell r="H16">
            <v>11368.423234573467</v>
          </cell>
          <cell r="I16">
            <v>6.2420321776070514E-12</v>
          </cell>
          <cell r="J16">
            <v>5644.9699863239784</v>
          </cell>
          <cell r="K16">
            <v>4.061314987399749E-12</v>
          </cell>
          <cell r="L16">
            <v>1334.9006597156301</v>
          </cell>
          <cell r="S16">
            <v>0</v>
          </cell>
          <cell r="T16">
            <v>0</v>
          </cell>
          <cell r="U16">
            <v>0</v>
          </cell>
          <cell r="V16">
            <v>0</v>
          </cell>
          <cell r="W16">
            <v>0</v>
          </cell>
          <cell r="GY16">
            <v>0</v>
          </cell>
          <cell r="GZ16">
            <v>0</v>
          </cell>
          <cell r="HA16">
            <v>0</v>
          </cell>
          <cell r="HB16">
            <v>0</v>
          </cell>
          <cell r="HC16">
            <v>0</v>
          </cell>
        </row>
        <row r="17">
          <cell r="H17">
            <v>31522.861691672486</v>
          </cell>
          <cell r="I17">
            <v>14267.981821010459</v>
          </cell>
          <cell r="J17">
            <v>21007.40549955397</v>
          </cell>
          <cell r="K17">
            <v>11199.436359297653</v>
          </cell>
          <cell r="L17">
            <v>8418.7639437681428</v>
          </cell>
          <cell r="S17">
            <v>0</v>
          </cell>
          <cell r="T17">
            <v>0</v>
          </cell>
          <cell r="U17">
            <v>0</v>
          </cell>
          <cell r="V17">
            <v>0</v>
          </cell>
          <cell r="W17">
            <v>0</v>
          </cell>
          <cell r="GY17">
            <v>0</v>
          </cell>
          <cell r="GZ17">
            <v>0</v>
          </cell>
          <cell r="HA17">
            <v>0</v>
          </cell>
          <cell r="HB17">
            <v>0</v>
          </cell>
          <cell r="HC17">
            <v>0</v>
          </cell>
        </row>
        <row r="18">
          <cell r="H18">
            <v>54156.602847697752</v>
          </cell>
          <cell r="I18">
            <v>31833.925480659185</v>
          </cell>
          <cell r="J18">
            <v>39202.291716982581</v>
          </cell>
          <cell r="K18">
            <v>24291.187933278045</v>
          </cell>
          <cell r="L18">
            <v>16884.778284071512</v>
          </cell>
          <cell r="S18">
            <v>0</v>
          </cell>
          <cell r="T18">
            <v>0</v>
          </cell>
          <cell r="U18">
            <v>0</v>
          </cell>
          <cell r="V18">
            <v>0</v>
          </cell>
          <cell r="W18">
            <v>0</v>
          </cell>
          <cell r="GY18">
            <v>0</v>
          </cell>
          <cell r="GZ18">
            <v>0</v>
          </cell>
          <cell r="HA18">
            <v>0</v>
          </cell>
          <cell r="HB18">
            <v>0</v>
          </cell>
          <cell r="HC18">
            <v>0</v>
          </cell>
        </row>
        <row r="19">
          <cell r="H19">
            <v>80512.344998812536</v>
          </cell>
          <cell r="I19">
            <v>50076.061337641164</v>
          </cell>
          <cell r="J19">
            <v>60018.277848962571</v>
          </cell>
          <cell r="K19">
            <v>37742.870417873404</v>
          </cell>
          <cell r="L19">
            <v>27839.962014429635</v>
          </cell>
          <cell r="S19">
            <v>0</v>
          </cell>
          <cell r="T19">
            <v>0</v>
          </cell>
          <cell r="U19">
            <v>0</v>
          </cell>
          <cell r="V19">
            <v>0</v>
          </cell>
          <cell r="W19">
            <v>0</v>
          </cell>
          <cell r="GY19">
            <v>0</v>
          </cell>
          <cell r="GZ19">
            <v>0</v>
          </cell>
          <cell r="HA19">
            <v>0</v>
          </cell>
          <cell r="HB19">
            <v>0</v>
          </cell>
          <cell r="HC19">
            <v>0</v>
          </cell>
        </row>
        <row r="20">
          <cell r="H20">
            <v>124878.74959656892</v>
          </cell>
          <cell r="I20">
            <v>85052.994366281579</v>
          </cell>
          <cell r="J20">
            <v>98219.385951531935</v>
          </cell>
          <cell r="K20">
            <v>70702.535932685336</v>
          </cell>
          <cell r="L20">
            <v>50422.655653624992</v>
          </cell>
          <cell r="S20">
            <v>0</v>
          </cell>
          <cell r="T20">
            <v>0</v>
          </cell>
          <cell r="U20">
            <v>0</v>
          </cell>
          <cell r="V20">
            <v>0</v>
          </cell>
          <cell r="W20">
            <v>0</v>
          </cell>
          <cell r="GY20">
            <v>0</v>
          </cell>
          <cell r="GZ20">
            <v>0</v>
          </cell>
          <cell r="HA20">
            <v>0</v>
          </cell>
          <cell r="HB20">
            <v>0</v>
          </cell>
          <cell r="HC20">
            <v>0</v>
          </cell>
        </row>
        <row r="21">
          <cell r="H21">
            <v>175448.9828385844</v>
          </cell>
          <cell r="I21">
            <v>129098.20210471435</v>
          </cell>
          <cell r="J21">
            <v>150317.10337105533</v>
          </cell>
          <cell r="K21">
            <v>111476.60116801548</v>
          </cell>
          <cell r="L21">
            <v>81481.962336732147</v>
          </cell>
          <cell r="S21">
            <v>0</v>
          </cell>
          <cell r="T21">
            <v>0</v>
          </cell>
          <cell r="U21">
            <v>0</v>
          </cell>
          <cell r="V21">
            <v>0</v>
          </cell>
          <cell r="W21">
            <v>0</v>
          </cell>
          <cell r="GY21">
            <v>0</v>
          </cell>
          <cell r="GZ21">
            <v>0</v>
          </cell>
          <cell r="HA21">
            <v>0</v>
          </cell>
          <cell r="HB21">
            <v>0</v>
          </cell>
          <cell r="HC21">
            <v>0</v>
          </cell>
        </row>
        <row r="22">
          <cell r="H22">
            <v>244571.54137579846</v>
          </cell>
          <cell r="I22">
            <v>182716.83450597795</v>
          </cell>
          <cell r="J22">
            <v>211992.22559774228</v>
          </cell>
          <cell r="K22">
            <v>158647.17105882894</v>
          </cell>
          <cell r="L22">
            <v>110334.88025302904</v>
          </cell>
          <cell r="S22">
            <v>0</v>
          </cell>
          <cell r="T22">
            <v>0</v>
          </cell>
          <cell r="U22">
            <v>0</v>
          </cell>
          <cell r="V22">
            <v>0</v>
          </cell>
          <cell r="W22">
            <v>0</v>
          </cell>
          <cell r="GY22">
            <v>0</v>
          </cell>
          <cell r="GZ22">
            <v>0</v>
          </cell>
          <cell r="HA22">
            <v>0</v>
          </cell>
          <cell r="HB22">
            <v>0</v>
          </cell>
          <cell r="HC22">
            <v>0</v>
          </cell>
        </row>
        <row r="23">
          <cell r="H23">
            <v>326609.48455122183</v>
          </cell>
          <cell r="I23">
            <v>253975.62891876444</v>
          </cell>
          <cell r="J23">
            <v>297583.5516612418</v>
          </cell>
          <cell r="K23">
            <v>217101.43620161375</v>
          </cell>
          <cell r="L23">
            <v>147273.48252225434</v>
          </cell>
          <cell r="S23">
            <v>0</v>
          </cell>
          <cell r="T23">
            <v>0</v>
          </cell>
          <cell r="U23">
            <v>0</v>
          </cell>
          <cell r="V23">
            <v>0</v>
          </cell>
          <cell r="W23">
            <v>0</v>
          </cell>
          <cell r="GY23">
            <v>0</v>
          </cell>
          <cell r="GZ23">
            <v>0</v>
          </cell>
          <cell r="HA23">
            <v>0</v>
          </cell>
          <cell r="HB23">
            <v>0</v>
          </cell>
          <cell r="HC23">
            <v>0</v>
          </cell>
        </row>
        <row r="24">
          <cell r="H24">
            <v>437299.34375753079</v>
          </cell>
          <cell r="I24">
            <v>338175.6005190243</v>
          </cell>
          <cell r="J24">
            <v>391121.25706049253</v>
          </cell>
          <cell r="K24">
            <v>277377.17423380131</v>
          </cell>
          <cell r="L24">
            <v>189882.24823298916</v>
          </cell>
          <cell r="S24">
            <v>0</v>
          </cell>
          <cell r="T24">
            <v>0</v>
          </cell>
          <cell r="U24">
            <v>0</v>
          </cell>
          <cell r="V24">
            <v>0</v>
          </cell>
          <cell r="W24">
            <v>0</v>
          </cell>
          <cell r="GY24">
            <v>0</v>
          </cell>
          <cell r="GZ24">
            <v>0</v>
          </cell>
          <cell r="HA24">
            <v>0</v>
          </cell>
          <cell r="HB24">
            <v>0</v>
          </cell>
          <cell r="HC24">
            <v>0</v>
          </cell>
        </row>
        <row r="25">
          <cell r="H25">
            <v>564129.53543035581</v>
          </cell>
          <cell r="I25">
            <v>430590.04445027141</v>
          </cell>
          <cell r="J25">
            <v>491204.84621273127</v>
          </cell>
          <cell r="K25">
            <v>344978.16539038566</v>
          </cell>
          <cell r="L25">
            <v>233361.53957273602</v>
          </cell>
          <cell r="S25">
            <v>0</v>
          </cell>
          <cell r="T25">
            <v>0</v>
          </cell>
          <cell r="U25">
            <v>0</v>
          </cell>
          <cell r="V25">
            <v>0</v>
          </cell>
          <cell r="W25">
            <v>0</v>
          </cell>
          <cell r="GY25">
            <v>0</v>
          </cell>
          <cell r="GZ25">
            <v>0</v>
          </cell>
          <cell r="HA25">
            <v>0</v>
          </cell>
          <cell r="HB25">
            <v>0</v>
          </cell>
          <cell r="HC25">
            <v>0</v>
          </cell>
        </row>
        <row r="26">
          <cell r="H26">
            <v>710923.14560073894</v>
          </cell>
          <cell r="I26">
            <v>532503.71234157984</v>
          </cell>
          <cell r="J26">
            <v>611609.00698554458</v>
          </cell>
          <cell r="K26">
            <v>421153.8652898217</v>
          </cell>
          <cell r="L26">
            <v>290411.64732060413</v>
          </cell>
          <cell r="S26">
            <v>0</v>
          </cell>
          <cell r="T26">
            <v>0</v>
          </cell>
          <cell r="U26">
            <v>0</v>
          </cell>
          <cell r="V26">
            <v>0</v>
          </cell>
          <cell r="W26">
            <v>0</v>
          </cell>
          <cell r="GY26">
            <v>0</v>
          </cell>
          <cell r="GZ26">
            <v>0</v>
          </cell>
          <cell r="HA26">
            <v>0</v>
          </cell>
          <cell r="HB26">
            <v>0</v>
          </cell>
          <cell r="HC26">
            <v>0</v>
          </cell>
        </row>
        <row r="27">
          <cell r="H27">
            <v>872385.78443899704</v>
          </cell>
          <cell r="I27">
            <v>650224.92640839494</v>
          </cell>
          <cell r="J27">
            <v>747817.94232713524</v>
          </cell>
          <cell r="K27">
            <v>510855.05733905762</v>
          </cell>
          <cell r="L27">
            <v>352508.70314093941</v>
          </cell>
          <cell r="S27">
            <v>0</v>
          </cell>
          <cell r="T27">
            <v>0</v>
          </cell>
          <cell r="U27">
            <v>0</v>
          </cell>
          <cell r="V27">
            <v>0</v>
          </cell>
          <cell r="W27">
            <v>0</v>
          </cell>
          <cell r="GY27">
            <v>0</v>
          </cell>
          <cell r="GZ27">
            <v>0</v>
          </cell>
          <cell r="HA27">
            <v>0</v>
          </cell>
          <cell r="HB27">
            <v>0</v>
          </cell>
          <cell r="HC27">
            <v>0</v>
          </cell>
        </row>
        <row r="28">
          <cell r="H28">
            <v>1058105.5609796315</v>
          </cell>
          <cell r="I28">
            <v>775512.31081935088</v>
          </cell>
          <cell r="J28">
            <v>896468.01157108392</v>
          </cell>
          <cell r="K28">
            <v>601584.41845728084</v>
          </cell>
          <cell r="L28">
            <v>416139.65016867133</v>
          </cell>
          <cell r="S28">
            <v>0</v>
          </cell>
          <cell r="T28">
            <v>0</v>
          </cell>
          <cell r="U28">
            <v>0</v>
          </cell>
          <cell r="V28">
            <v>0</v>
          </cell>
          <cell r="W28">
            <v>0</v>
          </cell>
          <cell r="GY28">
            <v>0</v>
          </cell>
          <cell r="GZ28">
            <v>0</v>
          </cell>
          <cell r="HA28">
            <v>0</v>
          </cell>
          <cell r="HB28">
            <v>0</v>
          </cell>
          <cell r="HC28">
            <v>0</v>
          </cell>
        </row>
        <row r="29">
          <cell r="H29">
            <v>1262928.547190974</v>
          </cell>
          <cell r="I29">
            <v>921678.61497027287</v>
          </cell>
          <cell r="J29">
            <v>1071260.7156159324</v>
          </cell>
          <cell r="K29">
            <v>711649.68763355247</v>
          </cell>
          <cell r="L29">
            <v>492989.7654053265</v>
          </cell>
          <cell r="S29">
            <v>0</v>
          </cell>
          <cell r="T29">
            <v>0</v>
          </cell>
          <cell r="U29">
            <v>0</v>
          </cell>
          <cell r="V29">
            <v>0</v>
          </cell>
          <cell r="W29">
            <v>0</v>
          </cell>
          <cell r="GY29">
            <v>0</v>
          </cell>
          <cell r="GZ29">
            <v>0</v>
          </cell>
          <cell r="HA29">
            <v>0</v>
          </cell>
          <cell r="HB29">
            <v>0</v>
          </cell>
          <cell r="HC29">
            <v>0</v>
          </cell>
        </row>
        <row r="30">
          <cell r="H30">
            <v>1499110.1798893653</v>
          </cell>
          <cell r="I30">
            <v>1081100.9946601149</v>
          </cell>
          <cell r="J30">
            <v>1266338.9777567992</v>
          </cell>
          <cell r="K30">
            <v>827698.11656047392</v>
          </cell>
          <cell r="L30">
            <v>577862.35935745796</v>
          </cell>
          <cell r="S30">
            <v>0</v>
          </cell>
          <cell r="T30">
            <v>0</v>
          </cell>
          <cell r="U30">
            <v>0</v>
          </cell>
          <cell r="V30">
            <v>0</v>
          </cell>
          <cell r="W30">
            <v>0</v>
          </cell>
          <cell r="GY30">
            <v>0</v>
          </cell>
          <cell r="GZ30">
            <v>0</v>
          </cell>
          <cell r="HA30">
            <v>0</v>
          </cell>
          <cell r="HB30">
            <v>0</v>
          </cell>
          <cell r="HC30">
            <v>0</v>
          </cell>
        </row>
        <row r="31">
          <cell r="H31">
            <v>1762348.522262512</v>
          </cell>
          <cell r="I31">
            <v>1258808.476986147</v>
          </cell>
          <cell r="J31">
            <v>1481363.2463159531</v>
          </cell>
          <cell r="K31">
            <v>956699.45337439491</v>
          </cell>
          <cell r="L31">
            <v>671077.86090291454</v>
          </cell>
          <cell r="S31">
            <v>0</v>
          </cell>
          <cell r="T31">
            <v>0</v>
          </cell>
          <cell r="U31">
            <v>0</v>
          </cell>
          <cell r="V31">
            <v>0</v>
          </cell>
          <cell r="W31">
            <v>0</v>
          </cell>
          <cell r="GY31">
            <v>0</v>
          </cell>
          <cell r="GZ31">
            <v>0</v>
          </cell>
          <cell r="HA31">
            <v>0</v>
          </cell>
          <cell r="HB31">
            <v>0</v>
          </cell>
          <cell r="HC31">
            <v>0</v>
          </cell>
        </row>
        <row r="32">
          <cell r="H32">
            <v>2062034.0887932375</v>
          </cell>
          <cell r="I32">
            <v>1454751.0248178295</v>
          </cell>
          <cell r="J32">
            <v>1724689.257058979</v>
          </cell>
          <cell r="K32">
            <v>1096128.0140630808</v>
          </cell>
          <cell r="L32">
            <v>780306.1583241364</v>
          </cell>
          <cell r="S32">
            <v>0</v>
          </cell>
          <cell r="T32">
            <v>0</v>
          </cell>
          <cell r="U32">
            <v>0</v>
          </cell>
          <cell r="V32">
            <v>0</v>
          </cell>
          <cell r="W32">
            <v>0</v>
          </cell>
          <cell r="GY32">
            <v>0</v>
          </cell>
          <cell r="GZ32">
            <v>0</v>
          </cell>
          <cell r="HA32">
            <v>0</v>
          </cell>
          <cell r="HB32">
            <v>0</v>
          </cell>
          <cell r="HC32">
            <v>0</v>
          </cell>
        </row>
        <row r="33">
          <cell r="H33">
            <v>2399160.5097620678</v>
          </cell>
          <cell r="I33">
            <v>1669783.8069570721</v>
          </cell>
          <cell r="J33">
            <v>1989228.9211404154</v>
          </cell>
          <cell r="K33">
            <v>1252839.5569138275</v>
          </cell>
          <cell r="L33">
            <v>904473.82950257603</v>
          </cell>
          <cell r="S33">
            <v>0</v>
          </cell>
          <cell r="T33">
            <v>0</v>
          </cell>
          <cell r="U33">
            <v>0</v>
          </cell>
          <cell r="V33">
            <v>0</v>
          </cell>
          <cell r="W33">
            <v>0</v>
          </cell>
          <cell r="GY33">
            <v>0</v>
          </cell>
          <cell r="GZ33">
            <v>0</v>
          </cell>
          <cell r="HA33">
            <v>0</v>
          </cell>
          <cell r="HB33">
            <v>0</v>
          </cell>
          <cell r="HC33">
            <v>0</v>
          </cell>
        </row>
        <row r="34">
          <cell r="H34">
            <v>2775903.2233659755</v>
          </cell>
          <cell r="I34">
            <v>1913705.1187799617</v>
          </cell>
          <cell r="J34">
            <v>2309505.9607950207</v>
          </cell>
          <cell r="K34">
            <v>1439389.2577286588</v>
          </cell>
          <cell r="L34">
            <v>1055313.6713166079</v>
          </cell>
          <cell r="S34">
            <v>0</v>
          </cell>
          <cell r="T34">
            <v>0</v>
          </cell>
          <cell r="U34">
            <v>0</v>
          </cell>
          <cell r="V34">
            <v>0</v>
          </cell>
          <cell r="W34">
            <v>0</v>
          </cell>
          <cell r="GY34">
            <v>0</v>
          </cell>
          <cell r="GZ34">
            <v>0</v>
          </cell>
          <cell r="HA34">
            <v>0</v>
          </cell>
          <cell r="HB34">
            <v>0</v>
          </cell>
          <cell r="HC34">
            <v>0</v>
          </cell>
        </row>
        <row r="35">
          <cell r="H35">
            <v>3201826.9319226542</v>
          </cell>
          <cell r="I35">
            <v>2179072.7314661145</v>
          </cell>
          <cell r="J35">
            <v>2659685.454167963</v>
          </cell>
          <cell r="K35">
            <v>1635545.6869423443</v>
          </cell>
          <cell r="L35">
            <v>1209844.6854073107</v>
          </cell>
          <cell r="S35">
            <v>0</v>
          </cell>
          <cell r="T35">
            <v>0</v>
          </cell>
          <cell r="U35">
            <v>0</v>
          </cell>
          <cell r="V35">
            <v>0</v>
          </cell>
          <cell r="W35">
            <v>0</v>
          </cell>
          <cell r="GY35">
            <v>0</v>
          </cell>
          <cell r="GZ35">
            <v>0</v>
          </cell>
          <cell r="HA35">
            <v>0</v>
          </cell>
          <cell r="HB35">
            <v>0</v>
          </cell>
          <cell r="HC35">
            <v>0</v>
          </cell>
        </row>
        <row r="36">
          <cell r="H36">
            <v>3671113.3745689108</v>
          </cell>
          <cell r="I36">
            <v>2479175.9181836196</v>
          </cell>
          <cell r="J36">
            <v>3051259.5160865076</v>
          </cell>
          <cell r="K36">
            <v>1848032.7805345445</v>
          </cell>
          <cell r="L36">
            <v>1391984.1499775012</v>
          </cell>
          <cell r="S36">
            <v>0</v>
          </cell>
          <cell r="T36">
            <v>0</v>
          </cell>
          <cell r="U36">
            <v>0</v>
          </cell>
          <cell r="V36">
            <v>0</v>
          </cell>
          <cell r="W36">
            <v>0</v>
          </cell>
          <cell r="GY36">
            <v>0</v>
          </cell>
          <cell r="GZ36">
            <v>0</v>
          </cell>
          <cell r="HA36">
            <v>0</v>
          </cell>
          <cell r="HB36">
            <v>0</v>
          </cell>
          <cell r="HC36">
            <v>0</v>
          </cell>
        </row>
        <row r="37">
          <cell r="H37">
            <v>4207563.7995113647</v>
          </cell>
          <cell r="I37">
            <v>2800264.1364724878</v>
          </cell>
          <cell r="J37">
            <v>3485037.1748994966</v>
          </cell>
          <cell r="K37">
            <v>2086265.6425939803</v>
          </cell>
          <cell r="L37">
            <v>1586445.8685586373</v>
          </cell>
          <cell r="S37">
            <v>0</v>
          </cell>
          <cell r="T37">
            <v>0</v>
          </cell>
          <cell r="U37">
            <v>0</v>
          </cell>
          <cell r="V37">
            <v>0</v>
          </cell>
          <cell r="W37">
            <v>0</v>
          </cell>
          <cell r="GY37">
            <v>0</v>
          </cell>
          <cell r="GZ37">
            <v>0</v>
          </cell>
          <cell r="HA37">
            <v>0</v>
          </cell>
          <cell r="HB37">
            <v>0</v>
          </cell>
          <cell r="HC37">
            <v>0</v>
          </cell>
        </row>
        <row r="38">
          <cell r="H38">
            <v>4790300.1997097246</v>
          </cell>
          <cell r="I38">
            <v>3150769.56744429</v>
          </cell>
          <cell r="J38">
            <v>3950642.3007849678</v>
          </cell>
          <cell r="K38">
            <v>2343351.9418020314</v>
          </cell>
          <cell r="L38">
            <v>1843399.1459849735</v>
          </cell>
          <cell r="S38">
            <v>0</v>
          </cell>
          <cell r="T38">
            <v>0</v>
          </cell>
          <cell r="U38">
            <v>0</v>
          </cell>
          <cell r="V38">
            <v>0</v>
          </cell>
          <cell r="W38">
            <v>0</v>
          </cell>
          <cell r="GY38">
            <v>0</v>
          </cell>
          <cell r="GZ38">
            <v>0</v>
          </cell>
          <cell r="HA38">
            <v>0</v>
          </cell>
          <cell r="HB38">
            <v>0</v>
          </cell>
          <cell r="HC38">
            <v>0</v>
          </cell>
        </row>
        <row r="39">
          <cell r="H39">
            <v>5464576.5561957425</v>
          </cell>
          <cell r="I39">
            <v>3537000.3681666618</v>
          </cell>
          <cell r="J39">
            <v>4514434.7199607128</v>
          </cell>
          <cell r="K39">
            <v>2660891.9286988219</v>
          </cell>
          <cell r="L39">
            <v>2136783.518985502</v>
          </cell>
          <cell r="S39">
            <v>0</v>
          </cell>
          <cell r="T39">
            <v>0</v>
          </cell>
          <cell r="U39">
            <v>0</v>
          </cell>
          <cell r="V39">
            <v>0</v>
          </cell>
          <cell r="W39">
            <v>0</v>
          </cell>
          <cell r="GY39">
            <v>0</v>
          </cell>
          <cell r="GZ39">
            <v>0</v>
          </cell>
          <cell r="HA39">
            <v>0</v>
          </cell>
          <cell r="HB39">
            <v>0</v>
          </cell>
          <cell r="HC39">
            <v>0</v>
          </cell>
        </row>
        <row r="40">
          <cell r="H40">
            <v>6196506.6056029703</v>
          </cell>
          <cell r="I40">
            <v>3985314.9885577271</v>
          </cell>
          <cell r="J40">
            <v>5133685.619527596</v>
          </cell>
          <cell r="K40">
            <v>3035160.8365798164</v>
          </cell>
          <cell r="L40">
            <v>2503496.0496788211</v>
          </cell>
          <cell r="S40">
            <v>0</v>
          </cell>
          <cell r="T40">
            <v>0</v>
          </cell>
          <cell r="U40">
            <v>0</v>
          </cell>
          <cell r="V40">
            <v>0</v>
          </cell>
          <cell r="W40">
            <v>0</v>
          </cell>
          <cell r="GY40">
            <v>0</v>
          </cell>
          <cell r="GZ40">
            <v>0</v>
          </cell>
          <cell r="HA40">
            <v>0</v>
          </cell>
          <cell r="HB40">
            <v>0</v>
          </cell>
          <cell r="HC40">
            <v>0</v>
          </cell>
        </row>
        <row r="41">
          <cell r="H41">
            <v>7035866.8570154151</v>
          </cell>
          <cell r="I41">
            <v>4466113.1182778282</v>
          </cell>
          <cell r="J41">
            <v>5942759.1260314472</v>
          </cell>
          <cell r="K41">
            <v>3445086.850111404</v>
          </cell>
          <cell r="L41">
            <v>2889443.6280030771</v>
          </cell>
          <cell r="S41">
            <v>0</v>
          </cell>
          <cell r="T41">
            <v>0</v>
          </cell>
          <cell r="U41">
            <v>0</v>
          </cell>
          <cell r="V41">
            <v>0</v>
          </cell>
          <cell r="W41">
            <v>0</v>
          </cell>
          <cell r="GY41">
            <v>0</v>
          </cell>
          <cell r="GZ41">
            <v>0</v>
          </cell>
          <cell r="HA41">
            <v>0</v>
          </cell>
          <cell r="HB41">
            <v>0</v>
          </cell>
          <cell r="HC41">
            <v>0</v>
          </cell>
        </row>
        <row r="42">
          <cell r="H42">
            <v>7957486.5009556655</v>
          </cell>
          <cell r="I42">
            <v>5062198.069897064</v>
          </cell>
          <cell r="J42">
            <v>6819116.2117795637</v>
          </cell>
          <cell r="K42">
            <v>3935986.1170395082</v>
          </cell>
          <cell r="L42">
            <v>3353237.0641952725</v>
          </cell>
          <cell r="S42">
            <v>0</v>
          </cell>
          <cell r="T42">
            <v>0</v>
          </cell>
          <cell r="U42">
            <v>0</v>
          </cell>
          <cell r="V42">
            <v>0</v>
          </cell>
          <cell r="W42">
            <v>1165.0454378101758</v>
          </cell>
          <cell r="GY42">
            <v>0</v>
          </cell>
          <cell r="GZ42">
            <v>0</v>
          </cell>
          <cell r="HA42">
            <v>0</v>
          </cell>
          <cell r="HB42">
            <v>0</v>
          </cell>
          <cell r="HC42">
            <v>0</v>
          </cell>
        </row>
        <row r="43">
          <cell r="H43">
            <v>9096411.5536357556</v>
          </cell>
          <cell r="I43">
            <v>5730997.7997995596</v>
          </cell>
          <cell r="J43">
            <v>7900460.0347386934</v>
          </cell>
          <cell r="K43">
            <v>4461417.3921350604</v>
          </cell>
          <cell r="L43">
            <v>3856297.6110650823</v>
          </cell>
          <cell r="S43">
            <v>0</v>
          </cell>
          <cell r="T43">
            <v>0</v>
          </cell>
          <cell r="U43">
            <v>0</v>
          </cell>
          <cell r="V43">
            <v>0</v>
          </cell>
          <cell r="W43">
            <v>3638.7387624677449</v>
          </cell>
          <cell r="GY43">
            <v>0</v>
          </cell>
          <cell r="GZ43">
            <v>0</v>
          </cell>
          <cell r="HA43">
            <v>0</v>
          </cell>
          <cell r="HB43">
            <v>0</v>
          </cell>
          <cell r="HC43">
            <v>0</v>
          </cell>
        </row>
        <row r="44">
          <cell r="H44">
            <v>10447814.381465245</v>
          </cell>
          <cell r="I44">
            <v>6511020.556329051</v>
          </cell>
          <cell r="J44">
            <v>9111952.5806328356</v>
          </cell>
          <cell r="K44">
            <v>5066085.1265535746</v>
          </cell>
          <cell r="L44">
            <v>4430238.6088735964</v>
          </cell>
          <cell r="S44">
            <v>0</v>
          </cell>
          <cell r="T44">
            <v>0</v>
          </cell>
          <cell r="U44">
            <v>0</v>
          </cell>
          <cell r="V44">
            <v>3.0804220519825163E-12</v>
          </cell>
          <cell r="W44">
            <v>6663.8913526314718</v>
          </cell>
          <cell r="GY44">
            <v>0</v>
          </cell>
          <cell r="GZ44">
            <v>0</v>
          </cell>
          <cell r="HA44">
            <v>0</v>
          </cell>
          <cell r="HB44">
            <v>0</v>
          </cell>
          <cell r="HC44">
            <v>0</v>
          </cell>
        </row>
        <row r="45">
          <cell r="H45">
            <v>12015406.984521495</v>
          </cell>
          <cell r="I45">
            <v>7423777.0511239907</v>
          </cell>
          <cell r="J45">
            <v>10501693.024208346</v>
          </cell>
          <cell r="K45">
            <v>5737438.9517885121</v>
          </cell>
          <cell r="L45">
            <v>5096153.2733271904</v>
          </cell>
          <cell r="S45">
            <v>0</v>
          </cell>
          <cell r="T45">
            <v>0</v>
          </cell>
          <cell r="U45">
            <v>4805.3540497535178</v>
          </cell>
          <cell r="V45">
            <v>6.7046677642929151E-12</v>
          </cell>
          <cell r="W45">
            <v>10424.733849811972</v>
          </cell>
          <cell r="GY45">
            <v>0</v>
          </cell>
          <cell r="GZ45">
            <v>0</v>
          </cell>
          <cell r="HA45">
            <v>0</v>
          </cell>
          <cell r="HB45">
            <v>0</v>
          </cell>
          <cell r="HC45">
            <v>0</v>
          </cell>
        </row>
        <row r="46">
          <cell r="H46">
            <v>13954104.32006469</v>
          </cell>
          <cell r="I46">
            <v>8441020.2522591446</v>
          </cell>
          <cell r="J46">
            <v>12090113.926741613</v>
          </cell>
          <cell r="K46">
            <v>6491523.1524593392</v>
          </cell>
          <cell r="L46">
            <v>5839400.1672093915</v>
          </cell>
          <cell r="S46">
            <v>0</v>
          </cell>
          <cell r="T46">
            <v>1.3335813691338108E-12</v>
          </cell>
          <cell r="U46">
            <v>15551.587038891179</v>
          </cell>
          <cell r="V46">
            <v>1.0899861575630427E-11</v>
          </cell>
          <cell r="W46">
            <v>14859.532533470669</v>
          </cell>
          <cell r="GY46">
            <v>0</v>
          </cell>
          <cell r="GZ46">
            <v>0</v>
          </cell>
          <cell r="HA46">
            <v>0</v>
          </cell>
          <cell r="HB46">
            <v>0</v>
          </cell>
          <cell r="HC46">
            <v>0</v>
          </cell>
        </row>
        <row r="47">
          <cell r="H47">
            <v>16068173.090748614</v>
          </cell>
          <cell r="I47">
            <v>9620487.7837838046</v>
          </cell>
          <cell r="J47">
            <v>13898247.195902575</v>
          </cell>
          <cell r="K47">
            <v>7331613.9864232102</v>
          </cell>
          <cell r="L47">
            <v>6693507.7202580683</v>
          </cell>
          <cell r="S47">
            <v>807.35095255287001</v>
          </cell>
          <cell r="T47">
            <v>8.2994068796423031E-12</v>
          </cell>
          <cell r="U47">
            <v>28365.550269900836</v>
          </cell>
          <cell r="V47">
            <v>1.563275477632112E-11</v>
          </cell>
          <cell r="W47">
            <v>20587.976069203571</v>
          </cell>
          <cell r="GY47">
            <v>0</v>
          </cell>
          <cell r="GZ47">
            <v>0</v>
          </cell>
          <cell r="HA47">
            <v>0</v>
          </cell>
          <cell r="HB47">
            <v>0</v>
          </cell>
          <cell r="HC47">
            <v>0</v>
          </cell>
        </row>
        <row r="48">
          <cell r="H48">
            <v>18500411.090000995</v>
          </cell>
          <cell r="I48">
            <v>10837513.020847363</v>
          </cell>
          <cell r="J48">
            <v>15877202.278610792</v>
          </cell>
          <cell r="K48">
            <v>8205540.3322770549</v>
          </cell>
          <cell r="L48">
            <v>7566067.2658652933</v>
          </cell>
          <cell r="S48">
            <v>18025.575071466323</v>
          </cell>
          <cell r="T48">
            <v>1.550793981886966E-11</v>
          </cell>
          <cell r="U48">
            <v>43204.553545509909</v>
          </cell>
          <cell r="V48">
            <v>2.0826320443360659E-11</v>
          </cell>
          <cell r="W48">
            <v>26681.116068167892</v>
          </cell>
          <cell r="GY48">
            <v>0</v>
          </cell>
          <cell r="GZ48">
            <v>0</v>
          </cell>
          <cell r="HA48">
            <v>0</v>
          </cell>
          <cell r="HB48">
            <v>0</v>
          </cell>
          <cell r="HC48">
            <v>0</v>
          </cell>
        </row>
        <row r="49">
          <cell r="H49">
            <v>21148946.410778303</v>
          </cell>
          <cell r="I49">
            <v>12208652.075725071</v>
          </cell>
          <cell r="J49">
            <v>17999154.359025925</v>
          </cell>
          <cell r="K49">
            <v>9163167.3292848524</v>
          </cell>
          <cell r="L49">
            <v>8555541.5061057787</v>
          </cell>
          <cell r="S49">
            <v>37429.778939470241</v>
          </cell>
          <cell r="T49">
            <v>2.3949816438897001E-11</v>
          </cell>
          <cell r="U49">
            <v>59744.74344677382</v>
          </cell>
          <cell r="V49">
            <v>2.6742642515370641E-11</v>
          </cell>
          <cell r="W49">
            <v>37038.577647204424</v>
          </cell>
          <cell r="GY49">
            <v>0</v>
          </cell>
          <cell r="GZ49">
            <v>0</v>
          </cell>
          <cell r="HA49">
            <v>0</v>
          </cell>
          <cell r="HB49">
            <v>0</v>
          </cell>
          <cell r="HC49">
            <v>0</v>
          </cell>
        </row>
        <row r="50">
          <cell r="H50">
            <v>24572719.996141411</v>
          </cell>
          <cell r="I50">
            <v>14043538.01392605</v>
          </cell>
          <cell r="J50">
            <v>20770049.378710497</v>
          </cell>
          <cell r="K50">
            <v>10469474.509490913</v>
          </cell>
          <cell r="L50">
            <v>9799783.4326947443</v>
          </cell>
          <cell r="S50">
            <v>60934.506047298564</v>
          </cell>
          <cell r="T50">
            <v>3.3013934741471854E-11</v>
          </cell>
          <cell r="U50">
            <v>80998.948466150789</v>
          </cell>
          <cell r="V50">
            <v>3.4144492846798183E-11</v>
          </cell>
          <cell r="W50">
            <v>49120.235394466523</v>
          </cell>
          <cell r="GY50">
            <v>0</v>
          </cell>
          <cell r="GZ50">
            <v>0</v>
          </cell>
          <cell r="HA50">
            <v>0</v>
          </cell>
          <cell r="HB50">
            <v>0</v>
          </cell>
          <cell r="HC50">
            <v>0</v>
          </cell>
        </row>
        <row r="51">
          <cell r="H51">
            <v>28338918.73683273</v>
          </cell>
          <cell r="I51">
            <v>16079568.916781869</v>
          </cell>
          <cell r="J51">
            <v>23749175.578519709</v>
          </cell>
          <cell r="K51">
            <v>11906110.852284685</v>
          </cell>
          <cell r="L51">
            <v>11133948.210480316</v>
          </cell>
          <cell r="S51">
            <v>87906.340697272448</v>
          </cell>
          <cell r="T51">
            <v>4.3783835018294592E-11</v>
          </cell>
          <cell r="U51">
            <v>104740.00233739722</v>
          </cell>
          <cell r="V51">
            <v>4.4676084335899586E-11</v>
          </cell>
          <cell r="W51">
            <v>66794.486130372912</v>
          </cell>
          <cell r="GY51">
            <v>0</v>
          </cell>
          <cell r="GZ51">
            <v>0</v>
          </cell>
          <cell r="HA51">
            <v>0</v>
          </cell>
          <cell r="HB51">
            <v>0</v>
          </cell>
          <cell r="HC51">
            <v>0</v>
          </cell>
        </row>
        <row r="52">
          <cell r="H52">
            <v>32566703.865972463</v>
          </cell>
          <cell r="I52">
            <v>18291374.434122343</v>
          </cell>
          <cell r="J52">
            <v>27125934.681656756</v>
          </cell>
          <cell r="K52">
            <v>13434494.75419273</v>
          </cell>
          <cell r="L52">
            <v>12607527.012643309</v>
          </cell>
          <cell r="S52">
            <v>120854.01476241581</v>
          </cell>
          <cell r="T52">
            <v>5.5756636649465789E-11</v>
          </cell>
          <cell r="U52">
            <v>143421.93771823641</v>
          </cell>
          <cell r="V52">
            <v>5.5917030872821748E-11</v>
          </cell>
          <cell r="W52">
            <v>89677.87317688897</v>
          </cell>
          <cell r="GY52">
            <v>0</v>
          </cell>
          <cell r="GZ52">
            <v>0</v>
          </cell>
          <cell r="HA52">
            <v>0</v>
          </cell>
          <cell r="HB52">
            <v>0</v>
          </cell>
          <cell r="HC52">
            <v>0</v>
          </cell>
        </row>
        <row r="53">
          <cell r="H53">
            <v>37267766.132623479</v>
          </cell>
          <cell r="I53">
            <v>20691030.819177873</v>
          </cell>
          <cell r="J53">
            <v>30826761.007810816</v>
          </cell>
          <cell r="K53">
            <v>15083981.55219746</v>
          </cell>
          <cell r="L53">
            <v>14205796.992176214</v>
          </cell>
          <cell r="S53">
            <v>160607.74957581618</v>
          </cell>
          <cell r="T53">
            <v>7.1741496215600762E-11</v>
          </cell>
          <cell r="U53">
            <v>190484.33220357244</v>
          </cell>
          <cell r="V53">
            <v>7.4001628527935346E-11</v>
          </cell>
          <cell r="W53">
            <v>122524.9380690245</v>
          </cell>
          <cell r="GY53">
            <v>0</v>
          </cell>
          <cell r="GZ53">
            <v>0</v>
          </cell>
          <cell r="HA53">
            <v>0</v>
          </cell>
          <cell r="HB53">
            <v>0</v>
          </cell>
          <cell r="HC53">
            <v>0</v>
          </cell>
        </row>
        <row r="54">
          <cell r="H54">
            <v>43880664.355013117</v>
          </cell>
          <cell r="I54">
            <v>24711227.570919663</v>
          </cell>
          <cell r="J54">
            <v>35962743.06196136</v>
          </cell>
          <cell r="K54">
            <v>17723738.283569589</v>
          </cell>
          <cell r="L54">
            <v>16679761.161966139</v>
          </cell>
          <cell r="S54">
            <v>211905.12172730739</v>
          </cell>
          <cell r="T54">
            <v>9.3243351416539291E-11</v>
          </cell>
          <cell r="U54">
            <v>256896.65114133825</v>
          </cell>
          <cell r="V54">
            <v>9.3403086746931627E-11</v>
          </cell>
          <cell r="W54">
            <v>192303.94853638997</v>
          </cell>
          <cell r="GY54">
            <v>0</v>
          </cell>
          <cell r="GZ54">
            <v>0</v>
          </cell>
          <cell r="HA54">
            <v>0</v>
          </cell>
          <cell r="HB54">
            <v>0</v>
          </cell>
          <cell r="HC54">
            <v>0</v>
          </cell>
        </row>
        <row r="55">
          <cell r="H55">
            <v>51325300.096698135</v>
          </cell>
          <cell r="I55">
            <v>29058786.751956075</v>
          </cell>
          <cell r="J55">
            <v>41632083.734728158</v>
          </cell>
          <cell r="K55">
            <v>20766875.310152065</v>
          </cell>
          <cell r="L55">
            <v>19391856.550075695</v>
          </cell>
          <cell r="S55">
            <v>291172.52308780304</v>
          </cell>
          <cell r="T55">
            <v>1.1879265559256435E-10</v>
          </cell>
          <cell r="U55">
            <v>347707.45195775316</v>
          </cell>
          <cell r="V55">
            <v>1.3321105292021378E-10</v>
          </cell>
          <cell r="W55">
            <v>272051.03889921977</v>
          </cell>
          <cell r="GY55">
            <v>0</v>
          </cell>
          <cell r="GZ55">
            <v>0</v>
          </cell>
          <cell r="HA55">
            <v>0</v>
          </cell>
          <cell r="HB55">
            <v>0</v>
          </cell>
          <cell r="HC55">
            <v>0</v>
          </cell>
        </row>
        <row r="56">
          <cell r="H56">
            <v>59361260.787434891</v>
          </cell>
          <cell r="I56">
            <v>33647856.981245518</v>
          </cell>
          <cell r="J56">
            <v>47742484.409692913</v>
          </cell>
          <cell r="K56">
            <v>24086183.813560277</v>
          </cell>
          <cell r="L56">
            <v>22319220.846922763</v>
          </cell>
          <cell r="S56">
            <v>380910.58637290786</v>
          </cell>
          <cell r="T56">
            <v>1.5556543675985037E-10</v>
          </cell>
          <cell r="U56">
            <v>470514.15215108055</v>
          </cell>
          <cell r="V56">
            <v>1.876332572144408E-10</v>
          </cell>
          <cell r="W56">
            <v>361473.03534107149</v>
          </cell>
          <cell r="GY56">
            <v>0</v>
          </cell>
          <cell r="GZ56">
            <v>0</v>
          </cell>
          <cell r="HA56">
            <v>0</v>
          </cell>
          <cell r="HB56">
            <v>0</v>
          </cell>
          <cell r="HC56">
            <v>0</v>
          </cell>
        </row>
        <row r="57">
          <cell r="H57">
            <v>68512192.810307041</v>
          </cell>
          <cell r="I57">
            <v>38851425.255836658</v>
          </cell>
          <cell r="J57">
            <v>55161145.698440693</v>
          </cell>
          <cell r="K57">
            <v>27855025.062913593</v>
          </cell>
          <cell r="L57">
            <v>25564500.354448423</v>
          </cell>
          <cell r="S57">
            <v>539379.15156932455</v>
          </cell>
          <cell r="T57">
            <v>1.9738510754943125E-10</v>
          </cell>
          <cell r="U57">
            <v>758430.60694597755</v>
          </cell>
          <cell r="V57">
            <v>2.4958213059641775E-10</v>
          </cell>
          <cell r="W57">
            <v>464898.89727118151</v>
          </cell>
          <cell r="GY57">
            <v>0</v>
          </cell>
          <cell r="GZ57">
            <v>0</v>
          </cell>
          <cell r="HA57">
            <v>0</v>
          </cell>
          <cell r="HB57">
            <v>0</v>
          </cell>
          <cell r="HC57">
            <v>0</v>
          </cell>
        </row>
        <row r="58">
          <cell r="H58">
            <v>78415095.679647833</v>
          </cell>
          <cell r="I58">
            <v>44768227.109700225</v>
          </cell>
          <cell r="J58">
            <v>63257016.578881696</v>
          </cell>
          <cell r="K58">
            <v>31860389.745965123</v>
          </cell>
          <cell r="L58">
            <v>29147708.55164383</v>
          </cell>
          <cell r="S58">
            <v>720689.50145397382</v>
          </cell>
          <cell r="T58">
            <v>2.9610455558866439E-10</v>
          </cell>
          <cell r="U58">
            <v>1087665.0526482572</v>
          </cell>
          <cell r="V58">
            <v>3.1553573952606819E-10</v>
          </cell>
          <cell r="W58">
            <v>584418.44056978053</v>
          </cell>
          <cell r="GY58">
            <v>0</v>
          </cell>
          <cell r="GZ58">
            <v>0</v>
          </cell>
          <cell r="HA58">
            <v>0</v>
          </cell>
          <cell r="HB58">
            <v>0</v>
          </cell>
          <cell r="HC58">
            <v>0</v>
          </cell>
        </row>
        <row r="59">
          <cell r="H59">
            <v>89522134.980838895</v>
          </cell>
          <cell r="I59">
            <v>51141287.512546048</v>
          </cell>
          <cell r="J59">
            <v>71809114.457811549</v>
          </cell>
          <cell r="K59">
            <v>36025491.680800773</v>
          </cell>
          <cell r="L59">
            <v>32831633.983713523</v>
          </cell>
          <cell r="S59">
            <v>2661590.8464508215</v>
          </cell>
          <cell r="T59">
            <v>1672928.3557470276</v>
          </cell>
          <cell r="U59">
            <v>2865572.4118913375</v>
          </cell>
          <cell r="V59">
            <v>1091449.1889886714</v>
          </cell>
          <cell r="W59">
            <v>1367330.4343600422</v>
          </cell>
          <cell r="GY59">
            <v>0</v>
          </cell>
          <cell r="GZ59">
            <v>0</v>
          </cell>
          <cell r="HA59">
            <v>0</v>
          </cell>
          <cell r="HB59">
            <v>0</v>
          </cell>
          <cell r="HC59">
            <v>0</v>
          </cell>
        </row>
        <row r="60">
          <cell r="H60">
            <v>101709355.00251472</v>
          </cell>
          <cell r="I60">
            <v>57872668.00510221</v>
          </cell>
          <cell r="J60">
            <v>80946263.674743801</v>
          </cell>
          <cell r="K60">
            <v>40616779.24759873</v>
          </cell>
          <cell r="L60">
            <v>36879538.196370468</v>
          </cell>
          <cell r="S60">
            <v>5180969.1642586812</v>
          </cell>
          <cell r="T60">
            <v>3437288.4210191173</v>
          </cell>
          <cell r="U60">
            <v>4766273.3296990851</v>
          </cell>
          <cell r="V60">
            <v>2301502.3880694583</v>
          </cell>
          <cell r="W60">
            <v>2228840.2621055543</v>
          </cell>
          <cell r="GY60">
            <v>0</v>
          </cell>
          <cell r="GZ60">
            <v>0</v>
          </cell>
          <cell r="HA60">
            <v>0</v>
          </cell>
          <cell r="HB60">
            <v>0</v>
          </cell>
          <cell r="HC60">
            <v>0</v>
          </cell>
        </row>
        <row r="61">
          <cell r="H61">
            <v>115179179.18402123</v>
          </cell>
          <cell r="I61">
            <v>65116951.219155222</v>
          </cell>
          <cell r="J61">
            <v>91196256.498164922</v>
          </cell>
          <cell r="K61">
            <v>45518107.244363166</v>
          </cell>
          <cell r="L61">
            <v>41399148.40041437</v>
          </cell>
          <cell r="S61">
            <v>7965309.4221017174</v>
          </cell>
          <cell r="T61">
            <v>5334600.6913663372</v>
          </cell>
          <cell r="U61">
            <v>6908794.2142492635</v>
          </cell>
          <cell r="V61">
            <v>3593268.0498673152</v>
          </cell>
          <cell r="W61">
            <v>3194275.3252864527</v>
          </cell>
          <cell r="GY61">
            <v>0</v>
          </cell>
          <cell r="GZ61">
            <v>0</v>
          </cell>
          <cell r="HA61">
            <v>0</v>
          </cell>
          <cell r="HB61">
            <v>0</v>
          </cell>
          <cell r="HC61">
            <v>0</v>
          </cell>
        </row>
        <row r="62">
          <cell r="H62">
            <v>130160084.14456727</v>
          </cell>
          <cell r="I62">
            <v>73255436.788841575</v>
          </cell>
          <cell r="J62">
            <v>102585350.37208445</v>
          </cell>
          <cell r="K62">
            <v>50976180.977112979</v>
          </cell>
          <cell r="L62">
            <v>46392563.079370961</v>
          </cell>
          <cell r="S62">
            <v>11061365.107052028</v>
          </cell>
          <cell r="T62">
            <v>7470786.2054008255</v>
          </cell>
          <cell r="U62">
            <v>9296669.2782211974</v>
          </cell>
          <cell r="V62">
            <v>5037705.5831897212</v>
          </cell>
          <cell r="W62">
            <v>4260988.6981430501</v>
          </cell>
          <cell r="GY62">
            <v>0</v>
          </cell>
          <cell r="GZ62">
            <v>0</v>
          </cell>
          <cell r="HA62">
            <v>0</v>
          </cell>
          <cell r="HB62">
            <v>0</v>
          </cell>
          <cell r="HC62">
            <v>0</v>
          </cell>
        </row>
        <row r="63">
          <cell r="H63">
            <v>146527294.47570878</v>
          </cell>
          <cell r="I63">
            <v>81974444.413229167</v>
          </cell>
          <cell r="J63">
            <v>115085554.4956615</v>
          </cell>
          <cell r="K63">
            <v>56972483.340704627</v>
          </cell>
          <cell r="L63">
            <v>51973032.668153487</v>
          </cell>
          <cell r="S63">
            <v>15727773.065026626</v>
          </cell>
          <cell r="T63">
            <v>10917683.044861283</v>
          </cell>
          <cell r="U63">
            <v>12919837.706341688</v>
          </cell>
          <cell r="V63">
            <v>7421622.3538153414</v>
          </cell>
          <cell r="W63">
            <v>5942709.3310713414</v>
          </cell>
          <cell r="GY63">
            <v>0</v>
          </cell>
          <cell r="GZ63">
            <v>0</v>
          </cell>
          <cell r="HA63">
            <v>0</v>
          </cell>
          <cell r="HB63">
            <v>0</v>
          </cell>
          <cell r="HC63">
            <v>0</v>
          </cell>
        </row>
        <row r="64">
          <cell r="H64">
            <v>165064807.78674418</v>
          </cell>
          <cell r="I64">
            <v>91599695.654169992</v>
          </cell>
          <cell r="J64">
            <v>129244181.41584738</v>
          </cell>
          <cell r="K64">
            <v>63517688.272461116</v>
          </cell>
          <cell r="L64">
            <v>58160311.344110422</v>
          </cell>
          <cell r="S64">
            <v>21025026.336825099</v>
          </cell>
          <cell r="T64">
            <v>14723755.760171726</v>
          </cell>
          <cell r="U64">
            <v>17027197.801335573</v>
          </cell>
          <cell r="V64">
            <v>10031142.917828918</v>
          </cell>
          <cell r="W64">
            <v>7802508.5360416174</v>
          </cell>
          <cell r="GY64">
            <v>0</v>
          </cell>
          <cell r="GZ64">
            <v>0</v>
          </cell>
          <cell r="HA64">
            <v>0</v>
          </cell>
          <cell r="HB64">
            <v>0</v>
          </cell>
          <cell r="HC64">
            <v>0</v>
          </cell>
        </row>
        <row r="65">
          <cell r="H65">
            <v>185152421.13265875</v>
          </cell>
          <cell r="I65">
            <v>102155730.63793345</v>
          </cell>
          <cell r="J65">
            <v>144552821.92405465</v>
          </cell>
          <cell r="K65">
            <v>70728898.197025105</v>
          </cell>
          <cell r="L65">
            <v>66177567.777956516</v>
          </cell>
          <cell r="S65">
            <v>26750562.848404858</v>
          </cell>
          <cell r="T65">
            <v>18920460.212885711</v>
          </cell>
          <cell r="U65">
            <v>21460662.898138117</v>
          </cell>
          <cell r="V65">
            <v>12912671.473751009</v>
          </cell>
          <cell r="W65">
            <v>10462160.236947831</v>
          </cell>
          <cell r="GY65">
            <v>0</v>
          </cell>
          <cell r="GZ65">
            <v>0</v>
          </cell>
          <cell r="HA65">
            <v>0</v>
          </cell>
          <cell r="HB65">
            <v>0</v>
          </cell>
          <cell r="HC65">
            <v>0</v>
          </cell>
        </row>
        <row r="66">
          <cell r="H66">
            <v>207914901.57826477</v>
          </cell>
          <cell r="I66">
            <v>113710646.48402913</v>
          </cell>
          <cell r="J66">
            <v>162120370.61119801</v>
          </cell>
          <cell r="K66">
            <v>79186404.361062974</v>
          </cell>
          <cell r="L66">
            <v>74709796.182045668</v>
          </cell>
          <cell r="S66">
            <v>33257274.787636451</v>
          </cell>
          <cell r="T66">
            <v>23514284.206140094</v>
          </cell>
          <cell r="U66">
            <v>26559153.576369688</v>
          </cell>
          <cell r="V66">
            <v>16466787.251396365</v>
          </cell>
          <cell r="W66">
            <v>13309261.734053144</v>
          </cell>
          <cell r="GY66">
            <v>0</v>
          </cell>
          <cell r="GZ66">
            <v>0</v>
          </cell>
          <cell r="HA66">
            <v>0</v>
          </cell>
          <cell r="HB66">
            <v>0</v>
          </cell>
          <cell r="HC66">
            <v>0</v>
          </cell>
        </row>
        <row r="67">
          <cell r="H67">
            <v>232732253.35238537</v>
          </cell>
          <cell r="I67">
            <v>126456215.25606468</v>
          </cell>
          <cell r="J67">
            <v>181508843.59784362</v>
          </cell>
          <cell r="K67">
            <v>89198768.807203859</v>
          </cell>
          <cell r="L67">
            <v>85878705.586346626</v>
          </cell>
          <cell r="S67">
            <v>40349328.055189967</v>
          </cell>
          <cell r="T67">
            <v>28604954.720442399</v>
          </cell>
          <cell r="U67">
            <v>32216127.327791143</v>
          </cell>
          <cell r="V67">
            <v>20932702.637512296</v>
          </cell>
          <cell r="W67">
            <v>17288267.436459105</v>
          </cell>
          <cell r="GY67">
            <v>0</v>
          </cell>
          <cell r="GZ67">
            <v>0</v>
          </cell>
          <cell r="HA67">
            <v>0</v>
          </cell>
          <cell r="HB67">
            <v>0</v>
          </cell>
          <cell r="HC67">
            <v>0</v>
          </cell>
        </row>
        <row r="68">
          <cell r="H68">
            <v>260706822.07435989</v>
          </cell>
          <cell r="I68">
            <v>140361537.54290143</v>
          </cell>
          <cell r="J68">
            <v>206045723.3340444</v>
          </cell>
          <cell r="K68">
            <v>100554212.49666423</v>
          </cell>
          <cell r="L68">
            <v>97838941.045984238</v>
          </cell>
          <cell r="S68">
            <v>48388722.351512179</v>
          </cell>
          <cell r="T68">
            <v>34161384.732600525</v>
          </cell>
          <cell r="U68">
            <v>40177979.026533633</v>
          </cell>
          <cell r="V68">
            <v>26150765.166932009</v>
          </cell>
          <cell r="W68">
            <v>21590549.582825921</v>
          </cell>
          <cell r="GY68">
            <v>0</v>
          </cell>
          <cell r="GZ68">
            <v>0</v>
          </cell>
          <cell r="HA68">
            <v>0</v>
          </cell>
          <cell r="HB68">
            <v>0</v>
          </cell>
          <cell r="HC68">
            <v>0</v>
          </cell>
        </row>
        <row r="69">
          <cell r="H69">
            <v>291463443.0052647</v>
          </cell>
          <cell r="I69">
            <v>157201220.46386448</v>
          </cell>
          <cell r="J69">
            <v>232998847.78745514</v>
          </cell>
          <cell r="K69">
            <v>113955741.84434928</v>
          </cell>
          <cell r="L69">
            <v>110861524.32522482</v>
          </cell>
          <cell r="S69">
            <v>57253432.259596638</v>
          </cell>
          <cell r="T69">
            <v>41528955.338011697</v>
          </cell>
          <cell r="U69">
            <v>48936575.106980681</v>
          </cell>
          <cell r="V69">
            <v>32633754.988874648</v>
          </cell>
          <cell r="W69">
            <v>26259768.14773412</v>
          </cell>
          <cell r="GY69">
            <v>0</v>
          </cell>
          <cell r="GZ69">
            <v>0</v>
          </cell>
          <cell r="HA69">
            <v>0</v>
          </cell>
          <cell r="HB69">
            <v>0</v>
          </cell>
          <cell r="HC69">
            <v>0</v>
          </cell>
        </row>
        <row r="70">
          <cell r="H70">
            <v>328746272.93540359</v>
          </cell>
          <cell r="I70">
            <v>175658415.46038356</v>
          </cell>
          <cell r="J70">
            <v>267192817.77781755</v>
          </cell>
          <cell r="K70">
            <v>128220165.65717553</v>
          </cell>
          <cell r="L70">
            <v>124203272.55169243</v>
          </cell>
          <cell r="S70">
            <v>68867052.225171372</v>
          </cell>
          <cell r="T70">
            <v>49761603.236807197</v>
          </cell>
          <cell r="U70">
            <v>60956431.51549527</v>
          </cell>
          <cell r="V70">
            <v>39532526.407368347</v>
          </cell>
          <cell r="W70">
            <v>31031943.96651192</v>
          </cell>
          <cell r="GY70">
            <v>0</v>
          </cell>
          <cell r="GZ70">
            <v>0</v>
          </cell>
          <cell r="HA70">
            <v>0</v>
          </cell>
          <cell r="HB70">
            <v>0</v>
          </cell>
          <cell r="HC70">
            <v>0</v>
          </cell>
        </row>
        <row r="71">
          <cell r="H71">
            <v>371439109.5152176</v>
          </cell>
          <cell r="I71">
            <v>197799584.98655549</v>
          </cell>
          <cell r="J71">
            <v>304074327.77085984</v>
          </cell>
          <cell r="K71">
            <v>143041986.40659654</v>
          </cell>
          <cell r="L71">
            <v>139743931.5498569</v>
          </cell>
          <cell r="S71">
            <v>82651513.105371654</v>
          </cell>
          <cell r="T71">
            <v>60225084.103468738</v>
          </cell>
          <cell r="U71">
            <v>74046473.69657293</v>
          </cell>
          <cell r="V71">
            <v>46695816.865024105</v>
          </cell>
          <cell r="W71">
            <v>36580431.247333772</v>
          </cell>
          <cell r="GY71">
            <v>0</v>
          </cell>
          <cell r="GZ71">
            <v>0</v>
          </cell>
          <cell r="HA71">
            <v>0</v>
          </cell>
          <cell r="HB71">
            <v>0</v>
          </cell>
          <cell r="HC71">
            <v>0</v>
          </cell>
        </row>
        <row r="72">
          <cell r="H72">
            <v>421331602.25355828</v>
          </cell>
          <cell r="I72">
            <v>222597851.43478268</v>
          </cell>
          <cell r="J72">
            <v>343826709.45419514</v>
          </cell>
          <cell r="K72">
            <v>158875498.81158867</v>
          </cell>
          <cell r="L72">
            <v>156515260.89416122</v>
          </cell>
          <cell r="S72">
            <v>99593306.043275341</v>
          </cell>
          <cell r="T72">
            <v>72221245.497798651</v>
          </cell>
          <cell r="U72">
            <v>88235556.895546928</v>
          </cell>
          <cell r="V72">
            <v>54347900.31826359</v>
          </cell>
          <cell r="W72">
            <v>42570549.252585411</v>
          </cell>
          <cell r="GY72">
            <v>0</v>
          </cell>
          <cell r="GZ72">
            <v>0</v>
          </cell>
          <cell r="HA72">
            <v>0</v>
          </cell>
          <cell r="HB72">
            <v>0</v>
          </cell>
          <cell r="HC72">
            <v>0</v>
          </cell>
        </row>
        <row r="73">
          <cell r="H73">
            <v>479156537.2778247</v>
          </cell>
          <cell r="I73">
            <v>248990929.93709058</v>
          </cell>
          <cell r="J73">
            <v>385619497.6999706</v>
          </cell>
          <cell r="K73">
            <v>176896364.03797787</v>
          </cell>
          <cell r="L73">
            <v>174752229.11587757</v>
          </cell>
          <cell r="S73">
            <v>120045239.08363695</v>
          </cell>
          <cell r="T73">
            <v>84982061.644388527</v>
          </cell>
          <cell r="U73">
            <v>103239150.26141371</v>
          </cell>
          <cell r="V73">
            <v>63049756.47210221</v>
          </cell>
          <cell r="W73">
            <v>49087292.387024626</v>
          </cell>
          <cell r="GY73">
            <v>0</v>
          </cell>
          <cell r="GZ73">
            <v>0</v>
          </cell>
          <cell r="HA73">
            <v>0</v>
          </cell>
          <cell r="HB73">
            <v>0</v>
          </cell>
          <cell r="HC73">
            <v>0</v>
          </cell>
        </row>
        <row r="74">
          <cell r="H74">
            <v>542844665.9488306</v>
          </cell>
          <cell r="I74">
            <v>277184576.65355706</v>
          </cell>
          <cell r="J74">
            <v>435105936.48345137</v>
          </cell>
          <cell r="K74">
            <v>196441145.70750827</v>
          </cell>
          <cell r="L74">
            <v>194984099.46730062</v>
          </cell>
          <cell r="S74">
            <v>142676771.61988214</v>
          </cell>
          <cell r="T74">
            <v>98607869.425019726</v>
          </cell>
          <cell r="U74">
            <v>121098760.19345261</v>
          </cell>
          <cell r="V74">
            <v>72487476.387868583</v>
          </cell>
          <cell r="W74">
            <v>56319966.711498253</v>
          </cell>
          <cell r="GY74">
            <v>0</v>
          </cell>
          <cell r="GZ74">
            <v>0</v>
          </cell>
          <cell r="HA74">
            <v>0</v>
          </cell>
          <cell r="HB74">
            <v>0</v>
          </cell>
          <cell r="HC74">
            <v>0</v>
          </cell>
        </row>
        <row r="75">
          <cell r="H75">
            <v>613751907.5136621</v>
          </cell>
          <cell r="I75">
            <v>309107526.00448304</v>
          </cell>
          <cell r="J75">
            <v>491145276.98846847</v>
          </cell>
          <cell r="K75">
            <v>217960795.89925855</v>
          </cell>
          <cell r="L75">
            <v>217888762.10117185</v>
          </cell>
          <cell r="S75">
            <v>167990300.71595496</v>
          </cell>
          <cell r="T75">
            <v>114030765.10576376</v>
          </cell>
          <cell r="U75">
            <v>141444161.98000699</v>
          </cell>
          <cell r="V75">
            <v>82871663.929833114</v>
          </cell>
          <cell r="W75">
            <v>64515142.206872001</v>
          </cell>
          <cell r="GY75">
            <v>0</v>
          </cell>
          <cell r="GZ75">
            <v>0</v>
          </cell>
          <cell r="HA75">
            <v>0</v>
          </cell>
          <cell r="HB75">
            <v>0</v>
          </cell>
          <cell r="HC75">
            <v>0</v>
          </cell>
        </row>
        <row r="76">
          <cell r="H76">
            <v>691406951.29537487</v>
          </cell>
          <cell r="I76">
            <v>344458644.56500459</v>
          </cell>
          <cell r="J76">
            <v>551675415.50743794</v>
          </cell>
          <cell r="K76">
            <v>240980633.89291775</v>
          </cell>
          <cell r="L76">
            <v>243619283.15332508</v>
          </cell>
          <cell r="S76">
            <v>195856899.92718685</v>
          </cell>
          <cell r="T76">
            <v>131100997.01341286</v>
          </cell>
          <cell r="U76">
            <v>163551153.55158541</v>
          </cell>
          <cell r="V76">
            <v>93978609.83268182</v>
          </cell>
          <cell r="W76">
            <v>73768348.807945564</v>
          </cell>
          <cell r="GY76">
            <v>0</v>
          </cell>
          <cell r="GZ76">
            <v>0</v>
          </cell>
          <cell r="HA76">
            <v>0</v>
          </cell>
          <cell r="HB76">
            <v>0</v>
          </cell>
          <cell r="HC76">
            <v>0</v>
          </cell>
        </row>
        <row r="77">
          <cell r="H77">
            <v>778382714.18591404</v>
          </cell>
          <cell r="I77">
            <v>382251524.54413778</v>
          </cell>
          <cell r="J77">
            <v>616637106.82075024</v>
          </cell>
          <cell r="K77">
            <v>266036540.78519982</v>
          </cell>
          <cell r="L77">
            <v>271079247.79813451</v>
          </cell>
          <cell r="S77">
            <v>227226802.97625959</v>
          </cell>
          <cell r="T77">
            <v>149346253.78189233</v>
          </cell>
          <cell r="U77">
            <v>187358753.23255664</v>
          </cell>
          <cell r="V77">
            <v>106061650.68117331</v>
          </cell>
          <cell r="W77">
            <v>83698402.959943652</v>
          </cell>
          <cell r="GY77">
            <v>0</v>
          </cell>
          <cell r="GZ77">
            <v>0</v>
          </cell>
          <cell r="HA77">
            <v>0</v>
          </cell>
          <cell r="HB77">
            <v>0</v>
          </cell>
          <cell r="HC77">
            <v>0</v>
          </cell>
        </row>
        <row r="78">
          <cell r="H78">
            <v>873148165.73866844</v>
          </cell>
          <cell r="I78">
            <v>422405607.30557483</v>
          </cell>
          <cell r="J78">
            <v>688415148.39179444</v>
          </cell>
          <cell r="K78">
            <v>293299799.56159735</v>
          </cell>
          <cell r="L78">
            <v>302091616.37016934</v>
          </cell>
          <cell r="S78">
            <v>261599728.21729857</v>
          </cell>
          <cell r="T78">
            <v>168720379.05300146</v>
          </cell>
          <cell r="U78">
            <v>213737779.82830936</v>
          </cell>
          <cell r="V78">
            <v>119206436.16265066</v>
          </cell>
          <cell r="W78">
            <v>94967740.259442031</v>
          </cell>
          <cell r="GY78">
            <v>0</v>
          </cell>
          <cell r="GZ78">
            <v>0</v>
          </cell>
          <cell r="HA78">
            <v>0</v>
          </cell>
          <cell r="HB78">
            <v>0</v>
          </cell>
          <cell r="HC78">
            <v>0</v>
          </cell>
        </row>
        <row r="79">
          <cell r="H79">
            <v>979717266.89351559</v>
          </cell>
          <cell r="I79">
            <v>466756768.64407176</v>
          </cell>
          <cell r="J79">
            <v>771745866.30294204</v>
          </cell>
          <cell r="K79">
            <v>323886286.28840584</v>
          </cell>
          <cell r="L79">
            <v>336747311.96752751</v>
          </cell>
          <cell r="S79">
            <v>300362754.87721688</v>
          </cell>
          <cell r="T79">
            <v>190117885.96876088</v>
          </cell>
          <cell r="U79">
            <v>244475026.4580338</v>
          </cell>
          <cell r="V79">
            <v>133947901.35194544</v>
          </cell>
          <cell r="W79">
            <v>107635580.14235172</v>
          </cell>
          <cell r="GY79">
            <v>0</v>
          </cell>
          <cell r="GZ79">
            <v>0</v>
          </cell>
          <cell r="HA79">
            <v>0</v>
          </cell>
          <cell r="HB79">
            <v>0</v>
          </cell>
          <cell r="HC79">
            <v>0</v>
          </cell>
        </row>
        <row r="80">
          <cell r="H80">
            <v>1095238213.0603709</v>
          </cell>
          <cell r="I80">
            <v>516564299.52534842</v>
          </cell>
          <cell r="J80">
            <v>862673280.67139566</v>
          </cell>
          <cell r="K80">
            <v>357139872.53035337</v>
          </cell>
          <cell r="L80">
            <v>376473813.60417396</v>
          </cell>
          <cell r="S80">
            <v>342527918.88750273</v>
          </cell>
          <cell r="T80">
            <v>214132231.21509066</v>
          </cell>
          <cell r="U80">
            <v>278139688.01165342</v>
          </cell>
          <cell r="V80">
            <v>149970083.81397471</v>
          </cell>
          <cell r="W80">
            <v>122188888.7742379</v>
          </cell>
          <cell r="GY80">
            <v>0</v>
          </cell>
          <cell r="GZ80">
            <v>0</v>
          </cell>
          <cell r="HA80">
            <v>0</v>
          </cell>
          <cell r="HB80">
            <v>0</v>
          </cell>
          <cell r="HC80">
            <v>0</v>
          </cell>
        </row>
        <row r="81">
          <cell r="H81">
            <v>1226040964.0248342</v>
          </cell>
          <cell r="I81">
            <v>569171083.21882296</v>
          </cell>
          <cell r="J81">
            <v>962533795.13110912</v>
          </cell>
          <cell r="K81">
            <v>393456535.78894162</v>
          </cell>
          <cell r="L81">
            <v>420515491.75170249</v>
          </cell>
          <cell r="S81">
            <v>390514501.25019366</v>
          </cell>
          <cell r="T81">
            <v>239496216.21015874</v>
          </cell>
          <cell r="U81">
            <v>315212923.80343843</v>
          </cell>
          <cell r="V81">
            <v>167431680.85420525</v>
          </cell>
          <cell r="W81">
            <v>138405121.27773386</v>
          </cell>
          <cell r="GY81">
            <v>0</v>
          </cell>
          <cell r="GZ81">
            <v>0</v>
          </cell>
          <cell r="HA81">
            <v>0</v>
          </cell>
          <cell r="HB81">
            <v>0</v>
          </cell>
          <cell r="HC81">
            <v>0</v>
          </cell>
        </row>
        <row r="82">
          <cell r="H82">
            <v>1368654961.0920575</v>
          </cell>
          <cell r="I82">
            <v>628174985.66273129</v>
          </cell>
          <cell r="J82">
            <v>1073998623.8503671</v>
          </cell>
          <cell r="K82">
            <v>433489505.3634789</v>
          </cell>
          <cell r="L82">
            <v>466221807.72402871</v>
          </cell>
          <cell r="S82">
            <v>443090561.86093783</v>
          </cell>
          <cell r="T82">
            <v>267925702.52895322</v>
          </cell>
          <cell r="U82">
            <v>356716415.68535465</v>
          </cell>
          <cell r="V82">
            <v>186633541.26059666</v>
          </cell>
          <cell r="W82">
            <v>157654320.83284235</v>
          </cell>
          <cell r="GY82">
            <v>0</v>
          </cell>
          <cell r="GZ82">
            <v>0</v>
          </cell>
          <cell r="HA82">
            <v>0</v>
          </cell>
          <cell r="HB82">
            <v>0</v>
          </cell>
          <cell r="HC82">
            <v>0</v>
          </cell>
        </row>
        <row r="83">
          <cell r="H83">
            <v>1529608931.4175949</v>
          </cell>
          <cell r="I83">
            <v>690744593.59144104</v>
          </cell>
          <cell r="J83">
            <v>1199397928.8207257</v>
          </cell>
          <cell r="K83">
            <v>475942077.36390257</v>
          </cell>
          <cell r="L83">
            <v>515695726.45997071</v>
          </cell>
          <cell r="S83">
            <v>502678602.89390975</v>
          </cell>
          <cell r="T83">
            <v>298072877.25824058</v>
          </cell>
          <cell r="U83">
            <v>403396267.85159302</v>
          </cell>
          <cell r="V83">
            <v>208194921.92884523</v>
          </cell>
          <cell r="W83">
            <v>178986486.85863</v>
          </cell>
          <cell r="GY83">
            <v>0</v>
          </cell>
          <cell r="GZ83">
            <v>0</v>
          </cell>
          <cell r="HA83">
            <v>0</v>
          </cell>
          <cell r="HB83">
            <v>0</v>
          </cell>
          <cell r="HC83">
            <v>0</v>
          </cell>
        </row>
        <row r="84">
          <cell r="H84">
            <v>1706138718.2149868</v>
          </cell>
          <cell r="I84">
            <v>761002402.63992858</v>
          </cell>
          <cell r="J84">
            <v>1336416646.9589629</v>
          </cell>
          <cell r="K84">
            <v>520454447.91187817</v>
          </cell>
          <cell r="L84">
            <v>571548741.99737513</v>
          </cell>
          <cell r="S84">
            <v>568333402.1273129</v>
          </cell>
          <cell r="T84">
            <v>331791533.52171886</v>
          </cell>
          <cell r="U84">
            <v>454685328.88239717</v>
          </cell>
          <cell r="V84">
            <v>232999999.92974228</v>
          </cell>
          <cell r="W84">
            <v>205403698.36847752</v>
          </cell>
          <cell r="GY84">
            <v>0</v>
          </cell>
          <cell r="GZ84">
            <v>0</v>
          </cell>
          <cell r="HA84">
            <v>0</v>
          </cell>
          <cell r="HB84">
            <v>0</v>
          </cell>
          <cell r="HC84">
            <v>0</v>
          </cell>
        </row>
        <row r="85">
          <cell r="H85">
            <v>1932924557.5735805</v>
          </cell>
          <cell r="I85">
            <v>861355722.95200646</v>
          </cell>
          <cell r="J85">
            <v>1502263289.315938</v>
          </cell>
          <cell r="K85">
            <v>583804110.54859674</v>
          </cell>
          <cell r="L85">
            <v>640774268.43836594</v>
          </cell>
          <cell r="S85">
            <v>642389495.31031239</v>
          </cell>
          <cell r="T85">
            <v>367892473.60491544</v>
          </cell>
          <cell r="U85">
            <v>518337473.18903345</v>
          </cell>
          <cell r="V85">
            <v>260029885.05188102</v>
          </cell>
          <cell r="W85">
            <v>234962365.86217982</v>
          </cell>
          <cell r="GY85">
            <v>0</v>
          </cell>
          <cell r="GZ85">
            <v>0</v>
          </cell>
          <cell r="HA85">
            <v>0</v>
          </cell>
          <cell r="HB85">
            <v>0</v>
          </cell>
          <cell r="HC85">
            <v>0</v>
          </cell>
        </row>
        <row r="86">
          <cell r="H86">
            <v>2180747369.2563796</v>
          </cell>
          <cell r="I86">
            <v>966310080.93788791</v>
          </cell>
          <cell r="J86">
            <v>1679845764.5707624</v>
          </cell>
          <cell r="K86">
            <v>654529372.45497167</v>
          </cell>
          <cell r="L86">
            <v>718602380.163656</v>
          </cell>
          <cell r="S86">
            <v>724404500.42427242</v>
          </cell>
          <cell r="T86">
            <v>410300653.79610634</v>
          </cell>
          <cell r="U86">
            <v>587257600.36457312</v>
          </cell>
          <cell r="V86">
            <v>293681420.95894647</v>
          </cell>
          <cell r="W86">
            <v>268353177.89365199</v>
          </cell>
          <cell r="GY86">
            <v>0</v>
          </cell>
          <cell r="GZ86">
            <v>0</v>
          </cell>
          <cell r="HA86">
            <v>0</v>
          </cell>
          <cell r="HB86">
            <v>0</v>
          </cell>
          <cell r="HC86">
            <v>0</v>
          </cell>
        </row>
        <row r="87">
          <cell r="H87">
            <v>2455289621.2320371</v>
          </cell>
          <cell r="I87">
            <v>1082430314.1220508</v>
          </cell>
          <cell r="J87">
            <v>1884777971.6417518</v>
          </cell>
          <cell r="K87">
            <v>731664595.54989934</v>
          </cell>
          <cell r="L87">
            <v>803751799.04018462</v>
          </cell>
          <cell r="S87">
            <v>825708813.43932867</v>
          </cell>
          <cell r="T87">
            <v>458832748.46141464</v>
          </cell>
          <cell r="U87">
            <v>676723428.04081023</v>
          </cell>
          <cell r="V87">
            <v>330382857.75411367</v>
          </cell>
          <cell r="W87">
            <v>305056026.78682339</v>
          </cell>
          <cell r="GY87">
            <v>0</v>
          </cell>
          <cell r="GZ87">
            <v>0</v>
          </cell>
          <cell r="HA87">
            <v>0</v>
          </cell>
          <cell r="HB87">
            <v>0</v>
          </cell>
          <cell r="HC87">
            <v>0</v>
          </cell>
        </row>
        <row r="88">
          <cell r="H88">
            <v>2756594271.2733006</v>
          </cell>
          <cell r="I88">
            <v>1212094709.35744</v>
          </cell>
          <cell r="J88">
            <v>2115455711.5035644</v>
          </cell>
          <cell r="K88">
            <v>816996936.54755902</v>
          </cell>
          <cell r="L88">
            <v>900050584.81687033</v>
          </cell>
          <cell r="S88">
            <v>944731490.71309733</v>
          </cell>
          <cell r="T88">
            <v>517522584.69473428</v>
          </cell>
          <cell r="U88">
            <v>781400895.37240684</v>
          </cell>
          <cell r="V88">
            <v>370842217.13874871</v>
          </cell>
          <cell r="W88">
            <v>346921902.21232492</v>
          </cell>
          <cell r="GY88">
            <v>0</v>
          </cell>
          <cell r="GZ88">
            <v>0</v>
          </cell>
          <cell r="HA88">
            <v>0</v>
          </cell>
          <cell r="HB88">
            <v>0</v>
          </cell>
          <cell r="HC88">
            <v>0</v>
          </cell>
        </row>
        <row r="89">
          <cell r="H89">
            <v>3088529528.6086869</v>
          </cell>
          <cell r="I89">
            <v>1352849832.8426797</v>
          </cell>
          <cell r="J89">
            <v>2362577278.3350019</v>
          </cell>
          <cell r="K89">
            <v>907070989.55797267</v>
          </cell>
          <cell r="L89">
            <v>1007690741.118821</v>
          </cell>
          <cell r="S89">
            <v>1110061826.856971</v>
          </cell>
          <cell r="T89">
            <v>606818845.8305316</v>
          </cell>
          <cell r="U89">
            <v>913533970.40944064</v>
          </cell>
          <cell r="V89">
            <v>427780219.55983919</v>
          </cell>
          <cell r="W89">
            <v>402860329.18477452</v>
          </cell>
          <cell r="GY89">
            <v>0</v>
          </cell>
          <cell r="GZ89">
            <v>0</v>
          </cell>
          <cell r="HA89">
            <v>0</v>
          </cell>
          <cell r="HB89">
            <v>0</v>
          </cell>
          <cell r="HC89">
            <v>0</v>
          </cell>
        </row>
        <row r="90">
          <cell r="H90">
            <v>3451324263.6686687</v>
          </cell>
          <cell r="I90">
            <v>1500965000.1884451</v>
          </cell>
          <cell r="J90">
            <v>2629943914.382165</v>
          </cell>
          <cell r="K90">
            <v>1009206531.5822656</v>
          </cell>
          <cell r="L90">
            <v>1123907248.4135993</v>
          </cell>
          <cell r="S90">
            <v>1302864984.5200438</v>
          </cell>
          <cell r="T90">
            <v>700624096.50924373</v>
          </cell>
          <cell r="U90">
            <v>1057853800.7127604</v>
          </cell>
          <cell r="V90">
            <v>492162121.29126936</v>
          </cell>
          <cell r="W90">
            <v>463664916.05328363</v>
          </cell>
          <cell r="GY90">
            <v>0</v>
          </cell>
          <cell r="GZ90">
            <v>0</v>
          </cell>
          <cell r="HA90">
            <v>0</v>
          </cell>
          <cell r="HB90">
            <v>0</v>
          </cell>
          <cell r="HC90">
            <v>0</v>
          </cell>
        </row>
        <row r="91">
          <cell r="H91">
            <v>3844765017.6768737</v>
          </cell>
          <cell r="I91">
            <v>1664900602.5865016</v>
          </cell>
          <cell r="J91">
            <v>2932502856.0901723</v>
          </cell>
          <cell r="K91">
            <v>1121558459.1773379</v>
          </cell>
          <cell r="L91">
            <v>1236261698.6142828</v>
          </cell>
          <cell r="S91">
            <v>1511617925.4895766</v>
          </cell>
          <cell r="T91">
            <v>804251782.9992069</v>
          </cell>
          <cell r="U91">
            <v>1222666623.4963226</v>
          </cell>
          <cell r="V91">
            <v>562943835.67616498</v>
          </cell>
          <cell r="W91">
            <v>522535510.56033134</v>
          </cell>
          <cell r="GY91">
            <v>0</v>
          </cell>
          <cell r="GZ91">
            <v>0</v>
          </cell>
          <cell r="HA91">
            <v>0</v>
          </cell>
          <cell r="HB91">
            <v>0</v>
          </cell>
          <cell r="HC91">
            <v>0</v>
          </cell>
        </row>
        <row r="92">
          <cell r="H92">
            <v>4275881871.8329039</v>
          </cell>
          <cell r="I92">
            <v>1845075616.2870812</v>
          </cell>
          <cell r="J92">
            <v>3273942337.0310669</v>
          </cell>
          <cell r="K92">
            <v>1231423610.1401987</v>
          </cell>
          <cell r="L92">
            <v>1356112311.7445223</v>
          </cell>
          <cell r="S92">
            <v>1739770889.3554273</v>
          </cell>
          <cell r="T92">
            <v>918016254.5973444</v>
          </cell>
          <cell r="U92">
            <v>1411044385.0217628</v>
          </cell>
          <cell r="V92">
            <v>631837275.38319886</v>
          </cell>
          <cell r="W92">
            <v>585764065.69887769</v>
          </cell>
          <cell r="GY92">
            <v>0</v>
          </cell>
          <cell r="GZ92">
            <v>0</v>
          </cell>
          <cell r="HA92">
            <v>0</v>
          </cell>
          <cell r="HB92">
            <v>0</v>
          </cell>
          <cell r="HC92">
            <v>0</v>
          </cell>
        </row>
        <row r="93">
          <cell r="H93">
            <v>4741046810.1841764</v>
          </cell>
          <cell r="I93">
            <v>2045698439.6140137</v>
          </cell>
          <cell r="J93">
            <v>3628669889.8622084</v>
          </cell>
          <cell r="K93">
            <v>1344123568.7294064</v>
          </cell>
          <cell r="L93">
            <v>1490967439.3821809</v>
          </cell>
          <cell r="S93">
            <v>1985673835.1997361</v>
          </cell>
          <cell r="T93">
            <v>1044408633.2933116</v>
          </cell>
          <cell r="U93">
            <v>1609261508.085325</v>
          </cell>
          <cell r="V93">
            <v>702387811.25766265</v>
          </cell>
          <cell r="W93">
            <v>657448043.74630415</v>
          </cell>
          <cell r="GY93">
            <v>0</v>
          </cell>
          <cell r="GZ93">
            <v>0</v>
          </cell>
          <cell r="HA93">
            <v>0</v>
          </cell>
          <cell r="HB93">
            <v>0</v>
          </cell>
          <cell r="HC93">
            <v>0</v>
          </cell>
        </row>
        <row r="94">
          <cell r="H94">
            <v>5252691261.6916676</v>
          </cell>
          <cell r="I94">
            <v>2251386550.632834</v>
          </cell>
          <cell r="J94">
            <v>3979160456.3626809</v>
          </cell>
          <cell r="K94">
            <v>1465125995.7515895</v>
          </cell>
          <cell r="L94">
            <v>1627563044.1781478</v>
          </cell>
          <cell r="S94">
            <v>2255375174.2219377</v>
          </cell>
          <cell r="T94">
            <v>1173812144.6139312</v>
          </cell>
          <cell r="U94">
            <v>1807214963.9171646</v>
          </cell>
          <cell r="V94">
            <v>778142865.44055438</v>
          </cell>
          <cell r="W94">
            <v>730591265.03598368</v>
          </cell>
          <cell r="GY94">
            <v>0</v>
          </cell>
          <cell r="GZ94">
            <v>0</v>
          </cell>
          <cell r="HA94">
            <v>0</v>
          </cell>
          <cell r="HB94">
            <v>0</v>
          </cell>
          <cell r="HC94">
            <v>0</v>
          </cell>
        </row>
        <row r="95">
          <cell r="H95">
            <v>5802478493.7111282</v>
          </cell>
          <cell r="I95">
            <v>2457535743.1999507</v>
          </cell>
          <cell r="J95">
            <v>4363327944.7386303</v>
          </cell>
          <cell r="K95">
            <v>1590520623.6351554</v>
          </cell>
          <cell r="L95">
            <v>1774377447.4263127</v>
          </cell>
          <cell r="S95">
            <v>2544920146.6571617</v>
          </cell>
          <cell r="T95">
            <v>1302862200.9561071</v>
          </cell>
          <cell r="U95">
            <v>2025329649.6374638</v>
          </cell>
          <cell r="V95">
            <v>856660996.91904891</v>
          </cell>
          <cell r="W95">
            <v>809746656.06281471</v>
          </cell>
          <cell r="GY95">
            <v>0</v>
          </cell>
          <cell r="GZ95">
            <v>0</v>
          </cell>
          <cell r="HA95">
            <v>0</v>
          </cell>
          <cell r="HB95">
            <v>0</v>
          </cell>
          <cell r="HC95">
            <v>0</v>
          </cell>
        </row>
        <row r="96">
          <cell r="H96">
            <v>6411243979.9242544</v>
          </cell>
          <cell r="I96">
            <v>2703375784.4158187</v>
          </cell>
          <cell r="J96">
            <v>4809342313.2457838</v>
          </cell>
          <cell r="K96">
            <v>1742542712.7443979</v>
          </cell>
          <cell r="L96">
            <v>1955930895.0904067</v>
          </cell>
          <cell r="S96">
            <v>2863628533.6869435</v>
          </cell>
          <cell r="T96">
            <v>1456758855.9708562</v>
          </cell>
          <cell r="U96">
            <v>2278589615.1231246</v>
          </cell>
          <cell r="V96">
            <v>951852398.51081777</v>
          </cell>
          <cell r="W96">
            <v>908342826.93239319</v>
          </cell>
          <cell r="GY96">
            <v>0</v>
          </cell>
          <cell r="GZ96">
            <v>0</v>
          </cell>
          <cell r="HA96">
            <v>0</v>
          </cell>
          <cell r="HB96">
            <v>0</v>
          </cell>
          <cell r="HC96">
            <v>0</v>
          </cell>
        </row>
        <row r="97">
          <cell r="H97">
            <v>7062874649.9266443</v>
          </cell>
          <cell r="I97">
            <v>2965030488.936986</v>
          </cell>
          <cell r="J97">
            <v>5298123969.9899282</v>
          </cell>
          <cell r="K97">
            <v>1910406317.6784832</v>
          </cell>
          <cell r="L97">
            <v>2145338055.4454708</v>
          </cell>
          <cell r="S97">
            <v>3204693380.1189756</v>
          </cell>
          <cell r="T97">
            <v>1620597509.4108169</v>
          </cell>
          <cell r="U97">
            <v>2556096282.0717449</v>
          </cell>
          <cell r="V97">
            <v>1056672916.6035291</v>
          </cell>
          <cell r="W97">
            <v>1012387331.5248235</v>
          </cell>
          <cell r="GY97">
            <v>0</v>
          </cell>
          <cell r="GZ97">
            <v>0</v>
          </cell>
          <cell r="HA97">
            <v>0</v>
          </cell>
          <cell r="HB97">
            <v>0</v>
          </cell>
          <cell r="HC97">
            <v>0</v>
          </cell>
        </row>
        <row r="98">
          <cell r="H98">
            <v>7781174795.5733871</v>
          </cell>
          <cell r="I98">
            <v>3253339289.0812826</v>
          </cell>
          <cell r="J98">
            <v>5835980157.3639374</v>
          </cell>
          <cell r="K98">
            <v>2087133787.8529058</v>
          </cell>
          <cell r="L98">
            <v>2360928410.6288867</v>
          </cell>
          <cell r="S98">
            <v>3580662639.194241</v>
          </cell>
          <cell r="T98">
            <v>1801127318.8469653</v>
          </cell>
          <cell r="U98">
            <v>2860724965.3707652</v>
          </cell>
          <cell r="V98">
            <v>1167027626.4862003</v>
          </cell>
          <cell r="W98">
            <v>1132017730.8957999</v>
          </cell>
          <cell r="GY98">
            <v>0</v>
          </cell>
          <cell r="GZ98">
            <v>0</v>
          </cell>
          <cell r="HA98">
            <v>0</v>
          </cell>
          <cell r="HB98">
            <v>0</v>
          </cell>
          <cell r="HC98">
            <v>0</v>
          </cell>
        </row>
        <row r="99">
          <cell r="H99">
            <v>8550647218.5308828</v>
          </cell>
          <cell r="I99">
            <v>3564839068.43396</v>
          </cell>
          <cell r="J99">
            <v>6410326463.4073973</v>
          </cell>
          <cell r="K99">
            <v>2279411554.813653</v>
          </cell>
          <cell r="L99">
            <v>2590051219.2585721</v>
          </cell>
          <cell r="S99">
            <v>3983319025.2293348</v>
          </cell>
          <cell r="T99">
            <v>1995735246.3252664</v>
          </cell>
          <cell r="U99">
            <v>3185901759.1525836</v>
          </cell>
          <cell r="V99">
            <v>1286843197.4660764</v>
          </cell>
          <cell r="W99">
            <v>1260810797.2674704</v>
          </cell>
          <cell r="GY99">
            <v>0</v>
          </cell>
          <cell r="GZ99">
            <v>0</v>
          </cell>
          <cell r="HA99">
            <v>0</v>
          </cell>
          <cell r="HB99">
            <v>0</v>
          </cell>
          <cell r="HC99">
            <v>0</v>
          </cell>
        </row>
        <row r="100">
          <cell r="H100">
            <v>9398224680.6466961</v>
          </cell>
          <cell r="I100">
            <v>3910358374.3549371</v>
          </cell>
          <cell r="J100">
            <v>7027060371.351222</v>
          </cell>
          <cell r="K100">
            <v>2486679093.9483309</v>
          </cell>
          <cell r="L100">
            <v>2866280373.988698</v>
          </cell>
          <cell r="S100">
            <v>4425775750.7568197</v>
          </cell>
          <cell r="T100">
            <v>2211489383.0542021</v>
          </cell>
          <cell r="U100">
            <v>3534442316.5744224</v>
          </cell>
          <cell r="V100">
            <v>1415930875.3482003</v>
          </cell>
          <cell r="W100">
            <v>1418318134.6288974</v>
          </cell>
          <cell r="GY100">
            <v>0</v>
          </cell>
          <cell r="GZ100">
            <v>0</v>
          </cell>
          <cell r="HA100">
            <v>0</v>
          </cell>
          <cell r="HB100">
            <v>0</v>
          </cell>
          <cell r="HC100">
            <v>0</v>
          </cell>
        </row>
        <row r="101">
          <cell r="H101">
            <v>10310848593.705751</v>
          </cell>
          <cell r="I101">
            <v>4271923440.6291161</v>
          </cell>
          <cell r="J101">
            <v>7690848701.211237</v>
          </cell>
          <cell r="K101">
            <v>2722036310.8273253</v>
          </cell>
          <cell r="L101">
            <v>3164395229.8408833</v>
          </cell>
          <cell r="S101">
            <v>4902000881.4823761</v>
          </cell>
          <cell r="T101">
            <v>2436858994.7726231</v>
          </cell>
          <cell r="U101">
            <v>3909278933.7863173</v>
          </cell>
          <cell r="V101">
            <v>1562301939.7192547</v>
          </cell>
          <cell r="W101">
            <v>1591090450.3740335</v>
          </cell>
          <cell r="GY101">
            <v>0</v>
          </cell>
          <cell r="GZ101">
            <v>0</v>
          </cell>
          <cell r="HA101">
            <v>0</v>
          </cell>
          <cell r="HB101">
            <v>0</v>
          </cell>
          <cell r="HC101">
            <v>0</v>
          </cell>
        </row>
        <row r="102">
          <cell r="H102">
            <v>11311720544.1633</v>
          </cell>
          <cell r="I102">
            <v>4669409630.4297523</v>
          </cell>
          <cell r="J102">
            <v>8470465691.4601555</v>
          </cell>
          <cell r="K102">
            <v>2996110396.4315295</v>
          </cell>
          <cell r="L102">
            <v>3524467319.5763884</v>
          </cell>
          <cell r="S102">
            <v>5423268042.4502525</v>
          </cell>
          <cell r="T102">
            <v>2684416183.1572299</v>
          </cell>
          <cell r="U102">
            <v>4348958801.7001972</v>
          </cell>
          <cell r="V102">
            <v>1732577754.6052709</v>
          </cell>
          <cell r="W102">
            <v>1802887109.2473636</v>
          </cell>
          <cell r="GY102">
            <v>0</v>
          </cell>
          <cell r="GZ102">
            <v>0</v>
          </cell>
          <cell r="HA102">
            <v>0</v>
          </cell>
          <cell r="HB102">
            <v>0</v>
          </cell>
          <cell r="HC102">
            <v>0</v>
          </cell>
        </row>
        <row r="103">
          <cell r="H103">
            <v>12393255141.389154</v>
          </cell>
          <cell r="I103">
            <v>5125046589.844203</v>
          </cell>
          <cell r="J103">
            <v>9348765065.15452</v>
          </cell>
          <cell r="K103">
            <v>3303588150.3042569</v>
          </cell>
          <cell r="L103">
            <v>3914022197.079917</v>
          </cell>
          <cell r="S103">
            <v>5986163270.3250608</v>
          </cell>
          <cell r="T103">
            <v>2967810811.5117607</v>
          </cell>
          <cell r="U103">
            <v>4843709557.4517975</v>
          </cell>
          <cell r="V103">
            <v>1923357063.5980802</v>
          </cell>
          <cell r="W103">
            <v>2035640667.527806</v>
          </cell>
          <cell r="GY103">
            <v>0</v>
          </cell>
          <cell r="GZ103">
            <v>0</v>
          </cell>
          <cell r="HA103">
            <v>0</v>
          </cell>
          <cell r="HB103">
            <v>0</v>
          </cell>
          <cell r="HC103">
            <v>0</v>
          </cell>
        </row>
        <row r="104">
          <cell r="H104">
            <v>13683673588.059475</v>
          </cell>
          <cell r="I104">
            <v>5716588292.3955746</v>
          </cell>
          <cell r="J104">
            <v>10364428951.219978</v>
          </cell>
          <cell r="K104">
            <v>3693104621.3286519</v>
          </cell>
          <cell r="L104">
            <v>4335217992.6490517</v>
          </cell>
          <cell r="S104">
            <v>6599892719.8536234</v>
          </cell>
          <cell r="T104">
            <v>3274069990.8468685</v>
          </cell>
          <cell r="U104">
            <v>5368070457.1193686</v>
          </cell>
          <cell r="V104">
            <v>2124553587.8875403</v>
          </cell>
          <cell r="W104">
            <v>2269464136.5971389</v>
          </cell>
          <cell r="GY104">
            <v>0</v>
          </cell>
          <cell r="GZ104">
            <v>0</v>
          </cell>
          <cell r="HA104">
            <v>0</v>
          </cell>
          <cell r="HB104">
            <v>0</v>
          </cell>
          <cell r="HC104">
            <v>0</v>
          </cell>
        </row>
        <row r="105">
          <cell r="H105">
            <v>15082799732.899376</v>
          </cell>
          <cell r="I105">
            <v>6345193349.8560505</v>
          </cell>
          <cell r="J105">
            <v>11448734982.355312</v>
          </cell>
          <cell r="K105">
            <v>4080815800.0583715</v>
          </cell>
          <cell r="L105">
            <v>4772249416.4812775</v>
          </cell>
          <cell r="S105">
            <v>7264703537.1433277</v>
          </cell>
          <cell r="T105">
            <v>3599163467.0469174</v>
          </cell>
          <cell r="U105">
            <v>5927219629.3534651</v>
          </cell>
          <cell r="V105">
            <v>2324587524.4701676</v>
          </cell>
          <cell r="W105">
            <v>2515751758.6159682</v>
          </cell>
          <cell r="GY105">
            <v>0</v>
          </cell>
          <cell r="GZ105">
            <v>0</v>
          </cell>
          <cell r="HA105">
            <v>0</v>
          </cell>
          <cell r="HB105">
            <v>0</v>
          </cell>
          <cell r="HC105">
            <v>0</v>
          </cell>
        </row>
        <row r="106">
          <cell r="H106">
            <v>16604390941.918892</v>
          </cell>
          <cell r="I106">
            <v>7036859713.3977041</v>
          </cell>
          <cell r="J106">
            <v>12580101476.564205</v>
          </cell>
          <cell r="K106">
            <v>4485183567.1102285</v>
          </cell>
          <cell r="L106">
            <v>5254666731.2054548</v>
          </cell>
          <cell r="S106">
            <v>7986864580.5594225</v>
          </cell>
          <cell r="T106">
            <v>3956429150.6944661</v>
          </cell>
          <cell r="U106">
            <v>6510128361.2336473</v>
          </cell>
          <cell r="V106">
            <v>2532996614.583909</v>
          </cell>
          <cell r="W106">
            <v>2789251915.3154745</v>
          </cell>
          <cell r="GY106">
            <v>0</v>
          </cell>
          <cell r="GZ106">
            <v>0</v>
          </cell>
          <cell r="HA106">
            <v>0</v>
          </cell>
          <cell r="HB106">
            <v>0</v>
          </cell>
          <cell r="HC106">
            <v>0</v>
          </cell>
        </row>
        <row r="107">
          <cell r="H107">
            <v>18259438108.066322</v>
          </cell>
          <cell r="I107">
            <v>7749970016.8523788</v>
          </cell>
          <cell r="J107">
            <v>13740844417.506317</v>
          </cell>
          <cell r="K107">
            <v>4919218374.7911148</v>
          </cell>
          <cell r="L107">
            <v>5783316001.3117266</v>
          </cell>
          <cell r="S107">
            <v>8771454058.8521461</v>
          </cell>
          <cell r="T107">
            <v>4324496540.9802551</v>
          </cell>
          <cell r="U107">
            <v>7107379992.6801548</v>
          </cell>
          <cell r="V107">
            <v>2756578166.5943904</v>
          </cell>
          <cell r="W107">
            <v>3088640405.8764415</v>
          </cell>
          <cell r="GY107">
            <v>0</v>
          </cell>
          <cell r="GZ107">
            <v>0</v>
          </cell>
          <cell r="HA107">
            <v>0</v>
          </cell>
          <cell r="HB107">
            <v>0</v>
          </cell>
          <cell r="HC107">
            <v>0</v>
          </cell>
        </row>
        <row r="108">
          <cell r="H108">
            <v>20052412983.688869</v>
          </cell>
          <cell r="I108">
            <v>8521350861.0008507</v>
          </cell>
          <cell r="J108">
            <v>15029601090.542185</v>
          </cell>
          <cell r="K108">
            <v>5424136956.7250891</v>
          </cell>
          <cell r="L108">
            <v>6372473720.6802864</v>
          </cell>
          <cell r="S108">
            <v>9620720797.4857025</v>
          </cell>
          <cell r="T108">
            <v>4722062304.0286636</v>
          </cell>
          <cell r="U108">
            <v>7770298354.3862743</v>
          </cell>
          <cell r="V108">
            <v>3016269364.333869</v>
          </cell>
          <cell r="W108">
            <v>3422107548.3067341</v>
          </cell>
          <cell r="GY108">
            <v>0</v>
          </cell>
          <cell r="GZ108">
            <v>0</v>
          </cell>
          <cell r="HA108">
            <v>0</v>
          </cell>
          <cell r="HB108">
            <v>0</v>
          </cell>
          <cell r="HC108">
            <v>0</v>
          </cell>
        </row>
        <row r="109">
          <cell r="H109">
            <v>22008554881.795559</v>
          </cell>
          <cell r="I109">
            <v>9388806067.6375008</v>
          </cell>
          <cell r="J109">
            <v>16555523010.529808</v>
          </cell>
          <cell r="K109">
            <v>5993451397.5816803</v>
          </cell>
          <cell r="L109">
            <v>7037587303.3477068</v>
          </cell>
          <cell r="S109">
            <v>10546010951.030212</v>
          </cell>
          <cell r="T109">
            <v>5168989167.7514505</v>
          </cell>
          <cell r="U109">
            <v>8553817031.1037722</v>
          </cell>
          <cell r="V109">
            <v>3309004240.0805974</v>
          </cell>
          <cell r="W109">
            <v>3798036198.2694445</v>
          </cell>
          <cell r="GY109">
            <v>0</v>
          </cell>
          <cell r="GZ109">
            <v>0</v>
          </cell>
          <cell r="HA109">
            <v>0</v>
          </cell>
          <cell r="HB109">
            <v>0</v>
          </cell>
          <cell r="HC109">
            <v>0</v>
          </cell>
        </row>
        <row r="110">
          <cell r="H110">
            <v>24119971478.733505</v>
          </cell>
          <cell r="I110">
            <v>10353804342.17588</v>
          </cell>
          <cell r="J110">
            <v>18176639004.420254</v>
          </cell>
          <cell r="K110">
            <v>6606762038.1776867</v>
          </cell>
          <cell r="L110">
            <v>7739246886.6273479</v>
          </cell>
          <cell r="S110">
            <v>11654872818.303789</v>
          </cell>
          <cell r="T110">
            <v>5764574040.3181076</v>
          </cell>
          <cell r="U110">
            <v>9468562707.6287537</v>
          </cell>
          <cell r="V110">
            <v>3686784938.8507605</v>
          </cell>
          <cell r="W110">
            <v>4230086953.3836193</v>
          </cell>
          <cell r="GY110">
            <v>0</v>
          </cell>
          <cell r="GZ110">
            <v>0</v>
          </cell>
          <cell r="HA110">
            <v>0</v>
          </cell>
          <cell r="HB110">
            <v>0</v>
          </cell>
          <cell r="HC110">
            <v>0</v>
          </cell>
        </row>
        <row r="111">
          <cell r="H111">
            <v>26430157611.291542</v>
          </cell>
          <cell r="I111">
            <v>11384089547.067024</v>
          </cell>
          <cell r="J111">
            <v>19930248778.066509</v>
          </cell>
          <cell r="K111">
            <v>7249391564.7911673</v>
          </cell>
          <cell r="L111">
            <v>8464629158.6147556</v>
          </cell>
          <cell r="S111">
            <v>12866249043.143204</v>
          </cell>
          <cell r="T111">
            <v>6400363904.6944799</v>
          </cell>
          <cell r="U111">
            <v>10456250240.652187</v>
          </cell>
          <cell r="V111">
            <v>4082610263.5789824</v>
          </cell>
          <cell r="W111">
            <v>4676062720.6055069</v>
          </cell>
          <cell r="GY111">
            <v>0</v>
          </cell>
          <cell r="GZ111">
            <v>0</v>
          </cell>
          <cell r="HA111">
            <v>0</v>
          </cell>
          <cell r="HB111">
            <v>0</v>
          </cell>
          <cell r="HC111">
            <v>0</v>
          </cell>
        </row>
        <row r="112">
          <cell r="H112">
            <v>28915068343.357765</v>
          </cell>
          <cell r="I112">
            <v>12497558423.049309</v>
          </cell>
          <cell r="J112">
            <v>21818150810.724277</v>
          </cell>
          <cell r="K112">
            <v>7921138239.3709736</v>
          </cell>
          <cell r="L112">
            <v>9229783034.7181244</v>
          </cell>
          <cell r="S112">
            <v>14168897821.166212</v>
          </cell>
          <cell r="T112">
            <v>7086226862.5238724</v>
          </cell>
          <cell r="U112">
            <v>11519575348.23785</v>
          </cell>
          <cell r="V112">
            <v>4495610070.9132338</v>
          </cell>
          <cell r="W112">
            <v>5146490659.2468386</v>
          </cell>
          <cell r="GY112">
            <v>0</v>
          </cell>
          <cell r="GZ112">
            <v>0</v>
          </cell>
          <cell r="HA112">
            <v>0</v>
          </cell>
          <cell r="HB112">
            <v>0</v>
          </cell>
          <cell r="HC112">
            <v>0</v>
          </cell>
        </row>
        <row r="113">
          <cell r="H113">
            <v>31641337654.624554</v>
          </cell>
          <cell r="I113">
            <v>13698783388.832424</v>
          </cell>
          <cell r="J113">
            <v>23741495853.324322</v>
          </cell>
          <cell r="K113">
            <v>8642778442.0172901</v>
          </cell>
          <cell r="L113">
            <v>10106238396.368809</v>
          </cell>
          <cell r="S113">
            <v>15595631694.801691</v>
          </cell>
          <cell r="T113">
            <v>7826144902.2838135</v>
          </cell>
          <cell r="U113">
            <v>12600921365.722149</v>
          </cell>
          <cell r="V113">
            <v>4939285158.4661551</v>
          </cell>
          <cell r="W113">
            <v>5684442211.13797</v>
          </cell>
          <cell r="GY113">
            <v>0</v>
          </cell>
          <cell r="GZ113">
            <v>0</v>
          </cell>
          <cell r="HA113">
            <v>0</v>
          </cell>
          <cell r="HB113">
            <v>0</v>
          </cell>
          <cell r="HC113">
            <v>0</v>
          </cell>
        </row>
        <row r="114">
          <cell r="H114">
            <v>34564126280.731369</v>
          </cell>
          <cell r="I114">
            <v>14953916768.955839</v>
          </cell>
          <cell r="J114">
            <v>25843394937.206356</v>
          </cell>
          <cell r="K114">
            <v>9439379646.5537071</v>
          </cell>
          <cell r="L114">
            <v>11056382404.202597</v>
          </cell>
          <cell r="S114">
            <v>17125177690.156876</v>
          </cell>
          <cell r="T114">
            <v>8597900182.0556927</v>
          </cell>
          <cell r="U114">
            <v>13782556874.742842</v>
          </cell>
          <cell r="V114">
            <v>5428349998.7366085</v>
          </cell>
          <cell r="W114">
            <v>6267563082.3717041</v>
          </cell>
          <cell r="GY114">
            <v>0</v>
          </cell>
          <cell r="GZ114">
            <v>0</v>
          </cell>
          <cell r="HA114">
            <v>0</v>
          </cell>
          <cell r="HB114">
            <v>0</v>
          </cell>
          <cell r="HC114">
            <v>0</v>
          </cell>
        </row>
        <row r="115">
          <cell r="H115">
            <v>37779139549.725182</v>
          </cell>
          <cell r="I115">
            <v>16365840611.337612</v>
          </cell>
          <cell r="J115">
            <v>28300331994.439522</v>
          </cell>
          <cell r="K115">
            <v>10366132302.397602</v>
          </cell>
          <cell r="L115">
            <v>12142111268.778912</v>
          </cell>
          <cell r="S115">
            <v>18804530885.886238</v>
          </cell>
          <cell r="T115">
            <v>9465971877.7422657</v>
          </cell>
          <cell r="U115">
            <v>15161942129.348579</v>
          </cell>
          <cell r="V115">
            <v>5997115166.5830431</v>
          </cell>
          <cell r="W115">
            <v>6932979058.2306194</v>
          </cell>
          <cell r="GY115">
            <v>0</v>
          </cell>
          <cell r="GZ115">
            <v>0</v>
          </cell>
          <cell r="HA115">
            <v>0</v>
          </cell>
          <cell r="HB115">
            <v>0</v>
          </cell>
          <cell r="HC115">
            <v>0</v>
          </cell>
        </row>
        <row r="116">
          <cell r="H116">
            <v>41224905453.134766</v>
          </cell>
          <cell r="I116">
            <v>17942631628.99831</v>
          </cell>
          <cell r="J116">
            <v>30966294644.93573</v>
          </cell>
          <cell r="K116">
            <v>11385579561.027105</v>
          </cell>
          <cell r="L116">
            <v>13339502811.525896</v>
          </cell>
          <cell r="S116">
            <v>20604417075.294468</v>
          </cell>
          <cell r="T116">
            <v>10434032423.677773</v>
          </cell>
          <cell r="U116">
            <v>16658007469.681099</v>
          </cell>
          <cell r="V116">
            <v>6622016510.309288</v>
          </cell>
          <cell r="W116">
            <v>7666592186.533349</v>
          </cell>
          <cell r="GY116">
            <v>0</v>
          </cell>
          <cell r="GZ116">
            <v>0</v>
          </cell>
          <cell r="HA116">
            <v>0</v>
          </cell>
          <cell r="HB116">
            <v>0</v>
          </cell>
          <cell r="HC116">
            <v>0</v>
          </cell>
        </row>
        <row r="117">
          <cell r="H117">
            <v>45003905993.901291</v>
          </cell>
          <cell r="I117">
            <v>19626419073.532593</v>
          </cell>
          <cell r="J117">
            <v>33828453813.973663</v>
          </cell>
          <cell r="K117">
            <v>12460588015.17292</v>
          </cell>
          <cell r="L117">
            <v>14526013957.247694</v>
          </cell>
          <cell r="S117">
            <v>22575200346.686153</v>
          </cell>
          <cell r="T117">
            <v>11467403779.529137</v>
          </cell>
          <cell r="U117">
            <v>18262310617.028473</v>
          </cell>
          <cell r="V117">
            <v>7280648450.5253878</v>
          </cell>
          <cell r="W117">
            <v>8392637818.0121279</v>
          </cell>
          <cell r="GY117">
            <v>0</v>
          </cell>
          <cell r="GZ117">
            <v>0</v>
          </cell>
          <cell r="HA117">
            <v>0</v>
          </cell>
          <cell r="HB117">
            <v>0</v>
          </cell>
          <cell r="HC117">
            <v>0</v>
          </cell>
        </row>
        <row r="118">
          <cell r="H118">
            <v>49064670209.129372</v>
          </cell>
          <cell r="I118">
            <v>21458102351.406822</v>
          </cell>
          <cell r="J118">
            <v>36936228452.15464</v>
          </cell>
          <cell r="K118">
            <v>13576003422.753744</v>
          </cell>
          <cell r="L118">
            <v>15793478591.472797</v>
          </cell>
          <cell r="S118">
            <v>24692546562.604099</v>
          </cell>
          <cell r="T118">
            <v>12590186372.433277</v>
          </cell>
          <cell r="U118">
            <v>20003346712.236404</v>
          </cell>
          <cell r="V118">
            <v>7963338125.2706776</v>
          </cell>
          <cell r="W118">
            <v>9167925463.6893387</v>
          </cell>
          <cell r="GY118">
            <v>0</v>
          </cell>
          <cell r="GZ118">
            <v>0</v>
          </cell>
          <cell r="HA118">
            <v>0</v>
          </cell>
          <cell r="HB118">
            <v>0</v>
          </cell>
          <cell r="HC118">
            <v>0</v>
          </cell>
        </row>
        <row r="119">
          <cell r="H119">
            <v>53503176420.491966</v>
          </cell>
          <cell r="I119">
            <v>23429694371.713242</v>
          </cell>
          <cell r="J119">
            <v>40150389696.873459</v>
          </cell>
          <cell r="K119">
            <v>14745787110.484016</v>
          </cell>
          <cell r="L119">
            <v>17164799041.402767</v>
          </cell>
          <cell r="S119">
            <v>27003753142.403717</v>
          </cell>
          <cell r="T119">
            <v>13798133596.142141</v>
          </cell>
          <cell r="U119">
            <v>21802302391.398411</v>
          </cell>
          <cell r="V119">
            <v>8678875913.6417694</v>
          </cell>
          <cell r="W119">
            <v>10006025610.204697</v>
          </cell>
          <cell r="GY119">
            <v>0</v>
          </cell>
          <cell r="GZ119">
            <v>0</v>
          </cell>
          <cell r="HA119">
            <v>0</v>
          </cell>
          <cell r="HB119">
            <v>0</v>
          </cell>
          <cell r="HC119">
            <v>0</v>
          </cell>
        </row>
        <row r="120">
          <cell r="H120">
            <v>58285647400.39798</v>
          </cell>
          <cell r="I120">
            <v>25476389967.292988</v>
          </cell>
          <cell r="J120">
            <v>43504924983.798927</v>
          </cell>
          <cell r="K120">
            <v>15985753838.704941</v>
          </cell>
          <cell r="L120">
            <v>18627389637.156452</v>
          </cell>
          <cell r="S120">
            <v>29493173307.356857</v>
          </cell>
          <cell r="T120">
            <v>15050901940.274738</v>
          </cell>
          <cell r="U120">
            <v>23678535202.657639</v>
          </cell>
          <cell r="V120">
            <v>9436874975.0736122</v>
          </cell>
          <cell r="W120">
            <v>10899285638.483793</v>
          </cell>
          <cell r="GY120">
            <v>0</v>
          </cell>
          <cell r="GZ120">
            <v>0</v>
          </cell>
          <cell r="HA120">
            <v>0</v>
          </cell>
          <cell r="HB120">
            <v>0</v>
          </cell>
          <cell r="HC120">
            <v>0</v>
          </cell>
        </row>
        <row r="121">
          <cell r="H121">
            <v>63496229849.111588</v>
          </cell>
          <cell r="I121">
            <v>27742442233.349693</v>
          </cell>
          <cell r="J121">
            <v>47309167634.525871</v>
          </cell>
          <cell r="K121">
            <v>17446822781.444916</v>
          </cell>
          <cell r="L121">
            <v>20305766704.110832</v>
          </cell>
          <cell r="S121">
            <v>32202464665.01442</v>
          </cell>
          <cell r="T121">
            <v>16437009511.952036</v>
          </cell>
          <cell r="U121">
            <v>25805090510.492443</v>
          </cell>
          <cell r="V121">
            <v>10329205671.646347</v>
          </cell>
          <cell r="W121">
            <v>11923804226.137552</v>
          </cell>
          <cell r="GY121">
            <v>0</v>
          </cell>
          <cell r="GZ121">
            <v>0</v>
          </cell>
          <cell r="HA121">
            <v>0</v>
          </cell>
          <cell r="HB121">
            <v>0</v>
          </cell>
          <cell r="HC121">
            <v>0</v>
          </cell>
        </row>
        <row r="122">
          <cell r="H122">
            <v>69125252438.212845</v>
          </cell>
          <cell r="I122">
            <v>30245911278.091648</v>
          </cell>
          <cell r="J122">
            <v>51582331676.892281</v>
          </cell>
          <cell r="K122">
            <v>19018712710.817322</v>
          </cell>
          <cell r="L122">
            <v>22173665232.435272</v>
          </cell>
          <cell r="S122">
            <v>35127795280.021889</v>
          </cell>
          <cell r="T122">
            <v>17967309561.552704</v>
          </cell>
          <cell r="U122">
            <v>28191428954.237144</v>
          </cell>
          <cell r="V122">
            <v>11288835204.08477</v>
          </cell>
          <cell r="W122">
            <v>13062916115.541965</v>
          </cell>
          <cell r="GY122">
            <v>0</v>
          </cell>
          <cell r="GZ122">
            <v>0</v>
          </cell>
          <cell r="HA122">
            <v>0</v>
          </cell>
          <cell r="HB122">
            <v>0</v>
          </cell>
          <cell r="HC122">
            <v>0</v>
          </cell>
        </row>
        <row r="123">
          <cell r="H123">
            <v>75239377412.121246</v>
          </cell>
          <cell r="I123">
            <v>32966119646.638981</v>
          </cell>
          <cell r="J123">
            <v>56154993450.910141</v>
          </cell>
          <cell r="K123">
            <v>20769585352.574974</v>
          </cell>
          <cell r="L123">
            <v>24156848873.418262</v>
          </cell>
          <cell r="S123">
            <v>38302454080.79364</v>
          </cell>
          <cell r="T123">
            <v>19628644873.886978</v>
          </cell>
          <cell r="U123">
            <v>30744022572.162758</v>
          </cell>
          <cell r="V123">
            <v>12356580487.255013</v>
          </cell>
          <cell r="W123">
            <v>14271884521.594439</v>
          </cell>
          <cell r="GY123">
            <v>0</v>
          </cell>
          <cell r="GZ123">
            <v>0</v>
          </cell>
          <cell r="HA123">
            <v>0</v>
          </cell>
          <cell r="HB123">
            <v>0</v>
          </cell>
          <cell r="HC123">
            <v>0</v>
          </cell>
        </row>
        <row r="124">
          <cell r="H124">
            <v>81860967097.777084</v>
          </cell>
          <cell r="I124">
            <v>35925283189.795097</v>
          </cell>
          <cell r="J124">
            <v>61229630967.11599</v>
          </cell>
          <cell r="K124">
            <v>22623850773.167774</v>
          </cell>
          <cell r="L124">
            <v>26209161245.752708</v>
          </cell>
          <cell r="S124">
            <v>41738289410.463531</v>
          </cell>
          <cell r="T124">
            <v>21435030072.471153</v>
          </cell>
          <cell r="U124">
            <v>33573755700.990383</v>
          </cell>
          <cell r="V124">
            <v>13487072340.038301</v>
          </cell>
          <cell r="W124">
            <v>15521690132.951954</v>
          </cell>
          <cell r="GY124">
            <v>0</v>
          </cell>
          <cell r="GZ124">
            <v>0</v>
          </cell>
          <cell r="HA124">
            <v>0</v>
          </cell>
          <cell r="HB124">
            <v>0</v>
          </cell>
          <cell r="HC124">
            <v>0</v>
          </cell>
        </row>
        <row r="125">
          <cell r="H125">
            <v>89032127060.692902</v>
          </cell>
          <cell r="I125">
            <v>39148773287.233673</v>
          </cell>
          <cell r="J125">
            <v>66581771663.036201</v>
          </cell>
          <cell r="K125">
            <v>24501862115.9156</v>
          </cell>
          <cell r="L125">
            <v>28377809436.384605</v>
          </cell>
          <cell r="S125">
            <v>45456805863.061905</v>
          </cell>
          <cell r="T125">
            <v>23400830590.909103</v>
          </cell>
          <cell r="U125">
            <v>36557486908.104294</v>
          </cell>
          <cell r="V125">
            <v>14630733093.634733</v>
          </cell>
          <cell r="W125">
            <v>16842256491.589802</v>
          </cell>
          <cell r="GY125">
            <v>0</v>
          </cell>
          <cell r="GZ125">
            <v>0</v>
          </cell>
          <cell r="HA125">
            <v>0</v>
          </cell>
          <cell r="HB125">
            <v>0</v>
          </cell>
          <cell r="HC125">
            <v>0</v>
          </cell>
        </row>
        <row r="126">
          <cell r="H126">
            <v>96817005583.210968</v>
          </cell>
          <cell r="I126">
            <v>42520400000.490555</v>
          </cell>
          <cell r="J126">
            <v>72018630828.584671</v>
          </cell>
          <cell r="K126">
            <v>26505400175.461739</v>
          </cell>
          <cell r="L126">
            <v>30842658563.79097</v>
          </cell>
          <cell r="S126">
            <v>49490285757.398483</v>
          </cell>
          <cell r="T126">
            <v>25456341737.902832</v>
          </cell>
          <cell r="U126">
            <v>39584919199.12632</v>
          </cell>
          <cell r="V126">
            <v>15850836399.127573</v>
          </cell>
          <cell r="W126">
            <v>18341255647.441944</v>
          </cell>
          <cell r="GY126">
            <v>0</v>
          </cell>
          <cell r="GZ126">
            <v>0</v>
          </cell>
          <cell r="HA126">
            <v>0</v>
          </cell>
          <cell r="HB126">
            <v>0</v>
          </cell>
          <cell r="HC126">
            <v>0</v>
          </cell>
        </row>
        <row r="127">
          <cell r="H127">
            <v>105224362809.69826</v>
          </cell>
          <cell r="I127">
            <v>46128386672.552727</v>
          </cell>
          <cell r="J127">
            <v>77981548865.012085</v>
          </cell>
          <cell r="K127">
            <v>28789233270.806641</v>
          </cell>
          <cell r="L127">
            <v>33481325810.462681</v>
          </cell>
          <cell r="S127">
            <v>53844203000.023682</v>
          </cell>
          <cell r="T127">
            <v>27653513108.709927</v>
          </cell>
          <cell r="U127">
            <v>42905279367.105202</v>
          </cell>
          <cell r="V127">
            <v>17239844341.798851</v>
          </cell>
          <cell r="W127">
            <v>19945962374.257969</v>
          </cell>
          <cell r="GY127">
            <v>0</v>
          </cell>
          <cell r="GZ127">
            <v>0</v>
          </cell>
          <cell r="HA127">
            <v>0</v>
          </cell>
          <cell r="HB127">
            <v>0</v>
          </cell>
          <cell r="HC127">
            <v>0</v>
          </cell>
        </row>
        <row r="128">
          <cell r="H128">
            <v>114372077142.91963</v>
          </cell>
          <cell r="I128">
            <v>50138680706.99559</v>
          </cell>
          <cell r="J128">
            <v>84999728736.480606</v>
          </cell>
          <cell r="K128">
            <v>31421708802.698982</v>
          </cell>
          <cell r="L128">
            <v>36564120718.935089</v>
          </cell>
          <cell r="S128">
            <v>58577094541.48732</v>
          </cell>
          <cell r="T128">
            <v>30095483766.541317</v>
          </cell>
          <cell r="U128">
            <v>46808195142.122749</v>
          </cell>
          <cell r="V128">
            <v>18840785574.36034</v>
          </cell>
          <cell r="W128">
            <v>21818556511.21616</v>
          </cell>
          <cell r="GY128">
            <v>0</v>
          </cell>
          <cell r="GZ128">
            <v>0</v>
          </cell>
          <cell r="HA128">
            <v>0</v>
          </cell>
          <cell r="HB128">
            <v>0</v>
          </cell>
          <cell r="HC128">
            <v>0</v>
          </cell>
        </row>
        <row r="129">
          <cell r="H129">
            <v>125060070740.44223</v>
          </cell>
          <cell r="I129">
            <v>55403227870.074722</v>
          </cell>
          <cell r="J129">
            <v>93097667761.585617</v>
          </cell>
          <cell r="K129">
            <v>34728732129.676018</v>
          </cell>
          <cell r="L129">
            <v>40159402520.215607</v>
          </cell>
          <cell r="S129">
            <v>63673155027.348228</v>
          </cell>
          <cell r="T129">
            <v>32839743908.871861</v>
          </cell>
          <cell r="U129">
            <v>50968399028.193268</v>
          </cell>
          <cell r="V129">
            <v>20562680219.636929</v>
          </cell>
          <cell r="W129">
            <v>23835947825.09206</v>
          </cell>
          <cell r="GY129">
            <v>0</v>
          </cell>
          <cell r="GZ129">
            <v>0</v>
          </cell>
          <cell r="HA129">
            <v>0</v>
          </cell>
          <cell r="HB129">
            <v>0</v>
          </cell>
          <cell r="HC129">
            <v>0</v>
          </cell>
        </row>
        <row r="130">
          <cell r="H130">
            <v>136714709976.91808</v>
          </cell>
          <cell r="I130">
            <v>60862766867.964218</v>
          </cell>
          <cell r="J130">
            <v>101924461483.21585</v>
          </cell>
          <cell r="K130">
            <v>38248000508.556992</v>
          </cell>
          <cell r="L130">
            <v>43628955463.762291</v>
          </cell>
          <cell r="S130">
            <v>69224275854.944977</v>
          </cell>
          <cell r="T130">
            <v>35685647802.084297</v>
          </cell>
          <cell r="U130">
            <v>55497731220.84716</v>
          </cell>
          <cell r="V130">
            <v>22394797149.571461</v>
          </cell>
          <cell r="W130">
            <v>25780644919.601429</v>
          </cell>
          <cell r="GY130">
            <v>0</v>
          </cell>
          <cell r="GZ130">
            <v>0</v>
          </cell>
          <cell r="HA130">
            <v>0</v>
          </cell>
          <cell r="HB130">
            <v>0</v>
          </cell>
          <cell r="HC130">
            <v>0</v>
          </cell>
        </row>
        <row r="131">
          <cell r="H131">
            <v>149235108739.9364</v>
          </cell>
          <cell r="I131">
            <v>67004793370.455536</v>
          </cell>
          <cell r="J131">
            <v>111335465069.77287</v>
          </cell>
          <cell r="K131">
            <v>41790267341.478058</v>
          </cell>
          <cell r="L131">
            <v>47336659929.902954</v>
          </cell>
          <cell r="S131">
            <v>75186917449.828262</v>
          </cell>
          <cell r="T131">
            <v>38883292431.356964</v>
          </cell>
          <cell r="U131">
            <v>60326235217.846878</v>
          </cell>
          <cell r="V131">
            <v>24237031146.382969</v>
          </cell>
          <cell r="W131">
            <v>27858531632.573109</v>
          </cell>
          <cell r="GY131">
            <v>0</v>
          </cell>
          <cell r="GZ131">
            <v>0</v>
          </cell>
          <cell r="HA131">
            <v>0</v>
          </cell>
          <cell r="HB131">
            <v>0</v>
          </cell>
          <cell r="HC131">
            <v>0</v>
          </cell>
        </row>
        <row r="132">
          <cell r="H132">
            <v>162916546870.34897</v>
          </cell>
          <cell r="I132">
            <v>73465213702.952682</v>
          </cell>
          <cell r="J132">
            <v>120802537440.02954</v>
          </cell>
          <cell r="K132">
            <v>45462221365.553291</v>
          </cell>
          <cell r="L132">
            <v>51440640362.863922</v>
          </cell>
          <cell r="S132">
            <v>81694956346.136993</v>
          </cell>
          <cell r="T132">
            <v>42246561210.939178</v>
          </cell>
          <cell r="U132">
            <v>65178602772.581635</v>
          </cell>
          <cell r="V132">
            <v>26146258206.519897</v>
          </cell>
          <cell r="W132">
            <v>30156771340.782314</v>
          </cell>
          <cell r="GY132">
            <v>0</v>
          </cell>
          <cell r="GZ132">
            <v>0</v>
          </cell>
          <cell r="HA132">
            <v>0</v>
          </cell>
          <cell r="HB132">
            <v>0</v>
          </cell>
          <cell r="HC132">
            <v>0</v>
          </cell>
        </row>
        <row r="133">
          <cell r="H133">
            <v>177579949187.8577</v>
          </cell>
          <cell r="I133">
            <v>80023595311.625885</v>
          </cell>
          <cell r="J133">
            <v>130796495385.48137</v>
          </cell>
          <cell r="K133">
            <v>49537490631.713631</v>
          </cell>
          <cell r="L133">
            <v>55937904665.073662</v>
          </cell>
          <cell r="S133">
            <v>88670099728.354874</v>
          </cell>
          <cell r="T133">
            <v>45657117176.431213</v>
          </cell>
          <cell r="U133">
            <v>70299826154.370422</v>
          </cell>
          <cell r="V133">
            <v>28263808821.11282</v>
          </cell>
          <cell r="W133">
            <v>32674137182.325294</v>
          </cell>
          <cell r="GY133">
            <v>0</v>
          </cell>
          <cell r="GZ133">
            <v>0</v>
          </cell>
          <cell r="HA133">
            <v>0</v>
          </cell>
          <cell r="HB133">
            <v>0</v>
          </cell>
          <cell r="HC133">
            <v>0</v>
          </cell>
        </row>
        <row r="134">
          <cell r="H134">
            <v>193631273890.70422</v>
          </cell>
          <cell r="I134">
            <v>87568366134.758118</v>
          </cell>
          <cell r="J134">
            <v>142822566945.43823</v>
          </cell>
          <cell r="K134">
            <v>54452260726.002953</v>
          </cell>
          <cell r="L134">
            <v>61142504128.747719</v>
          </cell>
          <cell r="S134">
            <v>96296013985.298859</v>
          </cell>
          <cell r="T134">
            <v>49580009599.2696</v>
          </cell>
          <cell r="U134">
            <v>76458053709.416367</v>
          </cell>
          <cell r="V134">
            <v>30816185223.021057</v>
          </cell>
          <cell r="W134">
            <v>35585843741.21032</v>
          </cell>
          <cell r="GY134">
            <v>0</v>
          </cell>
          <cell r="GZ134">
            <v>0</v>
          </cell>
          <cell r="HA134">
            <v>0</v>
          </cell>
          <cell r="HB134">
            <v>0</v>
          </cell>
          <cell r="HC134">
            <v>0</v>
          </cell>
        </row>
        <row r="135">
          <cell r="H135">
            <v>210836777259.47821</v>
          </cell>
          <cell r="I135">
            <v>95920522669.741318</v>
          </cell>
          <cell r="J135">
            <v>155956990713.22629</v>
          </cell>
          <cell r="K135">
            <v>59740350995.289795</v>
          </cell>
          <cell r="L135">
            <v>66888053723.103798</v>
          </cell>
          <cell r="S135">
            <v>104470215082.58394</v>
          </cell>
          <cell r="T135">
            <v>53918984952.780212</v>
          </cell>
          <cell r="U135">
            <v>83180516292.908936</v>
          </cell>
          <cell r="V135">
            <v>33560939972.294506</v>
          </cell>
          <cell r="W135">
            <v>38798254099.837242</v>
          </cell>
          <cell r="GY135">
            <v>0</v>
          </cell>
          <cell r="GZ135">
            <v>0</v>
          </cell>
          <cell r="HA135">
            <v>0</v>
          </cell>
          <cell r="HB135">
            <v>0</v>
          </cell>
          <cell r="HC135">
            <v>0</v>
          </cell>
        </row>
        <row r="136">
          <cell r="H136">
            <v>229621649628.39725</v>
          </cell>
          <cell r="I136">
            <v>104842256429.95137</v>
          </cell>
          <cell r="J136">
            <v>169942832272.45023</v>
          </cell>
          <cell r="K136">
            <v>65449919539.359222</v>
          </cell>
          <cell r="L136">
            <v>72744016513.450348</v>
          </cell>
          <cell r="S136">
            <v>114274952542.22496</v>
          </cell>
          <cell r="T136">
            <v>59324505995.73101</v>
          </cell>
          <cell r="U136">
            <v>90979276932.665283</v>
          </cell>
          <cell r="V136">
            <v>37016298457.178024</v>
          </cell>
          <cell r="W136">
            <v>42340535083.208153</v>
          </cell>
          <cell r="GY136">
            <v>0</v>
          </cell>
          <cell r="GZ136">
            <v>0</v>
          </cell>
          <cell r="HA136">
            <v>0</v>
          </cell>
          <cell r="HB136">
            <v>0</v>
          </cell>
          <cell r="HC136">
            <v>0</v>
          </cell>
        </row>
        <row r="137">
          <cell r="H137">
            <v>249801041104.81223</v>
          </cell>
          <cell r="I137">
            <v>114566420454.41464</v>
          </cell>
          <cell r="J137">
            <v>185387316037.19974</v>
          </cell>
          <cell r="K137">
            <v>71337306717.483963</v>
          </cell>
          <cell r="L137">
            <v>78865927376.398575</v>
          </cell>
          <cell r="S137">
            <v>124806181146.29106</v>
          </cell>
          <cell r="T137">
            <v>65211928019.755936</v>
          </cell>
          <cell r="U137">
            <v>99586761015.997269</v>
          </cell>
          <cell r="V137">
            <v>40577663691.599007</v>
          </cell>
          <cell r="W137">
            <v>46041351254.594933</v>
          </cell>
          <cell r="GY137">
            <v>0</v>
          </cell>
          <cell r="GZ137">
            <v>0</v>
          </cell>
          <cell r="HA137">
            <v>0</v>
          </cell>
          <cell r="HB137">
            <v>0</v>
          </cell>
          <cell r="HC137">
            <v>0</v>
          </cell>
        </row>
        <row r="138">
          <cell r="H138">
            <v>271777489222.35016</v>
          </cell>
          <cell r="I138">
            <v>125074650326.86731</v>
          </cell>
          <cell r="J138">
            <v>200981056679.42447</v>
          </cell>
          <cell r="K138">
            <v>77355292707.82135</v>
          </cell>
          <cell r="L138">
            <v>85354984661.962555</v>
          </cell>
          <cell r="S138">
            <v>136264909651.98386</v>
          </cell>
          <cell r="T138">
            <v>71571375492.998169</v>
          </cell>
          <cell r="U138">
            <v>108273207762.14041</v>
          </cell>
          <cell r="V138">
            <v>44215655222.480934</v>
          </cell>
          <cell r="W138">
            <v>49963180467.654839</v>
          </cell>
          <cell r="GY138">
            <v>0</v>
          </cell>
          <cell r="GZ138">
            <v>0</v>
          </cell>
          <cell r="HA138">
            <v>0</v>
          </cell>
          <cell r="HB138">
            <v>0</v>
          </cell>
          <cell r="HC138">
            <v>0</v>
          </cell>
        </row>
        <row r="139">
          <cell r="H139">
            <v>295434759006.02161</v>
          </cell>
          <cell r="I139">
            <v>135868135503.78285</v>
          </cell>
          <cell r="J139">
            <v>217297935625.48566</v>
          </cell>
          <cell r="K139">
            <v>83880083102.770721</v>
          </cell>
          <cell r="L139">
            <v>92560670261.538696</v>
          </cell>
          <cell r="S139">
            <v>148597011809.52551</v>
          </cell>
          <cell r="T139">
            <v>78099691193.432602</v>
          </cell>
          <cell r="U139">
            <v>117356862417.071</v>
          </cell>
          <cell r="V139">
            <v>48159289399.697708</v>
          </cell>
          <cell r="W139">
            <v>54314536314.49028</v>
          </cell>
          <cell r="GY139">
            <v>0</v>
          </cell>
          <cell r="GZ139">
            <v>0</v>
          </cell>
          <cell r="HA139">
            <v>0</v>
          </cell>
          <cell r="HB139">
            <v>0</v>
          </cell>
          <cell r="HC139">
            <v>0</v>
          </cell>
        </row>
        <row r="140">
          <cell r="H140">
            <v>321136585051.16266</v>
          </cell>
          <cell r="I140">
            <v>147813478313.57523</v>
          </cell>
          <cell r="J140">
            <v>235694131288.65347</v>
          </cell>
          <cell r="K140">
            <v>91450154916.581894</v>
          </cell>
          <cell r="L140">
            <v>100742876405.44398</v>
          </cell>
          <cell r="S140">
            <v>161984825451.99026</v>
          </cell>
          <cell r="T140">
            <v>85320887129.295792</v>
          </cell>
          <cell r="U140">
            <v>127595539136.40466</v>
          </cell>
          <cell r="V140">
            <v>52730690107.206947</v>
          </cell>
          <cell r="W140">
            <v>59255142167.151237</v>
          </cell>
          <cell r="GY140">
            <v>0</v>
          </cell>
          <cell r="GZ140">
            <v>0</v>
          </cell>
          <cell r="HA140">
            <v>0</v>
          </cell>
          <cell r="HB140">
            <v>0</v>
          </cell>
          <cell r="HC140">
            <v>0</v>
          </cell>
        </row>
        <row r="141">
          <cell r="H141">
            <v>348859852131.8988</v>
          </cell>
          <cell r="I141">
            <v>161067255067.81232</v>
          </cell>
          <cell r="J141">
            <v>257130198973.3035</v>
          </cell>
          <cell r="K141">
            <v>99936128349.205597</v>
          </cell>
          <cell r="L141">
            <v>109934403876.85225</v>
          </cell>
          <cell r="S141">
            <v>176420516922.81418</v>
          </cell>
          <cell r="T141">
            <v>93329789708.214188</v>
          </cell>
          <cell r="U141">
            <v>139516394624.42886</v>
          </cell>
          <cell r="V141">
            <v>57854626530.164993</v>
          </cell>
          <cell r="W141">
            <v>64800031022.185562</v>
          </cell>
          <cell r="GY141">
            <v>0</v>
          </cell>
          <cell r="GZ141">
            <v>0</v>
          </cell>
          <cell r="HA141">
            <v>0</v>
          </cell>
          <cell r="HB141">
            <v>0</v>
          </cell>
          <cell r="HC141">
            <v>0</v>
          </cell>
        </row>
        <row r="142">
          <cell r="H142">
            <v>378909039796.15338</v>
          </cell>
          <cell r="I142">
            <v>175555841413.09085</v>
          </cell>
          <cell r="J142">
            <v>279481688747.75781</v>
          </cell>
          <cell r="K142">
            <v>109025898997.52747</v>
          </cell>
          <cell r="L142">
            <v>119501330507.47713</v>
          </cell>
          <cell r="S142">
            <v>192057750178.05966</v>
          </cell>
          <cell r="T142">
            <v>102079129938.88101</v>
          </cell>
          <cell r="U142">
            <v>151943992301.62073</v>
          </cell>
          <cell r="V142">
            <v>63338129475.620041</v>
          </cell>
          <cell r="W142">
            <v>70571095896.995529</v>
          </cell>
          <cell r="GY142">
            <v>0</v>
          </cell>
          <cell r="GZ142">
            <v>0</v>
          </cell>
          <cell r="HA142">
            <v>0</v>
          </cell>
          <cell r="HB142">
            <v>0</v>
          </cell>
          <cell r="HC142">
            <v>0</v>
          </cell>
        </row>
        <row r="143">
          <cell r="H143">
            <v>411384427750.88135</v>
          </cell>
          <cell r="I143">
            <v>190920141239.58368</v>
          </cell>
          <cell r="J143">
            <v>303735432951.63245</v>
          </cell>
          <cell r="K143">
            <v>118616110798.59105</v>
          </cell>
          <cell r="L143">
            <v>129180324651.16736</v>
          </cell>
          <cell r="S143">
            <v>208949953916.2847</v>
          </cell>
          <cell r="T143">
            <v>111354470877.16901</v>
          </cell>
          <cell r="U143">
            <v>165418005255.19266</v>
          </cell>
          <cell r="V143">
            <v>69123307597.439178</v>
          </cell>
          <cell r="W143">
            <v>76404303034.259506</v>
          </cell>
          <cell r="GY143">
            <v>0</v>
          </cell>
          <cell r="GZ143">
            <v>0</v>
          </cell>
          <cell r="HA143">
            <v>0</v>
          </cell>
          <cell r="HB143">
            <v>0</v>
          </cell>
          <cell r="HC143">
            <v>0</v>
          </cell>
        </row>
        <row r="144">
          <cell r="H144">
            <v>446505564122.84058</v>
          </cell>
          <cell r="I144">
            <v>207729088766.95813</v>
          </cell>
          <cell r="J144">
            <v>329565430150.5636</v>
          </cell>
          <cell r="K144">
            <v>128381545248.56953</v>
          </cell>
          <cell r="L144">
            <v>139575023910.1795</v>
          </cell>
          <cell r="S144">
            <v>227209553326.68054</v>
          </cell>
          <cell r="T144">
            <v>121494651179.00903</v>
          </cell>
          <cell r="U144">
            <v>179766416764.55963</v>
          </cell>
          <cell r="V144">
            <v>75008609425.959534</v>
          </cell>
          <cell r="W144">
            <v>82668841787.690826</v>
          </cell>
          <cell r="GY144">
            <v>0</v>
          </cell>
          <cell r="GZ144">
            <v>0</v>
          </cell>
          <cell r="HA144">
            <v>0</v>
          </cell>
          <cell r="HB144">
            <v>0</v>
          </cell>
          <cell r="HC144">
            <v>0</v>
          </cell>
        </row>
        <row r="145">
          <cell r="H145">
            <v>484533343340.31091</v>
          </cell>
          <cell r="I145">
            <v>225564319249.78842</v>
          </cell>
          <cell r="J145">
            <v>355871705673.57068</v>
          </cell>
          <cell r="K145">
            <v>138735085937.16049</v>
          </cell>
          <cell r="L145">
            <v>151055926071.59375</v>
          </cell>
          <cell r="S145">
            <v>246969637526.19858</v>
          </cell>
          <cell r="T145">
            <v>132251923028.27649</v>
          </cell>
          <cell r="U145">
            <v>194366305555.83539</v>
          </cell>
          <cell r="V145">
            <v>81248343280.950348</v>
          </cell>
          <cell r="W145">
            <v>89582479731.364243</v>
          </cell>
          <cell r="GY145">
            <v>0</v>
          </cell>
          <cell r="GZ145">
            <v>0</v>
          </cell>
          <cell r="HA145">
            <v>0</v>
          </cell>
          <cell r="HB145">
            <v>0</v>
          </cell>
          <cell r="HC145">
            <v>0</v>
          </cell>
        </row>
        <row r="146">
          <cell r="H146">
            <v>525570380012.08191</v>
          </cell>
          <cell r="I146">
            <v>244344790213.01895</v>
          </cell>
          <cell r="J146">
            <v>384335817611.06232</v>
          </cell>
          <cell r="K146">
            <v>150547889669.78738</v>
          </cell>
          <cell r="L146">
            <v>163665519582.43341</v>
          </cell>
          <cell r="S146">
            <v>268285725375.99802</v>
          </cell>
          <cell r="T146">
            <v>143570286862.11676</v>
          </cell>
          <cell r="U146">
            <v>210163785836.39996</v>
          </cell>
          <cell r="V146">
            <v>88361995239.648788</v>
          </cell>
          <cell r="W146">
            <v>97174643363.545197</v>
          </cell>
          <cell r="GY146">
            <v>0</v>
          </cell>
          <cell r="GZ146">
            <v>0</v>
          </cell>
          <cell r="HA146">
            <v>0</v>
          </cell>
          <cell r="HB146">
            <v>0</v>
          </cell>
          <cell r="HC146">
            <v>0</v>
          </cell>
        </row>
        <row r="147">
          <cell r="H147">
            <v>570083743562.99841</v>
          </cell>
          <cell r="I147">
            <v>265246854429.50488</v>
          </cell>
          <cell r="J147">
            <v>418128819141.14478</v>
          </cell>
          <cell r="K147">
            <v>163883348156.66107</v>
          </cell>
          <cell r="L147">
            <v>177991133138.06726</v>
          </cell>
          <cell r="S147">
            <v>291393081342.2019</v>
          </cell>
          <cell r="T147">
            <v>156166759329.49374</v>
          </cell>
          <cell r="U147">
            <v>228903081132.90881</v>
          </cell>
          <cell r="V147">
            <v>96391197993.525604</v>
          </cell>
          <cell r="W147">
            <v>105794390094.37897</v>
          </cell>
          <cell r="GY147">
            <v>0</v>
          </cell>
          <cell r="GZ147">
            <v>0</v>
          </cell>
          <cell r="HA147">
            <v>0</v>
          </cell>
          <cell r="HB147">
            <v>0</v>
          </cell>
          <cell r="HC147">
            <v>0</v>
          </cell>
        </row>
        <row r="148">
          <cell r="H148">
            <v>618019473750.25256</v>
          </cell>
          <cell r="I148">
            <v>288452562092.11169</v>
          </cell>
          <cell r="J148">
            <v>453893767358.70905</v>
          </cell>
          <cell r="K148">
            <v>178358858991.31613</v>
          </cell>
          <cell r="L148">
            <v>193635344931.06833</v>
          </cell>
          <cell r="S148">
            <v>316270902826.03656</v>
          </cell>
          <cell r="T148">
            <v>170138782267.71252</v>
          </cell>
          <cell r="U148">
            <v>248733646019.8656</v>
          </cell>
          <cell r="V148">
            <v>105100861326.15939</v>
          </cell>
          <cell r="W148">
            <v>115205047059.83463</v>
          </cell>
          <cell r="GY148">
            <v>0</v>
          </cell>
          <cell r="GZ148">
            <v>0</v>
          </cell>
          <cell r="HA148">
            <v>0</v>
          </cell>
          <cell r="HB148">
            <v>0</v>
          </cell>
          <cell r="HC148">
            <v>0</v>
          </cell>
        </row>
        <row r="149">
          <cell r="H149">
            <v>670106373216.31873</v>
          </cell>
          <cell r="I149">
            <v>312920924699.15076</v>
          </cell>
          <cell r="J149">
            <v>492691101561.45703</v>
          </cell>
          <cell r="K149">
            <v>193882802595.7601</v>
          </cell>
          <cell r="L149">
            <v>209425480398.59247</v>
          </cell>
          <cell r="S149">
            <v>343284078980.65155</v>
          </cell>
          <cell r="T149">
            <v>184871042476.13919</v>
          </cell>
          <cell r="U149">
            <v>270229142852.84756</v>
          </cell>
          <cell r="V149">
            <v>114439171874.84804</v>
          </cell>
          <cell r="W149">
            <v>124697869244.23665</v>
          </cell>
          <cell r="GY149">
            <v>0</v>
          </cell>
          <cell r="GZ149">
            <v>0</v>
          </cell>
          <cell r="HA149">
            <v>0</v>
          </cell>
          <cell r="HB149">
            <v>0</v>
          </cell>
          <cell r="HC149">
            <v>0</v>
          </cell>
        </row>
        <row r="150">
          <cell r="H150">
            <v>726085062017.23816</v>
          </cell>
          <cell r="I150">
            <v>340170094102.14642</v>
          </cell>
          <cell r="J150">
            <v>534533583987.12097</v>
          </cell>
          <cell r="K150">
            <v>209881195102.63318</v>
          </cell>
          <cell r="L150">
            <v>226110456794.47375</v>
          </cell>
          <cell r="S150">
            <v>372311554958.08752</v>
          </cell>
          <cell r="T150">
            <v>201263220551.88</v>
          </cell>
          <cell r="U150">
            <v>293408250389.19135</v>
          </cell>
          <cell r="V150">
            <v>124057079649.64798</v>
          </cell>
          <cell r="W150">
            <v>134725708593.27638</v>
          </cell>
          <cell r="GY150">
            <v>0</v>
          </cell>
          <cell r="GZ150">
            <v>0</v>
          </cell>
          <cell r="HA150">
            <v>0</v>
          </cell>
          <cell r="HB150">
            <v>0</v>
          </cell>
          <cell r="HC150">
            <v>0</v>
          </cell>
        </row>
        <row r="151">
          <cell r="H151">
            <v>787013598143.82764</v>
          </cell>
          <cell r="I151">
            <v>368731476400.29327</v>
          </cell>
          <cell r="J151">
            <v>577069878315.85144</v>
          </cell>
          <cell r="K151">
            <v>226375678370.86743</v>
          </cell>
          <cell r="L151">
            <v>243750979121.71887</v>
          </cell>
          <cell r="S151">
            <v>403881197987.73981</v>
          </cell>
          <cell r="T151">
            <v>218444103476.72925</v>
          </cell>
          <cell r="U151">
            <v>316956059554.94287</v>
          </cell>
          <cell r="V151">
            <v>133970430704.79884</v>
          </cell>
          <cell r="W151">
            <v>145323583491.75055</v>
          </cell>
          <cell r="GY151">
            <v>0</v>
          </cell>
          <cell r="GZ151">
            <v>0</v>
          </cell>
          <cell r="HA151">
            <v>0</v>
          </cell>
          <cell r="HB151">
            <v>0</v>
          </cell>
          <cell r="HC151">
            <v>0</v>
          </cell>
        </row>
        <row r="152">
          <cell r="H152">
            <v>852367273007.60999</v>
          </cell>
          <cell r="I152">
            <v>398382678949.46796</v>
          </cell>
          <cell r="J152">
            <v>621749656689.26929</v>
          </cell>
          <cell r="K152">
            <v>243927845966.18759</v>
          </cell>
          <cell r="L152">
            <v>262985251299.20328</v>
          </cell>
          <cell r="S152">
            <v>437742340876.08801</v>
          </cell>
          <cell r="T152">
            <v>236266866524.91678</v>
          </cell>
          <cell r="U152">
            <v>341685016202.15747</v>
          </cell>
          <cell r="V152">
            <v>144515369002.23715</v>
          </cell>
          <cell r="W152">
            <v>156873692342.74612</v>
          </cell>
          <cell r="GY152">
            <v>0</v>
          </cell>
          <cell r="GZ152">
            <v>0</v>
          </cell>
          <cell r="HA152">
            <v>0</v>
          </cell>
          <cell r="HB152">
            <v>0</v>
          </cell>
          <cell r="HC152">
            <v>0</v>
          </cell>
        </row>
        <row r="153">
          <cell r="H153">
            <v>923615215556.48669</v>
          </cell>
          <cell r="I153">
            <v>431780937570.57935</v>
          </cell>
          <cell r="J153">
            <v>673892843869.9082</v>
          </cell>
          <cell r="K153">
            <v>265070702807.0524</v>
          </cell>
          <cell r="L153">
            <v>284908036786.44</v>
          </cell>
          <cell r="S153">
            <v>474626235276.98303</v>
          </cell>
          <cell r="T153">
            <v>256339557312.35239</v>
          </cell>
          <cell r="U153">
            <v>370531079870.65564</v>
          </cell>
          <cell r="V153">
            <v>157211575839.6795</v>
          </cell>
          <cell r="W153">
            <v>170035074734.42068</v>
          </cell>
          <cell r="GY153">
            <v>0</v>
          </cell>
          <cell r="GZ153">
            <v>0</v>
          </cell>
          <cell r="HA153">
            <v>0</v>
          </cell>
          <cell r="HB153">
            <v>0</v>
          </cell>
          <cell r="HC153">
            <v>0</v>
          </cell>
        </row>
        <row r="154">
          <cell r="H154">
            <v>999976869640.68359</v>
          </cell>
          <cell r="I154">
            <v>468164189825.75952</v>
          </cell>
          <cell r="J154">
            <v>730501075756.41077</v>
          </cell>
          <cell r="K154">
            <v>287428998512.01672</v>
          </cell>
          <cell r="L154">
            <v>308841995851.32703</v>
          </cell>
          <cell r="S154">
            <v>514157414490.85352</v>
          </cell>
          <cell r="T154">
            <v>278192614352.03113</v>
          </cell>
          <cell r="U154">
            <v>401835302386.90906</v>
          </cell>
          <cell r="V154">
            <v>170633710554.41882</v>
          </cell>
          <cell r="W154">
            <v>184395450173.35294</v>
          </cell>
          <cell r="GY154">
            <v>0</v>
          </cell>
          <cell r="GZ154">
            <v>0</v>
          </cell>
          <cell r="HA154">
            <v>0</v>
          </cell>
          <cell r="HB154">
            <v>0</v>
          </cell>
          <cell r="HC154">
            <v>0</v>
          </cell>
        </row>
        <row r="155">
          <cell r="H155">
            <v>1086434989779.0206</v>
          </cell>
          <cell r="I155">
            <v>510005547749.84259</v>
          </cell>
          <cell r="J155">
            <v>793351992801.45483</v>
          </cell>
          <cell r="K155">
            <v>313407557997.33728</v>
          </cell>
          <cell r="L155">
            <v>336687528203.66656</v>
          </cell>
          <cell r="S155">
            <v>559149987062.13489</v>
          </cell>
          <cell r="T155">
            <v>303318194048.37878</v>
          </cell>
          <cell r="U155">
            <v>436687623820.15613</v>
          </cell>
          <cell r="V155">
            <v>186220846245.61111</v>
          </cell>
          <cell r="W155">
            <v>201099539361.18704</v>
          </cell>
          <cell r="GY155">
            <v>0</v>
          </cell>
          <cell r="GZ155">
            <v>0</v>
          </cell>
          <cell r="HA155">
            <v>0</v>
          </cell>
          <cell r="HB155">
            <v>0</v>
          </cell>
          <cell r="HC155">
            <v>0</v>
          </cell>
        </row>
        <row r="156">
          <cell r="H156">
            <v>1179190568578.5801</v>
          </cell>
          <cell r="I156">
            <v>555662497599.43469</v>
          </cell>
          <cell r="J156">
            <v>861945942006.36243</v>
          </cell>
          <cell r="K156">
            <v>343156235873.26385</v>
          </cell>
          <cell r="L156">
            <v>372250143675.60516</v>
          </cell>
          <cell r="S156">
            <v>607417418915.44067</v>
          </cell>
          <cell r="T156">
            <v>330720624675.96942</v>
          </cell>
          <cell r="U156">
            <v>474707974607.64502</v>
          </cell>
          <cell r="V156">
            <v>204065561942.63797</v>
          </cell>
          <cell r="W156">
            <v>222420052234.05194</v>
          </cell>
          <cell r="GY156">
            <v>0</v>
          </cell>
          <cell r="GZ156">
            <v>0</v>
          </cell>
          <cell r="HA156">
            <v>0</v>
          </cell>
          <cell r="HB156">
            <v>0</v>
          </cell>
          <cell r="HC156">
            <v>0</v>
          </cell>
        </row>
        <row r="157">
          <cell r="H157">
            <v>1280061557349.7463</v>
          </cell>
          <cell r="I157">
            <v>604410678890.49646</v>
          </cell>
          <cell r="J157">
            <v>941264409624.19263</v>
          </cell>
          <cell r="K157">
            <v>379520880200.10223</v>
          </cell>
          <cell r="L157">
            <v>391793980065.21851</v>
          </cell>
          <cell r="S157">
            <v>659871158744.69971</v>
          </cell>
          <cell r="T157">
            <v>359969533450.60651</v>
          </cell>
          <cell r="U157">
            <v>518657636657.70544</v>
          </cell>
          <cell r="V157">
            <v>225866907462.32529</v>
          </cell>
          <cell r="W157">
            <v>234136980525.18704</v>
          </cell>
          <cell r="GY157">
            <v>0</v>
          </cell>
          <cell r="GZ157">
            <v>0</v>
          </cell>
          <cell r="HA157">
            <v>0</v>
          </cell>
          <cell r="HB157">
            <v>0</v>
          </cell>
          <cell r="HC157">
            <v>0</v>
          </cell>
        </row>
        <row r="158">
          <cell r="H158">
            <v>1388460450951.187</v>
          </cell>
          <cell r="I158">
            <v>663244589368.23376</v>
          </cell>
          <cell r="J158">
            <v>1034240300582.4214</v>
          </cell>
          <cell r="K158">
            <v>398319039501.15277</v>
          </cell>
          <cell r="L158">
            <v>391793980065.21851</v>
          </cell>
          <cell r="S158">
            <v>716232319960.30762</v>
          </cell>
          <cell r="T158">
            <v>395253422604.3772</v>
          </cell>
          <cell r="U158">
            <v>570151249574.56335</v>
          </cell>
          <cell r="V158">
            <v>237136787139.21408</v>
          </cell>
          <cell r="W158">
            <v>234136980525.18704</v>
          </cell>
          <cell r="GY158">
            <v>0</v>
          </cell>
          <cell r="GZ158">
            <v>0</v>
          </cell>
          <cell r="HA158">
            <v>0</v>
          </cell>
          <cell r="HB158">
            <v>0</v>
          </cell>
          <cell r="HC158">
            <v>0</v>
          </cell>
        </row>
        <row r="159">
          <cell r="H159">
            <v>1506118949803.4893</v>
          </cell>
          <cell r="I159">
            <v>724852792071.99792</v>
          </cell>
          <cell r="J159">
            <v>1075964006587.0012</v>
          </cell>
          <cell r="K159">
            <v>398319039501.15277</v>
          </cell>
          <cell r="L159">
            <v>391793980065.21851</v>
          </cell>
          <cell r="S159">
            <v>777371311157.50122</v>
          </cell>
          <cell r="T159">
            <v>432188795927.97675</v>
          </cell>
          <cell r="U159">
            <v>593259437560.86487</v>
          </cell>
          <cell r="V159">
            <v>237136787139.21408</v>
          </cell>
          <cell r="W159">
            <v>234136980525.18704</v>
          </cell>
          <cell r="GY159">
            <v>0</v>
          </cell>
          <cell r="GZ159">
            <v>0</v>
          </cell>
          <cell r="HA159">
            <v>0</v>
          </cell>
          <cell r="HB159">
            <v>0</v>
          </cell>
          <cell r="HC159">
            <v>0</v>
          </cell>
        </row>
        <row r="160">
          <cell r="H160">
            <v>1632762491336.0952</v>
          </cell>
          <cell r="I160">
            <v>749219731079.88489</v>
          </cell>
          <cell r="J160">
            <v>1075964006587.0012</v>
          </cell>
          <cell r="K160">
            <v>398319039501.15277</v>
          </cell>
          <cell r="L160">
            <v>391793980065.21851</v>
          </cell>
          <cell r="S160">
            <v>843165999342.55359</v>
          </cell>
          <cell r="T160">
            <v>446797272551.41022</v>
          </cell>
          <cell r="U160">
            <v>593259437560.86487</v>
          </cell>
          <cell r="V160">
            <v>237136787139.21408</v>
          </cell>
          <cell r="W160">
            <v>234136980525.18704</v>
          </cell>
          <cell r="GY160">
            <v>0</v>
          </cell>
          <cell r="GZ160">
            <v>0</v>
          </cell>
          <cell r="HA160">
            <v>0</v>
          </cell>
          <cell r="HB160">
            <v>0</v>
          </cell>
          <cell r="HC160">
            <v>0</v>
          </cell>
        </row>
        <row r="161">
          <cell r="H161">
            <v>1680628526342.5498</v>
          </cell>
          <cell r="I161">
            <v>749219731079.88489</v>
          </cell>
          <cell r="J161">
            <v>1075964006587.0012</v>
          </cell>
          <cell r="K161">
            <v>398319039501.15277</v>
          </cell>
          <cell r="L161">
            <v>391793980065.21851</v>
          </cell>
          <cell r="S161">
            <v>868033677629.1217</v>
          </cell>
          <cell r="T161">
            <v>446797272551.41022</v>
          </cell>
          <cell r="U161">
            <v>593259437560.86487</v>
          </cell>
          <cell r="V161">
            <v>237136787139.21408</v>
          </cell>
          <cell r="W161">
            <v>234136980525.18704</v>
          </cell>
          <cell r="GY161">
            <v>0</v>
          </cell>
          <cell r="GZ161">
            <v>0</v>
          </cell>
          <cell r="HA161">
            <v>0</v>
          </cell>
          <cell r="HB161">
            <v>0</v>
          </cell>
          <cell r="HC161">
            <v>0</v>
          </cell>
        </row>
        <row r="162">
          <cell r="H162">
            <v>1680628526342.5498</v>
          </cell>
          <cell r="I162">
            <v>749219731079.88489</v>
          </cell>
          <cell r="J162">
            <v>1075964006587.0012</v>
          </cell>
          <cell r="K162">
            <v>398319039501.15277</v>
          </cell>
          <cell r="L162">
            <v>391793980065.21851</v>
          </cell>
          <cell r="S162">
            <v>868033677629.1217</v>
          </cell>
          <cell r="T162">
            <v>446797272551.41022</v>
          </cell>
          <cell r="U162">
            <v>593259437560.86487</v>
          </cell>
          <cell r="V162">
            <v>237136787139.21408</v>
          </cell>
          <cell r="W162">
            <v>234136980525.18704</v>
          </cell>
          <cell r="GY162">
            <v>0</v>
          </cell>
          <cell r="GZ162">
            <v>0</v>
          </cell>
          <cell r="HA162">
            <v>0</v>
          </cell>
          <cell r="HB162">
            <v>0</v>
          </cell>
          <cell r="HC162">
            <v>0</v>
          </cell>
        </row>
        <row r="163">
          <cell r="H163">
            <v>1680628526342.5498</v>
          </cell>
          <cell r="I163">
            <v>749219731079.88489</v>
          </cell>
          <cell r="J163">
            <v>1075964006587.0012</v>
          </cell>
          <cell r="K163">
            <v>398319039501.15277</v>
          </cell>
          <cell r="L163">
            <v>391793980065.21851</v>
          </cell>
          <cell r="S163">
            <v>868033677629.1217</v>
          </cell>
          <cell r="T163">
            <v>446797272551.41022</v>
          </cell>
          <cell r="U163">
            <v>593259437560.86487</v>
          </cell>
          <cell r="V163">
            <v>237136787139.21408</v>
          </cell>
          <cell r="W163">
            <v>234136980525.18704</v>
          </cell>
          <cell r="GY163">
            <v>0</v>
          </cell>
          <cell r="GZ163">
            <v>0</v>
          </cell>
          <cell r="HA163">
            <v>0</v>
          </cell>
          <cell r="HB163">
            <v>0</v>
          </cell>
          <cell r="HC163">
            <v>0</v>
          </cell>
        </row>
        <row r="164">
          <cell r="H164">
            <v>1680628526342.5498</v>
          </cell>
          <cell r="I164">
            <v>749219731079.88489</v>
          </cell>
          <cell r="J164">
            <v>1075964006587.0012</v>
          </cell>
          <cell r="K164">
            <v>398319039501.15277</v>
          </cell>
          <cell r="L164">
            <v>391793980065.21851</v>
          </cell>
          <cell r="S164">
            <v>868033677629.1217</v>
          </cell>
          <cell r="T164">
            <v>446797272551.41022</v>
          </cell>
          <cell r="U164">
            <v>593259437560.86487</v>
          </cell>
          <cell r="V164">
            <v>237136787139.21408</v>
          </cell>
          <cell r="W164">
            <v>234136980525.18704</v>
          </cell>
          <cell r="GY164">
            <v>0</v>
          </cell>
          <cell r="GZ164">
            <v>0</v>
          </cell>
          <cell r="HA164">
            <v>0</v>
          </cell>
          <cell r="HB164">
            <v>0</v>
          </cell>
          <cell r="HC164">
            <v>0</v>
          </cell>
        </row>
        <row r="165">
          <cell r="H165">
            <v>1680628526342.5498</v>
          </cell>
          <cell r="I165">
            <v>749219731079.88489</v>
          </cell>
          <cell r="J165">
            <v>1075964006587.0012</v>
          </cell>
          <cell r="K165">
            <v>398319039501.15277</v>
          </cell>
          <cell r="L165">
            <v>391793980065.21851</v>
          </cell>
          <cell r="S165">
            <v>868033677629.1217</v>
          </cell>
          <cell r="T165">
            <v>446797272551.41022</v>
          </cell>
          <cell r="U165">
            <v>593259437560.86487</v>
          </cell>
          <cell r="V165">
            <v>237136787139.21408</v>
          </cell>
          <cell r="W165">
            <v>234136980525.18704</v>
          </cell>
          <cell r="GY165">
            <v>0</v>
          </cell>
          <cell r="GZ165">
            <v>0</v>
          </cell>
          <cell r="HA165">
            <v>0</v>
          </cell>
          <cell r="HB165">
            <v>0</v>
          </cell>
          <cell r="HC165">
            <v>0</v>
          </cell>
        </row>
      </sheetData>
      <sheetData sheetId="23">
        <row r="4">
          <cell r="L4">
            <v>1.9884843757322645E-6</v>
          </cell>
        </row>
      </sheetData>
      <sheetData sheetId="24">
        <row r="4">
          <cell r="K4">
            <v>1</v>
          </cell>
          <cell r="L4">
            <v>1040.8290938523678</v>
          </cell>
          <cell r="M4">
            <v>1168.9459581507617</v>
          </cell>
          <cell r="N4">
            <v>1452.2124024821205</v>
          </cell>
          <cell r="O4">
            <v>2510.7384873663395</v>
          </cell>
          <cell r="P4">
            <v>3045.4142587990791</v>
          </cell>
          <cell r="T4">
            <v>14501.586757446188</v>
          </cell>
          <cell r="U4">
            <v>19413.774658569058</v>
          </cell>
          <cell r="V4">
            <v>30743.43324713083</v>
          </cell>
          <cell r="W4">
            <v>76075.735892489582</v>
          </cell>
          <cell r="X4">
            <v>177081.61851071383</v>
          </cell>
        </row>
        <row r="5">
          <cell r="L5">
            <v>2156.3620956790364</v>
          </cell>
          <cell r="M5">
            <v>2445.0497143017019</v>
          </cell>
          <cell r="N5">
            <v>3068.6712544955481</v>
          </cell>
          <cell r="O5">
            <v>5380.4175575207919</v>
          </cell>
          <cell r="P5">
            <v>6628.3338916853827</v>
          </cell>
          <cell r="T5">
            <v>23029.73301240744</v>
          </cell>
          <cell r="U5">
            <v>30852.706313648192</v>
          </cell>
          <cell r="V5">
            <v>48565.976945013012</v>
          </cell>
          <cell r="W5">
            <v>119202.57463951432</v>
          </cell>
          <cell r="X5">
            <v>275217.83210346574</v>
          </cell>
        </row>
        <row r="6">
          <cell r="L6">
            <v>3351.9607636203054</v>
          </cell>
          <cell r="M6">
            <v>3828.7312439819634</v>
          </cell>
          <cell r="N6">
            <v>4848.3232135549188</v>
          </cell>
          <cell r="O6">
            <v>8568.4148851945793</v>
          </cell>
          <cell r="P6">
            <v>10613.271384865511</v>
          </cell>
          <cell r="T6">
            <v>31557.879267368698</v>
          </cell>
          <cell r="U6">
            <v>42153.667194105576</v>
          </cell>
          <cell r="V6">
            <v>66085.033913516148</v>
          </cell>
          <cell r="W6">
            <v>161353.53730486776</v>
          </cell>
          <cell r="X6">
            <v>371703.89103535452</v>
          </cell>
        </row>
        <row r="7">
          <cell r="L7">
            <v>4633.3716877635015</v>
          </cell>
          <cell r="M7">
            <v>5317.3930598263159</v>
          </cell>
          <cell r="N7">
            <v>6773.1961078923341</v>
          </cell>
          <cell r="O7">
            <v>12026.18588679313</v>
          </cell>
          <cell r="P7">
            <v>15024.645280892029</v>
          </cell>
          <cell r="T7">
            <v>40086.025522329954</v>
          </cell>
          <cell r="U7">
            <v>53454.628074562956</v>
          </cell>
          <cell r="V7">
            <v>83604.090882019271</v>
          </cell>
          <cell r="W7">
            <v>203504.49997022119</v>
          </cell>
          <cell r="X7">
            <v>468189.9499672433</v>
          </cell>
        </row>
        <row r="8">
          <cell r="L8">
            <v>6006.7539108642868</v>
          </cell>
          <cell r="M8">
            <v>6890.2872860209773</v>
          </cell>
          <cell r="N8">
            <v>8791.1338196112047</v>
          </cell>
          <cell r="O8">
            <v>15638.753114379244</v>
          </cell>
          <cell r="P8">
            <v>19574.358111099835</v>
          </cell>
          <cell r="T8">
            <v>48614.171777291209</v>
          </cell>
          <cell r="U8">
            <v>64755.588955020336</v>
          </cell>
          <cell r="V8">
            <v>101123.14785052239</v>
          </cell>
          <cell r="W8">
            <v>245655.46263557463</v>
          </cell>
          <cell r="X8">
            <v>564676.00889913214</v>
          </cell>
        </row>
        <row r="9">
          <cell r="L9">
            <v>7478.7085315028035</v>
          </cell>
          <cell r="M9">
            <v>8590.8514885251207</v>
          </cell>
          <cell r="N9">
            <v>10971.018797335208</v>
          </cell>
          <cell r="O9">
            <v>19602.159874134442</v>
          </cell>
          <cell r="P9">
            <v>24730.535432460631</v>
          </cell>
          <cell r="T9">
            <v>57142.318032252464</v>
          </cell>
          <cell r="U9">
            <v>76056.549835477708</v>
          </cell>
          <cell r="V9">
            <v>118642.20481902552</v>
          </cell>
          <cell r="W9">
            <v>287806.42530092801</v>
          </cell>
          <cell r="X9">
            <v>661162.0678310208</v>
          </cell>
        </row>
        <row r="10">
          <cell r="L10">
            <v>9056.3104319608465</v>
          </cell>
          <cell r="M10">
            <v>10443.348760846837</v>
          </cell>
          <cell r="N10">
            <v>13372.55903866349</v>
          </cell>
          <cell r="O10">
            <v>23847.826437800562</v>
          </cell>
          <cell r="P10">
            <v>29846.880210740288</v>
          </cell>
          <cell r="T10">
            <v>65670.464287213719</v>
          </cell>
          <cell r="U10">
            <v>87003.007176305546</v>
          </cell>
          <cell r="V10">
            <v>135821.53511999047</v>
          </cell>
          <cell r="W10">
            <v>329482.58530718263</v>
          </cell>
          <cell r="X10">
            <v>757259.99236457469</v>
          </cell>
        </row>
        <row r="11">
          <cell r="L11">
            <v>10747.142283318599</v>
          </cell>
          <cell r="M11">
            <v>12335.184249012767</v>
          </cell>
          <cell r="N11">
            <v>15694.375718312185</v>
          </cell>
          <cell r="O11">
            <v>27889.122997198028</v>
          </cell>
          <cell r="P11">
            <v>34995.487735886534</v>
          </cell>
          <cell r="T11">
            <v>71357.436073504898</v>
          </cell>
          <cell r="U11">
            <v>95413.179680855392</v>
          </cell>
          <cell r="V11">
            <v>149792.49764894097</v>
          </cell>
          <cell r="W11">
            <v>366401.74741383508</v>
          </cell>
          <cell r="X11">
            <v>844724.42215521843</v>
          </cell>
        </row>
        <row r="12">
          <cell r="L12">
            <v>12559.330991214947</v>
          </cell>
          <cell r="M12">
            <v>14410.06948662064</v>
          </cell>
          <cell r="N12">
            <v>18405.302329906328</v>
          </cell>
          <cell r="O12">
            <v>32952.152999458973</v>
          </cell>
          <cell r="P12">
            <v>41453.701666905341</v>
          </cell>
          <cell r="T12">
            <v>77044.407859796062</v>
          </cell>
          <cell r="U12">
            <v>103468.8486457757</v>
          </cell>
          <cell r="V12">
            <v>163423.73351035328</v>
          </cell>
          <cell r="W12">
            <v>402846.1068613886</v>
          </cell>
          <cell r="X12">
            <v>931800.7175475274</v>
          </cell>
        </row>
        <row r="13">
          <cell r="L13">
            <v>14501.586757446188</v>
          </cell>
          <cell r="M13">
            <v>16712.831996291505</v>
          </cell>
          <cell r="N13">
            <v>21406.851323803567</v>
          </cell>
          <cell r="O13">
            <v>38510.39566468561</v>
          </cell>
          <cell r="P13">
            <v>48829.520430474819</v>
          </cell>
          <cell r="T13">
            <v>82731.37964608724</v>
          </cell>
          <cell r="U13">
            <v>111524.51761069598</v>
          </cell>
          <cell r="V13">
            <v>177054.96937176562</v>
          </cell>
          <cell r="W13">
            <v>439290.46630894218</v>
          </cell>
          <cell r="X13">
            <v>1018877.0129398364</v>
          </cell>
        </row>
        <row r="14">
          <cell r="L14">
            <v>15725.775928915169</v>
          </cell>
          <cell r="M14">
            <v>19167.803484538697</v>
          </cell>
          <cell r="N14">
            <v>24667.908139143787</v>
          </cell>
          <cell r="O14">
            <v>44364.459441276151</v>
          </cell>
          <cell r="P14">
            <v>56779.033521304897</v>
          </cell>
          <cell r="T14">
            <v>88418.351432378433</v>
          </cell>
          <cell r="U14">
            <v>119580.18657561627</v>
          </cell>
          <cell r="V14">
            <v>190686.20523317793</v>
          </cell>
          <cell r="W14">
            <v>475734.8257564957</v>
          </cell>
          <cell r="X14">
            <v>1105953.3083321452</v>
          </cell>
        </row>
        <row r="15">
          <cell r="L15">
            <v>17037.829396019915</v>
          </cell>
          <cell r="M15">
            <v>20824.769502841144</v>
          </cell>
          <cell r="N15">
            <v>28123.615973781823</v>
          </cell>
          <cell r="O15">
            <v>51022.905619408179</v>
          </cell>
          <cell r="P15">
            <v>65345.478881650473</v>
          </cell>
          <cell r="T15">
            <v>94105.323218669597</v>
          </cell>
          <cell r="U15">
            <v>127635.85554053658</v>
          </cell>
          <cell r="V15">
            <v>204317.44109459023</v>
          </cell>
          <cell r="W15">
            <v>512179.18520404928</v>
          </cell>
          <cell r="X15">
            <v>1193029.6037244541</v>
          </cell>
        </row>
        <row r="16">
          <cell r="L16">
            <v>18444.053483491516</v>
          </cell>
          <cell r="M16">
            <v>22522.006711170776</v>
          </cell>
          <cell r="N16">
            <v>31562.879574472841</v>
          </cell>
          <cell r="O16">
            <v>58217.473212307872</v>
          </cell>
          <cell r="P16">
            <v>74826.645059076924</v>
          </cell>
          <cell r="T16">
            <v>99792.295004960775</v>
          </cell>
          <cell r="U16">
            <v>135691.52450545688</v>
          </cell>
          <cell r="V16">
            <v>217948.67695600254</v>
          </cell>
          <cell r="W16">
            <v>548623.54465160286</v>
          </cell>
          <cell r="X16">
            <v>1280105.8991167631</v>
          </cell>
        </row>
        <row r="17">
          <cell r="L17">
            <v>19951.207142822892</v>
          </cell>
          <cell r="M17">
            <v>24226.400853233896</v>
          </cell>
          <cell r="N17">
            <v>33754.012743783525</v>
          </cell>
          <cell r="O17">
            <v>65190.284290468662</v>
          </cell>
          <cell r="P17">
            <v>83664.864674151788</v>
          </cell>
          <cell r="T17">
            <v>105479.19080652379</v>
          </cell>
          <cell r="U17">
            <v>143733.39073628301</v>
          </cell>
          <cell r="V17">
            <v>231366.41076194652</v>
          </cell>
          <cell r="W17">
            <v>584375.7298543494</v>
          </cell>
          <cell r="X17">
            <v>1365848.7174901336</v>
          </cell>
        </row>
        <row r="18">
          <cell r="L18">
            <v>21566.534438858725</v>
          </cell>
          <cell r="M18">
            <v>26099.469621880136</v>
          </cell>
          <cell r="N18">
            <v>36177.915745460588</v>
          </cell>
          <cell r="O18">
            <v>73118.410558927542</v>
          </cell>
          <cell r="P18">
            <v>94215.869777453918</v>
          </cell>
          <cell r="T18">
            <v>111165.09945502391</v>
          </cell>
          <cell r="U18">
            <v>151576.6094005263</v>
          </cell>
          <cell r="V18">
            <v>244366.02034057895</v>
          </cell>
          <cell r="W18">
            <v>617901.37237463682</v>
          </cell>
          <cell r="X18">
            <v>1444413.0721121004</v>
          </cell>
        </row>
        <row r="19">
          <cell r="L19">
            <v>23297.799368060441</v>
          </cell>
          <cell r="M19">
            <v>28124.786163106735</v>
          </cell>
          <cell r="N19">
            <v>38753.199334082892</v>
          </cell>
          <cell r="O19">
            <v>79657.810153107886</v>
          </cell>
          <cell r="P19">
            <v>106273.99776789628</v>
          </cell>
          <cell r="T19">
            <v>116850.93211879586</v>
          </cell>
          <cell r="U19">
            <v>159406.02533067545</v>
          </cell>
          <cell r="V19">
            <v>257152.12786374302</v>
          </cell>
          <cell r="W19">
            <v>650734.84065011726</v>
          </cell>
          <cell r="X19">
            <v>1521643.9497151291</v>
          </cell>
        </row>
        <row r="20">
          <cell r="L20">
            <v>25153.323175798614</v>
          </cell>
          <cell r="M20">
            <v>30212.723663454948</v>
          </cell>
          <cell r="N20">
            <v>41391.915737603507</v>
          </cell>
          <cell r="O20">
            <v>84394.642854872654</v>
          </cell>
          <cell r="P20">
            <v>116731.93440246633</v>
          </cell>
          <cell r="T20">
            <v>122536.76478256781</v>
          </cell>
          <cell r="U20">
            <v>167235.44126082459</v>
          </cell>
          <cell r="V20">
            <v>269938.23538690706</v>
          </cell>
          <cell r="W20">
            <v>683568.30892559781</v>
          </cell>
          <cell r="X20">
            <v>1598874.8273181575</v>
          </cell>
        </row>
        <row r="21">
          <cell r="L21">
            <v>27142.024352036686</v>
          </cell>
          <cell r="M21">
            <v>32565.625874679848</v>
          </cell>
          <cell r="N21">
            <v>44520.223086674225</v>
          </cell>
          <cell r="O21">
            <v>89976.415022573856</v>
          </cell>
          <cell r="P21">
            <v>129678.43026701207</v>
          </cell>
          <cell r="T21">
            <v>128222.59744633976</v>
          </cell>
          <cell r="U21">
            <v>175064.85719097374</v>
          </cell>
          <cell r="V21">
            <v>282724.34291007114</v>
          </cell>
          <cell r="W21">
            <v>716401.77720107825</v>
          </cell>
          <cell r="X21">
            <v>1676105.704921186</v>
          </cell>
        </row>
        <row r="22">
          <cell r="L22">
            <v>29273.461497643359</v>
          </cell>
          <cell r="M22">
            <v>35072.519449941799</v>
          </cell>
          <cell r="N22">
            <v>47707.813595689666</v>
          </cell>
          <cell r="O22">
            <v>95579.503158053587</v>
          </cell>
          <cell r="P22">
            <v>143468.06075121328</v>
          </cell>
          <cell r="T22">
            <v>133908.43011011172</v>
          </cell>
          <cell r="U22">
            <v>182894.27312112288</v>
          </cell>
          <cell r="V22">
            <v>295510.45043323515</v>
          </cell>
          <cell r="W22">
            <v>749235.2454765588</v>
          </cell>
          <cell r="X22">
            <v>1753336.5825242146</v>
          </cell>
        </row>
        <row r="23">
          <cell r="L23">
            <v>31557.879267368698</v>
          </cell>
          <cell r="M23">
            <v>37675.096397180314</v>
          </cell>
          <cell r="N23">
            <v>50969.591561091642</v>
          </cell>
          <cell r="O23">
            <v>101503.3854163324</v>
          </cell>
          <cell r="P23">
            <v>157266.08721367057</v>
          </cell>
          <cell r="T23">
            <v>139594.26277388367</v>
          </cell>
          <cell r="U23">
            <v>190723.68905127203</v>
          </cell>
          <cell r="V23">
            <v>308296.55795639928</v>
          </cell>
          <cell r="W23">
            <v>782068.71375203913</v>
          </cell>
          <cell r="X23">
            <v>1830567.4601272431</v>
          </cell>
        </row>
        <row r="24">
          <cell r="L24">
            <v>34006.25761030666</v>
          </cell>
          <cell r="M24">
            <v>40479.7985265752</v>
          </cell>
          <cell r="N24">
            <v>54639.068406522434</v>
          </cell>
          <cell r="O24">
            <v>108098.81740168447</v>
          </cell>
          <cell r="P24">
            <v>173667.39803071128</v>
          </cell>
          <cell r="T24">
            <v>145280.0954376556</v>
          </cell>
          <cell r="U24">
            <v>198553.10498142117</v>
          </cell>
          <cell r="V24">
            <v>321082.66547956335</v>
          </cell>
          <cell r="W24">
            <v>814902.18202751968</v>
          </cell>
          <cell r="X24">
            <v>1907798.3377302715</v>
          </cell>
        </row>
        <row r="25">
          <cell r="L25">
            <v>36630.364544516153</v>
          </cell>
          <cell r="M25">
            <v>43557.641631874139</v>
          </cell>
          <cell r="N25">
            <v>58638.567976998238</v>
          </cell>
          <cell r="O25">
            <v>115314.43782592882</v>
          </cell>
          <cell r="P25">
            <v>185363.46105599453</v>
          </cell>
          <cell r="T25">
            <v>150965.92810142756</v>
          </cell>
          <cell r="U25">
            <v>206382.52091157032</v>
          </cell>
          <cell r="V25">
            <v>333868.77300272742</v>
          </cell>
          <cell r="W25">
            <v>847735.65030300012</v>
          </cell>
          <cell r="X25">
            <v>1985029.2153333002</v>
          </cell>
        </row>
        <row r="26">
          <cell r="L26">
            <v>39442.812719459347</v>
          </cell>
          <cell r="M26">
            <v>46765.625878930281</v>
          </cell>
          <cell r="N26">
            <v>62694.491631069395</v>
          </cell>
          <cell r="O26">
            <v>122559.21169298288</v>
          </cell>
          <cell r="P26">
            <v>194255.42193458098</v>
          </cell>
          <cell r="T26">
            <v>156651.76076519952</v>
          </cell>
          <cell r="U26">
            <v>214211.93684171949</v>
          </cell>
          <cell r="V26">
            <v>346654.88052589144</v>
          </cell>
          <cell r="W26">
            <v>880569.11857848056</v>
          </cell>
          <cell r="X26">
            <v>2062260.0929363286</v>
          </cell>
        </row>
        <row r="27">
          <cell r="L27">
            <v>42457.120038122113</v>
          </cell>
          <cell r="M27">
            <v>50306.855338133988</v>
          </cell>
          <cell r="N27">
            <v>67309.887665076516</v>
          </cell>
          <cell r="O27">
            <v>130760.43694876952</v>
          </cell>
          <cell r="P27">
            <v>204714.69584438205</v>
          </cell>
          <cell r="T27">
            <v>162337.59342897148</v>
          </cell>
          <cell r="U27">
            <v>222041.35277186864</v>
          </cell>
          <cell r="V27">
            <v>359440.98804905551</v>
          </cell>
          <cell r="W27">
            <v>913402.58685396099</v>
          </cell>
          <cell r="X27">
            <v>2139490.970539357</v>
          </cell>
        </row>
        <row r="28">
          <cell r="L28">
            <v>45687.774630193788</v>
          </cell>
          <cell r="M28">
            <v>54067.787807922585</v>
          </cell>
          <cell r="N28">
            <v>72121.272678631678</v>
          </cell>
          <cell r="O28">
            <v>139366.66075836911</v>
          </cell>
          <cell r="P28">
            <v>215424.61085701626</v>
          </cell>
          <cell r="T28">
            <v>168023.42609274344</v>
          </cell>
          <cell r="U28">
            <v>229870.76870201778</v>
          </cell>
          <cell r="V28">
            <v>372227.09557221952</v>
          </cell>
          <cell r="W28">
            <v>946236.05512944155</v>
          </cell>
          <cell r="X28">
            <v>2216721.8481423855</v>
          </cell>
        </row>
        <row r="29">
          <cell r="L29">
            <v>49150.304488597212</v>
          </cell>
          <cell r="M29">
            <v>58073.827401131173</v>
          </cell>
          <cell r="N29">
            <v>77247.531007805519</v>
          </cell>
          <cell r="O29">
            <v>148346.58089652893</v>
          </cell>
          <cell r="P29">
            <v>226938.23326350009</v>
          </cell>
          <cell r="T29">
            <v>173709.25875651537</v>
          </cell>
          <cell r="U29">
            <v>237700.18463216693</v>
          </cell>
          <cell r="V29">
            <v>385013.20309538359</v>
          </cell>
          <cell r="W29">
            <v>979069.52340492199</v>
          </cell>
          <cell r="X29">
            <v>2293952.7257454144</v>
          </cell>
        </row>
        <row r="30">
          <cell r="L30">
            <v>52861.352104073565</v>
          </cell>
          <cell r="M30">
            <v>62362.326788054197</v>
          </cell>
          <cell r="N30">
            <v>82714.598788180941</v>
          </cell>
          <cell r="O30">
            <v>158004.54989583432</v>
          </cell>
          <cell r="P30">
            <v>239427.59061148012</v>
          </cell>
          <cell r="T30">
            <v>179395.09142028732</v>
          </cell>
          <cell r="U30">
            <v>245529.60056231607</v>
          </cell>
          <cell r="V30">
            <v>397799.31061854772</v>
          </cell>
          <cell r="W30">
            <v>1011902.9916804024</v>
          </cell>
          <cell r="X30">
            <v>2371183.6033484424</v>
          </cell>
        </row>
        <row r="31">
          <cell r="L31">
            <v>56838.754456549686</v>
          </cell>
          <cell r="M31">
            <v>66918.792695012846</v>
          </cell>
          <cell r="N31">
            <v>88426.827110347978</v>
          </cell>
          <cell r="O31">
            <v>168321.49066755909</v>
          </cell>
          <cell r="P31">
            <v>253394.02674802329</v>
          </cell>
          <cell r="T31">
            <v>185080.92408405928</v>
          </cell>
          <cell r="U31">
            <v>253359.01649246522</v>
          </cell>
          <cell r="V31">
            <v>410585.41814171179</v>
          </cell>
          <cell r="W31">
            <v>1044736.4599558829</v>
          </cell>
          <cell r="X31">
            <v>2448414.4809514708</v>
          </cell>
        </row>
        <row r="32">
          <cell r="L32">
            <v>61101.628747763025</v>
          </cell>
          <cell r="M32">
            <v>71901.335287934984</v>
          </cell>
          <cell r="N32">
            <v>95009.660928262892</v>
          </cell>
          <cell r="O32">
            <v>180456.7663536591</v>
          </cell>
          <cell r="P32">
            <v>269109.63491619297</v>
          </cell>
          <cell r="T32">
            <v>190782.49824321439</v>
          </cell>
          <cell r="U32">
            <v>261201.57494308054</v>
          </cell>
          <cell r="V32">
            <v>423371.52566487581</v>
          </cell>
          <cell r="W32">
            <v>1077825.1181861528</v>
          </cell>
          <cell r="X32">
            <v>2525645.3585544997</v>
          </cell>
        </row>
        <row r="33">
          <cell r="L33">
            <v>65670.464287213719</v>
          </cell>
          <cell r="M33">
            <v>77216.028421812633</v>
          </cell>
          <cell r="N33">
            <v>101860.70014889639</v>
          </cell>
          <cell r="O33">
            <v>192667.48746895883</v>
          </cell>
          <cell r="P33">
            <v>284933.97823790694</v>
          </cell>
          <cell r="T33">
            <v>196578.45421093283</v>
          </cell>
          <cell r="U33">
            <v>269214.0779279854</v>
          </cell>
          <cell r="V33">
            <v>436396.03129603004</v>
          </cell>
          <cell r="W33">
            <v>1111255.2376815979</v>
          </cell>
          <cell r="X33">
            <v>2603772.0544969337</v>
          </cell>
        </row>
        <row r="34">
          <cell r="L34">
            <v>68935.853538800322</v>
          </cell>
          <cell r="M34">
            <v>82967.182834483567</v>
          </cell>
          <cell r="N34">
            <v>109239.05400585775</v>
          </cell>
          <cell r="O34">
            <v>205704.37640060231</v>
          </cell>
          <cell r="P34">
            <v>302071.4132997577</v>
          </cell>
          <cell r="T34">
            <v>202374.41017865125</v>
          </cell>
          <cell r="U34">
            <v>277226.58091289026</v>
          </cell>
          <cell r="V34">
            <v>449716.26502189739</v>
          </cell>
          <cell r="W34">
            <v>1145235.3399477848</v>
          </cell>
          <cell r="X34">
            <v>2685460.3599998821</v>
          </cell>
        </row>
        <row r="35">
          <cell r="L35">
            <v>72435.611083502095</v>
          </cell>
          <cell r="M35">
            <v>88581.700015098104</v>
          </cell>
          <cell r="N35">
            <v>117001.19526067891</v>
          </cell>
          <cell r="O35">
            <v>219754.69728140853</v>
          </cell>
          <cell r="P35">
            <v>320090.18273908959</v>
          </cell>
          <cell r="T35">
            <v>208296.23094569932</v>
          </cell>
          <cell r="U35">
            <v>285405.85404026927</v>
          </cell>
          <cell r="V35">
            <v>463088.43944429624</v>
          </cell>
          <cell r="W35">
            <v>1180067.2833887259</v>
          </cell>
          <cell r="X35">
            <v>2767216.5117275985</v>
          </cell>
        </row>
        <row r="36">
          <cell r="L36">
            <v>76186.558345224621</v>
          </cell>
          <cell r="M36">
            <v>93093.459980414817</v>
          </cell>
          <cell r="N36">
            <v>125117.63351523719</v>
          </cell>
          <cell r="O36">
            <v>234530.47139279128</v>
          </cell>
          <cell r="P36">
            <v>339160.18847569614</v>
          </cell>
          <cell r="T36">
            <v>214218.05171274743</v>
          </cell>
          <cell r="U36">
            <v>293599.85688402219</v>
          </cell>
          <cell r="V36">
            <v>476553.84257242444</v>
          </cell>
          <cell r="W36">
            <v>1214899.2268296669</v>
          </cell>
          <cell r="X36">
            <v>2849386.6495126337</v>
          </cell>
        </row>
        <row r="37">
          <cell r="L37">
            <v>80206.724079712018</v>
          </cell>
          <cell r="M37">
            <v>98079.412553835689</v>
          </cell>
          <cell r="N37">
            <v>134266.27518432302</v>
          </cell>
          <cell r="O37">
            <v>251081.94240233212</v>
          </cell>
          <cell r="P37">
            <v>360236.82018402731</v>
          </cell>
          <cell r="T37">
            <v>220139.87247979551</v>
          </cell>
          <cell r="U37">
            <v>301793.8597277751</v>
          </cell>
          <cell r="V37">
            <v>490019.24570055259</v>
          </cell>
          <cell r="W37">
            <v>1249731.1702706078</v>
          </cell>
          <cell r="X37">
            <v>2931556.7872976689</v>
          </cell>
        </row>
        <row r="38">
          <cell r="L38">
            <v>84515.431028933323</v>
          </cell>
          <cell r="M38">
            <v>103508.3124856458</v>
          </cell>
          <cell r="N38">
            <v>142360.04589044797</v>
          </cell>
          <cell r="O38">
            <v>268439.07824784203</v>
          </cell>
          <cell r="P38">
            <v>382376.64658916084</v>
          </cell>
          <cell r="T38">
            <v>226061.69324684358</v>
          </cell>
          <cell r="U38">
            <v>309987.86257152795</v>
          </cell>
          <cell r="V38">
            <v>503484.6488286808</v>
          </cell>
          <cell r="W38">
            <v>1284563.113711549</v>
          </cell>
          <cell r="X38">
            <v>3013726.9250827036</v>
          </cell>
        </row>
        <row r="39">
          <cell r="L39">
            <v>89133.388794954444</v>
          </cell>
          <cell r="M39">
            <v>109318.19377374474</v>
          </cell>
          <cell r="N39">
            <v>150345.47464377317</v>
          </cell>
          <cell r="O39">
            <v>286544.76592007501</v>
          </cell>
          <cell r="P39">
            <v>404396.48747346632</v>
          </cell>
          <cell r="T39">
            <v>231983.51401389166</v>
          </cell>
          <cell r="U39">
            <v>318181.86541528086</v>
          </cell>
          <cell r="V39">
            <v>516950.05195680901</v>
          </cell>
          <cell r="W39">
            <v>1319395.0571524899</v>
          </cell>
          <cell r="X39">
            <v>3095897.0628677388</v>
          </cell>
        </row>
        <row r="40">
          <cell r="L40">
            <v>94082.793379689247</v>
          </cell>
          <cell r="M40">
            <v>115418.12778616633</v>
          </cell>
          <cell r="N40">
            <v>158886.40901528168</v>
          </cell>
          <cell r="O40">
            <v>305369.92673850752</v>
          </cell>
          <cell r="P40">
            <v>429596.59800185915</v>
          </cell>
          <cell r="T40">
            <v>237905.33478093977</v>
          </cell>
          <cell r="U40">
            <v>326375.86825903377</v>
          </cell>
          <cell r="V40">
            <v>530415.45508493716</v>
          </cell>
          <cell r="W40">
            <v>1354227.0005934308</v>
          </cell>
          <cell r="X40">
            <v>3178067.2006527735</v>
          </cell>
        </row>
        <row r="41">
          <cell r="L41">
            <v>99387.433868963475</v>
          </cell>
          <cell r="M41">
            <v>121932.61746029864</v>
          </cell>
          <cell r="N41">
            <v>167773.2637167353</v>
          </cell>
          <cell r="O41">
            <v>325583.244627023</v>
          </cell>
          <cell r="P41">
            <v>455732.19283934648</v>
          </cell>
          <cell r="T41">
            <v>243827.15554798787</v>
          </cell>
          <cell r="U41">
            <v>334569.87110278668</v>
          </cell>
          <cell r="V41">
            <v>543880.85821306542</v>
          </cell>
          <cell r="W41">
            <v>1389058.9440343718</v>
          </cell>
          <cell r="X41">
            <v>3260237.3384378087</v>
          </cell>
        </row>
        <row r="42">
          <cell r="L42">
            <v>105072.80677366315</v>
          </cell>
          <cell r="M42">
            <v>128820.59593359215</v>
          </cell>
          <cell r="N42">
            <v>177273.12895158533</v>
          </cell>
          <cell r="O42">
            <v>345254.06209714425</v>
          </cell>
          <cell r="P42">
            <v>484611.99709661625</v>
          </cell>
          <cell r="T42">
            <v>249748.97631503595</v>
          </cell>
          <cell r="U42">
            <v>342763.87394653959</v>
          </cell>
          <cell r="V42">
            <v>557346.26134119357</v>
          </cell>
          <cell r="W42">
            <v>1423890.8874753127</v>
          </cell>
          <cell r="X42">
            <v>3342407.4762228439</v>
          </cell>
        </row>
        <row r="43">
          <cell r="L43">
            <v>111165.09945502391</v>
          </cell>
          <cell r="M43">
            <v>136166.80897438718</v>
          </cell>
          <cell r="N43">
            <v>187714.59581539003</v>
          </cell>
          <cell r="O43">
            <v>366438.1917732826</v>
          </cell>
          <cell r="P43">
            <v>516432.97943318769</v>
          </cell>
          <cell r="T43">
            <v>255670.79708208403</v>
          </cell>
          <cell r="U43">
            <v>350957.8767902925</v>
          </cell>
          <cell r="V43">
            <v>570811.66446932172</v>
          </cell>
          <cell r="W43">
            <v>1458722.8309162538</v>
          </cell>
          <cell r="X43">
            <v>3424577.614007879</v>
          </cell>
        </row>
        <row r="44">
          <cell r="L44">
            <v>117694.56981791776</v>
          </cell>
          <cell r="M44">
            <v>144257.94521427789</v>
          </cell>
          <cell r="N44">
            <v>199164.64004552286</v>
          </cell>
          <cell r="O44">
            <v>389350.46222699573</v>
          </cell>
          <cell r="P44">
            <v>551231.73750665016</v>
          </cell>
          <cell r="T44">
            <v>261592.6178491321</v>
          </cell>
          <cell r="U44">
            <v>359151.87963404536</v>
          </cell>
          <cell r="V44">
            <v>584277.06759744987</v>
          </cell>
          <cell r="W44">
            <v>1493554.7743571948</v>
          </cell>
          <cell r="X44">
            <v>3506747.7517929142</v>
          </cell>
        </row>
        <row r="45">
          <cell r="L45">
            <v>124692.68287728468</v>
          </cell>
          <cell r="M45">
            <v>153005.05601213957</v>
          </cell>
          <cell r="N45">
            <v>211784.13315433351</v>
          </cell>
          <cell r="O45">
            <v>414588.06991100218</v>
          </cell>
          <cell r="P45">
            <v>588653.80295286095</v>
          </cell>
          <cell r="T45">
            <v>267514.43861618021</v>
          </cell>
          <cell r="U45">
            <v>367345.88247779827</v>
          </cell>
          <cell r="V45">
            <v>597742.47072557802</v>
          </cell>
          <cell r="W45">
            <v>1528386.7177981359</v>
          </cell>
          <cell r="X45">
            <v>3588917.8895779494</v>
          </cell>
        </row>
        <row r="46">
          <cell r="L46">
            <v>132193.07474214278</v>
          </cell>
          <cell r="M46">
            <v>162056.93883842273</v>
          </cell>
          <cell r="N46">
            <v>224894.19263473141</v>
          </cell>
          <cell r="O46">
            <v>440034.82987883931</v>
          </cell>
          <cell r="P46">
            <v>626370.20625415735</v>
          </cell>
          <cell r="T46">
            <v>273436.25938322826</v>
          </cell>
          <cell r="U46">
            <v>375539.88532155112</v>
          </cell>
          <cell r="V46">
            <v>611207.87385370617</v>
          </cell>
          <cell r="W46">
            <v>1563218.6612390769</v>
          </cell>
          <cell r="X46">
            <v>3671088.0273629841</v>
          </cell>
        </row>
        <row r="47">
          <cell r="L47">
            <v>140231.79570152081</v>
          </cell>
          <cell r="M47">
            <v>171729.33965628239</v>
          </cell>
          <cell r="N47">
            <v>238240.90438797322</v>
          </cell>
          <cell r="O47">
            <v>467280.92124246567</v>
          </cell>
          <cell r="P47">
            <v>666348.2029814776</v>
          </cell>
          <cell r="T47">
            <v>279358.08015027636</v>
          </cell>
          <cell r="U47">
            <v>383733.88816530403</v>
          </cell>
          <cell r="V47">
            <v>624673.27698183444</v>
          </cell>
          <cell r="W47">
            <v>1598050.604680018</v>
          </cell>
          <cell r="X47">
            <v>3753258.1651480193</v>
          </cell>
        </row>
        <row r="48">
          <cell r="L48">
            <v>148847.48349851643</v>
          </cell>
          <cell r="M48">
            <v>182112.89517619589</v>
          </cell>
          <cell r="N48">
            <v>252091.14822462251</v>
          </cell>
          <cell r="O48">
            <v>496611.27863223618</v>
          </cell>
          <cell r="P48">
            <v>709312.35565837938</v>
          </cell>
          <cell r="T48">
            <v>285279.90091732447</v>
          </cell>
          <cell r="U48">
            <v>391927.89100905694</v>
          </cell>
          <cell r="V48">
            <v>638138.68010996259</v>
          </cell>
          <cell r="W48">
            <v>1632882.548120959</v>
          </cell>
          <cell r="X48">
            <v>3835428.3029330545</v>
          </cell>
        </row>
        <row r="49">
          <cell r="L49">
            <v>158081.5490408341</v>
          </cell>
          <cell r="M49">
            <v>193152.0194629342</v>
          </cell>
          <cell r="N49">
            <v>266835.4418204822</v>
          </cell>
          <cell r="O49">
            <v>527689.28249029943</v>
          </cell>
          <cell r="P49">
            <v>753259.28476427007</v>
          </cell>
          <cell r="T49">
            <v>291201.72168437252</v>
          </cell>
          <cell r="U49">
            <v>400121.89385280979</v>
          </cell>
          <cell r="V49">
            <v>651604.08323809074</v>
          </cell>
          <cell r="W49">
            <v>1667714.4915618999</v>
          </cell>
          <cell r="X49">
            <v>3917598.4407180897</v>
          </cell>
        </row>
        <row r="50">
          <cell r="L50">
            <v>167978.3754404111</v>
          </cell>
          <cell r="M50">
            <v>204997.35129277926</v>
          </cell>
          <cell r="N50">
            <v>282683.35601588583</v>
          </cell>
          <cell r="O50">
            <v>560860.54442200926</v>
          </cell>
          <cell r="P50">
            <v>796191.61614817532</v>
          </cell>
          <cell r="T50">
            <v>297123.54245142062</v>
          </cell>
          <cell r="U50">
            <v>408315.8966965627</v>
          </cell>
          <cell r="V50">
            <v>665069.486366219</v>
          </cell>
          <cell r="W50">
            <v>1702546.4350028408</v>
          </cell>
          <cell r="X50">
            <v>3999768.5785031244</v>
          </cell>
        </row>
        <row r="51">
          <cell r="L51">
            <v>178585.53133880626</v>
          </cell>
          <cell r="M51">
            <v>217541.1175662356</v>
          </cell>
          <cell r="N51">
            <v>299722.54833621066</v>
          </cell>
          <cell r="O51">
            <v>593914.96279569459</v>
          </cell>
          <cell r="P51">
            <v>841293.44046219846</v>
          </cell>
          <cell r="T51">
            <v>303045.36321846873</v>
          </cell>
          <cell r="U51">
            <v>416509.89954031562</v>
          </cell>
          <cell r="V51">
            <v>678534.88949434715</v>
          </cell>
          <cell r="W51">
            <v>1737378.3784437818</v>
          </cell>
          <cell r="X51">
            <v>4081938.7162881596</v>
          </cell>
        </row>
        <row r="52">
          <cell r="L52">
            <v>189953.99954369152</v>
          </cell>
          <cell r="M52">
            <v>231172.31750732509</v>
          </cell>
          <cell r="N52">
            <v>317494.44915415545</v>
          </cell>
          <cell r="O52">
            <v>626709.54735910101</v>
          </cell>
          <cell r="P52">
            <v>892395.20273107057</v>
          </cell>
          <cell r="T52">
            <v>308967.18398551678</v>
          </cell>
          <cell r="U52">
            <v>424703.90238406853</v>
          </cell>
          <cell r="V52">
            <v>692000.29262247542</v>
          </cell>
          <cell r="W52">
            <v>1772210.3218847229</v>
          </cell>
          <cell r="X52">
            <v>4164108.8540731948</v>
          </cell>
        </row>
        <row r="53">
          <cell r="L53">
            <v>202374.41017865125</v>
          </cell>
          <cell r="M53">
            <v>245804.41306146432</v>
          </cell>
          <cell r="N53">
            <v>336493.760877233</v>
          </cell>
          <cell r="O53">
            <v>663428.25948541798</v>
          </cell>
          <cell r="P53">
            <v>948205.89159943839</v>
          </cell>
          <cell r="T53">
            <v>314889.00475256488</v>
          </cell>
          <cell r="U53">
            <v>432897.90522782144</v>
          </cell>
          <cell r="V53">
            <v>705465.69575060357</v>
          </cell>
          <cell r="W53">
            <v>1807042.2653256638</v>
          </cell>
          <cell r="X53">
            <v>4246278.99185823</v>
          </cell>
        </row>
        <row r="54">
          <cell r="L54">
            <v>215975.35676970295</v>
          </cell>
          <cell r="M54">
            <v>260626.414210908</v>
          </cell>
          <cell r="N54">
            <v>356677.51508766564</v>
          </cell>
          <cell r="O54">
            <v>702852.84206888871</v>
          </cell>
          <cell r="P54">
            <v>1005454.133380581</v>
          </cell>
          <cell r="T54">
            <v>320810.82551961293</v>
          </cell>
          <cell r="U54">
            <v>441091.90807157429</v>
          </cell>
          <cell r="V54">
            <v>718931.09887873172</v>
          </cell>
          <cell r="W54">
            <v>1841874.2087666048</v>
          </cell>
          <cell r="X54">
            <v>4328449.1296432652</v>
          </cell>
        </row>
        <row r="55">
          <cell r="L55">
            <v>230552.49039136583</v>
          </cell>
          <cell r="M55">
            <v>277876.83980103343</v>
          </cell>
          <cell r="N55">
            <v>379982.54162372544</v>
          </cell>
          <cell r="O55">
            <v>746952.30462553434</v>
          </cell>
          <cell r="P55">
            <v>1068525.0848155252</v>
          </cell>
          <cell r="T55">
            <v>326732.64628666104</v>
          </cell>
          <cell r="U55">
            <v>449285.9109153272</v>
          </cell>
          <cell r="V55">
            <v>732396.50200685998</v>
          </cell>
          <cell r="W55">
            <v>1876706.1522075459</v>
          </cell>
          <cell r="X55">
            <v>4410619.2674283003</v>
          </cell>
        </row>
        <row r="56">
          <cell r="L56">
            <v>246175.87536690949</v>
          </cell>
          <cell r="M56">
            <v>297107.69672090799</v>
          </cell>
          <cell r="N56">
            <v>405218.99966158229</v>
          </cell>
          <cell r="O56">
            <v>792558.74266656674</v>
          </cell>
          <cell r="P56">
            <v>1135430.5716258262</v>
          </cell>
          <cell r="T56">
            <v>332654.46705370909</v>
          </cell>
          <cell r="U56">
            <v>457479.91375908011</v>
          </cell>
          <cell r="V56">
            <v>745861.90513498813</v>
          </cell>
          <cell r="W56">
            <v>1911538.0956484871</v>
          </cell>
          <cell r="X56">
            <v>4492789.4052133355</v>
          </cell>
        </row>
        <row r="57">
          <cell r="L57">
            <v>262920.60477868555</v>
          </cell>
          <cell r="M57">
            <v>317752.0796597653</v>
          </cell>
          <cell r="N57">
            <v>430450.77247487241</v>
          </cell>
          <cell r="O57">
            <v>839930.58444424893</v>
          </cell>
          <cell r="P57">
            <v>1202754.7697503841</v>
          </cell>
          <cell r="T57">
            <v>338576.28782075719</v>
          </cell>
          <cell r="U57">
            <v>465673.91660283296</v>
          </cell>
          <cell r="V57">
            <v>759327.30826311628</v>
          </cell>
          <cell r="W57">
            <v>1946370.039089428</v>
          </cell>
          <cell r="X57">
            <v>4574959.5429983707</v>
          </cell>
        </row>
        <row r="58">
          <cell r="L58">
            <v>280867.16139957804</v>
          </cell>
          <cell r="M58">
            <v>338934.68498801254</v>
          </cell>
          <cell r="N58">
            <v>458270.60313264781</v>
          </cell>
          <cell r="O58">
            <v>889843.52812149387</v>
          </cell>
          <cell r="P58">
            <v>1275276.5558053821</v>
          </cell>
          <cell r="T58">
            <v>344498.1085878053</v>
          </cell>
          <cell r="U58">
            <v>473867.91944658587</v>
          </cell>
          <cell r="V58">
            <v>772792.71139124432</v>
          </cell>
          <cell r="W58">
            <v>1981201.982530369</v>
          </cell>
          <cell r="X58">
            <v>4657129.6807834059</v>
          </cell>
        </row>
        <row r="59">
          <cell r="L59">
            <v>300101.80452975549</v>
          </cell>
          <cell r="M59">
            <v>361407.65574675618</v>
          </cell>
          <cell r="N59">
            <v>488519.06989877566</v>
          </cell>
          <cell r="O59">
            <v>943298.66008732654</v>
          </cell>
          <cell r="P59">
            <v>1353041.3129432828</v>
          </cell>
          <cell r="T59">
            <v>350419.92935485335</v>
          </cell>
          <cell r="U59">
            <v>482061.92229033879</v>
          </cell>
          <cell r="V59">
            <v>786258.11451937258</v>
          </cell>
          <cell r="W59">
            <v>2016033.9259713101</v>
          </cell>
          <cell r="X59">
            <v>4739299.8185684411</v>
          </cell>
        </row>
        <row r="60">
          <cell r="L60">
            <v>320716.98459803592</v>
          </cell>
          <cell r="M60">
            <v>386276.71414855041</v>
          </cell>
          <cell r="N60">
            <v>521205.28689761099</v>
          </cell>
          <cell r="O60">
            <v>1000894.3306917276</v>
          </cell>
          <cell r="P60">
            <v>1430202.2020376271</v>
          </cell>
          <cell r="T60">
            <v>356341.75012190145</v>
          </cell>
          <cell r="U60">
            <v>490255.9251340917</v>
          </cell>
          <cell r="V60">
            <v>799723.51764750073</v>
          </cell>
          <cell r="W60">
            <v>2050865.869412251</v>
          </cell>
          <cell r="X60">
            <v>4821469.9563534763</v>
          </cell>
        </row>
        <row r="61">
          <cell r="L61">
            <v>342811.78752062574</v>
          </cell>
          <cell r="M61">
            <v>412085.10318505811</v>
          </cell>
          <cell r="N61">
            <v>556181.17917750613</v>
          </cell>
          <cell r="O61">
            <v>1063526.9312434359</v>
          </cell>
          <cell r="P61">
            <v>1510559.4194838239</v>
          </cell>
          <cell r="T61">
            <v>362263.5708889495</v>
          </cell>
          <cell r="U61">
            <v>498449.92797784461</v>
          </cell>
          <cell r="V61">
            <v>813188.920775629</v>
          </cell>
          <cell r="W61">
            <v>2085697.812853192</v>
          </cell>
          <cell r="X61">
            <v>4903640.0941385105</v>
          </cell>
        </row>
        <row r="62">
          <cell r="L62">
            <v>366492.41095302731</v>
          </cell>
          <cell r="M62">
            <v>440603.24315378326</v>
          </cell>
          <cell r="N62">
            <v>594081.48363885481</v>
          </cell>
          <cell r="O62">
            <v>1131569.594812294</v>
          </cell>
          <cell r="P62">
            <v>1599153.3742515731</v>
          </cell>
          <cell r="T62">
            <v>368185.39165599761</v>
          </cell>
          <cell r="U62">
            <v>506643.93082159746</v>
          </cell>
          <cell r="V62">
            <v>826654.32390375715</v>
          </cell>
          <cell r="W62">
            <v>2120529.7562941331</v>
          </cell>
          <cell r="X62">
            <v>4985810.2319235457</v>
          </cell>
        </row>
        <row r="63">
          <cell r="L63">
            <v>391872.67472418997</v>
          </cell>
          <cell r="M63">
            <v>470504.28127922531</v>
          </cell>
          <cell r="N63">
            <v>634333.35718595353</v>
          </cell>
          <cell r="O63">
            <v>1208295.0903532645</v>
          </cell>
          <cell r="P63">
            <v>1697444.5964029031</v>
          </cell>
          <cell r="T63">
            <v>374107.21242304571</v>
          </cell>
          <cell r="U63">
            <v>514837.93366535037</v>
          </cell>
          <cell r="V63">
            <v>840119.7270318853</v>
          </cell>
          <cell r="W63">
            <v>2155361.6997350738</v>
          </cell>
          <cell r="X63">
            <v>5067980.3697085809</v>
          </cell>
        </row>
        <row r="64">
          <cell r="L64">
            <v>419074.56790629338</v>
          </cell>
          <cell r="M64">
            <v>503340.1624560199</v>
          </cell>
          <cell r="N64">
            <v>678236.86561571923</v>
          </cell>
          <cell r="O64">
            <v>1292565.161797734</v>
          </cell>
          <cell r="P64">
            <v>1799838.4882793115</v>
          </cell>
          <cell r="T64">
            <v>380029.03319009382</v>
          </cell>
          <cell r="U64">
            <v>523031.93650910322</v>
          </cell>
          <cell r="V64">
            <v>853585.13016001345</v>
          </cell>
          <cell r="W64">
            <v>2190193.643176015</v>
          </cell>
          <cell r="X64">
            <v>5150150.5074936161</v>
          </cell>
        </row>
        <row r="65">
          <cell r="L65">
            <v>448228.83514961903</v>
          </cell>
          <cell r="M65">
            <v>538133.21862652048</v>
          </cell>
          <cell r="N65">
            <v>725779.71412694175</v>
          </cell>
          <cell r="O65">
            <v>1383710.9510380176</v>
          </cell>
          <cell r="P65">
            <v>1917383.7069167146</v>
          </cell>
          <cell r="T65">
            <v>385950.85395714187</v>
          </cell>
          <cell r="U65">
            <v>531225.93935285613</v>
          </cell>
          <cell r="V65">
            <v>867050.53328814171</v>
          </cell>
          <cell r="W65">
            <v>2225025.5866169557</v>
          </cell>
          <cell r="X65">
            <v>5232320.6452786513</v>
          </cell>
        </row>
        <row r="66">
          <cell r="L66">
            <v>479475.60510070639</v>
          </cell>
          <cell r="M66">
            <v>576047.78371276218</v>
          </cell>
          <cell r="N66">
            <v>776561.38267108193</v>
          </cell>
          <cell r="O66">
            <v>1482341.9008090557</v>
          </cell>
          <cell r="P66">
            <v>2039096.092792911</v>
          </cell>
          <cell r="T66">
            <v>391872.67472418997</v>
          </cell>
          <cell r="U66">
            <v>539419.94219660899</v>
          </cell>
          <cell r="V66">
            <v>880515.93641626986</v>
          </cell>
          <cell r="W66">
            <v>2259857.5300578969</v>
          </cell>
          <cell r="X66">
            <v>5314490.7830636865</v>
          </cell>
        </row>
        <row r="67">
          <cell r="L67">
            <v>512965.0639242584</v>
          </cell>
          <cell r="M67">
            <v>616442.94664859795</v>
          </cell>
          <cell r="N67">
            <v>831572.79634860356</v>
          </cell>
          <cell r="O67">
            <v>1588251.4191976499</v>
          </cell>
          <cell r="P67">
            <v>2165898.4692700482</v>
          </cell>
          <cell r="T67">
            <v>397794.49549123808</v>
          </cell>
          <cell r="U67">
            <v>547613.94504036196</v>
          </cell>
          <cell r="V67">
            <v>893981.33954439801</v>
          </cell>
          <cell r="W67">
            <v>2294689.473498838</v>
          </cell>
          <cell r="X67">
            <v>5396660.9208487216</v>
          </cell>
        </row>
        <row r="68">
          <cell r="L68">
            <v>548858.17716604332</v>
          </cell>
          <cell r="M68">
            <v>659459.10929488344</v>
          </cell>
          <cell r="N68">
            <v>891321.80587828625</v>
          </cell>
          <cell r="O68">
            <v>1700105.3750715908</v>
          </cell>
          <cell r="P68">
            <v>2293459.0339127118</v>
          </cell>
          <cell r="T68">
            <v>403716.31625828613</v>
          </cell>
          <cell r="U68">
            <v>555807.94788411481</v>
          </cell>
          <cell r="V68">
            <v>907446.74267252616</v>
          </cell>
          <cell r="W68">
            <v>2329521.4169397792</v>
          </cell>
          <cell r="X68">
            <v>5478831.0586337559</v>
          </cell>
        </row>
        <row r="69">
          <cell r="L69">
            <v>577759.55917045113</v>
          </cell>
          <cell r="M69">
            <v>706186.64691990032</v>
          </cell>
          <cell r="N69">
            <v>954448.81904496346</v>
          </cell>
          <cell r="O69">
            <v>1812722.0311334706</v>
          </cell>
          <cell r="P69">
            <v>2436930.254121175</v>
          </cell>
          <cell r="T69">
            <v>409638.13702533423</v>
          </cell>
          <cell r="U69">
            <v>564001.95072786766</v>
          </cell>
          <cell r="V69">
            <v>920912.14580065443</v>
          </cell>
          <cell r="W69">
            <v>2364353.3603807199</v>
          </cell>
          <cell r="X69">
            <v>5561001.1964187911</v>
          </cell>
        </row>
        <row r="70">
          <cell r="L70">
            <v>607898.08259560703</v>
          </cell>
          <cell r="M70">
            <v>756308.32860879111</v>
          </cell>
          <cell r="N70">
            <v>1019113.1862193985</v>
          </cell>
          <cell r="O70">
            <v>1933339.2051718575</v>
          </cell>
          <cell r="P70">
            <v>2587354.9898068202</v>
          </cell>
          <cell r="T70">
            <v>415559.95779238234</v>
          </cell>
          <cell r="U70">
            <v>572195.95357162063</v>
          </cell>
          <cell r="V70">
            <v>934377.54892878258</v>
          </cell>
          <cell r="W70">
            <v>2399185.303821661</v>
          </cell>
          <cell r="X70">
            <v>5643171.3342038263</v>
          </cell>
        </row>
        <row r="71">
          <cell r="L71">
            <v>640199.75220271747</v>
          </cell>
          <cell r="M71">
            <v>798222.61178980873</v>
          </cell>
          <cell r="N71">
            <v>1085877.2375718905</v>
          </cell>
          <cell r="O71">
            <v>2065244.5808559358</v>
          </cell>
          <cell r="P71">
            <v>2755646.2333452306</v>
          </cell>
          <cell r="T71">
            <v>421481.77855943039</v>
          </cell>
          <cell r="U71">
            <v>580389.95641537348</v>
          </cell>
          <cell r="V71">
            <v>947842.95205691073</v>
          </cell>
          <cell r="W71">
            <v>2434017.2472626022</v>
          </cell>
          <cell r="X71">
            <v>5725341.4719888614</v>
          </cell>
        </row>
        <row r="72">
          <cell r="L72">
            <v>674819.8244832335</v>
          </cell>
          <cell r="M72">
            <v>841251.8857125194</v>
          </cell>
          <cell r="N72">
            <v>1161869.5172810361</v>
          </cell>
          <cell r="O72">
            <v>2208839.3436855767</v>
          </cell>
          <cell r="P72">
            <v>2936483.454923064</v>
          </cell>
          <cell r="T72">
            <v>427403.59932647849</v>
          </cell>
          <cell r="U72">
            <v>588583.95925912645</v>
          </cell>
          <cell r="V72">
            <v>961308.35518503899</v>
          </cell>
          <cell r="W72">
            <v>2468849.1907035429</v>
          </cell>
          <cell r="X72">
            <v>5807511.6097738966</v>
          </cell>
        </row>
        <row r="73">
          <cell r="L73">
            <v>711924.69922457915</v>
          </cell>
          <cell r="M73">
            <v>889292.23496366176</v>
          </cell>
          <cell r="N73">
            <v>1245310.5921579553</v>
          </cell>
          <cell r="O73">
            <v>2361765.3469830584</v>
          </cell>
          <cell r="P73">
            <v>3136965.6977326991</v>
          </cell>
          <cell r="T73">
            <v>433325.4200935266</v>
          </cell>
          <cell r="U73">
            <v>596777.9621028793</v>
          </cell>
          <cell r="V73">
            <v>974773.75831316714</v>
          </cell>
          <cell r="W73">
            <v>2503681.1341444841</v>
          </cell>
          <cell r="X73">
            <v>5889681.7475589318</v>
          </cell>
        </row>
        <row r="74">
          <cell r="L74">
            <v>751692.7193030864</v>
          </cell>
          <cell r="M74">
            <v>941237.12982721848</v>
          </cell>
          <cell r="N74">
            <v>1320044.3770026364</v>
          </cell>
          <cell r="O74">
            <v>2525031.7626571311</v>
          </cell>
          <cell r="P74">
            <v>3352804.1367767155</v>
          </cell>
          <cell r="T74">
            <v>439247.2408605747</v>
          </cell>
          <cell r="U74">
            <v>604971.96494663227</v>
          </cell>
          <cell r="V74">
            <v>988239.16144129541</v>
          </cell>
          <cell r="W74">
            <v>2538513.0775854252</v>
          </cell>
          <cell r="X74">
            <v>5971851.885343967</v>
          </cell>
        </row>
        <row r="75">
          <cell r="L75">
            <v>794315.02788084093</v>
          </cell>
          <cell r="M75">
            <v>996302.91876021889</v>
          </cell>
          <cell r="N75">
            <v>1397748.8771784035</v>
          </cell>
          <cell r="O75">
            <v>2698283.1050050147</v>
          </cell>
          <cell r="P75">
            <v>3580452.6751650171</v>
          </cell>
          <cell r="T75">
            <v>445169.06162762281</v>
          </cell>
          <cell r="U75">
            <v>613165.96779038513</v>
          </cell>
          <cell r="V75">
            <v>1001704.5645694236</v>
          </cell>
          <cell r="W75">
            <v>2573345.0210263659</v>
          </cell>
          <cell r="X75">
            <v>6054022.0231290022</v>
          </cell>
        </row>
        <row r="76">
          <cell r="L76">
            <v>839996.48712651129</v>
          </cell>
          <cell r="M76">
            <v>1053209.6128367505</v>
          </cell>
          <cell r="N76">
            <v>1481544.7630140625</v>
          </cell>
          <cell r="O76">
            <v>2885272.4832077418</v>
          </cell>
          <cell r="P76">
            <v>3825377.7919211872</v>
          </cell>
          <cell r="T76">
            <v>451090.88239467086</v>
          </cell>
          <cell r="U76">
            <v>621359.97063413798</v>
          </cell>
          <cell r="V76">
            <v>1015169.9676975517</v>
          </cell>
          <cell r="W76">
            <v>2608176.9644673071</v>
          </cell>
          <cell r="X76">
            <v>6136192.1609140374</v>
          </cell>
        </row>
        <row r="77">
          <cell r="L77">
            <v>888956.66287595406</v>
          </cell>
          <cell r="M77">
            <v>1116000.8022635407</v>
          </cell>
          <cell r="N77">
            <v>1575252.2715009744</v>
          </cell>
          <cell r="O77">
            <v>3091293.0351860551</v>
          </cell>
          <cell r="P77">
            <v>4095879.1191877052</v>
          </cell>
          <cell r="T77">
            <v>457012.70316171896</v>
          </cell>
          <cell r="U77">
            <v>629553.97347789095</v>
          </cell>
          <cell r="V77">
            <v>1028635.37082568</v>
          </cell>
          <cell r="W77">
            <v>2643008.9079082482</v>
          </cell>
          <cell r="X77">
            <v>6218362.2986990726</v>
          </cell>
        </row>
        <row r="78">
          <cell r="L78">
            <v>941448.03193489672</v>
          </cell>
          <cell r="M78">
            <v>1184210.7127264529</v>
          </cell>
          <cell r="N78">
            <v>1675382.6424481974</v>
          </cell>
          <cell r="O78">
            <v>3305455.272607272</v>
          </cell>
          <cell r="P78">
            <v>4390533.5246112579</v>
          </cell>
          <cell r="T78">
            <v>462934.52392876701</v>
          </cell>
          <cell r="U78">
            <v>637747.9763216438</v>
          </cell>
          <cell r="V78">
            <v>1042100.7739538081</v>
          </cell>
          <cell r="W78">
            <v>2677840.8513491889</v>
          </cell>
          <cell r="X78">
            <v>6300532.4364841077</v>
          </cell>
        </row>
        <row r="79">
          <cell r="L79">
            <v>1009213.390021723</v>
          </cell>
          <cell r="M79">
            <v>1256496.4642528559</v>
          </cell>
          <cell r="N79">
            <v>1780785.9251231649</v>
          </cell>
          <cell r="O79">
            <v>3528677.5587473363</v>
          </cell>
          <cell r="P79">
            <v>4711738.3270615991</v>
          </cell>
          <cell r="T79">
            <v>468856.34469581506</v>
          </cell>
          <cell r="U79">
            <v>645941.97916539665</v>
          </cell>
          <cell r="V79">
            <v>1055566.1770819363</v>
          </cell>
          <cell r="W79">
            <v>2712672.7947901301</v>
          </cell>
          <cell r="X79">
            <v>6382702.5742691429</v>
          </cell>
        </row>
        <row r="80">
          <cell r="L80">
            <v>1081842.5024984526</v>
          </cell>
          <cell r="M80">
            <v>1334761.1999339606</v>
          </cell>
          <cell r="N80">
            <v>1896332.2624535654</v>
          </cell>
          <cell r="O80">
            <v>3770180.9717393937</v>
          </cell>
          <cell r="P80">
            <v>5029825.7915080674</v>
          </cell>
          <cell r="T80">
            <v>474778.16546286317</v>
          </cell>
          <cell r="U80">
            <v>654135.98200914951</v>
          </cell>
          <cell r="V80">
            <v>1069031.5802100645</v>
          </cell>
          <cell r="W80">
            <v>2747504.7382310713</v>
          </cell>
          <cell r="X80">
            <v>6464872.7120541781</v>
          </cell>
        </row>
        <row r="81">
          <cell r="L81">
            <v>1159684.457858575</v>
          </cell>
          <cell r="M81">
            <v>1429727.8412123467</v>
          </cell>
          <cell r="N81">
            <v>2019798.2220409464</v>
          </cell>
          <cell r="O81">
            <v>4023604.4278371525</v>
          </cell>
          <cell r="P81">
            <v>5368057.8978680167</v>
          </cell>
          <cell r="T81">
            <v>480699.98622991121</v>
          </cell>
          <cell r="U81">
            <v>662329.98485290236</v>
          </cell>
          <cell r="V81">
            <v>1082496.9833381928</v>
          </cell>
          <cell r="W81">
            <v>2782336.681672012</v>
          </cell>
          <cell r="X81">
            <v>6547042.8498392124</v>
          </cell>
        </row>
        <row r="82">
          <cell r="L82">
            <v>1243113.3998854891</v>
          </cell>
          <cell r="M82">
            <v>1533837.741228085</v>
          </cell>
          <cell r="N82">
            <v>2152511.4222807288</v>
          </cell>
          <cell r="O82">
            <v>4283545.9889123105</v>
          </cell>
          <cell r="P82">
            <v>5735373.3025539983</v>
          </cell>
          <cell r="T82">
            <v>486621.80699695932</v>
          </cell>
          <cell r="U82">
            <v>670523.98769665533</v>
          </cell>
          <cell r="V82">
            <v>1095962.3864663208</v>
          </cell>
          <cell r="W82">
            <v>2817168.6251129531</v>
          </cell>
          <cell r="X82">
            <v>6629212.9876242476</v>
          </cell>
        </row>
        <row r="83">
          <cell r="L83">
            <v>1332530.3259574147</v>
          </cell>
          <cell r="M83">
            <v>1645143.8379859456</v>
          </cell>
          <cell r="N83">
            <v>2286717.4131431552</v>
          </cell>
          <cell r="O83">
            <v>4560465.6020843238</v>
          </cell>
          <cell r="P83">
            <v>6117868.2201879751</v>
          </cell>
          <cell r="T83">
            <v>492543.62776400743</v>
          </cell>
          <cell r="U83">
            <v>678717.99054040818</v>
          </cell>
          <cell r="V83">
            <v>1109427.7895944491</v>
          </cell>
          <cell r="W83">
            <v>2852000.5685538943</v>
          </cell>
          <cell r="X83">
            <v>6711383.1254092827</v>
          </cell>
        </row>
        <row r="84">
          <cell r="L84">
            <v>1428365.0144228733</v>
          </cell>
          <cell r="M84">
            <v>1758437.7156595697</v>
          </cell>
          <cell r="N84">
            <v>2442313.0144507852</v>
          </cell>
          <cell r="O84">
            <v>4860766.5127215898</v>
          </cell>
          <cell r="P84">
            <v>6535285.7020988502</v>
          </cell>
          <cell r="T84">
            <v>498465.44853105553</v>
          </cell>
          <cell r="U84">
            <v>686911.99338416103</v>
          </cell>
          <cell r="V84">
            <v>1122893.1927225771</v>
          </cell>
          <cell r="W84">
            <v>2886832.511994835</v>
          </cell>
          <cell r="X84">
            <v>6793553.2631943179</v>
          </cell>
        </row>
        <row r="85">
          <cell r="L85">
            <v>1531078.0903105841</v>
          </cell>
          <cell r="M85">
            <v>1882989.2932667858</v>
          </cell>
          <cell r="N85">
            <v>2615130.648725315</v>
          </cell>
          <cell r="O85">
            <v>5189579.2092402494</v>
          </cell>
          <cell r="P85">
            <v>6976871.9812119817</v>
          </cell>
          <cell r="T85">
            <v>504387.26929810358</v>
          </cell>
          <cell r="U85">
            <v>695105.996227914</v>
          </cell>
          <cell r="V85">
            <v>1136358.5958507054</v>
          </cell>
          <cell r="W85">
            <v>2921664.4554357762</v>
          </cell>
          <cell r="X85">
            <v>6875723.4009793531</v>
          </cell>
        </row>
        <row r="86">
          <cell r="L86">
            <v>1641163.2393025132</v>
          </cell>
          <cell r="M86">
            <v>2019384.1326050612</v>
          </cell>
          <cell r="N86">
            <v>2806531.0574916052</v>
          </cell>
          <cell r="O86">
            <v>5541784.102400858</v>
          </cell>
          <cell r="P86">
            <v>7466831.2249361221</v>
          </cell>
          <cell r="T86">
            <v>510309.09006515169</v>
          </cell>
          <cell r="U86">
            <v>703299.99907166685</v>
          </cell>
          <cell r="V86">
            <v>1149823.9989788334</v>
          </cell>
          <cell r="W86">
            <v>2956496.3988767168</v>
          </cell>
          <cell r="X86">
            <v>6957893.5387643883</v>
          </cell>
        </row>
        <row r="87">
          <cell r="L87">
            <v>1759149.5806114119</v>
          </cell>
          <cell r="M87">
            <v>2165652.6621934753</v>
          </cell>
          <cell r="N87">
            <v>3004734.6410850612</v>
          </cell>
          <cell r="O87">
            <v>5914638.4453591183</v>
          </cell>
          <cell r="P87">
            <v>7984127.7716038879</v>
          </cell>
          <cell r="T87">
            <v>516230.91083219979</v>
          </cell>
          <cell r="U87">
            <v>711494.00191541971</v>
          </cell>
          <cell r="V87">
            <v>1163285.917268909</v>
          </cell>
          <cell r="W87">
            <v>2991328.342317658</v>
          </cell>
          <cell r="X87">
            <v>7040063.6765494235</v>
          </cell>
        </row>
        <row r="88">
          <cell r="L88">
            <v>1877135.9219203107</v>
          </cell>
          <cell r="M88">
            <v>2317421.4650490712</v>
          </cell>
          <cell r="N88">
            <v>3214672.7773491256</v>
          </cell>
          <cell r="O88">
            <v>6333269.0463450383</v>
          </cell>
          <cell r="P88">
            <v>8533848.5498131793</v>
          </cell>
          <cell r="T88">
            <v>522152.73159924784</v>
          </cell>
          <cell r="U88">
            <v>719688.00475917268</v>
          </cell>
          <cell r="V88">
            <v>1176718.2721185032</v>
          </cell>
          <cell r="W88">
            <v>3026160.2857585992</v>
          </cell>
          <cell r="X88">
            <v>7122233.8143344587</v>
          </cell>
        </row>
        <row r="89">
          <cell r="L89">
            <v>1995122.2632292095</v>
          </cell>
          <cell r="M89">
            <v>2482683.3510021539</v>
          </cell>
          <cell r="N89">
            <v>3445629.6016683071</v>
          </cell>
          <cell r="O89">
            <v>6801679.5233639833</v>
          </cell>
          <cell r="P89">
            <v>9045777.0500555821</v>
          </cell>
          <cell r="T89">
            <v>528074.55236629595</v>
          </cell>
          <cell r="U89">
            <v>727882.00760292553</v>
          </cell>
          <cell r="V89">
            <v>1190150.6269680972</v>
          </cell>
          <cell r="W89">
            <v>3060992.2291995399</v>
          </cell>
          <cell r="X89">
            <v>7204403.9521194939</v>
          </cell>
        </row>
        <row r="90">
          <cell r="L90">
            <v>2113108.6045381082</v>
          </cell>
          <cell r="M90">
            <v>2662801.0742084105</v>
          </cell>
          <cell r="N90">
            <v>3699999.8127449341</v>
          </cell>
          <cell r="O90">
            <v>7248601.1694080774</v>
          </cell>
          <cell r="P90">
            <v>9588875.4494811352</v>
          </cell>
          <cell r="T90">
            <v>533996.37313334399</v>
          </cell>
          <cell r="U90">
            <v>736076.01044667838</v>
          </cell>
          <cell r="V90">
            <v>1203582.9818176914</v>
          </cell>
          <cell r="W90">
            <v>3095684.430681475</v>
          </cell>
          <cell r="X90">
            <v>7286574.089904529</v>
          </cell>
        </row>
        <row r="91">
          <cell r="L91">
            <v>2231094.945847007</v>
          </cell>
          <cell r="M91">
            <v>2842918.797414667</v>
          </cell>
          <cell r="N91">
            <v>3958573.4056051886</v>
          </cell>
          <cell r="O91">
            <v>7703658.8929779101</v>
          </cell>
          <cell r="P91">
            <v>10182734.739316646</v>
          </cell>
          <cell r="T91">
            <v>539918.19390039204</v>
          </cell>
          <cell r="U91">
            <v>744270.01329043135</v>
          </cell>
          <cell r="V91">
            <v>1217015.3366672853</v>
          </cell>
          <cell r="W91">
            <v>3129442.1440728139</v>
          </cell>
          <cell r="X91">
            <v>7368744.2276895642</v>
          </cell>
        </row>
        <row r="92">
          <cell r="L92">
            <v>2349081.2871559057</v>
          </cell>
          <cell r="M92">
            <v>3023036.5206209235</v>
          </cell>
          <cell r="N92">
            <v>4206964.7238689139</v>
          </cell>
          <cell r="O92">
            <v>8188429.3223854573</v>
          </cell>
          <cell r="P92">
            <v>10776038.075708006</v>
          </cell>
          <cell r="T92">
            <v>545840.01466744009</v>
          </cell>
          <cell r="U92">
            <v>752464.0161341842</v>
          </cell>
          <cell r="V92">
            <v>1230447.6915168795</v>
          </cell>
          <cell r="W92">
            <v>3163199.8574641529</v>
          </cell>
          <cell r="X92">
            <v>7450914.3654745985</v>
          </cell>
        </row>
        <row r="93">
          <cell r="L93">
            <v>2467067.6284648045</v>
          </cell>
          <cell r="M93">
            <v>3203154.24382718</v>
          </cell>
          <cell r="N93">
            <v>4478360.5793042984</v>
          </cell>
          <cell r="O93">
            <v>8682436.2671601642</v>
          </cell>
          <cell r="P93">
            <v>11403695.445851861</v>
          </cell>
          <cell r="T93">
            <v>551039.65088142827</v>
          </cell>
          <cell r="U93">
            <v>759805.38932020345</v>
          </cell>
          <cell r="V93">
            <v>1243880.0463664737</v>
          </cell>
          <cell r="W93">
            <v>3196957.5708554918</v>
          </cell>
          <cell r="X93">
            <v>7531438.7448455254</v>
          </cell>
        </row>
        <row r="94">
          <cell r="L94">
            <v>2585053.9697737033</v>
          </cell>
          <cell r="M94">
            <v>3383271.9670334365</v>
          </cell>
          <cell r="N94">
            <v>4749756.4347396828</v>
          </cell>
          <cell r="O94">
            <v>9283256.323322054</v>
          </cell>
          <cell r="P94">
            <v>12155045.008619722</v>
          </cell>
          <cell r="T94">
            <v>555488.62357595086</v>
          </cell>
          <cell r="U94">
            <v>766393.19741278607</v>
          </cell>
          <cell r="V94">
            <v>1255619.5793942716</v>
          </cell>
          <cell r="W94">
            <v>3230715.2842468307</v>
          </cell>
          <cell r="X94">
            <v>7611567.74294555</v>
          </cell>
        </row>
        <row r="95">
          <cell r="L95">
            <v>2703040.311082602</v>
          </cell>
          <cell r="M95">
            <v>3563389.690239693</v>
          </cell>
          <cell r="N95">
            <v>5021152.2901750673</v>
          </cell>
          <cell r="O95">
            <v>9925728.2905510161</v>
          </cell>
          <cell r="P95">
            <v>12933733.657171423</v>
          </cell>
          <cell r="T95">
            <v>559937.59627047344</v>
          </cell>
          <cell r="U95">
            <v>772981.00550536881</v>
          </cell>
          <cell r="V95">
            <v>1267157.3379128124</v>
          </cell>
          <cell r="W95">
            <v>3264472.9976381697</v>
          </cell>
          <cell r="X95">
            <v>7691696.7410455737</v>
          </cell>
        </row>
        <row r="96">
          <cell r="L96">
            <v>2821026.6523915008</v>
          </cell>
          <cell r="M96">
            <v>3743507.4134459496</v>
          </cell>
          <cell r="N96">
            <v>5292548.1456104517</v>
          </cell>
          <cell r="O96">
            <v>10602071.32398789</v>
          </cell>
          <cell r="P96">
            <v>13788370.444803586</v>
          </cell>
          <cell r="T96">
            <v>564386.56896499591</v>
          </cell>
          <cell r="U96">
            <v>779568.81359795155</v>
          </cell>
          <cell r="V96">
            <v>1278695.0964313531</v>
          </cell>
          <cell r="W96">
            <v>3298230.7110295086</v>
          </cell>
          <cell r="X96">
            <v>7771825.7391455984</v>
          </cell>
        </row>
        <row r="97">
          <cell r="L97">
            <v>2939012.9937003995</v>
          </cell>
          <cell r="M97">
            <v>3923625.1366522061</v>
          </cell>
          <cell r="N97">
            <v>5563944.0010458361</v>
          </cell>
          <cell r="O97">
            <v>11319927.925257117</v>
          </cell>
          <cell r="P97">
            <v>14689958.208127284</v>
          </cell>
          <cell r="T97">
            <v>568835.54165951849</v>
          </cell>
          <cell r="U97">
            <v>786156.62169053417</v>
          </cell>
          <cell r="V97">
            <v>1290232.8549498941</v>
          </cell>
          <cell r="W97">
            <v>3331166.1404448836</v>
          </cell>
          <cell r="X97">
            <v>7851954.7372456221</v>
          </cell>
        </row>
        <row r="98">
          <cell r="L98">
            <v>3056999.3350092983</v>
          </cell>
          <cell r="M98">
            <v>4103742.8598584626</v>
          </cell>
          <cell r="N98">
            <v>5835339.8564812206</v>
          </cell>
          <cell r="O98">
            <v>12088795.734130435</v>
          </cell>
          <cell r="P98">
            <v>15760651.57770581</v>
          </cell>
          <cell r="T98">
            <v>573284.51435404108</v>
          </cell>
          <cell r="U98">
            <v>792744.42978311691</v>
          </cell>
          <cell r="V98">
            <v>1301770.6134684349</v>
          </cell>
          <cell r="W98">
            <v>3363877.6748152785</v>
          </cell>
          <cell r="X98">
            <v>7932083.7353456467</v>
          </cell>
        </row>
        <row r="99">
          <cell r="L99">
            <v>3174985.676318197</v>
          </cell>
          <cell r="M99">
            <v>4283860.5830647191</v>
          </cell>
          <cell r="N99">
            <v>6106735.711916605</v>
          </cell>
          <cell r="O99">
            <v>12857663.543003753</v>
          </cell>
          <cell r="P99">
            <v>16897801.595727477</v>
          </cell>
          <cell r="T99">
            <v>577733.48704856366</v>
          </cell>
          <cell r="U99">
            <v>799307.61089725071</v>
          </cell>
          <cell r="V99">
            <v>1313308.3719869757</v>
          </cell>
          <cell r="W99">
            <v>3396589.2091856734</v>
          </cell>
          <cell r="X99">
            <v>8012110.63010424</v>
          </cell>
        </row>
        <row r="100">
          <cell r="L100">
            <v>3292972.0176270958</v>
          </cell>
          <cell r="M100">
            <v>4463978.3062709756</v>
          </cell>
          <cell r="N100">
            <v>6378131.5673519894</v>
          </cell>
          <cell r="O100">
            <v>13626531.351877071</v>
          </cell>
          <cell r="P100">
            <v>18232060.269002654</v>
          </cell>
          <cell r="T100">
            <v>582062.9177731541</v>
          </cell>
          <cell r="U100">
            <v>805749.20955046953</v>
          </cell>
          <cell r="V100">
            <v>1324846.1305055164</v>
          </cell>
          <cell r="W100">
            <v>3429300.7435560683</v>
          </cell>
          <cell r="X100">
            <v>8091948.3179116743</v>
          </cell>
        </row>
        <row r="101">
          <cell r="L101">
            <v>3410958.3589359946</v>
          </cell>
          <cell r="M101">
            <v>4644096.0294772321</v>
          </cell>
          <cell r="N101">
            <v>6649527.4227873739</v>
          </cell>
          <cell r="O101">
            <v>14395399.160750389</v>
          </cell>
          <cell r="P101">
            <v>19649623.037590444</v>
          </cell>
          <cell r="T101">
            <v>586391.64382153493</v>
          </cell>
          <cell r="U101">
            <v>812190.80820368847</v>
          </cell>
          <cell r="V101">
            <v>1336383.8890240574</v>
          </cell>
          <cell r="W101">
            <v>3462012.2779264632</v>
          </cell>
          <cell r="X101">
            <v>8171786.0057191085</v>
          </cell>
        </row>
        <row r="102">
          <cell r="L102">
            <v>3528944.7002448933</v>
          </cell>
          <cell r="M102">
            <v>4824213.7526834887</v>
          </cell>
          <cell r="N102">
            <v>6920923.2782227583</v>
          </cell>
          <cell r="O102">
            <v>15164266.969623707</v>
          </cell>
          <cell r="P102">
            <v>21014623.300405931</v>
          </cell>
          <cell r="T102">
            <v>590720.36986991577</v>
          </cell>
          <cell r="U102">
            <v>818632.40685690742</v>
          </cell>
          <cell r="V102">
            <v>1347921.6475425982</v>
          </cell>
          <cell r="W102">
            <v>3494723.8122968581</v>
          </cell>
          <cell r="X102">
            <v>8251623.6935265437</v>
          </cell>
        </row>
        <row r="103">
          <cell r="L103">
            <v>3646931.0415537921</v>
          </cell>
          <cell r="M103">
            <v>5004331.4758897452</v>
          </cell>
          <cell r="N103">
            <v>7192319.1336581428</v>
          </cell>
          <cell r="O103">
            <v>15933134.778497025</v>
          </cell>
          <cell r="P103">
            <v>22408407.470282592</v>
          </cell>
          <cell r="T103">
            <v>595049.0959182966</v>
          </cell>
          <cell r="U103">
            <v>825074.00551012636</v>
          </cell>
          <cell r="V103">
            <v>1359459.406061139</v>
          </cell>
          <cell r="W103">
            <v>3527435.3466672534</v>
          </cell>
          <cell r="X103">
            <v>8331461.3813339779</v>
          </cell>
        </row>
        <row r="104">
          <cell r="L104">
            <v>3764917.3828626908</v>
          </cell>
          <cell r="M104">
            <v>5184449.1990960017</v>
          </cell>
          <cell r="N104">
            <v>7463714.9890935272</v>
          </cell>
          <cell r="O104">
            <v>16702002.587370344</v>
          </cell>
          <cell r="P104">
            <v>23921158.347683363</v>
          </cell>
          <cell r="T104">
            <v>599377.82196667744</v>
          </cell>
          <cell r="U104">
            <v>831515.6041633453</v>
          </cell>
          <cell r="V104">
            <v>1370997.1645796797</v>
          </cell>
          <cell r="W104">
            <v>3560146.8810376478</v>
          </cell>
          <cell r="X104">
            <v>8411299.0691414122</v>
          </cell>
        </row>
        <row r="105">
          <cell r="L105">
            <v>3882903.7241715896</v>
          </cell>
          <cell r="M105">
            <v>5364566.9223022582</v>
          </cell>
          <cell r="N105">
            <v>7735110.8445289116</v>
          </cell>
          <cell r="O105">
            <v>17470870.396243662</v>
          </cell>
          <cell r="P105">
            <v>25555158.958562665</v>
          </cell>
          <cell r="T105">
            <v>603706.54801505827</v>
          </cell>
          <cell r="U105">
            <v>837957.20281656412</v>
          </cell>
          <cell r="V105">
            <v>1382534.9230982205</v>
          </cell>
          <cell r="W105">
            <v>3592858.4154080427</v>
          </cell>
          <cell r="X105">
            <v>8491136.7569488473</v>
          </cell>
        </row>
        <row r="106">
          <cell r="L106">
            <v>4000890.0654804884</v>
          </cell>
          <cell r="M106">
            <v>5544684.6455085147</v>
          </cell>
          <cell r="N106">
            <v>8006506.6999642961</v>
          </cell>
          <cell r="O106">
            <v>18239738.20511698</v>
          </cell>
          <cell r="P106">
            <v>27362276.985131558</v>
          </cell>
          <cell r="T106">
            <v>608035.27406343911</v>
          </cell>
          <cell r="U106">
            <v>844398.80146978307</v>
          </cell>
          <cell r="V106">
            <v>1394072.6816167615</v>
          </cell>
          <cell r="W106">
            <v>3625569.9497784376</v>
          </cell>
          <cell r="X106">
            <v>8570974.4447562806</v>
          </cell>
        </row>
        <row r="107">
          <cell r="L107">
            <v>4118876.4067893871</v>
          </cell>
          <cell r="M107">
            <v>5724802.3687147712</v>
          </cell>
          <cell r="N107">
            <v>8277902.5553996805</v>
          </cell>
          <cell r="O107">
            <v>19008606.013990298</v>
          </cell>
          <cell r="P107">
            <v>29169395.011700451</v>
          </cell>
          <cell r="T107">
            <v>612364.00011181994</v>
          </cell>
          <cell r="U107">
            <v>850840.40012300201</v>
          </cell>
          <cell r="V107">
            <v>1405610.4401353023</v>
          </cell>
          <cell r="W107">
            <v>3658281.4841488325</v>
          </cell>
          <cell r="X107">
            <v>8650812.1325637158</v>
          </cell>
        </row>
        <row r="108">
          <cell r="L108">
            <v>4236862.7480982859</v>
          </cell>
          <cell r="M108">
            <v>5904920.0919210277</v>
          </cell>
          <cell r="N108">
            <v>8549298.4108350649</v>
          </cell>
          <cell r="O108">
            <v>19777473.822863616</v>
          </cell>
          <cell r="P108">
            <v>30976513.038269345</v>
          </cell>
          <cell r="T108">
            <v>616692.72616020078</v>
          </cell>
          <cell r="U108">
            <v>857281.99877622095</v>
          </cell>
          <cell r="V108">
            <v>1417148.198653843</v>
          </cell>
          <cell r="W108">
            <v>3690993.0185192274</v>
          </cell>
          <cell r="X108">
            <v>8730649.8203711491</v>
          </cell>
        </row>
        <row r="109">
          <cell r="L109">
            <v>4354849.0894071851</v>
          </cell>
          <cell r="M109">
            <v>6085037.8151272843</v>
          </cell>
          <cell r="N109">
            <v>8820694.2662704494</v>
          </cell>
          <cell r="O109">
            <v>20546341.631736934</v>
          </cell>
          <cell r="P109">
            <v>32783631.064838238</v>
          </cell>
          <cell r="T109">
            <v>621021.45220858161</v>
          </cell>
          <cell r="U109">
            <v>863723.59742943989</v>
          </cell>
          <cell r="V109">
            <v>1428685.9571723838</v>
          </cell>
          <cell r="W109">
            <v>3723704.5528896223</v>
          </cell>
          <cell r="X109">
            <v>8810487.5081785843</v>
          </cell>
        </row>
        <row r="110">
          <cell r="L110">
            <v>4472835.4307160843</v>
          </cell>
          <cell r="M110">
            <v>6265155.5383335408</v>
          </cell>
          <cell r="N110">
            <v>9092090.1217058338</v>
          </cell>
          <cell r="O110">
            <v>21315209.440610252</v>
          </cell>
          <cell r="P110">
            <v>34590749.091407135</v>
          </cell>
          <cell r="T110">
            <v>625350.17825696245</v>
          </cell>
          <cell r="U110">
            <v>870165.19608265883</v>
          </cell>
          <cell r="V110">
            <v>1440223.7156909248</v>
          </cell>
          <cell r="W110">
            <v>3756416.0872600172</v>
          </cell>
          <cell r="X110">
            <v>8890325.1959860194</v>
          </cell>
        </row>
        <row r="111">
          <cell r="L111">
            <v>4590821.7720249835</v>
          </cell>
          <cell r="M111">
            <v>6445273.2615397973</v>
          </cell>
          <cell r="N111">
            <v>9363485.9771412183</v>
          </cell>
          <cell r="O111">
            <v>22084077.24948357</v>
          </cell>
          <cell r="P111">
            <v>36397867.117976032</v>
          </cell>
          <cell r="T111">
            <v>629678.90430534328</v>
          </cell>
          <cell r="U111">
            <v>876606.79473587766</v>
          </cell>
          <cell r="V111">
            <v>1451761.4742094656</v>
          </cell>
          <cell r="W111">
            <v>3789127.6216304121</v>
          </cell>
          <cell r="X111">
            <v>8970162.8837934528</v>
          </cell>
        </row>
        <row r="112">
          <cell r="L112">
            <v>4708808.1133338828</v>
          </cell>
          <cell r="M112">
            <v>6625390.9847460538</v>
          </cell>
          <cell r="N112">
            <v>9634881.8325766027</v>
          </cell>
          <cell r="O112">
            <v>22852945.058356889</v>
          </cell>
          <cell r="P112">
            <v>38204985.144544929</v>
          </cell>
          <cell r="T112">
            <v>634007.63035372412</v>
          </cell>
          <cell r="U112">
            <v>883048.3933890966</v>
          </cell>
          <cell r="V112">
            <v>1463299.2327280063</v>
          </cell>
          <cell r="W112">
            <v>3821839.156000807</v>
          </cell>
          <cell r="X112">
            <v>9050000.5716008879</v>
          </cell>
        </row>
        <row r="113">
          <cell r="L113">
            <v>4826794.454642782</v>
          </cell>
          <cell r="M113">
            <v>6805508.7079523103</v>
          </cell>
          <cell r="N113">
            <v>9906277.6880119871</v>
          </cell>
          <cell r="O113">
            <v>23621812.867230207</v>
          </cell>
          <cell r="P113">
            <v>40012103.171113826</v>
          </cell>
          <cell r="T113">
            <v>638336.35640210495</v>
          </cell>
          <cell r="U113">
            <v>889489.99204231554</v>
          </cell>
          <cell r="V113">
            <v>1474836.9912465471</v>
          </cell>
          <cell r="W113">
            <v>3854550.6903712018</v>
          </cell>
          <cell r="X113">
            <v>9129838.2594083212</v>
          </cell>
        </row>
        <row r="114">
          <cell r="L114">
            <v>4944780.7959516812</v>
          </cell>
          <cell r="M114">
            <v>6985626.4311585668</v>
          </cell>
          <cell r="N114">
            <v>10177673.543447372</v>
          </cell>
          <cell r="O114">
            <v>24390680.676103525</v>
          </cell>
          <cell r="P114">
            <v>41819221.197682723</v>
          </cell>
          <cell r="T114">
            <v>642665.08245048579</v>
          </cell>
          <cell r="U114">
            <v>895931.59069553448</v>
          </cell>
          <cell r="V114">
            <v>1486374.7497650879</v>
          </cell>
          <cell r="W114">
            <v>3887262.2247415967</v>
          </cell>
          <cell r="X114">
            <v>9209675.9472157564</v>
          </cell>
        </row>
        <row r="115">
          <cell r="L115">
            <v>5062767.1372605804</v>
          </cell>
          <cell r="M115">
            <v>7165744.1543648234</v>
          </cell>
          <cell r="N115">
            <v>10449069.398882756</v>
          </cell>
          <cell r="O115">
            <v>25159548.484976843</v>
          </cell>
          <cell r="P115">
            <v>43626339.22425162</v>
          </cell>
          <cell r="T115">
            <v>646993.80849886662</v>
          </cell>
          <cell r="U115">
            <v>902373.18934875343</v>
          </cell>
          <cell r="V115">
            <v>1497912.5082836288</v>
          </cell>
          <cell r="W115">
            <v>3919973.7591119916</v>
          </cell>
          <cell r="X115">
            <v>9289513.6350231897</v>
          </cell>
        </row>
        <row r="116">
          <cell r="L116">
            <v>5180753.4785694797</v>
          </cell>
          <cell r="M116">
            <v>7345861.8775710799</v>
          </cell>
          <cell r="N116">
            <v>10720465.25431814</v>
          </cell>
          <cell r="O116">
            <v>25928416.293850161</v>
          </cell>
          <cell r="P116">
            <v>45433457.250820518</v>
          </cell>
          <cell r="T116">
            <v>651322.53454724746</v>
          </cell>
          <cell r="U116">
            <v>908814.78800197237</v>
          </cell>
          <cell r="V116">
            <v>1509450.2668021696</v>
          </cell>
          <cell r="W116">
            <v>3952685.2934823865</v>
          </cell>
          <cell r="X116">
            <v>9369351.3228306249</v>
          </cell>
        </row>
        <row r="117">
          <cell r="L117">
            <v>5298739.8198783789</v>
          </cell>
          <cell r="M117">
            <v>7525979.6007773364</v>
          </cell>
          <cell r="N117">
            <v>10991861.109753525</v>
          </cell>
          <cell r="O117">
            <v>26697284.102723479</v>
          </cell>
          <cell r="P117">
            <v>47240575.277389415</v>
          </cell>
          <cell r="T117">
            <v>655651.26059562829</v>
          </cell>
          <cell r="U117">
            <v>915256.38665519119</v>
          </cell>
          <cell r="V117">
            <v>1520988.0253207104</v>
          </cell>
          <cell r="W117">
            <v>3985396.8278527814</v>
          </cell>
          <cell r="X117">
            <v>9449189.0106380582</v>
          </cell>
        </row>
        <row r="118">
          <cell r="L118">
            <v>5416726.1611872781</v>
          </cell>
          <cell r="M118">
            <v>7706097.3239835929</v>
          </cell>
          <cell r="N118">
            <v>11263256.965188909</v>
          </cell>
          <cell r="O118">
            <v>27466151.911596797</v>
          </cell>
          <cell r="P118">
            <v>49047693.303958312</v>
          </cell>
          <cell r="T118">
            <v>659979.98664400913</v>
          </cell>
          <cell r="U118">
            <v>921697.98530841013</v>
          </cell>
          <cell r="V118">
            <v>1532525.7838392511</v>
          </cell>
          <cell r="W118">
            <v>4018108.3622231763</v>
          </cell>
          <cell r="X118">
            <v>9529026.6984454934</v>
          </cell>
        </row>
        <row r="119">
          <cell r="L119">
            <v>5534712.5024961773</v>
          </cell>
          <cell r="M119">
            <v>7886215.0471898494</v>
          </cell>
          <cell r="N119">
            <v>11534652.820624294</v>
          </cell>
          <cell r="O119">
            <v>28235019.720470116</v>
          </cell>
          <cell r="P119">
            <v>50854811.330527209</v>
          </cell>
          <cell r="T119">
            <v>664308.71269238996</v>
          </cell>
          <cell r="U119">
            <v>928139.58396162908</v>
          </cell>
          <cell r="V119">
            <v>1544063.5423577921</v>
          </cell>
          <cell r="W119">
            <v>4050819.8965935712</v>
          </cell>
          <cell r="X119">
            <v>9608864.3862529285</v>
          </cell>
        </row>
        <row r="120">
          <cell r="L120">
            <v>5652698.8438050766</v>
          </cell>
          <cell r="M120">
            <v>8066332.7703961059</v>
          </cell>
          <cell r="N120">
            <v>11806048.676059678</v>
          </cell>
          <cell r="O120">
            <v>29003887.529343434</v>
          </cell>
          <cell r="P120">
            <v>52661929.357096106</v>
          </cell>
          <cell r="T120">
            <v>668637.4387407708</v>
          </cell>
          <cell r="U120">
            <v>934581.18261484802</v>
          </cell>
          <cell r="V120">
            <v>1555601.3008763329</v>
          </cell>
          <cell r="W120">
            <v>4083531.4309639661</v>
          </cell>
          <cell r="X120">
            <v>9688702.0740603618</v>
          </cell>
        </row>
        <row r="121">
          <cell r="L121">
            <v>5770685.1851139758</v>
          </cell>
          <cell r="M121">
            <v>8246450.4936023625</v>
          </cell>
          <cell r="N121">
            <v>12077444.531495063</v>
          </cell>
          <cell r="O121">
            <v>29772755.338216752</v>
          </cell>
          <cell r="P121">
            <v>54469047.383665003</v>
          </cell>
          <cell r="T121">
            <v>672966.16478915163</v>
          </cell>
          <cell r="U121">
            <v>941022.78126806696</v>
          </cell>
          <cell r="V121">
            <v>1567139.0593948737</v>
          </cell>
          <cell r="W121">
            <v>4116242.965334361</v>
          </cell>
          <cell r="X121">
            <v>9768539.761867797</v>
          </cell>
        </row>
        <row r="122">
          <cell r="L122">
            <v>5888671.526422875</v>
          </cell>
          <cell r="M122">
            <v>8426568.216808619</v>
          </cell>
          <cell r="N122">
            <v>12348840.386930447</v>
          </cell>
          <cell r="O122">
            <v>30541623.14709007</v>
          </cell>
          <cell r="P122">
            <v>56276165.4102339</v>
          </cell>
          <cell r="T122">
            <v>677294.89083753247</v>
          </cell>
          <cell r="U122">
            <v>947464.3799212859</v>
          </cell>
          <cell r="V122">
            <v>1578676.8179134144</v>
          </cell>
          <cell r="W122">
            <v>4148954.4997047558</v>
          </cell>
          <cell r="X122">
            <v>9848377.4496752303</v>
          </cell>
        </row>
        <row r="123">
          <cell r="L123">
            <v>6006657.8677317742</v>
          </cell>
          <cell r="M123">
            <v>8606685.9400148764</v>
          </cell>
          <cell r="N123">
            <v>12620236.242365832</v>
          </cell>
          <cell r="O123">
            <v>31310490.955963388</v>
          </cell>
          <cell r="P123">
            <v>58083283.436802797</v>
          </cell>
          <cell r="T123">
            <v>681623.6168859133</v>
          </cell>
          <cell r="U123">
            <v>953905.97857450473</v>
          </cell>
          <cell r="V123">
            <v>1590214.5764319552</v>
          </cell>
          <cell r="W123">
            <v>4181666.0340751507</v>
          </cell>
          <cell r="X123">
            <v>9928215.1374826655</v>
          </cell>
        </row>
        <row r="124">
          <cell r="L124">
            <v>6124644.2090406734</v>
          </cell>
          <cell r="M124">
            <v>8786803.6632211339</v>
          </cell>
          <cell r="N124">
            <v>12891632.097801216</v>
          </cell>
          <cell r="O124">
            <v>32079358.764836706</v>
          </cell>
          <cell r="P124">
            <v>59890401.463371694</v>
          </cell>
          <cell r="T124">
            <v>685952.34293429414</v>
          </cell>
          <cell r="U124">
            <v>960347.57722772367</v>
          </cell>
          <cell r="V124">
            <v>1601752.334950496</v>
          </cell>
          <cell r="W124">
            <v>4214377.5684455456</v>
          </cell>
          <cell r="X124">
            <v>10008052.825290099</v>
          </cell>
        </row>
        <row r="125">
          <cell r="L125">
            <v>6242630.5503495727</v>
          </cell>
          <cell r="M125">
            <v>8966921.3864273913</v>
          </cell>
          <cell r="N125">
            <v>13163027.9532366</v>
          </cell>
          <cell r="O125">
            <v>32848226.573710024</v>
          </cell>
          <cell r="P125">
            <v>61697519.489940591</v>
          </cell>
          <cell r="T125">
            <v>690281.06898267497</v>
          </cell>
          <cell r="U125">
            <v>966789.17588094261</v>
          </cell>
          <cell r="V125">
            <v>1613290.093469037</v>
          </cell>
          <cell r="W125">
            <v>4247089.10281594</v>
          </cell>
          <cell r="X125">
            <v>10087890.513097534</v>
          </cell>
        </row>
        <row r="126">
          <cell r="L126">
            <v>6360616.8916584719</v>
          </cell>
          <cell r="M126">
            <v>9147039.1096336488</v>
          </cell>
          <cell r="N126">
            <v>13434423.808671985</v>
          </cell>
          <cell r="O126">
            <v>33617094.382583342</v>
          </cell>
          <cell r="P126">
            <v>63504637.516509488</v>
          </cell>
          <cell r="T126">
            <v>694609.79503105581</v>
          </cell>
          <cell r="U126">
            <v>973230.77453416155</v>
          </cell>
          <cell r="V126">
            <v>1624827.8519875777</v>
          </cell>
          <cell r="W126">
            <v>4279800.6371863354</v>
          </cell>
          <cell r="X126">
            <v>10167728.200904969</v>
          </cell>
        </row>
        <row r="127">
          <cell r="L127">
            <v>6478603.2329673711</v>
          </cell>
          <cell r="M127">
            <v>9327156.8328399062</v>
          </cell>
          <cell r="N127">
            <v>13705819.664107369</v>
          </cell>
          <cell r="O127">
            <v>34385962.191456661</v>
          </cell>
          <cell r="P127">
            <v>65311755.543078385</v>
          </cell>
          <cell r="T127">
            <v>698938.52107943664</v>
          </cell>
          <cell r="U127">
            <v>979672.37318738038</v>
          </cell>
          <cell r="V127">
            <v>1636365.6105061185</v>
          </cell>
          <cell r="W127">
            <v>4312512.1715567298</v>
          </cell>
          <cell r="X127">
            <v>10247565.888712402</v>
          </cell>
        </row>
        <row r="128">
          <cell r="L128">
            <v>6596589.5742762703</v>
          </cell>
          <cell r="M128">
            <v>9507274.5560461637</v>
          </cell>
          <cell r="N128">
            <v>13977215.519542754</v>
          </cell>
          <cell r="O128">
            <v>35154830.000329979</v>
          </cell>
          <cell r="P128">
            <v>67118873.569647282</v>
          </cell>
          <cell r="T128">
            <v>703267.24712781748</v>
          </cell>
          <cell r="U128">
            <v>986113.97184059932</v>
          </cell>
          <cell r="V128">
            <v>1647903.3690246593</v>
          </cell>
          <cell r="W128">
            <v>4345223.7059271252</v>
          </cell>
          <cell r="X128">
            <v>10327403.576519838</v>
          </cell>
        </row>
        <row r="129">
          <cell r="L129">
            <v>6714575.9155851696</v>
          </cell>
          <cell r="M129">
            <v>9687392.2792524211</v>
          </cell>
          <cell r="N129">
            <v>14248611.374978138</v>
          </cell>
          <cell r="O129">
            <v>35923697.809203297</v>
          </cell>
          <cell r="P129">
            <v>68925991.596216172</v>
          </cell>
          <cell r="T129">
            <v>707595.97317619831</v>
          </cell>
          <cell r="U129">
            <v>992555.57049381826</v>
          </cell>
          <cell r="V129">
            <v>1659441.1275432</v>
          </cell>
          <cell r="W129">
            <v>4377935.2402975196</v>
          </cell>
          <cell r="X129">
            <v>10407241.264327271</v>
          </cell>
        </row>
        <row r="130">
          <cell r="L130">
            <v>6832562.2568940688</v>
          </cell>
          <cell r="M130">
            <v>9867510.0024586786</v>
          </cell>
          <cell r="N130">
            <v>14520007.230413523</v>
          </cell>
          <cell r="O130">
            <v>36692565.618076615</v>
          </cell>
          <cell r="P130">
            <v>70733109.622785062</v>
          </cell>
          <cell r="T130">
            <v>711924.69922457915</v>
          </cell>
          <cell r="U130">
            <v>998997.1691470372</v>
          </cell>
          <cell r="V130">
            <v>1670978.8860617408</v>
          </cell>
          <cell r="W130">
            <v>4410646.774667915</v>
          </cell>
          <cell r="X130">
            <v>10487078.952134706</v>
          </cell>
        </row>
        <row r="131">
          <cell r="L131">
            <v>6950548.598202968</v>
          </cell>
          <cell r="M131">
            <v>10047627.725664936</v>
          </cell>
          <cell r="N131">
            <v>14791403.085848907</v>
          </cell>
          <cell r="O131">
            <v>37461433.426949933</v>
          </cell>
          <cell r="P131">
            <v>72540227.649353951</v>
          </cell>
          <cell r="T131">
            <v>716253.42527295998</v>
          </cell>
          <cell r="U131">
            <v>1005438.7678002561</v>
          </cell>
          <cell r="V131">
            <v>1682516.6445802818</v>
          </cell>
          <cell r="W131">
            <v>4443358.3090383094</v>
          </cell>
          <cell r="X131">
            <v>10566916.639942139</v>
          </cell>
        </row>
        <row r="132">
          <cell r="L132">
            <v>7068534.9395118672</v>
          </cell>
          <cell r="M132">
            <v>10227745.448871193</v>
          </cell>
          <cell r="N132">
            <v>15062798.941284291</v>
          </cell>
          <cell r="O132">
            <v>38230301.235823251</v>
          </cell>
          <cell r="P132">
            <v>74347345.675922841</v>
          </cell>
          <cell r="T132">
            <v>720582.15132134082</v>
          </cell>
          <cell r="U132">
            <v>1011880.366453475</v>
          </cell>
          <cell r="V132">
            <v>1694054.4030988226</v>
          </cell>
          <cell r="W132">
            <v>4476069.8434087047</v>
          </cell>
          <cell r="X132">
            <v>10646754.327749575</v>
          </cell>
        </row>
        <row r="133">
          <cell r="L133">
            <v>7186521.2808207665</v>
          </cell>
          <cell r="M133">
            <v>10407863.172077451</v>
          </cell>
          <cell r="N133">
            <v>15334194.796719676</v>
          </cell>
          <cell r="O133">
            <v>38999169.044696569</v>
          </cell>
          <cell r="P133">
            <v>76154463.70249173</v>
          </cell>
          <cell r="T133">
            <v>724910.87736972165</v>
          </cell>
          <cell r="U133">
            <v>1018321.9651066939</v>
          </cell>
          <cell r="V133">
            <v>1705592.1616173633</v>
          </cell>
          <cell r="W133">
            <v>4508781.3777790992</v>
          </cell>
          <cell r="X133">
            <v>10726592.015557008</v>
          </cell>
        </row>
        <row r="134">
          <cell r="L134">
            <v>7304507.6221296657</v>
          </cell>
          <cell r="M134">
            <v>10587980.895283708</v>
          </cell>
          <cell r="N134">
            <v>15605590.65215506</v>
          </cell>
          <cell r="O134">
            <v>39768036.853569888</v>
          </cell>
          <cell r="P134">
            <v>77961581.72906062</v>
          </cell>
          <cell r="T134">
            <v>729239.60341810249</v>
          </cell>
          <cell r="U134">
            <v>1024763.5637599129</v>
          </cell>
          <cell r="V134">
            <v>1717129.9201359041</v>
          </cell>
          <cell r="W134">
            <v>4541492.9121494945</v>
          </cell>
          <cell r="X134">
            <v>10806429.703364443</v>
          </cell>
        </row>
        <row r="135">
          <cell r="L135">
            <v>7422493.9634385649</v>
          </cell>
          <cell r="M135">
            <v>10768098.618489966</v>
          </cell>
          <cell r="N135">
            <v>15876986.507590445</v>
          </cell>
          <cell r="O135">
            <v>40536904.662443206</v>
          </cell>
          <cell r="P135">
            <v>79768699.75562951</v>
          </cell>
          <cell r="T135">
            <v>733568.32946648332</v>
          </cell>
          <cell r="U135">
            <v>1031205.1624131318</v>
          </cell>
          <cell r="V135">
            <v>1728667.6786544449</v>
          </cell>
          <cell r="W135">
            <v>4574204.4465198889</v>
          </cell>
          <cell r="X135">
            <v>10886267.391171876</v>
          </cell>
        </row>
        <row r="136">
          <cell r="L136">
            <v>7540480.3047474641</v>
          </cell>
          <cell r="M136">
            <v>10948216.341696223</v>
          </cell>
          <cell r="N136">
            <v>16148382.363025829</v>
          </cell>
          <cell r="O136">
            <v>41305772.471316524</v>
          </cell>
          <cell r="P136">
            <v>81575817.782198399</v>
          </cell>
          <cell r="T136">
            <v>737897.05551486427</v>
          </cell>
          <cell r="U136">
            <v>1037646.7610663506</v>
          </cell>
          <cell r="V136">
            <v>1740205.4371729859</v>
          </cell>
          <cell r="W136">
            <v>4606915.9808902843</v>
          </cell>
          <cell r="X136">
            <v>10966105.078979312</v>
          </cell>
        </row>
        <row r="137">
          <cell r="L137">
            <v>7658466.6460563634</v>
          </cell>
          <cell r="M137">
            <v>11128334.064902481</v>
          </cell>
          <cell r="N137">
            <v>16419778.218461214</v>
          </cell>
          <cell r="O137">
            <v>42074640.280189842</v>
          </cell>
          <cell r="P137">
            <v>83382935.808767289</v>
          </cell>
          <cell r="T137">
            <v>742225.78156324511</v>
          </cell>
          <cell r="U137">
            <v>1044088.3597195696</v>
          </cell>
          <cell r="V137">
            <v>1751743.1956915266</v>
          </cell>
          <cell r="W137">
            <v>4639627.5152606787</v>
          </cell>
          <cell r="X137">
            <v>11045942.766786745</v>
          </cell>
        </row>
        <row r="138">
          <cell r="L138">
            <v>7776452.9873652626</v>
          </cell>
          <cell r="M138">
            <v>11308451.788108738</v>
          </cell>
          <cell r="N138">
            <v>16691174.073896598</v>
          </cell>
          <cell r="O138">
            <v>42843508.08906316</v>
          </cell>
          <cell r="P138">
            <v>85190053.835336179</v>
          </cell>
          <cell r="T138">
            <v>746554.50761162594</v>
          </cell>
          <cell r="U138">
            <v>1050529.9583727885</v>
          </cell>
          <cell r="V138">
            <v>1763280.9542100674</v>
          </cell>
          <cell r="W138">
            <v>4672339.0496310741</v>
          </cell>
          <cell r="X138">
            <v>11125780.45459418</v>
          </cell>
        </row>
        <row r="139">
          <cell r="L139">
            <v>7894439.3286741618</v>
          </cell>
          <cell r="M139">
            <v>11488569.511314996</v>
          </cell>
          <cell r="N139">
            <v>16962569.929331981</v>
          </cell>
          <cell r="O139">
            <v>43612375.897936478</v>
          </cell>
          <cell r="P139">
            <v>86997171.861905068</v>
          </cell>
          <cell r="T139">
            <v>750883.23366000678</v>
          </cell>
          <cell r="U139">
            <v>1056971.5570260074</v>
          </cell>
          <cell r="V139">
            <v>1774818.7127286082</v>
          </cell>
          <cell r="W139">
            <v>4705050.5840014685</v>
          </cell>
          <cell r="X139">
            <v>11205618.142401613</v>
          </cell>
        </row>
        <row r="140">
          <cell r="L140">
            <v>8012425.669983061</v>
          </cell>
          <cell r="M140">
            <v>11668687.234521253</v>
          </cell>
          <cell r="N140">
            <v>17233965.784767363</v>
          </cell>
          <cell r="O140">
            <v>44381243.706809796</v>
          </cell>
          <cell r="P140">
            <v>88804289.888473958</v>
          </cell>
          <cell r="T140">
            <v>755211.95970838761</v>
          </cell>
          <cell r="U140">
            <v>1063413.1556792264</v>
          </cell>
          <cell r="V140">
            <v>1786356.4712471489</v>
          </cell>
          <cell r="W140">
            <v>4737762.1183718638</v>
          </cell>
          <cell r="X140">
            <v>11285455.830209048</v>
          </cell>
        </row>
        <row r="141">
          <cell r="L141">
            <v>8130412.0112919603</v>
          </cell>
          <cell r="M141">
            <v>11848804.95772751</v>
          </cell>
          <cell r="N141">
            <v>17505361.640202746</v>
          </cell>
          <cell r="O141">
            <v>45150111.515683115</v>
          </cell>
          <cell r="P141">
            <v>90611407.915042847</v>
          </cell>
          <cell r="T141">
            <v>759540.68575676845</v>
          </cell>
          <cell r="U141">
            <v>1069854.7543324453</v>
          </cell>
          <cell r="V141">
            <v>1797894.2297656899</v>
          </cell>
          <cell r="W141">
            <v>4770473.6527422583</v>
          </cell>
          <cell r="X141">
            <v>11365293.518016484</v>
          </cell>
        </row>
        <row r="142">
          <cell r="L142">
            <v>8248398.3526008595</v>
          </cell>
          <cell r="M142">
            <v>12028922.680933768</v>
          </cell>
          <cell r="N142">
            <v>17776757.495638128</v>
          </cell>
          <cell r="O142">
            <v>45918979.324556433</v>
          </cell>
          <cell r="P142">
            <v>92418525.941611737</v>
          </cell>
          <cell r="T142">
            <v>763869.41180514928</v>
          </cell>
          <cell r="U142">
            <v>1076296.3529856643</v>
          </cell>
          <cell r="V142">
            <v>1809431.9882842307</v>
          </cell>
          <cell r="W142">
            <v>4803185.1871126536</v>
          </cell>
          <cell r="X142">
            <v>11445131.205823917</v>
          </cell>
        </row>
        <row r="143">
          <cell r="L143">
            <v>8366384.6939097587</v>
          </cell>
          <cell r="M143">
            <v>12209040.404140025</v>
          </cell>
          <cell r="N143">
            <v>18048153.351073511</v>
          </cell>
          <cell r="O143">
            <v>46687847.133429751</v>
          </cell>
          <cell r="P143">
            <v>94225643.968180627</v>
          </cell>
          <cell r="T143">
            <v>768198.13785353012</v>
          </cell>
          <cell r="U143">
            <v>1082737.9516388832</v>
          </cell>
          <cell r="V143">
            <v>1820969.7468027715</v>
          </cell>
          <cell r="W143">
            <v>4835896.7214830481</v>
          </cell>
          <cell r="X143">
            <v>11524968.893631352</v>
          </cell>
        </row>
        <row r="144">
          <cell r="L144">
            <v>8484371.0352186579</v>
          </cell>
          <cell r="M144">
            <v>12389158.127346283</v>
          </cell>
          <cell r="N144">
            <v>18319549.206508894</v>
          </cell>
          <cell r="O144">
            <v>47456714.942303069</v>
          </cell>
          <cell r="P144">
            <v>96032761.994749516</v>
          </cell>
          <cell r="T144">
            <v>772526.86390191095</v>
          </cell>
          <cell r="U144">
            <v>1089179.5502921022</v>
          </cell>
          <cell r="V144">
            <v>1832507.5053213125</v>
          </cell>
          <cell r="W144">
            <v>4868608.2558534434</v>
          </cell>
          <cell r="X144">
            <v>11604806.581438785</v>
          </cell>
        </row>
        <row r="145">
          <cell r="L145">
            <v>8602357.3765275571</v>
          </cell>
          <cell r="M145">
            <v>12569275.85055254</v>
          </cell>
          <cell r="N145">
            <v>18590945.061944276</v>
          </cell>
          <cell r="O145">
            <v>48225582.751176387</v>
          </cell>
          <cell r="P145">
            <v>97839880.021318406</v>
          </cell>
          <cell r="T145">
            <v>776855.58995029179</v>
          </cell>
          <cell r="U145">
            <v>1095621.1489453211</v>
          </cell>
          <cell r="V145">
            <v>1844045.2638398532</v>
          </cell>
          <cell r="W145">
            <v>4901319.7902238378</v>
          </cell>
          <cell r="X145">
            <v>11684644.269246221</v>
          </cell>
        </row>
        <row r="146">
          <cell r="L146">
            <v>8720343.7178364564</v>
          </cell>
          <cell r="M146">
            <v>12749393.573758798</v>
          </cell>
          <cell r="N146">
            <v>18862340.917379659</v>
          </cell>
          <cell r="O146">
            <v>48994450.560049705</v>
          </cell>
          <cell r="P146">
            <v>99646998.047887295</v>
          </cell>
          <cell r="T146">
            <v>781184.31599867262</v>
          </cell>
          <cell r="U146">
            <v>1102062.74759854</v>
          </cell>
          <cell r="V146">
            <v>1855583.022358394</v>
          </cell>
          <cell r="W146">
            <v>4934031.3245942332</v>
          </cell>
          <cell r="X146">
            <v>11764481.957053656</v>
          </cell>
        </row>
        <row r="147">
          <cell r="L147">
            <v>8838330.0591453556</v>
          </cell>
          <cell r="M147">
            <v>12929511.296965055</v>
          </cell>
          <cell r="N147">
            <v>19133736.772815041</v>
          </cell>
          <cell r="O147">
            <v>49763318.368923023</v>
          </cell>
          <cell r="P147">
            <v>101454116.07445619</v>
          </cell>
          <cell r="T147">
            <v>785513.04204705346</v>
          </cell>
          <cell r="U147">
            <v>1108504.346251759</v>
          </cell>
          <cell r="V147">
            <v>1867120.7808769348</v>
          </cell>
          <cell r="W147">
            <v>4966742.8589646276</v>
          </cell>
          <cell r="X147">
            <v>11844319.644861089</v>
          </cell>
        </row>
        <row r="148">
          <cell r="L148">
            <v>8956316.4004542548</v>
          </cell>
          <cell r="M148">
            <v>13109629.020171313</v>
          </cell>
          <cell r="N148">
            <v>19405132.628250424</v>
          </cell>
          <cell r="O148">
            <v>50532186.177796341</v>
          </cell>
          <cell r="P148">
            <v>103261234.10102507</v>
          </cell>
          <cell r="T148">
            <v>789841.76809543429</v>
          </cell>
          <cell r="U148">
            <v>1114945.9449049779</v>
          </cell>
          <cell r="V148">
            <v>1878658.5393954758</v>
          </cell>
          <cell r="W148">
            <v>4999454.393335023</v>
          </cell>
          <cell r="X148">
            <v>11924157.332668524</v>
          </cell>
        </row>
        <row r="149">
          <cell r="L149">
            <v>9074302.741763154</v>
          </cell>
          <cell r="M149">
            <v>13289746.74337757</v>
          </cell>
          <cell r="N149">
            <v>19676528.483685806</v>
          </cell>
          <cell r="O149">
            <v>51301053.98666966</v>
          </cell>
          <cell r="P149">
            <v>105068352.12759396</v>
          </cell>
          <cell r="T149">
            <v>794170.49414381513</v>
          </cell>
          <cell r="U149">
            <v>1121387.5435581966</v>
          </cell>
          <cell r="V149">
            <v>1890196.2979140165</v>
          </cell>
          <cell r="W149">
            <v>5032165.9277054174</v>
          </cell>
          <cell r="X149">
            <v>12003995.020475959</v>
          </cell>
        </row>
        <row r="150">
          <cell r="L150">
            <v>9192289.0830720533</v>
          </cell>
          <cell r="M150">
            <v>13469864.466583828</v>
          </cell>
          <cell r="N150">
            <v>19947924.339121189</v>
          </cell>
          <cell r="O150">
            <v>52069921.795542978</v>
          </cell>
          <cell r="P150">
            <v>106875470.15416285</v>
          </cell>
          <cell r="T150">
            <v>798499.22019219596</v>
          </cell>
          <cell r="U150">
            <v>1127829.1422114156</v>
          </cell>
          <cell r="V150">
            <v>1901734.0564325573</v>
          </cell>
          <cell r="W150">
            <v>5064877.4620758127</v>
          </cell>
          <cell r="X150">
            <v>12083832.708283393</v>
          </cell>
        </row>
        <row r="151">
          <cell r="L151">
            <v>9310275.4243809525</v>
          </cell>
          <cell r="M151">
            <v>13649982.189790085</v>
          </cell>
          <cell r="N151">
            <v>20219320.194556572</v>
          </cell>
          <cell r="O151">
            <v>52838789.604416296</v>
          </cell>
          <cell r="P151">
            <v>108682588.18073174</v>
          </cell>
          <cell r="T151">
            <v>802827.9462405768</v>
          </cell>
          <cell r="U151">
            <v>1134270.7408646345</v>
          </cell>
          <cell r="V151">
            <v>1913271.8149510981</v>
          </cell>
          <cell r="W151">
            <v>5097588.9964462072</v>
          </cell>
          <cell r="X151">
            <v>12163670.396090828</v>
          </cell>
        </row>
        <row r="152">
          <cell r="L152">
            <v>9428261.7656898517</v>
          </cell>
          <cell r="M152">
            <v>13830099.912996342</v>
          </cell>
          <cell r="N152">
            <v>20490716.049991954</v>
          </cell>
          <cell r="O152">
            <v>53607657.413289614</v>
          </cell>
          <cell r="P152">
            <v>110489706.20730063</v>
          </cell>
          <cell r="T152">
            <v>807156.67228895763</v>
          </cell>
          <cell r="U152">
            <v>1140712.3395178535</v>
          </cell>
          <cell r="V152">
            <v>1924809.5734696388</v>
          </cell>
          <cell r="W152">
            <v>5130300.5308166025</v>
          </cell>
          <cell r="X152">
            <v>12243508.083898261</v>
          </cell>
        </row>
        <row r="153">
          <cell r="L153">
            <v>9546248.1069987509</v>
          </cell>
          <cell r="M153">
            <v>14010217.6362026</v>
          </cell>
          <cell r="N153">
            <v>20762111.905427337</v>
          </cell>
          <cell r="O153">
            <v>54376525.222162932</v>
          </cell>
          <cell r="P153">
            <v>112296824.23386952</v>
          </cell>
          <cell r="T153">
            <v>811485.39833733835</v>
          </cell>
          <cell r="U153">
            <v>1147153.9381710724</v>
          </cell>
          <cell r="V153">
            <v>1936347.3319881798</v>
          </cell>
          <cell r="W153">
            <v>5163012.0651869979</v>
          </cell>
          <cell r="X153">
            <v>12323345.771705696</v>
          </cell>
        </row>
        <row r="154">
          <cell r="L154">
            <v>9664234.4483076502</v>
          </cell>
          <cell r="M154">
            <v>14190335.359408857</v>
          </cell>
          <cell r="N154">
            <v>21033507.760862719</v>
          </cell>
          <cell r="O154">
            <v>55145393.03103625</v>
          </cell>
          <cell r="P154">
            <v>114103942.26043841</v>
          </cell>
          <cell r="T154">
            <v>815814.12438571919</v>
          </cell>
          <cell r="U154">
            <v>1153595.5368242913</v>
          </cell>
          <cell r="V154">
            <v>1947885.0905067206</v>
          </cell>
          <cell r="W154">
            <v>5195723.5995573923</v>
          </cell>
          <cell r="X154">
            <v>12403183.459513132</v>
          </cell>
        </row>
        <row r="155">
          <cell r="L155">
            <v>9782220.7896165494</v>
          </cell>
          <cell r="M155">
            <v>14370453.082615115</v>
          </cell>
          <cell r="N155">
            <v>21304903.616298102</v>
          </cell>
          <cell r="O155">
            <v>55914260.839909568</v>
          </cell>
          <cell r="P155">
            <v>115911060.2870073</v>
          </cell>
          <cell r="T155">
            <v>820142.85043410002</v>
          </cell>
          <cell r="U155">
            <v>1160037.13547751</v>
          </cell>
          <cell r="V155">
            <v>1959422.8490252614</v>
          </cell>
          <cell r="W155">
            <v>5228435.1339277877</v>
          </cell>
          <cell r="X155">
            <v>12483021.147320565</v>
          </cell>
        </row>
        <row r="156">
          <cell r="L156">
            <v>9900207.1309254486</v>
          </cell>
          <cell r="M156">
            <v>14550570.805821372</v>
          </cell>
          <cell r="N156">
            <v>21576299.471733484</v>
          </cell>
          <cell r="O156">
            <v>56683128.648782887</v>
          </cell>
          <cell r="P156">
            <v>117718178.31357619</v>
          </cell>
          <cell r="T156">
            <v>824471.57648248086</v>
          </cell>
          <cell r="U156">
            <v>1166478.734130729</v>
          </cell>
          <cell r="V156">
            <v>1970960.6075438021</v>
          </cell>
          <cell r="W156">
            <v>5261146.6682981821</v>
          </cell>
          <cell r="X156">
            <v>12562858.835128</v>
          </cell>
        </row>
        <row r="157">
          <cell r="L157">
            <v>10018193.472234348</v>
          </cell>
          <cell r="M157">
            <v>14730688.52902763</v>
          </cell>
          <cell r="N157">
            <v>21847695.327168867</v>
          </cell>
          <cell r="O157">
            <v>57451996.457656205</v>
          </cell>
          <cell r="P157">
            <v>119525296.34014508</v>
          </cell>
          <cell r="T157">
            <v>828800.30253086169</v>
          </cell>
          <cell r="U157">
            <v>1172920.3327839479</v>
          </cell>
          <cell r="V157">
            <v>1982498.3660623429</v>
          </cell>
          <cell r="W157">
            <v>5293858.2026685774</v>
          </cell>
          <cell r="X157">
            <v>12642696.522935433</v>
          </cell>
        </row>
        <row r="158">
          <cell r="L158">
            <v>10136179.813543247</v>
          </cell>
          <cell r="M158">
            <v>14910806.252233887</v>
          </cell>
          <cell r="N158">
            <v>22119091.18260425</v>
          </cell>
          <cell r="O158">
            <v>58220864.266529523</v>
          </cell>
          <cell r="P158">
            <v>121332414.36671397</v>
          </cell>
          <cell r="T158">
            <v>833129.02857924253</v>
          </cell>
          <cell r="U158">
            <v>1179361.9314371669</v>
          </cell>
          <cell r="V158">
            <v>1994036.1245808837</v>
          </cell>
          <cell r="W158">
            <v>5326569.7370389719</v>
          </cell>
          <cell r="X158">
            <v>12722534.210742868</v>
          </cell>
        </row>
        <row r="159">
          <cell r="L159">
            <v>10254166.154852146</v>
          </cell>
          <cell r="M159">
            <v>15090923.975440145</v>
          </cell>
          <cell r="N159">
            <v>22390487.038039632</v>
          </cell>
          <cell r="O159">
            <v>58989732.075402841</v>
          </cell>
          <cell r="P159">
            <v>123139532.39328286</v>
          </cell>
          <cell r="T159">
            <v>837457.75462762336</v>
          </cell>
          <cell r="U159">
            <v>1185803.5300903858</v>
          </cell>
          <cell r="V159">
            <v>2005573.8830994244</v>
          </cell>
          <cell r="W159">
            <v>5359281.2714093672</v>
          </cell>
          <cell r="X159">
            <v>12802371.898550302</v>
          </cell>
        </row>
        <row r="160">
          <cell r="L160">
            <v>10372152.496161046</v>
          </cell>
          <cell r="M160">
            <v>15271041.698646402</v>
          </cell>
          <cell r="N160">
            <v>22661882.893475015</v>
          </cell>
          <cell r="O160">
            <v>59758599.884276159</v>
          </cell>
          <cell r="P160">
            <v>124946650.41985175</v>
          </cell>
          <cell r="T160">
            <v>841786.4806760042</v>
          </cell>
          <cell r="U160">
            <v>1192245.1287436048</v>
          </cell>
          <cell r="V160">
            <v>2017111.6416179652</v>
          </cell>
          <cell r="W160">
            <v>5391992.8057797616</v>
          </cell>
          <cell r="X160">
            <v>12882209.586357737</v>
          </cell>
        </row>
        <row r="161">
          <cell r="L161">
            <v>10490138.837469945</v>
          </cell>
          <cell r="M161">
            <v>15451159.421852659</v>
          </cell>
          <cell r="N161">
            <v>22933278.748910397</v>
          </cell>
          <cell r="O161">
            <v>60527467.693149477</v>
          </cell>
          <cell r="P161">
            <v>126753768.44642064</v>
          </cell>
          <cell r="T161">
            <v>846115.20672438503</v>
          </cell>
          <cell r="U161">
            <v>1198686.7273968237</v>
          </cell>
          <cell r="V161">
            <v>2028649.4001365062</v>
          </cell>
          <cell r="W161">
            <v>5424704.340150157</v>
          </cell>
          <cell r="X161">
            <v>12962047.27416517</v>
          </cell>
        </row>
        <row r="162">
          <cell r="L162">
            <v>10608125.178778844</v>
          </cell>
          <cell r="M162">
            <v>15631277.145058917</v>
          </cell>
          <cell r="N162">
            <v>23204674.60434578</v>
          </cell>
          <cell r="O162">
            <v>61296335.502022795</v>
          </cell>
          <cell r="P162">
            <v>128560886.47298953</v>
          </cell>
          <cell r="T162">
            <v>850443.93277276587</v>
          </cell>
          <cell r="U162">
            <v>1205128.3260500426</v>
          </cell>
          <cell r="V162">
            <v>2040187.158655047</v>
          </cell>
          <cell r="W162">
            <v>5457415.8745205514</v>
          </cell>
          <cell r="X162">
            <v>13041884.961972605</v>
          </cell>
        </row>
        <row r="163">
          <cell r="L163">
            <v>10726111.520087743</v>
          </cell>
          <cell r="M163">
            <v>15811394.868265174</v>
          </cell>
          <cell r="N163">
            <v>23476070.459781162</v>
          </cell>
          <cell r="O163">
            <v>62065203.310896114</v>
          </cell>
          <cell r="P163">
            <v>130368004.49955842</v>
          </cell>
          <cell r="T163">
            <v>854772.6588211467</v>
          </cell>
          <cell r="U163">
            <v>1211569.9247032613</v>
          </cell>
          <cell r="V163">
            <v>2051724.9171735877</v>
          </cell>
          <cell r="W163">
            <v>5490127.4088909468</v>
          </cell>
          <cell r="X163">
            <v>13121722.649780041</v>
          </cell>
        </row>
        <row r="164">
          <cell r="T164">
            <v>859101.38486952754</v>
          </cell>
          <cell r="U164">
            <v>1218011.5233564803</v>
          </cell>
          <cell r="V164">
            <v>2063262.6756921285</v>
          </cell>
          <cell r="W164">
            <v>5522838.9432613412</v>
          </cell>
          <cell r="X164">
            <v>13201560.337587474</v>
          </cell>
        </row>
        <row r="165">
          <cell r="T165">
            <v>863430.11091790837</v>
          </cell>
          <cell r="U165">
            <v>1224453.1220096992</v>
          </cell>
          <cell r="V165">
            <v>2074800.4342106695</v>
          </cell>
          <cell r="W165">
            <v>5555550.4776317365</v>
          </cell>
          <cell r="X165">
            <v>13281398.025394909</v>
          </cell>
        </row>
        <row r="166">
          <cell r="T166">
            <v>867758.83696628921</v>
          </cell>
          <cell r="U166">
            <v>1230894.7206629182</v>
          </cell>
          <cell r="V166">
            <v>2086338.1927292102</v>
          </cell>
          <cell r="W166">
            <v>5588262.012002131</v>
          </cell>
          <cell r="X166">
            <v>13361235.713202342</v>
          </cell>
        </row>
        <row r="167">
          <cell r="T167">
            <v>872087.56301467016</v>
          </cell>
          <cell r="U167">
            <v>1237336.3193161371</v>
          </cell>
          <cell r="V167">
            <v>2097875.9512477512</v>
          </cell>
          <cell r="W167">
            <v>5620973.5463725263</v>
          </cell>
          <cell r="X167">
            <v>13441073.401009778</v>
          </cell>
        </row>
        <row r="168">
          <cell r="T168">
            <v>876416.28906305099</v>
          </cell>
          <cell r="U168">
            <v>1243777.9179693561</v>
          </cell>
          <cell r="V168">
            <v>2109413.709766292</v>
          </cell>
          <cell r="W168">
            <v>5653685.0807429207</v>
          </cell>
          <cell r="X168">
            <v>13520911.088817211</v>
          </cell>
        </row>
        <row r="169">
          <cell r="T169">
            <v>880745.01511143183</v>
          </cell>
          <cell r="U169">
            <v>1250219.516622575</v>
          </cell>
          <cell r="V169">
            <v>2120951.4682848328</v>
          </cell>
          <cell r="W169">
            <v>5686396.6151133161</v>
          </cell>
          <cell r="X169">
            <v>13600748.776624646</v>
          </cell>
        </row>
        <row r="170">
          <cell r="T170">
            <v>885073.74115981266</v>
          </cell>
          <cell r="U170">
            <v>1256661.1152757939</v>
          </cell>
          <cell r="V170">
            <v>2132489.2268033735</v>
          </cell>
          <cell r="W170">
            <v>5719108.1494837105</v>
          </cell>
          <cell r="X170">
            <v>13680586.464432079</v>
          </cell>
        </row>
        <row r="171">
          <cell r="T171">
            <v>889402.61292589572</v>
          </cell>
          <cell r="U171">
            <v>1263102.7139290129</v>
          </cell>
          <cell r="V171">
            <v>2144026.9853219143</v>
          </cell>
          <cell r="W171">
            <v>5751819.683854105</v>
          </cell>
          <cell r="X171">
            <v>13760424.152239515</v>
          </cell>
        </row>
        <row r="172">
          <cell r="T172">
            <v>893732.75388204667</v>
          </cell>
          <cell r="U172">
            <v>1269544.3125822318</v>
          </cell>
          <cell r="V172">
            <v>2155572.9708428276</v>
          </cell>
          <cell r="W172">
            <v>5784531.2182245003</v>
          </cell>
          <cell r="X172">
            <v>13840261.84004695</v>
          </cell>
        </row>
        <row r="173">
          <cell r="T173">
            <v>898062.89483819762</v>
          </cell>
          <cell r="U173">
            <v>1275985.9112354508</v>
          </cell>
          <cell r="V173">
            <v>2167141.8171995962</v>
          </cell>
          <cell r="W173">
            <v>5817242.7525948947</v>
          </cell>
          <cell r="X173">
            <v>13920099.527854383</v>
          </cell>
        </row>
        <row r="174">
          <cell r="T174">
            <v>902393.03579434857</v>
          </cell>
          <cell r="U174">
            <v>1282427.5098886697</v>
          </cell>
          <cell r="V174">
            <v>2178710.6635563644</v>
          </cell>
          <cell r="W174">
            <v>5849954.2869652901</v>
          </cell>
          <cell r="X174">
            <v>13999937.215661818</v>
          </cell>
        </row>
        <row r="175">
          <cell r="T175">
            <v>906723.17675049952</v>
          </cell>
          <cell r="U175">
            <v>1288869.1085418887</v>
          </cell>
          <cell r="V175">
            <v>2190279.509913133</v>
          </cell>
          <cell r="W175">
            <v>5882665.8213356845</v>
          </cell>
          <cell r="X175">
            <v>14079774.903469251</v>
          </cell>
        </row>
        <row r="176">
          <cell r="T176">
            <v>911053.31770665036</v>
          </cell>
          <cell r="U176">
            <v>1295310.7071951076</v>
          </cell>
          <cell r="V176">
            <v>2201848.3562699016</v>
          </cell>
          <cell r="W176">
            <v>5915389.1568825059</v>
          </cell>
          <cell r="X176">
            <v>14159612.591276687</v>
          </cell>
        </row>
        <row r="177">
          <cell r="T177">
            <v>915383.45866280131</v>
          </cell>
          <cell r="U177">
            <v>1301752.3058483265</v>
          </cell>
          <cell r="V177">
            <v>2213417.2026266698</v>
          </cell>
          <cell r="W177">
            <v>5948623.1289070481</v>
          </cell>
          <cell r="X177">
            <v>14239450.27908412</v>
          </cell>
        </row>
        <row r="178">
          <cell r="T178">
            <v>919713.59961895226</v>
          </cell>
          <cell r="U178">
            <v>1308193.9045015455</v>
          </cell>
          <cell r="V178">
            <v>2224986.0489834384</v>
          </cell>
          <cell r="W178">
            <v>5981857.1009315904</v>
          </cell>
          <cell r="X178">
            <v>14319287.966891555</v>
          </cell>
        </row>
        <row r="179">
          <cell r="T179">
            <v>924043.74057510321</v>
          </cell>
          <cell r="U179">
            <v>1314635.5031547644</v>
          </cell>
          <cell r="V179">
            <v>2236554.895340207</v>
          </cell>
          <cell r="W179">
            <v>6015091.0729561327</v>
          </cell>
          <cell r="X179">
            <v>14399125.65469899</v>
          </cell>
        </row>
        <row r="180">
          <cell r="T180">
            <v>928373.88153125404</v>
          </cell>
          <cell r="U180">
            <v>1321077.1018079831</v>
          </cell>
          <cell r="V180">
            <v>2248123.7416969752</v>
          </cell>
          <cell r="W180">
            <v>6048325.044980675</v>
          </cell>
          <cell r="X180">
            <v>14478963.342506424</v>
          </cell>
        </row>
        <row r="181">
          <cell r="T181">
            <v>932704.02248740499</v>
          </cell>
          <cell r="U181">
            <v>1327518.7004612023</v>
          </cell>
          <cell r="V181">
            <v>2259692.5880537438</v>
          </cell>
          <cell r="W181">
            <v>6081559.0170052173</v>
          </cell>
          <cell r="X181">
            <v>14558801.030313859</v>
          </cell>
        </row>
        <row r="182">
          <cell r="T182">
            <v>937034.16344355594</v>
          </cell>
          <cell r="U182">
            <v>1333960.299114421</v>
          </cell>
          <cell r="V182">
            <v>2271261.4344105124</v>
          </cell>
          <cell r="W182">
            <v>6114792.9890297595</v>
          </cell>
          <cell r="X182">
            <v>14638638.718121292</v>
          </cell>
        </row>
        <row r="183">
          <cell r="T183">
            <v>941364.30439970689</v>
          </cell>
          <cell r="U183">
            <v>1341198.4167786129</v>
          </cell>
          <cell r="V183">
            <v>2282830.2807672806</v>
          </cell>
          <cell r="W183">
            <v>6148026.9610543018</v>
          </cell>
          <cell r="X183">
            <v>14718927.762813514</v>
          </cell>
        </row>
        <row r="184">
          <cell r="T184">
            <v>946562.95507101226</v>
          </cell>
          <cell r="U184">
            <v>1348549.6290895094</v>
          </cell>
          <cell r="V184">
            <v>2295091.175635925</v>
          </cell>
          <cell r="W184">
            <v>6181260.9330788441</v>
          </cell>
          <cell r="X184">
            <v>14800029.039937083</v>
          </cell>
        </row>
        <row r="185">
          <cell r="T185">
            <v>951778.73035326088</v>
          </cell>
          <cell r="U185">
            <v>1355900.8414004056</v>
          </cell>
          <cell r="V185">
            <v>2307702.2637274456</v>
          </cell>
          <cell r="W185">
            <v>6214494.9051033864</v>
          </cell>
          <cell r="X185">
            <v>14881130.317060651</v>
          </cell>
        </row>
        <row r="186">
          <cell r="T186">
            <v>956994.50563550962</v>
          </cell>
          <cell r="U186">
            <v>1363252.0537113021</v>
          </cell>
          <cell r="V186">
            <v>2320313.3518189667</v>
          </cell>
          <cell r="W186">
            <v>6247728.8771279287</v>
          </cell>
          <cell r="X186">
            <v>14962231.594184222</v>
          </cell>
        </row>
        <row r="187">
          <cell r="T187">
            <v>962210.28091775824</v>
          </cell>
          <cell r="U187">
            <v>1370603.2660221984</v>
          </cell>
          <cell r="V187">
            <v>2332924.4399104877</v>
          </cell>
          <cell r="W187">
            <v>6280962.8491524709</v>
          </cell>
          <cell r="X187">
            <v>15043332.87130779</v>
          </cell>
        </row>
        <row r="188">
          <cell r="T188">
            <v>967426.05620000698</v>
          </cell>
          <cell r="U188">
            <v>1377954.4783330949</v>
          </cell>
          <cell r="V188">
            <v>2345535.5280020083</v>
          </cell>
          <cell r="W188">
            <v>6314196.8211770132</v>
          </cell>
          <cell r="X188">
            <v>15124434.148431359</v>
          </cell>
        </row>
        <row r="189">
          <cell r="T189">
            <v>972641.8314822556</v>
          </cell>
          <cell r="U189">
            <v>1385305.6906439911</v>
          </cell>
          <cell r="V189">
            <v>2358146.6160935294</v>
          </cell>
          <cell r="W189">
            <v>6347711.277702882</v>
          </cell>
          <cell r="X189">
            <v>15205535.425554929</v>
          </cell>
        </row>
        <row r="190">
          <cell r="T190">
            <v>977857.60676450434</v>
          </cell>
          <cell r="U190">
            <v>1392656.9029548876</v>
          </cell>
          <cell r="V190">
            <v>2370757.7041850504</v>
          </cell>
          <cell r="W190">
            <v>6381603.4746035552</v>
          </cell>
          <cell r="X190">
            <v>15286636.702678498</v>
          </cell>
        </row>
        <row r="191">
          <cell r="T191">
            <v>983073.38204675296</v>
          </cell>
          <cell r="U191">
            <v>1400008.1152657839</v>
          </cell>
          <cell r="V191">
            <v>2383368.792276571</v>
          </cell>
          <cell r="W191">
            <v>6415495.6715042284</v>
          </cell>
          <cell r="X191">
            <v>15367737.979802068</v>
          </cell>
        </row>
        <row r="192">
          <cell r="T192">
            <v>988289.1573290017</v>
          </cell>
          <cell r="U192">
            <v>1407359.3275766801</v>
          </cell>
          <cell r="V192">
            <v>2395979.8803680921</v>
          </cell>
          <cell r="W192">
            <v>6449387.8684049016</v>
          </cell>
          <cell r="X192">
            <v>15448839.256925637</v>
          </cell>
        </row>
        <row r="193">
          <cell r="T193">
            <v>993504.93261125032</v>
          </cell>
          <cell r="U193">
            <v>1414710.5398875766</v>
          </cell>
          <cell r="V193">
            <v>2408590.9684596127</v>
          </cell>
          <cell r="W193">
            <v>6483280.0653055739</v>
          </cell>
          <cell r="X193">
            <v>15529940.534049205</v>
          </cell>
        </row>
        <row r="194">
          <cell r="T194">
            <v>998720.70789349894</v>
          </cell>
          <cell r="U194">
            <v>1422061.7521984729</v>
          </cell>
          <cell r="V194">
            <v>2421202.0565511337</v>
          </cell>
          <cell r="W194">
            <v>6517172.2622062471</v>
          </cell>
          <cell r="X194">
            <v>15611041.811172776</v>
          </cell>
        </row>
        <row r="195">
          <cell r="T195">
            <v>1003936.4831757477</v>
          </cell>
          <cell r="U195">
            <v>1429412.9645093693</v>
          </cell>
          <cell r="V195">
            <v>2433813.1446426548</v>
          </cell>
          <cell r="W195">
            <v>6551064.4591069203</v>
          </cell>
          <cell r="X195">
            <v>15692143.088296345</v>
          </cell>
        </row>
        <row r="196">
          <cell r="T196">
            <v>1009152.2584579963</v>
          </cell>
          <cell r="U196">
            <v>1436827.484303796</v>
          </cell>
          <cell r="V196">
            <v>2446424.2327341754</v>
          </cell>
          <cell r="W196">
            <v>6584956.6560075935</v>
          </cell>
          <cell r="X196">
            <v>15773249.821608352</v>
          </cell>
        </row>
        <row r="197">
          <cell r="T197">
            <v>1014368.033740245</v>
          </cell>
          <cell r="U197">
            <v>1444244.8371142696</v>
          </cell>
          <cell r="V197">
            <v>2459035.3208256965</v>
          </cell>
          <cell r="W197">
            <v>6618848.8529082658</v>
          </cell>
          <cell r="X197">
            <v>15854386.238199091</v>
          </cell>
        </row>
        <row r="198">
          <cell r="T198">
            <v>1019583.8090224937</v>
          </cell>
          <cell r="U198">
            <v>1451662.189924743</v>
          </cell>
          <cell r="V198">
            <v>2471646.4089172175</v>
          </cell>
          <cell r="W198">
            <v>6652741.049808939</v>
          </cell>
          <cell r="X198">
            <v>15935522.654789831</v>
          </cell>
        </row>
        <row r="199">
          <cell r="T199">
            <v>1024799.5843047424</v>
          </cell>
          <cell r="U199">
            <v>1459079.5427352167</v>
          </cell>
          <cell r="V199">
            <v>2484257.4970087386</v>
          </cell>
          <cell r="W199">
            <v>6686633.2467096122</v>
          </cell>
          <cell r="X199">
            <v>16016659.071380571</v>
          </cell>
        </row>
        <row r="200">
          <cell r="T200">
            <v>1030015.359586991</v>
          </cell>
          <cell r="U200">
            <v>1466496.8955456903</v>
          </cell>
          <cell r="V200">
            <v>2496868.5851002592</v>
          </cell>
          <cell r="W200">
            <v>6720525.4436102854</v>
          </cell>
          <cell r="X200">
            <v>16097795.487971311</v>
          </cell>
        </row>
        <row r="201">
          <cell r="T201">
            <v>1035231.1348692398</v>
          </cell>
          <cell r="U201">
            <v>1473914.2483561637</v>
          </cell>
          <cell r="V201">
            <v>2509479.6731917802</v>
          </cell>
          <cell r="W201">
            <v>6754417.6405109577</v>
          </cell>
          <cell r="X201">
            <v>16178931.904562052</v>
          </cell>
        </row>
        <row r="202">
          <cell r="T202">
            <v>1040446.9101514884</v>
          </cell>
          <cell r="U202">
            <v>1481331.6011666374</v>
          </cell>
          <cell r="V202">
            <v>2522090.7612833013</v>
          </cell>
          <cell r="W202">
            <v>6788309.8374116309</v>
          </cell>
          <cell r="X202">
            <v>16260068.321152791</v>
          </cell>
        </row>
        <row r="203">
          <cell r="T203">
            <v>1045662.685433737</v>
          </cell>
          <cell r="U203">
            <v>1488748.9539771108</v>
          </cell>
          <cell r="V203">
            <v>2534701.8493748219</v>
          </cell>
          <cell r="W203">
            <v>6822202.0343123041</v>
          </cell>
          <cell r="X203">
            <v>16341204.737743532</v>
          </cell>
        </row>
        <row r="204">
          <cell r="T204">
            <v>1050878.4607159859</v>
          </cell>
          <cell r="U204">
            <v>1496166.3067875844</v>
          </cell>
          <cell r="V204">
            <v>2547312.9374663429</v>
          </cell>
          <cell r="W204">
            <v>6856094.2312129773</v>
          </cell>
          <cell r="X204">
            <v>16422341.154334273</v>
          </cell>
        </row>
        <row r="205">
          <cell r="T205">
            <v>1056094.2359982345</v>
          </cell>
          <cell r="U205">
            <v>1503583.6595980579</v>
          </cell>
          <cell r="V205">
            <v>2559924.025557864</v>
          </cell>
          <cell r="W205">
            <v>6889986.4281136505</v>
          </cell>
          <cell r="X205">
            <v>16503477.570925012</v>
          </cell>
        </row>
        <row r="206">
          <cell r="T206">
            <v>1061310.0112804831</v>
          </cell>
          <cell r="U206">
            <v>1511001.0124085315</v>
          </cell>
          <cell r="V206">
            <v>2572535.113649385</v>
          </cell>
          <cell r="W206">
            <v>6923878.6250143237</v>
          </cell>
          <cell r="X206">
            <v>16584613.987515753</v>
          </cell>
        </row>
        <row r="207">
          <cell r="T207">
            <v>1066525.7865627317</v>
          </cell>
          <cell r="U207">
            <v>1518418.3652190049</v>
          </cell>
          <cell r="V207">
            <v>2585146.2017409056</v>
          </cell>
          <cell r="W207">
            <v>6957770.821914996</v>
          </cell>
          <cell r="X207">
            <v>16665750.404106492</v>
          </cell>
        </row>
        <row r="208">
          <cell r="T208">
            <v>1071741.5618449803</v>
          </cell>
          <cell r="U208">
            <v>1525835.7180294786</v>
          </cell>
          <cell r="V208">
            <v>2597757.2898324267</v>
          </cell>
          <cell r="W208">
            <v>6991663.0188156692</v>
          </cell>
          <cell r="X208">
            <v>16746886.820697233</v>
          </cell>
        </row>
        <row r="209">
          <cell r="T209">
            <v>1076957.3371272292</v>
          </cell>
          <cell r="U209">
            <v>1533253.0708399522</v>
          </cell>
          <cell r="V209">
            <v>2610368.3779239478</v>
          </cell>
          <cell r="W209">
            <v>7025555.2157163424</v>
          </cell>
          <cell r="X209">
            <v>16828023.237287972</v>
          </cell>
        </row>
        <row r="210">
          <cell r="T210">
            <v>1082173.1124094778</v>
          </cell>
          <cell r="U210">
            <v>1540670.4236504256</v>
          </cell>
          <cell r="V210">
            <v>2622979.4660154684</v>
          </cell>
          <cell r="W210">
            <v>7059447.4126170157</v>
          </cell>
          <cell r="X210">
            <v>16909159.653878715</v>
          </cell>
        </row>
        <row r="211">
          <cell r="T211">
            <v>1087388.8876917264</v>
          </cell>
          <cell r="U211">
            <v>1548087.7764608993</v>
          </cell>
          <cell r="V211">
            <v>2635590.5541069894</v>
          </cell>
          <cell r="W211">
            <v>7093339.6095176889</v>
          </cell>
          <cell r="X211">
            <v>16990296.070469454</v>
          </cell>
        </row>
        <row r="212">
          <cell r="T212">
            <v>1092604.6629739751</v>
          </cell>
          <cell r="U212">
            <v>1555505.1292713727</v>
          </cell>
          <cell r="V212">
            <v>2648201.6421985105</v>
          </cell>
          <cell r="W212">
            <v>7127231.8064183611</v>
          </cell>
          <cell r="X212">
            <v>17071432.487060193</v>
          </cell>
        </row>
        <row r="213">
          <cell r="T213">
            <v>1097820.4382562239</v>
          </cell>
          <cell r="U213">
            <v>1562922.4820818463</v>
          </cell>
          <cell r="V213">
            <v>2660812.7302900311</v>
          </cell>
          <cell r="W213">
            <v>7161124.0033190344</v>
          </cell>
          <cell r="X213">
            <v>17152568.903650936</v>
          </cell>
        </row>
        <row r="214">
          <cell r="T214">
            <v>1103036.2135384725</v>
          </cell>
          <cell r="U214">
            <v>1570339.8348923197</v>
          </cell>
          <cell r="V214">
            <v>2673423.8183815521</v>
          </cell>
          <cell r="W214">
            <v>7195016.2002197076</v>
          </cell>
          <cell r="X214">
            <v>17233705.320241675</v>
          </cell>
        </row>
        <row r="215">
          <cell r="T215">
            <v>1108251.9888207212</v>
          </cell>
          <cell r="U215">
            <v>1577757.1877027934</v>
          </cell>
          <cell r="V215">
            <v>2686034.9064730732</v>
          </cell>
          <cell r="W215">
            <v>7228908.3971203808</v>
          </cell>
          <cell r="X215">
            <v>17314841.736832414</v>
          </cell>
        </row>
        <row r="216">
          <cell r="T216">
            <v>1113467.7641029698</v>
          </cell>
          <cell r="U216">
            <v>1585174.540513267</v>
          </cell>
          <cell r="V216">
            <v>2698645.9945645938</v>
          </cell>
          <cell r="W216">
            <v>7262800.594021054</v>
          </cell>
          <cell r="X216">
            <v>17395978.153423157</v>
          </cell>
        </row>
        <row r="217">
          <cell r="T217">
            <v>1118683.5393852186</v>
          </cell>
          <cell r="U217">
            <v>1592591.8933237405</v>
          </cell>
          <cell r="V217">
            <v>2711257.0826561148</v>
          </cell>
          <cell r="W217">
            <v>7296692.7909217263</v>
          </cell>
          <cell r="X217">
            <v>17477114.570013896</v>
          </cell>
        </row>
        <row r="218">
          <cell r="T218">
            <v>1123899.3146674673</v>
          </cell>
          <cell r="U218">
            <v>1600009.2461342141</v>
          </cell>
          <cell r="V218">
            <v>2723868.1707476359</v>
          </cell>
          <cell r="W218">
            <v>7330584.9878223995</v>
          </cell>
          <cell r="X218">
            <v>17558250.986604638</v>
          </cell>
        </row>
        <row r="219">
          <cell r="T219">
            <v>1129115.0899497159</v>
          </cell>
          <cell r="U219">
            <v>1607426.5989446875</v>
          </cell>
          <cell r="V219">
            <v>2736479.2588391565</v>
          </cell>
          <cell r="W219">
            <v>7364477.1847230727</v>
          </cell>
          <cell r="X219">
            <v>17639387.403195377</v>
          </cell>
        </row>
        <row r="220">
          <cell r="T220">
            <v>1134330.8652319645</v>
          </cell>
          <cell r="U220">
            <v>1614843.9517551612</v>
          </cell>
          <cell r="V220">
            <v>2749090.3469306775</v>
          </cell>
          <cell r="W220">
            <v>7398369.3816237459</v>
          </cell>
          <cell r="X220">
            <v>17720523.819786116</v>
          </cell>
        </row>
        <row r="221">
          <cell r="T221">
            <v>1139546.6405142134</v>
          </cell>
          <cell r="U221">
            <v>1622261.3045656346</v>
          </cell>
          <cell r="V221">
            <v>2761701.4350221986</v>
          </cell>
          <cell r="W221">
            <v>7432261.5785244191</v>
          </cell>
          <cell r="X221">
            <v>17801660.236376859</v>
          </cell>
        </row>
        <row r="222">
          <cell r="T222">
            <v>1144762.415796462</v>
          </cell>
          <cell r="U222">
            <v>1629678.6573761082</v>
          </cell>
          <cell r="V222">
            <v>2774312.5231137192</v>
          </cell>
          <cell r="W222">
            <v>7466153.7754250914</v>
          </cell>
          <cell r="X222">
            <v>17882796.652967598</v>
          </cell>
        </row>
        <row r="223">
          <cell r="T223">
            <v>1149978.1910787106</v>
          </cell>
          <cell r="U223">
            <v>1637096.0101865819</v>
          </cell>
          <cell r="V223">
            <v>2786923.6112052402</v>
          </cell>
          <cell r="W223">
            <v>7500045.9723257646</v>
          </cell>
          <cell r="X223">
            <v>17963933.069558337</v>
          </cell>
        </row>
        <row r="224">
          <cell r="T224">
            <v>1155193.9663609592</v>
          </cell>
          <cell r="U224">
            <v>1644513.3629970553</v>
          </cell>
          <cell r="V224">
            <v>2799534.6992967613</v>
          </cell>
          <cell r="W224">
            <v>7533938.1692264378</v>
          </cell>
          <cell r="X224">
            <v>18045069.48614908</v>
          </cell>
        </row>
        <row r="225">
          <cell r="T225">
            <v>1160409.7416432081</v>
          </cell>
          <cell r="U225">
            <v>1651930.7158075289</v>
          </cell>
          <cell r="V225">
            <v>2812145.7873882819</v>
          </cell>
          <cell r="W225">
            <v>7567830.366127111</v>
          </cell>
          <cell r="X225">
            <v>18126205.902739819</v>
          </cell>
        </row>
        <row r="226">
          <cell r="T226">
            <v>1165625.5169254567</v>
          </cell>
          <cell r="U226">
            <v>1659348.0686180023</v>
          </cell>
          <cell r="V226">
            <v>2824756.875479803</v>
          </cell>
          <cell r="W226">
            <v>7601722.5630277842</v>
          </cell>
          <cell r="X226">
            <v>18207342.319330558</v>
          </cell>
        </row>
        <row r="227">
          <cell r="T227">
            <v>1170841.2922077053</v>
          </cell>
          <cell r="U227">
            <v>1666765.421428476</v>
          </cell>
          <cell r="V227">
            <v>2837367.963571324</v>
          </cell>
          <cell r="W227">
            <v>7635614.7599284565</v>
          </cell>
          <cell r="X227">
            <v>18288478.735921301</v>
          </cell>
        </row>
        <row r="228">
          <cell r="T228">
            <v>1176057.0674899542</v>
          </cell>
          <cell r="U228">
            <v>1674182.7742389494</v>
          </cell>
          <cell r="V228">
            <v>2849979.0516628446</v>
          </cell>
          <cell r="W228">
            <v>7669506.9568291297</v>
          </cell>
          <cell r="X228">
            <v>18369615.15251204</v>
          </cell>
        </row>
        <row r="229">
          <cell r="T229">
            <v>1181272.8427722028</v>
          </cell>
          <cell r="U229">
            <v>1681600.1270494231</v>
          </cell>
          <cell r="V229">
            <v>2862590.1397543657</v>
          </cell>
          <cell r="W229">
            <v>7703399.1537298029</v>
          </cell>
          <cell r="X229">
            <v>18450751.569102779</v>
          </cell>
        </row>
        <row r="230">
          <cell r="T230">
            <v>1186488.6180544514</v>
          </cell>
          <cell r="U230">
            <v>1689017.4798598967</v>
          </cell>
          <cell r="V230">
            <v>2875201.2278458863</v>
          </cell>
          <cell r="W230">
            <v>7737291.3506304761</v>
          </cell>
          <cell r="X230">
            <v>18531887.985693522</v>
          </cell>
        </row>
        <row r="231">
          <cell r="T231">
            <v>1191704.3933367003</v>
          </cell>
          <cell r="U231">
            <v>1696434.8326703701</v>
          </cell>
          <cell r="V231">
            <v>2887812.3159374073</v>
          </cell>
          <cell r="W231">
            <v>7771183.5475311484</v>
          </cell>
          <cell r="X231">
            <v>18613024.402284261</v>
          </cell>
        </row>
        <row r="232">
          <cell r="T232">
            <v>1196920.1686189489</v>
          </cell>
          <cell r="U232">
            <v>1703852.1854808438</v>
          </cell>
          <cell r="V232">
            <v>2900423.4040289284</v>
          </cell>
          <cell r="W232">
            <v>7805075.7444318216</v>
          </cell>
          <cell r="X232">
            <v>18694160.818875004</v>
          </cell>
        </row>
        <row r="233">
          <cell r="T233">
            <v>1202135.9439011975</v>
          </cell>
          <cell r="U233">
            <v>1711269.5382913172</v>
          </cell>
          <cell r="V233">
            <v>2913034.492120449</v>
          </cell>
          <cell r="W233">
            <v>7838967.9413324948</v>
          </cell>
          <cell r="X233">
            <v>18775297.235465743</v>
          </cell>
        </row>
        <row r="234">
          <cell r="T234">
            <v>1207351.7191834464</v>
          </cell>
          <cell r="U234">
            <v>1718686.8911017908</v>
          </cell>
          <cell r="V234">
            <v>2925645.58021197</v>
          </cell>
          <cell r="W234">
            <v>7872860.1382331681</v>
          </cell>
          <cell r="X234">
            <v>18856433.652056482</v>
          </cell>
        </row>
        <row r="235">
          <cell r="T235">
            <v>1212567.494465695</v>
          </cell>
          <cell r="U235">
            <v>1726104.2439122642</v>
          </cell>
          <cell r="V235">
            <v>2938256.6683034906</v>
          </cell>
          <cell r="W235">
            <v>7906752.3351338403</v>
          </cell>
          <cell r="X235">
            <v>18937570.068647224</v>
          </cell>
        </row>
        <row r="236">
          <cell r="T236">
            <v>1217783.2697479436</v>
          </cell>
          <cell r="U236">
            <v>1733521.5967227379</v>
          </cell>
          <cell r="V236">
            <v>2950867.7563950117</v>
          </cell>
          <cell r="W236">
            <v>7940644.5320345135</v>
          </cell>
          <cell r="X236">
            <v>19018706.485237963</v>
          </cell>
        </row>
        <row r="237">
          <cell r="T237">
            <v>1222999.0450301925</v>
          </cell>
          <cell r="U237">
            <v>1740938.9495332115</v>
          </cell>
          <cell r="V237">
            <v>2963478.8444865327</v>
          </cell>
          <cell r="W237">
            <v>7974536.7289351868</v>
          </cell>
          <cell r="X237">
            <v>19099842.901828703</v>
          </cell>
        </row>
        <row r="238">
          <cell r="T238">
            <v>1228214.8203124411</v>
          </cell>
          <cell r="U238">
            <v>1748356.3023436849</v>
          </cell>
          <cell r="V238">
            <v>2976089.9325780533</v>
          </cell>
          <cell r="W238">
            <v>8008428.925835859</v>
          </cell>
          <cell r="X238">
            <v>19180979.318419445</v>
          </cell>
        </row>
        <row r="239">
          <cell r="T239">
            <v>1233430.5955946897</v>
          </cell>
          <cell r="U239">
            <v>1755773.6551541586</v>
          </cell>
          <cell r="V239">
            <v>2988701.0206695744</v>
          </cell>
          <cell r="W239">
            <v>8042321.1227365322</v>
          </cell>
          <cell r="X239">
            <v>19262115.735010184</v>
          </cell>
        </row>
        <row r="240">
          <cell r="T240">
            <v>1238646.3708769386</v>
          </cell>
          <cell r="U240">
            <v>1763191.007964632</v>
          </cell>
          <cell r="V240">
            <v>3001312.1087610954</v>
          </cell>
          <cell r="W240">
            <v>8076213.3196372055</v>
          </cell>
          <cell r="X240">
            <v>19343252.151600923</v>
          </cell>
        </row>
        <row r="241">
          <cell r="T241">
            <v>1243862.1461591872</v>
          </cell>
          <cell r="U241">
            <v>1770608.3607751057</v>
          </cell>
          <cell r="V241">
            <v>3013923.196852616</v>
          </cell>
          <cell r="W241">
            <v>8110105.5165378787</v>
          </cell>
          <cell r="X241">
            <v>19424388.568191666</v>
          </cell>
        </row>
        <row r="242">
          <cell r="T242">
            <v>1249077.9214414358</v>
          </cell>
          <cell r="U242">
            <v>1778025.7135855791</v>
          </cell>
          <cell r="V242">
            <v>3026534.2849441371</v>
          </cell>
          <cell r="W242">
            <v>8143997.7134385509</v>
          </cell>
          <cell r="X242">
            <v>19505524.984782405</v>
          </cell>
        </row>
        <row r="243">
          <cell r="T243">
            <v>1254293.6967236844</v>
          </cell>
          <cell r="U243">
            <v>1785443.0663960527</v>
          </cell>
          <cell r="V243">
            <v>3039145.3730356582</v>
          </cell>
          <cell r="W243">
            <v>8177889.9103392242</v>
          </cell>
          <cell r="X243">
            <v>19586661.401373144</v>
          </cell>
        </row>
        <row r="244">
          <cell r="T244">
            <v>1259509.4720059333</v>
          </cell>
          <cell r="U244">
            <v>1792860.4192065264</v>
          </cell>
          <cell r="V244">
            <v>3051756.4611271787</v>
          </cell>
          <cell r="W244">
            <v>8211782.1072398974</v>
          </cell>
          <cell r="X244">
            <v>19667797.817963887</v>
          </cell>
        </row>
        <row r="245">
          <cell r="T245">
            <v>1264725.2472881819</v>
          </cell>
          <cell r="U245">
            <v>1800277.7720169998</v>
          </cell>
          <cell r="V245">
            <v>3064367.5492186998</v>
          </cell>
          <cell r="W245">
            <v>8245674.3041405706</v>
          </cell>
          <cell r="X245">
            <v>19748934.234554626</v>
          </cell>
        </row>
        <row r="246">
          <cell r="T246">
            <v>1269941.0225704305</v>
          </cell>
          <cell r="U246">
            <v>1807695.1248274734</v>
          </cell>
          <cell r="V246">
            <v>3076978.6373102209</v>
          </cell>
          <cell r="W246">
            <v>8279566.5010412429</v>
          </cell>
          <cell r="X246">
            <v>19830070.651145365</v>
          </cell>
        </row>
        <row r="247">
          <cell r="T247">
            <v>1275156.7978526792</v>
          </cell>
          <cell r="U247">
            <v>1815112.4776379468</v>
          </cell>
          <cell r="V247">
            <v>3089589.7254017419</v>
          </cell>
          <cell r="W247">
            <v>8313458.6979419161</v>
          </cell>
          <cell r="X247">
            <v>19911207.067736108</v>
          </cell>
        </row>
        <row r="248">
          <cell r="T248">
            <v>1280372.573134928</v>
          </cell>
          <cell r="U248">
            <v>1822529.8304484205</v>
          </cell>
          <cell r="V248">
            <v>3102200.8134932625</v>
          </cell>
          <cell r="W248">
            <v>8347350.8948425893</v>
          </cell>
          <cell r="X248">
            <v>19992343.484326847</v>
          </cell>
        </row>
        <row r="249">
          <cell r="T249">
            <v>1285588.3484171766</v>
          </cell>
          <cell r="U249">
            <v>1829947.1832588941</v>
          </cell>
          <cell r="V249">
            <v>3114811.9015847836</v>
          </cell>
          <cell r="W249">
            <v>8381243.0917432625</v>
          </cell>
          <cell r="X249">
            <v>20073479.900917586</v>
          </cell>
        </row>
        <row r="250">
          <cell r="T250">
            <v>1290804.1236994253</v>
          </cell>
          <cell r="U250">
            <v>1837364.5360693675</v>
          </cell>
          <cell r="V250">
            <v>3127422.9896763046</v>
          </cell>
          <cell r="W250">
            <v>8415135.2886439357</v>
          </cell>
          <cell r="X250">
            <v>20154616.317508329</v>
          </cell>
        </row>
        <row r="251">
          <cell r="T251">
            <v>1296019.8989816739</v>
          </cell>
          <cell r="U251">
            <v>1844781.8888798412</v>
          </cell>
          <cell r="V251">
            <v>3140034.0777678257</v>
          </cell>
          <cell r="W251">
            <v>8449027.4855446089</v>
          </cell>
          <cell r="X251">
            <v>20235752.734099068</v>
          </cell>
        </row>
        <row r="252">
          <cell r="T252">
            <v>1301235.6742639225</v>
          </cell>
          <cell r="U252">
            <v>1852199.2416903146</v>
          </cell>
          <cell r="V252">
            <v>3152645.1658593463</v>
          </cell>
          <cell r="W252">
            <v>8482919.6824452821</v>
          </cell>
          <cell r="X252">
            <v>20316889.150689807</v>
          </cell>
        </row>
        <row r="253">
          <cell r="T253">
            <v>1306451.4495461714</v>
          </cell>
          <cell r="U253">
            <v>1859616.5945007883</v>
          </cell>
          <cell r="V253">
            <v>3165256.2539508673</v>
          </cell>
          <cell r="W253">
            <v>8516811.8793459553</v>
          </cell>
          <cell r="X253">
            <v>20398025.56728055</v>
          </cell>
        </row>
        <row r="254">
          <cell r="T254">
            <v>1311667.22482842</v>
          </cell>
          <cell r="U254">
            <v>1867033.9473112617</v>
          </cell>
          <cell r="V254">
            <v>3177867.3420423884</v>
          </cell>
          <cell r="W254">
            <v>8550704.0762466267</v>
          </cell>
          <cell r="X254">
            <v>20479161.983871289</v>
          </cell>
        </row>
        <row r="255">
          <cell r="T255">
            <v>1316883.0001106686</v>
          </cell>
          <cell r="U255">
            <v>1874451.3001217353</v>
          </cell>
          <cell r="V255">
            <v>3190478.430133909</v>
          </cell>
          <cell r="W255">
            <v>8584596.2731472999</v>
          </cell>
          <cell r="X255">
            <v>20560298.400462028</v>
          </cell>
        </row>
        <row r="256">
          <cell r="T256">
            <v>1322098.7753929175</v>
          </cell>
          <cell r="U256">
            <v>1881868.652932209</v>
          </cell>
          <cell r="V256">
            <v>3203089.51822543</v>
          </cell>
          <cell r="W256">
            <v>8618488.4700479731</v>
          </cell>
          <cell r="X256">
            <v>20641434.817052767</v>
          </cell>
        </row>
        <row r="257">
          <cell r="T257">
            <v>1327314.5506751661</v>
          </cell>
          <cell r="U257">
            <v>1889286.0057426824</v>
          </cell>
          <cell r="V257">
            <v>3215700.6063169511</v>
          </cell>
          <cell r="W257">
            <v>8652380.6669486463</v>
          </cell>
          <cell r="X257">
            <v>20722571.233643509</v>
          </cell>
        </row>
        <row r="258">
          <cell r="T258">
            <v>1332530.3259574147</v>
          </cell>
          <cell r="U258">
            <v>1896703.358553156</v>
          </cell>
          <cell r="V258">
            <v>3228311.6944084722</v>
          </cell>
          <cell r="W258">
            <v>8686272.8638493195</v>
          </cell>
          <cell r="X258">
            <v>20803707.650234248</v>
          </cell>
        </row>
        <row r="259">
          <cell r="T259">
            <v>1337746.1012396633</v>
          </cell>
          <cell r="U259">
            <v>1904120.7113636294</v>
          </cell>
          <cell r="V259">
            <v>3240922.7824999928</v>
          </cell>
          <cell r="W259">
            <v>8720165.0607499927</v>
          </cell>
          <cell r="X259">
            <v>20884844.066824988</v>
          </cell>
        </row>
        <row r="260">
          <cell r="T260">
            <v>1342961.8765219119</v>
          </cell>
          <cell r="U260">
            <v>1911538.0641741031</v>
          </cell>
          <cell r="V260">
            <v>3253533.8705915138</v>
          </cell>
          <cell r="W260">
            <v>8754057.2576506659</v>
          </cell>
          <cell r="X260">
            <v>20965980.48341573</v>
          </cell>
        </row>
        <row r="261">
          <cell r="T261">
            <v>1348177.6518041608</v>
          </cell>
          <cell r="U261">
            <v>1918955.4169845765</v>
          </cell>
          <cell r="V261">
            <v>3266144.9586830344</v>
          </cell>
          <cell r="W261">
            <v>8787949.4545513391</v>
          </cell>
          <cell r="X261">
            <v>21047116.900006469</v>
          </cell>
        </row>
        <row r="262">
          <cell r="T262">
            <v>1353393.4270864094</v>
          </cell>
          <cell r="U262">
            <v>1926372.7697950501</v>
          </cell>
          <cell r="V262">
            <v>3278756.0467745555</v>
          </cell>
          <cell r="W262">
            <v>8821841.6514520105</v>
          </cell>
          <cell r="X262">
            <v>21128253.316597208</v>
          </cell>
        </row>
        <row r="263">
          <cell r="T263">
            <v>1358609.202368658</v>
          </cell>
          <cell r="U263">
            <v>1933790.1226055238</v>
          </cell>
          <cell r="V263">
            <v>3291367.1348660765</v>
          </cell>
          <cell r="W263">
            <v>8855733.8483526837</v>
          </cell>
          <cell r="X263">
            <v>21209389.733187951</v>
          </cell>
        </row>
        <row r="264">
          <cell r="T264">
            <v>1363824.9776509067</v>
          </cell>
          <cell r="U264">
            <v>1941207.4754159972</v>
          </cell>
          <cell r="V264">
            <v>3303978.2229575971</v>
          </cell>
          <cell r="W264">
            <v>8889626.0452533569</v>
          </cell>
          <cell r="X264">
            <v>21290526.14977869</v>
          </cell>
        </row>
        <row r="265">
          <cell r="T265">
            <v>1369040.7529331553</v>
          </cell>
          <cell r="U265">
            <v>1948624.8282264709</v>
          </cell>
          <cell r="V265">
            <v>3316589.3110491182</v>
          </cell>
          <cell r="W265">
            <v>8923518.2421540301</v>
          </cell>
          <cell r="X265">
            <v>21371662.566369429</v>
          </cell>
        </row>
        <row r="266">
          <cell r="T266">
            <v>1374256.5282154041</v>
          </cell>
          <cell r="U266">
            <v>1956042.1810369443</v>
          </cell>
          <cell r="V266">
            <v>3329200.3991406392</v>
          </cell>
          <cell r="W266">
            <v>8957410.4390547033</v>
          </cell>
          <cell r="X266">
            <v>21452798.982960172</v>
          </cell>
        </row>
        <row r="267">
          <cell r="T267">
            <v>1379472.3034976528</v>
          </cell>
          <cell r="U267">
            <v>1963459.5338474179</v>
          </cell>
          <cell r="V267">
            <v>3341811.4872321598</v>
          </cell>
          <cell r="W267">
            <v>8991302.6359553766</v>
          </cell>
          <cell r="X267">
            <v>21533935.399550911</v>
          </cell>
        </row>
        <row r="268">
          <cell r="T268">
            <v>1384688.0787799014</v>
          </cell>
          <cell r="U268">
            <v>1970876.8866578913</v>
          </cell>
          <cell r="V268">
            <v>3354422.5753236809</v>
          </cell>
          <cell r="W268">
            <v>9025194.8328560498</v>
          </cell>
          <cell r="X268">
            <v>21615071.81614165</v>
          </cell>
        </row>
        <row r="269">
          <cell r="T269">
            <v>1389903.85406215</v>
          </cell>
          <cell r="U269">
            <v>1978294.239468365</v>
          </cell>
          <cell r="V269">
            <v>3367033.6634152019</v>
          </cell>
          <cell r="W269">
            <v>9059087.0297567211</v>
          </cell>
          <cell r="X269">
            <v>21696208.232732393</v>
          </cell>
        </row>
        <row r="270">
          <cell r="T270">
            <v>1395119.6293443989</v>
          </cell>
          <cell r="U270">
            <v>1985711.5922788384</v>
          </cell>
          <cell r="V270">
            <v>3379644.7515067225</v>
          </cell>
          <cell r="W270">
            <v>9092979.2266573943</v>
          </cell>
          <cell r="X270">
            <v>21777344.649323132</v>
          </cell>
        </row>
        <row r="271">
          <cell r="T271">
            <v>1400335.4046266475</v>
          </cell>
          <cell r="U271">
            <v>1993128.945089312</v>
          </cell>
          <cell r="V271">
            <v>3392255.8395982436</v>
          </cell>
          <cell r="W271">
            <v>9126871.4235580675</v>
          </cell>
          <cell r="X271">
            <v>21858481.065913871</v>
          </cell>
        </row>
        <row r="272">
          <cell r="T272">
            <v>1405551.1799088961</v>
          </cell>
          <cell r="U272">
            <v>2000546.2978997857</v>
          </cell>
          <cell r="V272">
            <v>3404866.9276897646</v>
          </cell>
          <cell r="W272">
            <v>9160763.6204587407</v>
          </cell>
          <cell r="X272">
            <v>21939617.482504614</v>
          </cell>
        </row>
        <row r="273">
          <cell r="T273">
            <v>1410766.9551911447</v>
          </cell>
          <cell r="U273">
            <v>2007963.6507102591</v>
          </cell>
          <cell r="V273">
            <v>3417478.0157812852</v>
          </cell>
          <cell r="W273">
            <v>9194655.817359414</v>
          </cell>
          <cell r="X273">
            <v>22020753.899095353</v>
          </cell>
        </row>
        <row r="274">
          <cell r="T274">
            <v>1415982.7304733933</v>
          </cell>
          <cell r="U274">
            <v>2015381.0035207327</v>
          </cell>
          <cell r="V274">
            <v>3430089.1038728063</v>
          </cell>
          <cell r="W274">
            <v>9228548.0142600872</v>
          </cell>
          <cell r="X274">
            <v>22101890.315686092</v>
          </cell>
        </row>
        <row r="275">
          <cell r="T275">
            <v>1421198.5057556422</v>
          </cell>
          <cell r="U275">
            <v>2022798.3563312062</v>
          </cell>
          <cell r="V275">
            <v>3442700.1919643274</v>
          </cell>
          <cell r="W275">
            <v>9262440.2111607585</v>
          </cell>
          <cell r="X275">
            <v>22183026.732276835</v>
          </cell>
        </row>
        <row r="276">
          <cell r="T276">
            <v>1426414.2810378908</v>
          </cell>
          <cell r="U276">
            <v>2030215.7091416798</v>
          </cell>
          <cell r="V276">
            <v>3455311.280055848</v>
          </cell>
          <cell r="W276">
            <v>9296332.4080614317</v>
          </cell>
          <cell r="X276">
            <v>22264163.148867574</v>
          </cell>
        </row>
        <row r="277">
          <cell r="T277">
            <v>1431630.0563201394</v>
          </cell>
          <cell r="U277">
            <v>2037633.0619521535</v>
          </cell>
          <cell r="V277">
            <v>3467922.368147369</v>
          </cell>
          <cell r="W277">
            <v>9330224.6049621049</v>
          </cell>
          <cell r="X277">
            <v>22345299.565458313</v>
          </cell>
        </row>
        <row r="278">
          <cell r="T278">
            <v>1436845.8316023881</v>
          </cell>
          <cell r="U278">
            <v>2045050.4147626269</v>
          </cell>
          <cell r="V278">
            <v>3480533.4562388901</v>
          </cell>
          <cell r="W278">
            <v>9364116.8018627781</v>
          </cell>
          <cell r="X278">
            <v>22426435.982049052</v>
          </cell>
        </row>
        <row r="279">
          <cell r="T279">
            <v>1442061.6068846369</v>
          </cell>
          <cell r="U279">
            <v>2052467.7675731005</v>
          </cell>
          <cell r="V279">
            <v>3493144.5443304107</v>
          </cell>
          <cell r="W279">
            <v>9398008.9987634514</v>
          </cell>
          <cell r="X279">
            <v>22507572.398639794</v>
          </cell>
        </row>
        <row r="280">
          <cell r="T280">
            <v>1447277.3821668855</v>
          </cell>
          <cell r="U280">
            <v>2059885.1203835739</v>
          </cell>
          <cell r="V280">
            <v>3505755.6324219317</v>
          </cell>
          <cell r="W280">
            <v>9431901.1956641246</v>
          </cell>
          <cell r="X280">
            <v>22588708.815230533</v>
          </cell>
        </row>
        <row r="281">
          <cell r="T281">
            <v>1452493.1574491342</v>
          </cell>
          <cell r="U281">
            <v>2067302.4731940476</v>
          </cell>
          <cell r="V281">
            <v>3518366.7205134528</v>
          </cell>
          <cell r="W281">
            <v>9465793.3925647978</v>
          </cell>
          <cell r="X281">
            <v>22669845.231821276</v>
          </cell>
        </row>
        <row r="282">
          <cell r="T282">
            <v>1457708.9327313828</v>
          </cell>
          <cell r="U282">
            <v>2074719.8260045212</v>
          </cell>
          <cell r="V282">
            <v>3530977.8086049734</v>
          </cell>
          <cell r="W282">
            <v>9499685.589465471</v>
          </cell>
          <cell r="X282">
            <v>22750981.648412015</v>
          </cell>
        </row>
        <row r="283">
          <cell r="T283">
            <v>1462924.7080136316</v>
          </cell>
          <cell r="U283">
            <v>2082137.1788149946</v>
          </cell>
          <cell r="V283">
            <v>3543588.8966964944</v>
          </cell>
          <cell r="W283">
            <v>9533577.7863661442</v>
          </cell>
          <cell r="X283">
            <v>22832118.065002754</v>
          </cell>
        </row>
        <row r="284">
          <cell r="T284">
            <v>1468140.4832958803</v>
          </cell>
          <cell r="U284">
            <v>2089554.5316254683</v>
          </cell>
          <cell r="V284">
            <v>3556199.984788015</v>
          </cell>
          <cell r="W284">
            <v>9567469.9832668174</v>
          </cell>
          <cell r="X284">
            <v>22913254.481593497</v>
          </cell>
        </row>
        <row r="285">
          <cell r="T285">
            <v>1473356.2585781289</v>
          </cell>
          <cell r="U285">
            <v>2096971.8844359419</v>
          </cell>
          <cell r="V285">
            <v>3568811.0728795361</v>
          </cell>
          <cell r="W285">
            <v>9601362.1801674906</v>
          </cell>
          <cell r="X285">
            <v>22994390.898184236</v>
          </cell>
        </row>
        <row r="286">
          <cell r="T286">
            <v>1478572.0338603775</v>
          </cell>
          <cell r="U286">
            <v>2104389.2372464156</v>
          </cell>
          <cell r="V286">
            <v>3581422.1609710571</v>
          </cell>
          <cell r="W286">
            <v>9635254.3770681638</v>
          </cell>
          <cell r="X286">
            <v>23075527.314774975</v>
          </cell>
        </row>
        <row r="287">
          <cell r="T287">
            <v>1483787.8091426264</v>
          </cell>
          <cell r="U287">
            <v>2111806.5900568888</v>
          </cell>
          <cell r="V287">
            <v>3594033.2490625777</v>
          </cell>
          <cell r="W287">
            <v>9669146.573968837</v>
          </cell>
          <cell r="X287">
            <v>23156663.731365718</v>
          </cell>
        </row>
        <row r="288">
          <cell r="T288">
            <v>1489003.584424875</v>
          </cell>
          <cell r="U288">
            <v>2119223.9428673624</v>
          </cell>
          <cell r="V288">
            <v>3606644.3371540988</v>
          </cell>
          <cell r="W288">
            <v>9703038.7708695102</v>
          </cell>
          <cell r="X288">
            <v>23237800.147956457</v>
          </cell>
        </row>
        <row r="289">
          <cell r="T289">
            <v>1494219.3597071236</v>
          </cell>
          <cell r="U289">
            <v>2126641.2956778361</v>
          </cell>
          <cell r="V289">
            <v>3619255.4252456198</v>
          </cell>
          <cell r="W289">
            <v>9736930.9677701816</v>
          </cell>
          <cell r="X289">
            <v>23318936.564547196</v>
          </cell>
        </row>
        <row r="290">
          <cell r="T290">
            <v>1499435.1349893725</v>
          </cell>
          <cell r="U290">
            <v>2134058.6484883097</v>
          </cell>
          <cell r="V290">
            <v>3631866.5133371404</v>
          </cell>
          <cell r="W290">
            <v>9770823.1646708548</v>
          </cell>
          <cell r="X290">
            <v>23400072.981137939</v>
          </cell>
        </row>
        <row r="291">
          <cell r="T291">
            <v>1504650.9102716211</v>
          </cell>
          <cell r="U291">
            <v>2141476.0012987833</v>
          </cell>
          <cell r="V291">
            <v>3644477.6014286615</v>
          </cell>
          <cell r="W291">
            <v>9804715.361571528</v>
          </cell>
          <cell r="X291">
            <v>23481209.397728678</v>
          </cell>
        </row>
        <row r="292">
          <cell r="T292">
            <v>1509866.6855538697</v>
          </cell>
          <cell r="U292">
            <v>2148893.354109257</v>
          </cell>
          <cell r="V292">
            <v>3657088.6895201826</v>
          </cell>
          <cell r="W292">
            <v>9838607.5584722012</v>
          </cell>
          <cell r="X292">
            <v>23562345.814319417</v>
          </cell>
        </row>
        <row r="293">
          <cell r="T293">
            <v>1515082.4608361183</v>
          </cell>
          <cell r="U293">
            <v>2156310.7069197302</v>
          </cell>
          <cell r="V293">
            <v>3669699.7776117031</v>
          </cell>
          <cell r="W293">
            <v>9872499.7553728744</v>
          </cell>
          <cell r="X293">
            <v>23643482.23091016</v>
          </cell>
        </row>
        <row r="294">
          <cell r="T294">
            <v>1520298.2361183672</v>
          </cell>
          <cell r="U294">
            <v>2163728.0597302038</v>
          </cell>
          <cell r="V294">
            <v>3682310.8657032242</v>
          </cell>
          <cell r="W294">
            <v>9906391.9522735476</v>
          </cell>
          <cell r="X294">
            <v>23724618.647500899</v>
          </cell>
        </row>
        <row r="295">
          <cell r="T295">
            <v>1525514.0114006158</v>
          </cell>
          <cell r="U295">
            <v>2171145.4125406775</v>
          </cell>
          <cell r="V295">
            <v>3694921.9537947453</v>
          </cell>
          <cell r="W295">
            <v>9940284.1491742209</v>
          </cell>
          <cell r="X295">
            <v>23805755.064091638</v>
          </cell>
        </row>
        <row r="296">
          <cell r="T296">
            <v>1530729.7866828644</v>
          </cell>
          <cell r="U296">
            <v>2178562.7653511511</v>
          </cell>
          <cell r="V296">
            <v>3707533.0418862659</v>
          </cell>
          <cell r="W296">
            <v>9974176.3460748941</v>
          </cell>
          <cell r="X296">
            <v>23886891.48068238</v>
          </cell>
        </row>
        <row r="297">
          <cell r="T297">
            <v>1535945.561965113</v>
          </cell>
          <cell r="U297">
            <v>2185980.1181616243</v>
          </cell>
          <cell r="V297">
            <v>3720144.1299777869</v>
          </cell>
          <cell r="W297">
            <v>10008068.542975567</v>
          </cell>
          <cell r="X297">
            <v>23968027.89727312</v>
          </cell>
        </row>
        <row r="298">
          <cell r="T298">
            <v>1541161.3372473619</v>
          </cell>
          <cell r="U298">
            <v>2193397.4709720979</v>
          </cell>
          <cell r="V298">
            <v>3732755.218069308</v>
          </cell>
          <cell r="W298">
            <v>10041960.73987624</v>
          </cell>
          <cell r="X298">
            <v>24049164.313863862</v>
          </cell>
        </row>
        <row r="299">
          <cell r="T299">
            <v>1546377.1125296105</v>
          </cell>
          <cell r="U299">
            <v>2200814.8237825716</v>
          </cell>
          <cell r="V299">
            <v>3745366.3061608286</v>
          </cell>
          <cell r="W299">
            <v>10075852.936776912</v>
          </cell>
          <cell r="X299">
            <v>24130300.730454601</v>
          </cell>
        </row>
        <row r="300">
          <cell r="T300">
            <v>1551592.8878118591</v>
          </cell>
          <cell r="U300">
            <v>2208232.1765930452</v>
          </cell>
          <cell r="V300">
            <v>3757977.3942523496</v>
          </cell>
          <cell r="W300">
            <v>10109745.133677585</v>
          </cell>
          <cell r="X300">
            <v>24211437.14704534</v>
          </cell>
        </row>
        <row r="301">
          <cell r="T301">
            <v>1556808.6630941078</v>
          </cell>
          <cell r="U301">
            <v>2215649.5294035189</v>
          </cell>
          <cell r="V301">
            <v>3770588.4823438707</v>
          </cell>
          <cell r="W301">
            <v>10143637.330578258</v>
          </cell>
          <cell r="X301">
            <v>24292573.563636079</v>
          </cell>
        </row>
        <row r="302">
          <cell r="T302">
            <v>1562024.4383763566</v>
          </cell>
          <cell r="U302">
            <v>2223066.8822139921</v>
          </cell>
          <cell r="V302">
            <v>3783199.5704353917</v>
          </cell>
          <cell r="W302">
            <v>10177529.527478931</v>
          </cell>
          <cell r="X302">
            <v>24373709.980226822</v>
          </cell>
        </row>
        <row r="303">
          <cell r="T303">
            <v>1567240.2136586052</v>
          </cell>
          <cell r="U303">
            <v>2230484.2350244657</v>
          </cell>
          <cell r="V303">
            <v>3795810.6585269123</v>
          </cell>
          <cell r="W303">
            <v>10211421.724379605</v>
          </cell>
          <cell r="X303">
            <v>24454846.396817561</v>
          </cell>
        </row>
        <row r="304">
          <cell r="T304">
            <v>1572455.9889408539</v>
          </cell>
          <cell r="U304">
            <v>2237901.5878349394</v>
          </cell>
          <cell r="V304">
            <v>3808421.7466184334</v>
          </cell>
          <cell r="W304">
            <v>10245313.921280278</v>
          </cell>
          <cell r="X304">
            <v>24535982.8134083</v>
          </cell>
        </row>
        <row r="305">
          <cell r="T305">
            <v>1577671.7642231025</v>
          </cell>
          <cell r="U305">
            <v>2245318.940645413</v>
          </cell>
          <cell r="V305">
            <v>3821032.8347099544</v>
          </cell>
          <cell r="W305">
            <v>10279206.118180951</v>
          </cell>
          <cell r="X305">
            <v>24617119.229999043</v>
          </cell>
        </row>
        <row r="306">
          <cell r="T306">
            <v>1582887.5395053513</v>
          </cell>
          <cell r="U306">
            <v>2252736.2934558862</v>
          </cell>
          <cell r="V306">
            <v>3833643.922801475</v>
          </cell>
          <cell r="W306">
            <v>10313098.315081622</v>
          </cell>
          <cell r="X306">
            <v>24698255.646589782</v>
          </cell>
        </row>
        <row r="307">
          <cell r="T307">
            <v>1588103.3147876</v>
          </cell>
          <cell r="U307">
            <v>2260153.6462663598</v>
          </cell>
          <cell r="V307">
            <v>3846255.0108929961</v>
          </cell>
          <cell r="W307">
            <v>10346990.511982296</v>
          </cell>
          <cell r="X307">
            <v>24779392.063180521</v>
          </cell>
        </row>
        <row r="308">
          <cell r="T308">
            <v>1593319.0900698486</v>
          </cell>
          <cell r="U308">
            <v>2267570.9990768335</v>
          </cell>
          <cell r="V308">
            <v>3858866.0989845172</v>
          </cell>
          <cell r="W308">
            <v>10380882.708882969</v>
          </cell>
          <cell r="X308">
            <v>24860528.479771264</v>
          </cell>
        </row>
        <row r="309">
          <cell r="T309">
            <v>1598534.8653520974</v>
          </cell>
          <cell r="U309">
            <v>2274988.3518873071</v>
          </cell>
          <cell r="V309">
            <v>3871477.1870760377</v>
          </cell>
          <cell r="W309">
            <v>10414774.905783642</v>
          </cell>
          <cell r="X309">
            <v>24941664.896362003</v>
          </cell>
        </row>
        <row r="310">
          <cell r="T310">
            <v>1603750.6406343461</v>
          </cell>
          <cell r="U310">
            <v>2282405.7046977803</v>
          </cell>
          <cell r="V310">
            <v>3884088.2751675588</v>
          </cell>
          <cell r="W310">
            <v>10448667.102684315</v>
          </cell>
          <cell r="X310">
            <v>25022801.312952742</v>
          </cell>
        </row>
        <row r="311">
          <cell r="T311">
            <v>1608966.4159165947</v>
          </cell>
          <cell r="U311">
            <v>2289823.057508254</v>
          </cell>
          <cell r="V311">
            <v>3896699.3632590799</v>
          </cell>
          <cell r="W311">
            <v>10482559.299584989</v>
          </cell>
          <cell r="X311">
            <v>25103937.729543485</v>
          </cell>
        </row>
        <row r="312">
          <cell r="T312">
            <v>1614182.1911988433</v>
          </cell>
          <cell r="U312">
            <v>2297240.4103187276</v>
          </cell>
          <cell r="V312">
            <v>3909310.4513506005</v>
          </cell>
          <cell r="W312">
            <v>10516451.496485662</v>
          </cell>
          <cell r="X312">
            <v>25185074.146134224</v>
          </cell>
        </row>
        <row r="313">
          <cell r="T313">
            <v>1619397.9664810922</v>
          </cell>
          <cell r="U313">
            <v>2304657.7631292013</v>
          </cell>
          <cell r="V313">
            <v>3921921.5394421215</v>
          </cell>
          <cell r="W313">
            <v>10550343.693386333</v>
          </cell>
          <cell r="X313">
            <v>25266210.562724963</v>
          </cell>
        </row>
        <row r="314">
          <cell r="T314">
            <v>1624613.7417633408</v>
          </cell>
          <cell r="U314">
            <v>2312075.1159396744</v>
          </cell>
          <cell r="V314">
            <v>3934532.6275336426</v>
          </cell>
          <cell r="W314">
            <v>10584235.890287006</v>
          </cell>
          <cell r="X314">
            <v>25347346.979315706</v>
          </cell>
        </row>
        <row r="315">
          <cell r="T315">
            <v>1629829.5170455894</v>
          </cell>
          <cell r="U315">
            <v>2319492.4687501481</v>
          </cell>
          <cell r="V315">
            <v>3947143.7156251632</v>
          </cell>
          <cell r="W315">
            <v>10618128.087187679</v>
          </cell>
          <cell r="X315">
            <v>25428483.395906445</v>
          </cell>
        </row>
        <row r="316">
          <cell r="T316">
            <v>1635045.292327838</v>
          </cell>
          <cell r="U316">
            <v>2326909.8215606217</v>
          </cell>
          <cell r="V316">
            <v>3959754.8037166842</v>
          </cell>
          <cell r="W316">
            <v>10652020.284088353</v>
          </cell>
          <cell r="X316">
            <v>25509619.812497184</v>
          </cell>
        </row>
        <row r="317">
          <cell r="T317">
            <v>1640261.0676100869</v>
          </cell>
          <cell r="U317">
            <v>2334327.1743710954</v>
          </cell>
          <cell r="V317">
            <v>3972365.8918082053</v>
          </cell>
          <cell r="W317">
            <v>10685912.480989026</v>
          </cell>
          <cell r="X317">
            <v>25590756.229087926</v>
          </cell>
        </row>
        <row r="318">
          <cell r="T318">
            <v>1645476.8428923355</v>
          </cell>
          <cell r="U318">
            <v>2341744.5271815686</v>
          </cell>
          <cell r="V318">
            <v>3984976.9798997259</v>
          </cell>
          <cell r="W318">
            <v>10719804.677889699</v>
          </cell>
          <cell r="X318">
            <v>25671892.645678665</v>
          </cell>
        </row>
        <row r="319">
          <cell r="T319">
            <v>1650692.6181745841</v>
          </cell>
          <cell r="U319">
            <v>2349161.8799920422</v>
          </cell>
          <cell r="V319">
            <v>3997588.0679912469</v>
          </cell>
          <cell r="W319">
            <v>10753696.874790372</v>
          </cell>
          <cell r="X319">
            <v>25753029.062269405</v>
          </cell>
        </row>
        <row r="320">
          <cell r="T320">
            <v>1655908.3934568327</v>
          </cell>
          <cell r="U320">
            <v>2356579.2328025158</v>
          </cell>
          <cell r="V320">
            <v>4010199.156082768</v>
          </cell>
          <cell r="W320">
            <v>10787589.071691046</v>
          </cell>
          <cell r="X320">
            <v>25834165.478860147</v>
          </cell>
        </row>
        <row r="321">
          <cell r="T321">
            <v>1661124.1687390816</v>
          </cell>
          <cell r="U321">
            <v>2363996.5856129895</v>
          </cell>
          <cell r="V321">
            <v>4022810.2441742886</v>
          </cell>
          <cell r="W321">
            <v>10821481.268591717</v>
          </cell>
          <cell r="X321">
            <v>25915301.895450886</v>
          </cell>
        </row>
        <row r="322">
          <cell r="T322">
            <v>1666339.9440213302</v>
          </cell>
          <cell r="U322">
            <v>2371413.9384234627</v>
          </cell>
          <cell r="V322">
            <v>4035421.3322658096</v>
          </cell>
          <cell r="W322">
            <v>10855373.46549239</v>
          </cell>
          <cell r="X322">
            <v>25996438.312041625</v>
          </cell>
        </row>
        <row r="323">
          <cell r="T323">
            <v>1671555.7193035788</v>
          </cell>
          <cell r="U323">
            <v>2378831.2912339363</v>
          </cell>
          <cell r="V323">
            <v>4048032.4203573307</v>
          </cell>
          <cell r="W323">
            <v>10889265.662393063</v>
          </cell>
          <cell r="X323">
            <v>26077574.728632368</v>
          </cell>
        </row>
        <row r="324">
          <cell r="T324">
            <v>1676771.4945858275</v>
          </cell>
          <cell r="U324">
            <v>2386248.64404441</v>
          </cell>
          <cell r="V324">
            <v>4060643.5084488513</v>
          </cell>
          <cell r="W324">
            <v>10923157.859293737</v>
          </cell>
          <cell r="X324">
            <v>26158711.145223107</v>
          </cell>
        </row>
        <row r="325">
          <cell r="T325">
            <v>1681987.2698680763</v>
          </cell>
          <cell r="U325">
            <v>2393665.9968548836</v>
          </cell>
          <cell r="V325">
            <v>4073254.5965403724</v>
          </cell>
          <cell r="W325">
            <v>10957050.05619441</v>
          </cell>
          <cell r="X325">
            <v>26239847.561813846</v>
          </cell>
        </row>
        <row r="326">
          <cell r="T326">
            <v>1687203.0451503249</v>
          </cell>
          <cell r="U326">
            <v>2401083.3496653568</v>
          </cell>
          <cell r="V326">
            <v>4085865.6846318934</v>
          </cell>
          <cell r="W326">
            <v>10990942.253095083</v>
          </cell>
          <cell r="X326">
            <v>26320983.978404589</v>
          </cell>
        </row>
        <row r="327">
          <cell r="T327">
            <v>1692418.8204325736</v>
          </cell>
          <cell r="U327">
            <v>2408500.7024758304</v>
          </cell>
          <cell r="V327">
            <v>4098476.772723414</v>
          </cell>
          <cell r="W327">
            <v>11024834.449995756</v>
          </cell>
          <cell r="X327">
            <v>26402120.394995328</v>
          </cell>
        </row>
        <row r="328">
          <cell r="T328">
            <v>1697634.5957148222</v>
          </cell>
          <cell r="U328">
            <v>2415918.0552863041</v>
          </cell>
          <cell r="V328">
            <v>4111087.8608149351</v>
          </cell>
          <cell r="W328">
            <v>11058726.646896429</v>
          </cell>
          <cell r="X328">
            <v>26483256.811586067</v>
          </cell>
        </row>
        <row r="329">
          <cell r="T329">
            <v>1702850.3709970708</v>
          </cell>
          <cell r="U329">
            <v>2423335.4080967777</v>
          </cell>
          <cell r="V329">
            <v>4123698.9489064561</v>
          </cell>
          <cell r="W329">
            <v>11092618.843797103</v>
          </cell>
          <cell r="X329">
            <v>26564393.22817681</v>
          </cell>
        </row>
        <row r="330">
          <cell r="T330">
            <v>1708066.1462793197</v>
          </cell>
          <cell r="U330">
            <v>2430752.7609072514</v>
          </cell>
          <cell r="V330">
            <v>4136310.0369979772</v>
          </cell>
          <cell r="W330">
            <v>11126511.040697774</v>
          </cell>
          <cell r="X330">
            <v>26645529.644767549</v>
          </cell>
        </row>
        <row r="331">
          <cell r="T331">
            <v>1713281.9215615683</v>
          </cell>
          <cell r="U331">
            <v>2438170.1137177246</v>
          </cell>
          <cell r="V331">
            <v>4148921.1250894978</v>
          </cell>
          <cell r="W331">
            <v>11160403.237598447</v>
          </cell>
          <cell r="X331">
            <v>26726666.061358288</v>
          </cell>
        </row>
        <row r="332">
          <cell r="T332">
            <v>1718497.6968438169</v>
          </cell>
          <cell r="U332">
            <v>2445587.4665281982</v>
          </cell>
          <cell r="V332">
            <v>4161532.2131810188</v>
          </cell>
          <cell r="W332">
            <v>11194295.43449912</v>
          </cell>
          <cell r="X332">
            <v>26807802.477949031</v>
          </cell>
        </row>
        <row r="333">
          <cell r="T333">
            <v>1723713.4721260655</v>
          </cell>
          <cell r="U333">
            <v>2453004.8193386719</v>
          </cell>
          <cell r="V333">
            <v>4174143.3012725399</v>
          </cell>
          <cell r="W333">
            <v>11228187.631399794</v>
          </cell>
          <cell r="X333">
            <v>26888938.89453977</v>
          </cell>
        </row>
        <row r="334">
          <cell r="T334">
            <v>1728929.2474083144</v>
          </cell>
          <cell r="U334">
            <v>2460422.1721491455</v>
          </cell>
          <cell r="V334">
            <v>4186754.3893640605</v>
          </cell>
          <cell r="W334">
            <v>11262079.828300467</v>
          </cell>
          <cell r="X334">
            <v>26970075.311130509</v>
          </cell>
        </row>
        <row r="335">
          <cell r="T335">
            <v>1734145.022690563</v>
          </cell>
          <cell r="U335">
            <v>2467839.5249596187</v>
          </cell>
          <cell r="V335">
            <v>4199365.4774555815</v>
          </cell>
          <cell r="W335">
            <v>11295972.02520114</v>
          </cell>
          <cell r="X335">
            <v>27051211.727721252</v>
          </cell>
        </row>
        <row r="336">
          <cell r="T336">
            <v>1739360.7979728116</v>
          </cell>
          <cell r="U336">
            <v>2475256.8777700923</v>
          </cell>
          <cell r="V336">
            <v>4211976.5655471021</v>
          </cell>
          <cell r="W336">
            <v>11329864.222101813</v>
          </cell>
          <cell r="X336">
            <v>27132348.144311991</v>
          </cell>
        </row>
        <row r="337">
          <cell r="T337">
            <v>1744576.5732550602</v>
          </cell>
          <cell r="U337">
            <v>2482674.230580566</v>
          </cell>
          <cell r="V337">
            <v>4224587.6536386237</v>
          </cell>
          <cell r="W337">
            <v>11363756.419002486</v>
          </cell>
          <cell r="X337">
            <v>27213484.56090273</v>
          </cell>
        </row>
        <row r="338">
          <cell r="T338">
            <v>1749792.3485373091</v>
          </cell>
          <cell r="U338">
            <v>2490091.5833910396</v>
          </cell>
          <cell r="V338">
            <v>4237198.7417301442</v>
          </cell>
          <cell r="W338">
            <v>11397648.61590316</v>
          </cell>
          <cell r="X338">
            <v>27294620.977493472</v>
          </cell>
        </row>
        <row r="339">
          <cell r="T339">
            <v>1755008.1238195577</v>
          </cell>
          <cell r="U339">
            <v>2497508.9362015128</v>
          </cell>
          <cell r="V339">
            <v>4249809.8298216648</v>
          </cell>
          <cell r="W339">
            <v>11431540.812803831</v>
          </cell>
          <cell r="X339">
            <v>27374450.751822796</v>
          </cell>
        </row>
        <row r="340">
          <cell r="T340">
            <v>1760151.9552063679</v>
          </cell>
          <cell r="U340">
            <v>2504926.2890119865</v>
          </cell>
          <cell r="V340">
            <v>4262420.9179131864</v>
          </cell>
          <cell r="W340">
            <v>11465433.009704504</v>
          </cell>
          <cell r="X340">
            <v>27447722.698483158</v>
          </cell>
        </row>
        <row r="341">
          <cell r="T341">
            <v>1765018.445621148</v>
          </cell>
          <cell r="U341">
            <v>2512343.6418224601</v>
          </cell>
          <cell r="V341">
            <v>4275032.006004707</v>
          </cell>
          <cell r="W341">
            <v>11499325.206605177</v>
          </cell>
          <cell r="X341">
            <v>27520994.645143524</v>
          </cell>
        </row>
        <row r="342">
          <cell r="T342">
            <v>1769884.9360359283</v>
          </cell>
          <cell r="U342">
            <v>2519760.9946329338</v>
          </cell>
          <cell r="V342">
            <v>4287643.0940962275</v>
          </cell>
          <cell r="W342">
            <v>11533217.403505851</v>
          </cell>
          <cell r="X342">
            <v>27594266.591803886</v>
          </cell>
        </row>
        <row r="343">
          <cell r="T343">
            <v>1774751.4264507084</v>
          </cell>
          <cell r="U343">
            <v>2527178.3474434074</v>
          </cell>
          <cell r="V343">
            <v>4300254.1821877491</v>
          </cell>
          <cell r="W343">
            <v>11567109.600406524</v>
          </cell>
          <cell r="X343">
            <v>27667538.538464252</v>
          </cell>
        </row>
        <row r="344">
          <cell r="T344">
            <v>1779617.9168654885</v>
          </cell>
          <cell r="U344">
            <v>2534595.700253881</v>
          </cell>
          <cell r="V344">
            <v>4312865.2702792697</v>
          </cell>
          <cell r="W344">
            <v>11601001.797307197</v>
          </cell>
          <cell r="X344">
            <v>27740810.485124614</v>
          </cell>
        </row>
        <row r="345">
          <cell r="T345">
            <v>1784484.4072802686</v>
          </cell>
          <cell r="U345">
            <v>2542013.0530643542</v>
          </cell>
          <cell r="V345">
            <v>4325476.3583707903</v>
          </cell>
          <cell r="W345">
            <v>11634893.99420787</v>
          </cell>
          <cell r="X345">
            <v>27814082.43178498</v>
          </cell>
        </row>
        <row r="346">
          <cell r="T346">
            <v>1789350.8976950487</v>
          </cell>
          <cell r="U346">
            <v>2549430.4058748279</v>
          </cell>
          <cell r="V346">
            <v>4338087.4464623118</v>
          </cell>
          <cell r="W346">
            <v>11668786.191108543</v>
          </cell>
          <cell r="X346">
            <v>27887354.378445342</v>
          </cell>
        </row>
        <row r="347">
          <cell r="T347">
            <v>1794217.388109829</v>
          </cell>
          <cell r="U347">
            <v>2556847.7586853015</v>
          </cell>
          <cell r="V347">
            <v>4350698.5345538324</v>
          </cell>
          <cell r="W347">
            <v>11702678.388009217</v>
          </cell>
          <cell r="X347">
            <v>27960626.325105704</v>
          </cell>
        </row>
        <row r="348">
          <cell r="T348">
            <v>1799083.8785246091</v>
          </cell>
          <cell r="U348">
            <v>2564265.1114957752</v>
          </cell>
          <cell r="V348">
            <v>4363309.622645353</v>
          </cell>
          <cell r="W348">
            <v>11736570.58490989</v>
          </cell>
          <cell r="X348">
            <v>28033898.27176607</v>
          </cell>
        </row>
        <row r="349">
          <cell r="T349">
            <v>1803950.3689393892</v>
          </cell>
          <cell r="U349">
            <v>2571682.4643062488</v>
          </cell>
          <cell r="V349">
            <v>4375920.7107368745</v>
          </cell>
          <cell r="W349">
            <v>11770462.781810563</v>
          </cell>
          <cell r="X349">
            <v>28107170.218426432</v>
          </cell>
        </row>
        <row r="350">
          <cell r="T350">
            <v>1808816.8593541693</v>
          </cell>
          <cell r="U350">
            <v>2579099.8171167225</v>
          </cell>
          <cell r="V350">
            <v>4388531.7988283951</v>
          </cell>
          <cell r="W350">
            <v>11804354.978711236</v>
          </cell>
          <cell r="X350">
            <v>28180442.165086798</v>
          </cell>
        </row>
        <row r="351">
          <cell r="T351">
            <v>1813683.3497689494</v>
          </cell>
          <cell r="U351">
            <v>2586517.1699271956</v>
          </cell>
          <cell r="V351">
            <v>4401142.8869199157</v>
          </cell>
          <cell r="W351">
            <v>11838247.175611909</v>
          </cell>
          <cell r="X351">
            <v>28253714.111747161</v>
          </cell>
        </row>
        <row r="352">
          <cell r="T352">
            <v>1818549.8401837298</v>
          </cell>
          <cell r="U352">
            <v>2593934.5227376693</v>
          </cell>
          <cell r="V352">
            <v>4413753.9750114372</v>
          </cell>
          <cell r="W352">
            <v>11872139.372512583</v>
          </cell>
          <cell r="X352">
            <v>28326986.058407526</v>
          </cell>
        </row>
        <row r="353">
          <cell r="T353">
            <v>1823416.3305985099</v>
          </cell>
          <cell r="U353">
            <v>2601351.8755481429</v>
          </cell>
          <cell r="V353">
            <v>4426365.0631029578</v>
          </cell>
          <cell r="W353">
            <v>11906031.569413256</v>
          </cell>
          <cell r="X353">
            <v>28400258.005067889</v>
          </cell>
        </row>
        <row r="354">
          <cell r="T354">
            <v>1828282.82101329</v>
          </cell>
          <cell r="U354">
            <v>2608769.2283586166</v>
          </cell>
          <cell r="V354">
            <v>4438976.1511944784</v>
          </cell>
          <cell r="W354">
            <v>11939923.766313927</v>
          </cell>
          <cell r="X354">
            <v>28473529.951728255</v>
          </cell>
        </row>
        <row r="355">
          <cell r="T355">
            <v>1833149.3114280701</v>
          </cell>
          <cell r="U355">
            <v>2616186.5811690902</v>
          </cell>
          <cell r="V355">
            <v>4451587.2392859999</v>
          </cell>
          <cell r="W355">
            <v>11973815.9632146</v>
          </cell>
          <cell r="X355">
            <v>28546801.898388617</v>
          </cell>
        </row>
        <row r="356">
          <cell r="T356">
            <v>1838015.8018428502</v>
          </cell>
          <cell r="U356">
            <v>2623603.9339795639</v>
          </cell>
          <cell r="V356">
            <v>4464198.3273775205</v>
          </cell>
          <cell r="W356">
            <v>12007708.160115274</v>
          </cell>
          <cell r="X356">
            <v>28620073.845048983</v>
          </cell>
        </row>
        <row r="357">
          <cell r="T357">
            <v>1842882.2922576305</v>
          </cell>
          <cell r="U357">
            <v>2631021.2867900375</v>
          </cell>
          <cell r="V357">
            <v>4476809.4154690411</v>
          </cell>
          <cell r="W357">
            <v>12041600.357015947</v>
          </cell>
          <cell r="X357">
            <v>28693345.791709345</v>
          </cell>
        </row>
        <row r="358">
          <cell r="T358">
            <v>1847748.7826724106</v>
          </cell>
          <cell r="U358">
            <v>2638438.6396005107</v>
          </cell>
          <cell r="V358">
            <v>4488148.9148140438</v>
          </cell>
          <cell r="W358">
            <v>12075492.55391662</v>
          </cell>
          <cell r="X358">
            <v>28766617.738369711</v>
          </cell>
        </row>
        <row r="359">
          <cell r="T359">
            <v>1852615.2730871907</v>
          </cell>
          <cell r="U359">
            <v>2645855.9924109844</v>
          </cell>
          <cell r="V359">
            <v>4499310.0727498988</v>
          </cell>
          <cell r="W359">
            <v>12107249.567699127</v>
          </cell>
          <cell r="X359">
            <v>28839889.685030073</v>
          </cell>
        </row>
        <row r="360">
          <cell r="T360">
            <v>1857481.7635019708</v>
          </cell>
          <cell r="U360">
            <v>2653273.345221458</v>
          </cell>
          <cell r="V360">
            <v>4510471.2306857537</v>
          </cell>
          <cell r="W360">
            <v>12137626.975731514</v>
          </cell>
          <cell r="X360">
            <v>28913161.631690435</v>
          </cell>
        </row>
        <row r="361">
          <cell r="T361">
            <v>1862348.2539167509</v>
          </cell>
          <cell r="U361">
            <v>2660690.6980319316</v>
          </cell>
          <cell r="V361">
            <v>4521632.3886216087</v>
          </cell>
          <cell r="W361">
            <v>12168004.383763902</v>
          </cell>
          <cell r="X361">
            <v>28986433.578350801</v>
          </cell>
        </row>
        <row r="362">
          <cell r="T362">
            <v>1867214.7443315312</v>
          </cell>
          <cell r="U362">
            <v>2667666.1704326966</v>
          </cell>
          <cell r="V362">
            <v>4532793.5465574637</v>
          </cell>
          <cell r="W362">
            <v>12198381.791796291</v>
          </cell>
          <cell r="X362">
            <v>29059705.525011163</v>
          </cell>
        </row>
        <row r="363">
          <cell r="T363">
            <v>1872081.2347463113</v>
          </cell>
          <cell r="U363">
            <v>2674465.9243493197</v>
          </cell>
          <cell r="V363">
            <v>4543954.7044933187</v>
          </cell>
          <cell r="W363">
            <v>12228759.199828679</v>
          </cell>
          <cell r="X363">
            <v>29132977.471671529</v>
          </cell>
        </row>
        <row r="364">
          <cell r="T364">
            <v>1876947.7251610914</v>
          </cell>
          <cell r="U364">
            <v>2681265.6782659423</v>
          </cell>
          <cell r="V364">
            <v>4555115.8624291737</v>
          </cell>
          <cell r="W364">
            <v>12259136.607861066</v>
          </cell>
          <cell r="X364">
            <v>29204498.566427823</v>
          </cell>
        </row>
        <row r="365">
          <cell r="T365">
            <v>1881500.9242450462</v>
          </cell>
          <cell r="U365">
            <v>2688065.4321825653</v>
          </cell>
          <cell r="V365">
            <v>4566277.0203650286</v>
          </cell>
          <cell r="W365">
            <v>12289514.015893454</v>
          </cell>
          <cell r="X365">
            <v>29274289.563615628</v>
          </cell>
        </row>
        <row r="366">
          <cell r="T366">
            <v>1886041.5203550339</v>
          </cell>
          <cell r="U366">
            <v>2694865.1860991884</v>
          </cell>
          <cell r="V366">
            <v>4577438.1783008836</v>
          </cell>
          <cell r="W366">
            <v>12319891.423925843</v>
          </cell>
          <cell r="X366">
            <v>29344080.560803432</v>
          </cell>
        </row>
        <row r="367">
          <cell r="T367">
            <v>1890582.1164650214</v>
          </cell>
          <cell r="U367">
            <v>2701664.9400158115</v>
          </cell>
          <cell r="V367">
            <v>4588599.3362367386</v>
          </cell>
          <cell r="W367">
            <v>12350268.831958231</v>
          </cell>
          <cell r="X367">
            <v>29413871.557991236</v>
          </cell>
        </row>
        <row r="368">
          <cell r="T368">
            <v>1895122.7125750089</v>
          </cell>
          <cell r="U368">
            <v>2708464.6939324345</v>
          </cell>
          <cell r="V368">
            <v>4599760.4941725936</v>
          </cell>
          <cell r="W368">
            <v>12380646.239990618</v>
          </cell>
          <cell r="X368">
            <v>29483662.555179041</v>
          </cell>
        </row>
        <row r="369">
          <cell r="T369">
            <v>1899663.3086849963</v>
          </cell>
          <cell r="U369">
            <v>2715264.4478490576</v>
          </cell>
          <cell r="V369">
            <v>4610921.6521084486</v>
          </cell>
          <cell r="W369">
            <v>12411023.648023007</v>
          </cell>
          <cell r="X369">
            <v>29553453.552366845</v>
          </cell>
        </row>
        <row r="370">
          <cell r="T370">
            <v>1904203.904794984</v>
          </cell>
          <cell r="U370">
            <v>2722064.2017656807</v>
          </cell>
          <cell r="V370">
            <v>4622082.8100443035</v>
          </cell>
          <cell r="W370">
            <v>12441401.056055395</v>
          </cell>
          <cell r="X370">
            <v>29623244.54955465</v>
          </cell>
        </row>
        <row r="371">
          <cell r="T371">
            <v>1908744.5009049715</v>
          </cell>
          <cell r="U371">
            <v>2728863.9556823033</v>
          </cell>
          <cell r="V371">
            <v>4633243.9679801585</v>
          </cell>
          <cell r="W371">
            <v>12471778.464087782</v>
          </cell>
          <cell r="X371">
            <v>29693035.546742454</v>
          </cell>
        </row>
        <row r="372">
          <cell r="T372">
            <v>1913285.097014959</v>
          </cell>
          <cell r="U372">
            <v>2735663.7095989264</v>
          </cell>
          <cell r="V372">
            <v>4644405.1259160135</v>
          </cell>
          <cell r="W372">
            <v>12502155.87212017</v>
          </cell>
          <cell r="X372">
            <v>29762826.543930259</v>
          </cell>
        </row>
        <row r="373">
          <cell r="T373">
            <v>1917825.6931249464</v>
          </cell>
          <cell r="U373">
            <v>2742463.4635155494</v>
          </cell>
          <cell r="V373">
            <v>4655566.2838518685</v>
          </cell>
          <cell r="W373">
            <v>12532533.280152559</v>
          </cell>
          <cell r="X373">
            <v>29832617.541118063</v>
          </cell>
        </row>
        <row r="374">
          <cell r="T374">
            <v>1922366.2892349339</v>
          </cell>
          <cell r="U374">
            <v>2749263.2174321725</v>
          </cell>
          <cell r="V374">
            <v>4666727.4417877235</v>
          </cell>
          <cell r="W374">
            <v>12562910.688184947</v>
          </cell>
          <cell r="X374">
            <v>29902408.538305867</v>
          </cell>
        </row>
        <row r="375">
          <cell r="T375">
            <v>1926906.8853449216</v>
          </cell>
          <cell r="U375">
            <v>2756062.9713487956</v>
          </cell>
          <cell r="V375">
            <v>4677888.5997235784</v>
          </cell>
          <cell r="W375">
            <v>12593288.096217334</v>
          </cell>
          <cell r="X375">
            <v>29972199.535493672</v>
          </cell>
        </row>
        <row r="376">
          <cell r="T376">
            <v>1931447.4814549091</v>
          </cell>
          <cell r="U376">
            <v>2762862.7252654186</v>
          </cell>
          <cell r="V376">
            <v>4689049.7576594334</v>
          </cell>
          <cell r="W376">
            <v>12623665.504249722</v>
          </cell>
          <cell r="X376">
            <v>30041990.532681476</v>
          </cell>
        </row>
        <row r="377">
          <cell r="T377">
            <v>1935988.0775648966</v>
          </cell>
          <cell r="U377">
            <v>2769662.4791820417</v>
          </cell>
          <cell r="V377">
            <v>4700210.9155952884</v>
          </cell>
          <cell r="W377">
            <v>12654042.912282111</v>
          </cell>
          <cell r="X377">
            <v>30111781.529869281</v>
          </cell>
        </row>
        <row r="378">
          <cell r="T378">
            <v>1940528.673674884</v>
          </cell>
          <cell r="U378">
            <v>2776462.2330986643</v>
          </cell>
          <cell r="V378">
            <v>4711372.0735311434</v>
          </cell>
          <cell r="W378">
            <v>12684420.320314499</v>
          </cell>
          <cell r="X378">
            <v>30181572.527057085</v>
          </cell>
        </row>
        <row r="379">
          <cell r="T379">
            <v>1945069.2697848717</v>
          </cell>
          <cell r="U379">
            <v>2783261.9870152874</v>
          </cell>
          <cell r="V379">
            <v>4722533.2314669983</v>
          </cell>
          <cell r="W379">
            <v>12714797.728346886</v>
          </cell>
          <cell r="X379">
            <v>30251363.52424489</v>
          </cell>
        </row>
        <row r="380">
          <cell r="T380">
            <v>1949609.8658948592</v>
          </cell>
          <cell r="U380">
            <v>2790061.7409319105</v>
          </cell>
          <cell r="V380">
            <v>4733694.3894028533</v>
          </cell>
          <cell r="W380">
            <v>12745175.136379275</v>
          </cell>
          <cell r="X380">
            <v>30321154.521432694</v>
          </cell>
        </row>
        <row r="381">
          <cell r="T381">
            <v>1954150.4620048467</v>
          </cell>
          <cell r="U381">
            <v>2796861.4948485335</v>
          </cell>
          <cell r="V381">
            <v>4744855.5473387083</v>
          </cell>
          <cell r="W381">
            <v>12775552.544411663</v>
          </cell>
          <cell r="X381">
            <v>30390945.518620498</v>
          </cell>
        </row>
        <row r="382">
          <cell r="T382">
            <v>1958691.0581148341</v>
          </cell>
          <cell r="U382">
            <v>2803661.2487651566</v>
          </cell>
          <cell r="V382">
            <v>4755461.3808110608</v>
          </cell>
          <cell r="W382">
            <v>12805929.95244405</v>
          </cell>
          <cell r="X382">
            <v>30460736.515808303</v>
          </cell>
        </row>
        <row r="383">
          <cell r="T383">
            <v>1963231.6542248218</v>
          </cell>
          <cell r="U383">
            <v>2810461.0026817797</v>
          </cell>
          <cell r="V383">
            <v>4765632.4754567957</v>
          </cell>
          <cell r="W383">
            <v>12836307.360476438</v>
          </cell>
          <cell r="X383">
            <v>30530527.512996107</v>
          </cell>
        </row>
        <row r="384">
          <cell r="T384">
            <v>1967772.2503348093</v>
          </cell>
          <cell r="U384">
            <v>2817260.7565984027</v>
          </cell>
          <cell r="V384">
            <v>4775803.5701025315</v>
          </cell>
          <cell r="W384">
            <v>12865508.866890572</v>
          </cell>
          <cell r="X384">
            <v>30600318.510183912</v>
          </cell>
        </row>
        <row r="385">
          <cell r="T385">
            <v>1972312.8464447968</v>
          </cell>
          <cell r="U385">
            <v>2824060.5105150254</v>
          </cell>
          <cell r="V385">
            <v>4785974.6647482673</v>
          </cell>
          <cell r="W385">
            <v>12891926.630721226</v>
          </cell>
          <cell r="X385">
            <v>30670109.507371716</v>
          </cell>
        </row>
        <row r="386">
          <cell r="T386">
            <v>1976853.4425547842</v>
          </cell>
          <cell r="U386">
            <v>2830860.2644316484</v>
          </cell>
          <cell r="V386">
            <v>4796145.7593940031</v>
          </cell>
          <cell r="W386">
            <v>12918344.394551881</v>
          </cell>
          <cell r="X386">
            <v>30739900.504559521</v>
          </cell>
        </row>
        <row r="387">
          <cell r="T387">
            <v>1981394.0386647717</v>
          </cell>
          <cell r="U387">
            <v>2837660.0183482715</v>
          </cell>
          <cell r="V387">
            <v>4806316.8540397389</v>
          </cell>
          <cell r="W387">
            <v>12944762.158382535</v>
          </cell>
          <cell r="X387">
            <v>30809691.501747325</v>
          </cell>
        </row>
        <row r="388">
          <cell r="T388">
            <v>1985934.6347747594</v>
          </cell>
          <cell r="U388">
            <v>2844429.971982236</v>
          </cell>
          <cell r="V388">
            <v>4816487.9486854738</v>
          </cell>
          <cell r="W388">
            <v>12971179.922213191</v>
          </cell>
          <cell r="X388">
            <v>30879482.498935129</v>
          </cell>
        </row>
        <row r="389">
          <cell r="T389">
            <v>1990475.2308847469</v>
          </cell>
          <cell r="U389">
            <v>2851098.2282376909</v>
          </cell>
          <cell r="V389">
            <v>4826659.0433312096</v>
          </cell>
          <cell r="W389">
            <v>12997597.686043845</v>
          </cell>
          <cell r="X389">
            <v>30949273.496122934</v>
          </cell>
        </row>
        <row r="390">
          <cell r="T390">
            <v>1995015.8269947344</v>
          </cell>
          <cell r="U390">
            <v>2857766.4844931457</v>
          </cell>
          <cell r="V390">
            <v>4836830.1379769454</v>
          </cell>
          <cell r="W390">
            <v>13024015.4498745</v>
          </cell>
          <cell r="X390">
            <v>31018565.326909039</v>
          </cell>
        </row>
        <row r="391">
          <cell r="T391">
            <v>1999259.4806828115</v>
          </cell>
          <cell r="U391">
            <v>2864434.7407486006</v>
          </cell>
          <cell r="V391">
            <v>4847001.2326226812</v>
          </cell>
          <cell r="W391">
            <v>13050433.213705156</v>
          </cell>
          <cell r="X391">
            <v>31087537.613646083</v>
          </cell>
        </row>
        <row r="392">
          <cell r="T392">
            <v>2003496.0066546735</v>
          </cell>
          <cell r="U392">
            <v>2871102.9970040554</v>
          </cell>
          <cell r="V392">
            <v>4857172.327268417</v>
          </cell>
          <cell r="W392">
            <v>13076850.97753581</v>
          </cell>
          <cell r="X392">
            <v>31156509.90038313</v>
          </cell>
        </row>
        <row r="393">
          <cell r="T393">
            <v>2007732.5326265355</v>
          </cell>
          <cell r="U393">
            <v>2877771.2532595103</v>
          </cell>
          <cell r="V393">
            <v>4867343.4219141519</v>
          </cell>
          <cell r="W393">
            <v>13103268.741366465</v>
          </cell>
          <cell r="X393">
            <v>31225482.187120173</v>
          </cell>
        </row>
        <row r="394">
          <cell r="T394">
            <v>2011969.0585983978</v>
          </cell>
          <cell r="U394">
            <v>2884439.5095149651</v>
          </cell>
          <cell r="V394">
            <v>4877514.5165598877</v>
          </cell>
          <cell r="W394">
            <v>13129686.505197121</v>
          </cell>
          <cell r="X394">
            <v>31294454.47385722</v>
          </cell>
        </row>
        <row r="395">
          <cell r="T395">
            <v>2016205.5845702598</v>
          </cell>
          <cell r="U395">
            <v>2891107.76577042</v>
          </cell>
          <cell r="V395">
            <v>4887685.6112056235</v>
          </cell>
          <cell r="W395">
            <v>13156104.269027775</v>
          </cell>
          <cell r="X395">
            <v>31363426.760594264</v>
          </cell>
        </row>
        <row r="396">
          <cell r="T396">
            <v>2020442.110542122</v>
          </cell>
          <cell r="U396">
            <v>2897776.0220258748</v>
          </cell>
          <cell r="V396">
            <v>4897856.7058513593</v>
          </cell>
          <cell r="W396">
            <v>13182522.032858429</v>
          </cell>
          <cell r="X396">
            <v>31432399.047331311</v>
          </cell>
        </row>
        <row r="397">
          <cell r="T397">
            <v>2024678.6365139841</v>
          </cell>
          <cell r="U397">
            <v>2904444.2782813297</v>
          </cell>
          <cell r="V397">
            <v>4908027.8004970951</v>
          </cell>
          <cell r="W397">
            <v>13208939.796689084</v>
          </cell>
          <cell r="X397">
            <v>31501371.334068354</v>
          </cell>
        </row>
        <row r="398">
          <cell r="T398">
            <v>2028915.1624858461</v>
          </cell>
          <cell r="U398">
            <v>2911112.5345367845</v>
          </cell>
          <cell r="V398">
            <v>4918198.8951428309</v>
          </cell>
          <cell r="W398">
            <v>13235357.56051974</v>
          </cell>
          <cell r="X398">
            <v>31570343.620805401</v>
          </cell>
        </row>
        <row r="399">
          <cell r="T399">
            <v>2033151.6884577083</v>
          </cell>
          <cell r="U399">
            <v>2917780.7907922394</v>
          </cell>
          <cell r="V399">
            <v>4928369.9897885658</v>
          </cell>
          <cell r="W399">
            <v>13261775.324350394</v>
          </cell>
          <cell r="X399">
            <v>31639315.907542445</v>
          </cell>
        </row>
        <row r="400">
          <cell r="T400">
            <v>2037388.2144295704</v>
          </cell>
          <cell r="U400">
            <v>2924449.0470476942</v>
          </cell>
          <cell r="V400">
            <v>4938541.0844343016</v>
          </cell>
          <cell r="W400">
            <v>13288193.088181049</v>
          </cell>
          <cell r="X400">
            <v>31708288.194279492</v>
          </cell>
        </row>
        <row r="401">
          <cell r="T401">
            <v>2041624.7404014326</v>
          </cell>
          <cell r="U401">
            <v>2931117.3033031491</v>
          </cell>
          <cell r="V401">
            <v>4948712.1790800374</v>
          </cell>
          <cell r="W401">
            <v>13314610.852011705</v>
          </cell>
          <cell r="X401">
            <v>31777260.481016535</v>
          </cell>
        </row>
        <row r="402">
          <cell r="T402">
            <v>2045861.2663732946</v>
          </cell>
          <cell r="U402">
            <v>2937785.5595586039</v>
          </cell>
          <cell r="V402">
            <v>4958883.2737257732</v>
          </cell>
          <cell r="W402">
            <v>13341028.615842359</v>
          </cell>
          <cell r="X402">
            <v>31846232.767753582</v>
          </cell>
        </row>
        <row r="403">
          <cell r="T403">
            <v>2050097.7923451567</v>
          </cell>
          <cell r="U403">
            <v>2944453.8158140583</v>
          </cell>
          <cell r="V403">
            <v>4969054.368371509</v>
          </cell>
          <cell r="W403">
            <v>13367446.379673013</v>
          </cell>
          <cell r="X403">
            <v>31915205.054490626</v>
          </cell>
        </row>
        <row r="404">
          <cell r="T404">
            <v>2054334.3183170189</v>
          </cell>
          <cell r="U404">
            <v>2951122.0720695131</v>
          </cell>
          <cell r="V404">
            <v>4979225.4630172439</v>
          </cell>
          <cell r="W404">
            <v>13393864.14350367</v>
          </cell>
          <cell r="X404">
            <v>31984177.341227669</v>
          </cell>
        </row>
        <row r="405">
          <cell r="T405">
            <v>2058570.8442888809</v>
          </cell>
          <cell r="U405">
            <v>2957790.328324968</v>
          </cell>
          <cell r="V405">
            <v>4989396.5576629797</v>
          </cell>
          <cell r="W405">
            <v>13420281.907334324</v>
          </cell>
          <cell r="X405">
            <v>32053149.627964716</v>
          </cell>
        </row>
        <row r="406">
          <cell r="T406">
            <v>2062807.370260743</v>
          </cell>
          <cell r="U406">
            <v>2964458.5845804228</v>
          </cell>
          <cell r="V406">
            <v>4999567.6523087155</v>
          </cell>
          <cell r="W406">
            <v>13446699.671164978</v>
          </cell>
          <cell r="X406">
            <v>32122121.91470176</v>
          </cell>
        </row>
        <row r="407">
          <cell r="T407">
            <v>2067043.8962326052</v>
          </cell>
          <cell r="U407">
            <v>2971126.8408358777</v>
          </cell>
          <cell r="V407">
            <v>5009738.7469544513</v>
          </cell>
          <cell r="W407">
            <v>13473117.434995633</v>
          </cell>
          <cell r="X407">
            <v>32191094.201438807</v>
          </cell>
        </row>
        <row r="408">
          <cell r="T408">
            <v>2071280.4222044672</v>
          </cell>
          <cell r="U408">
            <v>2977795.0970913325</v>
          </cell>
          <cell r="V408">
            <v>5019909.8416001871</v>
          </cell>
          <cell r="W408">
            <v>13499535.198826289</v>
          </cell>
          <cell r="X408">
            <v>32260066.48817585</v>
          </cell>
        </row>
        <row r="409">
          <cell r="T409">
            <v>2075516.9481763295</v>
          </cell>
          <cell r="U409">
            <v>2984463.3533467874</v>
          </cell>
          <cell r="V409">
            <v>5029494.1120295366</v>
          </cell>
          <cell r="W409">
            <v>13525952.962656943</v>
          </cell>
          <cell r="X409">
            <v>32329038.774912897</v>
          </cell>
        </row>
        <row r="410">
          <cell r="T410">
            <v>2079753.4741481915</v>
          </cell>
          <cell r="U410">
            <v>2991131.6096022422</v>
          </cell>
          <cell r="V410">
            <v>5038996.7240634738</v>
          </cell>
          <cell r="W410">
            <v>13552370.726487597</v>
          </cell>
          <cell r="X410">
            <v>32398011.061649941</v>
          </cell>
        </row>
        <row r="411">
          <cell r="T411">
            <v>2083990.0001200535</v>
          </cell>
          <cell r="U411">
            <v>2997799.8658576971</v>
          </cell>
          <cell r="V411">
            <v>5048499.3360974109</v>
          </cell>
          <cell r="W411">
            <v>13578788.490318254</v>
          </cell>
          <cell r="X411">
            <v>32466983.348386988</v>
          </cell>
        </row>
        <row r="412">
          <cell r="T412">
            <v>2088226.5260919158</v>
          </cell>
          <cell r="U412">
            <v>3004468.1221131519</v>
          </cell>
          <cell r="V412">
            <v>5058001.9481313471</v>
          </cell>
          <cell r="W412">
            <v>13605206.254148908</v>
          </cell>
          <cell r="X412">
            <v>32535955.635124031</v>
          </cell>
        </row>
        <row r="413">
          <cell r="T413">
            <v>2092463.0520637778</v>
          </cell>
          <cell r="U413">
            <v>3011136.3783686068</v>
          </cell>
          <cell r="V413">
            <v>5067504.5601652842</v>
          </cell>
          <cell r="W413">
            <v>13631145.855705317</v>
          </cell>
          <cell r="X413">
            <v>32604927.921861079</v>
          </cell>
        </row>
        <row r="414">
          <cell r="T414">
            <v>2096699.5780356401</v>
          </cell>
          <cell r="U414">
            <v>3017804.6346240616</v>
          </cell>
          <cell r="V414">
            <v>5077007.1721992213</v>
          </cell>
          <cell r="W414">
            <v>13655083.194198923</v>
          </cell>
          <cell r="X414">
            <v>32673900.208598122</v>
          </cell>
        </row>
        <row r="415">
          <cell r="T415">
            <v>2100936.1040075021</v>
          </cell>
          <cell r="U415">
            <v>3024509.1132693649</v>
          </cell>
          <cell r="V415">
            <v>5086509.7842331585</v>
          </cell>
          <cell r="W415">
            <v>13679020.532692531</v>
          </cell>
          <cell r="X415">
            <v>32742872.495335169</v>
          </cell>
        </row>
        <row r="416">
          <cell r="T416">
            <v>2105172.6299793641</v>
          </cell>
          <cell r="U416">
            <v>3031345.5296327369</v>
          </cell>
          <cell r="V416">
            <v>5096012.3962670956</v>
          </cell>
          <cell r="W416">
            <v>13702957.871186137</v>
          </cell>
          <cell r="X416">
            <v>32810378.273403153</v>
          </cell>
        </row>
        <row r="417">
          <cell r="T417">
            <v>2109409.1559512261</v>
          </cell>
          <cell r="U417">
            <v>3038181.9459961085</v>
          </cell>
          <cell r="V417">
            <v>5105515.0083010327</v>
          </cell>
          <cell r="W417">
            <v>13726895.209679743</v>
          </cell>
          <cell r="X417">
            <v>32875765.47932345</v>
          </cell>
        </row>
        <row r="418">
          <cell r="T418">
            <v>2113609.715457303</v>
          </cell>
          <cell r="U418">
            <v>3045018.3623594805</v>
          </cell>
          <cell r="V418">
            <v>5115017.6203349698</v>
          </cell>
          <cell r="W418">
            <v>13750832.548173351</v>
          </cell>
          <cell r="X418">
            <v>32941152.685243748</v>
          </cell>
        </row>
        <row r="419">
          <cell r="T419">
            <v>2117562.5339585529</v>
          </cell>
          <cell r="U419">
            <v>3051854.778722852</v>
          </cell>
          <cell r="V419">
            <v>5124520.232368906</v>
          </cell>
          <cell r="W419">
            <v>13774769.886666957</v>
          </cell>
          <cell r="X419">
            <v>33006539.891164046</v>
          </cell>
        </row>
        <row r="420">
          <cell r="T420">
            <v>2121515.3524598028</v>
          </cell>
          <cell r="U420">
            <v>3058691.195086224</v>
          </cell>
          <cell r="V420">
            <v>5134022.8444028432</v>
          </cell>
          <cell r="W420">
            <v>13798707.225160563</v>
          </cell>
          <cell r="X420">
            <v>33071927.097084343</v>
          </cell>
        </row>
        <row r="421">
          <cell r="T421">
            <v>2125468.1709610522</v>
          </cell>
          <cell r="U421">
            <v>3065527.611449596</v>
          </cell>
          <cell r="V421">
            <v>5143525.4564367803</v>
          </cell>
          <cell r="W421">
            <v>13822644.563654169</v>
          </cell>
          <cell r="X421">
            <v>33137314.303004641</v>
          </cell>
        </row>
        <row r="422">
          <cell r="T422">
            <v>2129420.9894623021</v>
          </cell>
          <cell r="U422">
            <v>3072364.0278129675</v>
          </cell>
          <cell r="V422">
            <v>5153028.0684707174</v>
          </cell>
          <cell r="W422">
            <v>13846581.902147777</v>
          </cell>
          <cell r="X422">
            <v>33202701.508924939</v>
          </cell>
        </row>
        <row r="423">
          <cell r="T423">
            <v>2133373.807963552</v>
          </cell>
          <cell r="U423">
            <v>3079200.4441763395</v>
          </cell>
          <cell r="V423">
            <v>5162530.6805046545</v>
          </cell>
          <cell r="W423">
            <v>13870519.240641383</v>
          </cell>
          <cell r="X423">
            <v>33268088.714845236</v>
          </cell>
        </row>
        <row r="424">
          <cell r="T424">
            <v>2137326.6264648018</v>
          </cell>
          <cell r="U424">
            <v>3086036.8605397115</v>
          </cell>
          <cell r="V424">
            <v>5172033.2925385917</v>
          </cell>
          <cell r="W424">
            <v>13894456.57913499</v>
          </cell>
          <cell r="X424">
            <v>33333475.920765534</v>
          </cell>
        </row>
        <row r="425">
          <cell r="T425">
            <v>2141279.4449660517</v>
          </cell>
          <cell r="U425">
            <v>3092873.2769030831</v>
          </cell>
          <cell r="V425">
            <v>5181535.9045725288</v>
          </cell>
          <cell r="W425">
            <v>13918393.917628597</v>
          </cell>
          <cell r="X425">
            <v>33398863.126685832</v>
          </cell>
        </row>
        <row r="426">
          <cell r="T426">
            <v>2145232.2634673011</v>
          </cell>
          <cell r="U426">
            <v>3099709.6932664551</v>
          </cell>
          <cell r="V426">
            <v>5191038.5166064659</v>
          </cell>
          <cell r="W426">
            <v>13942331.256122204</v>
          </cell>
          <cell r="X426">
            <v>33464250.332606129</v>
          </cell>
        </row>
        <row r="427">
          <cell r="T427">
            <v>2149185.081968551</v>
          </cell>
          <cell r="U427">
            <v>3106546.1096298271</v>
          </cell>
          <cell r="V427">
            <v>5200541.1286404021</v>
          </cell>
          <cell r="W427">
            <v>13966268.59461581</v>
          </cell>
          <cell r="X427">
            <v>33529637.538526427</v>
          </cell>
        </row>
        <row r="428">
          <cell r="T428">
            <v>2153137.9004698009</v>
          </cell>
          <cell r="U428">
            <v>3113382.5259931986</v>
          </cell>
          <cell r="V428">
            <v>5210043.7406743392</v>
          </cell>
          <cell r="W428">
            <v>13990205.933109418</v>
          </cell>
          <cell r="X428">
            <v>33595024.744446725</v>
          </cell>
        </row>
        <row r="429">
          <cell r="T429">
            <v>2157090.7189710508</v>
          </cell>
          <cell r="U429">
            <v>3120218.9423565706</v>
          </cell>
          <cell r="V429">
            <v>5219546.3527082764</v>
          </cell>
          <cell r="W429">
            <v>14014143.271603024</v>
          </cell>
          <cell r="X429">
            <v>33660411.950367026</v>
          </cell>
        </row>
        <row r="430">
          <cell r="T430">
            <v>2161043.5374723002</v>
          </cell>
          <cell r="U430">
            <v>3127055.3587199426</v>
          </cell>
          <cell r="V430">
            <v>5229048.9647422135</v>
          </cell>
          <cell r="W430">
            <v>14038080.61009663</v>
          </cell>
          <cell r="X430">
            <v>33725799.15628732</v>
          </cell>
        </row>
        <row r="431">
          <cell r="T431">
            <v>2164996.3559735501</v>
          </cell>
          <cell r="U431">
            <v>3133891.7750833142</v>
          </cell>
          <cell r="V431">
            <v>5238551.5767761506</v>
          </cell>
          <cell r="W431">
            <v>14062017.948590236</v>
          </cell>
          <cell r="X431">
            <v>33791186.362207621</v>
          </cell>
        </row>
        <row r="432">
          <cell r="T432">
            <v>2168949.1744748</v>
          </cell>
          <cell r="U432">
            <v>3140728.1914466862</v>
          </cell>
          <cell r="V432">
            <v>5248054.1888100877</v>
          </cell>
          <cell r="W432">
            <v>14085955.287083844</v>
          </cell>
          <cell r="X432">
            <v>33856573.568127915</v>
          </cell>
        </row>
        <row r="433">
          <cell r="T433">
            <v>2172901.9929760499</v>
          </cell>
          <cell r="U433">
            <v>3147564.6078100582</v>
          </cell>
          <cell r="V433">
            <v>5257556.8008440249</v>
          </cell>
          <cell r="W433">
            <v>14109892.62557745</v>
          </cell>
          <cell r="X433">
            <v>33921960.774048217</v>
          </cell>
        </row>
        <row r="434">
          <cell r="T434">
            <v>2176854.8114772993</v>
          </cell>
          <cell r="U434">
            <v>3154401.0241734297</v>
          </cell>
          <cell r="V434">
            <v>5267059.4128779611</v>
          </cell>
          <cell r="W434">
            <v>14133829.964071056</v>
          </cell>
          <cell r="X434">
            <v>33987347.979968511</v>
          </cell>
        </row>
        <row r="435">
          <cell r="T435">
            <v>2180807.6299785492</v>
          </cell>
          <cell r="U435">
            <v>3161237.4405368017</v>
          </cell>
          <cell r="V435">
            <v>5276562.0249118982</v>
          </cell>
          <cell r="W435">
            <v>14157767.302564664</v>
          </cell>
          <cell r="X435">
            <v>34052735.185888812</v>
          </cell>
        </row>
        <row r="436">
          <cell r="T436">
            <v>2184760.4484797991</v>
          </cell>
          <cell r="U436">
            <v>3168073.8569001732</v>
          </cell>
          <cell r="V436">
            <v>5286064.6369458353</v>
          </cell>
          <cell r="W436">
            <v>14181704.64105827</v>
          </cell>
          <cell r="X436">
            <v>34118122.391809106</v>
          </cell>
        </row>
        <row r="437">
          <cell r="T437">
            <v>2188713.266981049</v>
          </cell>
          <cell r="U437">
            <v>3174910.2732635452</v>
          </cell>
          <cell r="V437">
            <v>5295387.624845257</v>
          </cell>
          <cell r="W437">
            <v>14205641.979551876</v>
          </cell>
          <cell r="X437">
            <v>34183509.597729407</v>
          </cell>
        </row>
        <row r="438">
          <cell r="T438">
            <v>2192666.0854822989</v>
          </cell>
          <cell r="U438">
            <v>3181746.6896269172</v>
          </cell>
          <cell r="V438">
            <v>5304324.8708570916</v>
          </cell>
          <cell r="W438">
            <v>14229579.318045484</v>
          </cell>
          <cell r="X438">
            <v>34248896.803649701</v>
          </cell>
        </row>
        <row r="439">
          <cell r="T439">
            <v>2196618.9039835483</v>
          </cell>
          <cell r="U439">
            <v>3188583.1059902888</v>
          </cell>
          <cell r="V439">
            <v>5313262.1168689253</v>
          </cell>
          <cell r="W439">
            <v>14253516.65653909</v>
          </cell>
          <cell r="X439">
            <v>34314284.009570003</v>
          </cell>
        </row>
        <row r="440">
          <cell r="T440">
            <v>2200571.7224847982</v>
          </cell>
          <cell r="U440">
            <v>3195419.5223536608</v>
          </cell>
          <cell r="V440">
            <v>5322199.3628807599</v>
          </cell>
          <cell r="W440">
            <v>14277453.995032696</v>
          </cell>
          <cell r="X440">
            <v>34379671.215490296</v>
          </cell>
        </row>
        <row r="441">
          <cell r="T441">
            <v>2204524.5409860481</v>
          </cell>
          <cell r="U441">
            <v>3202255.9387170328</v>
          </cell>
          <cell r="V441">
            <v>5331136.6088925945</v>
          </cell>
          <cell r="W441">
            <v>14301391.333526302</v>
          </cell>
          <cell r="X441">
            <v>34445058.42141059</v>
          </cell>
        </row>
        <row r="442">
          <cell r="T442">
            <v>2208477.3594872979</v>
          </cell>
          <cell r="U442">
            <v>3208119.6975105465</v>
          </cell>
          <cell r="V442">
            <v>5340073.8549044281</v>
          </cell>
          <cell r="W442">
            <v>14325328.67201991</v>
          </cell>
          <cell r="X442">
            <v>34510445.627330892</v>
          </cell>
        </row>
        <row r="443">
          <cell r="T443">
            <v>2212430.1779885474</v>
          </cell>
          <cell r="U443">
            <v>3213836.3146914886</v>
          </cell>
          <cell r="V443">
            <v>5349011.1009162627</v>
          </cell>
          <cell r="W443">
            <v>14349266.010513516</v>
          </cell>
          <cell r="X443">
            <v>34575832.833251186</v>
          </cell>
        </row>
        <row r="444">
          <cell r="T444">
            <v>2216382.9964897973</v>
          </cell>
          <cell r="U444">
            <v>3219552.9318724312</v>
          </cell>
          <cell r="V444">
            <v>5357948.3469280964</v>
          </cell>
          <cell r="W444">
            <v>14373203.349007122</v>
          </cell>
          <cell r="X444">
            <v>34635886.362450413</v>
          </cell>
        </row>
        <row r="445">
          <cell r="T445">
            <v>2220335.8149910471</v>
          </cell>
          <cell r="U445">
            <v>3225269.5490533737</v>
          </cell>
          <cell r="V445">
            <v>5366885.592939931</v>
          </cell>
          <cell r="W445">
            <v>14397070.333089471</v>
          </cell>
          <cell r="X445">
            <v>34694363.568984501</v>
          </cell>
        </row>
        <row r="446">
          <cell r="T446">
            <v>2224288.633492297</v>
          </cell>
          <cell r="U446">
            <v>3230986.1662343163</v>
          </cell>
          <cell r="V446">
            <v>5375822.8389517646</v>
          </cell>
          <cell r="W446">
            <v>14420040.64804671</v>
          </cell>
          <cell r="X446">
            <v>34752840.775518596</v>
          </cell>
        </row>
        <row r="447">
          <cell r="T447">
            <v>2228241.4519935469</v>
          </cell>
          <cell r="U447">
            <v>3236702.7834152584</v>
          </cell>
          <cell r="V447">
            <v>5384760.0849635992</v>
          </cell>
          <cell r="W447">
            <v>14443010.963003948</v>
          </cell>
          <cell r="X447">
            <v>34811317.982052684</v>
          </cell>
        </row>
        <row r="448">
          <cell r="T448">
            <v>2232120.6520118043</v>
          </cell>
          <cell r="U448">
            <v>3242419.400596201</v>
          </cell>
          <cell r="V448">
            <v>5393697.3309754338</v>
          </cell>
          <cell r="W448">
            <v>14465981.277961187</v>
          </cell>
          <cell r="X448">
            <v>34869795.188586771</v>
          </cell>
        </row>
        <row r="449">
          <cell r="T449">
            <v>2235808.7620830275</v>
          </cell>
          <cell r="U449">
            <v>3248136.0177771435</v>
          </cell>
          <cell r="V449">
            <v>5402634.5769872675</v>
          </cell>
          <cell r="W449">
            <v>14488951.592918426</v>
          </cell>
          <cell r="X449">
            <v>34928272.395120859</v>
          </cell>
        </row>
        <row r="450">
          <cell r="T450">
            <v>2239496.8721542507</v>
          </cell>
          <cell r="U450">
            <v>3253852.6349580861</v>
          </cell>
          <cell r="V450">
            <v>5411571.8229991021</v>
          </cell>
          <cell r="W450">
            <v>14511921.907875665</v>
          </cell>
          <cell r="X450">
            <v>34986749.601654954</v>
          </cell>
        </row>
        <row r="451">
          <cell r="T451">
            <v>2243184.9822254735</v>
          </cell>
          <cell r="U451">
            <v>3259569.2521390282</v>
          </cell>
          <cell r="V451">
            <v>5420509.0690109357</v>
          </cell>
          <cell r="W451">
            <v>14534892.222832901</v>
          </cell>
          <cell r="X451">
            <v>35045226.808189042</v>
          </cell>
        </row>
        <row r="452">
          <cell r="T452">
            <v>2246873.0922966967</v>
          </cell>
          <cell r="U452">
            <v>3265285.8693199707</v>
          </cell>
          <cell r="V452">
            <v>5429446.3150227703</v>
          </cell>
          <cell r="W452">
            <v>14557862.53779014</v>
          </cell>
          <cell r="X452">
            <v>35103704.01472313</v>
          </cell>
        </row>
        <row r="453">
          <cell r="T453">
            <v>2250561.20236792</v>
          </cell>
          <cell r="U453">
            <v>3271002.4865009133</v>
          </cell>
          <cell r="V453">
            <v>5438383.5610346049</v>
          </cell>
          <cell r="W453">
            <v>14580832.852747379</v>
          </cell>
          <cell r="X453">
            <v>35162181.221257217</v>
          </cell>
        </row>
        <row r="454">
          <cell r="T454">
            <v>2254249.3124391432</v>
          </cell>
          <cell r="U454">
            <v>3276719.1036818558</v>
          </cell>
          <cell r="V454">
            <v>5447320.8070464386</v>
          </cell>
          <cell r="W454">
            <v>14603803.167704618</v>
          </cell>
          <cell r="X454">
            <v>35220658.427791312</v>
          </cell>
        </row>
        <row r="455">
          <cell r="T455">
            <v>2257937.4225103664</v>
          </cell>
          <cell r="U455">
            <v>3282435.7208627979</v>
          </cell>
          <cell r="V455">
            <v>5456258.0530582732</v>
          </cell>
          <cell r="W455">
            <v>14626773.482661856</v>
          </cell>
          <cell r="X455">
            <v>35279135.6343254</v>
          </cell>
        </row>
        <row r="456">
          <cell r="T456">
            <v>2261625.5325815897</v>
          </cell>
          <cell r="U456">
            <v>3288152.3380437405</v>
          </cell>
          <cell r="V456">
            <v>5465195.2990701068</v>
          </cell>
          <cell r="W456">
            <v>14649743.797619095</v>
          </cell>
          <cell r="X456">
            <v>35337612.840859488</v>
          </cell>
        </row>
        <row r="457">
          <cell r="T457">
            <v>2265313.6426528129</v>
          </cell>
          <cell r="U457">
            <v>3293868.955224683</v>
          </cell>
          <cell r="V457">
            <v>5474132.5450819414</v>
          </cell>
          <cell r="W457">
            <v>14672714.112576332</v>
          </cell>
          <cell r="X457">
            <v>35396090.047393575</v>
          </cell>
        </row>
        <row r="458">
          <cell r="T458">
            <v>2269001.7527240356</v>
          </cell>
          <cell r="U458">
            <v>3299585.5724056256</v>
          </cell>
          <cell r="V458">
            <v>5483069.7910937751</v>
          </cell>
          <cell r="W458">
            <v>14695684.427533571</v>
          </cell>
          <cell r="X458">
            <v>35454567.25392767</v>
          </cell>
        </row>
        <row r="459">
          <cell r="T459">
            <v>2272689.8627952589</v>
          </cell>
          <cell r="U459">
            <v>3305302.1895865677</v>
          </cell>
          <cell r="V459">
            <v>5492007.0371056097</v>
          </cell>
          <cell r="W459">
            <v>14718654.742490809</v>
          </cell>
          <cell r="X459">
            <v>35513044.460461758</v>
          </cell>
        </row>
        <row r="460">
          <cell r="T460">
            <v>2276377.9728664821</v>
          </cell>
          <cell r="U460">
            <v>3311018.8067675103</v>
          </cell>
          <cell r="V460">
            <v>5500944.2831174443</v>
          </cell>
          <cell r="W460">
            <v>14741625.057448048</v>
          </cell>
          <cell r="X460">
            <v>35571521.666995846</v>
          </cell>
        </row>
        <row r="461">
          <cell r="T461">
            <v>2280066.0829377053</v>
          </cell>
          <cell r="U461">
            <v>3316735.4239484528</v>
          </cell>
          <cell r="V461">
            <v>5509881.5291292779</v>
          </cell>
          <cell r="W461">
            <v>14764595.372405287</v>
          </cell>
          <cell r="X461">
            <v>35629998.873529933</v>
          </cell>
        </row>
        <row r="462">
          <cell r="T462">
            <v>2283754.1930089286</v>
          </cell>
          <cell r="U462">
            <v>3322452.0411293954</v>
          </cell>
          <cell r="V462">
            <v>5518818.7751411125</v>
          </cell>
          <cell r="W462">
            <v>14787565.687362526</v>
          </cell>
          <cell r="X462">
            <v>35688476.080064029</v>
          </cell>
        </row>
        <row r="463">
          <cell r="T463">
            <v>2287442.3030801518</v>
          </cell>
          <cell r="U463">
            <v>3328168.6583103379</v>
          </cell>
          <cell r="V463">
            <v>5527756.0211529462</v>
          </cell>
          <cell r="W463">
            <v>14810536.002319762</v>
          </cell>
          <cell r="X463">
            <v>35746953.286598116</v>
          </cell>
        </row>
        <row r="464">
          <cell r="T464">
            <v>2291130.413151375</v>
          </cell>
          <cell r="U464">
            <v>3333885.27549128</v>
          </cell>
          <cell r="V464">
            <v>5536693.2671647808</v>
          </cell>
          <cell r="W464">
            <v>14833506.317277001</v>
          </cell>
          <cell r="X464">
            <v>35805430.493132204</v>
          </cell>
        </row>
        <row r="465">
          <cell r="T465">
            <v>2294818.5232225982</v>
          </cell>
          <cell r="U465">
            <v>3339601.8926722226</v>
          </cell>
          <cell r="V465">
            <v>5545630.5131766153</v>
          </cell>
          <cell r="W465">
            <v>14856476.63223424</v>
          </cell>
          <cell r="X465">
            <v>35863907.699666291</v>
          </cell>
        </row>
        <row r="466">
          <cell r="T466">
            <v>2298506.633293821</v>
          </cell>
          <cell r="U466">
            <v>3345318.5098531651</v>
          </cell>
          <cell r="V466">
            <v>5554567.759188449</v>
          </cell>
          <cell r="W466">
            <v>14879446.947191479</v>
          </cell>
          <cell r="X466">
            <v>35922384.906200379</v>
          </cell>
        </row>
        <row r="467">
          <cell r="T467">
            <v>2302194.7433650442</v>
          </cell>
          <cell r="U467">
            <v>3351035.1270341077</v>
          </cell>
          <cell r="V467">
            <v>5563505.0052002836</v>
          </cell>
          <cell r="W467">
            <v>14902417.262148717</v>
          </cell>
          <cell r="X467">
            <v>35980862.112734474</v>
          </cell>
        </row>
        <row r="468">
          <cell r="T468">
            <v>2305882.8534362675</v>
          </cell>
          <cell r="U468">
            <v>3356751.7442150498</v>
          </cell>
          <cell r="V468">
            <v>5572031.3696180033</v>
          </cell>
          <cell r="W468">
            <v>14925387.577105956</v>
          </cell>
          <cell r="X468">
            <v>36039339.319268562</v>
          </cell>
        </row>
        <row r="469">
          <cell r="T469">
            <v>2309570.9635074907</v>
          </cell>
          <cell r="U469">
            <v>3362468.3613959923</v>
          </cell>
          <cell r="V469">
            <v>5580536.5090412479</v>
          </cell>
          <cell r="W469">
            <v>14948357.892063193</v>
          </cell>
          <cell r="X469">
            <v>36097816.52580265</v>
          </cell>
        </row>
        <row r="470">
          <cell r="T470">
            <v>2313259.0735787139</v>
          </cell>
          <cell r="U470">
            <v>3368184.9785769349</v>
          </cell>
          <cell r="V470">
            <v>5589041.6484644935</v>
          </cell>
          <cell r="W470">
            <v>14971328.207020432</v>
          </cell>
          <cell r="X470">
            <v>36156293.732336737</v>
          </cell>
        </row>
        <row r="471">
          <cell r="T471">
            <v>2316947.1836499372</v>
          </cell>
          <cell r="U471">
            <v>3373901.5957578775</v>
          </cell>
          <cell r="V471">
            <v>5597546.7878877381</v>
          </cell>
          <cell r="W471">
            <v>14994298.52197767</v>
          </cell>
          <cell r="X471">
            <v>36214770.938870832</v>
          </cell>
        </row>
        <row r="472">
          <cell r="T472">
            <v>2320635.2937211604</v>
          </cell>
          <cell r="U472">
            <v>3379618.2129388195</v>
          </cell>
          <cell r="V472">
            <v>5606051.9273109827</v>
          </cell>
          <cell r="W472">
            <v>15017268.836934909</v>
          </cell>
          <cell r="X472">
            <v>36273248.14540492</v>
          </cell>
        </row>
        <row r="473">
          <cell r="T473">
            <v>2324323.4037923831</v>
          </cell>
          <cell r="U473">
            <v>3385262.4410309549</v>
          </cell>
          <cell r="V473">
            <v>5614557.0667342274</v>
          </cell>
          <cell r="W473">
            <v>15040239.151892148</v>
          </cell>
          <cell r="X473">
            <v>36331725.351939008</v>
          </cell>
        </row>
        <row r="474">
          <cell r="T474">
            <v>2328011.5138636064</v>
          </cell>
          <cell r="U474">
            <v>3390778.4531831234</v>
          </cell>
          <cell r="V474">
            <v>5623062.206157472</v>
          </cell>
          <cell r="W474">
            <v>15063209.466849387</v>
          </cell>
          <cell r="X474">
            <v>36390202.558473095</v>
          </cell>
        </row>
        <row r="475">
          <cell r="T475">
            <v>2331699.6239348296</v>
          </cell>
          <cell r="U475">
            <v>3396294.4653352918</v>
          </cell>
          <cell r="V475">
            <v>5631567.3455807175</v>
          </cell>
          <cell r="W475">
            <v>15086179.781806624</v>
          </cell>
          <cell r="X475">
            <v>36444808.225819327</v>
          </cell>
        </row>
        <row r="476">
          <cell r="T476">
            <v>2335387.7340060528</v>
          </cell>
          <cell r="U476">
            <v>3401810.4774874602</v>
          </cell>
          <cell r="V476">
            <v>5640072.4850039622</v>
          </cell>
          <cell r="W476">
            <v>15109150.096763862</v>
          </cell>
          <cell r="X476">
            <v>36498829.911731653</v>
          </cell>
        </row>
        <row r="477">
          <cell r="T477">
            <v>2339075.8440772761</v>
          </cell>
          <cell r="U477">
            <v>3407326.4896396287</v>
          </cell>
          <cell r="V477">
            <v>5648577.6244272068</v>
          </cell>
          <cell r="W477">
            <v>15132120.411721101</v>
          </cell>
          <cell r="X477">
            <v>36552851.597643986</v>
          </cell>
        </row>
        <row r="478">
          <cell r="T478">
            <v>2342763.9541484993</v>
          </cell>
          <cell r="U478">
            <v>3412842.5017917976</v>
          </cell>
          <cell r="V478">
            <v>5657082.7638504514</v>
          </cell>
          <cell r="W478">
            <v>15155090.72667834</v>
          </cell>
          <cell r="X478">
            <v>36606873.283556312</v>
          </cell>
        </row>
        <row r="479">
          <cell r="T479">
            <v>2346452.0642197225</v>
          </cell>
          <cell r="U479">
            <v>3418358.513943966</v>
          </cell>
          <cell r="V479">
            <v>5665587.9032736961</v>
          </cell>
          <cell r="W479">
            <v>15178332.208605535</v>
          </cell>
          <cell r="X479">
            <v>36660894.969468646</v>
          </cell>
        </row>
        <row r="480">
          <cell r="T480">
            <v>2350069.2637872119</v>
          </cell>
          <cell r="U480">
            <v>3423874.5260961344</v>
          </cell>
          <cell r="V480">
            <v>5674093.0426969407</v>
          </cell>
          <cell r="W480">
            <v>15201754.079180326</v>
          </cell>
          <cell r="X480">
            <v>36714916.655380972</v>
          </cell>
        </row>
        <row r="481">
          <cell r="T481">
            <v>2353510.3921600822</v>
          </cell>
          <cell r="U481">
            <v>3429390.5382483029</v>
          </cell>
          <cell r="V481">
            <v>5682598.1821201863</v>
          </cell>
          <cell r="W481">
            <v>15225175.949755119</v>
          </cell>
          <cell r="X481">
            <v>36768938.341293305</v>
          </cell>
        </row>
        <row r="482">
          <cell r="T482">
            <v>2356951.5205329526</v>
          </cell>
          <cell r="U482">
            <v>3434906.5504004713</v>
          </cell>
          <cell r="V482">
            <v>5691103.3215434309</v>
          </cell>
          <cell r="W482">
            <v>15248597.820329912</v>
          </cell>
          <cell r="X482">
            <v>36822960.027205631</v>
          </cell>
        </row>
        <row r="483">
          <cell r="T483">
            <v>2360392.648905823</v>
          </cell>
          <cell r="U483">
            <v>3440422.5625526402</v>
          </cell>
          <cell r="V483">
            <v>5699608.4609666755</v>
          </cell>
          <cell r="W483">
            <v>15272019.690904705</v>
          </cell>
          <cell r="X483">
            <v>36876981.713117965</v>
          </cell>
        </row>
        <row r="484">
          <cell r="T484">
            <v>2363833.7772786934</v>
          </cell>
          <cell r="U484">
            <v>3445938.5747048086</v>
          </cell>
          <cell r="V484">
            <v>5708113.6003899202</v>
          </cell>
          <cell r="W484">
            <v>15295441.561479496</v>
          </cell>
          <cell r="X484">
            <v>36931003.399030291</v>
          </cell>
        </row>
        <row r="485">
          <cell r="T485">
            <v>2367274.9056515638</v>
          </cell>
          <cell r="U485">
            <v>3451454.5868569771</v>
          </cell>
          <cell r="V485">
            <v>5716618.7398131648</v>
          </cell>
          <cell r="W485">
            <v>15318863.432054289</v>
          </cell>
          <cell r="X485">
            <v>36985025.084942624</v>
          </cell>
        </row>
        <row r="486">
          <cell r="T486">
            <v>2370716.0340244342</v>
          </cell>
          <cell r="U486">
            <v>3456970.5990091455</v>
          </cell>
          <cell r="V486">
            <v>5725123.8792364094</v>
          </cell>
          <cell r="W486">
            <v>15342285.302629082</v>
          </cell>
          <cell r="X486">
            <v>37039046.77085495</v>
          </cell>
        </row>
        <row r="487">
          <cell r="T487">
            <v>2374157.1623973045</v>
          </cell>
          <cell r="U487">
            <v>3462486.6111613144</v>
          </cell>
          <cell r="V487">
            <v>5733629.018659655</v>
          </cell>
          <cell r="W487">
            <v>15365707.173203874</v>
          </cell>
          <cell r="X487">
            <v>37093068.456767283</v>
          </cell>
        </row>
        <row r="488">
          <cell r="T488">
            <v>2377598.2907701749</v>
          </cell>
          <cell r="U488">
            <v>3468002.6233134829</v>
          </cell>
          <cell r="V488">
            <v>5742134.1580828996</v>
          </cell>
          <cell r="W488">
            <v>15389129.043778665</v>
          </cell>
          <cell r="X488">
            <v>37147090.142679609</v>
          </cell>
        </row>
        <row r="489">
          <cell r="T489">
            <v>2381039.4191430453</v>
          </cell>
          <cell r="U489">
            <v>3473518.6354656513</v>
          </cell>
          <cell r="V489">
            <v>5750639.2975061443</v>
          </cell>
          <cell r="W489">
            <v>15412550.914353458</v>
          </cell>
          <cell r="X489">
            <v>37201111.828591943</v>
          </cell>
        </row>
        <row r="490">
          <cell r="T490">
            <v>2384480.5475159157</v>
          </cell>
          <cell r="U490">
            <v>3479034.6476178197</v>
          </cell>
          <cell r="V490">
            <v>5759144.4369293889</v>
          </cell>
          <cell r="W490">
            <v>15435972.784928251</v>
          </cell>
          <cell r="X490">
            <v>37255133.514504269</v>
          </cell>
        </row>
        <row r="491">
          <cell r="T491">
            <v>2387921.6758887861</v>
          </cell>
          <cell r="U491">
            <v>3484550.6597699882</v>
          </cell>
          <cell r="V491">
            <v>5767649.5763526335</v>
          </cell>
          <cell r="W491">
            <v>15459394.655503044</v>
          </cell>
          <cell r="X491">
            <v>37309155.200416595</v>
          </cell>
        </row>
        <row r="492">
          <cell r="T492">
            <v>2391362.8042616565</v>
          </cell>
          <cell r="U492">
            <v>3490066.6719221571</v>
          </cell>
          <cell r="V492">
            <v>5776154.7157758782</v>
          </cell>
          <cell r="W492">
            <v>15482816.526077837</v>
          </cell>
          <cell r="X492">
            <v>37363176.886328928</v>
          </cell>
        </row>
        <row r="493">
          <cell r="T493">
            <v>2394803.9326345269</v>
          </cell>
          <cell r="U493">
            <v>3495582.6840743255</v>
          </cell>
          <cell r="V493">
            <v>5784659.8551991237</v>
          </cell>
          <cell r="W493">
            <v>15506238.396652628</v>
          </cell>
          <cell r="X493">
            <v>37417198.572241254</v>
          </cell>
        </row>
        <row r="494">
          <cell r="T494">
            <v>2398245.0610073968</v>
          </cell>
          <cell r="U494">
            <v>3501098.6962264939</v>
          </cell>
          <cell r="V494">
            <v>5793164.9946223684</v>
          </cell>
          <cell r="W494">
            <v>15529660.267227421</v>
          </cell>
          <cell r="X494">
            <v>37471220.258153588</v>
          </cell>
        </row>
        <row r="495">
          <cell r="T495">
            <v>2401686.1893802672</v>
          </cell>
          <cell r="U495">
            <v>3506614.7083786624</v>
          </cell>
          <cell r="V495">
            <v>5801670.134045613</v>
          </cell>
          <cell r="W495">
            <v>15553082.137802213</v>
          </cell>
          <cell r="X495">
            <v>37525241.944065914</v>
          </cell>
        </row>
        <row r="496">
          <cell r="T496">
            <v>2405127.3177531376</v>
          </cell>
          <cell r="U496">
            <v>3512130.7205308308</v>
          </cell>
          <cell r="V496">
            <v>5810175.2734688576</v>
          </cell>
          <cell r="W496">
            <v>15576504.008377006</v>
          </cell>
          <cell r="X496">
            <v>37579263.629978247</v>
          </cell>
        </row>
        <row r="497">
          <cell r="T497">
            <v>2408568.4461260079</v>
          </cell>
          <cell r="U497">
            <v>3517646.7326829997</v>
          </cell>
          <cell r="V497">
            <v>5818680.4128921023</v>
          </cell>
          <cell r="W497">
            <v>15599925.878951797</v>
          </cell>
          <cell r="X497">
            <v>37633285.315890573</v>
          </cell>
        </row>
        <row r="498">
          <cell r="T498">
            <v>2412009.5744988783</v>
          </cell>
          <cell r="U498">
            <v>3523162.7448351681</v>
          </cell>
          <cell r="V498">
            <v>5827185.5523153469</v>
          </cell>
          <cell r="W498">
            <v>15623347.74952659</v>
          </cell>
          <cell r="X498">
            <v>37687307.001802906</v>
          </cell>
        </row>
        <row r="499">
          <cell r="T499">
            <v>2415450.7028717487</v>
          </cell>
          <cell r="U499">
            <v>3528678.7569873366</v>
          </cell>
          <cell r="V499">
            <v>5835668.9446732635</v>
          </cell>
          <cell r="W499">
            <v>15646769.620101383</v>
          </cell>
          <cell r="X499">
            <v>37741328.687715232</v>
          </cell>
        </row>
        <row r="500">
          <cell r="T500">
            <v>2418891.8312446191</v>
          </cell>
          <cell r="U500">
            <v>3534194.769139505</v>
          </cell>
          <cell r="V500">
            <v>5843646.8798923073</v>
          </cell>
          <cell r="W500">
            <v>15670191.490676176</v>
          </cell>
          <cell r="X500">
            <v>37795350.373627566</v>
          </cell>
        </row>
        <row r="501">
          <cell r="T501">
            <v>2422332.9596174895</v>
          </cell>
          <cell r="U501">
            <v>3539710.7812916734</v>
          </cell>
          <cell r="V501">
            <v>5851624.8151113512</v>
          </cell>
          <cell r="W501">
            <v>15693613.361250969</v>
          </cell>
          <cell r="X501">
            <v>37849372.059539892</v>
          </cell>
        </row>
        <row r="502">
          <cell r="T502">
            <v>2425774.0879903599</v>
          </cell>
          <cell r="U502">
            <v>3545226.7934438423</v>
          </cell>
          <cell r="V502">
            <v>5859602.7503303941</v>
          </cell>
          <cell r="W502">
            <v>15717035.23182576</v>
          </cell>
          <cell r="X502">
            <v>37903393.745452225</v>
          </cell>
        </row>
        <row r="503">
          <cell r="T503">
            <v>2429215.2163632303</v>
          </cell>
          <cell r="U503">
            <v>3550742.8055960108</v>
          </cell>
          <cell r="V503">
            <v>5867580.685549438</v>
          </cell>
          <cell r="W503">
            <v>15740457.102400552</v>
          </cell>
          <cell r="X503">
            <v>37957415.431364551</v>
          </cell>
        </row>
      </sheetData>
      <sheetData sheetId="25">
        <row r="5">
          <cell r="AK5">
            <v>50</v>
          </cell>
        </row>
      </sheetData>
      <sheetData sheetId="26">
        <row r="2">
          <cell r="D2">
            <v>0.5</v>
          </cell>
        </row>
      </sheetData>
      <sheetData sheetId="27">
        <row r="3">
          <cell r="J3">
            <v>10000</v>
          </cell>
        </row>
      </sheetData>
      <sheetData sheetId="28">
        <row r="5">
          <cell r="BC5">
            <v>200000</v>
          </cell>
        </row>
      </sheetData>
      <sheetData sheetId="29">
        <row r="5">
          <cell r="K5">
            <v>12491.935266914652</v>
          </cell>
        </row>
      </sheetData>
      <sheetData sheetId="30">
        <row r="4">
          <cell r="P4">
            <v>2</v>
          </cell>
        </row>
      </sheetData>
      <sheetData sheetId="31">
        <row r="59">
          <cell r="D59">
            <v>300</v>
          </cell>
        </row>
      </sheetData>
      <sheetData sheetId="32">
        <row r="5">
          <cell r="J5" t="str">
            <v>黄金</v>
          </cell>
        </row>
      </sheetData>
      <sheetData sheetId="33">
        <row r="5">
          <cell r="BJ5">
            <v>3000</v>
          </cell>
        </row>
      </sheetData>
      <sheetData sheetId="34">
        <row r="3">
          <cell r="B3">
            <v>1</v>
          </cell>
        </row>
      </sheetData>
      <sheetData sheetId="35">
        <row r="5">
          <cell r="R5">
            <v>100</v>
          </cell>
        </row>
      </sheetData>
      <sheetData sheetId="36"/>
      <sheetData sheetId="37">
        <row r="3">
          <cell r="D3">
            <v>2</v>
          </cell>
        </row>
      </sheetData>
      <sheetData sheetId="38"/>
      <sheetData sheetId="39">
        <row r="12">
          <cell r="H12">
            <v>12</v>
          </cell>
        </row>
      </sheetData>
      <sheetData sheetId="40">
        <row r="4">
          <cell r="V4">
            <v>48</v>
          </cell>
        </row>
      </sheetData>
      <sheetData sheetId="41"/>
      <sheetData sheetId="42">
        <row r="4">
          <cell r="C4">
            <v>0</v>
          </cell>
        </row>
      </sheetData>
      <sheetData sheetId="43"/>
      <sheetData sheetId="44"/>
      <sheetData sheetId="45"/>
      <sheetData sheetId="46"/>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资源-材料1"/>
      <sheetName val="节奏总纲"/>
      <sheetName val="信息索引"/>
      <sheetName val="基础状态预期"/>
      <sheetName val="爵位属性"/>
      <sheetName val="爵位俸禄"/>
      <sheetName val="爵位声望"/>
      <sheetName val="村县营基础信息"/>
      <sheetName val="战损信息"/>
      <sheetName val="村县营线路设计"/>
      <sheetName val="繁荣度奖励"/>
      <sheetName val="村镇首通奖励"/>
      <sheetName val="爵位实力"/>
      <sheetName val="繁荣度需求"/>
      <sheetName val="产出汇总"/>
      <sheetName val="爵位解锁村镇信息"/>
      <sheetName val="村镇繁荣度"/>
      <sheetName val="爵位升级备份"/>
      <sheetName val="其他调用"/>
    </sheetNames>
    <sheetDataSet>
      <sheetData sheetId="0"/>
      <sheetData sheetId="1"/>
      <sheetData sheetId="2"/>
      <sheetData sheetId="3">
        <row r="7">
          <cell r="D7">
            <v>0</v>
          </cell>
        </row>
      </sheetData>
      <sheetData sheetId="4">
        <row r="4">
          <cell r="U4">
            <v>1134673.6380199459</v>
          </cell>
        </row>
      </sheetData>
      <sheetData sheetId="5">
        <row r="5">
          <cell r="AE5">
            <v>0</v>
          </cell>
        </row>
      </sheetData>
      <sheetData sheetId="6">
        <row r="7">
          <cell r="E7">
            <v>1</v>
          </cell>
        </row>
      </sheetData>
      <sheetData sheetId="7">
        <row r="8">
          <cell r="B8">
            <v>0</v>
          </cell>
        </row>
      </sheetData>
      <sheetData sheetId="8">
        <row r="4">
          <cell r="K4">
            <v>0.40000000000000013</v>
          </cell>
        </row>
      </sheetData>
      <sheetData sheetId="9"/>
      <sheetData sheetId="10">
        <row r="7">
          <cell r="N7">
            <v>1446.9530047316696</v>
          </cell>
        </row>
      </sheetData>
      <sheetData sheetId="11">
        <row r="6">
          <cell r="AD6">
            <v>40</v>
          </cell>
        </row>
      </sheetData>
      <sheetData sheetId="12">
        <row r="5">
          <cell r="H5">
            <v>0</v>
          </cell>
        </row>
      </sheetData>
      <sheetData sheetId="13"/>
      <sheetData sheetId="14">
        <row r="6">
          <cell r="D6">
            <v>0</v>
          </cell>
          <cell r="AY6">
            <v>11446.953004731669</v>
          </cell>
          <cell r="AZ6">
            <v>11205.311852941481</v>
          </cell>
          <cell r="BA6">
            <v>10942.97927318363</v>
          </cell>
          <cell r="BB6">
            <v>10656.916664148179</v>
          </cell>
          <cell r="BC6">
            <v>10343.506643323299</v>
          </cell>
        </row>
        <row r="7">
          <cell r="AY7">
            <v>19994.705443031446</v>
          </cell>
          <cell r="AZ7">
            <v>19471.24063193881</v>
          </cell>
          <cell r="BA7">
            <v>18873.809063904824</v>
          </cell>
          <cell r="BB7">
            <v>18195.891003006604</v>
          </cell>
          <cell r="BC7">
            <v>17514.993153885902</v>
          </cell>
        </row>
        <row r="8">
          <cell r="AY8">
            <v>29793.819811701811</v>
          </cell>
          <cell r="AZ8">
            <v>28917.356244962175</v>
          </cell>
          <cell r="BA8">
            <v>27874.996689375694</v>
          </cell>
          <cell r="BB8">
            <v>26622.796889600795</v>
          </cell>
          <cell r="BC8">
            <v>25374.809739149037</v>
          </cell>
        </row>
        <row r="9">
          <cell r="AY9">
            <v>43265.287572442205</v>
          </cell>
          <cell r="AZ9">
            <v>41761.45686747475</v>
          </cell>
          <cell r="BA9">
            <v>39957.398200028983</v>
          </cell>
          <cell r="BB9">
            <v>37736.882317721014</v>
          </cell>
          <cell r="BC9">
            <v>35406.449215972367</v>
          </cell>
        </row>
        <row r="10">
          <cell r="AY10">
            <v>58629.599040873829</v>
          </cell>
          <cell r="AZ10">
            <v>56280.803724435333</v>
          </cell>
          <cell r="BA10">
            <v>53512.571265677747</v>
          </cell>
          <cell r="BB10">
            <v>50085.528663880919</v>
          </cell>
          <cell r="BC10">
            <v>46468.288314665864</v>
          </cell>
        </row>
        <row r="11">
          <cell r="AY11">
            <v>78568.773205998528</v>
          </cell>
          <cell r="AZ11">
            <v>75004.932796960202</v>
          </cell>
          <cell r="BA11">
            <v>70765.19552213655</v>
          </cell>
          <cell r="BB11">
            <v>65624.081352202367</v>
          </cell>
          <cell r="BC11">
            <v>60003.127585220696</v>
          </cell>
        </row>
        <row r="12">
          <cell r="AY12">
            <v>101414.4869559393</v>
          </cell>
          <cell r="AZ12">
            <v>96428.897635157249</v>
          </cell>
          <cell r="BA12">
            <v>90325.770739688014</v>
          </cell>
          <cell r="BB12">
            <v>82680.248696076014</v>
          </cell>
          <cell r="BC12">
            <v>74122.195562299195</v>
          </cell>
        </row>
        <row r="13">
          <cell r="AY13">
            <v>127532.76415147971</v>
          </cell>
          <cell r="AZ13">
            <v>120247.83745038274</v>
          </cell>
          <cell r="BA13">
            <v>111475.85053501214</v>
          </cell>
          <cell r="BB13">
            <v>101033.94485147894</v>
          </cell>
          <cell r="BC13">
            <v>89752.256296230218</v>
          </cell>
        </row>
        <row r="14">
          <cell r="AY14">
            <v>159687.09620479451</v>
          </cell>
          <cell r="AZ14">
            <v>149706.80766193283</v>
          </cell>
          <cell r="BA14">
            <v>138172.75993614839</v>
          </cell>
          <cell r="BB14">
            <v>124424.13039020711</v>
          </cell>
          <cell r="BC14">
            <v>108605.80479309967</v>
          </cell>
        </row>
        <row r="15">
          <cell r="AY15">
            <v>196373.81420466583</v>
          </cell>
          <cell r="AZ15">
            <v>183810.93397550378</v>
          </cell>
          <cell r="BA15">
            <v>168691.89949050196</v>
          </cell>
          <cell r="BB15">
            <v>150605.51493499987</v>
          </cell>
          <cell r="BC15">
            <v>129344.23791822611</v>
          </cell>
        </row>
        <row r="16">
          <cell r="AY16">
            <v>238139.70458771731</v>
          </cell>
          <cell r="AZ16">
            <v>223006.56054850199</v>
          </cell>
          <cell r="BA16">
            <v>204654.50607088962</v>
          </cell>
          <cell r="BB16">
            <v>181325.32602063188</v>
          </cell>
          <cell r="BC16">
            <v>154983.29531780037</v>
          </cell>
        </row>
        <row r="17">
          <cell r="AY17">
            <v>292359.04455592274</v>
          </cell>
          <cell r="AZ17">
            <v>272734.7301198566</v>
          </cell>
          <cell r="BA17">
            <v>249870.64484202792</v>
          </cell>
          <cell r="BB17">
            <v>220865.11157911384</v>
          </cell>
          <cell r="BC17">
            <v>185519.19483860265</v>
          </cell>
        </row>
        <row r="18">
          <cell r="AY18">
            <v>354948.41697996709</v>
          </cell>
          <cell r="AZ18">
            <v>332111.2225707937</v>
          </cell>
          <cell r="BA18">
            <v>302526.35435961001</v>
          </cell>
          <cell r="BB18">
            <v>265504.197079979</v>
          </cell>
          <cell r="BC18">
            <v>219334.70180302483</v>
          </cell>
        </row>
        <row r="19">
          <cell r="AY19">
            <v>426917.58145996358</v>
          </cell>
          <cell r="AZ19">
            <v>399207.07337577245</v>
          </cell>
          <cell r="BA19">
            <v>364426.24292109883</v>
          </cell>
          <cell r="BB19">
            <v>318850.04861153977</v>
          </cell>
          <cell r="BC19">
            <v>263866.67460492515</v>
          </cell>
        </row>
        <row r="20">
          <cell r="AY20">
            <v>526439.16730723775</v>
          </cell>
          <cell r="AZ20">
            <v>491749.58671006508</v>
          </cell>
          <cell r="BA20">
            <v>448149.12466349977</v>
          </cell>
          <cell r="BB20">
            <v>390060.03118852072</v>
          </cell>
          <cell r="BC20">
            <v>319392.90759603167</v>
          </cell>
        </row>
        <row r="21">
          <cell r="AY21">
            <v>643081.32467931358</v>
          </cell>
          <cell r="AZ21">
            <v>600180.5205060289</v>
          </cell>
          <cell r="BA21">
            <v>544159.36109459412</v>
          </cell>
          <cell r="BB21">
            <v>472171.04344584059</v>
          </cell>
          <cell r="BC21">
            <v>382666.90582354343</v>
          </cell>
        </row>
        <row r="22">
          <cell r="AY22">
            <v>778940.08910971682</v>
          </cell>
          <cell r="AZ22">
            <v>723666.03062184318</v>
          </cell>
          <cell r="BA22">
            <v>653859.95534038218</v>
          </cell>
          <cell r="BB22">
            <v>565134.33701101248</v>
          </cell>
          <cell r="BC22">
            <v>451875.57995598746</v>
          </cell>
        </row>
        <row r="23">
          <cell r="AY23">
            <v>945677.22636243352</v>
          </cell>
          <cell r="AZ23">
            <v>879446.24142879318</v>
          </cell>
          <cell r="BA23">
            <v>795365.78875771747</v>
          </cell>
          <cell r="BB23">
            <v>681726.65704116621</v>
          </cell>
          <cell r="BC23">
            <v>535255.43730472494</v>
          </cell>
        </row>
        <row r="24">
          <cell r="AY24">
            <v>1139552.8274467327</v>
          </cell>
          <cell r="AZ24">
            <v>1058959.9502337184</v>
          </cell>
          <cell r="BA24">
            <v>952046.60387862904</v>
          </cell>
          <cell r="BB24">
            <v>808357.83652720985</v>
          </cell>
          <cell r="BC24">
            <v>627366.88649688079</v>
          </cell>
        </row>
        <row r="25">
          <cell r="AY25">
            <v>1363789.0521957516</v>
          </cell>
          <cell r="AZ25">
            <v>1261628.3673945123</v>
          </cell>
          <cell r="BA25">
            <v>1127231.7909095907</v>
          </cell>
          <cell r="BB25">
            <v>953548.76779436739</v>
          </cell>
          <cell r="BC25">
            <v>730118.87747908221</v>
          </cell>
        </row>
        <row r="26">
          <cell r="AY26">
            <v>1628135.6704531952</v>
          </cell>
          <cell r="AZ26">
            <v>1500116.4363848208</v>
          </cell>
          <cell r="BA26">
            <v>1338792.1053167544</v>
          </cell>
          <cell r="BB26">
            <v>1125059.1053954591</v>
          </cell>
          <cell r="BC26">
            <v>851917.06652488606</v>
          </cell>
        </row>
        <row r="27">
          <cell r="AY27">
            <v>1932806.5324493218</v>
          </cell>
          <cell r="AZ27">
            <v>1779551.4131328603</v>
          </cell>
          <cell r="BA27">
            <v>1584046.7508641658</v>
          </cell>
          <cell r="BB27">
            <v>1322711.9007821153</v>
          </cell>
          <cell r="BC27">
            <v>988917.24100714619</v>
          </cell>
        </row>
        <row r="28">
          <cell r="AY28">
            <v>2282434.3534959564</v>
          </cell>
          <cell r="AZ28">
            <v>2096693.8537078367</v>
          </cell>
          <cell r="BA28">
            <v>1860222.7307396582</v>
          </cell>
          <cell r="BB28">
            <v>1548009.6621302799</v>
          </cell>
          <cell r="BC28">
            <v>1143631.3259591362</v>
          </cell>
        </row>
        <row r="29">
          <cell r="AY29">
            <v>2705791.599578897</v>
          </cell>
          <cell r="AZ29">
            <v>2486816.794764481</v>
          </cell>
          <cell r="BA29">
            <v>2204381.0326538412</v>
          </cell>
          <cell r="BB29">
            <v>1822279.2746821349</v>
          </cell>
          <cell r="BC29">
            <v>1328043.7812650774</v>
          </cell>
        </row>
        <row r="30">
          <cell r="AY30">
            <v>3196619.5845923903</v>
          </cell>
          <cell r="AZ30">
            <v>2934106.4193439563</v>
          </cell>
          <cell r="BA30">
            <v>2591108.8991336618</v>
          </cell>
          <cell r="BB30">
            <v>2130110.8800851898</v>
          </cell>
          <cell r="BC30">
            <v>1530674.8851458523</v>
          </cell>
        </row>
        <row r="31">
          <cell r="AY31">
            <v>3762697.3733853921</v>
          </cell>
          <cell r="AZ31">
            <v>3448575.0964077888</v>
          </cell>
          <cell r="BA31">
            <v>3037231.4288005466</v>
          </cell>
          <cell r="BB31">
            <v>2480058.2891891953</v>
          </cell>
          <cell r="BC31">
            <v>1764126.6196535691</v>
          </cell>
        </row>
        <row r="32">
          <cell r="AY32">
            <v>4424461.6223866837</v>
          </cell>
          <cell r="AZ32">
            <v>4046377.1517113363</v>
          </cell>
          <cell r="BA32">
            <v>3550637.4838909744</v>
          </cell>
          <cell r="BB32">
            <v>2881730.6443161331</v>
          </cell>
          <cell r="BC32">
            <v>2028360.6781313247</v>
          </cell>
        </row>
        <row r="33">
          <cell r="AY33">
            <v>5185382.8154316396</v>
          </cell>
          <cell r="AZ33">
            <v>4726617.7060308456</v>
          </cell>
          <cell r="BA33">
            <v>4124246.2517524343</v>
          </cell>
          <cell r="BB33">
            <v>3336868.7890608283</v>
          </cell>
          <cell r="BC33">
            <v>2327767.4685379528</v>
          </cell>
        </row>
        <row r="34">
          <cell r="AY34">
            <v>6056594.6805775585</v>
          </cell>
          <cell r="AZ34">
            <v>5512002.2685107654</v>
          </cell>
          <cell r="BA34">
            <v>4810229.9518007543</v>
          </cell>
          <cell r="BB34">
            <v>3880960.8979988121</v>
          </cell>
          <cell r="BC34">
            <v>2667581.7316196011</v>
          </cell>
        </row>
        <row r="35">
          <cell r="AY35">
            <v>7026853.5759165082</v>
          </cell>
          <cell r="AZ35">
            <v>6384027.7582435217</v>
          </cell>
          <cell r="BA35">
            <v>5555905.1333784042</v>
          </cell>
          <cell r="BB35">
            <v>4455634.8374564862</v>
          </cell>
          <cell r="BC35">
            <v>3026172.5518989102</v>
          </cell>
        </row>
        <row r="36">
          <cell r="AY36">
            <v>8119063.399900143</v>
          </cell>
          <cell r="AZ36">
            <v>7373588.6412877822</v>
          </cell>
          <cell r="BA36">
            <v>6396917.4215121428</v>
          </cell>
          <cell r="BB36">
            <v>5096783.1795095503</v>
          </cell>
          <cell r="BC36">
            <v>3428433.7025035713</v>
          </cell>
        </row>
        <row r="37">
          <cell r="AY37">
            <v>9345982.7448460739</v>
          </cell>
          <cell r="AZ37">
            <v>8474506.80647761</v>
          </cell>
          <cell r="BA37">
            <v>7323032.8875140864</v>
          </cell>
          <cell r="BB37">
            <v>5817266.89048508</v>
          </cell>
          <cell r="BC37">
            <v>3882766.8133150721</v>
          </cell>
        </row>
        <row r="38">
          <cell r="AY38">
            <v>10721573.438104199</v>
          </cell>
          <cell r="AZ38">
            <v>9679881.3434164003</v>
          </cell>
          <cell r="BA38">
            <v>8355816.9787965985</v>
          </cell>
          <cell r="BB38">
            <v>6635149.2912554825</v>
          </cell>
          <cell r="BC38">
            <v>4392749.3246530425</v>
          </cell>
        </row>
        <row r="39">
          <cell r="AY39">
            <v>12299761.356284844</v>
          </cell>
          <cell r="AZ39">
            <v>11097898.870097384</v>
          </cell>
          <cell r="BA39">
            <v>9586793.5690899529</v>
          </cell>
          <cell r="BB39">
            <v>7595976.6204820722</v>
          </cell>
          <cell r="BC39">
            <v>4979050.2870184481</v>
          </cell>
        </row>
        <row r="40">
          <cell r="AY40">
            <v>14084782.717131758</v>
          </cell>
          <cell r="AZ40">
            <v>12724326.383066889</v>
          </cell>
          <cell r="BA40">
            <v>10983033.718943805</v>
          </cell>
          <cell r="BB40">
            <v>8655354.6487666741</v>
          </cell>
          <cell r="BC40">
            <v>5622805.2242116984</v>
          </cell>
        </row>
        <row r="41">
          <cell r="AY41">
            <v>16098530.168103864</v>
          </cell>
          <cell r="AZ41">
            <v>14554732.622110071</v>
          </cell>
          <cell r="BA41">
            <v>12510874.869053455</v>
          </cell>
          <cell r="BB41">
            <v>9813402.7876434643</v>
          </cell>
          <cell r="BC41">
            <v>6285223.7157333456</v>
          </cell>
        </row>
        <row r="42">
          <cell r="AY42">
            <v>18364973.490898591</v>
          </cell>
          <cell r="AZ42">
            <v>16565414.774165791</v>
          </cell>
          <cell r="BA42">
            <v>14210714.191061204</v>
          </cell>
          <cell r="BB42">
            <v>11061037.21251904</v>
          </cell>
          <cell r="BC42">
            <v>7064664.5869030431</v>
          </cell>
        </row>
        <row r="43">
          <cell r="AY43">
            <v>20888938.53976953</v>
          </cell>
          <cell r="AZ43">
            <v>18797261.241343297</v>
          </cell>
          <cell r="BA43">
            <v>16050985.004033998</v>
          </cell>
          <cell r="BB43">
            <v>12452675.486025436</v>
          </cell>
          <cell r="BC43">
            <v>7903307.8659603568</v>
          </cell>
        </row>
        <row r="44">
          <cell r="AY44">
            <v>23703939.083692327</v>
          </cell>
          <cell r="AZ44">
            <v>21252229.731678788</v>
          </cell>
          <cell r="BA44">
            <v>18095246.706887864</v>
          </cell>
          <cell r="BB44">
            <v>14027976.51413643</v>
          </cell>
          <cell r="BC44">
            <v>8859574.561116768</v>
          </cell>
        </row>
        <row r="45">
          <cell r="AY45">
            <v>26839047.066351291</v>
          </cell>
          <cell r="AZ45">
            <v>23971702.995072868</v>
          </cell>
          <cell r="BA45">
            <v>20425447.703603923</v>
          </cell>
          <cell r="BB45">
            <v>15838916.828282855</v>
          </cell>
          <cell r="BC45">
            <v>9946213.4209009819</v>
          </cell>
        </row>
        <row r="46">
          <cell r="AY46">
            <v>30326008.370594166</v>
          </cell>
          <cell r="AZ46">
            <v>27082302.631537747</v>
          </cell>
          <cell r="BA46">
            <v>23072807.310514182</v>
          </cell>
          <cell r="BB46">
            <v>17865189.487254828</v>
          </cell>
          <cell r="BC46">
            <v>11167975.616902743</v>
          </cell>
        </row>
        <row r="47">
          <cell r="AY47">
            <v>34199476.892096378</v>
          </cell>
          <cell r="AZ47">
            <v>30654964.599160563</v>
          </cell>
          <cell r="BA47">
            <v>26086404.354644351</v>
          </cell>
          <cell r="BB47">
            <v>20167297.450536046</v>
          </cell>
          <cell r="BC47">
            <v>12522156.318800537</v>
          </cell>
        </row>
        <row r="48">
          <cell r="AY48">
            <v>38488589.85597951</v>
          </cell>
          <cell r="AZ48">
            <v>34476401.137307405</v>
          </cell>
          <cell r="BA48">
            <v>29321932.131859507</v>
          </cell>
          <cell r="BB48">
            <v>22566792.118193682</v>
          </cell>
          <cell r="BC48">
            <v>13931564.454299413</v>
          </cell>
        </row>
        <row r="49">
          <cell r="AY49">
            <v>43236327.78658662</v>
          </cell>
          <cell r="AZ49">
            <v>38692560.582226127</v>
          </cell>
          <cell r="BA49">
            <v>32834575.163593497</v>
          </cell>
          <cell r="BB49">
            <v>25216293.564821962</v>
          </cell>
          <cell r="BC49">
            <v>15469745.481295805</v>
          </cell>
        </row>
        <row r="50">
          <cell r="AY50">
            <v>48486713.151426814</v>
          </cell>
          <cell r="AZ50">
            <v>43361232.723892629</v>
          </cell>
          <cell r="BA50">
            <v>36713560.375343591</v>
          </cell>
          <cell r="BB50">
            <v>28154939.694270097</v>
          </cell>
          <cell r="BC50">
            <v>17169793.732977137</v>
          </cell>
        </row>
        <row r="51">
          <cell r="AY51">
            <v>54287725.133476526</v>
          </cell>
          <cell r="AZ51">
            <v>48477019.427650385</v>
          </cell>
          <cell r="BA51">
            <v>40968092.144309483</v>
          </cell>
          <cell r="BB51">
            <v>31361517.775047414</v>
          </cell>
          <cell r="BC51">
            <v>18981367.870377719</v>
          </cell>
        </row>
        <row r="52">
          <cell r="AY52">
            <v>60691640.826861925</v>
          </cell>
          <cell r="AZ52">
            <v>54129611.277470939</v>
          </cell>
          <cell r="BA52">
            <v>45675292.956692114</v>
          </cell>
          <cell r="BB52">
            <v>34917140.582322739</v>
          </cell>
          <cell r="BC52">
            <v>21018431.808171581</v>
          </cell>
        </row>
        <row r="53">
          <cell r="AY53">
            <v>67755405.027389407</v>
          </cell>
          <cell r="AZ53">
            <v>60343832.020523012</v>
          </cell>
          <cell r="BA53">
            <v>50976921.717493758</v>
          </cell>
          <cell r="BB53">
            <v>38735008.654899538</v>
          </cell>
          <cell r="BC53">
            <v>23263579.628569573</v>
          </cell>
        </row>
        <row r="54">
          <cell r="AY54">
            <v>75674707.537551105</v>
          </cell>
          <cell r="AZ54">
            <v>67391423.559406683</v>
          </cell>
          <cell r="BA54">
            <v>56735206.421298154</v>
          </cell>
          <cell r="BB54">
            <v>42981146.381170221</v>
          </cell>
          <cell r="BC54">
            <v>25896634.01590788</v>
          </cell>
        </row>
        <row r="55">
          <cell r="AY55">
            <v>84505758.508672148</v>
          </cell>
          <cell r="AZ55">
            <v>75258066.174823686</v>
          </cell>
          <cell r="BA55">
            <v>63132519.503548063</v>
          </cell>
          <cell r="BB55">
            <v>47913173.033569954</v>
          </cell>
          <cell r="BC55">
            <v>28874342.514005166</v>
          </cell>
        </row>
        <row r="56">
          <cell r="AY56">
            <v>94339061.596941799</v>
          </cell>
          <cell r="AZ56">
            <v>83537355.507601708</v>
          </cell>
          <cell r="BA56">
            <v>70185948.012519002</v>
          </cell>
          <cell r="BB56">
            <v>53404170.594779707</v>
          </cell>
          <cell r="BC56">
            <v>32039312.330372863</v>
          </cell>
        </row>
        <row r="57">
          <cell r="AY57">
            <v>105273415.17179795</v>
          </cell>
          <cell r="AZ57">
            <v>93296003.127712935</v>
          </cell>
          <cell r="BA57">
            <v>78620337.795369297</v>
          </cell>
          <cell r="BB57">
            <v>59761940.225401901</v>
          </cell>
          <cell r="BC57">
            <v>35658434.639314793</v>
          </cell>
        </row>
        <row r="58">
          <cell r="AY58">
            <v>117416636.77326484</v>
          </cell>
          <cell r="AZ58">
            <v>104312904.59610461</v>
          </cell>
          <cell r="BA58">
            <v>88078775.489092812</v>
          </cell>
          <cell r="BB58">
            <v>66589820.3234635</v>
          </cell>
          <cell r="BC58">
            <v>39641639.847632937</v>
          </cell>
        </row>
        <row r="59">
          <cell r="AY59">
            <v>130886348.83328183</v>
          </cell>
          <cell r="AZ59">
            <v>116578721.94648281</v>
          </cell>
          <cell r="BA59">
            <v>97909590.822834641</v>
          </cell>
          <cell r="BB59">
            <v>73952047.165414244</v>
          </cell>
          <cell r="BC59">
            <v>43796839.535084516</v>
          </cell>
        </row>
        <row r="60">
          <cell r="AY60">
            <v>145876169.19074884</v>
          </cell>
          <cell r="AZ60">
            <v>129640161.1219867</v>
          </cell>
          <cell r="BA60">
            <v>108695386.90688039</v>
          </cell>
          <cell r="BB60">
            <v>81988516.298935041</v>
          </cell>
          <cell r="BC60">
            <v>48424501.555307053</v>
          </cell>
        </row>
        <row r="61">
          <cell r="AY61">
            <v>162524664.03523886</v>
          </cell>
          <cell r="AZ61">
            <v>143994301.1413931</v>
          </cell>
          <cell r="BA61">
            <v>120705221.56082556</v>
          </cell>
          <cell r="BB61">
            <v>90893187.131389052</v>
          </cell>
          <cell r="BC61">
            <v>53550361.774608955</v>
          </cell>
        </row>
        <row r="62">
          <cell r="AY62">
            <v>180993180.7600323</v>
          </cell>
          <cell r="AZ62">
            <v>160425330.0588527</v>
          </cell>
          <cell r="BA62">
            <v>134124875.65338847</v>
          </cell>
          <cell r="BB62">
            <v>100808452.36460488</v>
          </cell>
          <cell r="BC62">
            <v>59343676.719560526</v>
          </cell>
        </row>
        <row r="63">
          <cell r="AY63">
            <v>201457683.13519523</v>
          </cell>
          <cell r="AZ63">
            <v>178050752.68442523</v>
          </cell>
          <cell r="BA63">
            <v>148958976.03092822</v>
          </cell>
          <cell r="BB63">
            <v>111939452.17048059</v>
          </cell>
          <cell r="BC63">
            <v>65727343.819021791</v>
          </cell>
        </row>
        <row r="64">
          <cell r="AY64">
            <v>224110018.27373475</v>
          </cell>
          <cell r="AZ64">
            <v>198154961.32505614</v>
          </cell>
          <cell r="BA64">
            <v>165559255.61646363</v>
          </cell>
          <cell r="BB64">
            <v>124229253.50690128</v>
          </cell>
          <cell r="BC64">
            <v>72995925.650353432</v>
          </cell>
        </row>
        <row r="65">
          <cell r="AY65">
            <v>249159290.17160448</v>
          </cell>
          <cell r="AZ65">
            <v>219944917.62946257</v>
          </cell>
          <cell r="BA65">
            <v>183801071.88016722</v>
          </cell>
          <cell r="BB65">
            <v>137977183.64284256</v>
          </cell>
          <cell r="BC65">
            <v>81316375.85295783</v>
          </cell>
        </row>
        <row r="66">
          <cell r="AY66">
            <v>276927569.83617628</v>
          </cell>
          <cell r="AZ66">
            <v>244677025.92419374</v>
          </cell>
          <cell r="BA66">
            <v>204353626.27426362</v>
          </cell>
          <cell r="BB66">
            <v>153565436.95125598</v>
          </cell>
          <cell r="BC66">
            <v>90258720.222712591</v>
          </cell>
        </row>
        <row r="67">
          <cell r="AY67">
            <v>307665918.5782578</v>
          </cell>
          <cell r="AZ67">
            <v>271734712.17909688</v>
          </cell>
          <cell r="BA67">
            <v>227321649.70943588</v>
          </cell>
          <cell r="BB67">
            <v>170956435.14280879</v>
          </cell>
          <cell r="BC67">
            <v>100828936.83459382</v>
          </cell>
        </row>
        <row r="68">
          <cell r="AY68">
            <v>341658151.19449943</v>
          </cell>
          <cell r="AZ68">
            <v>302145221.17361158</v>
          </cell>
          <cell r="BA68">
            <v>252616716.51859596</v>
          </cell>
          <cell r="BB68">
            <v>190350745.16027439</v>
          </cell>
          <cell r="BC68">
            <v>112130276.98298135</v>
          </cell>
        </row>
        <row r="69">
          <cell r="AY69">
            <v>379213523.12017798</v>
          </cell>
          <cell r="AZ69">
            <v>335534266.91201335</v>
          </cell>
          <cell r="BA69">
            <v>280843570.98125428</v>
          </cell>
          <cell r="BB69">
            <v>211795318.47056696</v>
          </cell>
          <cell r="BC69">
            <v>124336439.33073762</v>
          </cell>
        </row>
        <row r="70">
          <cell r="AY70">
            <v>420668920.30260623</v>
          </cell>
          <cell r="AZ70">
            <v>372143275.52074182</v>
          </cell>
          <cell r="BA70">
            <v>312468197.75877798</v>
          </cell>
          <cell r="BB70">
            <v>235263272.91289213</v>
          </cell>
          <cell r="BC70">
            <v>137038764.54514393</v>
          </cell>
        </row>
        <row r="71">
          <cell r="AY71">
            <v>466391232.36846954</v>
          </cell>
          <cell r="AZ71">
            <v>413234678.1466583</v>
          </cell>
          <cell r="BA71">
            <v>347055640.89384502</v>
          </cell>
          <cell r="BB71">
            <v>259703583.82067329</v>
          </cell>
          <cell r="BC71">
            <v>151786343.72364712</v>
          </cell>
        </row>
        <row r="72">
          <cell r="AY72">
            <v>517106714.76465899</v>
          </cell>
          <cell r="AZ72">
            <v>458816271.64137</v>
          </cell>
          <cell r="BA72">
            <v>383677269.52907825</v>
          </cell>
          <cell r="BB72">
            <v>286741789.87644464</v>
          </cell>
          <cell r="BC72">
            <v>167742423.53575578</v>
          </cell>
        </row>
        <row r="73">
          <cell r="AY73">
            <v>573273088.82657468</v>
          </cell>
          <cell r="AZ73">
            <v>507789645.93960464</v>
          </cell>
          <cell r="BA73">
            <v>422717679.58108181</v>
          </cell>
          <cell r="BB73">
            <v>317250673.06724912</v>
          </cell>
          <cell r="BC73">
            <v>185141007.33879632</v>
          </cell>
        </row>
        <row r="74">
          <cell r="AY74">
            <v>635412181.078251</v>
          </cell>
          <cell r="AZ74">
            <v>560846112.42896307</v>
          </cell>
          <cell r="BA74">
            <v>468541401.19502318</v>
          </cell>
          <cell r="BB74">
            <v>351488473.43130398</v>
          </cell>
          <cell r="BC74">
            <v>204322779.13512251</v>
          </cell>
        </row>
        <row r="75">
          <cell r="AY75">
            <v>704092644.75022721</v>
          </cell>
          <cell r="AZ75">
            <v>621904007.84853756</v>
          </cell>
          <cell r="BA75">
            <v>520513740.1053471</v>
          </cell>
          <cell r="BB75">
            <v>389065354.16355819</v>
          </cell>
          <cell r="BC75">
            <v>226264109.08765239</v>
          </cell>
        </row>
        <row r="76">
          <cell r="AY76">
            <v>779933993.45650494</v>
          </cell>
          <cell r="AZ76">
            <v>689900688.39123893</v>
          </cell>
          <cell r="BA76">
            <v>576385115.99616408</v>
          </cell>
          <cell r="BB76">
            <v>430474499.45528579</v>
          </cell>
          <cell r="BC76">
            <v>250613229.64369193</v>
          </cell>
        </row>
        <row r="77">
          <cell r="AY77">
            <v>863610972.66893685</v>
          </cell>
          <cell r="AZ77">
            <v>764232786.31460881</v>
          </cell>
          <cell r="BA77">
            <v>636313200.78717136</v>
          </cell>
          <cell r="BB77">
            <v>475776203.06757379</v>
          </cell>
          <cell r="BC77">
            <v>277065282.28776735</v>
          </cell>
        </row>
        <row r="78">
          <cell r="AY78">
            <v>956113440.01920927</v>
          </cell>
          <cell r="AZ78">
            <v>843430386.21538472</v>
          </cell>
          <cell r="BA78">
            <v>702906323.00934756</v>
          </cell>
          <cell r="BB78">
            <v>526136234.33834183</v>
          </cell>
          <cell r="BC78">
            <v>306351527.28825003</v>
          </cell>
        </row>
        <row r="79">
          <cell r="AY79">
            <v>1058264113.574134</v>
          </cell>
          <cell r="AZ79">
            <v>933431329.93344986</v>
          </cell>
          <cell r="BA79">
            <v>779571966.68665266</v>
          </cell>
          <cell r="BB79">
            <v>583235092.31772411</v>
          </cell>
          <cell r="BC79">
            <v>339606120.974585</v>
          </cell>
        </row>
        <row r="80">
          <cell r="AY80">
            <v>1170972130.5457854</v>
          </cell>
          <cell r="AZ80">
            <v>1034042035.4567111</v>
          </cell>
          <cell r="BA80">
            <v>863846455.00414824</v>
          </cell>
          <cell r="BB80">
            <v>646214718.41597402</v>
          </cell>
          <cell r="BC80">
            <v>376988569.77591479</v>
          </cell>
        </row>
        <row r="81">
          <cell r="AY81">
            <v>1295227429.9393396</v>
          </cell>
          <cell r="AZ81">
            <v>1143681724.7624383</v>
          </cell>
          <cell r="BA81">
            <v>955039553.3729552</v>
          </cell>
          <cell r="BB81">
            <v>715933713.84659839</v>
          </cell>
          <cell r="BC81">
            <v>418999167.64589441</v>
          </cell>
        </row>
        <row r="82">
          <cell r="AY82">
            <v>1432107668.0453761</v>
          </cell>
          <cell r="AZ82">
            <v>1265654237.9293671</v>
          </cell>
          <cell r="BA82">
            <v>1057976317.9855082</v>
          </cell>
          <cell r="BB82">
            <v>793717858.24661148</v>
          </cell>
          <cell r="BC82">
            <v>461863236.61342871</v>
          </cell>
        </row>
        <row r="83">
          <cell r="AY83">
            <v>1582785710.3850567</v>
          </cell>
          <cell r="AZ83">
            <v>1399263515.3586388</v>
          </cell>
          <cell r="BA83">
            <v>1171343266.0765159</v>
          </cell>
          <cell r="BB83">
            <v>877802263.12582481</v>
          </cell>
          <cell r="BC83">
            <v>508770979.9106428</v>
          </cell>
        </row>
        <row r="84">
          <cell r="AY84">
            <v>1749234730.5537214</v>
          </cell>
          <cell r="AZ84">
            <v>1548804681.3433702</v>
          </cell>
          <cell r="BA84">
            <v>1296817468.5656161</v>
          </cell>
          <cell r="BB84">
            <v>966577623.21491635</v>
          </cell>
          <cell r="BC84">
            <v>561152693.21488833</v>
          </cell>
        </row>
        <row r="85">
          <cell r="AY85">
            <v>1932918687.7374318</v>
          </cell>
          <cell r="AZ85">
            <v>1713357071.5744638</v>
          </cell>
          <cell r="BA85">
            <v>1427019894.4825845</v>
          </cell>
          <cell r="BB85">
            <v>1063838711.0939939</v>
          </cell>
          <cell r="BC85">
            <v>617025845.6555984</v>
          </cell>
        </row>
        <row r="86">
          <cell r="AY86">
            <v>2135454950.4396186</v>
          </cell>
          <cell r="AZ86">
            <v>1885614604.2504995</v>
          </cell>
          <cell r="BA86">
            <v>1569380003.1303391</v>
          </cell>
          <cell r="BB86">
            <v>1172224006.0706835</v>
          </cell>
          <cell r="BC86">
            <v>678676935.63815892</v>
          </cell>
        </row>
        <row r="87">
          <cell r="AY87">
            <v>2358604270.8688045</v>
          </cell>
          <cell r="AZ87">
            <v>2080216517.5540721</v>
          </cell>
          <cell r="BA87">
            <v>1731802226.4450548</v>
          </cell>
          <cell r="BB87">
            <v>1293143609.0749543</v>
          </cell>
          <cell r="BC87">
            <v>744697551.91176987</v>
          </cell>
        </row>
        <row r="88">
          <cell r="AY88">
            <v>2604283035.4680815</v>
          </cell>
          <cell r="AZ88">
            <v>2299049433.5156646</v>
          </cell>
          <cell r="BA88">
            <v>1914643596.0774496</v>
          </cell>
          <cell r="BB88">
            <v>1424194151.387368</v>
          </cell>
          <cell r="BC88">
            <v>818834415.79640222</v>
          </cell>
        </row>
        <row r="89">
          <cell r="AY89">
            <v>2874576535.3392549</v>
          </cell>
          <cell r="AZ89">
            <v>2537005477.8164515</v>
          </cell>
          <cell r="BA89">
            <v>2106233056.1994104</v>
          </cell>
          <cell r="BB89">
            <v>1564594324.2335343</v>
          </cell>
          <cell r="BC89">
            <v>900061525.62207961</v>
          </cell>
        </row>
        <row r="90">
          <cell r="AY90">
            <v>3167622068.3568096</v>
          </cell>
          <cell r="AZ90">
            <v>2786831179.1359954</v>
          </cell>
          <cell r="BA90">
            <v>2311576131.7252069</v>
          </cell>
          <cell r="BB90">
            <v>1721592178.4055152</v>
          </cell>
          <cell r="BC90">
            <v>987720335.79334247</v>
          </cell>
        </row>
        <row r="91">
          <cell r="AY91">
            <v>3485389531.0444789</v>
          </cell>
          <cell r="AZ91">
            <v>3062060883.2161188</v>
          </cell>
          <cell r="BA91">
            <v>2540127304.361764</v>
          </cell>
          <cell r="BB91">
            <v>1895865648.8472934</v>
          </cell>
          <cell r="BC91">
            <v>1070317475.7324531</v>
          </cell>
        </row>
        <row r="92">
          <cell r="AY92">
            <v>3829918443.3476944</v>
          </cell>
          <cell r="AZ92">
            <v>3365512391.2649879</v>
          </cell>
          <cell r="BA92">
            <v>2794766685.0459366</v>
          </cell>
          <cell r="BB92">
            <v>2064080159.4718308</v>
          </cell>
          <cell r="BC92">
            <v>1158957151.6544459</v>
          </cell>
        </row>
        <row r="93">
          <cell r="AY93">
            <v>4203413738.7404051</v>
          </cell>
          <cell r="AZ93">
            <v>3700322703.4267583</v>
          </cell>
          <cell r="BA93">
            <v>3056587102.9278154</v>
          </cell>
          <cell r="BB93">
            <v>2237323471.303246</v>
          </cell>
          <cell r="BC93">
            <v>1256987700.4417608</v>
          </cell>
        </row>
        <row r="94">
          <cell r="AY94">
            <v>4608259002.3843355</v>
          </cell>
          <cell r="AZ94">
            <v>4045612897.8300357</v>
          </cell>
          <cell r="BA94">
            <v>3310957528.360991</v>
          </cell>
          <cell r="BB94">
            <v>2423970136.0135641</v>
          </cell>
          <cell r="BC94">
            <v>1356038636.4817872</v>
          </cell>
        </row>
        <row r="95">
          <cell r="AY95">
            <v>5047030757.4691925</v>
          </cell>
          <cell r="AZ95">
            <v>4386194962.4961386</v>
          </cell>
          <cell r="BA95">
            <v>3587331276.8593783</v>
          </cell>
          <cell r="BB95">
            <v>2616307924.7982383</v>
          </cell>
          <cell r="BC95">
            <v>1461997064.9107733</v>
          </cell>
        </row>
        <row r="96">
          <cell r="AY96">
            <v>5522513882.0013571</v>
          </cell>
          <cell r="AZ96">
            <v>4795139277.6482964</v>
          </cell>
          <cell r="BA96">
            <v>3913125250.2924547</v>
          </cell>
          <cell r="BB96">
            <v>2852814887.137208</v>
          </cell>
          <cell r="BC96">
            <v>1590230254.4154034</v>
          </cell>
        </row>
        <row r="97">
          <cell r="AY97">
            <v>6037718244.7184849</v>
          </cell>
          <cell r="AZ97">
            <v>5229504344.4903288</v>
          </cell>
          <cell r="BA97">
            <v>4269314379.6764174</v>
          </cell>
          <cell r="BB97">
            <v>3108490924.1532173</v>
          </cell>
          <cell r="BC97">
            <v>1732669707.2415359</v>
          </cell>
        </row>
        <row r="98">
          <cell r="AY98">
            <v>6595896655.7132826</v>
          </cell>
          <cell r="AZ98">
            <v>5708497853.6917343</v>
          </cell>
          <cell r="BA98">
            <v>4654698461.751132</v>
          </cell>
          <cell r="BB98">
            <v>3391718717.6941113</v>
          </cell>
          <cell r="BC98">
            <v>1877932643.2647624</v>
          </cell>
        </row>
        <row r="99">
          <cell r="AY99">
            <v>7200564234.7900448</v>
          </cell>
          <cell r="AZ99">
            <v>6227139865.4983225</v>
          </cell>
          <cell r="BA99">
            <v>5072541951.0328131</v>
          </cell>
          <cell r="BB99">
            <v>3676040468.8671231</v>
          </cell>
          <cell r="BC99">
            <v>2034333299.6741683</v>
          </cell>
        </row>
        <row r="100">
          <cell r="AY100">
            <v>7855519308.5939894</v>
          </cell>
          <cell r="AZ100">
            <v>6798513458.0651712</v>
          </cell>
          <cell r="BA100">
            <v>5512640276.728528</v>
          </cell>
          <cell r="BB100">
            <v>3992246826.4221363</v>
          </cell>
          <cell r="BC100">
            <v>2218120363.3104477</v>
          </cell>
        </row>
        <row r="101">
          <cell r="AY101">
            <v>8564865956.1890507</v>
          </cell>
          <cell r="AZ101">
            <v>7385713292.9094973</v>
          </cell>
          <cell r="BA101">
            <v>5978121288.6701174</v>
          </cell>
          <cell r="BB101">
            <v>4340007875.6534843</v>
          </cell>
          <cell r="BC101">
            <v>2417165694.7523403</v>
          </cell>
        </row>
        <row r="102">
          <cell r="AY102">
            <v>9333038332.0638733</v>
          </cell>
          <cell r="AZ102">
            <v>8031315522.2649536</v>
          </cell>
          <cell r="BA102">
            <v>6526685764.5313559</v>
          </cell>
          <cell r="BB102">
            <v>4748802228.2840776</v>
          </cell>
          <cell r="BC102">
            <v>2650801699.4086785</v>
          </cell>
        </row>
        <row r="103">
          <cell r="AY103">
            <v>10164826905.568419</v>
          </cell>
          <cell r="AZ103">
            <v>8766798287.2160225</v>
          </cell>
          <cell r="BA103">
            <v>7146930602.2773638</v>
          </cell>
          <cell r="BB103">
            <v>5209533781.5482807</v>
          </cell>
          <cell r="BC103">
            <v>2911626085.8095617</v>
          </cell>
        </row>
        <row r="104">
          <cell r="AY104">
            <v>11065406766.580437</v>
          </cell>
          <cell r="AZ104">
            <v>9564563834.1182117</v>
          </cell>
          <cell r="BA104">
            <v>7807614465.9793463</v>
          </cell>
          <cell r="BB104">
            <v>5705615172.8058052</v>
          </cell>
          <cell r="BC104">
            <v>3160565042.5564594</v>
          </cell>
        </row>
        <row r="105">
          <cell r="AY105">
            <v>12040368158.832497</v>
          </cell>
          <cell r="AZ105">
            <v>10415105218.520067</v>
          </cell>
          <cell r="BA105">
            <v>8510115339.1358662</v>
          </cell>
          <cell r="BB105">
            <v>6186808325.1129122</v>
          </cell>
          <cell r="BC105">
            <v>3414237396.4637547</v>
          </cell>
        </row>
        <row r="106">
          <cell r="AY106">
            <v>13095749414.858356</v>
          </cell>
          <cell r="AZ106">
            <v>11352346390.021933</v>
          </cell>
          <cell r="BA106">
            <v>9239614829.5897579</v>
          </cell>
          <cell r="BB106">
            <v>6677057688.6463089</v>
          </cell>
          <cell r="BC106">
            <v>3695447875.3859091</v>
          </cell>
        </row>
        <row r="107">
          <cell r="AY107">
            <v>14238072480.013742</v>
          </cell>
          <cell r="AZ107">
            <v>12299785756.505339</v>
          </cell>
          <cell r="BA107">
            <v>9975987534.0640507</v>
          </cell>
          <cell r="BB107">
            <v>7211064229.2214212</v>
          </cell>
          <cell r="BC107">
            <v>3998616266.7937698</v>
          </cell>
        </row>
        <row r="108">
          <cell r="AY108">
            <v>15474381227.562897</v>
          </cell>
          <cell r="AZ108">
            <v>13322176024.288958</v>
          </cell>
          <cell r="BA108">
            <v>10786842076.341297</v>
          </cell>
          <cell r="BB108">
            <v>7829296708.5349665</v>
          </cell>
          <cell r="BC108">
            <v>4344837683.3255777</v>
          </cell>
        </row>
        <row r="109">
          <cell r="AY109">
            <v>16812282782.480469</v>
          </cell>
          <cell r="AZ109">
            <v>14465662255.585838</v>
          </cell>
          <cell r="BA109">
            <v>11762214223.568563</v>
          </cell>
          <cell r="BB109">
            <v>8538936930.1573219</v>
          </cell>
          <cell r="BC109">
            <v>4740518422.7361317</v>
          </cell>
        </row>
        <row r="110">
          <cell r="AY110">
            <v>18259992088.483177</v>
          </cell>
          <cell r="AZ110">
            <v>15746054353.998522</v>
          </cell>
          <cell r="BA110">
            <v>12798699218.283833</v>
          </cell>
          <cell r="BB110">
            <v>9311434335.7928867</v>
          </cell>
          <cell r="BC110">
            <v>5147455825.2803507</v>
          </cell>
        </row>
        <row r="111">
          <cell r="AY111">
            <v>19826379970.969872</v>
          </cell>
          <cell r="AZ111">
            <v>17110330922.106981</v>
          </cell>
          <cell r="BA111">
            <v>13898058149.105902</v>
          </cell>
          <cell r="BB111">
            <v>10092169350.200228</v>
          </cell>
          <cell r="BC111">
            <v>5563143617.8393059</v>
          </cell>
        </row>
        <row r="112">
          <cell r="AY112">
            <v>21521024968.113461</v>
          </cell>
          <cell r="AZ112">
            <v>18561797587.54797</v>
          </cell>
          <cell r="BA112">
            <v>15113410160.958157</v>
          </cell>
          <cell r="BB112">
            <v>10909533262.825716</v>
          </cell>
          <cell r="BC112">
            <v>6000430601.2468481</v>
          </cell>
        </row>
        <row r="113">
          <cell r="AY113">
            <v>23354269223.417942</v>
          </cell>
          <cell r="AZ113">
            <v>20158868037.307659</v>
          </cell>
          <cell r="BA113">
            <v>16290632484.031858</v>
          </cell>
          <cell r="BB113">
            <v>11762323622.036896</v>
          </cell>
          <cell r="BC113">
            <v>6493813124.9095449</v>
          </cell>
        </row>
        <row r="114">
          <cell r="AY114">
            <v>25337278755.747433</v>
          </cell>
          <cell r="AZ114">
            <v>21768034915.651951</v>
          </cell>
          <cell r="BA114">
            <v>17586328202.519878</v>
          </cell>
          <cell r="BB114">
            <v>12709766531.066704</v>
          </cell>
          <cell r="BC114">
            <v>7026244461.4599762</v>
          </cell>
        </row>
        <row r="115">
          <cell r="AY115">
            <v>27482108447.273392</v>
          </cell>
          <cell r="AZ115">
            <v>23598148712.273582</v>
          </cell>
          <cell r="BA115">
            <v>19112063800.693642</v>
          </cell>
          <cell r="BB115">
            <v>13829764388.762739</v>
          </cell>
          <cell r="BC115">
            <v>7654678144.0517902</v>
          </cell>
        </row>
        <row r="116">
          <cell r="AY116">
            <v>29801772116.105339</v>
          </cell>
          <cell r="AZ116">
            <v>25646447664.899494</v>
          </cell>
          <cell r="BA116">
            <v>20800100180.578651</v>
          </cell>
          <cell r="BB116">
            <v>15079858068.855061</v>
          </cell>
          <cell r="BC116">
            <v>8358643093.6633825</v>
          </cell>
        </row>
        <row r="117">
          <cell r="AY117">
            <v>32310318068.715485</v>
          </cell>
          <cell r="AZ117">
            <v>27827767160.068325</v>
          </cell>
          <cell r="BA117">
            <v>22569833127.201176</v>
          </cell>
          <cell r="BB117">
            <v>16372069614.148209</v>
          </cell>
          <cell r="BC117">
            <v>9021677827.7325935</v>
          </cell>
        </row>
        <row r="118">
          <cell r="AY118">
            <v>35022910557.790047</v>
          </cell>
          <cell r="AZ118">
            <v>30188160245.69743</v>
          </cell>
          <cell r="BA118">
            <v>24509689202.059776</v>
          </cell>
          <cell r="BB118">
            <v>17704279517.734013</v>
          </cell>
          <cell r="BC118">
            <v>9714472973.9867649</v>
          </cell>
        </row>
        <row r="119">
          <cell r="AY119">
            <v>37955917604.010452</v>
          </cell>
          <cell r="AZ119">
            <v>32742126988.240925</v>
          </cell>
          <cell r="BA119">
            <v>26471972529.549831</v>
          </cell>
          <cell r="BB119">
            <v>19064982824.247837</v>
          </cell>
          <cell r="BC119">
            <v>10477358425.958916</v>
          </cell>
        </row>
        <row r="120">
          <cell r="AY120">
            <v>41127005675.662628</v>
          </cell>
          <cell r="AZ120">
            <v>35314073784.510315</v>
          </cell>
          <cell r="BA120">
            <v>28495291364.050518</v>
          </cell>
          <cell r="BB120">
            <v>20541945307.861301</v>
          </cell>
          <cell r="BC120">
            <v>11298491950.905979</v>
          </cell>
        </row>
        <row r="121">
          <cell r="AY121">
            <v>44555241758.086342</v>
          </cell>
          <cell r="AZ121">
            <v>38186189230.002449</v>
          </cell>
          <cell r="BA121">
            <v>30830915598.85701</v>
          </cell>
          <cell r="BB121">
            <v>22272635388.957611</v>
          </cell>
          <cell r="BC121">
            <v>12252266385.626972</v>
          </cell>
        </row>
        <row r="122">
          <cell r="AY122">
            <v>48261203386.018471</v>
          </cell>
          <cell r="AZ122">
            <v>41397497335.364494</v>
          </cell>
          <cell r="BA122">
            <v>33437400592.981853</v>
          </cell>
          <cell r="BB122">
            <v>24184597644.43483</v>
          </cell>
          <cell r="BC122">
            <v>13319023686.959326</v>
          </cell>
        </row>
        <row r="123">
          <cell r="AY123">
            <v>52267097256.075455</v>
          </cell>
          <cell r="AZ123">
            <v>44871131877.395126</v>
          </cell>
          <cell r="BA123">
            <v>36282103523.74765</v>
          </cell>
          <cell r="BB123">
            <v>26273922697.493134</v>
          </cell>
          <cell r="BC123">
            <v>14444011863.485775</v>
          </cell>
        </row>
        <row r="124">
          <cell r="AY124">
            <v>56596887084.202446</v>
          </cell>
          <cell r="AZ124">
            <v>48628250613.448433</v>
          </cell>
          <cell r="BA124">
            <v>39361673956.855774</v>
          </cell>
          <cell r="BB124">
            <v>28471344546.2309</v>
          </cell>
          <cell r="BC124">
            <v>15559264670.46846</v>
          </cell>
        </row>
        <row r="125">
          <cell r="AY125">
            <v>61276431424.15519</v>
          </cell>
          <cell r="AZ125">
            <v>52691700240.545776</v>
          </cell>
          <cell r="BA125">
            <v>42623974002.281509</v>
          </cell>
          <cell r="BB125">
            <v>30631653189.488121</v>
          </cell>
          <cell r="BC125">
            <v>16773396464.761023</v>
          </cell>
        </row>
        <row r="126">
          <cell r="AY126">
            <v>66333632218.236763</v>
          </cell>
          <cell r="AZ126">
            <v>56956504413.947945</v>
          </cell>
          <cell r="BA126">
            <v>45841906625.834755</v>
          </cell>
          <cell r="BB126">
            <v>32952223440.914078</v>
          </cell>
          <cell r="BC126">
            <v>18104025973.034836</v>
          </cell>
        </row>
        <row r="127">
          <cell r="AY127">
            <v>71798594910.912888</v>
          </cell>
          <cell r="AZ127">
            <v>61427245120.4011</v>
          </cell>
          <cell r="BA127">
            <v>49464052741.389442</v>
          </cell>
          <cell r="BB127">
            <v>35612906352.823441</v>
          </cell>
          <cell r="BC127">
            <v>19589441383.412769</v>
          </cell>
        </row>
        <row r="128">
          <cell r="AY128">
            <v>77703801019.871674</v>
          </cell>
          <cell r="AZ128">
            <v>66446849277.771065</v>
          </cell>
          <cell r="BA128">
            <v>53654413292.558716</v>
          </cell>
          <cell r="BB128">
            <v>38756328449.526741</v>
          </cell>
          <cell r="BC128">
            <v>21286694256.496094</v>
          </cell>
        </row>
        <row r="129">
          <cell r="AY129">
            <v>84084294127.940033</v>
          </cell>
          <cell r="AZ129">
            <v>72156547459.542816</v>
          </cell>
          <cell r="BA129">
            <v>58248825460.306946</v>
          </cell>
          <cell r="BB129">
            <v>42069675671.992889</v>
          </cell>
          <cell r="BC129">
            <v>23186757691.32032</v>
          </cell>
        </row>
        <row r="130">
          <cell r="AY130">
            <v>90977880333.395172</v>
          </cell>
          <cell r="AZ130">
            <v>78031620601.677109</v>
          </cell>
          <cell r="BA130">
            <v>63142049843.640091</v>
          </cell>
          <cell r="BB130">
            <v>45658706208.038635</v>
          </cell>
          <cell r="BC130">
            <v>24925484308.300644</v>
          </cell>
        </row>
        <row r="131">
          <cell r="AY131">
            <v>98425344276.000366</v>
          </cell>
          <cell r="AZ131">
            <v>84600356956.105774</v>
          </cell>
          <cell r="BA131">
            <v>68436788236.983543</v>
          </cell>
          <cell r="BB131">
            <v>49087560221.340096</v>
          </cell>
          <cell r="BC131">
            <v>26792146435.079979</v>
          </cell>
        </row>
        <row r="132">
          <cell r="AY132">
            <v>106470681942.01176</v>
          </cell>
          <cell r="AZ132">
            <v>91466761546.647232</v>
          </cell>
          <cell r="BA132">
            <v>73552756496.878525</v>
          </cell>
          <cell r="BB132">
            <v>52645442981.873711</v>
          </cell>
          <cell r="BC132">
            <v>28795952342.401154</v>
          </cell>
        </row>
        <row r="133">
          <cell r="AY133">
            <v>115161351543.87848</v>
          </cell>
          <cell r="AZ133">
            <v>98356153628.343918</v>
          </cell>
          <cell r="BA133">
            <v>78912089723.96344</v>
          </cell>
          <cell r="BB133">
            <v>56629452250.695946</v>
          </cell>
          <cell r="BC133">
            <v>31015051412.081585</v>
          </cell>
        </row>
        <row r="134">
          <cell r="AY134">
            <v>124548543869.92595</v>
          </cell>
          <cell r="AZ134">
            <v>106322266343.12486</v>
          </cell>
          <cell r="BA134">
            <v>85512111681.672302</v>
          </cell>
          <cell r="BB134">
            <v>61487498574.227768</v>
          </cell>
          <cell r="BC134">
            <v>33697182672.23827</v>
          </cell>
        </row>
        <row r="135">
          <cell r="AY135">
            <v>134687473606.49022</v>
          </cell>
          <cell r="AZ135">
            <v>115228039639.71458</v>
          </cell>
          <cell r="BA135">
            <v>92806522951.343353</v>
          </cell>
          <cell r="BB135">
            <v>66922976788.273293</v>
          </cell>
          <cell r="BC135">
            <v>36716316535.985191</v>
          </cell>
        </row>
        <row r="136">
          <cell r="AY136">
            <v>145637693250.3457</v>
          </cell>
          <cell r="AZ136">
            <v>124698979170.01639</v>
          </cell>
          <cell r="BA136">
            <v>100524562181.1815</v>
          </cell>
          <cell r="BB136">
            <v>72587893085.97554</v>
          </cell>
          <cell r="BC136">
            <v>39704052993.159836</v>
          </cell>
        </row>
        <row r="137">
          <cell r="AY137">
            <v>157463431353.46686</v>
          </cell>
          <cell r="AZ137">
            <v>134934329237.54997</v>
          </cell>
          <cell r="BA137">
            <v>109069950927.03885</v>
          </cell>
          <cell r="BB137">
            <v>78357528936.571487</v>
          </cell>
          <cell r="BC137">
            <v>42707631100.708359</v>
          </cell>
        </row>
        <row r="138">
          <cell r="AY138">
            <v>170233956975.8609</v>
          </cell>
          <cell r="AZ138">
            <v>145995146453.53796</v>
          </cell>
          <cell r="BA138">
            <v>117547137646.00035</v>
          </cell>
          <cell r="BB138">
            <v>84185743285.639252</v>
          </cell>
          <cell r="BC138">
            <v>45814606441.051331</v>
          </cell>
        </row>
        <row r="139">
          <cell r="AY139">
            <v>184023972366.11005</v>
          </cell>
          <cell r="AZ139">
            <v>157323375763.11868</v>
          </cell>
          <cell r="BA139">
            <v>126128058613.37793</v>
          </cell>
          <cell r="BB139">
            <v>90440841073.982162</v>
          </cell>
          <cell r="BC139">
            <v>49403567927.715309</v>
          </cell>
        </row>
        <row r="140">
          <cell r="AY140">
            <v>198914036044.17883</v>
          </cell>
          <cell r="AZ140">
            <v>169519171974.35529</v>
          </cell>
          <cell r="BA140">
            <v>136141829055.01135</v>
          </cell>
          <cell r="BB140">
            <v>97772316927.254562</v>
          </cell>
          <cell r="BC140">
            <v>53503446696.564445</v>
          </cell>
        </row>
        <row r="141">
          <cell r="AY141">
            <v>214991018627.76193</v>
          </cell>
          <cell r="AZ141">
            <v>183618052704.66183</v>
          </cell>
          <cell r="BA141">
            <v>147820877398.96527</v>
          </cell>
          <cell r="BB141">
            <v>106084160739.30539</v>
          </cell>
          <cell r="BC141">
            <v>58164319420.680656</v>
          </cell>
        </row>
        <row r="142">
          <cell r="AY142">
            <v>232348593922.93613</v>
          </cell>
          <cell r="AZ142">
            <v>198606223546.28961</v>
          </cell>
          <cell r="BA142">
            <v>160054886695.49417</v>
          </cell>
          <cell r="BB142">
            <v>115273738580.8517</v>
          </cell>
          <cell r="BC142">
            <v>63056508607.1465</v>
          </cell>
        </row>
        <row r="143">
          <cell r="AY143">
            <v>251087767993.03271</v>
          </cell>
          <cell r="AZ143">
            <v>214798754389.8121</v>
          </cell>
          <cell r="BA143">
            <v>173283711349.75092</v>
          </cell>
          <cell r="BB143">
            <v>124662286090.62892</v>
          </cell>
          <cell r="BC143">
            <v>67851196422.109657</v>
          </cell>
        </row>
        <row r="144">
          <cell r="AY144">
            <v>271317449127.57135</v>
          </cell>
          <cell r="AZ144">
            <v>232291493628.34171</v>
          </cell>
          <cell r="BA144">
            <v>187279230379.12366</v>
          </cell>
          <cell r="BB144">
            <v>133869632358.51268</v>
          </cell>
          <cell r="BC144">
            <v>72783378547.660767</v>
          </cell>
        </row>
        <row r="145">
          <cell r="AY145">
            <v>293155061856.87457</v>
          </cell>
          <cell r="AZ145">
            <v>250858489078.2887</v>
          </cell>
          <cell r="BA145">
            <v>201058478022.39566</v>
          </cell>
          <cell r="BB145">
            <v>143748021201.60901</v>
          </cell>
          <cell r="BC145">
            <v>78377416662.815308</v>
          </cell>
        </row>
        <row r="146">
          <cell r="AY146">
            <v>316727208398.82678</v>
          </cell>
          <cell r="AZ146">
            <v>269824119989.46362</v>
          </cell>
          <cell r="BA146">
            <v>216197537092.11945</v>
          </cell>
          <cell r="BB146">
            <v>155071139914.65918</v>
          </cell>
          <cell r="BC146">
            <v>84618226422.339081</v>
          </cell>
        </row>
        <row r="147">
          <cell r="AY147">
            <v>342170381183.46478</v>
          </cell>
          <cell r="AZ147">
            <v>291742759815.44434</v>
          </cell>
          <cell r="BA147">
            <v>234401293679.15942</v>
          </cell>
          <cell r="BB147">
            <v>168057989070.133</v>
          </cell>
          <cell r="BC147">
            <v>91828928077.746323</v>
          </cell>
        </row>
        <row r="148">
          <cell r="AY148">
            <v>369631730380.06287</v>
          </cell>
          <cell r="AZ148">
            <v>315830843375.62762</v>
          </cell>
          <cell r="BA148">
            <v>253689416561.39108</v>
          </cell>
          <cell r="BB148">
            <v>182238590142.12451</v>
          </cell>
          <cell r="BC148">
            <v>99726819792.464554</v>
          </cell>
        </row>
        <row r="149">
          <cell r="AY149">
            <v>399269890651.64307</v>
          </cell>
          <cell r="AZ149">
            <v>340982192421.80524</v>
          </cell>
          <cell r="BA149">
            <v>274539740871.19824</v>
          </cell>
          <cell r="BB149">
            <v>197318402098.05103</v>
          </cell>
          <cell r="BC149">
            <v>107496254008.97215</v>
          </cell>
        </row>
        <row r="150">
          <cell r="AY150">
            <v>431255871684.9549</v>
          </cell>
          <cell r="AZ150">
            <v>369077890491.32648</v>
          </cell>
          <cell r="BA150">
            <v>297223858940.25189</v>
          </cell>
          <cell r="BB150">
            <v>212788692997.52451</v>
          </cell>
          <cell r="BC150">
            <v>115612935961.66321</v>
          </cell>
        </row>
        <row r="151">
          <cell r="AY151">
            <v>465774017391.72369</v>
          </cell>
          <cell r="AZ151">
            <v>398412299017.73608</v>
          </cell>
          <cell r="BA151">
            <v>319333716361.74988</v>
          </cell>
          <cell r="BB151">
            <v>228024075651.07718</v>
          </cell>
          <cell r="BC151">
            <v>123956043559.42155</v>
          </cell>
        </row>
        <row r="152">
          <cell r="AY152">
            <v>503023039051.23193</v>
          </cell>
          <cell r="AZ152">
            <v>428366947405.24622</v>
          </cell>
          <cell r="BA152">
            <v>342673850446.91406</v>
          </cell>
          <cell r="BB152">
            <v>244735608555.92685</v>
          </cell>
          <cell r="BC152">
            <v>133126738911.85445</v>
          </cell>
        </row>
        <row r="153">
          <cell r="AY153">
            <v>543217128067.00842</v>
          </cell>
          <cell r="AZ153">
            <v>462370635415.14587</v>
          </cell>
          <cell r="BA153">
            <v>370332857363.22052</v>
          </cell>
          <cell r="BB153">
            <v>264945905478.95074</v>
          </cell>
          <cell r="BC153">
            <v>144104692867.55206</v>
          </cell>
        </row>
        <row r="154">
          <cell r="AY154">
            <v>586587154443.8302</v>
          </cell>
          <cell r="AZ154">
            <v>499697753284.21869</v>
          </cell>
          <cell r="BA154">
            <v>400459373271.06927</v>
          </cell>
          <cell r="BB154">
            <v>286998121520.74774</v>
          </cell>
          <cell r="BC154">
            <v>156177401526.28079</v>
          </cell>
        </row>
        <row r="155">
          <cell r="AY155">
            <v>633381957557.64319</v>
          </cell>
          <cell r="AZ155">
            <v>540000821428.8172</v>
          </cell>
          <cell r="BA155">
            <v>433216975744.54803</v>
          </cell>
          <cell r="BB155">
            <v>310134073871.7356</v>
          </cell>
          <cell r="BC155">
            <v>169904827274.59683</v>
          </cell>
        </row>
        <row r="156">
          <cell r="AY156">
            <v>683869736292.88855</v>
          </cell>
          <cell r="AZ156">
            <v>583515145924.21313</v>
          </cell>
          <cell r="BA156">
            <v>468616428841.66998</v>
          </cell>
          <cell r="BB156">
            <v>337754020903.51123</v>
          </cell>
          <cell r="BC156">
            <v>189249974002.43741</v>
          </cell>
        </row>
        <row r="157">
          <cell r="AY157">
            <v>738339546161.81152</v>
          </cell>
          <cell r="AZ157">
            <v>629672933155.46863</v>
          </cell>
          <cell r="BA157">
            <v>510188855420.25092</v>
          </cell>
          <cell r="BB157">
            <v>374635987877.88025</v>
          </cell>
          <cell r="BC157">
            <v>347868889458.99707</v>
          </cell>
        </row>
        <row r="158">
          <cell r="AY158">
            <v>797102911601.48499</v>
          </cell>
          <cell r="AZ158">
            <v>688663253852.94568</v>
          </cell>
          <cell r="BA158">
            <v>564297844161.56458</v>
          </cell>
          <cell r="BB158">
            <v>548214630388.12073</v>
          </cell>
          <cell r="BC158">
            <v>582289978674.91223</v>
          </cell>
        </row>
        <row r="159">
          <cell r="AY159">
            <v>860495562269.66663</v>
          </cell>
          <cell r="AZ159">
            <v>747682183113.46594</v>
          </cell>
          <cell r="BA159">
            <v>727869067773.1106</v>
          </cell>
          <cell r="BB159">
            <v>754641854105.57886</v>
          </cell>
          <cell r="BC159">
            <v>790407413927.31445</v>
          </cell>
        </row>
        <row r="160">
          <cell r="AY160">
            <v>928879302833.49597</v>
          </cell>
          <cell r="AZ160">
            <v>903973198443.03918</v>
          </cell>
          <cell r="BA160">
            <v>935825174936.44128</v>
          </cell>
          <cell r="BB160">
            <v>961795192564.23572</v>
          </cell>
          <cell r="BC160">
            <v>1003140717314.9099</v>
          </cell>
        </row>
        <row r="161">
          <cell r="AY161">
            <v>1002644026469.0956</v>
          </cell>
          <cell r="AZ161">
            <v>1027273792770.708</v>
          </cell>
          <cell r="BA161">
            <v>1064282722374.2266</v>
          </cell>
          <cell r="BB161">
            <v>1091577044614.7816</v>
          </cell>
          <cell r="BC161">
            <v>1135887759890.1814</v>
          </cell>
        </row>
        <row r="162">
          <cell r="AY162">
            <v>1082209883069.2892</v>
          </cell>
          <cell r="AZ162">
            <v>1107643344892.1157</v>
          </cell>
          <cell r="BA162">
            <v>1146284267736.2339</v>
          </cell>
          <cell r="BB162">
            <v>1174423966733.0981</v>
          </cell>
          <cell r="BC162">
            <v>1216978156216.8015</v>
          </cell>
        </row>
        <row r="163">
          <cell r="AY163">
            <v>1168029613994.866</v>
          </cell>
          <cell r="AZ163">
            <v>1194329941786.6379</v>
          </cell>
          <cell r="BA163">
            <v>1234731132556.0339</v>
          </cell>
          <cell r="BB163">
            <v>1263782654901.5557</v>
          </cell>
          <cell r="BC163">
            <v>1308218079925.6477</v>
          </cell>
        </row>
        <row r="164">
          <cell r="AY164">
            <v>1260591066106.8557</v>
          </cell>
          <cell r="AZ164">
            <v>1287826358061.3748</v>
          </cell>
          <cell r="BA164">
            <v>1330126097782.239</v>
          </cell>
          <cell r="BB164">
            <v>1360161073377.5156</v>
          </cell>
          <cell r="BC164">
            <v>1406625517737.9434</v>
          </cell>
        </row>
        <row r="165">
          <cell r="AY165">
            <v>1360419898787.752</v>
          </cell>
          <cell r="AZ165">
            <v>1388663562789.5527</v>
          </cell>
          <cell r="BA165">
            <v>1433010914411.0928</v>
          </cell>
          <cell r="BB165">
            <v>1464106558219.0378</v>
          </cell>
          <cell r="BC165">
            <v>1512759328576.1294</v>
          </cell>
        </row>
      </sheetData>
      <sheetData sheetId="15"/>
      <sheetData sheetId="16">
        <row r="8">
          <cell r="EY8">
            <v>0</v>
          </cell>
        </row>
      </sheetData>
      <sheetData sheetId="17"/>
      <sheetData sheetId="1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节奏总纲"/>
      <sheetName val="其他调用"/>
      <sheetName val="基础状态预期"/>
      <sheetName val="备份"/>
      <sheetName val="武将升星"/>
      <sheetName val="武将升级"/>
      <sheetName val="第4特性"/>
      <sheetName val="武将羁绊"/>
      <sheetName val="三国武将羁绊"/>
      <sheetName val="武将上阵羁绊"/>
      <sheetName val="武将进阶"/>
      <sheetName val="武将觉醒"/>
      <sheetName val="武将经验消耗"/>
      <sheetName val="银币消耗"/>
      <sheetName val="属性汇总"/>
      <sheetName val="武将升星（废弃）"/>
      <sheetName val="Sheet2"/>
      <sheetName val="武将觉醒(废弃）"/>
      <sheetName val="属性分配（废弃）"/>
      <sheetName val="武将数量星级阶位验证"/>
      <sheetName val="抽奖相关（日韩版本）"/>
      <sheetName val="140武将价值"/>
      <sheetName val="祈愿验证"/>
      <sheetName val="武将战力价值情况"/>
      <sheetName val="各r阵容卡情况"/>
      <sheetName val="抽奖券产出"/>
      <sheetName val="武将产出"/>
      <sheetName val="消耗-武将觉醒"/>
      <sheetName val="消耗-武将升星"/>
      <sheetName val="升级经验"/>
      <sheetName val="非r"/>
      <sheetName val="小r"/>
      <sheetName val="中r"/>
      <sheetName val="大r"/>
      <sheetName val="超r"/>
      <sheetName val="非r分类武将战斗属性"/>
      <sheetName val="中r分类武将战斗属性"/>
      <sheetName val="超r分类武将战斗属性"/>
      <sheetName val="Sheet1"/>
      <sheetName val="武将资质"/>
      <sheetName val="武将三维评级"/>
      <sheetName val="羁绊传记"/>
      <sheetName val="武将特性解锁"/>
      <sheetName val="羁绊简述"/>
      <sheetName val="羁绊设计"/>
      <sheetName val="羁绊解锁统计"/>
      <sheetName val="分列处理"/>
      <sheetName val="各武将羁绊具体加成"/>
      <sheetName val="武将"/>
      <sheetName val="武将怪物"/>
      <sheetName val="导表"/>
      <sheetName val="羁绊相关资料"/>
      <sheetName val="武将素材"/>
      <sheetName val="语言包"/>
      <sheetName val="语言包C"/>
      <sheetName val="140武将价值（草稿）"/>
    </sheetNames>
    <sheetDataSet>
      <sheetData sheetId="0"/>
      <sheetData sheetId="1"/>
      <sheetData sheetId="2">
        <row r="17">
          <cell r="C17">
            <v>1</v>
          </cell>
          <cell r="D17">
            <v>10</v>
          </cell>
          <cell r="F17"/>
          <cell r="G17"/>
          <cell r="H17">
            <v>2</v>
          </cell>
          <cell r="I17">
            <v>4</v>
          </cell>
          <cell r="J17"/>
        </row>
        <row r="18">
          <cell r="C18">
            <v>3</v>
          </cell>
          <cell r="D18">
            <v>20</v>
          </cell>
          <cell r="F18"/>
          <cell r="G18"/>
          <cell r="H18"/>
          <cell r="I18">
            <v>6</v>
          </cell>
          <cell r="J18"/>
        </row>
        <row r="19">
          <cell r="C19">
            <v>6</v>
          </cell>
          <cell r="D19">
            <v>28.071211008105138</v>
          </cell>
          <cell r="F19"/>
          <cell r="G19"/>
          <cell r="H19"/>
          <cell r="I19">
            <v>6</v>
          </cell>
          <cell r="J19"/>
        </row>
        <row r="20">
          <cell r="C20">
            <v>10</v>
          </cell>
          <cell r="D20">
            <v>34.585942742481357</v>
          </cell>
          <cell r="F20"/>
          <cell r="G20"/>
          <cell r="H20"/>
          <cell r="I20">
            <v>6</v>
          </cell>
          <cell r="J20"/>
        </row>
        <row r="21">
          <cell r="C21">
            <v>15</v>
          </cell>
          <cell r="D21">
            <v>40</v>
          </cell>
          <cell r="F21"/>
          <cell r="G21"/>
          <cell r="H21"/>
          <cell r="I21">
            <v>6</v>
          </cell>
          <cell r="J21"/>
        </row>
        <row r="22">
          <cell r="C22">
            <v>20</v>
          </cell>
          <cell r="D22">
            <v>43.920692243099523</v>
          </cell>
          <cell r="F22"/>
          <cell r="G22"/>
          <cell r="H22"/>
          <cell r="I22">
            <v>6</v>
          </cell>
          <cell r="J22"/>
        </row>
        <row r="23">
          <cell r="C23">
            <v>30</v>
          </cell>
          <cell r="D23">
            <v>49.533352307096472</v>
          </cell>
          <cell r="F23"/>
          <cell r="G23"/>
          <cell r="H23"/>
          <cell r="I23">
            <v>6</v>
          </cell>
          <cell r="J23"/>
        </row>
        <row r="24">
          <cell r="C24">
            <v>40</v>
          </cell>
          <cell r="D24">
            <v>53.567039423670657</v>
          </cell>
          <cell r="F24"/>
          <cell r="G24"/>
          <cell r="H24"/>
          <cell r="I24">
            <v>5</v>
          </cell>
          <cell r="J24">
            <v>1</v>
          </cell>
        </row>
        <row r="25">
          <cell r="C25">
            <v>60</v>
          </cell>
          <cell r="D25">
            <v>59.300028460644697</v>
          </cell>
          <cell r="F25"/>
          <cell r="G25"/>
          <cell r="H25"/>
          <cell r="I25">
            <v>4</v>
          </cell>
          <cell r="J25">
            <v>2</v>
          </cell>
        </row>
        <row r="26">
          <cell r="C26">
            <v>90</v>
          </cell>
          <cell r="D26">
            <v>65.075479910097457</v>
          </cell>
          <cell r="F26"/>
          <cell r="G26"/>
          <cell r="H26"/>
          <cell r="I26">
            <v>3</v>
          </cell>
          <cell r="J26">
            <v>3</v>
          </cell>
        </row>
        <row r="27">
          <cell r="C27">
            <v>120</v>
          </cell>
          <cell r="D27">
            <v>69.18336653741882</v>
          </cell>
          <cell r="F27"/>
          <cell r="G27"/>
          <cell r="H27"/>
          <cell r="I27">
            <v>2</v>
          </cell>
          <cell r="J27">
            <v>4</v>
          </cell>
        </row>
        <row r="28">
          <cell r="C28">
            <v>150</v>
          </cell>
          <cell r="D28">
            <v>72.375871759353331</v>
          </cell>
          <cell r="F28"/>
          <cell r="G28"/>
          <cell r="H28"/>
          <cell r="I28">
            <v>1</v>
          </cell>
          <cell r="J28">
            <v>5</v>
          </cell>
        </row>
        <row r="29">
          <cell r="C29">
            <v>180</v>
          </cell>
          <cell r="D29">
            <v>74.998404927577795</v>
          </cell>
          <cell r="F29"/>
          <cell r="G29"/>
          <cell r="H29"/>
          <cell r="I29">
            <v>0.5</v>
          </cell>
          <cell r="J29">
            <v>5.5</v>
          </cell>
        </row>
        <row r="30">
          <cell r="C30">
            <v>220</v>
          </cell>
          <cell r="D30">
            <v>77.875308029777003</v>
          </cell>
          <cell r="F30"/>
          <cell r="G30"/>
          <cell r="H30"/>
          <cell r="I30"/>
          <cell r="J30">
            <v>6</v>
          </cell>
        </row>
        <row r="31">
          <cell r="C31">
            <v>260</v>
          </cell>
          <cell r="D31">
            <v>80.272123558064706</v>
          </cell>
          <cell r="F31"/>
          <cell r="G31"/>
          <cell r="H31"/>
          <cell r="I31"/>
          <cell r="J31">
            <v>6</v>
          </cell>
        </row>
        <row r="32">
          <cell r="C32">
            <v>300</v>
          </cell>
          <cell r="D32">
            <v>82.328492296001457</v>
          </cell>
          <cell r="F32"/>
          <cell r="G32"/>
          <cell r="H32"/>
          <cell r="I32"/>
          <cell r="J32">
            <v>6</v>
          </cell>
        </row>
        <row r="33">
          <cell r="C33">
            <v>340</v>
          </cell>
          <cell r="D33">
            <v>84.132234338875293</v>
          </cell>
          <cell r="F33"/>
          <cell r="G33"/>
          <cell r="H33"/>
          <cell r="I33"/>
          <cell r="J33">
            <v>6</v>
          </cell>
        </row>
        <row r="34">
          <cell r="C34">
            <v>400</v>
          </cell>
          <cell r="D34">
            <v>86.465948248806328</v>
          </cell>
          <cell r="F34"/>
          <cell r="G34"/>
          <cell r="H34"/>
          <cell r="I34"/>
          <cell r="J34">
            <v>6</v>
          </cell>
        </row>
        <row r="35">
          <cell r="C35">
            <v>520</v>
          </cell>
          <cell r="D35">
            <v>90.244911202258237</v>
          </cell>
          <cell r="F35"/>
          <cell r="G35"/>
          <cell r="H35"/>
          <cell r="I35"/>
          <cell r="J35">
            <v>6</v>
          </cell>
        </row>
        <row r="36">
          <cell r="C36">
            <v>640</v>
          </cell>
          <cell r="D36">
            <v>93.235489905456092</v>
          </cell>
          <cell r="F36"/>
          <cell r="G36"/>
          <cell r="H36"/>
          <cell r="I36"/>
          <cell r="J36">
            <v>6</v>
          </cell>
        </row>
        <row r="37">
          <cell r="C37">
            <v>820</v>
          </cell>
          <cell r="D37">
            <v>96.807063977001675</v>
          </cell>
          <cell r="F37"/>
          <cell r="G37"/>
          <cell r="H37"/>
          <cell r="I37"/>
          <cell r="J37">
            <v>6</v>
          </cell>
        </row>
        <row r="38">
          <cell r="C38">
            <v>1060</v>
          </cell>
          <cell r="D38">
            <v>100.50342858241972</v>
          </cell>
          <cell r="F38"/>
          <cell r="G38"/>
          <cell r="H38"/>
          <cell r="I38"/>
          <cell r="J38">
            <v>6</v>
          </cell>
        </row>
        <row r="39">
          <cell r="C39">
            <v>1360</v>
          </cell>
          <cell r="D39">
            <v>104.10129967499306</v>
          </cell>
          <cell r="F39"/>
          <cell r="G39"/>
          <cell r="H39"/>
          <cell r="I39"/>
          <cell r="J39">
            <v>6</v>
          </cell>
        </row>
        <row r="40">
          <cell r="C40">
            <v>1720</v>
          </cell>
          <cell r="D40">
            <v>107.48165553683219</v>
          </cell>
          <cell r="F40"/>
          <cell r="G40"/>
          <cell r="H40"/>
          <cell r="I40"/>
          <cell r="J40">
            <v>6</v>
          </cell>
        </row>
        <row r="41">
          <cell r="C41">
            <v>2200</v>
          </cell>
          <cell r="D41">
            <v>111.03813549320469</v>
          </cell>
          <cell r="F41"/>
          <cell r="G41"/>
          <cell r="H41"/>
          <cell r="I41"/>
          <cell r="J41">
            <v>6</v>
          </cell>
        </row>
        <row r="42">
          <cell r="C42">
            <v>2800</v>
          </cell>
          <cell r="D42">
            <v>114.50860608277577</v>
          </cell>
          <cell r="F42"/>
          <cell r="G42"/>
          <cell r="H42"/>
          <cell r="I42"/>
          <cell r="J42">
            <v>6</v>
          </cell>
        </row>
        <row r="43">
          <cell r="C43">
            <v>3580</v>
          </cell>
          <cell r="D43">
            <v>118.05948896247369</v>
          </cell>
          <cell r="F43"/>
          <cell r="G43"/>
          <cell r="H43"/>
          <cell r="I43"/>
          <cell r="J43">
            <v>6</v>
          </cell>
        </row>
        <row r="44">
          <cell r="C44">
            <v>4540</v>
          </cell>
          <cell r="D44">
            <v>121.47928719052189</v>
          </cell>
          <cell r="F44"/>
          <cell r="G44"/>
          <cell r="H44"/>
          <cell r="I44"/>
          <cell r="J44">
            <v>6</v>
          </cell>
        </row>
        <row r="45">
          <cell r="C45">
            <v>5800</v>
          </cell>
          <cell r="D45">
            <v>125.02015904129435</v>
          </cell>
          <cell r="F45"/>
          <cell r="G45"/>
          <cell r="H45"/>
          <cell r="I45"/>
          <cell r="J45">
            <v>6</v>
          </cell>
        </row>
        <row r="46">
          <cell r="C46">
            <v>7420</v>
          </cell>
          <cell r="D46">
            <v>128.56549059889721</v>
          </cell>
          <cell r="F46"/>
          <cell r="G46"/>
          <cell r="H46"/>
          <cell r="I46"/>
          <cell r="J46">
            <v>6</v>
          </cell>
        </row>
        <row r="47">
          <cell r="C47">
            <v>9460</v>
          </cell>
          <cell r="D47">
            <v>132.07530828871487</v>
          </cell>
          <cell r="F47"/>
          <cell r="G47"/>
          <cell r="H47"/>
          <cell r="I47"/>
          <cell r="J47">
            <v>6</v>
          </cell>
        </row>
        <row r="48">
          <cell r="C48">
            <v>12040</v>
          </cell>
          <cell r="D48">
            <v>135.54811255008914</v>
          </cell>
          <cell r="F48"/>
          <cell r="G48"/>
          <cell r="H48"/>
          <cell r="I48"/>
          <cell r="J48">
            <v>6</v>
          </cell>
        </row>
        <row r="49">
          <cell r="C49">
            <v>15340</v>
          </cell>
          <cell r="D49">
            <v>139.0493876099641</v>
          </cell>
          <cell r="F49"/>
          <cell r="G49"/>
          <cell r="H49"/>
          <cell r="I49"/>
          <cell r="J49">
            <v>6</v>
          </cell>
        </row>
        <row r="50">
          <cell r="C50">
            <v>19540</v>
          </cell>
          <cell r="D50">
            <v>142.53355653582128</v>
          </cell>
          <cell r="F50"/>
          <cell r="G50"/>
          <cell r="H50"/>
          <cell r="I50"/>
          <cell r="J50">
            <v>6</v>
          </cell>
        </row>
        <row r="51">
          <cell r="C51">
            <v>24880</v>
          </cell>
          <cell r="D51">
            <v>146.02664953963369</v>
          </cell>
          <cell r="F51"/>
          <cell r="G51"/>
          <cell r="H51"/>
          <cell r="I51"/>
          <cell r="J51">
            <v>6</v>
          </cell>
        </row>
        <row r="52">
          <cell r="C52">
            <v>31720</v>
          </cell>
          <cell r="D52">
            <v>149.52287096243165</v>
          </cell>
          <cell r="F52"/>
          <cell r="G52"/>
          <cell r="H52"/>
          <cell r="I52"/>
          <cell r="J52">
            <v>6</v>
          </cell>
        </row>
        <row r="53">
          <cell r="C53">
            <v>40420</v>
          </cell>
          <cell r="D53">
            <v>153.02723536432757</v>
          </cell>
          <cell r="F53"/>
          <cell r="G53"/>
          <cell r="H53"/>
          <cell r="I53"/>
          <cell r="J53">
            <v>6</v>
          </cell>
        </row>
        <row r="54">
          <cell r="C54">
            <v>51520</v>
          </cell>
          <cell r="D54">
            <v>156.52008914974525</v>
          </cell>
          <cell r="F54"/>
          <cell r="G54"/>
          <cell r="H54"/>
          <cell r="I54"/>
          <cell r="J54">
            <v>6</v>
          </cell>
        </row>
        <row r="55">
          <cell r="C55">
            <v>65500</v>
          </cell>
          <cell r="D55">
            <v>159.99202506384199</v>
          </cell>
          <cell r="F55"/>
          <cell r="G55"/>
          <cell r="H55"/>
          <cell r="I55"/>
          <cell r="J55">
            <v>6</v>
          </cell>
        </row>
        <row r="62">
          <cell r="C62">
            <v>0.85</v>
          </cell>
          <cell r="D62">
            <v>9.9592453074578113</v>
          </cell>
          <cell r="F62"/>
          <cell r="G62"/>
          <cell r="H62">
            <v>2</v>
          </cell>
          <cell r="I62">
            <v>4</v>
          </cell>
          <cell r="J62"/>
        </row>
        <row r="63">
          <cell r="C63">
            <v>2.5499999999999998</v>
          </cell>
          <cell r="D63">
            <v>19.766822802328868</v>
          </cell>
          <cell r="F63"/>
          <cell r="G63"/>
          <cell r="H63"/>
          <cell r="I63">
            <v>6</v>
          </cell>
          <cell r="J63"/>
        </row>
        <row r="64">
          <cell r="C64">
            <v>5.0999999999999996</v>
          </cell>
          <cell r="D64">
            <v>27.773265580596355</v>
          </cell>
          <cell r="F64"/>
          <cell r="G64"/>
          <cell r="H64"/>
          <cell r="I64">
            <v>6</v>
          </cell>
          <cell r="J64"/>
        </row>
        <row r="65">
          <cell r="C65">
            <v>8.5</v>
          </cell>
          <cell r="D65">
            <v>34.250806171891597</v>
          </cell>
          <cell r="F65"/>
          <cell r="G65"/>
          <cell r="H65"/>
          <cell r="I65">
            <v>6</v>
          </cell>
          <cell r="J65"/>
        </row>
        <row r="66">
          <cell r="C66">
            <v>12.75</v>
          </cell>
          <cell r="D66">
            <v>39.661158518499626</v>
          </cell>
          <cell r="F66"/>
          <cell r="G66"/>
          <cell r="H66"/>
          <cell r="I66">
            <v>6</v>
          </cell>
          <cell r="J66"/>
        </row>
        <row r="67">
          <cell r="C67">
            <v>17</v>
          </cell>
          <cell r="D67">
            <v>43.535389560453282</v>
          </cell>
          <cell r="F67"/>
          <cell r="G67"/>
          <cell r="H67"/>
          <cell r="I67">
            <v>6</v>
          </cell>
          <cell r="J67"/>
        </row>
        <row r="68">
          <cell r="C68">
            <v>25.5</v>
          </cell>
          <cell r="D68">
            <v>49.178590903134719</v>
          </cell>
          <cell r="F68"/>
          <cell r="G68"/>
          <cell r="H68"/>
          <cell r="I68">
            <v>6</v>
          </cell>
          <cell r="J68"/>
        </row>
        <row r="69">
          <cell r="C69">
            <v>34</v>
          </cell>
          <cell r="D69">
            <v>53.226994578658328</v>
          </cell>
          <cell r="F69"/>
          <cell r="G69"/>
          <cell r="H69"/>
          <cell r="I69">
            <v>5</v>
          </cell>
          <cell r="J69">
            <v>1</v>
          </cell>
        </row>
        <row r="70">
          <cell r="C70">
            <v>51</v>
          </cell>
          <cell r="D70">
            <v>59.016342740868758</v>
          </cell>
          <cell r="F70"/>
          <cell r="G70"/>
          <cell r="H70"/>
          <cell r="I70">
            <v>4</v>
          </cell>
          <cell r="J70">
            <v>2</v>
          </cell>
        </row>
        <row r="71">
          <cell r="C71">
            <v>76.5</v>
          </cell>
          <cell r="D71">
            <v>64.781009552500748</v>
          </cell>
          <cell r="F71"/>
          <cell r="G71"/>
          <cell r="H71"/>
          <cell r="I71">
            <v>3</v>
          </cell>
          <cell r="J71">
            <v>3</v>
          </cell>
        </row>
        <row r="72">
          <cell r="C72">
            <v>102</v>
          </cell>
          <cell r="D72">
            <v>68.923431594456531</v>
          </cell>
          <cell r="F72"/>
          <cell r="G72"/>
          <cell r="H72"/>
          <cell r="I72">
            <v>2</v>
          </cell>
          <cell r="J72">
            <v>4</v>
          </cell>
        </row>
        <row r="73">
          <cell r="C73">
            <v>127.5</v>
          </cell>
          <cell r="D73">
            <v>72.103942950990486</v>
          </cell>
          <cell r="F73"/>
          <cell r="G73"/>
          <cell r="H73"/>
          <cell r="I73">
            <v>1</v>
          </cell>
          <cell r="J73">
            <v>5</v>
          </cell>
        </row>
        <row r="74">
          <cell r="C74">
            <v>153</v>
          </cell>
          <cell r="D74">
            <v>74.74003809013405</v>
          </cell>
          <cell r="F74"/>
          <cell r="G74"/>
          <cell r="H74"/>
          <cell r="I74">
            <v>0.5</v>
          </cell>
          <cell r="J74">
            <v>5.5</v>
          </cell>
        </row>
        <row r="75">
          <cell r="C75">
            <v>187</v>
          </cell>
          <cell r="D75">
            <v>77.609642525433856</v>
          </cell>
          <cell r="F75"/>
          <cell r="G75"/>
          <cell r="H75"/>
          <cell r="I75"/>
          <cell r="J75">
            <v>6</v>
          </cell>
        </row>
        <row r="76">
          <cell r="C76">
            <v>221</v>
          </cell>
          <cell r="D76">
            <v>79.994335665275713</v>
          </cell>
          <cell r="F76"/>
          <cell r="G76"/>
          <cell r="H76"/>
          <cell r="I76"/>
          <cell r="J76">
            <v>6</v>
          </cell>
        </row>
        <row r="77">
          <cell r="C77">
            <v>255</v>
          </cell>
          <cell r="D77">
            <v>82.100546804797787</v>
          </cell>
          <cell r="F77"/>
          <cell r="G77"/>
          <cell r="H77"/>
          <cell r="I77"/>
          <cell r="J77">
            <v>6</v>
          </cell>
        </row>
        <row r="78">
          <cell r="C78">
            <v>289</v>
          </cell>
          <cell r="D78">
            <v>83.885420957389968</v>
          </cell>
          <cell r="F78"/>
          <cell r="G78"/>
          <cell r="H78"/>
          <cell r="I78"/>
          <cell r="J78">
            <v>6</v>
          </cell>
        </row>
        <row r="79">
          <cell r="C79">
            <v>340</v>
          </cell>
          <cell r="D79">
            <v>86.247032860782397</v>
          </cell>
          <cell r="F79"/>
          <cell r="G79"/>
          <cell r="H79"/>
          <cell r="I79"/>
          <cell r="J79">
            <v>6</v>
          </cell>
        </row>
        <row r="80">
          <cell r="C80">
            <v>442</v>
          </cell>
          <cell r="D80">
            <v>90.122782504866933</v>
          </cell>
          <cell r="F80"/>
          <cell r="G80"/>
          <cell r="H80"/>
          <cell r="I80"/>
          <cell r="J80">
            <v>6</v>
          </cell>
        </row>
        <row r="81">
          <cell r="C81">
            <v>544</v>
          </cell>
          <cell r="D81">
            <v>93.149045658279036</v>
          </cell>
          <cell r="F81"/>
          <cell r="G81"/>
          <cell r="H81"/>
          <cell r="I81"/>
          <cell r="J81">
            <v>6</v>
          </cell>
        </row>
        <row r="82">
          <cell r="C82">
            <v>697</v>
          </cell>
          <cell r="D82">
            <v>96.770480813454071</v>
          </cell>
          <cell r="F82"/>
          <cell r="G82"/>
          <cell r="H82"/>
          <cell r="I82"/>
          <cell r="J82">
            <v>6</v>
          </cell>
        </row>
        <row r="83">
          <cell r="C83">
            <v>901</v>
          </cell>
          <cell r="D83">
            <v>100.40175326279811</v>
          </cell>
          <cell r="F83"/>
          <cell r="G83"/>
          <cell r="H83"/>
          <cell r="I83"/>
          <cell r="J83">
            <v>6</v>
          </cell>
        </row>
        <row r="84">
          <cell r="C84">
            <v>1156</v>
          </cell>
          <cell r="D84">
            <v>104.06236366727887</v>
          </cell>
          <cell r="F84"/>
          <cell r="G84"/>
          <cell r="H84"/>
          <cell r="I84"/>
          <cell r="J84">
            <v>6</v>
          </cell>
        </row>
        <row r="85">
          <cell r="C85">
            <v>1462</v>
          </cell>
          <cell r="D85">
            <v>107.42257994053838</v>
          </cell>
          <cell r="F85"/>
          <cell r="G85"/>
          <cell r="H85"/>
          <cell r="I85"/>
          <cell r="J85">
            <v>6</v>
          </cell>
        </row>
        <row r="86">
          <cell r="C86">
            <v>1870</v>
          </cell>
          <cell r="D86">
            <v>111.00691759243479</v>
          </cell>
          <cell r="F86"/>
          <cell r="G86"/>
          <cell r="H86"/>
          <cell r="I86"/>
          <cell r="J86">
            <v>6</v>
          </cell>
        </row>
        <row r="87">
          <cell r="C87">
            <v>2380</v>
          </cell>
          <cell r="D87">
            <v>114.47614359759058</v>
          </cell>
          <cell r="F87"/>
          <cell r="G87"/>
          <cell r="H87"/>
          <cell r="I87"/>
          <cell r="J87">
            <v>6</v>
          </cell>
        </row>
        <row r="88">
          <cell r="C88">
            <v>3043</v>
          </cell>
          <cell r="D88">
            <v>118.05724034557241</v>
          </cell>
          <cell r="F88"/>
          <cell r="G88"/>
          <cell r="H88"/>
          <cell r="I88"/>
          <cell r="J88">
            <v>6</v>
          </cell>
        </row>
        <row r="89">
          <cell r="C89">
            <v>3859</v>
          </cell>
          <cell r="D89">
            <v>121.49411884885473</v>
          </cell>
          <cell r="F89"/>
          <cell r="G89"/>
          <cell r="H89"/>
          <cell r="I89"/>
          <cell r="J89">
            <v>6</v>
          </cell>
        </row>
        <row r="90">
          <cell r="C90">
            <v>4930</v>
          </cell>
          <cell r="D90">
            <v>125.03100311549058</v>
          </cell>
          <cell r="F90"/>
          <cell r="G90"/>
          <cell r="H90"/>
          <cell r="I90"/>
          <cell r="J90">
            <v>6</v>
          </cell>
        </row>
        <row r="91">
          <cell r="C91">
            <v>6307</v>
          </cell>
          <cell r="D91">
            <v>128.62542789463421</v>
          </cell>
          <cell r="F91"/>
          <cell r="G91"/>
          <cell r="H91"/>
          <cell r="I91"/>
          <cell r="J91">
            <v>6</v>
          </cell>
        </row>
        <row r="92">
          <cell r="C92">
            <v>8041</v>
          </cell>
          <cell r="D92">
            <v>132.09902390525281</v>
          </cell>
          <cell r="F92"/>
          <cell r="G92"/>
          <cell r="H92"/>
          <cell r="I92"/>
          <cell r="J92">
            <v>6</v>
          </cell>
        </row>
        <row r="93">
          <cell r="C93">
            <v>10234</v>
          </cell>
          <cell r="D93">
            <v>135.61521761503846</v>
          </cell>
          <cell r="F93"/>
          <cell r="G93"/>
          <cell r="H93"/>
          <cell r="I93"/>
          <cell r="J93">
            <v>6</v>
          </cell>
        </row>
        <row r="94">
          <cell r="C94">
            <v>13039</v>
          </cell>
          <cell r="D94">
            <v>139.08794136138388</v>
          </cell>
          <cell r="F94"/>
          <cell r="G94"/>
          <cell r="H94"/>
          <cell r="I94"/>
          <cell r="J94">
            <v>6</v>
          </cell>
        </row>
        <row r="95">
          <cell r="C95">
            <v>16609</v>
          </cell>
          <cell r="D95">
            <v>142.60670974426387</v>
          </cell>
          <cell r="F95"/>
          <cell r="G95"/>
          <cell r="H95"/>
          <cell r="I95"/>
          <cell r="J95">
            <v>6</v>
          </cell>
        </row>
        <row r="96">
          <cell r="C96">
            <v>21148</v>
          </cell>
          <cell r="D96">
            <v>146.07830147206653</v>
          </cell>
          <cell r="F96"/>
          <cell r="G96"/>
          <cell r="H96"/>
          <cell r="I96"/>
          <cell r="J96">
            <v>6</v>
          </cell>
        </row>
        <row r="97">
          <cell r="C97">
            <v>26962</v>
          </cell>
          <cell r="D97">
            <v>149.61701338734093</v>
          </cell>
          <cell r="F97"/>
          <cell r="G97"/>
          <cell r="H97"/>
          <cell r="I97"/>
          <cell r="J97">
            <v>6</v>
          </cell>
        </row>
        <row r="98">
          <cell r="C98">
            <v>34357</v>
          </cell>
          <cell r="D98">
            <v>153.01012120353457</v>
          </cell>
          <cell r="F98"/>
          <cell r="G98"/>
          <cell r="H98"/>
          <cell r="I98"/>
          <cell r="J98">
            <v>6</v>
          </cell>
        </row>
        <row r="99">
          <cell r="C99">
            <v>43792</v>
          </cell>
          <cell r="D99">
            <v>154.95970315183646</v>
          </cell>
          <cell r="F99"/>
          <cell r="G99"/>
          <cell r="H99"/>
          <cell r="I99"/>
          <cell r="J99">
            <v>6</v>
          </cell>
        </row>
        <row r="100">
          <cell r="C100">
            <v>55675</v>
          </cell>
          <cell r="D100">
            <v>157.63974470288184</v>
          </cell>
          <cell r="F100"/>
          <cell r="G100"/>
          <cell r="H100"/>
          <cell r="I100"/>
          <cell r="J100">
            <v>6</v>
          </cell>
        </row>
        <row r="107">
          <cell r="C107">
            <v>0.7</v>
          </cell>
          <cell r="D107">
            <v>10.099965341977441</v>
          </cell>
          <cell r="F107"/>
          <cell r="G107"/>
          <cell r="H107">
            <v>2</v>
          </cell>
          <cell r="I107">
            <v>4</v>
          </cell>
          <cell r="J107"/>
        </row>
        <row r="108">
          <cell r="C108">
            <v>2.0999999999999996</v>
          </cell>
          <cell r="D108">
            <v>19.800198258084681</v>
          </cell>
          <cell r="F108"/>
          <cell r="G108"/>
          <cell r="H108"/>
          <cell r="I108">
            <v>6</v>
          </cell>
          <cell r="J108"/>
        </row>
        <row r="109">
          <cell r="C109">
            <v>4.1999999999999993</v>
          </cell>
          <cell r="D109">
            <v>27.769105021676069</v>
          </cell>
          <cell r="F109"/>
          <cell r="G109"/>
          <cell r="H109"/>
          <cell r="I109">
            <v>6</v>
          </cell>
          <cell r="J109"/>
        </row>
        <row r="110">
          <cell r="C110">
            <v>7</v>
          </cell>
          <cell r="D110">
            <v>34.192155176139416</v>
          </cell>
          <cell r="F110"/>
          <cell r="G110"/>
          <cell r="H110"/>
          <cell r="I110">
            <v>6</v>
          </cell>
          <cell r="J110"/>
        </row>
        <row r="111">
          <cell r="C111">
            <v>10.5</v>
          </cell>
          <cell r="D111">
            <v>39.631851677253941</v>
          </cell>
          <cell r="F111"/>
          <cell r="G111"/>
          <cell r="H111"/>
          <cell r="I111">
            <v>6</v>
          </cell>
          <cell r="J111"/>
        </row>
        <row r="112">
          <cell r="C112">
            <v>14</v>
          </cell>
          <cell r="D112">
            <v>43.484929789964411</v>
          </cell>
          <cell r="F112"/>
          <cell r="G112"/>
          <cell r="H112"/>
          <cell r="I112">
            <v>6</v>
          </cell>
          <cell r="J112"/>
        </row>
        <row r="113">
          <cell r="C113">
            <v>21</v>
          </cell>
          <cell r="D113">
            <v>49.18886033229559</v>
          </cell>
          <cell r="F113"/>
          <cell r="G113"/>
          <cell r="H113"/>
          <cell r="I113">
            <v>6</v>
          </cell>
          <cell r="J113"/>
        </row>
        <row r="114">
          <cell r="C114">
            <v>28</v>
          </cell>
          <cell r="D114">
            <v>53.212684955585161</v>
          </cell>
          <cell r="F114"/>
          <cell r="G114"/>
          <cell r="H114"/>
          <cell r="I114">
            <v>5</v>
          </cell>
          <cell r="J114">
            <v>1</v>
          </cell>
        </row>
        <row r="115">
          <cell r="C115">
            <v>42</v>
          </cell>
          <cell r="D115">
            <v>59.09095196730258</v>
          </cell>
          <cell r="F115"/>
          <cell r="G115"/>
          <cell r="H115"/>
          <cell r="I115">
            <v>4</v>
          </cell>
          <cell r="J115">
            <v>2</v>
          </cell>
        </row>
        <row r="116">
          <cell r="C116">
            <v>62.999999999999993</v>
          </cell>
          <cell r="D116">
            <v>64.819145630244321</v>
          </cell>
          <cell r="F116"/>
          <cell r="G116"/>
          <cell r="H116"/>
          <cell r="I116">
            <v>3</v>
          </cell>
          <cell r="J116">
            <v>3</v>
          </cell>
        </row>
        <row r="117">
          <cell r="C117">
            <v>84</v>
          </cell>
          <cell r="D117">
            <v>69.01697485309198</v>
          </cell>
          <cell r="F117"/>
          <cell r="G117"/>
          <cell r="H117"/>
          <cell r="I117">
            <v>2</v>
          </cell>
          <cell r="J117">
            <v>4</v>
          </cell>
        </row>
        <row r="118">
          <cell r="C118">
            <v>105</v>
          </cell>
          <cell r="D118">
            <v>72.23150684883845</v>
          </cell>
          <cell r="F118"/>
          <cell r="G118"/>
          <cell r="H118"/>
          <cell r="I118">
            <v>1</v>
          </cell>
          <cell r="J118">
            <v>5</v>
          </cell>
        </row>
        <row r="119">
          <cell r="C119">
            <v>125.99999999999999</v>
          </cell>
          <cell r="D119">
            <v>74.840792411391348</v>
          </cell>
          <cell r="F119"/>
          <cell r="G119"/>
          <cell r="H119"/>
          <cell r="I119">
            <v>0.5</v>
          </cell>
          <cell r="J119">
            <v>5.5</v>
          </cell>
        </row>
        <row r="120">
          <cell r="C120">
            <v>154</v>
          </cell>
          <cell r="D120">
            <v>77.697893604818219</v>
          </cell>
          <cell r="F120"/>
          <cell r="G120"/>
          <cell r="H120"/>
          <cell r="I120"/>
          <cell r="J120">
            <v>6</v>
          </cell>
        </row>
        <row r="121">
          <cell r="C121">
            <v>182</v>
          </cell>
          <cell r="D121">
            <v>80.134867890916794</v>
          </cell>
          <cell r="F121"/>
          <cell r="G121"/>
          <cell r="H121"/>
          <cell r="I121"/>
          <cell r="J121">
            <v>6</v>
          </cell>
        </row>
        <row r="122">
          <cell r="C122">
            <v>210</v>
          </cell>
          <cell r="D122">
            <v>82.238672852681816</v>
          </cell>
          <cell r="F122"/>
          <cell r="G122"/>
          <cell r="H122"/>
          <cell r="I122"/>
          <cell r="J122">
            <v>6</v>
          </cell>
        </row>
        <row r="123">
          <cell r="C123">
            <v>237.99999999999997</v>
          </cell>
          <cell r="D123">
            <v>84.043767921022209</v>
          </cell>
          <cell r="F123"/>
          <cell r="G123"/>
          <cell r="H123"/>
          <cell r="I123"/>
          <cell r="J123">
            <v>6</v>
          </cell>
        </row>
        <row r="124">
          <cell r="C124">
            <v>280</v>
          </cell>
          <cell r="D124">
            <v>86.385105215793828</v>
          </cell>
          <cell r="F124"/>
          <cell r="G124"/>
          <cell r="H124"/>
          <cell r="I124"/>
          <cell r="J124">
            <v>6</v>
          </cell>
        </row>
        <row r="125">
          <cell r="C125">
            <v>364</v>
          </cell>
          <cell r="D125">
            <v>90.406191748048585</v>
          </cell>
          <cell r="F125"/>
          <cell r="G125"/>
          <cell r="H125"/>
          <cell r="I125"/>
          <cell r="J125">
            <v>6</v>
          </cell>
        </row>
        <row r="126">
          <cell r="C126">
            <v>448</v>
          </cell>
          <cell r="D126">
            <v>93.471491811086082</v>
          </cell>
          <cell r="F126"/>
          <cell r="G126"/>
          <cell r="H126"/>
          <cell r="I126"/>
          <cell r="J126">
            <v>6</v>
          </cell>
        </row>
        <row r="127">
          <cell r="C127">
            <v>574</v>
          </cell>
          <cell r="D127">
            <v>97.107381566993553</v>
          </cell>
          <cell r="F127"/>
          <cell r="G127"/>
          <cell r="H127"/>
          <cell r="I127"/>
          <cell r="J127">
            <v>6</v>
          </cell>
        </row>
        <row r="128">
          <cell r="C128">
            <v>742</v>
          </cell>
          <cell r="D128">
            <v>100.71243145193914</v>
          </cell>
          <cell r="F128"/>
          <cell r="G128"/>
          <cell r="H128"/>
          <cell r="I128"/>
          <cell r="J128">
            <v>6</v>
          </cell>
        </row>
        <row r="129">
          <cell r="C129">
            <v>951.99999999999989</v>
          </cell>
          <cell r="D129">
            <v>104.39233713204413</v>
          </cell>
          <cell r="F129"/>
          <cell r="G129"/>
          <cell r="H129"/>
          <cell r="I129"/>
          <cell r="J129">
            <v>6</v>
          </cell>
        </row>
        <row r="130">
          <cell r="C130">
            <v>1204</v>
          </cell>
          <cell r="D130">
            <v>107.81562240612369</v>
          </cell>
          <cell r="F130"/>
          <cell r="G130"/>
          <cell r="H130"/>
          <cell r="I130"/>
          <cell r="J130">
            <v>6</v>
          </cell>
        </row>
        <row r="131">
          <cell r="C131">
            <v>1540</v>
          </cell>
          <cell r="D131">
            <v>111.36292001894914</v>
          </cell>
          <cell r="F131"/>
          <cell r="G131"/>
          <cell r="H131"/>
          <cell r="I131"/>
          <cell r="J131">
            <v>6</v>
          </cell>
        </row>
        <row r="132">
          <cell r="C132">
            <v>1959.9999999999998</v>
          </cell>
          <cell r="D132">
            <v>114.91934497223426</v>
          </cell>
          <cell r="F132"/>
          <cell r="G132"/>
          <cell r="H132"/>
          <cell r="I132"/>
          <cell r="J132">
            <v>6</v>
          </cell>
        </row>
        <row r="133">
          <cell r="C133">
            <v>2506</v>
          </cell>
          <cell r="D133">
            <v>118.44741987029688</v>
          </cell>
          <cell r="F133"/>
          <cell r="G133"/>
          <cell r="H133"/>
          <cell r="I133"/>
          <cell r="J133">
            <v>6</v>
          </cell>
        </row>
        <row r="134">
          <cell r="C134">
            <v>3178</v>
          </cell>
          <cell r="D134">
            <v>121.97211685892326</v>
          </cell>
          <cell r="F134"/>
          <cell r="G134"/>
          <cell r="H134"/>
          <cell r="I134"/>
          <cell r="J134">
            <v>6</v>
          </cell>
        </row>
        <row r="135">
          <cell r="C135">
            <v>4059.9999999999995</v>
          </cell>
          <cell r="D135">
            <v>125.41953077529134</v>
          </cell>
          <cell r="F135"/>
          <cell r="G135"/>
          <cell r="H135"/>
          <cell r="I135"/>
          <cell r="J135">
            <v>6</v>
          </cell>
        </row>
        <row r="136">
          <cell r="C136">
            <v>5194</v>
          </cell>
          <cell r="D136">
            <v>129.09045404756728</v>
          </cell>
          <cell r="F136"/>
          <cell r="G136"/>
          <cell r="H136"/>
          <cell r="I136"/>
          <cell r="J136">
            <v>6</v>
          </cell>
        </row>
        <row r="137">
          <cell r="C137">
            <v>6622</v>
          </cell>
          <cell r="D137">
            <v>132.53488795708068</v>
          </cell>
          <cell r="F137"/>
          <cell r="G137"/>
          <cell r="H137"/>
          <cell r="I137"/>
          <cell r="J137">
            <v>6</v>
          </cell>
        </row>
        <row r="138">
          <cell r="C138">
            <v>8428</v>
          </cell>
          <cell r="D138">
            <v>136.07141427598387</v>
          </cell>
          <cell r="F138"/>
          <cell r="G138"/>
          <cell r="H138"/>
          <cell r="I138"/>
          <cell r="J138">
            <v>6</v>
          </cell>
        </row>
        <row r="139">
          <cell r="C139">
            <v>10738</v>
          </cell>
          <cell r="D139">
            <v>139.56936219880694</v>
          </cell>
          <cell r="F139"/>
          <cell r="G139"/>
          <cell r="H139"/>
          <cell r="I139"/>
          <cell r="J139">
            <v>6</v>
          </cell>
        </row>
        <row r="140">
          <cell r="C140">
            <v>13678</v>
          </cell>
          <cell r="D140">
            <v>143.08413721822018</v>
          </cell>
          <cell r="F140"/>
          <cell r="G140"/>
          <cell r="H140"/>
          <cell r="I140"/>
          <cell r="J140">
            <v>6</v>
          </cell>
        </row>
        <row r="141">
          <cell r="C141">
            <v>17416</v>
          </cell>
          <cell r="D141">
            <v>146.62302564097175</v>
          </cell>
          <cell r="F141"/>
          <cell r="G141"/>
          <cell r="H141"/>
          <cell r="I141"/>
          <cell r="J141">
            <v>6</v>
          </cell>
        </row>
        <row r="142">
          <cell r="C142">
            <v>22204</v>
          </cell>
          <cell r="D142">
            <v>150.12999034316616</v>
          </cell>
          <cell r="F142"/>
          <cell r="G142"/>
          <cell r="H142"/>
          <cell r="I142"/>
          <cell r="J142">
            <v>6</v>
          </cell>
        </row>
        <row r="143">
          <cell r="C143">
            <v>28294</v>
          </cell>
          <cell r="D143">
            <v>153.11600330857166</v>
          </cell>
          <cell r="F143"/>
          <cell r="G143"/>
          <cell r="H143"/>
          <cell r="I143"/>
          <cell r="J143">
            <v>6</v>
          </cell>
        </row>
        <row r="144">
          <cell r="C144">
            <v>36064</v>
          </cell>
          <cell r="D144">
            <v>154.20294442048996</v>
          </cell>
          <cell r="F144"/>
          <cell r="G144"/>
          <cell r="H144"/>
          <cell r="I144"/>
          <cell r="J144">
            <v>6</v>
          </cell>
        </row>
        <row r="145">
          <cell r="C145">
            <v>45850</v>
          </cell>
          <cell r="D145">
            <v>155.2512378743358</v>
          </cell>
          <cell r="F145"/>
          <cell r="G145"/>
          <cell r="H145"/>
          <cell r="I145"/>
          <cell r="J145">
            <v>6</v>
          </cell>
        </row>
        <row r="152">
          <cell r="C152">
            <v>0.5</v>
          </cell>
          <cell r="D152">
            <v>10.00263241450434</v>
          </cell>
          <cell r="F152"/>
          <cell r="G152"/>
          <cell r="H152"/>
          <cell r="I152">
            <v>6</v>
          </cell>
          <cell r="J152"/>
        </row>
        <row r="153">
          <cell r="C153">
            <v>1.5</v>
          </cell>
          <cell r="D153">
            <v>19.43005414991557</v>
          </cell>
          <cell r="F153"/>
          <cell r="G153"/>
          <cell r="H153"/>
          <cell r="I153">
            <v>6</v>
          </cell>
          <cell r="J153"/>
        </row>
        <row r="154">
          <cell r="C154">
            <v>3</v>
          </cell>
          <cell r="D154">
            <v>27.324610510337703</v>
          </cell>
          <cell r="F154"/>
          <cell r="G154"/>
          <cell r="H154"/>
          <cell r="I154">
            <v>6</v>
          </cell>
          <cell r="J154"/>
        </row>
        <row r="155">
          <cell r="C155">
            <v>5</v>
          </cell>
          <cell r="D155">
            <v>33.672145166817529</v>
          </cell>
          <cell r="F155"/>
          <cell r="G155"/>
          <cell r="H155"/>
          <cell r="I155">
            <v>6</v>
          </cell>
          <cell r="J155"/>
        </row>
        <row r="156">
          <cell r="C156">
            <v>7.5</v>
          </cell>
          <cell r="D156">
            <v>39.138098927718012</v>
          </cell>
          <cell r="F156"/>
          <cell r="G156"/>
          <cell r="H156"/>
          <cell r="I156">
            <v>6</v>
          </cell>
          <cell r="J156"/>
        </row>
        <row r="157">
          <cell r="C157">
            <v>10</v>
          </cell>
          <cell r="D157">
            <v>42.970748198558951</v>
          </cell>
          <cell r="F157"/>
          <cell r="G157"/>
          <cell r="H157"/>
          <cell r="I157">
            <v>6</v>
          </cell>
          <cell r="J157"/>
        </row>
        <row r="158">
          <cell r="C158">
            <v>15</v>
          </cell>
          <cell r="D158">
            <v>48.731413734867289</v>
          </cell>
          <cell r="F158"/>
          <cell r="G158"/>
          <cell r="H158"/>
          <cell r="I158">
            <v>6</v>
          </cell>
          <cell r="J158"/>
        </row>
        <row r="159">
          <cell r="C159">
            <v>20</v>
          </cell>
          <cell r="D159">
            <v>52.769987980532711</v>
          </cell>
          <cell r="F159"/>
          <cell r="G159"/>
          <cell r="H159"/>
          <cell r="I159">
            <v>5</v>
          </cell>
          <cell r="J159">
            <v>1</v>
          </cell>
        </row>
        <row r="160">
          <cell r="C160">
            <v>30</v>
          </cell>
          <cell r="D160">
            <v>58.701446767877648</v>
          </cell>
          <cell r="F160"/>
          <cell r="G160"/>
          <cell r="H160"/>
          <cell r="I160">
            <v>4</v>
          </cell>
          <cell r="J160">
            <v>2</v>
          </cell>
        </row>
        <row r="161">
          <cell r="C161">
            <v>45</v>
          </cell>
          <cell r="D161">
            <v>64.399012521055653</v>
          </cell>
          <cell r="F161"/>
          <cell r="G161"/>
          <cell r="H161"/>
          <cell r="I161">
            <v>3</v>
          </cell>
          <cell r="J161">
            <v>3</v>
          </cell>
        </row>
        <row r="162">
          <cell r="C162">
            <v>60</v>
          </cell>
          <cell r="D162">
            <v>68.627579426319684</v>
          </cell>
          <cell r="F162"/>
          <cell r="G162"/>
          <cell r="H162"/>
          <cell r="I162">
            <v>2</v>
          </cell>
          <cell r="J162">
            <v>4</v>
          </cell>
        </row>
        <row r="163">
          <cell r="C163">
            <v>75</v>
          </cell>
          <cell r="D163">
            <v>71.882008108111634</v>
          </cell>
          <cell r="F163"/>
          <cell r="G163"/>
          <cell r="H163"/>
          <cell r="I163">
            <v>1</v>
          </cell>
          <cell r="J163">
            <v>5</v>
          </cell>
        </row>
        <row r="164">
          <cell r="C164">
            <v>90</v>
          </cell>
          <cell r="D164">
            <v>74.493385467679886</v>
          </cell>
          <cell r="F164"/>
          <cell r="G164"/>
          <cell r="H164"/>
          <cell r="I164">
            <v>0.5</v>
          </cell>
          <cell r="J164">
            <v>5.5</v>
          </cell>
        </row>
        <row r="165">
          <cell r="C165">
            <v>110</v>
          </cell>
          <cell r="D165">
            <v>77.332919927503724</v>
          </cell>
          <cell r="F165"/>
          <cell r="G165"/>
          <cell r="H165"/>
          <cell r="I165"/>
          <cell r="J165">
            <v>6</v>
          </cell>
        </row>
        <row r="166">
          <cell r="C166">
            <v>130</v>
          </cell>
          <cell r="D166">
            <v>79.813360188853366</v>
          </cell>
          <cell r="F166"/>
          <cell r="G166"/>
          <cell r="H166"/>
          <cell r="I166"/>
          <cell r="J166">
            <v>6</v>
          </cell>
        </row>
        <row r="167">
          <cell r="C167">
            <v>150</v>
          </cell>
          <cell r="D167">
            <v>81.919202803497143</v>
          </cell>
          <cell r="F167"/>
          <cell r="G167"/>
          <cell r="H167"/>
          <cell r="I167"/>
          <cell r="J167">
            <v>6</v>
          </cell>
        </row>
        <row r="168">
          <cell r="C168">
            <v>170</v>
          </cell>
          <cell r="D168">
            <v>83.738783536778797</v>
          </cell>
          <cell r="F168"/>
          <cell r="G168"/>
          <cell r="H168"/>
          <cell r="I168"/>
          <cell r="J168">
            <v>6</v>
          </cell>
        </row>
        <row r="169">
          <cell r="C169">
            <v>200</v>
          </cell>
          <cell r="D169">
            <v>86.045919706798657</v>
          </cell>
          <cell r="F169"/>
          <cell r="G169"/>
          <cell r="H169"/>
          <cell r="I169"/>
          <cell r="J169">
            <v>6</v>
          </cell>
        </row>
        <row r="170">
          <cell r="C170">
            <v>260</v>
          </cell>
          <cell r="D170">
            <v>90.288435080379244</v>
          </cell>
          <cell r="F170"/>
          <cell r="G170"/>
          <cell r="H170"/>
          <cell r="I170"/>
          <cell r="J170">
            <v>6</v>
          </cell>
        </row>
        <row r="171">
          <cell r="C171">
            <v>320</v>
          </cell>
          <cell r="D171">
            <v>93.400072017025948</v>
          </cell>
          <cell r="F171"/>
          <cell r="G171"/>
          <cell r="H171"/>
          <cell r="I171"/>
          <cell r="J171">
            <v>6</v>
          </cell>
        </row>
        <row r="172">
          <cell r="C172">
            <v>410</v>
          </cell>
          <cell r="D172">
            <v>97.006001686863456</v>
          </cell>
          <cell r="F172"/>
          <cell r="G172"/>
          <cell r="H172"/>
          <cell r="I172"/>
          <cell r="J172">
            <v>6</v>
          </cell>
        </row>
        <row r="173">
          <cell r="C173">
            <v>530</v>
          </cell>
          <cell r="D173">
            <v>100.64473135315967</v>
          </cell>
          <cell r="F173"/>
          <cell r="G173"/>
          <cell r="H173"/>
          <cell r="I173"/>
          <cell r="J173">
            <v>6</v>
          </cell>
        </row>
        <row r="174">
          <cell r="C174">
            <v>680</v>
          </cell>
          <cell r="D174">
            <v>104.30731379164318</v>
          </cell>
          <cell r="F174"/>
          <cell r="G174"/>
          <cell r="H174"/>
          <cell r="I174"/>
          <cell r="J174">
            <v>6</v>
          </cell>
        </row>
        <row r="175">
          <cell r="C175">
            <v>860</v>
          </cell>
          <cell r="D175">
            <v>107.78950972208385</v>
          </cell>
          <cell r="F175"/>
          <cell r="G175"/>
          <cell r="H175"/>
          <cell r="I175"/>
          <cell r="J175">
            <v>6</v>
          </cell>
        </row>
        <row r="176">
          <cell r="C176">
            <v>1100</v>
          </cell>
          <cell r="D176">
            <v>111.29737083030383</v>
          </cell>
          <cell r="F176"/>
          <cell r="G176"/>
          <cell r="H176"/>
          <cell r="I176"/>
          <cell r="J176">
            <v>6</v>
          </cell>
        </row>
        <row r="177">
          <cell r="C177">
            <v>1400</v>
          </cell>
          <cell r="D177">
            <v>114.91888401282834</v>
          </cell>
          <cell r="F177"/>
          <cell r="G177"/>
          <cell r="H177"/>
          <cell r="I177"/>
          <cell r="J177">
            <v>6</v>
          </cell>
        </row>
        <row r="178">
          <cell r="C178">
            <v>1790</v>
          </cell>
          <cell r="D178">
            <v>118.4172728380062</v>
          </cell>
          <cell r="F178"/>
          <cell r="G178"/>
          <cell r="H178"/>
          <cell r="I178"/>
          <cell r="J178">
            <v>6</v>
          </cell>
        </row>
        <row r="179">
          <cell r="C179">
            <v>2270</v>
          </cell>
          <cell r="D179">
            <v>121.99245722798884</v>
          </cell>
          <cell r="F179"/>
          <cell r="G179"/>
          <cell r="H179"/>
          <cell r="I179"/>
          <cell r="J179">
            <v>6</v>
          </cell>
        </row>
        <row r="180">
          <cell r="C180">
            <v>2900</v>
          </cell>
          <cell r="D180">
            <v>125.43876546297123</v>
          </cell>
          <cell r="F180"/>
          <cell r="G180"/>
          <cell r="H180"/>
          <cell r="I180"/>
          <cell r="J180">
            <v>6</v>
          </cell>
        </row>
        <row r="181">
          <cell r="C181">
            <v>3710</v>
          </cell>
          <cell r="D181">
            <v>129.12105302323599</v>
          </cell>
          <cell r="F181"/>
          <cell r="G181"/>
          <cell r="H181"/>
          <cell r="I181"/>
          <cell r="J181">
            <v>6</v>
          </cell>
        </row>
        <row r="182">
          <cell r="C182">
            <v>4730</v>
          </cell>
          <cell r="D182">
            <v>132.61179169042359</v>
          </cell>
          <cell r="F182"/>
          <cell r="G182"/>
          <cell r="H182"/>
          <cell r="I182"/>
          <cell r="J182">
            <v>6</v>
          </cell>
        </row>
        <row r="183">
          <cell r="C183">
            <v>6020</v>
          </cell>
          <cell r="D183">
            <v>136.12035534953262</v>
          </cell>
          <cell r="F183"/>
          <cell r="G183"/>
          <cell r="H183"/>
          <cell r="I183"/>
          <cell r="J183">
            <v>6</v>
          </cell>
        </row>
        <row r="184">
          <cell r="C184">
            <v>7670</v>
          </cell>
          <cell r="D184">
            <v>139.6793621861803</v>
          </cell>
          <cell r="F184"/>
          <cell r="G184"/>
          <cell r="H184"/>
          <cell r="I184"/>
          <cell r="J184">
            <v>6</v>
          </cell>
        </row>
        <row r="185">
          <cell r="C185">
            <v>9770</v>
          </cell>
          <cell r="D185">
            <v>143.14123736077869</v>
          </cell>
          <cell r="F185"/>
          <cell r="G185"/>
          <cell r="H185"/>
          <cell r="I185"/>
          <cell r="J185">
            <v>6</v>
          </cell>
        </row>
        <row r="186">
          <cell r="C186">
            <v>12440</v>
          </cell>
          <cell r="D186">
            <v>146.75578521325724</v>
          </cell>
          <cell r="F186"/>
          <cell r="G186"/>
          <cell r="H186"/>
          <cell r="I186"/>
          <cell r="J186">
            <v>6</v>
          </cell>
        </row>
        <row r="187">
          <cell r="C187">
            <v>15860</v>
          </cell>
          <cell r="D187">
            <v>150.21349802228445</v>
          </cell>
          <cell r="F187"/>
          <cell r="G187"/>
          <cell r="H187"/>
          <cell r="I187"/>
          <cell r="J187">
            <v>6</v>
          </cell>
        </row>
        <row r="188">
          <cell r="C188">
            <v>20210</v>
          </cell>
          <cell r="D188">
            <v>152.32856849044819</v>
          </cell>
          <cell r="F188"/>
          <cell r="G188"/>
          <cell r="H188"/>
          <cell r="I188"/>
          <cell r="J188">
            <v>6</v>
          </cell>
        </row>
        <row r="189">
          <cell r="C189">
            <v>25760</v>
          </cell>
          <cell r="D189">
            <v>153.15627769682186</v>
          </cell>
          <cell r="F189"/>
          <cell r="G189"/>
          <cell r="H189"/>
          <cell r="I189"/>
          <cell r="J189">
            <v>6</v>
          </cell>
        </row>
        <row r="190">
          <cell r="C190">
            <v>32750</v>
          </cell>
          <cell r="D190">
            <v>153.85863088955028</v>
          </cell>
          <cell r="F190"/>
          <cell r="G190"/>
          <cell r="H190"/>
          <cell r="I190"/>
          <cell r="J190">
            <v>6</v>
          </cell>
        </row>
        <row r="197">
          <cell r="C197">
            <v>0.27500000000000002</v>
          </cell>
          <cell r="D197">
            <v>10.040470049930473</v>
          </cell>
          <cell r="F197"/>
          <cell r="G197"/>
          <cell r="H197"/>
          <cell r="I197">
            <v>6</v>
          </cell>
          <cell r="J197"/>
        </row>
        <row r="198">
          <cell r="C198">
            <v>0.82500000000000007</v>
          </cell>
          <cell r="D198">
            <v>19.288856680060892</v>
          </cell>
          <cell r="F198"/>
          <cell r="G198"/>
          <cell r="H198"/>
          <cell r="I198">
            <v>6</v>
          </cell>
          <cell r="J198"/>
        </row>
        <row r="199">
          <cell r="C199">
            <v>1.6500000000000001</v>
          </cell>
          <cell r="D199">
            <v>27.144641112884834</v>
          </cell>
          <cell r="F199"/>
          <cell r="G199"/>
          <cell r="H199"/>
          <cell r="I199">
            <v>6</v>
          </cell>
          <cell r="J199"/>
        </row>
        <row r="200">
          <cell r="C200">
            <v>2.75</v>
          </cell>
          <cell r="D200">
            <v>33.399598377161809</v>
          </cell>
          <cell r="F200"/>
          <cell r="G200"/>
          <cell r="H200"/>
          <cell r="I200">
            <v>6</v>
          </cell>
          <cell r="J200"/>
        </row>
        <row r="201">
          <cell r="C201">
            <v>4.125</v>
          </cell>
          <cell r="D201">
            <v>38.848984787984186</v>
          </cell>
          <cell r="F201"/>
          <cell r="G201"/>
          <cell r="H201"/>
          <cell r="I201">
            <v>6</v>
          </cell>
          <cell r="J201"/>
        </row>
        <row r="202">
          <cell r="C202">
            <v>5.5</v>
          </cell>
          <cell r="D202">
            <v>42.643360270022924</v>
          </cell>
          <cell r="F202"/>
          <cell r="G202"/>
          <cell r="H202"/>
          <cell r="I202">
            <v>6</v>
          </cell>
          <cell r="J202"/>
        </row>
        <row r="203">
          <cell r="C203">
            <v>8.25</v>
          </cell>
          <cell r="D203">
            <v>48.493134765265182</v>
          </cell>
          <cell r="F203"/>
          <cell r="G203"/>
          <cell r="H203"/>
          <cell r="I203">
            <v>6</v>
          </cell>
          <cell r="J203"/>
        </row>
        <row r="204">
          <cell r="C204">
            <v>11</v>
          </cell>
          <cell r="D204">
            <v>52.559419343629337</v>
          </cell>
          <cell r="F204"/>
          <cell r="G204"/>
          <cell r="H204"/>
          <cell r="I204">
            <v>5</v>
          </cell>
          <cell r="J204">
            <v>1</v>
          </cell>
        </row>
        <row r="205">
          <cell r="C205">
            <v>16.5</v>
          </cell>
          <cell r="D205">
            <v>58.560986008166232</v>
          </cell>
          <cell r="F205"/>
          <cell r="G205"/>
          <cell r="H205"/>
          <cell r="I205">
            <v>4</v>
          </cell>
          <cell r="J205">
            <v>2</v>
          </cell>
        </row>
        <row r="206">
          <cell r="C206">
            <v>24.750000000000004</v>
          </cell>
          <cell r="D206">
            <v>64.247064283227857</v>
          </cell>
          <cell r="F206"/>
          <cell r="G206"/>
          <cell r="H206"/>
          <cell r="I206">
            <v>3</v>
          </cell>
          <cell r="J206">
            <v>3</v>
          </cell>
        </row>
        <row r="207">
          <cell r="C207">
            <v>33</v>
          </cell>
          <cell r="D207">
            <v>68.518369035696878</v>
          </cell>
          <cell r="F207"/>
          <cell r="G207"/>
          <cell r="H207"/>
          <cell r="I207">
            <v>2</v>
          </cell>
          <cell r="J207">
            <v>4</v>
          </cell>
        </row>
        <row r="208">
          <cell r="C208">
            <v>41.25</v>
          </cell>
          <cell r="D208">
            <v>71.7664716439551</v>
          </cell>
          <cell r="F208"/>
          <cell r="G208"/>
          <cell r="H208"/>
          <cell r="I208">
            <v>1</v>
          </cell>
          <cell r="J208">
            <v>5</v>
          </cell>
        </row>
        <row r="209">
          <cell r="C209">
            <v>49.500000000000007</v>
          </cell>
          <cell r="D209">
            <v>74.370993278111257</v>
          </cell>
          <cell r="F209"/>
          <cell r="G209"/>
          <cell r="H209"/>
          <cell r="I209">
            <v>0.5</v>
          </cell>
          <cell r="J209">
            <v>5.5</v>
          </cell>
        </row>
        <row r="210">
          <cell r="C210">
            <v>60.500000000000007</v>
          </cell>
          <cell r="D210">
            <v>77.234275947206214</v>
          </cell>
          <cell r="F210"/>
          <cell r="G210"/>
          <cell r="H210"/>
          <cell r="I210"/>
          <cell r="J210">
            <v>6</v>
          </cell>
        </row>
        <row r="211">
          <cell r="C211">
            <v>71.5</v>
          </cell>
          <cell r="D211">
            <v>79.725666247801229</v>
          </cell>
          <cell r="F211"/>
          <cell r="G211"/>
          <cell r="H211"/>
          <cell r="I211"/>
          <cell r="J211">
            <v>6</v>
          </cell>
        </row>
        <row r="212">
          <cell r="C212">
            <v>82.5</v>
          </cell>
          <cell r="D212">
            <v>81.863982387630472</v>
          </cell>
          <cell r="F212"/>
          <cell r="G212"/>
          <cell r="H212"/>
          <cell r="I212"/>
          <cell r="J212">
            <v>6</v>
          </cell>
        </row>
        <row r="213">
          <cell r="C213">
            <v>93.500000000000014</v>
          </cell>
          <cell r="D213">
            <v>83.667042947574714</v>
          </cell>
          <cell r="F213"/>
          <cell r="G213"/>
          <cell r="H213"/>
          <cell r="I213"/>
          <cell r="J213">
            <v>6</v>
          </cell>
        </row>
        <row r="214">
          <cell r="C214">
            <v>110.00000000000001</v>
          </cell>
          <cell r="D214">
            <v>86.154780808490059</v>
          </cell>
          <cell r="F214"/>
          <cell r="G214"/>
          <cell r="H214"/>
          <cell r="I214"/>
          <cell r="J214">
            <v>6</v>
          </cell>
        </row>
        <row r="215">
          <cell r="C215">
            <v>143</v>
          </cell>
          <cell r="D215">
            <v>90.480184629206022</v>
          </cell>
          <cell r="F215"/>
          <cell r="G215"/>
          <cell r="H215"/>
          <cell r="I215"/>
          <cell r="J215">
            <v>6</v>
          </cell>
        </row>
        <row r="216">
          <cell r="C216">
            <v>176</v>
          </cell>
          <cell r="D216">
            <v>93.6774218048877</v>
          </cell>
          <cell r="F216"/>
          <cell r="G216"/>
          <cell r="H216"/>
          <cell r="I216"/>
          <cell r="J216">
            <v>6</v>
          </cell>
        </row>
        <row r="217">
          <cell r="C217">
            <v>225.50000000000003</v>
          </cell>
          <cell r="D217">
            <v>97.125654465362558</v>
          </cell>
          <cell r="F217"/>
          <cell r="G217"/>
          <cell r="H217"/>
          <cell r="I217"/>
          <cell r="J217">
            <v>6</v>
          </cell>
        </row>
        <row r="218">
          <cell r="C218">
            <v>291.5</v>
          </cell>
          <cell r="D218">
            <v>100.89689545435591</v>
          </cell>
          <cell r="F218"/>
          <cell r="G218"/>
          <cell r="H218"/>
          <cell r="I218"/>
          <cell r="J218">
            <v>6</v>
          </cell>
        </row>
        <row r="219">
          <cell r="C219">
            <v>374.00000000000006</v>
          </cell>
          <cell r="D219">
            <v>104.52148587104635</v>
          </cell>
          <cell r="F219"/>
          <cell r="G219"/>
          <cell r="H219"/>
          <cell r="I219"/>
          <cell r="J219">
            <v>6</v>
          </cell>
        </row>
        <row r="220">
          <cell r="C220">
            <v>473.00000000000006</v>
          </cell>
          <cell r="D220">
            <v>108.05586950728798</v>
          </cell>
          <cell r="F220"/>
          <cell r="G220"/>
          <cell r="H220"/>
          <cell r="I220"/>
          <cell r="J220">
            <v>6</v>
          </cell>
        </row>
        <row r="221">
          <cell r="C221">
            <v>605</v>
          </cell>
          <cell r="D221">
            <v>111.54601176466306</v>
          </cell>
          <cell r="F221"/>
          <cell r="G221"/>
          <cell r="H221"/>
          <cell r="I221"/>
          <cell r="J221">
            <v>6</v>
          </cell>
        </row>
        <row r="222">
          <cell r="C222">
            <v>770.00000000000011</v>
          </cell>
          <cell r="D222">
            <v>115.20444967370992</v>
          </cell>
          <cell r="F222"/>
          <cell r="G222"/>
          <cell r="H222"/>
          <cell r="I222"/>
          <cell r="J222">
            <v>6</v>
          </cell>
        </row>
        <row r="223">
          <cell r="C223">
            <v>984.50000000000011</v>
          </cell>
          <cell r="D223">
            <v>118.75432507225094</v>
          </cell>
          <cell r="F223"/>
          <cell r="G223"/>
          <cell r="H223"/>
          <cell r="I223"/>
          <cell r="J223">
            <v>6</v>
          </cell>
        </row>
        <row r="224">
          <cell r="C224">
            <v>1248.5</v>
          </cell>
          <cell r="D224">
            <v>122.26514676047371</v>
          </cell>
          <cell r="F224"/>
          <cell r="G224"/>
          <cell r="H224"/>
          <cell r="I224"/>
          <cell r="J224">
            <v>6</v>
          </cell>
        </row>
        <row r="225">
          <cell r="C225">
            <v>1595.0000000000002</v>
          </cell>
          <cell r="D225">
            <v>125.84855083483956</v>
          </cell>
          <cell r="F225"/>
          <cell r="G225"/>
          <cell r="H225"/>
          <cell r="I225"/>
          <cell r="J225">
            <v>6</v>
          </cell>
        </row>
        <row r="226">
          <cell r="C226">
            <v>2040.5000000000002</v>
          </cell>
          <cell r="D226">
            <v>129.43528964176323</v>
          </cell>
          <cell r="F226"/>
          <cell r="G226"/>
          <cell r="H226"/>
          <cell r="I226"/>
          <cell r="J226">
            <v>6</v>
          </cell>
        </row>
        <row r="227">
          <cell r="C227">
            <v>2601.5</v>
          </cell>
          <cell r="D227">
            <v>133.03192104200832</v>
          </cell>
          <cell r="F227"/>
          <cell r="G227"/>
          <cell r="H227"/>
          <cell r="I227"/>
          <cell r="J227">
            <v>6</v>
          </cell>
        </row>
        <row r="228">
          <cell r="C228">
            <v>3311.0000000000005</v>
          </cell>
          <cell r="D228">
            <v>136.45508882162355</v>
          </cell>
          <cell r="F228"/>
          <cell r="G228"/>
          <cell r="H228"/>
          <cell r="I228"/>
          <cell r="J228">
            <v>6</v>
          </cell>
        </row>
        <row r="229">
          <cell r="C229">
            <v>4218.5</v>
          </cell>
          <cell r="D229">
            <v>140.08772492574531</v>
          </cell>
          <cell r="F229"/>
          <cell r="G229"/>
          <cell r="H229"/>
          <cell r="I229"/>
          <cell r="J229">
            <v>6</v>
          </cell>
        </row>
        <row r="230">
          <cell r="C230">
            <v>5373.5</v>
          </cell>
          <cell r="D230">
            <v>143.51956656528549</v>
          </cell>
          <cell r="F230"/>
          <cell r="G230"/>
          <cell r="H230"/>
          <cell r="I230"/>
          <cell r="J230">
            <v>6</v>
          </cell>
        </row>
        <row r="231">
          <cell r="C231">
            <v>6842.0000000000009</v>
          </cell>
          <cell r="D231">
            <v>147.17868266109423</v>
          </cell>
          <cell r="F231"/>
          <cell r="G231"/>
          <cell r="H231"/>
          <cell r="I231"/>
          <cell r="J231">
            <v>6</v>
          </cell>
        </row>
        <row r="232">
          <cell r="C232">
            <v>8723</v>
          </cell>
          <cell r="D232">
            <v>150.49637054967232</v>
          </cell>
          <cell r="F232"/>
          <cell r="G232"/>
          <cell r="H232"/>
          <cell r="I232"/>
          <cell r="J232">
            <v>6</v>
          </cell>
        </row>
        <row r="233">
          <cell r="C233">
            <v>11115.5</v>
          </cell>
          <cell r="D233">
            <v>151.40240982411487</v>
          </cell>
          <cell r="F233"/>
          <cell r="G233"/>
          <cell r="H233"/>
          <cell r="I233"/>
          <cell r="J233">
            <v>6</v>
          </cell>
        </row>
        <row r="234">
          <cell r="C234">
            <v>14168.000000000002</v>
          </cell>
          <cell r="D234">
            <v>152.00526961196863</v>
          </cell>
          <cell r="F234"/>
          <cell r="G234"/>
          <cell r="H234"/>
          <cell r="I234"/>
          <cell r="J234">
            <v>6</v>
          </cell>
        </row>
        <row r="235">
          <cell r="C235">
            <v>18012.5</v>
          </cell>
          <cell r="D235">
            <v>152.38629594951036</v>
          </cell>
          <cell r="F235"/>
          <cell r="G235"/>
          <cell r="H235"/>
          <cell r="I235"/>
          <cell r="J235">
            <v>6</v>
          </cell>
        </row>
      </sheetData>
      <sheetData sheetId="3"/>
      <sheetData sheetId="4">
        <row r="4">
          <cell r="C4" t="str">
            <v>星级</v>
          </cell>
        </row>
      </sheetData>
      <sheetData sheetId="5">
        <row r="4">
          <cell r="BH4">
            <v>24437657.643516958</v>
          </cell>
        </row>
      </sheetData>
      <sheetData sheetId="6">
        <row r="4">
          <cell r="D4">
            <v>0</v>
          </cell>
        </row>
      </sheetData>
      <sheetData sheetId="7">
        <row r="1">
          <cell r="I1" t="str">
            <v>10连价格</v>
          </cell>
        </row>
      </sheetData>
      <sheetData sheetId="8">
        <row r="1">
          <cell r="I1" t="str">
            <v>10连价格</v>
          </cell>
        </row>
      </sheetData>
      <sheetData sheetId="9">
        <row r="3">
          <cell r="D3">
            <v>4</v>
          </cell>
        </row>
      </sheetData>
      <sheetData sheetId="10">
        <row r="4">
          <cell r="D4">
            <v>50</v>
          </cell>
        </row>
      </sheetData>
      <sheetData sheetId="11">
        <row r="3">
          <cell r="C3" t="str">
            <v>觉醒次数</v>
          </cell>
        </row>
      </sheetData>
      <sheetData sheetId="12">
        <row r="4">
          <cell r="N4">
            <v>9960</v>
          </cell>
        </row>
      </sheetData>
      <sheetData sheetId="13">
        <row r="4">
          <cell r="Q4">
            <v>13236.227695008274</v>
          </cell>
        </row>
      </sheetData>
      <sheetData sheetId="14">
        <row r="4">
          <cell r="Q4">
            <v>8.0727046991887477</v>
          </cell>
        </row>
      </sheetData>
      <sheetData sheetId="15"/>
      <sheetData sheetId="16"/>
      <sheetData sheetId="17"/>
      <sheetData sheetId="18"/>
      <sheetData sheetId="19">
        <row r="1">
          <cell r="B1">
            <v>2300</v>
          </cell>
        </row>
      </sheetData>
      <sheetData sheetId="20"/>
      <sheetData sheetId="21">
        <row r="3">
          <cell r="C3">
            <v>43200</v>
          </cell>
        </row>
      </sheetData>
      <sheetData sheetId="22"/>
      <sheetData sheetId="23"/>
      <sheetData sheetId="24">
        <row r="11">
          <cell r="K11">
            <v>3</v>
          </cell>
        </row>
      </sheetData>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BG363"/>
  <sheetViews>
    <sheetView topLeftCell="L1" workbookViewId="0">
      <selection activeCell="AQ23" sqref="AQ23"/>
    </sheetView>
  </sheetViews>
  <sheetFormatPr defaultColWidth="6.625" defaultRowHeight="11.25" x14ac:dyDescent="0.15"/>
  <cols>
    <col min="1" max="12" width="6.625" style="21"/>
    <col min="13" max="13" width="6.625" style="16"/>
    <col min="14" max="35" width="6.625" style="21"/>
    <col min="36" max="36" width="6.625" style="16"/>
    <col min="37" max="43" width="6.625" style="21"/>
    <col min="44" max="44" width="6.625" style="17"/>
    <col min="45" max="50" width="6.625" style="21"/>
    <col min="51" max="51" width="6.625" style="17"/>
    <col min="52" max="58" width="6.625" style="21"/>
    <col min="59" max="59" width="6.625" style="16"/>
    <col min="60" max="16384" width="6.625" style="21"/>
  </cols>
  <sheetData>
    <row r="1" spans="2:57" x14ac:dyDescent="0.15">
      <c r="F1" s="60" t="s">
        <v>161</v>
      </c>
      <c r="G1" s="60" t="s">
        <v>155</v>
      </c>
      <c r="H1" s="22"/>
      <c r="I1" s="60" t="s">
        <v>150</v>
      </c>
      <c r="J1" s="60" t="s">
        <v>155</v>
      </c>
      <c r="K1" s="60" t="s">
        <v>156</v>
      </c>
      <c r="P1" s="21">
        <v>1</v>
      </c>
      <c r="Q1" s="21">
        <v>0.85</v>
      </c>
      <c r="R1" s="21">
        <v>0.7</v>
      </c>
      <c r="S1" s="21">
        <v>0.5</v>
      </c>
      <c r="T1" s="21">
        <v>0.27500000000000002</v>
      </c>
      <c r="AM1" s="21">
        <v>1</v>
      </c>
      <c r="AN1" s="21">
        <v>0.8</v>
      </c>
      <c r="AO1" s="21">
        <v>0.6</v>
      </c>
      <c r="AP1" s="21">
        <v>0.4</v>
      </c>
      <c r="AQ1" s="21">
        <v>0.2</v>
      </c>
    </row>
    <row r="2" spans="2:57" x14ac:dyDescent="0.15">
      <c r="F2" s="60"/>
      <c r="G2" s="60"/>
      <c r="H2" s="22"/>
      <c r="I2" s="60"/>
      <c r="J2" s="60"/>
      <c r="K2" s="60"/>
      <c r="P2" s="59" t="s">
        <v>162</v>
      </c>
      <c r="Q2" s="59"/>
      <c r="R2" s="59"/>
      <c r="S2" s="59"/>
      <c r="T2" s="59"/>
      <c r="W2" s="59" t="s">
        <v>163</v>
      </c>
      <c r="X2" s="59"/>
      <c r="Y2" s="59"/>
      <c r="Z2" s="59"/>
      <c r="AA2" s="59"/>
      <c r="AD2" s="59" t="s">
        <v>164</v>
      </c>
      <c r="AE2" s="59"/>
      <c r="AF2" s="59"/>
      <c r="AG2" s="59"/>
      <c r="AH2" s="59"/>
      <c r="AM2" s="59" t="s">
        <v>151</v>
      </c>
      <c r="AN2" s="59"/>
      <c r="AO2" s="59"/>
      <c r="AP2" s="59"/>
      <c r="AQ2" s="59"/>
      <c r="AT2" s="59" t="s">
        <v>152</v>
      </c>
      <c r="AU2" s="59"/>
      <c r="AV2" s="59"/>
      <c r="AW2" s="59"/>
      <c r="AX2" s="59"/>
      <c r="BA2" s="59" t="s">
        <v>157</v>
      </c>
      <c r="BB2" s="59"/>
      <c r="BC2" s="59"/>
      <c r="BD2" s="59"/>
      <c r="BE2" s="59"/>
    </row>
    <row r="3" spans="2:57" x14ac:dyDescent="0.15">
      <c r="F3" s="21">
        <v>1</v>
      </c>
      <c r="G3" s="21">
        <v>7.1773462536293131E-2</v>
      </c>
      <c r="I3" s="21">
        <v>1</v>
      </c>
      <c r="J3" s="21">
        <v>7.4349177498517554E-3</v>
      </c>
      <c r="K3" s="18">
        <v>0.1</v>
      </c>
      <c r="N3" s="26" t="str">
        <f>[1]节奏总纲!N3</f>
        <v>对应玩家等级</v>
      </c>
      <c r="O3" s="21" t="s">
        <v>161</v>
      </c>
      <c r="P3" s="21" t="s">
        <v>74</v>
      </c>
      <c r="Q3" s="21" t="s">
        <v>75</v>
      </c>
      <c r="R3" s="21" t="s">
        <v>76</v>
      </c>
      <c r="S3" s="21" t="s">
        <v>77</v>
      </c>
      <c r="T3" s="21" t="s">
        <v>78</v>
      </c>
      <c r="V3" s="21" t="s">
        <v>161</v>
      </c>
      <c r="W3" s="21" t="s">
        <v>74</v>
      </c>
      <c r="X3" s="21" t="s">
        <v>75</v>
      </c>
      <c r="Y3" s="21" t="s">
        <v>76</v>
      </c>
      <c r="Z3" s="21" t="s">
        <v>77</v>
      </c>
      <c r="AA3" s="21" t="s">
        <v>78</v>
      </c>
      <c r="AC3" s="21" t="s">
        <v>158</v>
      </c>
      <c r="AD3" s="21" t="s">
        <v>74</v>
      </c>
      <c r="AE3" s="21" t="s">
        <v>75</v>
      </c>
      <c r="AF3" s="21" t="s">
        <v>76</v>
      </c>
      <c r="AG3" s="21" t="s">
        <v>77</v>
      </c>
      <c r="AH3" s="21" t="s">
        <v>78</v>
      </c>
      <c r="AL3" s="21" t="s">
        <v>150</v>
      </c>
      <c r="AM3" s="21" t="s">
        <v>74</v>
      </c>
      <c r="AN3" s="21" t="s">
        <v>75</v>
      </c>
      <c r="AO3" s="21" t="s">
        <v>76</v>
      </c>
      <c r="AP3" s="21" t="s">
        <v>77</v>
      </c>
      <c r="AQ3" s="21" t="s">
        <v>78</v>
      </c>
      <c r="AS3" s="21" t="s">
        <v>150</v>
      </c>
      <c r="AT3" s="21" t="s">
        <v>74</v>
      </c>
      <c r="AU3" s="21" t="s">
        <v>75</v>
      </c>
      <c r="AV3" s="21" t="s">
        <v>76</v>
      </c>
      <c r="AW3" s="21" t="s">
        <v>77</v>
      </c>
      <c r="AX3" s="21" t="s">
        <v>78</v>
      </c>
      <c r="AZ3" s="21" t="s">
        <v>158</v>
      </c>
      <c r="BA3" s="21" t="s">
        <v>74</v>
      </c>
      <c r="BB3" s="21" t="s">
        <v>75</v>
      </c>
      <c r="BC3" s="21" t="s">
        <v>76</v>
      </c>
      <c r="BD3" s="21" t="s">
        <v>77</v>
      </c>
      <c r="BE3" s="21" t="s">
        <v>78</v>
      </c>
    </row>
    <row r="4" spans="2:57" x14ac:dyDescent="0.15">
      <c r="F4" s="21">
        <v>2</v>
      </c>
      <c r="G4" s="21">
        <v>0.1486983549970351</v>
      </c>
      <c r="I4" s="21">
        <v>2</v>
      </c>
      <c r="J4" s="21">
        <v>2.3963093307967063E-2</v>
      </c>
      <c r="K4" s="18">
        <v>0.15</v>
      </c>
      <c r="N4" s="26">
        <f>[1]节奏总纲!N4</f>
        <v>2</v>
      </c>
      <c r="O4" s="21">
        <v>1</v>
      </c>
      <c r="P4" s="21">
        <f>[1]节奏总纲!P4</f>
        <v>7.1773462536293131E-2</v>
      </c>
      <c r="Q4" s="21">
        <f>[1]节奏总纲!Q4</f>
        <v>5.9787294292732177E-2</v>
      </c>
      <c r="R4" s="21">
        <f>[1]节奏总纲!R4</f>
        <v>4.677476553490223E-2</v>
      </c>
      <c r="S4" s="21">
        <f>[1]节奏总纲!S4</f>
        <v>3.2585151991477081E-2</v>
      </c>
      <c r="T4" s="21">
        <f>[1]节奏总纲!T4</f>
        <v>1.7039020006115988E-2</v>
      </c>
      <c r="V4" s="21">
        <v>1</v>
      </c>
      <c r="W4" s="21">
        <f>[1]节奏总纲!W4</f>
        <v>7.1773462536293131E-2</v>
      </c>
      <c r="X4" s="21">
        <f>[1]节奏总纲!X4</f>
        <v>5.9787294292732177E-2</v>
      </c>
      <c r="Y4" s="21">
        <f>[1]节奏总纲!Y4</f>
        <v>4.677476553490223E-2</v>
      </c>
      <c r="Z4" s="21">
        <f>[1]节奏总纲!Z4</f>
        <v>3.2585151991477081E-2</v>
      </c>
      <c r="AA4" s="21">
        <f>[1]节奏总纲!AA4</f>
        <v>1.7039020006115988E-2</v>
      </c>
      <c r="AC4" s="21">
        <v>1</v>
      </c>
      <c r="AD4" s="21">
        <f>[1]节奏总纲!AD4</f>
        <v>10</v>
      </c>
      <c r="AE4" s="21">
        <f>[1]节奏总纲!AE4</f>
        <v>11.148446722089302</v>
      </c>
      <c r="AF4" s="21">
        <f>[1]节奏总纲!AF4</f>
        <v>12.761737853656415</v>
      </c>
      <c r="AG4" s="21">
        <f>[1]节奏总纲!AG4</f>
        <v>15.452231935206081</v>
      </c>
      <c r="AH4" s="21">
        <f>[1]节奏总纲!AH4</f>
        <v>21.291911942729964</v>
      </c>
      <c r="AL4" s="21">
        <v>1</v>
      </c>
      <c r="AM4" s="21">
        <f>[1]节奏总纲!AM4</f>
        <v>7.4349177498517554E-3</v>
      </c>
      <c r="AN4" s="21">
        <f>[1]节奏总纲!AN4</f>
        <v>5.947934199881405E-3</v>
      </c>
      <c r="AO4" s="21">
        <f>[1]节奏总纲!AO4</f>
        <v>4.4609506499110529E-3</v>
      </c>
      <c r="AP4" s="21">
        <f>[1]节奏总纲!AP4</f>
        <v>2.9739670999407025E-3</v>
      </c>
      <c r="AQ4" s="21">
        <f>[1]节奏总纲!AQ4</f>
        <v>1.4869835499703513E-3</v>
      </c>
      <c r="AS4" s="21">
        <v>1</v>
      </c>
      <c r="AT4" s="21">
        <f>[1]节奏总纲!AT4</f>
        <v>7.4349177498517554E-3</v>
      </c>
      <c r="AU4" s="21">
        <f>[1]节奏总纲!AU4</f>
        <v>5.947934199881405E-3</v>
      </c>
      <c r="AV4" s="21">
        <f>[1]节奏总纲!AV4</f>
        <v>4.4609506499110529E-3</v>
      </c>
      <c r="AW4" s="21">
        <f>[1]节奏总纲!AW4</f>
        <v>2.9739670999407025E-3</v>
      </c>
      <c r="AX4" s="21">
        <f>[1]节奏总纲!AX4</f>
        <v>1.4869835499703513E-3</v>
      </c>
      <c r="AY4" s="21"/>
      <c r="AZ4" s="21">
        <v>1</v>
      </c>
      <c r="BA4" s="21">
        <f>[1]节奏总纲!BA4</f>
        <v>11.296493250964016</v>
      </c>
      <c r="BB4" s="21">
        <f>[1]节奏总纲!BB4</f>
        <v>12.361596792946616</v>
      </c>
      <c r="BC4" s="21">
        <f>[1]节奏总纲!BC4</f>
        <v>13.798091195443488</v>
      </c>
      <c r="BD4" s="21">
        <f>[1]节奏总纲!BD4</f>
        <v>15.911635365458322</v>
      </c>
      <c r="BE4" s="21">
        <f>[1]节奏总纲!BE4</f>
        <v>19.707330185578734</v>
      </c>
    </row>
    <row r="5" spans="2:57" x14ac:dyDescent="0.15">
      <c r="F5" s="21">
        <v>3</v>
      </c>
      <c r="G5" s="21">
        <v>0.23114441334491631</v>
      </c>
      <c r="I5" s="21">
        <v>3</v>
      </c>
      <c r="J5" s="21">
        <v>5.1571656651039799E-2</v>
      </c>
      <c r="K5" s="18">
        <v>0.2</v>
      </c>
      <c r="N5" s="26">
        <f>[1]节奏总纲!N5</f>
        <v>4</v>
      </c>
      <c r="O5" s="21">
        <v>2</v>
      </c>
      <c r="P5" s="21">
        <f>[1]节奏总纲!P5</f>
        <v>0.1486983549970351</v>
      </c>
      <c r="Q5" s="21">
        <f>[1]节奏总纲!Q5</f>
        <v>0.12505531655250651</v>
      </c>
      <c r="R5" s="21">
        <f>[1]节奏总纲!R5</f>
        <v>9.883979656652922E-2</v>
      </c>
      <c r="S5" s="21">
        <f>[1]节奏总纲!S5</f>
        <v>6.9828747506607683E-2</v>
      </c>
      <c r="T5" s="21">
        <f>[1]节奏总纲!T5</f>
        <v>3.7085369736260552E-2</v>
      </c>
      <c r="U5" s="27"/>
      <c r="V5" s="21">
        <v>2</v>
      </c>
      <c r="W5" s="21">
        <f>[1]节奏总纲!W5</f>
        <v>7.6924892460741967E-2</v>
      </c>
      <c r="X5" s="21">
        <f>[1]节奏总纲!X5</f>
        <v>6.5268022259774336E-2</v>
      </c>
      <c r="Y5" s="21">
        <f>[1]节奏总纲!Y5</f>
        <v>5.206503103162699E-2</v>
      </c>
      <c r="Z5" s="21">
        <f>[1]节奏总纲!Z5</f>
        <v>3.7243595515130602E-2</v>
      </c>
      <c r="AA5" s="21">
        <f>[1]节奏总纲!AA5</f>
        <v>2.0046349730144564E-2</v>
      </c>
      <c r="AC5" s="21">
        <v>2</v>
      </c>
      <c r="AD5" s="21">
        <f>[1]节奏总纲!AD5</f>
        <v>15.845161563010114</v>
      </c>
      <c r="AE5" s="21">
        <f>[1]节奏总纲!AE5</f>
        <v>17.271997130667014</v>
      </c>
      <c r="AF5" s="21">
        <f>[1]节奏总纲!AF5</f>
        <v>19.263096801323076</v>
      </c>
      <c r="AG5" s="21">
        <f>[1]节奏总纲!AG5</f>
        <v>22.536681597650272</v>
      </c>
      <c r="AH5" s="21">
        <f>[1]节奏总纲!AH5</f>
        <v>29.386000042029625</v>
      </c>
      <c r="AL5" s="21">
        <v>2</v>
      </c>
      <c r="AM5" s="21">
        <f>[1]节奏总纲!AM5</f>
        <v>2.3963093307967063E-2</v>
      </c>
      <c r="AN5" s="21">
        <f>[1]节奏总纲!AN5</f>
        <v>1.9170474646373652E-2</v>
      </c>
      <c r="AO5" s="21">
        <f>[1]节奏总纲!AO5</f>
        <v>1.4377855984780237E-2</v>
      </c>
      <c r="AP5" s="21">
        <f>[1]节奏总纲!AP5</f>
        <v>9.5852373231868262E-3</v>
      </c>
      <c r="AQ5" s="21">
        <f>[1]节奏总纲!AQ5</f>
        <v>4.7926186615934131E-3</v>
      </c>
      <c r="AS5" s="21">
        <v>2</v>
      </c>
      <c r="AT5" s="21">
        <f>[1]节奏总纲!AT5</f>
        <v>1.6528175558115307E-2</v>
      </c>
      <c r="AU5" s="21">
        <f>[1]节奏总纲!AU5</f>
        <v>1.3222540446492247E-2</v>
      </c>
      <c r="AV5" s="21">
        <f>[1]节奏总纲!AV5</f>
        <v>9.9169053348691846E-3</v>
      </c>
      <c r="AW5" s="21">
        <f>[1]节奏总纲!AW5</f>
        <v>6.6112702232461237E-3</v>
      </c>
      <c r="AX5" s="21">
        <f>[1]节奏总纲!AX5</f>
        <v>3.3056351116230618E-3</v>
      </c>
      <c r="AY5" s="21"/>
      <c r="AZ5" s="21">
        <v>2</v>
      </c>
      <c r="BA5" s="21">
        <f>[1]节奏总纲!BA5</f>
        <v>14.729965238833779</v>
      </c>
      <c r="BB5" s="21">
        <f>[1]节奏总纲!BB5</f>
        <v>15.911635365458322</v>
      </c>
      <c r="BC5" s="21">
        <f>[1]节奏总纲!BC5</f>
        <v>17.448850811924295</v>
      </c>
      <c r="BD5" s="21">
        <f>[1]节奏总纲!BD5</f>
        <v>19.707330185578734</v>
      </c>
      <c r="BE5" s="21">
        <f>[1]节奏总纲!BE5</f>
        <v>23.710496742673982</v>
      </c>
    </row>
    <row r="6" spans="2:57" x14ac:dyDescent="0.15">
      <c r="B6" s="59" t="s">
        <v>165</v>
      </c>
      <c r="C6" s="59"/>
      <c r="D6" s="59"/>
      <c r="F6" s="21">
        <v>4</v>
      </c>
      <c r="G6" s="21">
        <v>0.3195079107728942</v>
      </c>
      <c r="I6" s="21">
        <v>4</v>
      </c>
      <c r="J6" s="21">
        <v>9.2637640824031031E-2</v>
      </c>
      <c r="K6" s="18">
        <v>0.25</v>
      </c>
      <c r="N6" s="26">
        <f>[1]节奏总纲!N6</f>
        <v>6</v>
      </c>
      <c r="O6" s="21">
        <v>3</v>
      </c>
      <c r="P6" s="21">
        <f>[1]节奏总纲!P6</f>
        <v>0.23114441334491631</v>
      </c>
      <c r="Q6" s="21">
        <f>[1]节奏总纲!Q6</f>
        <v>0.19582554698581309</v>
      </c>
      <c r="R6" s="21">
        <f>[1]节奏总纲!R6</f>
        <v>0.15616116565582547</v>
      </c>
      <c r="S6" s="21">
        <f>[1]节奏总纲!S6</f>
        <v>0.11120357726023924</v>
      </c>
      <c r="T6" s="21">
        <f>[1]节奏总纲!T6</f>
        <v>5.9380999788309005E-2</v>
      </c>
      <c r="U6" s="27"/>
      <c r="V6" s="21">
        <v>3</v>
      </c>
      <c r="W6" s="21">
        <f>[1]节奏总纲!W6</f>
        <v>8.2446058347881213E-2</v>
      </c>
      <c r="X6" s="21">
        <f>[1]节奏总纲!X6</f>
        <v>7.0770230433306575E-2</v>
      </c>
      <c r="Y6" s="21">
        <f>[1]节奏总纲!Y6</f>
        <v>5.7321369089296248E-2</v>
      </c>
      <c r="Z6" s="21">
        <f>[1]节奏总纲!Z6</f>
        <v>4.1374829753631562E-2</v>
      </c>
      <c r="AA6" s="21">
        <f>[1]节奏总纲!AA6</f>
        <v>2.2295630052048453E-2</v>
      </c>
      <c r="AC6" s="21">
        <v>3</v>
      </c>
      <c r="AD6" s="21">
        <f>[1]节奏总纲!AD6</f>
        <v>20</v>
      </c>
      <c r="AE6" s="21">
        <f>[1]节奏总纲!AE6</f>
        <v>21.543844702365945</v>
      </c>
      <c r="AF6" s="21">
        <f>[1]节奏总纲!AF6</f>
        <v>23.734615677065324</v>
      </c>
      <c r="AG6" s="21">
        <f>[1]节奏总纲!AG6</f>
        <v>27.324610510337703</v>
      </c>
      <c r="AH6" s="21">
        <f>[1]节奏总纲!AH6</f>
        <v>34.517938607173015</v>
      </c>
      <c r="AL6" s="21">
        <v>3</v>
      </c>
      <c r="AM6" s="21">
        <f>[1]节奏总纲!AM6</f>
        <v>5.1571656651039799E-2</v>
      </c>
      <c r="AN6" s="21">
        <f>[1]节奏总纲!AN6</f>
        <v>4.1257325320831845E-2</v>
      </c>
      <c r="AO6" s="21">
        <f>[1]节奏总纲!AO6</f>
        <v>3.0942993990623877E-2</v>
      </c>
      <c r="AP6" s="21">
        <f>[1]节奏总纲!AP6</f>
        <v>2.0628662660415922E-2</v>
      </c>
      <c r="AQ6" s="21">
        <f>[1]节奏总纲!AQ6</f>
        <v>1.0314331330207961E-2</v>
      </c>
      <c r="AS6" s="21">
        <v>3</v>
      </c>
      <c r="AT6" s="21">
        <f>[1]节奏总纲!AT6</f>
        <v>2.7608563343072736E-2</v>
      </c>
      <c r="AU6" s="21">
        <f>[1]节奏总纲!AU6</f>
        <v>2.2086850674458192E-2</v>
      </c>
      <c r="AV6" s="21">
        <f>[1]节奏总纲!AV6</f>
        <v>1.6565138005843638E-2</v>
      </c>
      <c r="AW6" s="21">
        <f>[1]节奏总纲!AW6</f>
        <v>1.1043425337229096E-2</v>
      </c>
      <c r="AX6" s="21">
        <f>[1]节奏总纲!AX6</f>
        <v>5.5217126686145481E-3</v>
      </c>
      <c r="AY6" s="21"/>
      <c r="AZ6" s="21">
        <v>3</v>
      </c>
      <c r="BA6" s="21">
        <f>[1]节奏总纲!BA6</f>
        <v>16.888397947066121</v>
      </c>
      <c r="BB6" s="21">
        <f>[1]节奏总纲!BB6</f>
        <v>18.108391417375849</v>
      </c>
      <c r="BC6" s="21">
        <f>[1]节奏总纲!BC6</f>
        <v>19.707330185578734</v>
      </c>
      <c r="BD6" s="21">
        <f>[1]节奏总纲!BD6</f>
        <v>22.041972908628715</v>
      </c>
      <c r="BE6" s="21">
        <f>[1]节奏总纲!BE6</f>
        <v>26.127796402772656</v>
      </c>
    </row>
    <row r="7" spans="2:57" x14ac:dyDescent="0.15">
      <c r="B7" s="21" t="s">
        <v>161</v>
      </c>
      <c r="C7" s="21" t="s">
        <v>90</v>
      </c>
      <c r="D7" s="21" t="s">
        <v>153</v>
      </c>
      <c r="F7" s="21">
        <v>5</v>
      </c>
      <c r="G7" s="21">
        <v>0.41421356237309515</v>
      </c>
      <c r="I7" s="21">
        <v>5</v>
      </c>
      <c r="J7" s="21">
        <v>0.15</v>
      </c>
      <c r="K7" s="18">
        <v>0.3</v>
      </c>
      <c r="N7" s="26">
        <f>[1]节奏总纲!N7</f>
        <v>8</v>
      </c>
      <c r="O7" s="21">
        <v>4</v>
      </c>
      <c r="P7" s="21">
        <f>[1]节奏总纲!P7</f>
        <v>0.3195079107728942</v>
      </c>
      <c r="Q7" s="21">
        <f>[1]节奏总纲!Q7</f>
        <v>0.2719651336498875</v>
      </c>
      <c r="R7" s="21">
        <f>[1]节奏总纲!R7</f>
        <v>0.21816000147573214</v>
      </c>
      <c r="S7" s="21">
        <f>[1]节奏总纲!S7</f>
        <v>0.15607961441255883</v>
      </c>
      <c r="T7" s="21">
        <f>[1]节奏总纲!T7</f>
        <v>8.4062531324348461E-2</v>
      </c>
      <c r="U7" s="27"/>
      <c r="V7" s="21">
        <v>4</v>
      </c>
      <c r="W7" s="21">
        <f>[1]节奏总纲!W7</f>
        <v>8.8363497427977888E-2</v>
      </c>
      <c r="X7" s="21">
        <f>[1]节奏总纲!X7</f>
        <v>7.6139586664074416E-2</v>
      </c>
      <c r="Y7" s="21">
        <f>[1]节奏总纲!Y7</f>
        <v>6.1998835819906672E-2</v>
      </c>
      <c r="Z7" s="21">
        <f>[1]节奏总纲!Z7</f>
        <v>4.4876037152319581E-2</v>
      </c>
      <c r="AA7" s="21">
        <f>[1]节奏总纲!AA7</f>
        <v>2.4681531536039455E-2</v>
      </c>
      <c r="AC7" s="21">
        <v>4</v>
      </c>
      <c r="AD7" s="21">
        <f>[1]节奏总纲!AD7</f>
        <v>23.213386604241784</v>
      </c>
      <c r="AE7" s="21">
        <f>[1]节奏总纲!AE7</f>
        <v>24.836966034810484</v>
      </c>
      <c r="AF7" s="21">
        <f>[1]节奏总纲!AF7</f>
        <v>27.155717181399513</v>
      </c>
      <c r="AG7" s="21">
        <f>[1]节奏总纲!AG7</f>
        <v>30.831257561377125</v>
      </c>
      <c r="AH7" s="21">
        <f>[1]节奏总纲!AH7</f>
        <v>38.431365705145346</v>
      </c>
      <c r="AL7" s="21">
        <v>4</v>
      </c>
      <c r="AM7" s="21">
        <f>[1]节奏总纲!AM7</f>
        <v>9.2637640824031031E-2</v>
      </c>
      <c r="AN7" s="21">
        <f>[1]节奏总纲!AN7</f>
        <v>7.4110112659224833E-2</v>
      </c>
      <c r="AO7" s="21">
        <f>[1]节奏总纲!AO7</f>
        <v>5.5582584494418615E-2</v>
      </c>
      <c r="AP7" s="21">
        <f>[1]节奏总纲!AP7</f>
        <v>3.7055056329612417E-2</v>
      </c>
      <c r="AQ7" s="21">
        <f>[1]节奏总纲!AQ7</f>
        <v>1.8527528164806208E-2</v>
      </c>
      <c r="AS7" s="21">
        <v>4</v>
      </c>
      <c r="AT7" s="21">
        <f>[1]节奏总纲!AT7</f>
        <v>4.1065984172991232E-2</v>
      </c>
      <c r="AU7" s="21">
        <f>[1]节奏总纲!AU7</f>
        <v>3.2852787338392989E-2</v>
      </c>
      <c r="AV7" s="21">
        <f>[1]节奏总纲!AV7</f>
        <v>2.4639590503794738E-2</v>
      </c>
      <c r="AW7" s="21">
        <f>[1]节奏总纲!AW7</f>
        <v>1.6426393669196494E-2</v>
      </c>
      <c r="AX7" s="21">
        <f>[1]节奏总纲!AX7</f>
        <v>8.2131968345982471E-3</v>
      </c>
      <c r="AY7" s="21"/>
      <c r="AZ7" s="21">
        <v>4</v>
      </c>
      <c r="BA7" s="21">
        <f>[1]节奏总纲!BA7</f>
        <v>18.453550676044042</v>
      </c>
      <c r="BB7" s="21">
        <f>[1]节奏总纲!BB7</f>
        <v>19.707330185578734</v>
      </c>
      <c r="BC7" s="21">
        <f>[1]节奏总纲!BC7</f>
        <v>21.34613466141565</v>
      </c>
      <c r="BD7" s="21">
        <f>[1]节奏总纲!BD7</f>
        <v>23.710496742673982</v>
      </c>
      <c r="BE7" s="21">
        <f>[1]节奏总纲!BE7</f>
        <v>27.863030247590562</v>
      </c>
    </row>
    <row r="8" spans="2:57" x14ac:dyDescent="0.15">
      <c r="B8" s="21">
        <v>10</v>
      </c>
      <c r="C8" s="21">
        <v>1</v>
      </c>
      <c r="D8" s="21">
        <v>1</v>
      </c>
      <c r="F8" s="21">
        <v>6</v>
      </c>
      <c r="G8" s="21">
        <v>0.51571656651039799</v>
      </c>
      <c r="I8" s="21">
        <v>6</v>
      </c>
      <c r="J8" s="21">
        <v>0.22055744069899194</v>
      </c>
      <c r="K8" s="18">
        <v>0.34</v>
      </c>
      <c r="N8" s="26">
        <f>[1]节奏总纲!N8</f>
        <v>10</v>
      </c>
      <c r="O8" s="21">
        <v>5</v>
      </c>
      <c r="P8" s="21">
        <f>[1]节奏总纲!P8</f>
        <v>0.41421356237309515</v>
      </c>
      <c r="Q8" s="21">
        <f>[1]节奏总纲!Q8</f>
        <v>0.35241289886702937</v>
      </c>
      <c r="R8" s="21">
        <f>[1]节奏总纲!R8</f>
        <v>0.28315639123824782</v>
      </c>
      <c r="S8" s="21">
        <f>[1]节奏总纲!S8</f>
        <v>0.20296464556281663</v>
      </c>
      <c r="T8" s="21">
        <f>[1]节奏总纲!T8</f>
        <v>0.10951806589144637</v>
      </c>
      <c r="U8" s="27"/>
      <c r="V8" s="21">
        <v>5</v>
      </c>
      <c r="W8" s="21">
        <f>[1]节奏总纲!W8</f>
        <v>9.4705651600200946E-2</v>
      </c>
      <c r="X8" s="21">
        <f>[1]节奏总纲!X8</f>
        <v>8.0447765217141864E-2</v>
      </c>
      <c r="Y8" s="21">
        <f>[1]节奏总纲!Y8</f>
        <v>6.4996389762515677E-2</v>
      </c>
      <c r="Z8" s="21">
        <f>[1]节奏总纲!Z8</f>
        <v>4.68850311502578E-2</v>
      </c>
      <c r="AA8" s="21">
        <f>[1]节奏总纲!AA8</f>
        <v>2.5455534567097912E-2</v>
      </c>
      <c r="AC8" s="21">
        <v>5</v>
      </c>
      <c r="AD8" s="21">
        <f>[1]节奏总纲!AD8</f>
        <v>25.845161563010112</v>
      </c>
      <c r="AE8" s="21">
        <f>[1]节奏总纲!AE8</f>
        <v>27.525245270311611</v>
      </c>
      <c r="AF8" s="21">
        <f>[1]节奏总纲!AF8</f>
        <v>29.892344464157688</v>
      </c>
      <c r="AG8" s="21">
        <f>[1]节奏总纲!AG8</f>
        <v>33.672145166817529</v>
      </c>
      <c r="AH8" s="21">
        <f>[1]节奏总纲!AH8</f>
        <v>41.359260538726978</v>
      </c>
      <c r="AL8" s="21">
        <v>5</v>
      </c>
      <c r="AM8" s="21">
        <f>[1]节奏总纲!AM8</f>
        <v>0.15</v>
      </c>
      <c r="AN8" s="21">
        <f>[1]节奏总纲!AN8</f>
        <v>0.12</v>
      </c>
      <c r="AO8" s="21">
        <f>[1]节奏总纲!AO8</f>
        <v>0.09</v>
      </c>
      <c r="AP8" s="21">
        <f>[1]节奏总纲!AP8</f>
        <v>0.06</v>
      </c>
      <c r="AQ8" s="21">
        <f>[1]节奏总纲!AQ8</f>
        <v>0.03</v>
      </c>
      <c r="AS8" s="21">
        <v>5</v>
      </c>
      <c r="AT8" s="21">
        <f>[1]节奏总纲!AT8</f>
        <v>5.7362359175968963E-2</v>
      </c>
      <c r="AU8" s="21">
        <f>[1]节奏总纲!AU8</f>
        <v>4.5889887340775162E-2</v>
      </c>
      <c r="AV8" s="21">
        <f>[1]节奏总纲!AV8</f>
        <v>3.4417415505581382E-2</v>
      </c>
      <c r="AW8" s="21">
        <f>[1]节奏总纲!AW8</f>
        <v>2.2944943670387581E-2</v>
      </c>
      <c r="AX8" s="21">
        <f>[1]节奏总纲!AX8</f>
        <v>1.1472471835193791E-2</v>
      </c>
      <c r="AY8" s="21"/>
      <c r="AZ8" s="21">
        <v>5</v>
      </c>
      <c r="BA8" s="21">
        <f>[1]节奏总纲!BA8</f>
        <v>19.707330185578734</v>
      </c>
      <c r="BB8" s="21">
        <f>[1]节奏总纲!BB8</f>
        <v>20.993539484876777</v>
      </c>
      <c r="BC8" s="21">
        <f>[1]节奏总纲!BC8</f>
        <v>22.639743033177162</v>
      </c>
      <c r="BD8" s="21">
        <f>[1]节奏总纲!BD8</f>
        <v>25.044229735272328</v>
      </c>
      <c r="BE8" s="21">
        <f>[1]节奏总纲!BE8</f>
        <v>29.216428548527322</v>
      </c>
    </row>
    <row r="9" spans="2:57" x14ac:dyDescent="0.15">
      <c r="B9" s="21">
        <v>20</v>
      </c>
      <c r="C9" s="21">
        <v>3</v>
      </c>
      <c r="D9" s="21">
        <v>2</v>
      </c>
      <c r="F9" s="21">
        <v>7</v>
      </c>
      <c r="G9" s="21">
        <v>0.62450479271247095</v>
      </c>
      <c r="I9" s="21">
        <v>7</v>
      </c>
      <c r="J9" s="21">
        <v>0.31141300609369982</v>
      </c>
      <c r="K9" s="18">
        <v>0.38</v>
      </c>
      <c r="N9" s="26">
        <f>[1]节奏总纲!N9</f>
        <v>12</v>
      </c>
      <c r="O9" s="21">
        <v>6</v>
      </c>
      <c r="P9" s="21">
        <f>[1]节奏总纲!P9</f>
        <v>0.51571656651039799</v>
      </c>
      <c r="Q9" s="21">
        <f>[1]节奏总纲!Q9</f>
        <v>0.43939051466685908</v>
      </c>
      <c r="R9" s="21">
        <f>[1]节奏总纲!R9</f>
        <v>0.35336899137292471</v>
      </c>
      <c r="S9" s="21">
        <f>[1]节奏总纲!S9</f>
        <v>0.25440298225957936</v>
      </c>
      <c r="T9" s="21">
        <f>[1]节奏总纲!T9</f>
        <v>0.13836675479473978</v>
      </c>
      <c r="U9" s="27"/>
      <c r="V9" s="21">
        <v>6</v>
      </c>
      <c r="W9" s="21">
        <f>[1]节奏总纲!W9</f>
        <v>0.10150300413730284</v>
      </c>
      <c r="X9" s="21">
        <f>[1]节奏总纲!X9</f>
        <v>8.6977615799829711E-2</v>
      </c>
      <c r="Y9" s="21">
        <f>[1]节奏总纲!Y9</f>
        <v>7.0212600134676895E-2</v>
      </c>
      <c r="Z9" s="21">
        <f>[1]节奏总纲!Z9</f>
        <v>5.1438336696762732E-2</v>
      </c>
      <c r="AA9" s="21">
        <f>[1]节奏总纲!AA9</f>
        <v>2.884868890329341E-2</v>
      </c>
      <c r="AC9" s="21">
        <v>6</v>
      </c>
      <c r="AD9" s="21">
        <f>[1]节奏总纲!AD9</f>
        <v>28.071211008105138</v>
      </c>
      <c r="AE9" s="21">
        <f>[1]节奏总纲!AE9</f>
        <v>29.78183527117605</v>
      </c>
      <c r="AF9" s="21">
        <f>[1]节奏总纲!AF9</f>
        <v>32.202183458664891</v>
      </c>
      <c r="AG9" s="21">
        <f>[1]节奏总纲!AG9</f>
        <v>36.067019846099676</v>
      </c>
      <c r="AH9" s="21">
        <f>[1]节奏总纲!AH9</f>
        <v>43.870275262019007</v>
      </c>
      <c r="AL9" s="21">
        <v>6</v>
      </c>
      <c r="AM9" s="21">
        <f>[1]节奏总纲!AM9</f>
        <v>0.22055744069899194</v>
      </c>
      <c r="AN9" s="21">
        <f>[1]节奏总纲!AN9</f>
        <v>0.17644595255919357</v>
      </c>
      <c r="AO9" s="21">
        <f>[1]节奏总纲!AO9</f>
        <v>0.13233446441939517</v>
      </c>
      <c r="AP9" s="21">
        <f>[1]节奏总纲!AP9</f>
        <v>8.8222976279596785E-2</v>
      </c>
      <c r="AQ9" s="21">
        <f>[1]节奏总纲!AQ9</f>
        <v>4.4111488139798392E-2</v>
      </c>
      <c r="AS9" s="21">
        <v>6</v>
      </c>
      <c r="AT9" s="21">
        <f>[1]节奏总纲!AT9</f>
        <v>7.0557440698991947E-2</v>
      </c>
      <c r="AU9" s="21">
        <f>[1]节奏总纲!AU9</f>
        <v>5.6445952559193574E-2</v>
      </c>
      <c r="AV9" s="21">
        <f>[1]节奏总纲!AV9</f>
        <v>4.2334464419395174E-2</v>
      </c>
      <c r="AW9" s="21">
        <f>[1]节奏总纲!AW9</f>
        <v>2.8222976279596787E-2</v>
      </c>
      <c r="AX9" s="21">
        <f>[1]节奏总纲!AX9</f>
        <v>1.4111488139798394E-2</v>
      </c>
      <c r="AY9" s="21"/>
      <c r="AZ9" s="21">
        <v>6</v>
      </c>
      <c r="BA9" s="21">
        <f>[1]节奏总纲!BA9</f>
        <v>20.745154613657583</v>
      </c>
      <c r="BB9" s="21">
        <f>[1]节奏总纲!BB9</f>
        <v>22.041972908628715</v>
      </c>
      <c r="BC9" s="21">
        <f>[1]节奏总纲!BC9</f>
        <v>23.710496742673982</v>
      </c>
      <c r="BD9" s="21">
        <f>[1]节奏总纲!BD9</f>
        <v>26.127796402772656</v>
      </c>
      <c r="BE9" s="21">
        <f>[1]节奏总纲!BE9</f>
        <v>30.329493925593439</v>
      </c>
    </row>
    <row r="10" spans="2:57" x14ac:dyDescent="0.15">
      <c r="B10" s="21">
        <v>30</v>
      </c>
      <c r="C10" s="21">
        <v>7</v>
      </c>
      <c r="D10" s="21">
        <v>4</v>
      </c>
      <c r="F10" s="21">
        <v>8</v>
      </c>
      <c r="G10" s="21">
        <v>0.74110112659224825</v>
      </c>
      <c r="I10" s="21">
        <v>8</v>
      </c>
      <c r="J10" s="21">
        <v>0.42660095793436714</v>
      </c>
      <c r="K10" s="18">
        <v>0.42</v>
      </c>
      <c r="N10" s="26">
        <f>[1]节奏总纲!N10</f>
        <v>14</v>
      </c>
      <c r="O10" s="21">
        <v>7</v>
      </c>
      <c r="P10" s="21">
        <f>[1]节奏总纲!P10</f>
        <v>0.62450479271247095</v>
      </c>
      <c r="Q10" s="21">
        <f>[1]节奏总纲!Q10</f>
        <v>0.53413894920697635</v>
      </c>
      <c r="R10" s="21">
        <f>[1]节奏总纲!R10</f>
        <v>0.43072095553379119</v>
      </c>
      <c r="S10" s="21">
        <f>[1]节奏总纲!S10</f>
        <v>0.30950457526830061</v>
      </c>
      <c r="T10" s="21">
        <f>[1]节奏总纲!T10</f>
        <v>0.16699258157131475</v>
      </c>
      <c r="U10" s="27"/>
      <c r="V10" s="21">
        <v>7</v>
      </c>
      <c r="W10" s="21">
        <f>[1]节奏总纲!W10</f>
        <v>0.10878822620207296</v>
      </c>
      <c r="X10" s="21">
        <f>[1]节奏总纲!X10</f>
        <v>9.4748434540117277E-2</v>
      </c>
      <c r="Y10" s="21">
        <f>[1]节奏总纲!Y10</f>
        <v>7.7351964160866482E-2</v>
      </c>
      <c r="Z10" s="21">
        <f>[1]节奏总纲!Z10</f>
        <v>5.510159300872125E-2</v>
      </c>
      <c r="AA10" s="21">
        <f>[1]节奏总纲!AA10</f>
        <v>2.8625826776574964E-2</v>
      </c>
      <c r="AC10" s="21">
        <v>7</v>
      </c>
      <c r="AD10" s="21">
        <f>[1]节奏总纲!AD10</f>
        <v>30</v>
      </c>
      <c r="AE10" s="21">
        <f>[1]节奏总纲!AE10</f>
        <v>31.718819483847451</v>
      </c>
      <c r="AF10" s="21">
        <f>[1]节奏总纲!AF10</f>
        <v>34.192155176139416</v>
      </c>
      <c r="AG10" s="21">
        <f>[1]节奏总纲!AG10</f>
        <v>38.19822972207853</v>
      </c>
      <c r="AH10" s="21">
        <f>[1]节奏总纲!AH10</f>
        <v>46.093186357957826</v>
      </c>
      <c r="AL10" s="21">
        <v>7</v>
      </c>
      <c r="AM10" s="21">
        <f>[1]节奏总纲!AM10</f>
        <v>0.31141300609369982</v>
      </c>
      <c r="AN10" s="21">
        <f>[1]节奏总纲!AN10</f>
        <v>0.24913040487495985</v>
      </c>
      <c r="AO10" s="21">
        <f>[1]节奏总纲!AO10</f>
        <v>0.18684780365621989</v>
      </c>
      <c r="AP10" s="21">
        <f>[1]节奏总纲!AP10</f>
        <v>0.12456520243747993</v>
      </c>
      <c r="AQ10" s="21">
        <f>[1]节奏总纲!AQ10</f>
        <v>6.2282601218739964E-2</v>
      </c>
      <c r="AS10" s="21">
        <v>7</v>
      </c>
      <c r="AT10" s="21">
        <f>[1]节奏总纲!AT10</f>
        <v>9.0855565394707877E-2</v>
      </c>
      <c r="AU10" s="21">
        <f>[1]节奏总纲!AU10</f>
        <v>7.2684452315766285E-2</v>
      </c>
      <c r="AV10" s="21">
        <f>[1]节奏总纲!AV10</f>
        <v>5.451333923682472E-2</v>
      </c>
      <c r="AW10" s="21">
        <f>[1]节奏总纲!AW10</f>
        <v>3.6342226157883142E-2</v>
      </c>
      <c r="AX10" s="21">
        <f>[1]节奏总纲!AX10</f>
        <v>1.8171113078941571E-2</v>
      </c>
      <c r="AY10" s="21"/>
      <c r="AZ10" s="21">
        <v>7</v>
      </c>
      <c r="BA10" s="21">
        <f>[1]节奏总纲!BA10</f>
        <v>21.627432338833255</v>
      </c>
      <c r="BB10" s="21">
        <f>[1]节奏总纲!BB10</f>
        <v>22.938628095451385</v>
      </c>
      <c r="BC10" s="21">
        <f>[1]节奏总纲!BC10</f>
        <v>24.619152272059132</v>
      </c>
      <c r="BD10" s="21">
        <f>[1]节奏总纲!BD10</f>
        <v>27.059707353051884</v>
      </c>
      <c r="BE10" s="21">
        <f>[1]节奏总纲!BE10</f>
        <v>31.280110398778046</v>
      </c>
    </row>
    <row r="11" spans="2:57" x14ac:dyDescent="0.15">
      <c r="B11" s="21">
        <v>40</v>
      </c>
      <c r="C11" s="21">
        <v>15</v>
      </c>
      <c r="D11" s="21">
        <v>8</v>
      </c>
      <c r="F11" s="21">
        <v>9</v>
      </c>
      <c r="G11" s="21">
        <v>0.86606598307361482</v>
      </c>
      <c r="I11" s="21">
        <v>9</v>
      </c>
      <c r="J11" s="21">
        <v>0.57090651823243421</v>
      </c>
      <c r="K11" s="18">
        <v>0.46</v>
      </c>
      <c r="N11" s="26">
        <f>[1]节奏总纲!N11</f>
        <v>16</v>
      </c>
      <c r="O11" s="21">
        <v>8</v>
      </c>
      <c r="P11" s="21">
        <f>[1]节奏总纲!P11</f>
        <v>0.74110112659224825</v>
      </c>
      <c r="Q11" s="21">
        <f>[1]节奏总纲!Q11</f>
        <v>0.63089938906798093</v>
      </c>
      <c r="R11" s="21">
        <f>[1]节奏总纲!R11</f>
        <v>0.50550507844857251</v>
      </c>
      <c r="S11" s="21">
        <f>[1]节奏总纲!S11</f>
        <v>0.36195379022765406</v>
      </c>
      <c r="T11" s="21">
        <f>[1]节奏总纲!T11</f>
        <v>0.19579891764567198</v>
      </c>
      <c r="U11" s="27"/>
      <c r="V11" s="21">
        <v>8</v>
      </c>
      <c r="W11" s="21">
        <f>[1]节奏总纲!W11</f>
        <v>0.1165963338797773</v>
      </c>
      <c r="X11" s="21">
        <f>[1]节奏总纲!X11</f>
        <v>9.6760439861004577E-2</v>
      </c>
      <c r="Y11" s="21">
        <f>[1]节奏总纲!Y11</f>
        <v>7.4784122914781315E-2</v>
      </c>
      <c r="Z11" s="21">
        <f>[1]节奏总纲!Z11</f>
        <v>5.2449214959353452E-2</v>
      </c>
      <c r="AA11" s="21">
        <f>[1]节奏总纲!AA11</f>
        <v>2.8806336074357231E-2</v>
      </c>
      <c r="AC11" s="21">
        <v>8</v>
      </c>
      <c r="AD11" s="21">
        <f>[1]节奏总纲!AD11</f>
        <v>31.691928656135214</v>
      </c>
      <c r="AE11" s="21">
        <f>[1]节奏总纲!AE11</f>
        <v>33.465251056098396</v>
      </c>
      <c r="AF11" s="21">
        <f>[1]节奏总纲!AF11</f>
        <v>35.930751746472978</v>
      </c>
      <c r="AG11" s="21">
        <f>[1]节奏总纲!AG11</f>
        <v>39.998279638578282</v>
      </c>
      <c r="AH11" s="21">
        <f>[1]节奏总纲!AH11</f>
        <v>48.067140183443534</v>
      </c>
      <c r="AL11" s="21">
        <v>8</v>
      </c>
      <c r="AM11" s="21">
        <f>[1]节奏总纲!AM11</f>
        <v>0.42660095793436714</v>
      </c>
      <c r="AN11" s="21">
        <f>[1]节奏总纲!AN11</f>
        <v>0.34128076634749371</v>
      </c>
      <c r="AO11" s="21">
        <f>[1]节奏总纲!AO11</f>
        <v>0.25596057476062029</v>
      </c>
      <c r="AP11" s="21">
        <f>[1]节奏总纲!AP11</f>
        <v>0.17064038317374686</v>
      </c>
      <c r="AQ11" s="21">
        <f>[1]节奏总纲!AQ11</f>
        <v>8.5320191586873428E-2</v>
      </c>
      <c r="AS11" s="21">
        <v>8</v>
      </c>
      <c r="AT11" s="21">
        <f>[1]节奏总纲!AT11</f>
        <v>0.11518795184066732</v>
      </c>
      <c r="AU11" s="21">
        <f>[1]节奏总纲!AU11</f>
        <v>9.2150361472533859E-2</v>
      </c>
      <c r="AV11" s="21">
        <f>[1]节奏总纲!AV11</f>
        <v>6.9112771104400395E-2</v>
      </c>
      <c r="AW11" s="21">
        <f>[1]节奏总纲!AW11</f>
        <v>4.607518073626693E-2</v>
      </c>
      <c r="AX11" s="21">
        <f>[1]节奏总纲!AX11</f>
        <v>2.3037590368133465E-2</v>
      </c>
      <c r="AY11" s="21"/>
      <c r="AZ11" s="21">
        <v>8</v>
      </c>
      <c r="BA11" s="21">
        <f>[1]节奏总纲!BA11</f>
        <v>22.400634983357783</v>
      </c>
      <c r="BB11" s="21">
        <f>[1]节奏总纲!BB11</f>
        <v>23.710496742673982</v>
      </c>
      <c r="BC11" s="21">
        <f>[1]节奏总纲!BC11</f>
        <v>25.412810862541733</v>
      </c>
      <c r="BD11" s="21">
        <f>[1]节奏总纲!BD11</f>
        <v>27.863030247590562</v>
      </c>
      <c r="BE11" s="21">
        <f>[1]节奏总纲!BE11</f>
        <v>32.113552950216736</v>
      </c>
    </row>
    <row r="12" spans="2:57" x14ac:dyDescent="0.15">
      <c r="B12" s="21">
        <v>50</v>
      </c>
      <c r="C12" s="21">
        <v>31</v>
      </c>
      <c r="D12" s="21">
        <v>16</v>
      </c>
      <c r="F12" s="21">
        <v>10</v>
      </c>
      <c r="G12" s="21">
        <v>1</v>
      </c>
      <c r="I12" s="21">
        <v>10</v>
      </c>
      <c r="J12" s="21">
        <v>0.75</v>
      </c>
      <c r="K12" s="18">
        <v>0.5</v>
      </c>
      <c r="N12" s="26">
        <f>[1]节奏总纲!N12</f>
        <v>18</v>
      </c>
      <c r="O12" s="21">
        <v>9</v>
      </c>
      <c r="P12" s="21">
        <f>[1]节奏总纲!P12</f>
        <v>0.86606598307361482</v>
      </c>
      <c r="Q12" s="21">
        <f>[1]节奏总纲!Q12</f>
        <v>0.73702215159564621</v>
      </c>
      <c r="R12" s="21">
        <f>[1]节奏总纲!R12</f>
        <v>0.59282216541388932</v>
      </c>
      <c r="S12" s="21">
        <f>[1]节奏总纲!S12</f>
        <v>0.42766338244175101</v>
      </c>
      <c r="T12" s="21">
        <f>[1]节奏总纲!T12</f>
        <v>0.23193247026711403</v>
      </c>
      <c r="U12" s="27"/>
      <c r="V12" s="21">
        <v>9</v>
      </c>
      <c r="W12" s="21">
        <f>[1]节奏总纲!W12</f>
        <v>0.12496485648136657</v>
      </c>
      <c r="X12" s="21">
        <f>[1]节奏总纲!X12</f>
        <v>0.10612276252766528</v>
      </c>
      <c r="Y12" s="21">
        <f>[1]节奏总纲!Y12</f>
        <v>8.7317086965316815E-2</v>
      </c>
      <c r="Z12" s="21">
        <f>[1]节奏总纲!Z12</f>
        <v>6.5709592214096946E-2</v>
      </c>
      <c r="AA12" s="21">
        <f>[1]节奏总纲!AA12</f>
        <v>3.613355262144205E-2</v>
      </c>
      <c r="AC12" s="21">
        <v>9</v>
      </c>
      <c r="AD12" s="21">
        <f>[1]节奏总纲!AD12</f>
        <v>33.213386604241784</v>
      </c>
      <c r="AE12" s="21">
        <f>[1]节奏总纲!AE12</f>
        <v>34.992730785174565</v>
      </c>
      <c r="AF12" s="21">
        <f>[1]节奏总纲!AF12</f>
        <v>37.510565846691456</v>
      </c>
      <c r="AG12" s="21">
        <f>[1]节奏总纲!AG12</f>
        <v>41.534743419557365</v>
      </c>
      <c r="AH12" s="21">
        <f>[1]节奏总纲!AH12</f>
        <v>49.706056771838036</v>
      </c>
      <c r="AL12" s="21">
        <v>9</v>
      </c>
      <c r="AM12" s="21">
        <f>[1]节奏总纲!AM12</f>
        <v>0.57090651823243421</v>
      </c>
      <c r="AN12" s="21">
        <f>[1]节奏总纲!AN12</f>
        <v>0.45672521458594739</v>
      </c>
      <c r="AO12" s="21">
        <f>[1]节奏总纲!AO12</f>
        <v>0.34254391093946052</v>
      </c>
      <c r="AP12" s="21">
        <f>[1]节奏总纲!AP12</f>
        <v>0.2283626072929737</v>
      </c>
      <c r="AQ12" s="21">
        <f>[1]节奏总纲!AQ12</f>
        <v>0.11418130364648685</v>
      </c>
      <c r="AS12" s="21">
        <v>9</v>
      </c>
      <c r="AT12" s="21">
        <f>[1]节奏总纲!AT12</f>
        <v>0.14430556029806707</v>
      </c>
      <c r="AU12" s="21">
        <f>[1]节奏总纲!AU12</f>
        <v>0.11544444823845368</v>
      </c>
      <c r="AV12" s="21">
        <f>[1]节奏总纲!AV12</f>
        <v>8.6583336178840231E-2</v>
      </c>
      <c r="AW12" s="21">
        <f>[1]节奏总纲!AW12</f>
        <v>5.7722224119226839E-2</v>
      </c>
      <c r="AX12" s="21">
        <f>[1]节奏总纲!AX12</f>
        <v>2.886111205961342E-2</v>
      </c>
      <c r="AY12" s="21"/>
      <c r="AZ12" s="21">
        <v>9</v>
      </c>
      <c r="BA12" s="21">
        <f>[1]节奏总纲!BA12</f>
        <v>23.100336713798686</v>
      </c>
      <c r="BB12" s="21">
        <f>[1]节奏总纲!BB12</f>
        <v>24.402761517547276</v>
      </c>
      <c r="BC12" s="21">
        <f>[1]节奏总纲!BC12</f>
        <v>26.127796402772656</v>
      </c>
      <c r="BD12" s="21">
        <f>[1]节奏总纲!BD12</f>
        <v>28.568390277483555</v>
      </c>
      <c r="BE12" s="21">
        <f>[1]节奏总纲!BE12</f>
        <v>32.842201900114915</v>
      </c>
    </row>
    <row r="13" spans="2:57" x14ac:dyDescent="0.15">
      <c r="B13" s="21">
        <v>60</v>
      </c>
      <c r="C13" s="21">
        <v>63</v>
      </c>
      <c r="D13" s="21">
        <v>32</v>
      </c>
      <c r="F13" s="21">
        <v>11</v>
      </c>
      <c r="G13" s="21">
        <v>1.1435469250725863</v>
      </c>
      <c r="I13" s="21">
        <v>11</v>
      </c>
      <c r="J13" s="21">
        <v>0.93464628919691628</v>
      </c>
      <c r="K13" s="18">
        <v>0.52</v>
      </c>
      <c r="N13" s="26">
        <f>[1]节奏总纲!N13</f>
        <v>20</v>
      </c>
      <c r="O13" s="21">
        <v>10</v>
      </c>
      <c r="P13" s="21">
        <f>[1]节奏总纲!P13</f>
        <v>1</v>
      </c>
      <c r="Q13" s="21">
        <f>[1]节奏总纲!Q13</f>
        <v>0.8548</v>
      </c>
      <c r="R13" s="21">
        <f>[1]节奏总纲!R13</f>
        <v>0.6895</v>
      </c>
      <c r="S13" s="21">
        <f>[1]节奏总纲!S13</f>
        <v>0.49980000000000002</v>
      </c>
      <c r="T13" s="21">
        <f>[1]节奏总纲!T13</f>
        <v>0.2732</v>
      </c>
      <c r="U13" s="27"/>
      <c r="V13" s="21">
        <v>10</v>
      </c>
      <c r="W13" s="21">
        <f>[1]节奏总纲!W13</f>
        <v>0.13393401692638518</v>
      </c>
      <c r="X13" s="21">
        <f>[1]节奏总纲!X13</f>
        <v>0.11777784840435379</v>
      </c>
      <c r="Y13" s="21">
        <f>[1]节奏总纲!Y13</f>
        <v>9.6677834586110678E-2</v>
      </c>
      <c r="Z13" s="21">
        <f>[1]节奏总纲!Z13</f>
        <v>7.2136617558249017E-2</v>
      </c>
      <c r="AA13" s="21">
        <f>[1]节奏总纲!AA13</f>
        <v>4.1267529732885971E-2</v>
      </c>
      <c r="AC13" s="21">
        <v>10</v>
      </c>
      <c r="AD13" s="21">
        <f>[1]节奏总纲!AD13</f>
        <v>34.585942742481357</v>
      </c>
      <c r="AE13" s="21">
        <f>[1]节奏总纲!AE13</f>
        <v>36.36169634498642</v>
      </c>
      <c r="AF13" s="21">
        <f>[1]节奏总纲!AF13</f>
        <v>38.977035507933373</v>
      </c>
      <c r="AG13" s="21">
        <f>[1]节奏总纲!AG13</f>
        <v>42.970748198558951</v>
      </c>
      <c r="AH13" s="21">
        <f>[1]节奏总纲!AH13</f>
        <v>51.212821897464167</v>
      </c>
      <c r="AL13" s="21">
        <v>10</v>
      </c>
      <c r="AM13" s="21">
        <f>[1]节奏总纲!AM13</f>
        <v>0.75</v>
      </c>
      <c r="AN13" s="21">
        <f>[1]节奏总纲!AN13</f>
        <v>0.60000000000000009</v>
      </c>
      <c r="AO13" s="21">
        <f>[1]节奏总纲!AO13</f>
        <v>0.44999999999999996</v>
      </c>
      <c r="AP13" s="21">
        <f>[1]节奏总纲!AP13</f>
        <v>0.30000000000000004</v>
      </c>
      <c r="AQ13" s="21">
        <f>[1]节奏总纲!AQ13</f>
        <v>0.15000000000000002</v>
      </c>
      <c r="AS13" s="21">
        <v>10</v>
      </c>
      <c r="AT13" s="21">
        <f>[1]节奏总纲!AT13</f>
        <v>0.17909348176756579</v>
      </c>
      <c r="AU13" s="21">
        <f>[1]节奏总纲!AU13</f>
        <v>0.1432747854140527</v>
      </c>
      <c r="AV13" s="21">
        <f>[1]节奏总纲!AV13</f>
        <v>0.10745608906053944</v>
      </c>
      <c r="AW13" s="21">
        <f>[1]节奏总纲!AW13</f>
        <v>7.1637392707026348E-2</v>
      </c>
      <c r="AX13" s="21">
        <f>[1]节奏总纲!AX13</f>
        <v>3.5818696353513174E-2</v>
      </c>
      <c r="AY13" s="21"/>
      <c r="AZ13" s="21">
        <v>10</v>
      </c>
      <c r="BA13" s="21">
        <f>[1]节奏总纲!BA13</f>
        <v>23.710496742673982</v>
      </c>
      <c r="BB13" s="21">
        <f>[1]节奏总纲!BB13</f>
        <v>25.044229735272328</v>
      </c>
      <c r="BC13" s="21">
        <f>[1]节奏总纲!BC13</f>
        <v>26.755953543357073</v>
      </c>
      <c r="BD13" s="21">
        <f>[1]节奏总纲!BD13</f>
        <v>29.216428548527322</v>
      </c>
      <c r="BE13" s="21">
        <f>[1]节奏总纲!BE13</f>
        <v>33.487933395889513</v>
      </c>
    </row>
    <row r="14" spans="2:57" x14ac:dyDescent="0.15">
      <c r="B14" s="21">
        <v>70</v>
      </c>
      <c r="C14" s="21">
        <v>127</v>
      </c>
      <c r="D14" s="21">
        <v>64</v>
      </c>
      <c r="F14" s="21">
        <v>12</v>
      </c>
      <c r="G14" s="21">
        <v>1.2973967099940702</v>
      </c>
      <c r="I14" s="21">
        <v>12</v>
      </c>
      <c r="J14" s="21">
        <v>1.1550685436347259</v>
      </c>
      <c r="K14" s="18">
        <v>0.54</v>
      </c>
      <c r="N14" s="26">
        <f>[1]节奏总纲!N14</f>
        <v>21</v>
      </c>
      <c r="O14" s="21">
        <v>11</v>
      </c>
      <c r="P14" s="21">
        <f>[1]节奏总纲!P14</f>
        <v>1.1435469250725863</v>
      </c>
      <c r="Q14" s="21">
        <f>[1]节奏总纲!Q14</f>
        <v>0.98036277886472811</v>
      </c>
      <c r="R14" s="21">
        <f>[1]节奏总纲!R14</f>
        <v>0.79453640354043287</v>
      </c>
      <c r="S14" s="21">
        <f>[1]节奏总纲!S14</f>
        <v>0.57577587677404707</v>
      </c>
      <c r="T14" s="21">
        <f>[1]节奏总纲!T14</f>
        <v>0.31767733578516444</v>
      </c>
      <c r="U14" s="27"/>
      <c r="V14" s="21">
        <v>11</v>
      </c>
      <c r="W14" s="21">
        <f>[1]节奏总纲!W14</f>
        <v>0.14354692507258626</v>
      </c>
      <c r="X14" s="21">
        <f>[1]节奏总纲!X14</f>
        <v>0.12556277886472811</v>
      </c>
      <c r="Y14" s="21">
        <f>[1]节奏总纲!Y14</f>
        <v>0.10503640354043287</v>
      </c>
      <c r="Z14" s="21">
        <f>[1]节奏总纲!Z14</f>
        <v>7.5975876774047046E-2</v>
      </c>
      <c r="AA14" s="21">
        <f>[1]节奏总纲!AA14</f>
        <v>4.447733578516444E-2</v>
      </c>
      <c r="AC14" s="21">
        <v>11</v>
      </c>
      <c r="AD14" s="21">
        <f>[1]节奏总纲!AD14</f>
        <v>35.845161563010116</v>
      </c>
      <c r="AE14" s="21">
        <f>[1]节奏总纲!AE14</f>
        <v>37.6388925299823</v>
      </c>
      <c r="AF14" s="21">
        <f>[1]节奏总纲!AF14</f>
        <v>40.259528204263837</v>
      </c>
      <c r="AG14" s="21">
        <f>[1]节奏总纲!AG14</f>
        <v>44.288230531994081</v>
      </c>
      <c r="AH14" s="21">
        <f>[1]节奏总纲!AH14</f>
        <v>52.559419343629337</v>
      </c>
      <c r="AL14" s="21">
        <v>11</v>
      </c>
      <c r="AM14" s="21">
        <f>[1]节奏总纲!AM14</f>
        <v>0.93464628919691628</v>
      </c>
      <c r="AN14" s="21">
        <f>[1]节奏总纲!AN14</f>
        <v>0.74771703135753309</v>
      </c>
      <c r="AO14" s="21">
        <f>[1]节奏总纲!AO14</f>
        <v>0.56078777351814979</v>
      </c>
      <c r="AP14" s="21">
        <f>[1]节奏总纲!AP14</f>
        <v>0.37385851567876655</v>
      </c>
      <c r="AQ14" s="21">
        <f>[1]节奏总纲!AQ14</f>
        <v>0.18692925783938327</v>
      </c>
      <c r="AS14" s="21">
        <v>11</v>
      </c>
      <c r="AT14" s="21">
        <f>[1]节奏总纲!AT14</f>
        <v>0.18464628919691628</v>
      </c>
      <c r="AU14" s="21">
        <f>[1]节奏总纲!AU14</f>
        <v>0.147717031357533</v>
      </c>
      <c r="AV14" s="21">
        <f>[1]节奏总纲!AV14</f>
        <v>0.11078777351814983</v>
      </c>
      <c r="AW14" s="21">
        <f>[1]节奏总纲!AW14</f>
        <v>7.3858515678766501E-2</v>
      </c>
      <c r="AX14" s="21">
        <f>[1]节奏总纲!AX14</f>
        <v>3.692925783938325E-2</v>
      </c>
      <c r="AY14" s="21"/>
      <c r="AZ14" s="21">
        <v>11</v>
      </c>
      <c r="BA14" s="21">
        <f>[1]节奏总纲!BA14</f>
        <v>24.272927064840161</v>
      </c>
      <c r="BB14" s="21">
        <f>[1]节奏总纲!BB14</f>
        <v>25.597101426176433</v>
      </c>
      <c r="BC14" s="21">
        <f>[1]节奏总纲!BC14</f>
        <v>27.327481651231444</v>
      </c>
      <c r="BD14" s="21">
        <f>[1]节奏总纲!BD14</f>
        <v>29.80118336305917</v>
      </c>
      <c r="BE14" s="21">
        <f>[1]节奏总纲!BE14</f>
        <v>34.09469189131628</v>
      </c>
    </row>
    <row r="15" spans="2:57" x14ac:dyDescent="0.15">
      <c r="B15" s="21">
        <v>80</v>
      </c>
      <c r="C15" s="21">
        <v>255</v>
      </c>
      <c r="D15" s="21">
        <v>128</v>
      </c>
      <c r="F15" s="21">
        <v>13</v>
      </c>
      <c r="G15" s="21">
        <v>1.4622888266898326</v>
      </c>
      <c r="I15" s="21">
        <v>13</v>
      </c>
      <c r="J15" s="21">
        <v>1.417602554491646</v>
      </c>
      <c r="K15" s="18">
        <v>0.56000000000000005</v>
      </c>
      <c r="N15" s="26">
        <f>[1]节奏总纲!N15</f>
        <v>22</v>
      </c>
      <c r="O15" s="21">
        <v>12</v>
      </c>
      <c r="P15" s="21">
        <f>[1]节奏总纲!P15</f>
        <v>1.2973967099940702</v>
      </c>
      <c r="Q15" s="21">
        <f>[1]节奏总纲!Q15</f>
        <v>1.1126474184909145</v>
      </c>
      <c r="R15" s="21">
        <f>[1]节奏总纲!R15</f>
        <v>0.9058423829178599</v>
      </c>
      <c r="S15" s="21">
        <f>[1]节奏总纲!S15</f>
        <v>0.66219128078097333</v>
      </c>
      <c r="T15" s="21">
        <f>[1]节奏总纲!T15</f>
        <v>0.36560639287632896</v>
      </c>
      <c r="U15" s="27"/>
      <c r="V15" s="21">
        <v>12</v>
      </c>
      <c r="W15" s="21">
        <f>[1]节奏总纲!W15</f>
        <v>0.15384978492148393</v>
      </c>
      <c r="X15" s="21">
        <f>[1]节奏总纲!X15</f>
        <v>0.13228463962618642</v>
      </c>
      <c r="Y15" s="21">
        <f>[1]节奏总纲!Y15</f>
        <v>0.11130597937742703</v>
      </c>
      <c r="Z15" s="21">
        <f>[1]节奏总纲!Z15</f>
        <v>8.6415404006926266E-2</v>
      </c>
      <c r="AA15" s="21">
        <f>[1]节奏总纲!AA15</f>
        <v>4.7929057091164518E-2</v>
      </c>
      <c r="AC15" s="21">
        <v>12</v>
      </c>
      <c r="AD15" s="21">
        <f>[1]节奏总纲!AD15</f>
        <v>37.004247194324648</v>
      </c>
      <c r="AE15" s="21">
        <f>[1]节奏总纲!AE15</f>
        <v>38.827998824669805</v>
      </c>
      <c r="AF15" s="21">
        <f>[1]节奏总纲!AF15</f>
        <v>41.408320762540754</v>
      </c>
      <c r="AG15" s="21">
        <f>[1]节奏总纲!AG15</f>
        <v>45.500930067545958</v>
      </c>
      <c r="AH15" s="21">
        <f>[1]节奏总纲!AH15</f>
        <v>53.855547243088772</v>
      </c>
      <c r="AL15" s="21">
        <v>12</v>
      </c>
      <c r="AM15" s="21">
        <f>[1]节奏总纲!AM15</f>
        <v>1.1550685436347259</v>
      </c>
      <c r="AN15" s="21">
        <f>[1]节奏总纲!AN15</f>
        <v>0.92405483490778073</v>
      </c>
      <c r="AO15" s="21">
        <f>[1]节奏总纲!AO15</f>
        <v>0.69304112618083547</v>
      </c>
      <c r="AP15" s="21">
        <f>[1]节奏总纲!AP15</f>
        <v>0.46202741745389037</v>
      </c>
      <c r="AQ15" s="21">
        <f>[1]节奏总纲!AQ15</f>
        <v>0.23101370872694518</v>
      </c>
      <c r="AS15" s="21">
        <v>12</v>
      </c>
      <c r="AT15" s="21">
        <f>[1]节奏总纲!AT15</f>
        <v>0.22042225443780961</v>
      </c>
      <c r="AU15" s="21">
        <f>[1]节奏总纲!AU15</f>
        <v>0.17633780355024764</v>
      </c>
      <c r="AV15" s="21">
        <f>[1]节奏总纲!AV15</f>
        <v>0.13225335266268567</v>
      </c>
      <c r="AW15" s="21">
        <f>[1]节奏总纲!AW15</f>
        <v>8.816890177512382E-2</v>
      </c>
      <c r="AX15" s="21">
        <f>[1]节奏总纲!AX15</f>
        <v>4.408445088756191E-2</v>
      </c>
      <c r="AY15" s="21"/>
      <c r="AZ15" s="21">
        <v>12</v>
      </c>
      <c r="BA15" s="21">
        <f>[1]节奏总纲!BA15</f>
        <v>24.792264875668618</v>
      </c>
      <c r="BB15" s="21">
        <f>[1]节奏总纲!BB15</f>
        <v>26.127796402772656</v>
      </c>
      <c r="BC15" s="21">
        <f>[1]节奏总纲!BC15</f>
        <v>27.863030247590562</v>
      </c>
      <c r="BD15" s="21">
        <f>[1]节奏总纲!BD15</f>
        <v>30.329493925593439</v>
      </c>
      <c r="BE15" s="21">
        <f>[1]节奏总纲!BE15</f>
        <v>34.627226072894942</v>
      </c>
    </row>
    <row r="16" spans="2:57" x14ac:dyDescent="0.15">
      <c r="B16" s="21">
        <v>90</v>
      </c>
      <c r="C16" s="21">
        <v>511</v>
      </c>
      <c r="D16" s="21">
        <v>256</v>
      </c>
      <c r="F16" s="21">
        <v>14</v>
      </c>
      <c r="G16" s="21">
        <v>1.6390158215457884</v>
      </c>
      <c r="I16" s="21">
        <v>14</v>
      </c>
      <c r="J16" s="21">
        <v>1.7296773068470075</v>
      </c>
      <c r="K16" s="18">
        <v>0.57999999999999996</v>
      </c>
      <c r="N16" s="26">
        <f>[1]节奏总纲!N16</f>
        <v>23</v>
      </c>
      <c r="O16" s="21">
        <v>13</v>
      </c>
      <c r="P16" s="21">
        <f>[1]节奏总纲!P16</f>
        <v>1.4622888266898326</v>
      </c>
      <c r="Q16" s="21">
        <f>[1]节奏总纲!Q16</f>
        <v>1.2628326307293396</v>
      </c>
      <c r="R16" s="21">
        <f>[1]节奏总纲!R16</f>
        <v>1.0294513339896421</v>
      </c>
      <c r="S16" s="21">
        <f>[1]节奏总纲!S16</f>
        <v>0.75556463675063656</v>
      </c>
      <c r="T16" s="21">
        <f>[1]节奏总纲!T16</f>
        <v>0.41865329108129906</v>
      </c>
      <c r="U16" s="27"/>
      <c r="V16" s="21">
        <v>13</v>
      </c>
      <c r="W16" s="21">
        <f>[1]节奏总纲!W16</f>
        <v>0.16489211669576243</v>
      </c>
      <c r="X16" s="21">
        <f>[1]节奏总纲!X16</f>
        <v>0.15018521223842507</v>
      </c>
      <c r="Y16" s="21">
        <f>[1]节奏总纲!Y16</f>
        <v>0.12360895107178216</v>
      </c>
      <c r="Z16" s="21">
        <f>[1]节奏总纲!Z16</f>
        <v>9.337335596966323E-2</v>
      </c>
      <c r="AA16" s="21">
        <f>[1]节奏总纲!AA16</f>
        <v>5.3046898204970105E-2</v>
      </c>
      <c r="AC16" s="21">
        <v>13</v>
      </c>
      <c r="AD16" s="21">
        <f>[1]节奏总纲!AD16</f>
        <v>38.071211008105138</v>
      </c>
      <c r="AE16" s="21">
        <f>[1]节奏总纲!AE16</f>
        <v>39.935302111946527</v>
      </c>
      <c r="AF16" s="21">
        <f>[1]节奏总纲!AF16</f>
        <v>42.470214785133983</v>
      </c>
      <c r="AG16" s="21">
        <f>[1]节奏总纲!AG16</f>
        <v>46.631096344914496</v>
      </c>
      <c r="AH16" s="21">
        <f>[1]节奏总纲!AH16</f>
        <v>55.062101953238496</v>
      </c>
      <c r="AL16" s="21">
        <v>13</v>
      </c>
      <c r="AM16" s="21">
        <f>[1]节奏总纲!AM16</f>
        <v>1.417602554491646</v>
      </c>
      <c r="AN16" s="21">
        <f>[1]节奏总纲!AN16</f>
        <v>1.1340820435933168</v>
      </c>
      <c r="AO16" s="21">
        <f>[1]节奏总纲!AO16</f>
        <v>0.85056153269498758</v>
      </c>
      <c r="AP16" s="21">
        <f>[1]节奏总纲!AP16</f>
        <v>0.56704102179665838</v>
      </c>
      <c r="AQ16" s="21">
        <f>[1]节奏总纲!AQ16</f>
        <v>0.28352051089832919</v>
      </c>
      <c r="AS16" s="21">
        <v>13</v>
      </c>
      <c r="AT16" s="21">
        <f>[1]节奏总纲!AT16</f>
        <v>0.26253401085692007</v>
      </c>
      <c r="AU16" s="21">
        <f>[1]节奏总纲!AU16</f>
        <v>0.21002720868553604</v>
      </c>
      <c r="AV16" s="21">
        <f>[1]节奏总纲!AV16</f>
        <v>0.15752040651415211</v>
      </c>
      <c r="AW16" s="21">
        <f>[1]节奏总纲!AW16</f>
        <v>0.10501360434276802</v>
      </c>
      <c r="AX16" s="21">
        <f>[1]节奏总纲!AX16</f>
        <v>5.2506802171384009E-2</v>
      </c>
      <c r="AY16" s="21"/>
      <c r="AZ16" s="21">
        <v>13</v>
      </c>
      <c r="BA16" s="21">
        <f>[1]节奏总纲!BA16</f>
        <v>25.265378411633971</v>
      </c>
      <c r="BB16" s="21">
        <f>[1]节奏总纲!BB16</f>
        <v>26.598914258210968</v>
      </c>
      <c r="BC16" s="21">
        <f>[1]节奏总纲!BC16</f>
        <v>28.339982398803929</v>
      </c>
      <c r="BD16" s="21">
        <f>[1]节奏总纲!BD16</f>
        <v>30.828727146189561</v>
      </c>
      <c r="BE16" s="21">
        <f>[1]节奏总纲!BE16</f>
        <v>35.146386283795508</v>
      </c>
    </row>
    <row r="17" spans="2:57" x14ac:dyDescent="0.15">
      <c r="B17" s="21">
        <v>100</v>
      </c>
      <c r="C17" s="21">
        <v>1023</v>
      </c>
      <c r="D17" s="21">
        <v>512</v>
      </c>
      <c r="F17" s="21">
        <v>15</v>
      </c>
      <c r="G17" s="21">
        <v>1.8284271247461898</v>
      </c>
      <c r="I17" s="21">
        <v>15</v>
      </c>
      <c r="J17" s="21">
        <v>2.1</v>
      </c>
      <c r="K17" s="18">
        <v>0.6</v>
      </c>
      <c r="N17" s="26">
        <f>[1]节奏总纲!N17</f>
        <v>24</v>
      </c>
      <c r="O17" s="21">
        <v>14</v>
      </c>
      <c r="P17" s="21">
        <f>[1]节奏总纲!P17</f>
        <v>1.6390158215457884</v>
      </c>
      <c r="Q17" s="21">
        <f>[1]节奏总纲!Q17</f>
        <v>1.4136511460832426</v>
      </c>
      <c r="R17" s="21">
        <f>[1]节奏总纲!R17</f>
        <v>1.1545227446968533</v>
      </c>
      <c r="S17" s="21">
        <f>[1]节奏总纲!S17</f>
        <v>0.84605996708193598</v>
      </c>
      <c r="T17" s="21">
        <f>[1]节奏总纲!T17</f>
        <v>0.46810291863347719</v>
      </c>
      <c r="U17" s="27"/>
      <c r="V17" s="21">
        <v>14</v>
      </c>
      <c r="W17" s="21">
        <f>[1]节奏总纲!W17</f>
        <v>0.17672699485595578</v>
      </c>
      <c r="X17" s="21">
        <f>[1]节奏总纲!X17</f>
        <v>0.150818515353903</v>
      </c>
      <c r="Y17" s="21">
        <f>[1]节奏总纲!Y17</f>
        <v>0.12507141070721128</v>
      </c>
      <c r="Z17" s="21">
        <f>[1]节奏总纲!Z17</f>
        <v>9.0495330331299417E-2</v>
      </c>
      <c r="AA17" s="21">
        <f>[1]节奏总纲!AA17</f>
        <v>4.9449627552178133E-2</v>
      </c>
      <c r="AC17" s="21">
        <v>14</v>
      </c>
      <c r="AD17" s="21">
        <f>[1]节奏总纲!AD17</f>
        <v>39.066704614192943</v>
      </c>
      <c r="AE17" s="21">
        <f>[1]节奏总纲!AE17</f>
        <v>40.935169244165145</v>
      </c>
      <c r="AF17" s="21">
        <f>[1]节奏总纲!AF17</f>
        <v>43.484929789964411</v>
      </c>
      <c r="AG17" s="21">
        <f>[1]节奏总纲!AG17</f>
        <v>47.711408234944486</v>
      </c>
      <c r="AH17" s="21">
        <f>[1]节奏总纲!AH17</f>
        <v>56.165983112651688</v>
      </c>
      <c r="AL17" s="21">
        <v>14</v>
      </c>
      <c r="AM17" s="21">
        <f>[1]节奏总纲!AM17</f>
        <v>1.7296773068470075</v>
      </c>
      <c r="AN17" s="21">
        <f>[1]节奏总纲!AN17</f>
        <v>1.383741845477606</v>
      </c>
      <c r="AO17" s="21">
        <f>[1]节奏总纲!AO17</f>
        <v>1.0378063841082044</v>
      </c>
      <c r="AP17" s="21">
        <f>[1]节奏总纲!AP17</f>
        <v>0.69187092273880302</v>
      </c>
      <c r="AQ17" s="21">
        <f>[1]节奏总纲!AQ17</f>
        <v>0.34593546136940151</v>
      </c>
      <c r="AS17" s="21">
        <v>14</v>
      </c>
      <c r="AT17" s="21">
        <f>[1]节奏总纲!AT17</f>
        <v>0.31207475235536153</v>
      </c>
      <c r="AU17" s="21">
        <f>[1]节奏总纲!AU17</f>
        <v>0.24965980188428927</v>
      </c>
      <c r="AV17" s="21">
        <f>[1]节奏总纲!AV17</f>
        <v>0.18724485141321678</v>
      </c>
      <c r="AW17" s="21">
        <f>[1]节奏总纲!AW17</f>
        <v>0.12482990094214463</v>
      </c>
      <c r="AX17" s="21">
        <f>[1]节奏总纲!AX17</f>
        <v>6.2414950471072317E-2</v>
      </c>
      <c r="AY17" s="21"/>
      <c r="AZ17" s="21">
        <v>14</v>
      </c>
      <c r="BA17" s="21">
        <f>[1]节奏总纲!BA17</f>
        <v>25.707675764357255</v>
      </c>
      <c r="BB17" s="21">
        <f>[1]节奏总纲!BB17</f>
        <v>27.059707353051884</v>
      </c>
      <c r="BC17" s="21">
        <f>[1]节奏总纲!BC17</f>
        <v>28.796798156163181</v>
      </c>
      <c r="BD17" s="21">
        <f>[1]节奏总纲!BD17</f>
        <v>31.280110398778046</v>
      </c>
      <c r="BE17" s="21">
        <f>[1]节奏总纲!BE17</f>
        <v>35.634340563113874</v>
      </c>
    </row>
    <row r="18" spans="2:57" x14ac:dyDescent="0.15">
      <c r="F18" s="21">
        <v>16</v>
      </c>
      <c r="G18" s="21">
        <v>2.031433133020796</v>
      </c>
      <c r="I18" s="21">
        <v>16</v>
      </c>
      <c r="J18" s="21">
        <v>2.5387719203926467</v>
      </c>
      <c r="K18" s="18">
        <v>0.62</v>
      </c>
      <c r="N18" s="26">
        <f>[1]节奏总纲!N18</f>
        <v>25</v>
      </c>
      <c r="O18" s="21">
        <v>15</v>
      </c>
      <c r="P18" s="21">
        <f>[1]节奏总纲!P18</f>
        <v>1.8284271247461898</v>
      </c>
      <c r="Q18" s="21">
        <f>[1]节奏总纲!Q18</f>
        <v>1.5793953503557587</v>
      </c>
      <c r="R18" s="21">
        <f>[1]节奏总纲!R18</f>
        <v>1.2928808199080308</v>
      </c>
      <c r="S18" s="21">
        <f>[1]节奏总纲!S18</f>
        <v>0.94895367774327255</v>
      </c>
      <c r="T18" s="21">
        <f>[1]节奏总纲!T18</f>
        <v>0.5271355400643265</v>
      </c>
      <c r="U18" s="27"/>
      <c r="V18" s="21">
        <v>15</v>
      </c>
      <c r="W18" s="21">
        <f>[1]节奏总纲!W18</f>
        <v>0.18941130320040145</v>
      </c>
      <c r="X18" s="21">
        <f>[1]节奏总纲!X18</f>
        <v>0.16574420427251613</v>
      </c>
      <c r="Y18" s="21">
        <f>[1]节奏总纲!Y18</f>
        <v>0.13835807521117749</v>
      </c>
      <c r="Z18" s="21">
        <f>[1]节奏总纲!Z18</f>
        <v>0.10289371066133657</v>
      </c>
      <c r="AA18" s="21">
        <f>[1]节奏总纲!AA18</f>
        <v>5.9032621430849308E-2</v>
      </c>
      <c r="AC18" s="21">
        <v>15</v>
      </c>
      <c r="AD18" s="21">
        <f>[1]节奏总纲!AD18</f>
        <v>40</v>
      </c>
      <c r="AE18" s="21">
        <f>[1]节奏总纲!AE18</f>
        <v>41.83669503626701</v>
      </c>
      <c r="AF18" s="21">
        <f>[1]节奏总纲!AF18</f>
        <v>44.442238853326032</v>
      </c>
      <c r="AG18" s="21">
        <f>[1]节奏总纲!AG18</f>
        <v>48.731413734867289</v>
      </c>
      <c r="AH18" s="21">
        <f>[1]节奏总纲!AH18</f>
        <v>57.176846218996921</v>
      </c>
      <c r="AL18" s="21">
        <v>15</v>
      </c>
      <c r="AM18" s="21">
        <f>[1]节奏总纲!AM18</f>
        <v>2.1</v>
      </c>
      <c r="AN18" s="21">
        <f>[1]节奏总纲!AN18</f>
        <v>1.6800000000000002</v>
      </c>
      <c r="AO18" s="21">
        <f>[1]节奏总纲!AO18</f>
        <v>1.26</v>
      </c>
      <c r="AP18" s="21">
        <f>[1]节奏总纲!AP18</f>
        <v>0.84000000000000008</v>
      </c>
      <c r="AQ18" s="21">
        <f>[1]节奏总纲!AQ18</f>
        <v>0.42000000000000004</v>
      </c>
      <c r="AS18" s="21">
        <v>15</v>
      </c>
      <c r="AT18" s="21">
        <f>[1]节奏总纲!AT18</f>
        <v>0.3703226931529926</v>
      </c>
      <c r="AU18" s="21">
        <f>[1]节奏总纲!AU18</f>
        <v>0.29625815452239412</v>
      </c>
      <c r="AV18" s="21">
        <f>[1]节奏总纲!AV18</f>
        <v>0.22219361589179565</v>
      </c>
      <c r="AW18" s="21">
        <f>[1]节奏总纲!AW18</f>
        <v>0.14812907726119706</v>
      </c>
      <c r="AX18" s="21">
        <f>[1]节奏总纲!AX18</f>
        <v>7.4064538630598531E-2</v>
      </c>
      <c r="AY18" s="21"/>
      <c r="AZ18" s="21">
        <v>15</v>
      </c>
      <c r="BA18" s="21">
        <f>[1]节奏总纲!BA18</f>
        <v>26.127796402772656</v>
      </c>
      <c r="BB18" s="21">
        <f>[1]节奏总纲!BB18</f>
        <v>27.461368800321225</v>
      </c>
      <c r="BC18" s="21">
        <f>[1]节奏总纲!BC18</f>
        <v>29.216428548527322</v>
      </c>
      <c r="BD18" s="21">
        <f>[1]节奏总纲!BD18</f>
        <v>31.706504654507764</v>
      </c>
      <c r="BE18" s="21">
        <f>[1]节奏总纲!BE18</f>
        <v>36.105477566569242</v>
      </c>
    </row>
    <row r="19" spans="2:57" x14ac:dyDescent="0.15">
      <c r="F19" s="21">
        <v>17</v>
      </c>
      <c r="G19" s="21">
        <v>2.2490095854249419</v>
      </c>
      <c r="I19" s="21">
        <v>17</v>
      </c>
      <c r="J19" s="21">
        <v>3.0579402515786085</v>
      </c>
      <c r="K19" s="18">
        <v>0.64</v>
      </c>
      <c r="N19" s="26">
        <f>[1]节奏总纲!N19</f>
        <v>26</v>
      </c>
      <c r="O19" s="21">
        <v>16</v>
      </c>
      <c r="P19" s="21">
        <f>[1]节奏总纲!P19</f>
        <v>2.031433133020796</v>
      </c>
      <c r="Q19" s="21">
        <f>[1]节奏总纲!Q19</f>
        <v>1.7586116632561031</v>
      </c>
      <c r="R19" s="21">
        <f>[1]节奏总纲!R19</f>
        <v>1.4398798046851402</v>
      </c>
      <c r="S19" s="21">
        <f>[1]节奏总纲!S19</f>
        <v>1.0618300986299702</v>
      </c>
      <c r="T19" s="21">
        <f>[1]节奏总纲!T19</f>
        <v>0.59460047803518701</v>
      </c>
      <c r="U19" s="27"/>
      <c r="V19" s="21">
        <v>16</v>
      </c>
      <c r="W19" s="21">
        <f>[1]节奏总纲!W19</f>
        <v>0.20300600827460613</v>
      </c>
      <c r="X19" s="21">
        <f>[1]节奏总纲!X19</f>
        <v>0.17921631290034434</v>
      </c>
      <c r="Y19" s="21">
        <f>[1]节奏总纲!Y19</f>
        <v>0.14699898477710938</v>
      </c>
      <c r="Z19" s="21">
        <f>[1]节奏总纲!Z19</f>
        <v>0.11287642088669769</v>
      </c>
      <c r="AA19" s="21">
        <f>[1]节奏总纲!AA19</f>
        <v>6.7464937970860506E-2</v>
      </c>
      <c r="AC19" s="21">
        <v>16</v>
      </c>
      <c r="AD19" s="21">
        <f>[1]节奏总纲!AD19</f>
        <v>40.870795385807064</v>
      </c>
      <c r="AE19" s="21">
        <f>[1]节奏总纲!AE19</f>
        <v>42.707142308553742</v>
      </c>
      <c r="AF19" s="21">
        <f>[1]节奏总纲!AF19</f>
        <v>45.343250058486468</v>
      </c>
      <c r="AG19" s="21">
        <f>[1]节奏总纲!AG19</f>
        <v>49.654306534727205</v>
      </c>
      <c r="AH19" s="21">
        <f>[1]节奏总纲!AH19</f>
        <v>58.12511610143563</v>
      </c>
      <c r="AL19" s="21">
        <v>16</v>
      </c>
      <c r="AM19" s="21">
        <f>[1]节奏总纲!AM19</f>
        <v>2.5387719203926467</v>
      </c>
      <c r="AN19" s="21">
        <f>[1]节奏总纲!AN19</f>
        <v>2.0310175363141174</v>
      </c>
      <c r="AO19" s="21">
        <f>[1]节奏总纲!AO19</f>
        <v>1.5232631522355879</v>
      </c>
      <c r="AP19" s="21">
        <f>[1]节奏总纲!AP19</f>
        <v>1.0155087681570587</v>
      </c>
      <c r="AQ19" s="21">
        <f>[1]节奏总纲!AQ19</f>
        <v>0.50775438407852935</v>
      </c>
      <c r="AS19" s="21">
        <v>16</v>
      </c>
      <c r="AT19" s="21">
        <f>[1]节奏总纲!AT19</f>
        <v>0.43877192039264656</v>
      </c>
      <c r="AU19" s="21">
        <f>[1]节奏总纲!AU19</f>
        <v>0.35101753631411725</v>
      </c>
      <c r="AV19" s="21">
        <f>[1]节奏总纲!AV19</f>
        <v>0.26326315223558794</v>
      </c>
      <c r="AW19" s="21">
        <f>[1]节奏总纲!AW19</f>
        <v>0.17550876815705863</v>
      </c>
      <c r="AX19" s="21">
        <f>[1]节奏总纲!AX19</f>
        <v>8.7754384078529313E-2</v>
      </c>
      <c r="AY19" s="21"/>
      <c r="AZ19" s="21">
        <v>16</v>
      </c>
      <c r="BA19" s="21">
        <f>[1]节奏总纲!BA19</f>
        <v>26.504690687123308</v>
      </c>
      <c r="BB19" s="21">
        <f>[1]节奏总纲!BB19</f>
        <v>27.863030247590562</v>
      </c>
      <c r="BC19" s="21">
        <f>[1]节奏总纲!BC19</f>
        <v>29.606265091548554</v>
      </c>
      <c r="BD19" s="21">
        <f>[1]节奏总纲!BD19</f>
        <v>32.113552950216736</v>
      </c>
      <c r="BE19" s="21">
        <f>[1]节奏总纲!BE19</f>
        <v>36.526331209747774</v>
      </c>
    </row>
    <row r="20" spans="2:57" x14ac:dyDescent="0.15">
      <c r="F20" s="21">
        <v>18</v>
      </c>
      <c r="G20" s="21">
        <v>2.4822022531844965</v>
      </c>
      <c r="I20" s="21">
        <v>18</v>
      </c>
      <c r="J20" s="21">
        <v>3.671491735587451</v>
      </c>
      <c r="K20" s="18">
        <v>0.66</v>
      </c>
      <c r="N20" s="26">
        <f>[1]节奏总纲!N20</f>
        <v>27</v>
      </c>
      <c r="O20" s="21">
        <v>17</v>
      </c>
      <c r="P20" s="21">
        <f>[1]节奏总纲!P20</f>
        <v>2.2490095854249419</v>
      </c>
      <c r="Q20" s="21">
        <f>[1]节奏总纲!Q20</f>
        <v>1.9433691827656923</v>
      </c>
      <c r="R20" s="21">
        <f>[1]节奏总纲!R20</f>
        <v>1.5904995788125189</v>
      </c>
      <c r="S20" s="21">
        <f>[1]节奏总纲!S20</f>
        <v>1.1742079045503622</v>
      </c>
      <c r="T20" s="21">
        <f>[1]节奏总纲!T20</f>
        <v>0.65311238360740309</v>
      </c>
      <c r="U20" s="27"/>
      <c r="V20" s="21">
        <v>17</v>
      </c>
      <c r="W20" s="21">
        <f>[1]节奏总纲!W20</f>
        <v>0.21757645240414591</v>
      </c>
      <c r="X20" s="21">
        <f>[1]节奏总纲!X20</f>
        <v>0.18475751950958919</v>
      </c>
      <c r="Y20" s="21">
        <f>[1]节奏总纲!Y20</f>
        <v>0.1506197741273787</v>
      </c>
      <c r="Z20" s="21">
        <f>[1]节奏总纲!Z20</f>
        <v>0.11237780592039193</v>
      </c>
      <c r="AA20" s="21">
        <f>[1]节奏总纲!AA20</f>
        <v>5.8511905572216083E-2</v>
      </c>
      <c r="AC20" s="21">
        <v>17</v>
      </c>
      <c r="AD20" s="21">
        <f>[1]节奏总纲!AD20</f>
        <v>41.691928656135218</v>
      </c>
      <c r="AE20" s="21">
        <f>[1]节奏总纲!AE20</f>
        <v>43.535389560453282</v>
      </c>
      <c r="AF20" s="21">
        <f>[1]节奏总纲!AF20</f>
        <v>46.195785611164197</v>
      </c>
      <c r="AG20" s="21">
        <f>[1]节奏总纲!AG20</f>
        <v>50.510850036206186</v>
      </c>
      <c r="AH20" s="21">
        <f>[1]节奏总纲!AH20</f>
        <v>58.996855914896834</v>
      </c>
      <c r="AL20" s="21">
        <v>17</v>
      </c>
      <c r="AM20" s="21">
        <f>[1]节奏总纲!AM20</f>
        <v>3.0579402515786085</v>
      </c>
      <c r="AN20" s="21">
        <f>[1]节奏总纲!AN20</f>
        <v>2.4463522012628869</v>
      </c>
      <c r="AO20" s="21">
        <f>[1]节奏总纲!AO20</f>
        <v>1.8347641509471651</v>
      </c>
      <c r="AP20" s="21">
        <f>[1]节奏总纲!AP20</f>
        <v>1.2231761006314434</v>
      </c>
      <c r="AQ20" s="21">
        <f>[1]节奏总纲!AQ20</f>
        <v>0.61158805031572172</v>
      </c>
      <c r="AS20" s="21">
        <v>17</v>
      </c>
      <c r="AT20" s="21">
        <f>[1]节奏总纲!AT20</f>
        <v>0.51916833118596184</v>
      </c>
      <c r="AU20" s="21">
        <f>[1]节奏总纲!AU20</f>
        <v>0.41533466494876947</v>
      </c>
      <c r="AV20" s="21">
        <f>[1]节奏总纲!AV20</f>
        <v>0.3115009987115771</v>
      </c>
      <c r="AW20" s="21">
        <f>[1]节奏总纲!AW20</f>
        <v>0.20766733247438474</v>
      </c>
      <c r="AX20" s="21">
        <f>[1]节奏总纲!AX20</f>
        <v>0.10383366623719237</v>
      </c>
      <c r="AY20" s="21"/>
      <c r="AZ20" s="21">
        <v>17</v>
      </c>
      <c r="BA20" s="21">
        <f>[1]节奏总纲!BA20</f>
        <v>26.881584971473956</v>
      </c>
      <c r="BB20" s="21">
        <f>[1]节奏总纲!BB20</f>
        <v>28.225778459464117</v>
      </c>
      <c r="BC20" s="21">
        <f>[1]节奏总纲!BC20</f>
        <v>29.996101634569786</v>
      </c>
      <c r="BD20" s="21">
        <f>[1]节奏总纲!BD20</f>
        <v>32.477877425165822</v>
      </c>
      <c r="BE20" s="21">
        <f>[1]节奏总纲!BE20</f>
        <v>36.947184852926306</v>
      </c>
    </row>
    <row r="21" spans="2:57" x14ac:dyDescent="0.15">
      <c r="F21" s="21">
        <v>19</v>
      </c>
      <c r="G21" s="21">
        <v>2.7321319661472296</v>
      </c>
      <c r="I21" s="21">
        <v>19</v>
      </c>
      <c r="J21" s="21">
        <v>4.3957950643309154</v>
      </c>
      <c r="K21" s="18">
        <v>0.68</v>
      </c>
      <c r="N21" s="26">
        <f>[1]节奏总纲!N21</f>
        <v>28</v>
      </c>
      <c r="O21" s="21">
        <v>18</v>
      </c>
      <c r="P21" s="21">
        <f>[1]节奏总纲!P21</f>
        <v>2.4822022531844965</v>
      </c>
      <c r="Q21" s="21">
        <f>[1]节奏总纲!Q21</f>
        <v>2.1515729130603214</v>
      </c>
      <c r="R21" s="21">
        <f>[1]节奏总纲!R21</f>
        <v>1.7690655458445907</v>
      </c>
      <c r="S21" s="21">
        <f>[1]节奏总纲!S21</f>
        <v>1.3066312660763189</v>
      </c>
      <c r="T21" s="21">
        <f>[1]节奏总纲!T21</f>
        <v>0.72554771860582834</v>
      </c>
      <c r="U21" s="27"/>
      <c r="V21" s="21">
        <v>18</v>
      </c>
      <c r="W21" s="21">
        <f>[1]节奏总纲!W21</f>
        <v>0.23319266775955461</v>
      </c>
      <c r="X21" s="21">
        <f>[1]节奏总纲!X21</f>
        <v>0.20820373029462913</v>
      </c>
      <c r="Y21" s="21">
        <f>[1]节奏总纲!Y21</f>
        <v>0.17856596703207184</v>
      </c>
      <c r="Z21" s="21">
        <f>[1]节奏总纲!Z21</f>
        <v>0.13242336152595668</v>
      </c>
      <c r="AA21" s="21">
        <f>[1]节奏总纲!AA21</f>
        <v>7.2435334998425249E-2</v>
      </c>
      <c r="AC21" s="21">
        <v>18</v>
      </c>
      <c r="AD21" s="21">
        <f>[1]节奏总纲!AD21</f>
        <v>42.470630686057078</v>
      </c>
      <c r="AE21" s="21">
        <f>[1]节奏总纲!AE21</f>
        <v>44.32123076997032</v>
      </c>
      <c r="AF21" s="21">
        <f>[1]节奏总纲!AF21</f>
        <v>47.002405448181747</v>
      </c>
      <c r="AG21" s="21">
        <f>[1]节奏总纲!AG21</f>
        <v>51.307235833425089</v>
      </c>
      <c r="AH21" s="21">
        <f>[1]节奏总纲!AH21</f>
        <v>59.782901351568675</v>
      </c>
      <c r="AL21" s="21">
        <v>18</v>
      </c>
      <c r="AM21" s="21">
        <f>[1]节奏总纲!AM21</f>
        <v>3.671491735587451</v>
      </c>
      <c r="AN21" s="21">
        <f>[1]节奏总纲!AN21</f>
        <v>2.9371933884699608</v>
      </c>
      <c r="AO21" s="21">
        <f>[1]节奏总纲!AO21</f>
        <v>2.2028950413524706</v>
      </c>
      <c r="AP21" s="21">
        <f>[1]节奏总纲!AP21</f>
        <v>1.4685966942349804</v>
      </c>
      <c r="AQ21" s="21">
        <f>[1]节奏总纲!AQ21</f>
        <v>0.7342983471174902</v>
      </c>
      <c r="AS21" s="21">
        <v>18</v>
      </c>
      <c r="AT21" s="21">
        <f>[1]节奏总纲!AT21</f>
        <v>0.61355148400884252</v>
      </c>
      <c r="AU21" s="21">
        <f>[1]节奏总纲!AU21</f>
        <v>0.49084118720707393</v>
      </c>
      <c r="AV21" s="21">
        <f>[1]节奏总纲!AV21</f>
        <v>0.36813089040530556</v>
      </c>
      <c r="AW21" s="21">
        <f>[1]节奏总纲!AW21</f>
        <v>0.24542059360353696</v>
      </c>
      <c r="AX21" s="21">
        <f>[1]节奏总纲!AX21</f>
        <v>0.12271029680176848</v>
      </c>
      <c r="AY21" s="21"/>
      <c r="AZ21" s="21">
        <v>18</v>
      </c>
      <c r="BA21" s="21">
        <f>[1]节奏总纲!BA21</f>
        <v>27.220371931959619</v>
      </c>
      <c r="BB21" s="21">
        <f>[1]节奏总纲!BB21</f>
        <v>28.568390277483555</v>
      </c>
      <c r="BC21" s="21">
        <f>[1]节奏总纲!BC21</f>
        <v>30.329493925593439</v>
      </c>
      <c r="BD21" s="21">
        <f>[1]节奏总纲!BD21</f>
        <v>32.842201900114915</v>
      </c>
      <c r="BE21" s="21">
        <f>[1]节奏总纲!BE21</f>
        <v>37.317457773889828</v>
      </c>
    </row>
    <row r="22" spans="2:57" x14ac:dyDescent="0.15">
      <c r="B22" s="59" t="s">
        <v>154</v>
      </c>
      <c r="C22" s="59"/>
      <c r="D22" s="59"/>
      <c r="F22" s="21">
        <v>20</v>
      </c>
      <c r="G22" s="21">
        <v>3</v>
      </c>
      <c r="I22" s="21">
        <v>20</v>
      </c>
      <c r="J22" s="21">
        <v>5.25</v>
      </c>
      <c r="K22" s="18">
        <v>0.7</v>
      </c>
      <c r="N22" s="26">
        <f>[1]节奏总纲!N22</f>
        <v>29</v>
      </c>
      <c r="O22" s="21">
        <v>19</v>
      </c>
      <c r="P22" s="21">
        <f>[1]节奏总纲!P22</f>
        <v>2.7321319661472296</v>
      </c>
      <c r="Q22" s="21">
        <f>[1]节奏总纲!Q22</f>
        <v>2.3734030389920986</v>
      </c>
      <c r="R22" s="21">
        <f>[1]节奏总纲!R22</f>
        <v>1.9510154370257367</v>
      </c>
      <c r="S22" s="21">
        <f>[1]节奏总纲!S22</f>
        <v>1.4395603329629754</v>
      </c>
      <c r="T22" s="21">
        <f>[1]节奏总纲!T22</f>
        <v>0.80270037165405606</v>
      </c>
      <c r="U22" s="27"/>
      <c r="V22" s="21">
        <v>19</v>
      </c>
      <c r="W22" s="21">
        <f>[1]节奏总纲!W22</f>
        <v>0.24992971296273314</v>
      </c>
      <c r="X22" s="21">
        <f>[1]节奏总纲!X22</f>
        <v>0.2218301259317772</v>
      </c>
      <c r="Y22" s="21">
        <f>[1]节奏总纲!Y22</f>
        <v>0.18194989118114591</v>
      </c>
      <c r="Z22" s="21">
        <f>[1]节奏总纲!Z22</f>
        <v>0.13292906688665651</v>
      </c>
      <c r="AA22" s="21">
        <f>[1]节奏总纲!AA22</f>
        <v>7.7152653048227715E-2</v>
      </c>
      <c r="AC22" s="21">
        <v>19</v>
      </c>
      <c r="AD22" s="21">
        <f>[1]节奏总纲!AD22</f>
        <v>43.213386604241784</v>
      </c>
      <c r="AE22" s="21">
        <f>[1]节奏总纲!AE22</f>
        <v>45.070782602372333</v>
      </c>
      <c r="AF22" s="21">
        <f>[1]节奏总纲!AF22</f>
        <v>47.752799438858894</v>
      </c>
      <c r="AG22" s="21">
        <f>[1]节奏总纲!AG22</f>
        <v>52.050057424983954</v>
      </c>
      <c r="AH22" s="21">
        <f>[1]节奏总纲!AH22</f>
        <v>60.54585273688761</v>
      </c>
      <c r="AL22" s="21">
        <v>19</v>
      </c>
      <c r="AM22" s="21">
        <f>[1]节奏总纲!AM22</f>
        <v>4.3957950643309154</v>
      </c>
      <c r="AN22" s="21">
        <f>[1]节奏总纲!AN22</f>
        <v>3.5166360514647326</v>
      </c>
      <c r="AO22" s="21">
        <f>[1]节奏总纲!AO22</f>
        <v>2.6374770385985493</v>
      </c>
      <c r="AP22" s="21">
        <f>[1]节奏总纲!AP22</f>
        <v>1.7583180257323663</v>
      </c>
      <c r="AQ22" s="21">
        <f>[1]节奏总纲!AQ22</f>
        <v>0.87915901286618314</v>
      </c>
      <c r="AS22" s="21">
        <v>19</v>
      </c>
      <c r="AT22" s="21">
        <f>[1]节奏总纲!AT22</f>
        <v>0.72430332874346437</v>
      </c>
      <c r="AU22" s="21">
        <f>[1]节奏总纲!AU22</f>
        <v>0.57944266299477176</v>
      </c>
      <c r="AV22" s="21">
        <f>[1]节奏总纲!AV22</f>
        <v>0.43458199724607871</v>
      </c>
      <c r="AW22" s="21">
        <f>[1]节奏总纲!AW22</f>
        <v>0.28972133149738588</v>
      </c>
      <c r="AX22" s="21">
        <f>[1]节奏总纲!AX22</f>
        <v>0.14486066574869294</v>
      </c>
      <c r="AY22" s="21"/>
      <c r="AZ22" s="21">
        <v>19</v>
      </c>
      <c r="BA22" s="21">
        <f>[1]节奏总纲!BA22</f>
        <v>27.541701089775092</v>
      </c>
      <c r="BB22" s="21">
        <f>[1]节奏总纲!BB22</f>
        <v>28.911002095502997</v>
      </c>
      <c r="BC22" s="21">
        <f>[1]节奏总纲!BC22</f>
        <v>30.662316072657521</v>
      </c>
      <c r="BD22" s="21">
        <f>[1]节奏总纲!BD22</f>
        <v>33.176527924103851</v>
      </c>
      <c r="BE22" s="21">
        <f>[1]节奏总纲!BE22</f>
        <v>37.680472138177471</v>
      </c>
    </row>
    <row r="23" spans="2:57" x14ac:dyDescent="0.15">
      <c r="B23" s="21" t="s">
        <v>161</v>
      </c>
      <c r="C23" s="21" t="s">
        <v>90</v>
      </c>
      <c r="D23" s="21" t="s">
        <v>153</v>
      </c>
      <c r="F23" s="21">
        <v>21</v>
      </c>
      <c r="G23" s="21">
        <v>3.2870938501451725</v>
      </c>
      <c r="I23" s="21">
        <v>21</v>
      </c>
      <c r="J23" s="21">
        <v>6.2565025247829205</v>
      </c>
      <c r="K23" s="18">
        <v>0.72</v>
      </c>
      <c r="N23" s="26">
        <f>[1]节奏总纲!N23</f>
        <v>30</v>
      </c>
      <c r="O23" s="21">
        <v>20</v>
      </c>
      <c r="P23" s="21">
        <f>[1]节奏总纲!P23</f>
        <v>3</v>
      </c>
      <c r="Q23" s="21">
        <f>[1]节奏总纲!Q23</f>
        <v>2.6036999999999999</v>
      </c>
      <c r="R23" s="21">
        <f>[1]节奏总纲!R23</f>
        <v>2.1372</v>
      </c>
      <c r="S23" s="21">
        <f>[1]节奏总纲!S23</f>
        <v>1.5800999999999998</v>
      </c>
      <c r="T23" s="21">
        <f>[1]节奏总纲!T23</f>
        <v>0.87990000000000002</v>
      </c>
      <c r="U23" s="27"/>
      <c r="V23" s="21">
        <v>20</v>
      </c>
      <c r="W23" s="21">
        <f>[1]节奏总纲!W23</f>
        <v>0.26786803385277036</v>
      </c>
      <c r="X23" s="21">
        <f>[1]节奏总纲!X23</f>
        <v>0.23029696100790131</v>
      </c>
      <c r="Y23" s="21">
        <f>[1]节奏总纲!Y23</f>
        <v>0.18618456297426333</v>
      </c>
      <c r="Z23" s="21">
        <f>[1]节奏总纲!Z23</f>
        <v>0.14053966703702447</v>
      </c>
      <c r="AA23" s="21">
        <f>[1]节奏总纲!AA23</f>
        <v>7.719962834594396E-2</v>
      </c>
      <c r="AC23" s="21">
        <v>20</v>
      </c>
      <c r="AD23" s="21">
        <f>[1]节奏总纲!AD23</f>
        <v>43.920692243099523</v>
      </c>
      <c r="AE23" s="21">
        <f>[1]节奏总纲!AE23</f>
        <v>45.780025086357675</v>
      </c>
      <c r="AF23" s="21">
        <f>[1]节奏总纲!AF23</f>
        <v>48.482447528152484</v>
      </c>
      <c r="AG23" s="21">
        <f>[1]节奏总纲!AG23</f>
        <v>52.769987980532711</v>
      </c>
      <c r="AH23" s="21">
        <f>[1]节奏总纲!AH23</f>
        <v>61.261422558944936</v>
      </c>
      <c r="AL23" s="21">
        <v>20</v>
      </c>
      <c r="AM23" s="21">
        <f>[1]节奏总纲!AM23</f>
        <v>5.25</v>
      </c>
      <c r="AN23" s="21">
        <f>[1]节奏总纲!AN23</f>
        <v>4.2</v>
      </c>
      <c r="AO23" s="21">
        <f>[1]节奏总纲!AO23</f>
        <v>3.15</v>
      </c>
      <c r="AP23" s="21">
        <f>[1]节奏总纲!AP23</f>
        <v>2.1</v>
      </c>
      <c r="AQ23" s="21">
        <f>[1]节奏总纲!AQ23</f>
        <v>1.05</v>
      </c>
      <c r="AS23" s="21">
        <v>20</v>
      </c>
      <c r="AT23" s="21">
        <f>[1]节奏总纲!AT23</f>
        <v>0.85420493566908462</v>
      </c>
      <c r="AU23" s="21">
        <f>[1]节奏总纲!AU23</f>
        <v>0.68336394853526761</v>
      </c>
      <c r="AV23" s="21">
        <f>[1]节奏总纲!AV23</f>
        <v>0.51252296140145059</v>
      </c>
      <c r="AW23" s="21">
        <f>[1]节奏总纲!AW23</f>
        <v>0.3416819742676338</v>
      </c>
      <c r="AX23" s="21">
        <f>[1]节奏总纲!AX23</f>
        <v>0.1708409871338169</v>
      </c>
      <c r="AY23" s="21"/>
      <c r="AZ23" s="21">
        <v>20</v>
      </c>
      <c r="BA23" s="21">
        <f>[1]节奏总纲!BA23</f>
        <v>27.863030247590562</v>
      </c>
      <c r="BB23" s="21">
        <f>[1]节奏总纲!BB23</f>
        <v>29.216428548527322</v>
      </c>
      <c r="BC23" s="21">
        <f>[1]节奏总纲!BC23</f>
        <v>30.995138219721603</v>
      </c>
      <c r="BD23" s="21">
        <f>[1]节奏总纲!BD23</f>
        <v>33.487933395889513</v>
      </c>
      <c r="BE23" s="21">
        <f>[1]节奏总纲!BE23</f>
        <v>38.037513426486328</v>
      </c>
    </row>
    <row r="24" spans="2:57" x14ac:dyDescent="0.15">
      <c r="B24" s="21">
        <v>5</v>
      </c>
      <c r="C24" s="21">
        <v>0.5</v>
      </c>
      <c r="D24" s="21">
        <v>0.5</v>
      </c>
      <c r="F24" s="21">
        <v>22</v>
      </c>
      <c r="G24" s="21">
        <v>3.5947934199881395</v>
      </c>
      <c r="I24" s="21">
        <v>22</v>
      </c>
      <c r="J24" s="21">
        <v>7.4414868317755332</v>
      </c>
      <c r="K24" s="18">
        <v>0.74</v>
      </c>
      <c r="N24" s="26">
        <f>[1]节奏总纲!N24</f>
        <v>31</v>
      </c>
      <c r="O24" s="21">
        <v>21</v>
      </c>
      <c r="P24" s="21">
        <f>[1]节奏总纲!P24</f>
        <v>3.2870938501451725</v>
      </c>
      <c r="Q24" s="21">
        <f>[1]节奏总纲!Q24</f>
        <v>2.8518826243859516</v>
      </c>
      <c r="R24" s="21">
        <f>[1]节奏总纲!R24</f>
        <v>2.3466562996186386</v>
      </c>
      <c r="S24" s="21">
        <f>[1]节奏总纲!S24</f>
        <v>1.7365716810316947</v>
      </c>
      <c r="T24" s="21">
        <f>[1]节奏总纲!T24</f>
        <v>0.97166494210291288</v>
      </c>
      <c r="U24" s="27"/>
      <c r="V24" s="21">
        <v>21</v>
      </c>
      <c r="W24" s="21">
        <f>[1]节奏总纲!W24</f>
        <v>0.28709385014517252</v>
      </c>
      <c r="X24" s="21">
        <f>[1]节奏总纲!X24</f>
        <v>0.24818262438595173</v>
      </c>
      <c r="Y24" s="21">
        <f>[1]节奏总纲!Y24</f>
        <v>0.20945629961863865</v>
      </c>
      <c r="Z24" s="21">
        <f>[1]节奏总纲!Z24</f>
        <v>0.15647168103169484</v>
      </c>
      <c r="AA24" s="21">
        <f>[1]节奏总纲!AA24</f>
        <v>9.1764942102912861E-2</v>
      </c>
      <c r="AC24" s="21">
        <v>21</v>
      </c>
      <c r="AD24" s="21">
        <f>[1]节奏总纲!AD24</f>
        <v>44.585942742481357</v>
      </c>
      <c r="AE24" s="21">
        <f>[1]节奏总纲!AE24</f>
        <v>46.455967430551723</v>
      </c>
      <c r="AF24" s="21">
        <f>[1]节奏总纲!AF24</f>
        <v>49.18886033229559</v>
      </c>
      <c r="AG24" s="21">
        <f>[1]节奏总纲!AG24</f>
        <v>53.471660769826336</v>
      </c>
      <c r="AH24" s="21">
        <f>[1]节奏总纲!AH24</f>
        <v>61.918453772109508</v>
      </c>
      <c r="AL24" s="21">
        <v>21</v>
      </c>
      <c r="AM24" s="21">
        <f>[1]节奏总纲!AM24</f>
        <v>6.2565025247829205</v>
      </c>
      <c r="AN24" s="21">
        <f>[1]节奏总纲!AN24</f>
        <v>5.0052020198263367</v>
      </c>
      <c r="AO24" s="21">
        <f>[1]节奏总纲!AO24</f>
        <v>3.7539015148697521</v>
      </c>
      <c r="AP24" s="21">
        <f>[1]节奏总纲!AP24</f>
        <v>2.5026010099131684</v>
      </c>
      <c r="AQ24" s="21">
        <f>[1]节奏总纲!AQ24</f>
        <v>1.2513005049565842</v>
      </c>
      <c r="AS24" s="21">
        <v>21</v>
      </c>
      <c r="AT24" s="21">
        <f>[1]节奏总纲!AT24</f>
        <v>1.0065025247829205</v>
      </c>
      <c r="AU24" s="21">
        <f>[1]节奏总纲!AU24</f>
        <v>0.80520201982633655</v>
      </c>
      <c r="AV24" s="21">
        <f>[1]节奏总纲!AV24</f>
        <v>0.60390151486975219</v>
      </c>
      <c r="AW24" s="21">
        <f>[1]节奏总纲!AW24</f>
        <v>0.40260100991316827</v>
      </c>
      <c r="AX24" s="21">
        <f>[1]节奏总纲!AX24</f>
        <v>0.20130050495658414</v>
      </c>
      <c r="AY24" s="21"/>
      <c r="AZ24" s="21">
        <v>21</v>
      </c>
      <c r="BA24" s="21">
        <f>[1]节奏总纲!BA24</f>
        <v>28.157256095860227</v>
      </c>
      <c r="BB24" s="21">
        <f>[1]节奏总纲!BB24</f>
        <v>29.508805955793246</v>
      </c>
      <c r="BC24" s="21">
        <f>[1]节奏总纲!BC24</f>
        <v>31.280110398778046</v>
      </c>
      <c r="BD24" s="21">
        <f>[1]节奏总纲!BD24</f>
        <v>33.799338867675175</v>
      </c>
      <c r="BE24" s="21">
        <f>[1]节奏总纲!BE24</f>
        <v>38.35066605767593</v>
      </c>
    </row>
    <row r="25" spans="2:57" x14ac:dyDescent="0.15">
      <c r="B25" s="21">
        <v>10</v>
      </c>
      <c r="C25" s="21">
        <v>1.5</v>
      </c>
      <c r="D25" s="21">
        <v>1</v>
      </c>
      <c r="F25" s="21">
        <v>23</v>
      </c>
      <c r="G25" s="21">
        <v>3.9245776533796644</v>
      </c>
      <c r="I25" s="21">
        <v>23</v>
      </c>
      <c r="J25" s="21">
        <v>8.8355567243832152</v>
      </c>
      <c r="K25" s="18">
        <v>0.76</v>
      </c>
      <c r="N25" s="26">
        <f>[1]节奏总纲!N25</f>
        <v>32</v>
      </c>
      <c r="O25" s="21">
        <v>22</v>
      </c>
      <c r="P25" s="21">
        <f>[1]节奏总纲!P25</f>
        <v>3.5947934199881395</v>
      </c>
      <c r="Q25" s="21">
        <f>[1]节奏总纲!Q25</f>
        <v>3.124234961311692</v>
      </c>
      <c r="R25" s="21">
        <f>[1]节奏总纲!R25</f>
        <v>2.5749505267375046</v>
      </c>
      <c r="S25" s="21">
        <f>[1]节奏总纲!S25</f>
        <v>1.9077568679877055</v>
      </c>
      <c r="T25" s="21">
        <f>[1]节奏总纲!T25</f>
        <v>1.0687320837624739</v>
      </c>
      <c r="U25" s="27"/>
      <c r="V25" s="21">
        <v>22</v>
      </c>
      <c r="W25" s="21">
        <f>[1]节奏总纲!W25</f>
        <v>0.30769956984296698</v>
      </c>
      <c r="X25" s="21">
        <f>[1]节奏总纲!X25</f>
        <v>0.27235233692574035</v>
      </c>
      <c r="Y25" s="21">
        <f>[1]节奏总纲!Y25</f>
        <v>0.22829422711886593</v>
      </c>
      <c r="Z25" s="21">
        <f>[1]节奏总纲!Z25</f>
        <v>0.17118518695601082</v>
      </c>
      <c r="AA25" s="21">
        <f>[1]节奏总纲!AA25</f>
        <v>9.7067141659560985E-2</v>
      </c>
      <c r="AC25" s="21">
        <v>22</v>
      </c>
      <c r="AD25" s="21">
        <f>[1]节奏总纲!AD25</f>
        <v>45.229416240679988</v>
      </c>
      <c r="AE25" s="21">
        <f>[1]节奏总纲!AE25</f>
        <v>47.110426931480873</v>
      </c>
      <c r="AF25" s="21">
        <f>[1]节奏总纲!AF25</f>
        <v>49.861837738505173</v>
      </c>
      <c r="AG25" s="21">
        <f>[1]节奏总纲!AG25</f>
        <v>54.15637358335789</v>
      </c>
      <c r="AH25" s="21">
        <f>[1]节奏总纲!AH25</f>
        <v>62.555781631668886</v>
      </c>
      <c r="AL25" s="21">
        <v>22</v>
      </c>
      <c r="AM25" s="21">
        <f>[1]节奏总纲!AM25</f>
        <v>7.4414868317755332</v>
      </c>
      <c r="AN25" s="21">
        <f>[1]节奏总纲!AN25</f>
        <v>5.9531894654204267</v>
      </c>
      <c r="AO25" s="21">
        <f>[1]节奏总纲!AO25</f>
        <v>4.4648920990653194</v>
      </c>
      <c r="AP25" s="21">
        <f>[1]节奏总纲!AP25</f>
        <v>2.9765947327102134</v>
      </c>
      <c r="AQ25" s="21">
        <f>[1]节奏总纲!AQ25</f>
        <v>1.4882973663551067</v>
      </c>
      <c r="AS25" s="21">
        <v>22</v>
      </c>
      <c r="AT25" s="21">
        <f>[1]节奏总纲!AT25</f>
        <v>1.1849843069926127</v>
      </c>
      <c r="AU25" s="21">
        <f>[1]节奏总纲!AU25</f>
        <v>0.94798744559408998</v>
      </c>
      <c r="AV25" s="21">
        <f>[1]节奏总纲!AV25</f>
        <v>0.71099058419556727</v>
      </c>
      <c r="AW25" s="21">
        <f>[1]节奏总纲!AW25</f>
        <v>0.47399372279704499</v>
      </c>
      <c r="AX25" s="21">
        <f>[1]节奏总纲!AX25</f>
        <v>0.2369968613985225</v>
      </c>
      <c r="AY25" s="21"/>
      <c r="AZ25" s="21">
        <v>22</v>
      </c>
      <c r="BA25" s="21">
        <f>[1]节奏总纲!BA25</f>
        <v>28.431345550275779</v>
      </c>
      <c r="BB25" s="21">
        <f>[1]节奏总纲!BB25</f>
        <v>29.80118336305917</v>
      </c>
      <c r="BC25" s="21">
        <f>[1]节奏总纲!BC25</f>
        <v>31.564373235931193</v>
      </c>
      <c r="BD25" s="21">
        <f>[1]节奏总纲!BD25</f>
        <v>34.09469189131628</v>
      </c>
      <c r="BE25" s="21">
        <f>[1]节奏总纲!BE25</f>
        <v>38.663818688865533</v>
      </c>
    </row>
    <row r="26" spans="2:57" x14ac:dyDescent="0.15">
      <c r="B26" s="21">
        <v>15</v>
      </c>
      <c r="C26" s="21">
        <v>3.5</v>
      </c>
      <c r="D26" s="21">
        <v>2</v>
      </c>
      <c r="F26" s="21">
        <v>24</v>
      </c>
      <c r="G26" s="21">
        <v>4.2780316430915768</v>
      </c>
      <c r="I26" s="21">
        <v>24</v>
      </c>
      <c r="J26" s="21">
        <v>10.47447102993563</v>
      </c>
      <c r="K26" s="18">
        <v>0.78</v>
      </c>
      <c r="N26" s="26">
        <f>[1]节奏总纲!N26</f>
        <v>33</v>
      </c>
      <c r="O26" s="21">
        <v>23</v>
      </c>
      <c r="P26" s="21">
        <f>[1]节奏总纲!P26</f>
        <v>3.9245776533796644</v>
      </c>
      <c r="Q26" s="21">
        <f>[1]节奏总纲!Q26</f>
        <v>3.4081032341949005</v>
      </c>
      <c r="R26" s="21">
        <f>[1]节奏总纲!R26</f>
        <v>2.8064654799317976</v>
      </c>
      <c r="S26" s="21">
        <f>[1]节奏总纲!S26</f>
        <v>2.0796336985258841</v>
      </c>
      <c r="T26" s="21">
        <f>[1]节奏总纲!T26</f>
        <v>1.1608900698697047</v>
      </c>
      <c r="U26" s="27"/>
      <c r="V26" s="21">
        <v>23</v>
      </c>
      <c r="W26" s="21">
        <f>[1]节奏总纲!W26</f>
        <v>0.32978423339152485</v>
      </c>
      <c r="X26" s="21">
        <f>[1]节奏总纲!X26</f>
        <v>0.28386827288320848</v>
      </c>
      <c r="Y26" s="21">
        <f>[1]节奏总纲!Y26</f>
        <v>0.23151495319429305</v>
      </c>
      <c r="Z26" s="21">
        <f>[1]节奏总纲!Z26</f>
        <v>0.17187683053817859</v>
      </c>
      <c r="AA26" s="21">
        <f>[1]节奏总纲!AA26</f>
        <v>9.2157986107230805E-2</v>
      </c>
      <c r="AC26" s="21">
        <v>23</v>
      </c>
      <c r="AD26" s="21">
        <f>[1]节奏总纲!AD26</f>
        <v>45.845161563010116</v>
      </c>
      <c r="AE26" s="21">
        <f>[1]节奏总纲!AE26</f>
        <v>47.734594805743399</v>
      </c>
      <c r="AF26" s="21">
        <f>[1]节奏总纲!AF26</f>
        <v>50.503430607741265</v>
      </c>
      <c r="AG26" s="21">
        <f>[1]节奏总纲!AG26</f>
        <v>54.814188287451351</v>
      </c>
      <c r="AH26" s="21">
        <f>[1]节奏总纲!AH26</f>
        <v>63.182677965405439</v>
      </c>
      <c r="AL26" s="21">
        <v>23</v>
      </c>
      <c r="AM26" s="21">
        <f>[1]节奏总纲!AM26</f>
        <v>8.8355567243832152</v>
      </c>
      <c r="AN26" s="21">
        <f>[1]节奏总纲!AN26</f>
        <v>7.0684453795065725</v>
      </c>
      <c r="AO26" s="21">
        <f>[1]节奏总纲!AO26</f>
        <v>5.3013340346299289</v>
      </c>
      <c r="AP26" s="21">
        <f>[1]节奏总纲!AP26</f>
        <v>3.5342226897532862</v>
      </c>
      <c r="AQ26" s="21">
        <f>[1]节奏总纲!AQ26</f>
        <v>1.7671113448766431</v>
      </c>
      <c r="AS26" s="21">
        <v>23</v>
      </c>
      <c r="AT26" s="21">
        <f>[1]节奏总纲!AT26</f>
        <v>1.394069892607682</v>
      </c>
      <c r="AU26" s="21">
        <f>[1]节奏总纲!AU26</f>
        <v>1.1152559140861458</v>
      </c>
      <c r="AV26" s="21">
        <f>[1]节奏总纲!AV26</f>
        <v>0.83644193556460955</v>
      </c>
      <c r="AW26" s="21">
        <f>[1]节奏总纲!AW26</f>
        <v>0.55762795704307289</v>
      </c>
      <c r="AX26" s="21">
        <f>[1]节奏总纲!AX26</f>
        <v>0.27881397852153644</v>
      </c>
      <c r="AY26" s="21"/>
      <c r="AZ26" s="21">
        <v>23</v>
      </c>
      <c r="BA26" s="21">
        <f>[1]节奏总纲!BA26</f>
        <v>28.705435004691331</v>
      </c>
      <c r="BB26" s="21">
        <f>[1]节奏总纲!BB26</f>
        <v>30.079877315295377</v>
      </c>
      <c r="BC26" s="21">
        <f>[1]节奏总纲!BC26</f>
        <v>31.848636073084339</v>
      </c>
      <c r="BD26" s="21">
        <f>[1]节奏总纲!BD26</f>
        <v>34.360958982105608</v>
      </c>
      <c r="BE26" s="21">
        <f>[1]节奏总纲!BE26</f>
        <v>38.976971320055128</v>
      </c>
    </row>
    <row r="27" spans="2:57" x14ac:dyDescent="0.15">
      <c r="B27" s="21">
        <v>20</v>
      </c>
      <c r="C27" s="21">
        <v>7.5</v>
      </c>
      <c r="D27" s="21">
        <v>4</v>
      </c>
      <c r="F27" s="21">
        <v>25</v>
      </c>
      <c r="G27" s="21">
        <v>4.6568542494923806</v>
      </c>
      <c r="I27" s="21">
        <v>25</v>
      </c>
      <c r="J27" s="21">
        <v>12.4</v>
      </c>
      <c r="K27" s="18">
        <v>0.8</v>
      </c>
      <c r="N27" s="26">
        <f>[1]节奏总纲!N27</f>
        <v>34</v>
      </c>
      <c r="O27" s="21">
        <v>24</v>
      </c>
      <c r="P27" s="21">
        <f>[1]节奏总纲!P27</f>
        <v>4.2780316430915768</v>
      </c>
      <c r="Q27" s="21">
        <f>[1]节奏总纲!Q27</f>
        <v>3.7214597263253628</v>
      </c>
      <c r="R27" s="21">
        <f>[1]节奏总纲!R27</f>
        <v>3.0699155070825155</v>
      </c>
      <c r="S27" s="21">
        <f>[1]节奏总纲!S27</f>
        <v>2.2742016214674821</v>
      </c>
      <c r="T27" s="21">
        <f>[1]节奏总纲!T27</f>
        <v>1.2692919885052709</v>
      </c>
      <c r="U27" s="27"/>
      <c r="V27" s="21">
        <v>24</v>
      </c>
      <c r="W27" s="21">
        <f>[1]节奏总纲!W27</f>
        <v>0.35345398971191244</v>
      </c>
      <c r="X27" s="21">
        <f>[1]节奏总纲!X27</f>
        <v>0.31335649213046235</v>
      </c>
      <c r="Y27" s="21">
        <f>[1]节奏总纲!Y27</f>
        <v>0.26345002715071786</v>
      </c>
      <c r="Z27" s="21">
        <f>[1]节奏总纲!Z27</f>
        <v>0.19456792294159797</v>
      </c>
      <c r="AA27" s="21">
        <f>[1]节奏总纲!AA27</f>
        <v>0.10840191863556625</v>
      </c>
      <c r="AC27" s="21">
        <v>24</v>
      </c>
      <c r="AD27" s="21">
        <f>[1]节奏总纲!AD27</f>
        <v>46.430041330048923</v>
      </c>
      <c r="AE27" s="21">
        <f>[1]节奏总纲!AE27</f>
        <v>48.330142263709867</v>
      </c>
      <c r="AF27" s="21">
        <f>[1]节奏总纲!AF27</f>
        <v>51.118578408701396</v>
      </c>
      <c r="AG27" s="21">
        <f>[1]节奏总纲!AG27</f>
        <v>55.44072585486321</v>
      </c>
      <c r="AH27" s="21">
        <f>[1]节奏总纲!AH27</f>
        <v>63.791742872142052</v>
      </c>
      <c r="AL27" s="21">
        <v>24</v>
      </c>
      <c r="AM27" s="21">
        <f>[1]节奏总纲!AM27</f>
        <v>10.47447102993563</v>
      </c>
      <c r="AN27" s="21">
        <f>[1]节奏总纲!AN27</f>
        <v>8.3795768239485042</v>
      </c>
      <c r="AO27" s="21">
        <f>[1]节奏总纲!AO27</f>
        <v>6.2846826179613782</v>
      </c>
      <c r="AP27" s="21">
        <f>[1]节奏总纲!AP27</f>
        <v>4.1897884119742521</v>
      </c>
      <c r="AQ27" s="21">
        <f>[1]节奏总纲!AQ27</f>
        <v>2.0948942059871261</v>
      </c>
      <c r="AS27" s="21">
        <v>24</v>
      </c>
      <c r="AT27" s="21">
        <f>[1]节奏总纲!AT27</f>
        <v>1.6389143055524151</v>
      </c>
      <c r="AU27" s="21">
        <f>[1]节奏总纲!AU27</f>
        <v>1.3111314444419317</v>
      </c>
      <c r="AV27" s="21">
        <f>[1]节奏总纲!AV27</f>
        <v>0.98334858333144926</v>
      </c>
      <c r="AW27" s="21">
        <f>[1]节奏总纲!AW27</f>
        <v>0.65556572222096587</v>
      </c>
      <c r="AX27" s="21">
        <f>[1]节奏总纲!AX27</f>
        <v>0.32778286111048294</v>
      </c>
      <c r="AY27" s="21"/>
      <c r="AZ27" s="21">
        <v>24</v>
      </c>
      <c r="BA27" s="21">
        <f>[1]节奏总纲!BA27</f>
        <v>28.979524459106884</v>
      </c>
      <c r="BB27" s="21">
        <f>[1]节奏总纲!BB27</f>
        <v>30.329493925593439</v>
      </c>
      <c r="BC27" s="21">
        <f>[1]节奏总纲!BC27</f>
        <v>32.113552950216736</v>
      </c>
      <c r="BD27" s="21">
        <f>[1]节奏总纲!BD27</f>
        <v>34.627226072894942</v>
      </c>
      <c r="BE27" s="21">
        <f>[1]节奏总纲!BE27</f>
        <v>39.250296194358178</v>
      </c>
    </row>
    <row r="28" spans="2:57" x14ac:dyDescent="0.15">
      <c r="B28" s="21">
        <v>25</v>
      </c>
      <c r="C28" s="21">
        <v>15.5</v>
      </c>
      <c r="D28" s="21">
        <v>8</v>
      </c>
      <c r="F28" s="21">
        <v>26</v>
      </c>
      <c r="G28" s="21">
        <v>5.062866266041592</v>
      </c>
      <c r="I28" s="21">
        <v>26</v>
      </c>
      <c r="J28" s="21">
        <v>14.6609224175611</v>
      </c>
      <c r="K28" s="18">
        <v>0.82</v>
      </c>
      <c r="N28" s="26">
        <f>[1]节奏总纲!N28</f>
        <v>35</v>
      </c>
      <c r="O28" s="21">
        <v>25</v>
      </c>
      <c r="P28" s="21">
        <f>[1]节奏总纲!P28</f>
        <v>4.6568542494923806</v>
      </c>
      <c r="Q28" s="21">
        <f>[1]节奏总纲!Q28</f>
        <v>4.054257309608067</v>
      </c>
      <c r="R28" s="21">
        <f>[1]节奏总纲!R28</f>
        <v>3.3445527219854276</v>
      </c>
      <c r="S28" s="21">
        <f>[1]节奏总纲!S28</f>
        <v>2.478377831579845</v>
      </c>
      <c r="T28" s="21">
        <f>[1]节奏总纲!T28</f>
        <v>1.3802915995495415</v>
      </c>
      <c r="U28" s="27"/>
      <c r="V28" s="21">
        <v>25</v>
      </c>
      <c r="W28" s="21">
        <f>[1]节奏总纲!W28</f>
        <v>0.37882260640080379</v>
      </c>
      <c r="X28" s="21">
        <f>[1]节奏总纲!X28</f>
        <v>0.33279758328270415</v>
      </c>
      <c r="Y28" s="21">
        <f>[1]节奏总纲!Y28</f>
        <v>0.27463721490291215</v>
      </c>
      <c r="Z28" s="21">
        <f>[1]节奏总纲!Z28</f>
        <v>0.20417621011236298</v>
      </c>
      <c r="AA28" s="21">
        <f>[1]节奏总纲!AA28</f>
        <v>0.11099961104427059</v>
      </c>
      <c r="AC28" s="21">
        <v>25</v>
      </c>
      <c r="AD28" s="21">
        <f>[1]节奏总纲!AD28</f>
        <v>47.004247194324648</v>
      </c>
      <c r="AE28" s="21">
        <f>[1]节奏总纲!AE28</f>
        <v>48.904516930942819</v>
      </c>
      <c r="AF28" s="21">
        <f>[1]节奏总纲!AF28</f>
        <v>51.667220029142385</v>
      </c>
      <c r="AG28" s="21">
        <f>[1]节奏总纲!AG28</f>
        <v>56.05100027504308</v>
      </c>
      <c r="AH28" s="21">
        <f>[1]节奏总纲!AH28</f>
        <v>64.398425477456215</v>
      </c>
      <c r="AL28" s="21">
        <v>25</v>
      </c>
      <c r="AM28" s="21">
        <f>[1]节奏总纲!AM28</f>
        <v>12.4</v>
      </c>
      <c r="AN28" s="21">
        <f>[1]节奏总纲!AN28</f>
        <v>9.9200000000000017</v>
      </c>
      <c r="AO28" s="21">
        <f>[1]节奏总纲!AO28</f>
        <v>7.4399999999999995</v>
      </c>
      <c r="AP28" s="21">
        <f>[1]节奏总纲!AP28</f>
        <v>4.9600000000000009</v>
      </c>
      <c r="AQ28" s="21">
        <f>[1]节奏总纲!AQ28</f>
        <v>2.4800000000000004</v>
      </c>
      <c r="AS28" s="21">
        <v>25</v>
      </c>
      <c r="AT28" s="21">
        <f>[1]节奏总纲!AT28</f>
        <v>1.9255289700643701</v>
      </c>
      <c r="AU28" s="21">
        <f>[1]节奏总纲!AU28</f>
        <v>1.5404231760514975</v>
      </c>
      <c r="AV28" s="21">
        <f>[1]节奏总纲!AV28</f>
        <v>1.1553173820386213</v>
      </c>
      <c r="AW28" s="21">
        <f>[1]节奏总纲!AW28</f>
        <v>0.77021158802574874</v>
      </c>
      <c r="AX28" s="21">
        <f>[1]节奏总纲!AX28</f>
        <v>0.38510579401287437</v>
      </c>
      <c r="AY28" s="21"/>
      <c r="AZ28" s="21">
        <v>25</v>
      </c>
      <c r="BA28" s="21">
        <f>[1]节奏总纲!BA28</f>
        <v>29.216428548527322</v>
      </c>
      <c r="BB28" s="21">
        <f>[1]节奏总纲!BB28</f>
        <v>30.579110535891502</v>
      </c>
      <c r="BC28" s="21">
        <f>[1]节奏总纲!BC28</f>
        <v>32.356435933516131</v>
      </c>
      <c r="BD28" s="21">
        <f>[1]节奏总纲!BD28</f>
        <v>34.893493163684269</v>
      </c>
      <c r="BE28" s="21">
        <f>[1]节奏总纲!BE28</f>
        <v>39.520459727922798</v>
      </c>
    </row>
    <row r="29" spans="2:57" x14ac:dyDescent="0.15">
      <c r="B29" s="21">
        <v>30</v>
      </c>
      <c r="C29" s="21">
        <v>31.5</v>
      </c>
      <c r="D29" s="21">
        <v>16</v>
      </c>
      <c r="F29" s="21">
        <v>27</v>
      </c>
      <c r="G29" s="21">
        <v>5.4980191708498847</v>
      </c>
      <c r="I29" s="21">
        <v>27</v>
      </c>
      <c r="J29" s="21">
        <v>17.314186320787698</v>
      </c>
      <c r="K29" s="18">
        <v>0.84</v>
      </c>
      <c r="N29" s="26">
        <f>[1]节奏总纲!N29</f>
        <v>36</v>
      </c>
      <c r="O29" s="21">
        <v>26</v>
      </c>
      <c r="P29" s="21">
        <f>[1]节奏总纲!P29</f>
        <v>5.062866266041592</v>
      </c>
      <c r="Q29" s="21">
        <f>[1]节奏总纲!Q29</f>
        <v>4.408743944469018</v>
      </c>
      <c r="R29" s="21">
        <f>[1]节奏总纲!R29</f>
        <v>3.63716312552428</v>
      </c>
      <c r="S29" s="21">
        <f>[1]节奏总纲!S29</f>
        <v>2.6914197070277099</v>
      </c>
      <c r="T29" s="21">
        <f>[1]节奏总纲!T29</f>
        <v>1.4996209880015197</v>
      </c>
      <c r="U29" s="27"/>
      <c r="V29" s="21">
        <v>26</v>
      </c>
      <c r="W29" s="21">
        <f>[1]节奏总纲!W29</f>
        <v>0.40601201654921137</v>
      </c>
      <c r="X29" s="21">
        <f>[1]节奏总纲!X29</f>
        <v>0.354486634860951</v>
      </c>
      <c r="Y29" s="21">
        <f>[1]节奏总纲!Y29</f>
        <v>0.29261040353885237</v>
      </c>
      <c r="Z29" s="21">
        <f>[1]节奏总纲!Z29</f>
        <v>0.2130418754478649</v>
      </c>
      <c r="AA29" s="21">
        <f>[1]节奏总纲!AA29</f>
        <v>0.11932938845197816</v>
      </c>
      <c r="AC29" s="21">
        <v>26</v>
      </c>
      <c r="AD29" s="21">
        <f>[1]节奏总纲!AD29</f>
        <v>47.540284631526092</v>
      </c>
      <c r="AE29" s="21">
        <f>[1]节奏总纲!AE29</f>
        <v>49.446133440059114</v>
      </c>
      <c r="AF29" s="21">
        <f>[1]节奏总纲!AF29</f>
        <v>52.199341027338768</v>
      </c>
      <c r="AG29" s="21">
        <f>[1]节奏总纲!AG29</f>
        <v>56.621068614050692</v>
      </c>
      <c r="AH29" s="21">
        <f>[1]节奏总纲!AH29</f>
        <v>65.00344105132713</v>
      </c>
      <c r="AL29" s="21">
        <v>26</v>
      </c>
      <c r="AM29" s="21">
        <f>[1]节奏总纲!AM29</f>
        <v>14.6609224175611</v>
      </c>
      <c r="AN29" s="21">
        <f>[1]节奏总纲!AN29</f>
        <v>11.72873793404888</v>
      </c>
      <c r="AO29" s="21">
        <f>[1]节奏总纲!AO29</f>
        <v>8.7965534505366598</v>
      </c>
      <c r="AP29" s="21">
        <f>[1]节奏总纲!AP29</f>
        <v>5.8643689670244399</v>
      </c>
      <c r="AQ29" s="21">
        <f>[1]节奏总纲!AQ29</f>
        <v>2.9321844835122199</v>
      </c>
      <c r="AS29" s="21">
        <v>26</v>
      </c>
      <c r="AT29" s="21">
        <f>[1]节奏总纲!AT29</f>
        <v>2.2609224175610994</v>
      </c>
      <c r="AU29" s="21">
        <f>[1]节奏总纲!AU29</f>
        <v>1.8087379340488781</v>
      </c>
      <c r="AV29" s="21">
        <f>[1]节奏总纲!AV29</f>
        <v>1.3565534505366603</v>
      </c>
      <c r="AW29" s="21">
        <f>[1]节奏总纲!AW29</f>
        <v>0.90436896702443903</v>
      </c>
      <c r="AX29" s="21">
        <f>[1]节奏总纲!AX29</f>
        <v>0.45218448351221951</v>
      </c>
      <c r="AY29" s="21"/>
      <c r="AZ29" s="21">
        <v>26</v>
      </c>
      <c r="BA29" s="21">
        <f>[1]节奏总纲!BA29</f>
        <v>29.45033047434006</v>
      </c>
      <c r="BB29" s="21">
        <f>[1]节奏总纲!BB29</f>
        <v>30.828727146189561</v>
      </c>
      <c r="BC29" s="21">
        <f>[1]节奏总纲!BC29</f>
        <v>32.59931891681552</v>
      </c>
      <c r="BD29" s="21">
        <f>[1]节奏总纲!BD29</f>
        <v>35.146386283795508</v>
      </c>
      <c r="BE29" s="21">
        <f>[1]节奏总纲!BE29</f>
        <v>39.790623261487418</v>
      </c>
    </row>
    <row r="30" spans="2:57" x14ac:dyDescent="0.15">
      <c r="B30" s="21">
        <v>35</v>
      </c>
      <c r="C30" s="21">
        <v>63.5</v>
      </c>
      <c r="D30" s="21">
        <v>32</v>
      </c>
      <c r="F30" s="21">
        <v>28</v>
      </c>
      <c r="G30" s="21">
        <v>5.9644045063689921</v>
      </c>
      <c r="I30" s="21">
        <v>28</v>
      </c>
      <c r="J30" s="21">
        <v>20.42625995518307</v>
      </c>
      <c r="K30" s="18">
        <v>0.86</v>
      </c>
      <c r="N30" s="26">
        <f>[1]节奏总纲!N30</f>
        <v>37</v>
      </c>
      <c r="O30" s="21">
        <v>27</v>
      </c>
      <c r="P30" s="21">
        <f>[1]节奏总纲!P30</f>
        <v>5.4980191708498847</v>
      </c>
      <c r="Q30" s="21">
        <f>[1]节奏总纲!Q30</f>
        <v>4.7882248958931646</v>
      </c>
      <c r="R30" s="21">
        <f>[1]节奏总纲!R30</f>
        <v>3.9492271704214725</v>
      </c>
      <c r="S30" s="21">
        <f>[1]节奏总纲!S30</f>
        <v>2.9205477835554587</v>
      </c>
      <c r="T30" s="21">
        <f>[1]节奏总纲!T30</f>
        <v>1.6290630803228208</v>
      </c>
      <c r="U30" s="27"/>
      <c r="V30" s="21">
        <v>27</v>
      </c>
      <c r="W30" s="21">
        <f>[1]节奏总纲!W30</f>
        <v>0.43515290480829272</v>
      </c>
      <c r="X30" s="21">
        <f>[1]节奏总纲!X30</f>
        <v>0.37948095142414662</v>
      </c>
      <c r="Y30" s="21">
        <f>[1]节奏总纲!Y30</f>
        <v>0.31206404489719253</v>
      </c>
      <c r="Z30" s="21">
        <f>[1]节奏总纲!Z30</f>
        <v>0.2291280765277488</v>
      </c>
      <c r="AA30" s="21">
        <f>[1]节奏总纲!AA30</f>
        <v>0.12944209232130111</v>
      </c>
      <c r="AC30" s="21">
        <v>27</v>
      </c>
      <c r="AD30" s="21">
        <f>[1]节奏总纲!AD30</f>
        <v>48.071211008105138</v>
      </c>
      <c r="AE30" s="21">
        <f>[1]节奏总纲!AE30</f>
        <v>49.981218513907905</v>
      </c>
      <c r="AF30" s="21">
        <f>[1]节奏总纲!AF30</f>
        <v>52.705993248660157</v>
      </c>
      <c r="AG30" s="21">
        <f>[1]节奏总纲!AG30</f>
        <v>57.175765669822162</v>
      </c>
      <c r="AH30" s="21">
        <f>[1]节奏总纲!AH30</f>
        <v>65.541743280100334</v>
      </c>
      <c r="AL30" s="21">
        <v>27</v>
      </c>
      <c r="AM30" s="21">
        <f>[1]节奏总纲!AM30</f>
        <v>17.314186320787698</v>
      </c>
      <c r="AN30" s="21">
        <f>[1]节奏总纲!AN30</f>
        <v>13.851349056630159</v>
      </c>
      <c r="AO30" s="21">
        <f>[1]节奏总纲!AO30</f>
        <v>10.388511792472618</v>
      </c>
      <c r="AP30" s="21">
        <f>[1]节奏总纲!AP30</f>
        <v>6.9256745283150796</v>
      </c>
      <c r="AQ30" s="21">
        <f>[1]节奏总纲!AQ30</f>
        <v>3.4628372641575398</v>
      </c>
      <c r="AS30" s="21">
        <v>27</v>
      </c>
      <c r="AT30" s="21">
        <f>[1]节奏总纲!AT30</f>
        <v>2.6532639032265983</v>
      </c>
      <c r="AU30" s="21">
        <f>[1]节奏总纲!AU30</f>
        <v>2.1226111225812794</v>
      </c>
      <c r="AV30" s="21">
        <f>[1]节奏总纲!AV30</f>
        <v>1.5919583419359586</v>
      </c>
      <c r="AW30" s="21">
        <f>[1]节奏总纲!AW30</f>
        <v>1.0613055612906397</v>
      </c>
      <c r="AX30" s="21">
        <f>[1]节奏总纲!AX30</f>
        <v>0.53065278064531984</v>
      </c>
      <c r="AY30" s="21"/>
      <c r="AZ30" s="21">
        <v>27</v>
      </c>
      <c r="BA30" s="21">
        <f>[1]节奏总纲!BA30</f>
        <v>29.684232400152801</v>
      </c>
      <c r="BB30" s="21">
        <f>[1]节奏总纲!BB30</f>
        <v>31.066913270913183</v>
      </c>
      <c r="BC30" s="21">
        <f>[1]节奏总纲!BC30</f>
        <v>32.842201900114915</v>
      </c>
      <c r="BD30" s="21">
        <f>[1]节奏总纲!BD30</f>
        <v>35.390363423454687</v>
      </c>
      <c r="BE30" s="21">
        <f>[1]节奏总纲!BE30</f>
        <v>40.052446592012309</v>
      </c>
    </row>
    <row r="31" spans="2:57" x14ac:dyDescent="0.15">
      <c r="B31" s="21">
        <v>40</v>
      </c>
      <c r="C31" s="21">
        <v>127.5</v>
      </c>
      <c r="D31" s="21">
        <v>64</v>
      </c>
      <c r="F31" s="21">
        <v>29</v>
      </c>
      <c r="G31" s="21">
        <v>6.4642639322944575</v>
      </c>
      <c r="I31" s="21">
        <v>29</v>
      </c>
      <c r="J31" s="21">
        <v>24.074703862418847</v>
      </c>
      <c r="K31" s="18">
        <v>0.88</v>
      </c>
      <c r="N31" s="26">
        <f>[1]节奏总纲!N31</f>
        <v>38</v>
      </c>
      <c r="O31" s="21">
        <v>28</v>
      </c>
      <c r="P31" s="21">
        <f>[1]节奏总纲!P31</f>
        <v>5.9644045063689921</v>
      </c>
      <c r="Q31" s="21">
        <f>[1]节奏总纲!Q31</f>
        <v>5.1914176823435705</v>
      </c>
      <c r="R31" s="21">
        <f>[1]节奏总纲!R31</f>
        <v>4.2752851501652938</v>
      </c>
      <c r="S31" s="21">
        <f>[1]节奏总纲!S31</f>
        <v>3.1653094715300236</v>
      </c>
      <c r="T31" s="21">
        <f>[1]节奏总纲!T31</f>
        <v>1.7738139001941382</v>
      </c>
      <c r="U31" s="27"/>
      <c r="V31" s="21">
        <v>28</v>
      </c>
      <c r="W31" s="21">
        <f>[1]节奏总纲!W31</f>
        <v>0.46638533551910744</v>
      </c>
      <c r="X31" s="21">
        <f>[1]节奏总纲!X31</f>
        <v>0.4031927864504059</v>
      </c>
      <c r="Y31" s="21">
        <f>[1]节奏总纲!Y31</f>
        <v>0.32605797974382122</v>
      </c>
      <c r="Z31" s="21">
        <f>[1]节奏总纲!Z31</f>
        <v>0.24476168797456488</v>
      </c>
      <c r="AA31" s="21">
        <f>[1]节奏总纲!AA31</f>
        <v>0.14475081987131744</v>
      </c>
      <c r="AC31" s="21">
        <v>28</v>
      </c>
      <c r="AD31" s="21">
        <f>[1]节奏总纲!AD31</f>
        <v>48.571351621712928</v>
      </c>
      <c r="AE31" s="21">
        <f>[1]节奏总纲!AE31</f>
        <v>50.509688493127967</v>
      </c>
      <c r="AF31" s="21">
        <f>[1]节奏总纲!AF31</f>
        <v>53.212684955585161</v>
      </c>
      <c r="AG31" s="21">
        <f>[1]节奏总纲!AG31</f>
        <v>57.699988965458331</v>
      </c>
      <c r="AH31" s="21">
        <f>[1]节奏总纲!AH31</f>
        <v>66.076345334947405</v>
      </c>
      <c r="AL31" s="21">
        <v>28</v>
      </c>
      <c r="AM31" s="21">
        <f>[1]节奏总纲!AM31</f>
        <v>20.42625995518307</v>
      </c>
      <c r="AN31" s="21">
        <f>[1]节奏总纲!AN31</f>
        <v>16.341007964146456</v>
      </c>
      <c r="AO31" s="21">
        <f>[1]节奏总纲!AO31</f>
        <v>12.255755973109842</v>
      </c>
      <c r="AP31" s="21">
        <f>[1]节奏总纲!AP31</f>
        <v>8.1705039820732281</v>
      </c>
      <c r="AQ31" s="21">
        <f>[1]节奏总纲!AQ31</f>
        <v>4.0852519910366141</v>
      </c>
      <c r="AS31" s="21">
        <v>28</v>
      </c>
      <c r="AT31" s="21">
        <f>[1]节奏总纲!AT31</f>
        <v>3.1120736343953723</v>
      </c>
      <c r="AU31" s="21">
        <f>[1]节奏总纲!AU31</f>
        <v>2.4896589075162971</v>
      </c>
      <c r="AV31" s="21">
        <f>[1]节奏总纲!AV31</f>
        <v>1.8672441806372237</v>
      </c>
      <c r="AW31" s="21">
        <f>[1]节奏总纲!AW31</f>
        <v>1.2448294537581486</v>
      </c>
      <c r="AX31" s="21">
        <f>[1]节奏总纲!AX31</f>
        <v>0.62241472687907429</v>
      </c>
      <c r="AY31" s="21"/>
      <c r="AZ31" s="21">
        <v>28</v>
      </c>
      <c r="BA31" s="21">
        <f>[1]节奏总纲!BA31</f>
        <v>29.918134325965539</v>
      </c>
      <c r="BB31" s="21">
        <f>[1]节奏总纲!BB31</f>
        <v>31.280110398778046</v>
      </c>
      <c r="BC31" s="21">
        <f>[1]节奏总纲!BC31</f>
        <v>33.072726100175295</v>
      </c>
      <c r="BD31" s="21">
        <f>[1]节奏总纲!BD31</f>
        <v>35.634340563113874</v>
      </c>
      <c r="BE31" s="21">
        <f>[1]节奏总纲!BE31</f>
        <v>40.28554255651148</v>
      </c>
    </row>
    <row r="32" spans="2:57" x14ac:dyDescent="0.15">
      <c r="B32" s="21">
        <v>45</v>
      </c>
      <c r="C32" s="21">
        <v>255.5</v>
      </c>
      <c r="D32" s="21">
        <v>128</v>
      </c>
      <c r="F32" s="21">
        <v>30</v>
      </c>
      <c r="G32" s="21">
        <v>7</v>
      </c>
      <c r="I32" s="21">
        <v>30</v>
      </c>
      <c r="J32" s="21">
        <v>28.35</v>
      </c>
      <c r="K32" s="18">
        <v>0.9</v>
      </c>
      <c r="N32" s="26">
        <f>[1]节奏总纲!N32</f>
        <v>39</v>
      </c>
      <c r="O32" s="21">
        <v>29</v>
      </c>
      <c r="P32" s="21">
        <f>[1]节奏总纲!P32</f>
        <v>6.4642639322944575</v>
      </c>
      <c r="Q32" s="21">
        <f>[1]节奏总纲!Q32</f>
        <v>5.6323131642081607</v>
      </c>
      <c r="R32" s="21">
        <f>[1]节奏总纲!R32</f>
        <v>4.6510378992858623</v>
      </c>
      <c r="S32" s="21">
        <f>[1]节奏总纲!S32</f>
        <v>3.4532097926316991</v>
      </c>
      <c r="T32" s="21">
        <f>[1]节奏总纲!T32</f>
        <v>1.9366934741154194</v>
      </c>
      <c r="U32" s="27"/>
      <c r="V32" s="21">
        <v>29</v>
      </c>
      <c r="W32" s="21">
        <f>[1]节奏总纲!W32</f>
        <v>0.49985942592546539</v>
      </c>
      <c r="X32" s="21">
        <f>[1]节奏总纲!X32</f>
        <v>0.44089548186459027</v>
      </c>
      <c r="Y32" s="21">
        <f>[1]节奏总纲!Y32</f>
        <v>0.37575274912056855</v>
      </c>
      <c r="Z32" s="21">
        <f>[1]节奏总纲!Z32</f>
        <v>0.28790032110167552</v>
      </c>
      <c r="AA32" s="21">
        <f>[1]节奏总纲!AA32</f>
        <v>0.16287957392128116</v>
      </c>
      <c r="AC32" s="21">
        <v>29</v>
      </c>
      <c r="AD32" s="21">
        <f>[1]节奏总纲!AD32</f>
        <v>49.066704614192936</v>
      </c>
      <c r="AE32" s="21">
        <f>[1]节奏总纲!AE32</f>
        <v>51.033341828534468</v>
      </c>
      <c r="AF32" s="21">
        <f>[1]节奏总纲!AF32</f>
        <v>53.719431255885922</v>
      </c>
      <c r="AG32" s="21">
        <f>[1]节奏总纲!AG32</f>
        <v>58.210135614815364</v>
      </c>
      <c r="AH32" s="21">
        <f>[1]节奏总纲!AH32</f>
        <v>66.589764070576265</v>
      </c>
      <c r="AL32" s="21">
        <v>29</v>
      </c>
      <c r="AM32" s="21">
        <f>[1]节奏总纲!AM32</f>
        <v>24.074703862418847</v>
      </c>
      <c r="AN32" s="21">
        <f>[1]节奏总纲!AN32</f>
        <v>19.259763089935078</v>
      </c>
      <c r="AO32" s="21">
        <f>[1]节奏总纲!AO32</f>
        <v>14.444822317451308</v>
      </c>
      <c r="AP32" s="21">
        <f>[1]节奏总纲!AP32</f>
        <v>9.6298815449675388</v>
      </c>
      <c r="AQ32" s="21">
        <f>[1]节奏总纲!AQ32</f>
        <v>4.8149407724837694</v>
      </c>
      <c r="AS32" s="21">
        <v>29</v>
      </c>
      <c r="AT32" s="21">
        <f>[1]节奏总纲!AT32</f>
        <v>3.6484439072357766</v>
      </c>
      <c r="AU32" s="21">
        <f>[1]节奏总纲!AU32</f>
        <v>2.9187551257886213</v>
      </c>
      <c r="AV32" s="21">
        <f>[1]节奏总纲!AV32</f>
        <v>2.189066344341466</v>
      </c>
      <c r="AW32" s="21">
        <f>[1]节奏总纲!AW32</f>
        <v>1.4593775628943106</v>
      </c>
      <c r="AX32" s="21">
        <f>[1]节奏总纲!AX32</f>
        <v>0.72968878144715532</v>
      </c>
      <c r="AY32" s="21"/>
      <c r="AZ32" s="21">
        <v>29</v>
      </c>
      <c r="BA32" s="21">
        <f>[1]节奏总纲!BA32</f>
        <v>30.12980063735499</v>
      </c>
      <c r="BB32" s="21">
        <f>[1]节奏总纲!BB32</f>
        <v>31.493307526642905</v>
      </c>
      <c r="BC32" s="21">
        <f>[1]节奏总纲!BC32</f>
        <v>33.280329748032408</v>
      </c>
      <c r="BD32" s="21">
        <f>[1]节奏总纲!BD32</f>
        <v>35.878317702773053</v>
      </c>
      <c r="BE32" s="21">
        <f>[1]节奏总纲!BE32</f>
        <v>40.518638521010644</v>
      </c>
    </row>
    <row r="33" spans="2:57" x14ac:dyDescent="0.15">
      <c r="B33" s="21">
        <v>50</v>
      </c>
      <c r="C33" s="21">
        <v>511.5</v>
      </c>
      <c r="D33" s="21">
        <v>256</v>
      </c>
      <c r="F33" s="21">
        <v>31</v>
      </c>
      <c r="G33" s="21">
        <v>7.5741877002903433</v>
      </c>
      <c r="I33" s="21">
        <v>31</v>
      </c>
      <c r="J33" s="21">
        <v>33.357679571112705</v>
      </c>
      <c r="K33" s="18">
        <v>0.92</v>
      </c>
      <c r="N33" s="26">
        <f>[1]节奏总纲!N33</f>
        <v>40</v>
      </c>
      <c r="O33" s="21">
        <v>30</v>
      </c>
      <c r="P33" s="21">
        <f>[1]节奏总纲!P33</f>
        <v>7</v>
      </c>
      <c r="Q33" s="21">
        <f>[1]节奏总纲!Q33</f>
        <v>6.1025999999999998</v>
      </c>
      <c r="R33" s="21">
        <f>[1]节奏总纲!R33</f>
        <v>5.0421000000000005</v>
      </c>
      <c r="S33" s="21">
        <f>[1]节奏总纲!S33</f>
        <v>3.7428999999999997</v>
      </c>
      <c r="T33" s="21">
        <f>[1]节奏总纲!T33</f>
        <v>2.1006999999999998</v>
      </c>
      <c r="U33" s="27"/>
      <c r="V33" s="21">
        <v>30</v>
      </c>
      <c r="W33" s="21">
        <f>[1]节奏总纲!W33</f>
        <v>0.5357360677055425</v>
      </c>
      <c r="X33" s="21">
        <f>[1]节奏总纲!X33</f>
        <v>0.47028683579183905</v>
      </c>
      <c r="Y33" s="21">
        <f>[1]节奏总纲!Y33</f>
        <v>0.39106210071413816</v>
      </c>
      <c r="Z33" s="21">
        <f>[1]节奏总纲!Z33</f>
        <v>0.28969020736830053</v>
      </c>
      <c r="AA33" s="21">
        <f>[1]节奏总纲!AA33</f>
        <v>0.16400652588458042</v>
      </c>
      <c r="AC33" s="21">
        <v>30</v>
      </c>
      <c r="AD33" s="21">
        <f>[1]节奏总纲!AD33</f>
        <v>49.533352307096472</v>
      </c>
      <c r="AE33" s="21">
        <f>[1]节奏总纲!AE33</f>
        <v>51.497823295559343</v>
      </c>
      <c r="AF33" s="21">
        <f>[1]节奏总纲!AF33</f>
        <v>54.213705787583436</v>
      </c>
      <c r="AG33" s="21">
        <f>[1]节奏总纲!AG33</f>
        <v>58.701446767877648</v>
      </c>
      <c r="AH33" s="21">
        <f>[1]节奏总纲!AH33</f>
        <v>67.097551508592701</v>
      </c>
      <c r="AL33" s="21">
        <v>30</v>
      </c>
      <c r="AM33" s="21">
        <f>[1]节奏总纲!AM33</f>
        <v>28.35</v>
      </c>
      <c r="AN33" s="21">
        <f>[1]节奏总纲!AN33</f>
        <v>22.680000000000003</v>
      </c>
      <c r="AO33" s="21">
        <f>[1]节奏总纲!AO33</f>
        <v>17.010000000000002</v>
      </c>
      <c r="AP33" s="21">
        <f>[1]节奏总纲!AP33</f>
        <v>11.340000000000002</v>
      </c>
      <c r="AQ33" s="21">
        <f>[1]节奏总纲!AQ33</f>
        <v>5.6700000000000008</v>
      </c>
      <c r="AS33" s="21">
        <v>30</v>
      </c>
      <c r="AT33" s="21">
        <f>[1]节奏总纲!AT33</f>
        <v>4.2752961375811545</v>
      </c>
      <c r="AU33" s="21">
        <f>[1]节奏总纲!AU33</f>
        <v>3.4202369100649257</v>
      </c>
      <c r="AV33" s="21">
        <f>[1]节奏总纲!AV33</f>
        <v>2.5651776825486934</v>
      </c>
      <c r="AW33" s="21">
        <f>[1]节奏总纲!AW33</f>
        <v>1.7101184550324628</v>
      </c>
      <c r="AX33" s="21">
        <f>[1]节奏总纲!AX33</f>
        <v>0.85505922751623142</v>
      </c>
      <c r="AY33" s="21"/>
      <c r="AZ33" s="21">
        <v>30</v>
      </c>
      <c r="BA33" s="21">
        <f>[1]节奏总纲!BA33</f>
        <v>30.329493925593439</v>
      </c>
      <c r="BB33" s="21">
        <f>[1]节奏总纲!BB33</f>
        <v>31.706504654507764</v>
      </c>
      <c r="BC33" s="21">
        <f>[1]节奏总纲!BC33</f>
        <v>33.487933395889513</v>
      </c>
      <c r="BD33" s="21">
        <f>[1]节奏总纲!BD33</f>
        <v>36.105477566569242</v>
      </c>
      <c r="BE33" s="21">
        <f>[1]节奏总纲!BE33</f>
        <v>40.751734485509814</v>
      </c>
    </row>
    <row r="34" spans="2:57" x14ac:dyDescent="0.15">
      <c r="B34" s="21">
        <v>55</v>
      </c>
      <c r="C34" s="21">
        <v>1023.5</v>
      </c>
      <c r="D34" s="21">
        <v>512</v>
      </c>
      <c r="F34" s="21">
        <v>32</v>
      </c>
      <c r="G34" s="21">
        <v>8.189586839976279</v>
      </c>
      <c r="I34" s="21">
        <v>32</v>
      </c>
      <c r="J34" s="21">
        <v>39.220797956048642</v>
      </c>
      <c r="K34" s="18">
        <v>0.94</v>
      </c>
      <c r="N34" s="26">
        <f>[1]节奏总纲!N34</f>
        <v>41</v>
      </c>
      <c r="O34" s="21">
        <v>31</v>
      </c>
      <c r="P34" s="21">
        <f>[1]节奏总纲!P34</f>
        <v>7.5741877002903433</v>
      </c>
      <c r="Q34" s="21">
        <f>[1]节奏总纲!Q34</f>
        <v>6.6115084435834408</v>
      </c>
      <c r="R34" s="21">
        <f>[1]节奏总纲!R34</f>
        <v>5.4632615882194253</v>
      </c>
      <c r="S34" s="21">
        <f>[1]节奏总纲!S34</f>
        <v>4.052190419655334</v>
      </c>
      <c r="T34" s="21">
        <f>[1]节奏总纲!T34</f>
        <v>2.2783156602473356</v>
      </c>
      <c r="U34" s="27"/>
      <c r="V34" s="21">
        <v>31</v>
      </c>
      <c r="W34" s="21">
        <f>[1]节奏总纲!W34</f>
        <v>0.57418770029034327</v>
      </c>
      <c r="X34" s="21">
        <f>[1]节奏总纲!X34</f>
        <v>0.50890844358344101</v>
      </c>
      <c r="Y34" s="21">
        <f>[1]节奏总纲!Y34</f>
        <v>0.42116158821942484</v>
      </c>
      <c r="Z34" s="21">
        <f>[1]节奏总纲!Z34</f>
        <v>0.30929041965533433</v>
      </c>
      <c r="AA34" s="21">
        <f>[1]节奏总纲!AA34</f>
        <v>0.17761566024733577</v>
      </c>
      <c r="AC34" s="21">
        <v>31</v>
      </c>
      <c r="AD34" s="21">
        <f>[1]节奏总纲!AD34</f>
        <v>50</v>
      </c>
      <c r="AE34" s="21">
        <f>[1]节奏总纲!AE34</f>
        <v>51.96230476258421</v>
      </c>
      <c r="AF34" s="21">
        <f>[1]节奏总纲!AF34</f>
        <v>54.692509339255828</v>
      </c>
      <c r="AG34" s="21">
        <f>[1]节奏总纲!AG34</f>
        <v>59.178112178215827</v>
      </c>
      <c r="AH34" s="21">
        <f>[1]节奏总纲!AH34</f>
        <v>67.582949939226467</v>
      </c>
      <c r="AL34" s="21">
        <v>31</v>
      </c>
      <c r="AM34" s="21">
        <f>[1]节奏总纲!AM34</f>
        <v>33.357679571112705</v>
      </c>
      <c r="AN34" s="21">
        <f>[1]节奏总纲!AN34</f>
        <v>26.686143656890167</v>
      </c>
      <c r="AO34" s="21">
        <f>[1]节奏总纲!AO34</f>
        <v>20.014607742667621</v>
      </c>
      <c r="AP34" s="21">
        <f>[1]节奏总纲!AP34</f>
        <v>13.343071828445083</v>
      </c>
      <c r="AQ34" s="21">
        <f>[1]节奏总纲!AQ34</f>
        <v>6.6715359142225417</v>
      </c>
      <c r="AS34" s="21">
        <v>31</v>
      </c>
      <c r="AT34" s="21">
        <f>[1]节奏总纲!AT34</f>
        <v>5.0076795711127033</v>
      </c>
      <c r="AU34" s="21">
        <f>[1]节奏总纲!AU34</f>
        <v>4.0061436568901634</v>
      </c>
      <c r="AV34" s="21">
        <f>[1]节奏总纲!AV34</f>
        <v>3.0046077426676199</v>
      </c>
      <c r="AW34" s="21">
        <f>[1]节奏总纲!AW34</f>
        <v>2.0030718284450817</v>
      </c>
      <c r="AX34" s="21">
        <f>[1]节奏总纲!AX34</f>
        <v>1.0015359142225408</v>
      </c>
      <c r="AY34" s="21"/>
      <c r="AZ34" s="21">
        <v>31</v>
      </c>
      <c r="BA34" s="21">
        <f>[1]节奏总纲!BA34</f>
        <v>30.529187213831889</v>
      </c>
      <c r="BB34" s="21">
        <f>[1]节奏总纲!BB34</f>
        <v>31.919701782372627</v>
      </c>
      <c r="BC34" s="21">
        <f>[1]节奏总纲!BC34</f>
        <v>33.695537043746626</v>
      </c>
      <c r="BD34" s="21">
        <f>[1]节奏总纲!BD34</f>
        <v>36.315904388158508</v>
      </c>
      <c r="BE34" s="21">
        <f>[1]节奏总纲!BE34</f>
        <v>40.984830450008978</v>
      </c>
    </row>
    <row r="35" spans="2:57" x14ac:dyDescent="0.15">
      <c r="B35" s="21">
        <v>60</v>
      </c>
      <c r="C35" s="21">
        <v>2047.5</v>
      </c>
      <c r="D35" s="21">
        <v>1024</v>
      </c>
      <c r="F35" s="21">
        <v>33</v>
      </c>
      <c r="G35" s="21">
        <v>8.8491553067593287</v>
      </c>
      <c r="I35" s="21">
        <v>33</v>
      </c>
      <c r="J35" s="21">
        <v>46.082812923199413</v>
      </c>
      <c r="K35" s="18">
        <v>0.96</v>
      </c>
      <c r="N35" s="26">
        <f>[1]节奏总纲!N35</f>
        <v>42</v>
      </c>
      <c r="O35" s="21">
        <v>32</v>
      </c>
      <c r="P35" s="21">
        <f>[1]节奏总纲!P35</f>
        <v>8.189586839976279</v>
      </c>
      <c r="Q35" s="21">
        <f>[1]节奏总纲!Q35</f>
        <v>7.1519661873512845</v>
      </c>
      <c r="R35" s="21">
        <f>[1]节奏总纲!R35</f>
        <v>5.906330028990892</v>
      </c>
      <c r="S35" s="21">
        <f>[1]节奏总纲!S35</f>
        <v>4.3855237528072974</v>
      </c>
      <c r="T35" s="21">
        <f>[1]节奏总纲!T35</f>
        <v>2.46506563883286</v>
      </c>
      <c r="U35" s="27"/>
      <c r="V35" s="21">
        <v>32</v>
      </c>
      <c r="W35" s="21">
        <f>[1]节奏总纲!W35</f>
        <v>0.61539913968593574</v>
      </c>
      <c r="X35" s="21">
        <f>[1]节奏总纲!X35</f>
        <v>0.54045774376784372</v>
      </c>
      <c r="Y35" s="21">
        <f>[1]节奏总纲!Y35</f>
        <v>0.44306844077146668</v>
      </c>
      <c r="Z35" s="21">
        <f>[1]节奏总纲!Z35</f>
        <v>0.33333333315196345</v>
      </c>
      <c r="AA35" s="21">
        <f>[1]节奏总纲!AA35</f>
        <v>0.18674997858552445</v>
      </c>
      <c r="AC35" s="21">
        <v>32</v>
      </c>
      <c r="AD35" s="21">
        <f>[1]节奏总纲!AD35</f>
        <v>50.435397692903535</v>
      </c>
      <c r="AE35" s="21">
        <f>[1]节奏总纲!AE35</f>
        <v>52.391506955233744</v>
      </c>
      <c r="AF35" s="21">
        <f>[1]节奏总纲!AF35</f>
        <v>55.159275389027101</v>
      </c>
      <c r="AG35" s="21">
        <f>[1]节奏总纲!AG35</f>
        <v>59.632093520341421</v>
      </c>
      <c r="AH35" s="21">
        <f>[1]节奏总纲!AH35</f>
        <v>68.063981730538742</v>
      </c>
      <c r="AL35" s="21">
        <v>32</v>
      </c>
      <c r="AM35" s="21">
        <f>[1]节奏总纲!AM35</f>
        <v>39.220797956048642</v>
      </c>
      <c r="AN35" s="21">
        <f>[1]节奏总纲!AN35</f>
        <v>31.376638364838914</v>
      </c>
      <c r="AO35" s="21">
        <f>[1]节奏总纲!AO35</f>
        <v>23.532478773629183</v>
      </c>
      <c r="AP35" s="21">
        <f>[1]节奏总纲!AP35</f>
        <v>15.688319182419457</v>
      </c>
      <c r="AQ35" s="21">
        <f>[1]节奏总纲!AQ35</f>
        <v>7.8441595912097286</v>
      </c>
      <c r="AS35" s="21">
        <v>32</v>
      </c>
      <c r="AT35" s="21">
        <f>[1]节奏总纲!AT35</f>
        <v>5.8631183849359374</v>
      </c>
      <c r="AU35" s="21">
        <f>[1]节奏总纲!AU35</f>
        <v>4.6904947079487478</v>
      </c>
      <c r="AV35" s="21">
        <f>[1]节奏总纲!AV35</f>
        <v>3.5178710309615617</v>
      </c>
      <c r="AW35" s="21">
        <f>[1]节奏总纲!AW35</f>
        <v>2.3452473539743739</v>
      </c>
      <c r="AX35" s="21">
        <f>[1]节奏总纲!AX35</f>
        <v>1.1726236769871869</v>
      </c>
      <c r="AY35" s="21"/>
      <c r="AZ35" s="21">
        <v>32</v>
      </c>
      <c r="BA35" s="21">
        <f>[1]节奏总纲!BA35</f>
        <v>30.728880502070336</v>
      </c>
      <c r="BB35" s="21">
        <f>[1]节奏总纲!BB35</f>
        <v>32.113552950216736</v>
      </c>
      <c r="BC35" s="21">
        <f>[1]节奏总纲!BC35</f>
        <v>33.903140691603731</v>
      </c>
      <c r="BD35" s="21">
        <f>[1]节奏总纲!BD35</f>
        <v>36.526331209747774</v>
      </c>
      <c r="BE35" s="21">
        <f>[1]节奏总纲!BE35</f>
        <v>41.188041754455355</v>
      </c>
    </row>
    <row r="36" spans="2:57" x14ac:dyDescent="0.15">
      <c r="F36" s="21">
        <v>34</v>
      </c>
      <c r="G36" s="21">
        <v>9.5560632861831518</v>
      </c>
      <c r="I36" s="21">
        <v>34</v>
      </c>
      <c r="J36" s="21">
        <v>54.110931329932889</v>
      </c>
      <c r="K36" s="18">
        <v>0.98</v>
      </c>
      <c r="N36" s="26">
        <f>[1]节奏总纲!N36</f>
        <v>43</v>
      </c>
      <c r="O36" s="21">
        <v>33</v>
      </c>
      <c r="P36" s="21">
        <f>[1]节奏总纲!P36</f>
        <v>8.8491553067593287</v>
      </c>
      <c r="Q36" s="21">
        <f>[1]节奏总纲!Q36</f>
        <v>7.7120388498407557</v>
      </c>
      <c r="R36" s="21">
        <f>[1]节奏总纲!R36</f>
        <v>6.3696219898053652</v>
      </c>
      <c r="S36" s="21">
        <f>[1]节奏总纲!S36</f>
        <v>4.736067920177593</v>
      </c>
      <c r="T36" s="21">
        <f>[1]节奏总纲!T36</f>
        <v>2.6627108318038819</v>
      </c>
      <c r="U36" s="27"/>
      <c r="V36" s="21">
        <v>33</v>
      </c>
      <c r="W36" s="21">
        <f>[1]节奏总纲!W36</f>
        <v>0.6595684667830497</v>
      </c>
      <c r="X36" s="21">
        <f>[1]节奏总纲!X36</f>
        <v>0.56007266248947118</v>
      </c>
      <c r="Y36" s="21">
        <f>[1]节奏总纲!Y36</f>
        <v>0.46329196081447321</v>
      </c>
      <c r="Z36" s="21">
        <f>[1]节奏总纲!Z36</f>
        <v>0.35054416737029559</v>
      </c>
      <c r="AA36" s="21">
        <f>[1]节奏总纲!AA36</f>
        <v>0.1976451929710219</v>
      </c>
      <c r="AC36" s="21">
        <v>33</v>
      </c>
      <c r="AD36" s="21">
        <f>[1]节奏总纲!AD36</f>
        <v>50.870795385807064</v>
      </c>
      <c r="AE36" s="21">
        <f>[1]节奏总纲!AE36</f>
        <v>52.81759316022675</v>
      </c>
      <c r="AF36" s="21">
        <f>[1]节奏总纲!AF36</f>
        <v>55.604435245632025</v>
      </c>
      <c r="AG36" s="21">
        <f>[1]节奏总纲!AG36</f>
        <v>60.078368706270226</v>
      </c>
      <c r="AH36" s="21">
        <f>[1]节奏总纲!AH36</f>
        <v>68.518369035696878</v>
      </c>
      <c r="AL36" s="21">
        <v>33</v>
      </c>
      <c r="AM36" s="21">
        <f>[1]节奏总纲!AM36</f>
        <v>46.082812923199413</v>
      </c>
      <c r="AN36" s="21">
        <f>[1]节奏总纲!AN36</f>
        <v>36.866250338559531</v>
      </c>
      <c r="AO36" s="21">
        <f>[1]节奏总纲!AO36</f>
        <v>27.649687753919647</v>
      </c>
      <c r="AP36" s="21">
        <f>[1]节奏总纲!AP36</f>
        <v>18.433125169279766</v>
      </c>
      <c r="AQ36" s="21">
        <f>[1]节奏总纲!AQ36</f>
        <v>9.2165625846398829</v>
      </c>
      <c r="AS36" s="21">
        <v>33</v>
      </c>
      <c r="AT36" s="21">
        <f>[1]节奏总纲!AT36</f>
        <v>6.8620149671507704</v>
      </c>
      <c r="AU36" s="21">
        <f>[1]节奏总纲!AU36</f>
        <v>5.489611973720617</v>
      </c>
      <c r="AV36" s="21">
        <f>[1]节奏总纲!AV36</f>
        <v>4.1172089802904637</v>
      </c>
      <c r="AW36" s="21">
        <f>[1]节奏总纲!AW36</f>
        <v>2.7448059868603085</v>
      </c>
      <c r="AX36" s="21">
        <f>[1]节奏总纲!AX36</f>
        <v>1.3724029934301543</v>
      </c>
      <c r="AY36" s="21"/>
      <c r="AZ36" s="21">
        <v>33</v>
      </c>
      <c r="BA36" s="21">
        <f>[1]节奏总纲!BA36</f>
        <v>30.928573790308786</v>
      </c>
      <c r="BB36" s="21">
        <f>[1]节奏总纲!BB36</f>
        <v>32.295715187691279</v>
      </c>
      <c r="BC36" s="21">
        <f>[1]节奏总纲!BC36</f>
        <v>34.09469189131628</v>
      </c>
      <c r="BD36" s="21">
        <f>[1]节奏总纲!BD36</f>
        <v>36.73675803133704</v>
      </c>
      <c r="BE36" s="21">
        <f>[1]节奏总纲!BE36</f>
        <v>41.389172829914081</v>
      </c>
    </row>
    <row r="37" spans="2:57" x14ac:dyDescent="0.15">
      <c r="F37" s="21">
        <v>35</v>
      </c>
      <c r="G37" s="21">
        <v>10.313708498984759</v>
      </c>
      <c r="I37" s="21">
        <v>35</v>
      </c>
      <c r="J37" s="21">
        <v>63.5</v>
      </c>
      <c r="K37" s="18">
        <v>1</v>
      </c>
      <c r="N37" s="26">
        <f>[1]节奏总纲!N37</f>
        <v>44</v>
      </c>
      <c r="O37" s="21">
        <v>34</v>
      </c>
      <c r="P37" s="21">
        <f>[1]节奏总纲!P37</f>
        <v>9.5560632861831518</v>
      </c>
      <c r="Q37" s="21">
        <f>[1]节奏总纲!Q37</f>
        <v>8.3309759728944712</v>
      </c>
      <c r="R37" s="21">
        <f>[1]节奏总纲!R37</f>
        <v>6.8918328419952886</v>
      </c>
      <c r="S37" s="21">
        <f>[1]节奏总纲!S37</f>
        <v>5.1287391656944967</v>
      </c>
      <c r="T37" s="21">
        <f>[1]节奏总纲!T37</f>
        <v>2.8811530807842201</v>
      </c>
      <c r="U37" s="27"/>
      <c r="V37" s="21">
        <v>34</v>
      </c>
      <c r="W37" s="21">
        <f>[1]节奏总纲!W37</f>
        <v>0.70690797942382311</v>
      </c>
      <c r="X37" s="21">
        <f>[1]节奏总纲!X37</f>
        <v>0.61893712305371551</v>
      </c>
      <c r="Y37" s="21">
        <f>[1]节奏总纲!Y37</f>
        <v>0.52221085218992336</v>
      </c>
      <c r="Z37" s="21">
        <f>[1]节奏总纲!Z37</f>
        <v>0.39267124551690369</v>
      </c>
      <c r="AA37" s="21">
        <f>[1]节奏总纲!AA37</f>
        <v>0.21844224898033815</v>
      </c>
      <c r="AC37" s="21">
        <v>34</v>
      </c>
      <c r="AD37" s="21">
        <f>[1]节奏总纲!AD37</f>
        <v>51.285688244217212</v>
      </c>
      <c r="AE37" s="21">
        <f>[1]节奏总纲!AE37</f>
        <v>53.226994578658328</v>
      </c>
      <c r="AF37" s="21">
        <f>[1]节奏总纲!AF37</f>
        <v>56.045896281048073</v>
      </c>
      <c r="AG37" s="21">
        <f>[1]节奏总纲!AG37</f>
        <v>60.491705764657482</v>
      </c>
      <c r="AH37" s="21">
        <f>[1]节奏总纲!AH37</f>
        <v>68.972756340855</v>
      </c>
      <c r="AL37" s="21">
        <v>34</v>
      </c>
      <c r="AM37" s="21">
        <f>[1]节奏总纲!AM37</f>
        <v>54.110931329932889</v>
      </c>
      <c r="AN37" s="21">
        <f>[1]节奏总纲!AN37</f>
        <v>43.288745063946315</v>
      </c>
      <c r="AO37" s="21">
        <f>[1]节奏总纲!AO37</f>
        <v>32.466558797959735</v>
      </c>
      <c r="AP37" s="21">
        <f>[1]节奏总纲!AP37</f>
        <v>21.644372531973158</v>
      </c>
      <c r="AQ37" s="21">
        <f>[1]节奏总纲!AQ37</f>
        <v>10.822186265986579</v>
      </c>
      <c r="AS37" s="21">
        <v>34</v>
      </c>
      <c r="AT37" s="21">
        <f>[1]节奏总纲!AT37</f>
        <v>8.0281184067334763</v>
      </c>
      <c r="AU37" s="21">
        <f>[1]节奏总纲!AU37</f>
        <v>6.4224947253867839</v>
      </c>
      <c r="AV37" s="21">
        <f>[1]节奏总纲!AV37</f>
        <v>4.8168710440400879</v>
      </c>
      <c r="AW37" s="21">
        <f>[1]节奏总纲!AW37</f>
        <v>3.2112473626933919</v>
      </c>
      <c r="AX37" s="21">
        <f>[1]节奏总纲!AX37</f>
        <v>1.605623681346696</v>
      </c>
      <c r="AY37" s="21"/>
      <c r="AZ37" s="21">
        <v>34</v>
      </c>
      <c r="BA37" s="21">
        <f>[1]节奏总纲!BA37</f>
        <v>31.109552696486158</v>
      </c>
      <c r="BB37" s="21">
        <f>[1]节奏总纲!BB37</f>
        <v>32.477877425165822</v>
      </c>
      <c r="BC37" s="21">
        <f>[1]节奏总纲!BC37</f>
        <v>34.272203285175834</v>
      </c>
      <c r="BD37" s="21">
        <f>[1]节奏总纲!BD37</f>
        <v>36.947184852926306</v>
      </c>
      <c r="BE37" s="21">
        <f>[1]节奏总纲!BE37</f>
        <v>41.590303905372799</v>
      </c>
    </row>
    <row r="38" spans="2:57" x14ac:dyDescent="0.15">
      <c r="F38" s="21">
        <v>36</v>
      </c>
      <c r="G38" s="21">
        <v>11.125732532083184</v>
      </c>
      <c r="I38" s="21">
        <v>36</v>
      </c>
      <c r="J38" s="21">
        <v>73.746861667008318</v>
      </c>
      <c r="K38" s="18">
        <v>1.01</v>
      </c>
      <c r="N38" s="26">
        <f>[1]节奏总纲!N38</f>
        <v>45</v>
      </c>
      <c r="O38" s="21">
        <v>35</v>
      </c>
      <c r="P38" s="21">
        <f>[1]节奏总纲!P38</f>
        <v>10.313708498984759</v>
      </c>
      <c r="Q38" s="21">
        <f>[1]节奏总纲!Q38</f>
        <v>9.0048988904635934</v>
      </c>
      <c r="R38" s="21">
        <f>[1]节奏总纲!R38</f>
        <v>7.4547485030661838</v>
      </c>
      <c r="S38" s="21">
        <f>[1]节奏总纲!S38</f>
        <v>5.5405242056546129</v>
      </c>
      <c r="T38" s="21">
        <f>[1]节奏总纲!T38</f>
        <v>3.1106144832938032</v>
      </c>
      <c r="U38" s="27"/>
      <c r="V38" s="21">
        <v>35</v>
      </c>
      <c r="W38" s="21">
        <f>[1]节奏总纲!W38</f>
        <v>0.75764521280160757</v>
      </c>
      <c r="X38" s="21">
        <f>[1]节奏总纲!X38</f>
        <v>0.67392291756912215</v>
      </c>
      <c r="Y38" s="21">
        <f>[1]节奏总纲!Y38</f>
        <v>0.56291566107089519</v>
      </c>
      <c r="Z38" s="21">
        <f>[1]节奏总纲!Z38</f>
        <v>0.41178503996011617</v>
      </c>
      <c r="AA38" s="21">
        <f>[1]节奏总纲!AA38</f>
        <v>0.22946140250958313</v>
      </c>
      <c r="AC38" s="21">
        <v>35</v>
      </c>
      <c r="AD38" s="21">
        <f>[1]节奏总纲!AD38</f>
        <v>51.691928656135211</v>
      </c>
      <c r="AE38" s="21">
        <f>[1]节奏总纲!AE38</f>
        <v>53.623906555539456</v>
      </c>
      <c r="AF38" s="21">
        <f>[1]节奏总纲!AF38</f>
        <v>56.457855949816349</v>
      </c>
      <c r="AG38" s="21">
        <f>[1]节奏总纲!AG38</f>
        <v>60.905042823044738</v>
      </c>
      <c r="AH38" s="21">
        <f>[1]节奏总纲!AH38</f>
        <v>69.385288338144662</v>
      </c>
      <c r="AL38" s="21">
        <v>35</v>
      </c>
      <c r="AM38" s="21">
        <f>[1]节奏总纲!AM38</f>
        <v>63.5</v>
      </c>
      <c r="AN38" s="21">
        <f>[1]节奏总纲!AN38</f>
        <v>50.800000000000004</v>
      </c>
      <c r="AO38" s="21">
        <f>[1]节奏总纲!AO38</f>
        <v>38.1</v>
      </c>
      <c r="AP38" s="21">
        <f>[1]节奏总纲!AP38</f>
        <v>25.400000000000002</v>
      </c>
      <c r="AQ38" s="21">
        <f>[1]节奏总纲!AQ38</f>
        <v>12.700000000000001</v>
      </c>
      <c r="AS38" s="21">
        <v>35</v>
      </c>
      <c r="AT38" s="21">
        <f>[1]节奏总纲!AT38</f>
        <v>9.3890686700671111</v>
      </c>
      <c r="AU38" s="21">
        <f>[1]节奏总纲!AU38</f>
        <v>7.5112549360536889</v>
      </c>
      <c r="AV38" s="21">
        <f>[1]节奏总纲!AV38</f>
        <v>5.6334412020402667</v>
      </c>
      <c r="AW38" s="21">
        <f>[1]节奏总纲!AW38</f>
        <v>3.7556274680268444</v>
      </c>
      <c r="AX38" s="21">
        <f>[1]节奏总纲!AX38</f>
        <v>1.8778137340134222</v>
      </c>
      <c r="AY38" s="21"/>
      <c r="AZ38" s="21">
        <v>35</v>
      </c>
      <c r="BA38" s="21">
        <f>[1]节奏总纲!BA38</f>
        <v>31.280110398778046</v>
      </c>
      <c r="BB38" s="21">
        <f>[1]节奏总纲!BB38</f>
        <v>32.660039662640372</v>
      </c>
      <c r="BC38" s="21">
        <f>[1]节奏总纲!BC38</f>
        <v>34.449714679035388</v>
      </c>
      <c r="BD38" s="21">
        <f>[1]节奏总纲!BD38</f>
        <v>37.135950591746003</v>
      </c>
      <c r="BE38" s="21">
        <f>[1]节奏总纲!BE38</f>
        <v>41.791434980831518</v>
      </c>
    </row>
    <row r="39" spans="2:57" x14ac:dyDescent="0.15">
      <c r="F39" s="21">
        <v>37</v>
      </c>
      <c r="G39" s="21">
        <v>11.996038341699768</v>
      </c>
      <c r="I39" s="21">
        <v>37</v>
      </c>
      <c r="J39" s="21">
        <v>85.62747641525452</v>
      </c>
      <c r="K39" s="18">
        <v>1.02</v>
      </c>
      <c r="N39" s="26">
        <f>[1]节奏总纲!N39</f>
        <v>46</v>
      </c>
      <c r="O39" s="21">
        <v>36</v>
      </c>
      <c r="P39" s="21">
        <f>[1]节奏总纲!P39</f>
        <v>11.125732532083184</v>
      </c>
      <c r="Q39" s="21">
        <f>[1]节奏总纲!Q39</f>
        <v>9.7261153795471191</v>
      </c>
      <c r="R39" s="21">
        <f>[1]节奏总纲!R39</f>
        <v>8.0405669009365166</v>
      </c>
      <c r="S39" s="21">
        <f>[1]节奏总纲!S39</f>
        <v>5.9700680767158358</v>
      </c>
      <c r="T39" s="21">
        <f>[1]节奏总纲!T39</f>
        <v>3.3388323328781633</v>
      </c>
      <c r="U39" s="27"/>
      <c r="V39" s="21">
        <v>36</v>
      </c>
      <c r="W39" s="21">
        <f>[1]节奏总纲!W39</f>
        <v>0.81202403309842452</v>
      </c>
      <c r="X39" s="21">
        <f>[1]节奏总纲!X39</f>
        <v>0.72121648908352576</v>
      </c>
      <c r="Y39" s="21">
        <f>[1]节奏总纲!Y39</f>
        <v>0.58581839787033285</v>
      </c>
      <c r="Z39" s="21">
        <f>[1]节奏总纲!Z39</f>
        <v>0.42954387106122294</v>
      </c>
      <c r="AA39" s="21">
        <f>[1]节奏总纲!AA39</f>
        <v>0.22821784958436009</v>
      </c>
      <c r="AC39" s="21">
        <v>36</v>
      </c>
      <c r="AD39" s="21">
        <f>[1]节奏总纲!AD39</f>
        <v>52.091594979242075</v>
      </c>
      <c r="AE39" s="21">
        <f>[1]节奏总纲!AE39</f>
        <v>54.020289560649204</v>
      </c>
      <c r="AF39" s="21">
        <f>[1]节奏总纲!AF39</f>
        <v>56.869815618584624</v>
      </c>
      <c r="AG39" s="21">
        <f>[1]节奏总纲!AG39</f>
        <v>61.294362422865476</v>
      </c>
      <c r="AH39" s="21">
        <f>[1]节奏总纲!AH39</f>
        <v>69.795150761037945</v>
      </c>
      <c r="AL39" s="21">
        <v>36</v>
      </c>
      <c r="AM39" s="21">
        <f>[1]节奏总纲!AM39</f>
        <v>73.746861667008318</v>
      </c>
      <c r="AN39" s="21">
        <f>[1]节奏总纲!AN39</f>
        <v>58.997489333606659</v>
      </c>
      <c r="AO39" s="21">
        <f>[1]节奏总纲!AO39</f>
        <v>44.248117000204992</v>
      </c>
      <c r="AP39" s="21">
        <f>[1]节奏总纲!AP39</f>
        <v>29.498744666803329</v>
      </c>
      <c r="AQ39" s="21">
        <f>[1]节奏总纲!AQ39</f>
        <v>14.749372333401665</v>
      </c>
      <c r="AS39" s="21">
        <v>36</v>
      </c>
      <c r="AT39" s="21">
        <f>[1]节奏总纲!AT39</f>
        <v>10.246861667008318</v>
      </c>
      <c r="AU39" s="21">
        <f>[1]节奏总纲!AU39</f>
        <v>8.1974893336066543</v>
      </c>
      <c r="AV39" s="21">
        <f>[1]节奏总纲!AV39</f>
        <v>6.1481170002049907</v>
      </c>
      <c r="AW39" s="21">
        <f>[1]节奏总纲!AW39</f>
        <v>4.0987446668033272</v>
      </c>
      <c r="AX39" s="21">
        <f>[1]节奏总纲!AX39</f>
        <v>2.0493723334016636</v>
      </c>
      <c r="AY39" s="21"/>
      <c r="AZ39" s="21">
        <v>36</v>
      </c>
      <c r="BA39" s="21">
        <f>[1]节奏总纲!BA39</f>
        <v>31.450668101069933</v>
      </c>
      <c r="BB39" s="21">
        <f>[1]节奏总纲!BB39</f>
        <v>32.842201900114915</v>
      </c>
      <c r="BC39" s="21">
        <f>[1]节奏总纲!BC39</f>
        <v>34.627226072894942</v>
      </c>
      <c r="BD39" s="21">
        <f>[1]节奏总纲!BD39</f>
        <v>37.317457773889828</v>
      </c>
      <c r="BE39" s="21">
        <f>[1]节奏总纲!BE39</f>
        <v>41.992566056290244</v>
      </c>
    </row>
    <row r="40" spans="2:57" x14ac:dyDescent="0.15">
      <c r="F40" s="21">
        <v>38</v>
      </c>
      <c r="G40" s="21">
        <v>12.928809012737984</v>
      </c>
      <c r="I40" s="21">
        <v>38</v>
      </c>
      <c r="J40" s="21">
        <v>99.401036064365428</v>
      </c>
      <c r="K40" s="18">
        <v>1.03</v>
      </c>
      <c r="N40" s="26">
        <f>[1]节奏总纲!N40</f>
        <v>47</v>
      </c>
      <c r="O40" s="21">
        <v>37</v>
      </c>
      <c r="P40" s="21">
        <f>[1]节奏总纲!P40</f>
        <v>11.996038341699768</v>
      </c>
      <c r="Q40" s="21">
        <f>[1]节奏总纲!Q40</f>
        <v>10.483337906811427</v>
      </c>
      <c r="R40" s="21">
        <f>[1]节奏总纲!R40</f>
        <v>8.6671377018780831</v>
      </c>
      <c r="S40" s="21">
        <f>[1]节奏总纲!S40</f>
        <v>6.4166809089752066</v>
      </c>
      <c r="T40" s="21">
        <f>[1]节奏总纲!T40</f>
        <v>3.6000111063441</v>
      </c>
      <c r="U40" s="27"/>
      <c r="V40" s="21">
        <v>37</v>
      </c>
      <c r="W40" s="21">
        <f>[1]节奏总纲!W40</f>
        <v>0.87030580961658366</v>
      </c>
      <c r="X40" s="21">
        <f>[1]节奏总纲!X40</f>
        <v>0.75722252726430739</v>
      </c>
      <c r="Y40" s="21">
        <f>[1]节奏总纲!Y40</f>
        <v>0.62657080094156647</v>
      </c>
      <c r="Z40" s="21">
        <f>[1]节奏总纲!Z40</f>
        <v>0.44661283225937076</v>
      </c>
      <c r="AA40" s="21">
        <f>[1]节奏总纲!AA40</f>
        <v>0.26117877346593676</v>
      </c>
      <c r="AC40" s="21">
        <v>37</v>
      </c>
      <c r="AD40" s="21">
        <f>[1]节奏总纲!AD40</f>
        <v>52.470630686057078</v>
      </c>
      <c r="AE40" s="21">
        <f>[1]节奏总纲!AE40</f>
        <v>54.407116521581436</v>
      </c>
      <c r="AF40" s="21">
        <f>[1]节奏总纲!AF40</f>
        <v>57.263329041432932</v>
      </c>
      <c r="AG40" s="21">
        <f>[1]节奏总纲!AG40</f>
        <v>61.676518787205197</v>
      </c>
      <c r="AH40" s="21">
        <f>[1]节奏总纲!AH40</f>
        <v>70.190427169053478</v>
      </c>
      <c r="AL40" s="21">
        <v>37</v>
      </c>
      <c r="AM40" s="21">
        <f>[1]节奏总纲!AM40</f>
        <v>85.62747641525452</v>
      </c>
      <c r="AN40" s="21">
        <f>[1]节奏总纲!AN40</f>
        <v>68.501981132203625</v>
      </c>
      <c r="AO40" s="21">
        <f>[1]节奏总纲!AO40</f>
        <v>51.376485849152708</v>
      </c>
      <c r="AP40" s="21">
        <f>[1]节奏总纲!AP40</f>
        <v>34.250990566101812</v>
      </c>
      <c r="AQ40" s="21">
        <f>[1]节奏总纲!AQ40</f>
        <v>17.125495283050906</v>
      </c>
      <c r="AS40" s="21">
        <v>37</v>
      </c>
      <c r="AT40" s="21">
        <f>[1]节奏总纲!AT40</f>
        <v>11.880614748246202</v>
      </c>
      <c r="AU40" s="21">
        <f>[1]节奏总纲!AU40</f>
        <v>9.5044917985969661</v>
      </c>
      <c r="AV40" s="21">
        <f>[1]节奏总纲!AV40</f>
        <v>7.1283688489477157</v>
      </c>
      <c r="AW40" s="21">
        <f>[1]节奏总纲!AW40</f>
        <v>4.7522458992984831</v>
      </c>
      <c r="AX40" s="21">
        <f>[1]节奏总纲!AX40</f>
        <v>2.3761229496492415</v>
      </c>
      <c r="AY40" s="21"/>
      <c r="AZ40" s="21">
        <v>37</v>
      </c>
      <c r="BA40" s="21">
        <f>[1]节奏总纲!BA40</f>
        <v>31.621225803361821</v>
      </c>
      <c r="BB40" s="21">
        <f>[1]节奏总纲!BB40</f>
        <v>33.02082518821102</v>
      </c>
      <c r="BC40" s="21">
        <f>[1]节奏总纲!BC40</f>
        <v>34.804737466754489</v>
      </c>
      <c r="BD40" s="21">
        <f>[1]节奏总纲!BD40</f>
        <v>37.498964956033646</v>
      </c>
      <c r="BE40" s="21">
        <f>[1]节奏总纲!BE40</f>
        <v>42.167148737437564</v>
      </c>
    </row>
    <row r="41" spans="2:57" x14ac:dyDescent="0.15">
      <c r="F41" s="21">
        <v>39</v>
      </c>
      <c r="G41" s="21">
        <v>13.928527864588917</v>
      </c>
      <c r="I41" s="21">
        <v>39</v>
      </c>
      <c r="J41" s="21">
        <v>115.36769098598003</v>
      </c>
      <c r="K41" s="18">
        <v>1.04</v>
      </c>
      <c r="N41" s="26">
        <f>[1]节奏总纲!N41</f>
        <v>48</v>
      </c>
      <c r="O41" s="21">
        <v>38</v>
      </c>
      <c r="P41" s="21">
        <f>[1]节奏总纲!P41</f>
        <v>12.928809012737984</v>
      </c>
      <c r="Q41" s="21">
        <f>[1]节奏总纲!Q41</f>
        <v>11.292021791725356</v>
      </c>
      <c r="R41" s="21">
        <f>[1]节奏总纲!R41</f>
        <v>9.3190855363815395</v>
      </c>
      <c r="S41" s="21">
        <f>[1]节奏总纲!S41</f>
        <v>6.8962267273944402</v>
      </c>
      <c r="T41" s="21">
        <f>[1]节奏总纲!T41</f>
        <v>3.8708854184137524</v>
      </c>
      <c r="U41" s="27"/>
      <c r="V41" s="21">
        <v>38</v>
      </c>
      <c r="W41" s="21">
        <f>[1]节奏总纲!W41</f>
        <v>0.93277067103821665</v>
      </c>
      <c r="X41" s="21">
        <f>[1]节奏总纲!X41</f>
        <v>0.80868388491392906</v>
      </c>
      <c r="Y41" s="21">
        <f>[1]节奏总纲!Y41</f>
        <v>0.65194783450345639</v>
      </c>
      <c r="Z41" s="21">
        <f>[1]节奏总纲!Z41</f>
        <v>0.4795458184192336</v>
      </c>
      <c r="AA41" s="21">
        <f>[1]节奏总纲!AA41</f>
        <v>0.2708743120696524</v>
      </c>
      <c r="AC41" s="21">
        <v>38</v>
      </c>
      <c r="AD41" s="21">
        <f>[1]节奏总纲!AD41</f>
        <v>52.849666392872081</v>
      </c>
      <c r="AE41" s="21">
        <f>[1]节奏总纲!AE41</f>
        <v>54.793943482513676</v>
      </c>
      <c r="AF41" s="21">
        <f>[1]节奏总纲!AF41</f>
        <v>57.64832002380362</v>
      </c>
      <c r="AG41" s="21">
        <f>[1]节奏总纲!AG41</f>
        <v>62.054222259937362</v>
      </c>
      <c r="AH41" s="21">
        <f>[1]节奏总纲!AH41</f>
        <v>70.571129226337533</v>
      </c>
      <c r="AL41" s="21">
        <v>38</v>
      </c>
      <c r="AM41" s="21">
        <f>[1]节奏总纲!AM41</f>
        <v>99.401036064365428</v>
      </c>
      <c r="AN41" s="21">
        <f>[1]节奏总纲!AN41</f>
        <v>79.520828851492354</v>
      </c>
      <c r="AO41" s="21">
        <f>[1]节奏总纲!AO41</f>
        <v>59.640621638619251</v>
      </c>
      <c r="AP41" s="21">
        <f>[1]节奏总纲!AP41</f>
        <v>39.760414425746177</v>
      </c>
      <c r="AQ41" s="21">
        <f>[1]节奏总纲!AQ41</f>
        <v>19.880207212873088</v>
      </c>
      <c r="AS41" s="21">
        <v>38</v>
      </c>
      <c r="AT41" s="21">
        <f>[1]节奏总纲!AT41</f>
        <v>13.773559649110908</v>
      </c>
      <c r="AU41" s="21">
        <f>[1]节奏总纲!AU41</f>
        <v>11.018847719288729</v>
      </c>
      <c r="AV41" s="21">
        <f>[1]节奏总纲!AV41</f>
        <v>8.2641357894665433</v>
      </c>
      <c r="AW41" s="21">
        <f>[1]节奏总纲!AW41</f>
        <v>5.5094238596443645</v>
      </c>
      <c r="AX41" s="21">
        <f>[1]节奏总纲!AX41</f>
        <v>2.7547119298221823</v>
      </c>
      <c r="AY41" s="21"/>
      <c r="AZ41" s="21">
        <v>38</v>
      </c>
      <c r="BA41" s="21">
        <f>[1]节奏总纲!BA41</f>
        <v>31.791783505653711</v>
      </c>
      <c r="BB41" s="21">
        <f>[1]节奏总纲!BB41</f>
        <v>33.176527924103851</v>
      </c>
      <c r="BC41" s="21">
        <f>[1]节奏总纲!BC41</f>
        <v>34.982248860614042</v>
      </c>
      <c r="BD41" s="21">
        <f>[1]节奏总纲!BD41</f>
        <v>37.680472138177471</v>
      </c>
      <c r="BE41" s="21">
        <f>[1]节奏总纲!BE41</f>
        <v>42.340712512072891</v>
      </c>
    </row>
    <row r="42" spans="2:57" x14ac:dyDescent="0.15">
      <c r="F42" s="21">
        <v>40</v>
      </c>
      <c r="G42" s="21">
        <v>15</v>
      </c>
      <c r="I42" s="21">
        <v>40</v>
      </c>
      <c r="J42" s="21">
        <v>133.875</v>
      </c>
      <c r="K42" s="18">
        <v>1.05</v>
      </c>
      <c r="N42" s="26">
        <f>[1]节奏总纲!N42</f>
        <v>49</v>
      </c>
      <c r="O42" s="21">
        <v>39</v>
      </c>
      <c r="P42" s="21">
        <f>[1]节奏总纲!P42</f>
        <v>13.928527864588917</v>
      </c>
      <c r="Q42" s="21">
        <f>[1]节奏总纲!Q42</f>
        <v>12.147069150707994</v>
      </c>
      <c r="R42" s="21">
        <f>[1]节奏总纲!R42</f>
        <v>10.016004387425889</v>
      </c>
      <c r="S42" s="21">
        <f>[1]节奏总纲!S42</f>
        <v>7.4197267934665154</v>
      </c>
      <c r="T42" s="21">
        <f>[1]节奏总纲!T42</f>
        <v>4.1702012426579218</v>
      </c>
      <c r="U42" s="27"/>
      <c r="V42" s="21">
        <v>39</v>
      </c>
      <c r="W42" s="21">
        <f>[1]节奏总纲!W42</f>
        <v>0.99971885185093257</v>
      </c>
      <c r="X42" s="21">
        <f>[1]节奏总纲!X42</f>
        <v>0.85504735898263817</v>
      </c>
      <c r="Y42" s="21">
        <f>[1]节奏总纲!Y42</f>
        <v>0.69691885104434981</v>
      </c>
      <c r="Z42" s="21">
        <f>[1]节奏总纲!Z42</f>
        <v>0.52350006607207522</v>
      </c>
      <c r="AA42" s="21">
        <f>[1]节奏总纲!AA42</f>
        <v>0.29931582424416936</v>
      </c>
      <c r="AC42" s="21">
        <v>39</v>
      </c>
      <c r="AD42" s="21">
        <f>[1]节奏总纲!AD42</f>
        <v>53.213386604241784</v>
      </c>
      <c r="AE42" s="21">
        <f>[1]节奏总纲!AE42</f>
        <v>55.170390866416149</v>
      </c>
      <c r="AF42" s="21">
        <f>[1]节奏总纲!AF42</f>
        <v>58.030740707238266</v>
      </c>
      <c r="AG42" s="21">
        <f>[1]节奏总纲!AG42</f>
        <v>62.407376554018477</v>
      </c>
      <c r="AH42" s="21">
        <f>[1]节奏总纲!AH42</f>
        <v>70.951831283621587</v>
      </c>
      <c r="AL42" s="21">
        <v>39</v>
      </c>
      <c r="AM42" s="21">
        <f>[1]节奏总纲!AM42</f>
        <v>115.36769098598003</v>
      </c>
      <c r="AN42" s="21">
        <f>[1]节奏总纲!AN42</f>
        <v>92.294152788784032</v>
      </c>
      <c r="AO42" s="21">
        <f>[1]节奏总纲!AO42</f>
        <v>69.220614591588017</v>
      </c>
      <c r="AP42" s="21">
        <f>[1]节奏总纲!AP42</f>
        <v>46.147076394392016</v>
      </c>
      <c r="AQ42" s="21">
        <f>[1]节奏总纲!AQ42</f>
        <v>23.073538197196008</v>
      </c>
      <c r="AS42" s="21">
        <v>39</v>
      </c>
      <c r="AT42" s="21">
        <f>[1]节奏总纲!AT42</f>
        <v>15.966654921614605</v>
      </c>
      <c r="AU42" s="21">
        <f>[1]节奏总纲!AU42</f>
        <v>12.773323937291678</v>
      </c>
      <c r="AV42" s="21">
        <f>[1]节奏总纲!AV42</f>
        <v>9.579992952968766</v>
      </c>
      <c r="AW42" s="21">
        <f>[1]节奏总纲!AW42</f>
        <v>6.3866619686458392</v>
      </c>
      <c r="AX42" s="21">
        <f>[1]节奏总纲!AX42</f>
        <v>3.1933309843229196</v>
      </c>
      <c r="AY42" s="21"/>
      <c r="AZ42" s="21">
        <v>39</v>
      </c>
      <c r="BA42" s="21">
        <f>[1]节奏总纲!BA42</f>
        <v>31.962341207945599</v>
      </c>
      <c r="BB42" s="21">
        <f>[1]节奏总纲!BB42</f>
        <v>33.332230659996682</v>
      </c>
      <c r="BC42" s="21">
        <f>[1]节奏总纲!BC42</f>
        <v>35.146386283795508</v>
      </c>
      <c r="BD42" s="21">
        <f>[1]节奏总纲!BD42</f>
        <v>37.861979320321296</v>
      </c>
      <c r="BE42" s="21">
        <f>[1]节奏总纲!BE42</f>
        <v>42.51427628670821</v>
      </c>
    </row>
    <row r="43" spans="2:57" x14ac:dyDescent="0.15">
      <c r="F43" s="21">
        <v>41</v>
      </c>
      <c r="G43" s="21">
        <v>16.148375400580683</v>
      </c>
      <c r="I43" s="21">
        <v>41</v>
      </c>
      <c r="J43" s="21">
        <v>155.32539280599755</v>
      </c>
      <c r="K43" s="18">
        <v>1.06</v>
      </c>
      <c r="N43" s="26">
        <f>[1]节奏总纲!N43</f>
        <v>50</v>
      </c>
      <c r="O43" s="21">
        <v>40</v>
      </c>
      <c r="P43" s="21">
        <f>[1]节奏总纲!P43</f>
        <v>15</v>
      </c>
      <c r="Q43" s="21">
        <f>[1]节奏总纲!Q43</f>
        <v>13.059000000000001</v>
      </c>
      <c r="R43" s="21">
        <f>[1]节奏总纲!R43</f>
        <v>10.782</v>
      </c>
      <c r="S43" s="21">
        <f>[1]节奏总纲!S43</f>
        <v>8.0009999999999994</v>
      </c>
      <c r="T43" s="21">
        <f>[1]节奏总纲!T43</f>
        <v>4.5</v>
      </c>
      <c r="U43" s="27"/>
      <c r="V43" s="21">
        <v>40</v>
      </c>
      <c r="W43" s="21">
        <f>[1]节奏总纲!W43</f>
        <v>1.0714721354110832</v>
      </c>
      <c r="X43" s="21">
        <f>[1]节奏总纲!X43</f>
        <v>0.9119308492920073</v>
      </c>
      <c r="Y43" s="21">
        <f>[1]节奏总纲!Y43</f>
        <v>0.76599561257411075</v>
      </c>
      <c r="Z43" s="21">
        <f>[1]节奏总纲!Z43</f>
        <v>0.58127320653348402</v>
      </c>
      <c r="AA43" s="21">
        <f>[1]节奏总纲!AA43</f>
        <v>0.3297987573420782</v>
      </c>
      <c r="AC43" s="21">
        <v>40</v>
      </c>
      <c r="AD43" s="21">
        <f>[1]节奏总纲!AD43</f>
        <v>53.567039423670657</v>
      </c>
      <c r="AE43" s="21">
        <f>[1]节奏总纲!AE43</f>
        <v>55.535006783542492</v>
      </c>
      <c r="AF43" s="21">
        <f>[1]节奏总纲!AF43</f>
        <v>58.38602553461638</v>
      </c>
      <c r="AG43" s="21">
        <f>[1]节奏总纲!AG43</f>
        <v>62.760530848099599</v>
      </c>
      <c r="AH43" s="21">
        <f>[1]节奏总纲!AH43</f>
        <v>71.315281959371688</v>
      </c>
      <c r="AL43" s="21">
        <v>40</v>
      </c>
      <c r="AM43" s="21">
        <f>[1]节奏总纲!AM43</f>
        <v>133.875</v>
      </c>
      <c r="AN43" s="21">
        <f>[1]节奏总纲!AN43</f>
        <v>107.10000000000001</v>
      </c>
      <c r="AO43" s="21">
        <f>[1]节奏总纲!AO43</f>
        <v>80.325000000000003</v>
      </c>
      <c r="AP43" s="21">
        <f>[1]节奏总纲!AP43</f>
        <v>53.550000000000004</v>
      </c>
      <c r="AQ43" s="21">
        <f>[1]节奏总纲!AQ43</f>
        <v>26.775000000000002</v>
      </c>
      <c r="AS43" s="21">
        <v>40</v>
      </c>
      <c r="AT43" s="21">
        <f>[1]节奏总纲!AT43</f>
        <v>18.507309014019967</v>
      </c>
      <c r="AU43" s="21">
        <f>[1]节奏总纲!AU43</f>
        <v>14.805847211215976</v>
      </c>
      <c r="AV43" s="21">
        <f>[1]节奏总纲!AV43</f>
        <v>11.104385408411986</v>
      </c>
      <c r="AW43" s="21">
        <f>[1]节奏总纲!AW43</f>
        <v>7.4029236056079881</v>
      </c>
      <c r="AX43" s="21">
        <f>[1]节奏总纲!AX43</f>
        <v>3.7014618028039941</v>
      </c>
      <c r="AY43" s="21"/>
      <c r="AZ43" s="21">
        <v>40</v>
      </c>
      <c r="BA43" s="21">
        <f>[1]节奏总纲!BA43</f>
        <v>32.113552950216736</v>
      </c>
      <c r="BB43" s="21">
        <f>[1]节奏总纲!BB43</f>
        <v>33.487933395889513</v>
      </c>
      <c r="BC43" s="21">
        <f>[1]节奏总纲!BC43</f>
        <v>35.309037710234961</v>
      </c>
      <c r="BD43" s="21">
        <f>[1]节奏总纲!BD43</f>
        <v>38.037513426486328</v>
      </c>
      <c r="BE43" s="21">
        <f>[1]节奏总纲!BE43</f>
        <v>42.687840061343536</v>
      </c>
    </row>
    <row r="44" spans="2:57" x14ac:dyDescent="0.15">
      <c r="F44" s="21">
        <v>42</v>
      </c>
      <c r="G44" s="21">
        <v>17.379173679952558</v>
      </c>
      <c r="I44" s="21">
        <v>42</v>
      </c>
      <c r="J44" s="21">
        <v>180.18480345945557</v>
      </c>
      <c r="K44" s="18">
        <v>1.07</v>
      </c>
      <c r="N44" s="26">
        <f>[1]节奏总纲!N44</f>
        <v>51</v>
      </c>
      <c r="O44" s="21">
        <v>41</v>
      </c>
      <c r="P44" s="21">
        <f>[1]节奏总纲!P44</f>
        <v>16.148375400580683</v>
      </c>
      <c r="Q44" s="21">
        <f>[1]节奏总纲!Q44</f>
        <v>14.065234973905774</v>
      </c>
      <c r="R44" s="21">
        <f>[1]节奏总纲!R44</f>
        <v>11.621985775797917</v>
      </c>
      <c r="S44" s="21">
        <f>[1]节奏总纲!S44</f>
        <v>8.6296918140703163</v>
      </c>
      <c r="T44" s="21">
        <f>[1]节奏总纲!T44</f>
        <v>4.8606609955747855</v>
      </c>
      <c r="U44" s="27"/>
      <c r="V44" s="21">
        <v>41</v>
      </c>
      <c r="W44" s="21">
        <f>[1]节奏总纲!W44</f>
        <v>1.148375400580683</v>
      </c>
      <c r="X44" s="21">
        <f>[1]节奏总纲!X44</f>
        <v>1.006234973905773</v>
      </c>
      <c r="Y44" s="21">
        <f>[1]节奏总纲!Y44</f>
        <v>0.839985775797917</v>
      </c>
      <c r="Z44" s="21">
        <f>[1]节奏总纲!Z44</f>
        <v>0.62869181407031682</v>
      </c>
      <c r="AA44" s="21">
        <f>[1]节奏总纲!AA44</f>
        <v>0.36066099557478548</v>
      </c>
      <c r="AC44" s="21">
        <v>41</v>
      </c>
      <c r="AD44" s="21">
        <f>[1]节奏总纲!AD44</f>
        <v>53.920692243099523</v>
      </c>
      <c r="AE44" s="21">
        <f>[1]节奏总纲!AE44</f>
        <v>55.899622700668843</v>
      </c>
      <c r="AF44" s="21">
        <f>[1]节奏总纲!AF44</f>
        <v>58.741310361994486</v>
      </c>
      <c r="AG44" s="21">
        <f>[1]节奏总纲!AG44</f>
        <v>63.10587219844583</v>
      </c>
      <c r="AH44" s="21">
        <f>[1]节奏总纲!AH44</f>
        <v>71.676233707038421</v>
      </c>
      <c r="AL44" s="21">
        <v>41</v>
      </c>
      <c r="AM44" s="21">
        <f>[1]节奏总纲!AM44</f>
        <v>155.32539280599755</v>
      </c>
      <c r="AN44" s="21">
        <f>[1]节奏总纲!AN44</f>
        <v>124.26031424479805</v>
      </c>
      <c r="AO44" s="21">
        <f>[1]节奏总纲!AO44</f>
        <v>93.195235683598526</v>
      </c>
      <c r="AP44" s="21">
        <f>[1]节奏总纲!AP44</f>
        <v>62.130157122399027</v>
      </c>
      <c r="AQ44" s="21">
        <f>[1]节奏总纲!AQ44</f>
        <v>31.065078561199513</v>
      </c>
      <c r="AS44" s="21">
        <v>41</v>
      </c>
      <c r="AT44" s="21">
        <f>[1]节奏总纲!AT44</f>
        <v>21.450392805997552</v>
      </c>
      <c r="AU44" s="21">
        <f>[1]节奏总纲!AU44</f>
        <v>17.160314244798045</v>
      </c>
      <c r="AV44" s="21">
        <f>[1]节奏总纲!AV44</f>
        <v>12.870235683598523</v>
      </c>
      <c r="AW44" s="21">
        <f>[1]节奏总纲!AW44</f>
        <v>8.5801571223990223</v>
      </c>
      <c r="AX44" s="21">
        <f>[1]节奏总纲!AX44</f>
        <v>4.2900785611995111</v>
      </c>
      <c r="AY44" s="21"/>
      <c r="AZ44" s="21">
        <v>41</v>
      </c>
      <c r="BA44" s="21">
        <f>[1]节奏总纲!BA44</f>
        <v>32.259282740196369</v>
      </c>
      <c r="BB44" s="21">
        <f>[1]节奏总纲!BB44</f>
        <v>33.643636131782344</v>
      </c>
      <c r="BC44" s="21">
        <f>[1]节奏总纲!BC44</f>
        <v>35.471689136674414</v>
      </c>
      <c r="BD44" s="21">
        <f>[1]节奏总纲!BD44</f>
        <v>38.194089742081125</v>
      </c>
      <c r="BE44" s="21">
        <f>[1]节奏总纲!BE44</f>
        <v>42.861403835978855</v>
      </c>
    </row>
    <row r="45" spans="2:57" x14ac:dyDescent="0.15">
      <c r="F45" s="21">
        <v>43</v>
      </c>
      <c r="G45" s="21">
        <v>18.698310613518661</v>
      </c>
      <c r="I45" s="21">
        <v>43</v>
      </c>
      <c r="J45" s="21">
        <v>208.99265815439742</v>
      </c>
      <c r="K45" s="18">
        <v>1.08</v>
      </c>
      <c r="N45" s="26">
        <f>[1]节奏总纲!N45</f>
        <v>52</v>
      </c>
      <c r="O45" s="21">
        <v>42</v>
      </c>
      <c r="P45" s="21">
        <f>[1]节奏总纲!P45</f>
        <v>17.379173679952558</v>
      </c>
      <c r="Q45" s="21">
        <f>[1]节奏总纲!Q45</f>
        <v>15.182446126806555</v>
      </c>
      <c r="R45" s="21">
        <f>[1]节奏总纲!R45</f>
        <v>12.547763396925747</v>
      </c>
      <c r="S45" s="21">
        <f>[1]节奏总纲!S45</f>
        <v>9.3221887619265527</v>
      </c>
      <c r="T45" s="21">
        <f>[1]节奏总纲!T45</f>
        <v>5.2485104513456724</v>
      </c>
      <c r="U45" s="27"/>
      <c r="V45" s="21">
        <v>42</v>
      </c>
      <c r="W45" s="21">
        <f>[1]节奏总纲!W45</f>
        <v>1.230798279371875</v>
      </c>
      <c r="X45" s="21">
        <f>[1]节奏总纲!X45</f>
        <v>1.1172111529007811</v>
      </c>
      <c r="Y45" s="21">
        <f>[1]节奏总纲!Y45</f>
        <v>0.92577762112783013</v>
      </c>
      <c r="Z45" s="21">
        <f>[1]节奏总纲!Z45</f>
        <v>0.69249694785623639</v>
      </c>
      <c r="AA45" s="21">
        <f>[1]节奏总纲!AA45</f>
        <v>0.38784945577088692</v>
      </c>
      <c r="AC45" s="21">
        <v>42</v>
      </c>
      <c r="AD45" s="21">
        <f>[1]节奏总纲!AD45</f>
        <v>54.255972994404218</v>
      </c>
      <c r="AE45" s="21">
        <f>[1]节奏总纲!AE45</f>
        <v>56.238779717153008</v>
      </c>
      <c r="AF45" s="21">
        <f>[1]节奏总纲!AF45</f>
        <v>59.09095196730258</v>
      </c>
      <c r="AG45" s="21">
        <f>[1]节奏总纲!AG45</f>
        <v>63.434756173851497</v>
      </c>
      <c r="AH45" s="21">
        <f>[1]节奏总纲!AH45</f>
        <v>72.034562459436771</v>
      </c>
      <c r="AL45" s="21">
        <v>42</v>
      </c>
      <c r="AM45" s="21">
        <f>[1]节奏总纲!AM45</f>
        <v>180.18480345945557</v>
      </c>
      <c r="AN45" s="21">
        <f>[1]节奏总纲!AN45</f>
        <v>144.14784276756447</v>
      </c>
      <c r="AO45" s="21">
        <f>[1]节奏总纲!AO45</f>
        <v>108.11088207567333</v>
      </c>
      <c r="AP45" s="21">
        <f>[1]节奏总纲!AP45</f>
        <v>72.073921383782235</v>
      </c>
      <c r="AQ45" s="21">
        <f>[1]节奏总纲!AQ45</f>
        <v>36.036960691891117</v>
      </c>
      <c r="AS45" s="21">
        <v>42</v>
      </c>
      <c r="AT45" s="21">
        <f>[1]节奏总纲!AT45</f>
        <v>24.859410653458013</v>
      </c>
      <c r="AU45" s="21">
        <f>[1]节奏总纲!AU45</f>
        <v>19.887528522766416</v>
      </c>
      <c r="AV45" s="21">
        <f>[1]节奏总纲!AV45</f>
        <v>14.915646392074805</v>
      </c>
      <c r="AW45" s="21">
        <f>[1]节奏总纲!AW45</f>
        <v>9.9437642613832082</v>
      </c>
      <c r="AX45" s="21">
        <f>[1]节奏总纲!AX45</f>
        <v>4.9718821306916041</v>
      </c>
      <c r="AY45" s="21"/>
      <c r="AZ45" s="21">
        <v>42</v>
      </c>
      <c r="BA45" s="21">
        <f>[1]节奏总纲!BA45</f>
        <v>32.405012530176009</v>
      </c>
      <c r="BB45" s="21">
        <f>[1]节奏总纲!BB45</f>
        <v>33.799338867675175</v>
      </c>
      <c r="BC45" s="21">
        <f>[1]节奏总纲!BC45</f>
        <v>35.634340563113874</v>
      </c>
      <c r="BD45" s="21">
        <f>[1]节奏总纲!BD45</f>
        <v>38.35066605767593</v>
      </c>
      <c r="BE45" s="21">
        <f>[1]节奏总纲!BE45</f>
        <v>43.030177309109042</v>
      </c>
    </row>
    <row r="46" spans="2:57" x14ac:dyDescent="0.15">
      <c r="F46" s="21">
        <v>44</v>
      </c>
      <c r="G46" s="21">
        <v>20.112126572366307</v>
      </c>
      <c r="I46" s="21">
        <v>44</v>
      </c>
      <c r="J46" s="21">
        <v>242.37342918215046</v>
      </c>
      <c r="K46" s="18">
        <v>1.0900000000000001</v>
      </c>
      <c r="N46" s="26">
        <f>[1]节奏总纲!N46</f>
        <v>53</v>
      </c>
      <c r="O46" s="21">
        <v>43</v>
      </c>
      <c r="P46" s="21">
        <f>[1]节奏总纲!P46</f>
        <v>18.698310613518661</v>
      </c>
      <c r="Q46" s="21">
        <f>[1]节奏总纲!Q46</f>
        <v>16.338583814092605</v>
      </c>
      <c r="R46" s="21">
        <f>[1]节奏总纲!R46</f>
        <v>13.509529418267233</v>
      </c>
      <c r="S46" s="21">
        <f>[1]节奏总纲!S46</f>
        <v>10.020424657784652</v>
      </c>
      <c r="T46" s="21">
        <f>[1]节奏总纲!T46</f>
        <v>5.6394104810372276</v>
      </c>
      <c r="U46" s="27"/>
      <c r="V46" s="21">
        <v>43</v>
      </c>
      <c r="W46" s="21">
        <f>[1]节奏总纲!W46</f>
        <v>1.319136933566103</v>
      </c>
      <c r="X46" s="21">
        <f>[1]节奏总纲!X46</f>
        <v>1.1561376872860496</v>
      </c>
      <c r="Y46" s="21">
        <f>[1]节奏总纲!Y46</f>
        <v>0.96176602134148581</v>
      </c>
      <c r="Z46" s="21">
        <f>[1]节奏总纲!Z46</f>
        <v>0.6982358958580992</v>
      </c>
      <c r="AA46" s="21">
        <f>[1]节奏总纲!AA46</f>
        <v>0.39090002969155524</v>
      </c>
      <c r="AC46" s="21">
        <v>43</v>
      </c>
      <c r="AD46" s="21">
        <f>[1]节奏总纲!AD46</f>
        <v>54.585942742481357</v>
      </c>
      <c r="AE46" s="21">
        <f>[1]节奏总纲!AE46</f>
        <v>56.568265567054013</v>
      </c>
      <c r="AF46" s="21">
        <f>[1]节奏总纲!AF46</f>
        <v>59.425480572843689</v>
      </c>
      <c r="AG46" s="21">
        <f>[1]节奏总纲!AG46</f>
        <v>63.763640149257171</v>
      </c>
      <c r="AH46" s="21">
        <f>[1]节奏总纲!AH46</f>
        <v>72.370053318329937</v>
      </c>
      <c r="AL46" s="21">
        <v>43</v>
      </c>
      <c r="AM46" s="21">
        <f>[1]节奏总纲!AM46</f>
        <v>208.99265815439742</v>
      </c>
      <c r="AN46" s="21">
        <f>[1]节奏总纲!AN46</f>
        <v>167.19412652351795</v>
      </c>
      <c r="AO46" s="21">
        <f>[1]节奏总纲!AO46</f>
        <v>125.39559489263844</v>
      </c>
      <c r="AP46" s="21">
        <f>[1]节奏总纲!AP46</f>
        <v>83.597063261758976</v>
      </c>
      <c r="AQ46" s="21">
        <f>[1]节奏总纲!AQ46</f>
        <v>41.798531630879488</v>
      </c>
      <c r="AS46" s="21">
        <v>43</v>
      </c>
      <c r="AT46" s="21">
        <f>[1]节奏总纲!AT46</f>
        <v>28.807854694941852</v>
      </c>
      <c r="AU46" s="21">
        <f>[1]节奏总纲!AU46</f>
        <v>23.046283755953482</v>
      </c>
      <c r="AV46" s="21">
        <f>[1]节奏总纲!AV46</f>
        <v>17.284712816965111</v>
      </c>
      <c r="AW46" s="21">
        <f>[1]节奏总纲!AW46</f>
        <v>11.523141877976741</v>
      </c>
      <c r="AX46" s="21">
        <f>[1]节奏总纲!AX46</f>
        <v>5.7615709389883705</v>
      </c>
      <c r="AY46" s="21"/>
      <c r="AZ46" s="21">
        <v>43</v>
      </c>
      <c r="BA46" s="21">
        <f>[1]节奏总纲!BA46</f>
        <v>32.550742320155642</v>
      </c>
      <c r="BB46" s="21">
        <f>[1]节奏总纲!BB46</f>
        <v>33.955041603568006</v>
      </c>
      <c r="BC46" s="21">
        <f>[1]节奏总纲!BC46</f>
        <v>35.796991989553327</v>
      </c>
      <c r="BD46" s="21">
        <f>[1]节奏总纲!BD46</f>
        <v>38.507242373270728</v>
      </c>
      <c r="BE46" s="21">
        <f>[1]节奏总纲!BE46</f>
        <v>43.179964142847631</v>
      </c>
    </row>
    <row r="47" spans="2:57" x14ac:dyDescent="0.15">
      <c r="F47" s="21">
        <v>45</v>
      </c>
      <c r="G47" s="21">
        <v>21.627416997969519</v>
      </c>
      <c r="I47" s="21">
        <v>45</v>
      </c>
      <c r="J47" s="21">
        <v>281.05</v>
      </c>
      <c r="K47" s="18">
        <v>1.1000000000000001</v>
      </c>
      <c r="N47" s="26">
        <f>[1]节奏总纲!N47</f>
        <v>54</v>
      </c>
      <c r="O47" s="21">
        <v>44</v>
      </c>
      <c r="P47" s="21">
        <f>[1]节奏总纲!P47</f>
        <v>20.112126572366307</v>
      </c>
      <c r="Q47" s="21">
        <f>[1]节奏总纲!Q47</f>
        <v>17.573976198933678</v>
      </c>
      <c r="R47" s="21">
        <f>[1]节奏总纲!R47</f>
        <v>14.520955385248474</v>
      </c>
      <c r="S47" s="21">
        <f>[1]节奏总纲!S47</f>
        <v>10.768032566844921</v>
      </c>
      <c r="T47" s="21">
        <f>[1]节奏总纲!T47</f>
        <v>6.0537500982822579</v>
      </c>
      <c r="U47" s="27"/>
      <c r="V47" s="21">
        <v>44</v>
      </c>
      <c r="W47" s="21">
        <f>[1]节奏总纲!W47</f>
        <v>1.4138159588476462</v>
      </c>
      <c r="X47" s="21">
        <f>[1]节奏总纲!X47</f>
        <v>1.2353923848410737</v>
      </c>
      <c r="Y47" s="21">
        <f>[1]节奏总纲!Y47</f>
        <v>1.0114259669812409</v>
      </c>
      <c r="Z47" s="21">
        <f>[1]节奏总纲!Z47</f>
        <v>0.74760790906026919</v>
      </c>
      <c r="AA47" s="21">
        <f>[1]节奏总纲!AA47</f>
        <v>0.41433961724503021</v>
      </c>
      <c r="AC47" s="21">
        <v>44</v>
      </c>
      <c r="AD47" s="21">
        <f>[1]节奏总纲!AD47</f>
        <v>54.915912490558505</v>
      </c>
      <c r="AE47" s="21">
        <f>[1]节奏总纲!AE47</f>
        <v>56.897751416955018</v>
      </c>
      <c r="AF47" s="21">
        <f>[1]节奏总纲!AF47</f>
        <v>59.760009178384806</v>
      </c>
      <c r="AG47" s="21">
        <f>[1]节奏总纲!AG47</f>
        <v>64.08760696397195</v>
      </c>
      <c r="AH47" s="21">
        <f>[1]节奏总纲!AH47</f>
        <v>72.705544177223089</v>
      </c>
      <c r="AL47" s="21">
        <v>44</v>
      </c>
      <c r="AM47" s="21">
        <f>[1]节奏总纲!AM47</f>
        <v>242.37342918215046</v>
      </c>
      <c r="AN47" s="21">
        <f>[1]节奏总纲!AN47</f>
        <v>193.89874334572039</v>
      </c>
      <c r="AO47" s="21">
        <f>[1]节奏总纲!AO47</f>
        <v>145.42405750929026</v>
      </c>
      <c r="AP47" s="21">
        <f>[1]节奏总纲!AP47</f>
        <v>96.949371672860195</v>
      </c>
      <c r="AQ47" s="21">
        <f>[1]节奏总纲!AQ47</f>
        <v>48.474685836430098</v>
      </c>
      <c r="AS47" s="21">
        <v>44</v>
      </c>
      <c r="AT47" s="21">
        <f>[1]节奏总纲!AT47</f>
        <v>33.380771027753042</v>
      </c>
      <c r="AU47" s="21">
        <f>[1]节奏总纲!AU47</f>
        <v>26.704616822202439</v>
      </c>
      <c r="AV47" s="21">
        <f>[1]节奏总纲!AV47</f>
        <v>20.028462616651822</v>
      </c>
      <c r="AW47" s="21">
        <f>[1]节奏总纲!AW47</f>
        <v>13.35230841110122</v>
      </c>
      <c r="AX47" s="21">
        <f>[1]节奏总纲!AX47</f>
        <v>6.6761542055506098</v>
      </c>
      <c r="AY47" s="21"/>
      <c r="AZ47" s="21">
        <v>44</v>
      </c>
      <c r="BA47" s="21">
        <f>[1]节奏总纲!BA47</f>
        <v>32.696472110135275</v>
      </c>
      <c r="BB47" s="21">
        <f>[1]节奏总纲!BB47</f>
        <v>34.09469189131628</v>
      </c>
      <c r="BC47" s="21">
        <f>[1]节奏总纲!BC47</f>
        <v>35.95964341599278</v>
      </c>
      <c r="BD47" s="21">
        <f>[1]节奏总纲!BD47</f>
        <v>38.663818688865533</v>
      </c>
      <c r="BE47" s="21">
        <f>[1]节奏总纲!BE47</f>
        <v>43.329750976586219</v>
      </c>
    </row>
    <row r="48" spans="2:57" x14ac:dyDescent="0.15">
      <c r="F48" s="21">
        <v>46</v>
      </c>
      <c r="G48" s="21">
        <v>23.251465064166357</v>
      </c>
      <c r="I48" s="21">
        <v>46</v>
      </c>
      <c r="J48" s="21">
        <v>325.85912455595718</v>
      </c>
      <c r="K48" s="18">
        <v>1.1100000000000001</v>
      </c>
      <c r="N48" s="26">
        <f>[1]节奏总纲!N48</f>
        <v>55</v>
      </c>
      <c r="O48" s="21">
        <v>45</v>
      </c>
      <c r="P48" s="21">
        <f>[1]节奏总纲!P48</f>
        <v>21.627416997969519</v>
      </c>
      <c r="Q48" s="21">
        <f>[1]节奏总纲!Q48</f>
        <v>18.900199714525563</v>
      </c>
      <c r="R48" s="21">
        <f>[1]节奏总纲!R48</f>
        <v>15.604181364035009</v>
      </c>
      <c r="S48" s="21">
        <f>[1]节奏总纲!S48</f>
        <v>11.572830835613489</v>
      </c>
      <c r="T48" s="21">
        <f>[1]节奏总纲!T48</f>
        <v>6.49903880788984</v>
      </c>
      <c r="U48" s="27"/>
      <c r="V48" s="21">
        <v>45</v>
      </c>
      <c r="W48" s="21">
        <f>[1]节奏总纲!W48</f>
        <v>1.5152904256032116</v>
      </c>
      <c r="X48" s="21">
        <f>[1]节奏总纲!X48</f>
        <v>1.3262235155918844</v>
      </c>
      <c r="Y48" s="21">
        <f>[1]节奏总纲!Y48</f>
        <v>1.083225978786535</v>
      </c>
      <c r="Z48" s="21">
        <f>[1]节奏总纲!Z48</f>
        <v>0.80479826876856819</v>
      </c>
      <c r="AA48" s="21">
        <f>[1]节奏总纲!AA48</f>
        <v>0.44528870960758216</v>
      </c>
      <c r="AC48" s="21">
        <v>45</v>
      </c>
      <c r="AD48" s="21">
        <f>[1]节奏总纲!AD48</f>
        <v>55.229416240679981</v>
      </c>
      <c r="AE48" s="21">
        <f>[1]节奏总纲!AE48</f>
        <v>57.218966664386244</v>
      </c>
      <c r="AF48" s="21">
        <f>[1]节奏总纲!AF48</f>
        <v>60.086674688654931</v>
      </c>
      <c r="AG48" s="21">
        <f>[1]节奏总纲!AG48</f>
        <v>64.399012521055653</v>
      </c>
      <c r="AH48" s="21">
        <f>[1]节奏总纲!AH48</f>
        <v>73.037155126421851</v>
      </c>
      <c r="AL48" s="21">
        <v>45</v>
      </c>
      <c r="AM48" s="21">
        <f>[1]节奏总纲!AM48</f>
        <v>281.05</v>
      </c>
      <c r="AN48" s="21">
        <f>[1]节奏总纲!AN48</f>
        <v>224.84000000000003</v>
      </c>
      <c r="AO48" s="21">
        <f>[1]节奏总纲!AO48</f>
        <v>168.63</v>
      </c>
      <c r="AP48" s="21">
        <f>[1]节奏总纲!AP48</f>
        <v>112.42000000000002</v>
      </c>
      <c r="AQ48" s="21">
        <f>[1]节奏总纲!AQ48</f>
        <v>56.210000000000008</v>
      </c>
      <c r="AS48" s="21">
        <v>45</v>
      </c>
      <c r="AT48" s="21">
        <f>[1]节奏总纲!AT48</f>
        <v>38.676570817849552</v>
      </c>
      <c r="AU48" s="21">
        <f>[1]节奏总纲!AU48</f>
        <v>30.941256654279641</v>
      </c>
      <c r="AV48" s="21">
        <f>[1]节奏总纲!AV48</f>
        <v>23.205942490709731</v>
      </c>
      <c r="AW48" s="21">
        <f>[1]节奏总纲!AW48</f>
        <v>15.470628327139821</v>
      </c>
      <c r="AX48" s="21">
        <f>[1]节奏总纲!AX48</f>
        <v>7.7353141635699103</v>
      </c>
      <c r="AY48" s="21"/>
      <c r="AZ48" s="21">
        <v>45</v>
      </c>
      <c r="BA48" s="21">
        <f>[1]节奏总纲!BA48</f>
        <v>32.842201900114915</v>
      </c>
      <c r="BB48" s="21">
        <f>[1]节奏总纲!BB48</f>
        <v>34.227825436710944</v>
      </c>
      <c r="BC48" s="21">
        <f>[1]节奏总纲!BC48</f>
        <v>36.105477566569242</v>
      </c>
      <c r="BD48" s="21">
        <f>[1]节奏总纲!BD48</f>
        <v>38.82039500446033</v>
      </c>
      <c r="BE48" s="21">
        <f>[1]节奏总纲!BE48</f>
        <v>43.479537810324807</v>
      </c>
    </row>
    <row r="49" spans="6:57" x14ac:dyDescent="0.15">
      <c r="F49" s="21">
        <v>47</v>
      </c>
      <c r="G49" s="21">
        <v>24.992076683399535</v>
      </c>
      <c r="I49" s="21">
        <v>47</v>
      </c>
      <c r="J49" s="21">
        <v>377.76930817680426</v>
      </c>
      <c r="K49" s="18">
        <v>1.1200000000000001</v>
      </c>
      <c r="N49" s="26">
        <f>[1]节奏总纲!N49</f>
        <v>56</v>
      </c>
      <c r="O49" s="21">
        <v>46</v>
      </c>
      <c r="P49" s="21">
        <f>[1]节奏总纲!P49</f>
        <v>23.251465064166357</v>
      </c>
      <c r="Q49" s="21">
        <f>[1]节奏总纲!Q49</f>
        <v>20.310154733549314</v>
      </c>
      <c r="R49" s="21">
        <f>[1]节奏总纲!R49</f>
        <v>16.757330871744692</v>
      </c>
      <c r="S49" s="21">
        <f>[1]节奏总纲!S49</f>
        <v>12.425582930290501</v>
      </c>
      <c r="T49" s="21">
        <f>[1]节奏总纲!T49</f>
        <v>6.9545132006921566</v>
      </c>
      <c r="U49" s="27"/>
      <c r="V49" s="21">
        <v>46</v>
      </c>
      <c r="W49" s="21">
        <f>[1]节奏总纲!W49</f>
        <v>1.6240480661968384</v>
      </c>
      <c r="X49" s="21">
        <f>[1]节奏总纲!X49</f>
        <v>1.4099550190237515</v>
      </c>
      <c r="Y49" s="21">
        <f>[1]节奏总纲!Y49</f>
        <v>1.1531495077096832</v>
      </c>
      <c r="Z49" s="21">
        <f>[1]节奏总纲!Z49</f>
        <v>0.85275209467701174</v>
      </c>
      <c r="AA49" s="21">
        <f>[1]节奏总纲!AA49</f>
        <v>0.45547439280231661</v>
      </c>
      <c r="AC49" s="21">
        <v>46</v>
      </c>
      <c r="AD49" s="21">
        <f>[1]节奏总纲!AD49</f>
        <v>55.537288901845052</v>
      </c>
      <c r="AE49" s="21">
        <f>[1]节奏总纲!AE49</f>
        <v>57.53646043868428</v>
      </c>
      <c r="AF49" s="21">
        <f>[1]节奏总纲!AF49</f>
        <v>60.393379177879737</v>
      </c>
      <c r="AG49" s="21">
        <f>[1]节奏总纲!AG49</f>
        <v>64.710418078139355</v>
      </c>
      <c r="AH49" s="21">
        <f>[1]节奏总纲!AH49</f>
        <v>73.340924940105893</v>
      </c>
      <c r="AL49" s="21">
        <v>46</v>
      </c>
      <c r="AM49" s="21">
        <f>[1]节奏总纲!AM49</f>
        <v>325.85912455595718</v>
      </c>
      <c r="AN49" s="21">
        <f>[1]节奏总纲!AN49</f>
        <v>260.68729964476574</v>
      </c>
      <c r="AO49" s="21">
        <f>[1]节奏总纲!AO49</f>
        <v>195.51547473357431</v>
      </c>
      <c r="AP49" s="21">
        <f>[1]节奏总纲!AP49</f>
        <v>130.34364982238287</v>
      </c>
      <c r="AQ49" s="21">
        <f>[1]节奏总纲!AQ49</f>
        <v>65.171824911191436</v>
      </c>
      <c r="AS49" s="21">
        <v>46</v>
      </c>
      <c r="AT49" s="21">
        <f>[1]节奏总纲!AT49</f>
        <v>44.809124555957169</v>
      </c>
      <c r="AU49" s="21">
        <f>[1]节奏总纲!AU49</f>
        <v>35.847299644765712</v>
      </c>
      <c r="AV49" s="21">
        <f>[1]节奏总纲!AV49</f>
        <v>26.885474733574313</v>
      </c>
      <c r="AW49" s="21">
        <f>[1]节奏总纲!AW49</f>
        <v>17.923649822382856</v>
      </c>
      <c r="AX49" s="21">
        <f>[1]节奏总纲!AX49</f>
        <v>8.9618249111914281</v>
      </c>
      <c r="AY49" s="21"/>
      <c r="AZ49" s="21">
        <v>46</v>
      </c>
      <c r="BA49" s="21">
        <f>[1]节奏总纲!BA49</f>
        <v>32.987931690094548</v>
      </c>
      <c r="BB49" s="21">
        <f>[1]节奏总纲!BB49</f>
        <v>34.360958982105608</v>
      </c>
      <c r="BC49" s="21">
        <f>[1]节奏总纲!BC49</f>
        <v>36.245762114295424</v>
      </c>
      <c r="BD49" s="21">
        <f>[1]节奏总纲!BD49</f>
        <v>38.976971320055128</v>
      </c>
      <c r="BE49" s="21">
        <f>[1]节奏总纲!BE49</f>
        <v>43.629324644063402</v>
      </c>
    </row>
    <row r="50" spans="6:57" x14ac:dyDescent="0.15">
      <c r="F50" s="21">
        <v>48</v>
      </c>
      <c r="G50" s="21">
        <v>26.857618025475972</v>
      </c>
      <c r="I50" s="21">
        <v>48</v>
      </c>
      <c r="J50" s="21">
        <v>437.90148836012787</v>
      </c>
      <c r="K50" s="18">
        <v>1.1299999999999999</v>
      </c>
      <c r="N50" s="26">
        <f>[1]节奏总纲!N50</f>
        <v>57</v>
      </c>
      <c r="O50" s="21">
        <v>47</v>
      </c>
      <c r="P50" s="21">
        <f>[1]节奏总纲!P50</f>
        <v>24.992076683399535</v>
      </c>
      <c r="Q50" s="21">
        <f>[1]节奏总纲!Q50</f>
        <v>21.823081359944474</v>
      </c>
      <c r="R50" s="21">
        <f>[1]节奏总纲!R50</f>
        <v>17.996794419716004</v>
      </c>
      <c r="S50" s="21">
        <f>[1]节奏总纲!S50</f>
        <v>13.335772118261991</v>
      </c>
      <c r="T50" s="21">
        <f>[1]节奏总纲!T50</f>
        <v>7.4426404363163821</v>
      </c>
      <c r="U50" s="27"/>
      <c r="V50" s="21">
        <v>47</v>
      </c>
      <c r="W50" s="21">
        <f>[1]节奏总纲!W50</f>
        <v>1.740611619233178</v>
      </c>
      <c r="X50" s="21">
        <f>[1]节奏总纲!X50</f>
        <v>1.51292662639516</v>
      </c>
      <c r="Y50" s="21">
        <f>[1]节奏总纲!Y50</f>
        <v>1.2394635479713116</v>
      </c>
      <c r="Z50" s="21">
        <f>[1]节奏总纲!Z50</f>
        <v>0.91018918797148984</v>
      </c>
      <c r="AA50" s="21">
        <f>[1]节奏总纲!AA50</f>
        <v>0.48812723562422544</v>
      </c>
      <c r="AC50" s="21">
        <v>47</v>
      </c>
      <c r="AD50" s="21">
        <f>[1]节奏总纲!AD50</f>
        <v>55.845161563010116</v>
      </c>
      <c r="AE50" s="21">
        <f>[1]节奏总纲!AE50</f>
        <v>57.853954212982316</v>
      </c>
      <c r="AF50" s="21">
        <f>[1]节奏总纲!AF50</f>
        <v>60.700083667104536</v>
      </c>
      <c r="AG50" s="21">
        <f>[1]节奏总纲!AG50</f>
        <v>65.021675833900701</v>
      </c>
      <c r="AH50" s="21">
        <f>[1]节奏总纲!AH50</f>
        <v>73.644694753789935</v>
      </c>
      <c r="AL50" s="21">
        <v>47</v>
      </c>
      <c r="AM50" s="21">
        <f>[1]节奏总纲!AM50</f>
        <v>377.76930817680426</v>
      </c>
      <c r="AN50" s="21">
        <f>[1]节奏总纲!AN50</f>
        <v>302.21544654144344</v>
      </c>
      <c r="AO50" s="21">
        <f>[1]节奏总纲!AO50</f>
        <v>226.66158490608254</v>
      </c>
      <c r="AP50" s="21">
        <f>[1]节奏总纲!AP50</f>
        <v>151.10772327072172</v>
      </c>
      <c r="AQ50" s="21">
        <f>[1]节奏总纲!AQ50</f>
        <v>75.55386163536086</v>
      </c>
      <c r="AS50" s="21">
        <v>47</v>
      </c>
      <c r="AT50" s="21">
        <f>[1]节奏总纲!AT50</f>
        <v>51.910183620847079</v>
      </c>
      <c r="AU50" s="21">
        <f>[1]节奏总纲!AU50</f>
        <v>41.528146896677697</v>
      </c>
      <c r="AV50" s="21">
        <f>[1]节奏总纲!AV50</f>
        <v>31.14611017250823</v>
      </c>
      <c r="AW50" s="21">
        <f>[1]节奏总纲!AW50</f>
        <v>20.764073448338848</v>
      </c>
      <c r="AX50" s="21">
        <f>[1]节奏总纲!AX50</f>
        <v>10.382036724169424</v>
      </c>
      <c r="AY50" s="21"/>
      <c r="AZ50" s="21">
        <v>47</v>
      </c>
      <c r="BA50" s="21">
        <f>[1]节奏总纲!BA50</f>
        <v>33.114246829746719</v>
      </c>
      <c r="BB50" s="21">
        <f>[1]节奏总纲!BB50</f>
        <v>34.494092527500278</v>
      </c>
      <c r="BC50" s="21">
        <f>[1]节奏总纲!BC50</f>
        <v>36.386046662021599</v>
      </c>
      <c r="BD50" s="21">
        <f>[1]节奏总纲!BD50</f>
        <v>39.115214427575864</v>
      </c>
      <c r="BE50" s="21">
        <f>[1]节奏总纲!BE50</f>
        <v>43.77911147780199</v>
      </c>
    </row>
    <row r="51" spans="6:57" x14ac:dyDescent="0.15">
      <c r="F51" s="21">
        <v>49</v>
      </c>
      <c r="G51" s="21">
        <v>28.857055729177837</v>
      </c>
      <c r="I51" s="21">
        <v>49</v>
      </c>
      <c r="J51" s="21">
        <v>507.55295278468168</v>
      </c>
      <c r="K51" s="18">
        <v>1.1399999999999999</v>
      </c>
      <c r="N51" s="26">
        <f>[1]节奏总纲!N51</f>
        <v>58</v>
      </c>
      <c r="O51" s="21">
        <v>48</v>
      </c>
      <c r="P51" s="21">
        <f>[1]节奏总纲!P51</f>
        <v>26.857618025475972</v>
      </c>
      <c r="Q51" s="21">
        <f>[1]节奏总纲!Q51</f>
        <v>23.425214441820142</v>
      </c>
      <c r="R51" s="21">
        <f>[1]节奏总纲!R51</f>
        <v>19.329427692935056</v>
      </c>
      <c r="S51" s="21">
        <f>[1]节奏总纲!S51</f>
        <v>14.269452456935383</v>
      </c>
      <c r="T51" s="21">
        <f>[1]节奏总纲!T51</f>
        <v>7.9605979827510778</v>
      </c>
      <c r="U51" s="27"/>
      <c r="V51" s="21">
        <v>48</v>
      </c>
      <c r="W51" s="21">
        <f>[1]节奏总纲!W51</f>
        <v>1.8655413420764368</v>
      </c>
      <c r="X51" s="21">
        <f>[1]节奏总纲!X51</f>
        <v>1.6021330818756674</v>
      </c>
      <c r="Y51" s="21">
        <f>[1]节奏总纲!Y51</f>
        <v>1.3326332732190522</v>
      </c>
      <c r="Z51" s="21">
        <f>[1]节奏总纲!Z51</f>
        <v>0.93368033867339228</v>
      </c>
      <c r="AA51" s="21">
        <f>[1]节奏总纲!AA51</f>
        <v>0.51795754643469571</v>
      </c>
      <c r="AC51" s="21">
        <v>48</v>
      </c>
      <c r="AD51" s="21">
        <f>[1]节奏总纲!AD51</f>
        <v>56.142785979989682</v>
      </c>
      <c r="AE51" s="21">
        <f>[1]节奏总纲!AE51</f>
        <v>58.155157256402767</v>
      </c>
      <c r="AF51" s="21">
        <f>[1]节奏总纲!AF51</f>
        <v>61.006268532239034</v>
      </c>
      <c r="AG51" s="21">
        <f>[1]节奏总纲!AG51</f>
        <v>65.330972386106993</v>
      </c>
      <c r="AH51" s="21">
        <f>[1]节奏总纲!AH51</f>
        <v>73.948464567473962</v>
      </c>
      <c r="AL51" s="21">
        <v>48</v>
      </c>
      <c r="AM51" s="21">
        <f>[1]节奏总纲!AM51</f>
        <v>437.90148836012787</v>
      </c>
      <c r="AN51" s="21">
        <f>[1]节奏总纲!AN51</f>
        <v>350.32119068810232</v>
      </c>
      <c r="AO51" s="21">
        <f>[1]节奏总纲!AO51</f>
        <v>262.74089301607671</v>
      </c>
      <c r="AP51" s="21">
        <f>[1]节奏总纲!AP51</f>
        <v>175.16059534405116</v>
      </c>
      <c r="AQ51" s="21">
        <f>[1]节奏总纲!AQ51</f>
        <v>87.58029767202558</v>
      </c>
      <c r="AS51" s="21">
        <v>48</v>
      </c>
      <c r="AT51" s="21">
        <f>[1]节奏总纲!AT51</f>
        <v>60.132180183323612</v>
      </c>
      <c r="AU51" s="21">
        <f>[1]节奏总纲!AU51</f>
        <v>48.105744146658878</v>
      </c>
      <c r="AV51" s="21">
        <f>[1]节奏总纲!AV51</f>
        <v>36.079308109994173</v>
      </c>
      <c r="AW51" s="21">
        <f>[1]节奏总纲!AW51</f>
        <v>24.052872073329439</v>
      </c>
      <c r="AX51" s="21">
        <f>[1]节奏总纲!AX51</f>
        <v>12.02643603666472</v>
      </c>
      <c r="AY51" s="21"/>
      <c r="AZ51" s="21">
        <v>48</v>
      </c>
      <c r="BA51" s="21">
        <f>[1]节奏总纲!BA51</f>
        <v>33.238809018460984</v>
      </c>
      <c r="BB51" s="21">
        <f>[1]节奏总纲!BB51</f>
        <v>34.627226072894942</v>
      </c>
      <c r="BC51" s="21">
        <f>[1]节奏总纲!BC51</f>
        <v>36.526331209747774</v>
      </c>
      <c r="BD51" s="21">
        <f>[1]节奏总纲!BD51</f>
        <v>39.250296194358178</v>
      </c>
      <c r="BE51" s="21">
        <f>[1]节奏总纲!BE51</f>
        <v>43.928898311540578</v>
      </c>
    </row>
    <row r="52" spans="6:57" x14ac:dyDescent="0.15">
      <c r="F52" s="21">
        <v>50</v>
      </c>
      <c r="G52" s="21">
        <v>31</v>
      </c>
      <c r="I52" s="21">
        <v>50</v>
      </c>
      <c r="J52" s="21">
        <v>588.22499999999991</v>
      </c>
      <c r="K52" s="18">
        <v>1.1499999999999999</v>
      </c>
      <c r="N52" s="26">
        <f>[1]节奏总纲!N52</f>
        <v>59</v>
      </c>
      <c r="O52" s="21">
        <v>49</v>
      </c>
      <c r="P52" s="21">
        <f>[1]节奏总纲!P52</f>
        <v>28.857055729177837</v>
      </c>
      <c r="Q52" s="21">
        <f>[1]节奏总纲!Q52</f>
        <v>25.166238301415991</v>
      </c>
      <c r="R52" s="21">
        <f>[1]节奏总纲!R52</f>
        <v>20.719366013549685</v>
      </c>
      <c r="S52" s="21">
        <f>[1]节奏总纲!S52</f>
        <v>15.268268186307994</v>
      </c>
      <c r="T52" s="21">
        <f>[1]节奏总纲!T52</f>
        <v>8.5474599069824766</v>
      </c>
      <c r="U52" s="27"/>
      <c r="V52" s="21">
        <v>49</v>
      </c>
      <c r="W52" s="21">
        <f>[1]节奏总纲!W52</f>
        <v>1.9994377037018651</v>
      </c>
      <c r="X52" s="21">
        <f>[1]节奏总纲!X52</f>
        <v>1.7410238595958489</v>
      </c>
      <c r="Y52" s="21">
        <f>[1]节奏总纲!Y52</f>
        <v>1.389938320614629</v>
      </c>
      <c r="Z52" s="21">
        <f>[1]节奏总纲!Z52</f>
        <v>0.99881572937261076</v>
      </c>
      <c r="AA52" s="21">
        <f>[1]节奏总纲!AA52</f>
        <v>0.58686192423139882</v>
      </c>
      <c r="AC52" s="21">
        <v>49</v>
      </c>
      <c r="AD52" s="21">
        <f>[1]节奏总纲!AD52</f>
        <v>56.430041330048923</v>
      </c>
      <c r="AE52" s="21">
        <f>[1]节奏总纲!AE52</f>
        <v>58.442483247955479</v>
      </c>
      <c r="AF52" s="21">
        <f>[1]节奏总纲!AF52</f>
        <v>61.289495211956165</v>
      </c>
      <c r="AG52" s="21">
        <f>[1]节奏总纲!AG52</f>
        <v>65.640268938313284</v>
      </c>
      <c r="AH52" s="21">
        <f>[1]节奏总纲!AH52</f>
        <v>74.231558509323534</v>
      </c>
      <c r="AL52" s="21">
        <v>49</v>
      </c>
      <c r="AM52" s="21">
        <f>[1]节奏总纲!AM52</f>
        <v>507.55295278468168</v>
      </c>
      <c r="AN52" s="21">
        <f>[1]节奏总纲!AN52</f>
        <v>406.04236222774534</v>
      </c>
      <c r="AO52" s="21">
        <f>[1]节奏总纲!AO52</f>
        <v>304.53177167080901</v>
      </c>
      <c r="AP52" s="21">
        <f>[1]节奏总纲!AP52</f>
        <v>203.02118111387267</v>
      </c>
      <c r="AQ52" s="21">
        <f>[1]节奏总纲!AQ52</f>
        <v>101.51059055693634</v>
      </c>
      <c r="AS52" s="21">
        <v>49</v>
      </c>
      <c r="AT52" s="21">
        <f>[1]节奏总纲!AT52</f>
        <v>69.651464424553808</v>
      </c>
      <c r="AU52" s="21">
        <f>[1]节奏总纲!AU52</f>
        <v>55.721171539643024</v>
      </c>
      <c r="AV52" s="21">
        <f>[1]节奏总纲!AV52</f>
        <v>41.790878654732296</v>
      </c>
      <c r="AW52" s="21">
        <f>[1]节奏总纲!AW52</f>
        <v>27.860585769821512</v>
      </c>
      <c r="AX52" s="21">
        <f>[1]节奏总纲!AX52</f>
        <v>13.930292884910756</v>
      </c>
      <c r="AY52" s="21"/>
      <c r="AZ52" s="21">
        <v>49</v>
      </c>
      <c r="BA52" s="21">
        <f>[1]节奏总纲!BA52</f>
        <v>33.363371207175248</v>
      </c>
      <c r="BB52" s="21">
        <f>[1]节奏总纲!BB52</f>
        <v>34.760359618289606</v>
      </c>
      <c r="BC52" s="21">
        <f>[1]节奏总纲!BC52</f>
        <v>36.666615757473956</v>
      </c>
      <c r="BD52" s="21">
        <f>[1]节奏总纲!BD52</f>
        <v>39.385377961140485</v>
      </c>
      <c r="BE52" s="21">
        <f>[1]节奏总纲!BE52</f>
        <v>44.067911160744309</v>
      </c>
    </row>
    <row r="53" spans="6:57" x14ac:dyDescent="0.15">
      <c r="F53" s="21">
        <v>51</v>
      </c>
      <c r="G53" s="21">
        <v>33.296750801161366</v>
      </c>
      <c r="K53" s="18"/>
      <c r="N53" s="26">
        <f>[1]节奏总纲!N53</f>
        <v>60</v>
      </c>
      <c r="O53" s="21">
        <v>50</v>
      </c>
      <c r="P53" s="21">
        <f>[1]节奏总纲!P53</f>
        <v>31</v>
      </c>
      <c r="Q53" s="21">
        <f>[1]节奏总纲!Q53</f>
        <v>27.0351</v>
      </c>
      <c r="R53" s="21">
        <f>[1]节奏总纲!R53</f>
        <v>22.205300000000001</v>
      </c>
      <c r="S53" s="21">
        <f>[1]节奏总纲!S53</f>
        <v>16.386599999999998</v>
      </c>
      <c r="T53" s="21">
        <f>[1]节奏总纲!T53</f>
        <v>9.1883999999999997</v>
      </c>
      <c r="U53" s="27"/>
      <c r="V53" s="21">
        <v>50</v>
      </c>
      <c r="W53" s="21">
        <f>[1]节奏总纲!W53</f>
        <v>2.1429442708221629</v>
      </c>
      <c r="X53" s="21">
        <f>[1]节奏总纲!X53</f>
        <v>1.8688616985840092</v>
      </c>
      <c r="Y53" s="21">
        <f>[1]节奏总纲!Y53</f>
        <v>1.4859339864503163</v>
      </c>
      <c r="Z53" s="21">
        <f>[1]节奏总纲!Z53</f>
        <v>1.118331813692004</v>
      </c>
      <c r="AA53" s="21">
        <f>[1]节奏总纲!AA53</f>
        <v>0.64094009301752308</v>
      </c>
      <c r="AC53" s="21">
        <v>50</v>
      </c>
      <c r="AD53" s="21">
        <f>[1]节奏总纲!AD53</f>
        <v>56.717296680108156</v>
      </c>
      <c r="AE53" s="21">
        <f>[1]节奏总纲!AE53</f>
        <v>58.729809239508185</v>
      </c>
      <c r="AF53" s="21">
        <f>[1]节奏总纲!AF53</f>
        <v>61.572721891673297</v>
      </c>
      <c r="AG53" s="21">
        <f>[1]节奏总纲!AG53</f>
        <v>65.949565490519575</v>
      </c>
      <c r="AH53" s="21">
        <f>[1]节奏总纲!AH53</f>
        <v>74.51042804689898</v>
      </c>
      <c r="AL53" s="21">
        <v>50</v>
      </c>
      <c r="AM53" s="21">
        <f>[1]节奏总纲!AM53</f>
        <v>588.22499999999991</v>
      </c>
      <c r="AN53" s="21">
        <f>[1]节奏总纲!AN53</f>
        <v>470.57999999999993</v>
      </c>
      <c r="AO53" s="21">
        <f>[1]节奏总纲!AO53</f>
        <v>352.93499999999995</v>
      </c>
      <c r="AP53" s="21">
        <f>[1]节奏总纲!AP53</f>
        <v>235.28999999999996</v>
      </c>
      <c r="AQ53" s="21">
        <f>[1]节奏总纲!AQ53</f>
        <v>117.64499999999998</v>
      </c>
      <c r="AS53" s="21">
        <v>50</v>
      </c>
      <c r="AT53" s="21">
        <f>[1]节奏总纲!AT53</f>
        <v>80.67204721531823</v>
      </c>
      <c r="AU53" s="21">
        <f>[1]节奏总纲!AU53</f>
        <v>64.537637772254584</v>
      </c>
      <c r="AV53" s="21">
        <f>[1]节奏总纲!AV53</f>
        <v>48.403228329190938</v>
      </c>
      <c r="AW53" s="21">
        <f>[1]节奏总纲!AW53</f>
        <v>32.268818886127292</v>
      </c>
      <c r="AX53" s="21">
        <f>[1]节奏总纲!AX53</f>
        <v>16.134409443063646</v>
      </c>
      <c r="AY53" s="21"/>
      <c r="AZ53" s="21">
        <v>50</v>
      </c>
      <c r="BA53" s="21">
        <f>[1]节奏总纲!BA53</f>
        <v>33.487933395889513</v>
      </c>
      <c r="BB53" s="21">
        <f>[1]节奏总纲!BB53</f>
        <v>34.893493163684269</v>
      </c>
      <c r="BC53" s="21">
        <f>[1]节奏总纲!BC53</f>
        <v>36.806900305200131</v>
      </c>
      <c r="BD53" s="21">
        <f>[1]节奏总纲!BD53</f>
        <v>39.520459727922798</v>
      </c>
      <c r="BE53" s="21">
        <f>[1]节奏总纲!BE53</f>
        <v>44.197188392263818</v>
      </c>
    </row>
    <row r="54" spans="6:57" x14ac:dyDescent="0.15">
      <c r="F54" s="21">
        <v>52</v>
      </c>
      <c r="G54" s="21">
        <v>35.758347359905123</v>
      </c>
      <c r="K54" s="18"/>
      <c r="N54" s="26">
        <f>[1]节奏总纲!N54</f>
        <v>61</v>
      </c>
      <c r="O54" s="21">
        <v>51</v>
      </c>
      <c r="P54" s="21">
        <f>[1]节奏总纲!P54</f>
        <v>33.296750801161366</v>
      </c>
      <c r="Q54" s="21">
        <f>[1]节奏总纲!Q54</f>
        <v>28.928217096048996</v>
      </c>
      <c r="R54" s="21">
        <f>[1]节奏总纲!R54</f>
        <v>23.783869097269566</v>
      </c>
      <c r="S54" s="21">
        <f>[1]节奏总纲!S54</f>
        <v>17.587343773173433</v>
      </c>
      <c r="T54" s="21">
        <f>[1]节奏总纲!T54</f>
        <v>9.8458492119034169</v>
      </c>
      <c r="U54" s="27"/>
      <c r="V54" s="21">
        <v>51</v>
      </c>
      <c r="W54" s="21">
        <f>[1]节奏总纲!W54</f>
        <v>2.296750801161366</v>
      </c>
      <c r="X54" s="21">
        <f>[1]节奏总纲!X54</f>
        <v>1.8931170960489965</v>
      </c>
      <c r="Y54" s="21">
        <f>[1]节奏总纲!Y54</f>
        <v>1.5785690972695647</v>
      </c>
      <c r="Z54" s="21">
        <f>[1]节奏总纲!Z54</f>
        <v>1.2007437731734356</v>
      </c>
      <c r="AA54" s="21">
        <f>[1]节奏总纲!AA54</f>
        <v>0.65744921190341721</v>
      </c>
      <c r="AC54" s="21">
        <v>51</v>
      </c>
      <c r="AD54" s="21">
        <f>[1]节奏总纲!AD54</f>
        <v>57.004247194324648</v>
      </c>
      <c r="AE54" s="21">
        <f>[1]节奏总纲!AE54</f>
        <v>59.016342740868758</v>
      </c>
      <c r="AF54" s="21">
        <f>[1]节奏总纲!AF54</f>
        <v>61.855948571390428</v>
      </c>
      <c r="AG54" s="21">
        <f>[1]节奏总纲!AG54</f>
        <v>66.241691764589476</v>
      </c>
      <c r="AH54" s="21">
        <f>[1]节奏总纲!AH54</f>
        <v>74.789297584474426</v>
      </c>
      <c r="AL54" s="43">
        <v>51</v>
      </c>
      <c r="AM54" s="43">
        <f>[1]节奏总纲!AM54</f>
        <v>681.65492699983838</v>
      </c>
      <c r="AN54" s="43">
        <f>[1]节奏总纲!AN54</f>
        <v>545.32394159987075</v>
      </c>
      <c r="AO54" s="43">
        <f>[1]节奏总纲!AO54</f>
        <v>408.99295619990301</v>
      </c>
      <c r="AP54" s="43">
        <f>[1]节奏总纲!AP54</f>
        <v>272.66197079993537</v>
      </c>
      <c r="AQ54" s="43">
        <f>[1]节奏总纲!AQ54</f>
        <v>136.33098539996769</v>
      </c>
      <c r="AS54" s="43">
        <v>51</v>
      </c>
      <c r="AT54" s="43">
        <f>[1]节奏总纲!AT54</f>
        <v>93.429926999838472</v>
      </c>
      <c r="AU54" s="43">
        <f>[1]节奏总纲!AU54</f>
        <v>74.743941599870823</v>
      </c>
      <c r="AV54" s="43">
        <f>[1]节奏总纲!AV54</f>
        <v>56.05795619990306</v>
      </c>
      <c r="AW54" s="43">
        <f>[1]节奏总纲!AW54</f>
        <v>37.371970799935411</v>
      </c>
      <c r="AX54" s="43">
        <f>[1]节奏总纲!AX54</f>
        <v>18.685985399967706</v>
      </c>
      <c r="AZ54" s="21">
        <v>51</v>
      </c>
      <c r="BA54" s="21">
        <v>33.612495584603778</v>
      </c>
      <c r="BB54" s="21">
        <v>35.024397713965918</v>
      </c>
      <c r="BC54" s="21">
        <v>36.947184852926306</v>
      </c>
      <c r="BD54" s="21">
        <v>39.655541494705105</v>
      </c>
      <c r="BE54" s="21">
        <v>44.326465623783335</v>
      </c>
    </row>
    <row r="55" spans="6:57" x14ac:dyDescent="0.15">
      <c r="F55" s="21">
        <v>53</v>
      </c>
      <c r="G55" s="21">
        <v>38.396621227037308</v>
      </c>
      <c r="K55" s="18"/>
      <c r="N55" s="26">
        <f>[1]节奏总纲!N55</f>
        <v>62</v>
      </c>
      <c r="O55" s="21">
        <v>52</v>
      </c>
      <c r="P55" s="21">
        <f>[1]节奏总纲!P55</f>
        <v>35.758347359905123</v>
      </c>
      <c r="Q55" s="21">
        <f>[1]节奏总纲!Q55</f>
        <v>31.081155525229534</v>
      </c>
      <c r="R55" s="21">
        <f>[1]节奏总纲!R55</f>
        <v>25.606552544428059</v>
      </c>
      <c r="S55" s="21">
        <f>[1]节奏总纲!S55</f>
        <v>18.930469092333773</v>
      </c>
      <c r="T55" s="21">
        <f>[1]节奏总纲!T55</f>
        <v>10.570167479587953</v>
      </c>
      <c r="U55" s="27"/>
      <c r="V55" s="21">
        <v>52</v>
      </c>
      <c r="W55" s="21">
        <f>[1]节奏总纲!W55</f>
        <v>2.4615965587437572</v>
      </c>
      <c r="X55" s="21">
        <f>[1]节奏总纲!X55</f>
        <v>2.1529384291805371</v>
      </c>
      <c r="Y55" s="21">
        <f>[1]节奏总纲!Y55</f>
        <v>1.822683447158493</v>
      </c>
      <c r="Z55" s="21">
        <f>[1]节奏总纲!Z55</f>
        <v>1.3431253191603396</v>
      </c>
      <c r="AA55" s="21">
        <f>[1]节奏总纲!AA55</f>
        <v>0.72431826768453611</v>
      </c>
      <c r="AC55" s="21">
        <v>52</v>
      </c>
      <c r="AD55" s="21">
        <f>[1]节奏总纲!AD55</f>
        <v>57.27226591292537</v>
      </c>
      <c r="AE55" s="21">
        <f>[1]节奏总纲!AE55</f>
        <v>59.290380144164828</v>
      </c>
      <c r="AF55" s="21">
        <f>[1]节奏总纲!AF55</f>
        <v>62.130298748930763</v>
      </c>
      <c r="AG55" s="21">
        <f>[1]节奏总纲!AG55</f>
        <v>66.530472725664353</v>
      </c>
      <c r="AH55" s="21">
        <f>[1]节奏总纲!AH55</f>
        <v>75.062532510920803</v>
      </c>
      <c r="AL55" s="43">
        <v>52</v>
      </c>
      <c r="AM55" s="43">
        <f>[1]节奏总纲!AM55</f>
        <v>789.85301886939453</v>
      </c>
      <c r="AN55" s="43">
        <f>[1]节奏总纲!AN55</f>
        <v>631.88241509551563</v>
      </c>
      <c r="AO55" s="43">
        <f>[1]节奏总纲!AO55</f>
        <v>473.91181132163672</v>
      </c>
      <c r="AP55" s="43">
        <f>[1]节奏总纲!AP55</f>
        <v>315.94120754775781</v>
      </c>
      <c r="AQ55" s="43">
        <f>[1]节奏总纲!AQ55</f>
        <v>157.97060377387891</v>
      </c>
      <c r="AS55" s="43">
        <v>52</v>
      </c>
      <c r="AT55" s="43">
        <f>[1]节奏总纲!AT55</f>
        <v>108.19809186955615</v>
      </c>
      <c r="AU55" s="43">
        <f>[1]节奏总纲!AU55</f>
        <v>86.558473495644876</v>
      </c>
      <c r="AV55" s="43">
        <f>[1]节奏总纲!AV55</f>
        <v>64.918855121733714</v>
      </c>
      <c r="AW55" s="43">
        <f>[1]节奏总纲!AW55</f>
        <v>43.279236747822438</v>
      </c>
      <c r="AX55" s="43">
        <f>[1]节奏总纲!AX55</f>
        <v>21.639618373911219</v>
      </c>
      <c r="AZ55" s="21">
        <v>52</v>
      </c>
      <c r="BA55" s="21">
        <v>33.737057773318043</v>
      </c>
      <c r="BB55" s="21">
        <v>35.146386283795508</v>
      </c>
      <c r="BC55" s="21">
        <v>37.075448197698059</v>
      </c>
      <c r="BD55" s="21">
        <v>39.790623261487418</v>
      </c>
      <c r="BE55" s="21">
        <v>44.455742855302844</v>
      </c>
    </row>
    <row r="56" spans="6:57" x14ac:dyDescent="0.15">
      <c r="F56" s="21">
        <v>54</v>
      </c>
      <c r="G56" s="21">
        <v>41.224253144732614</v>
      </c>
      <c r="K56" s="18"/>
      <c r="N56" s="26">
        <f>[1]节奏总纲!N56</f>
        <v>63</v>
      </c>
      <c r="O56" s="21">
        <v>53</v>
      </c>
      <c r="P56" s="21">
        <f>[1]节奏总纲!P56</f>
        <v>38.396621227037308</v>
      </c>
      <c r="Q56" s="21">
        <f>[1]节奏总纲!Q56</f>
        <v>33.42809844025868</v>
      </c>
      <c r="R56" s="21">
        <f>[1]节奏总纲!R56</f>
        <v>27.5802930273809</v>
      </c>
      <c r="S56" s="21">
        <f>[1]节奏总纲!S56</f>
        <v>20.319491953348145</v>
      </c>
      <c r="T56" s="21">
        <f>[1]节奏总纲!T56</f>
        <v>11.338522248344118</v>
      </c>
      <c r="U56" s="27"/>
      <c r="V56" s="21">
        <v>53</v>
      </c>
      <c r="W56" s="21">
        <f>[1]节奏总纲!W56</f>
        <v>2.6382738671321846</v>
      </c>
      <c r="X56" s="21">
        <f>[1]节奏总纲!X56</f>
        <v>2.3469429150291461</v>
      </c>
      <c r="Y56" s="21">
        <f>[1]节奏总纲!Y56</f>
        <v>1.9737404829528415</v>
      </c>
      <c r="Z56" s="21">
        <f>[1]节奏总纲!Z56</f>
        <v>1.3890228610143716</v>
      </c>
      <c r="AA56" s="21">
        <f>[1]节奏总纲!AA56</f>
        <v>0.76835476875616493</v>
      </c>
      <c r="AC56" s="21">
        <v>53</v>
      </c>
      <c r="AD56" s="21">
        <f>[1]节奏总纲!AD56</f>
        <v>57.540284631526099</v>
      </c>
      <c r="AE56" s="21">
        <f>[1]节奏总纲!AE56</f>
        <v>59.564417547460899</v>
      </c>
      <c r="AF56" s="21">
        <f>[1]节奏总纲!AF56</f>
        <v>62.395461425033538</v>
      </c>
      <c r="AG56" s="21">
        <f>[1]节奏总纲!AG56</f>
        <v>66.819253686739231</v>
      </c>
      <c r="AH56" s="21">
        <f>[1]节奏总纲!AH56</f>
        <v>75.318351032805268</v>
      </c>
      <c r="AL56" s="43">
        <v>53</v>
      </c>
      <c r="AM56" s="43">
        <f>[1]节奏总纲!AM56</f>
        <v>915.14532082292135</v>
      </c>
      <c r="AN56" s="43">
        <f>[1]节奏总纲!AN56</f>
        <v>732.11625665833708</v>
      </c>
      <c r="AO56" s="43">
        <f>[1]节奏总纲!AO56</f>
        <v>549.08719249375281</v>
      </c>
      <c r="AP56" s="43">
        <f>[1]节奏总纲!AP56</f>
        <v>366.05812832916854</v>
      </c>
      <c r="AQ56" s="43">
        <f>[1]节奏总纲!AQ56</f>
        <v>183.02906416458427</v>
      </c>
      <c r="AS56" s="43">
        <v>53</v>
      </c>
      <c r="AT56" s="43">
        <f>[1]节奏总纲!AT56</f>
        <v>125.29230195352682</v>
      </c>
      <c r="AU56" s="43">
        <f>[1]节奏总纲!AU56</f>
        <v>100.23384156282145</v>
      </c>
      <c r="AV56" s="43">
        <f>[1]节奏总纲!AV56</f>
        <v>75.17538117211609</v>
      </c>
      <c r="AW56" s="43">
        <f>[1]节奏总纲!AW56</f>
        <v>50.116920781410727</v>
      </c>
      <c r="AX56" s="43">
        <f>[1]节奏总纲!AX56</f>
        <v>25.058460390705363</v>
      </c>
      <c r="AZ56" s="21">
        <v>53</v>
      </c>
      <c r="BA56" s="21">
        <v>33.861619962032307</v>
      </c>
      <c r="BB56" s="21">
        <v>35.268374853625097</v>
      </c>
      <c r="BC56" s="21">
        <v>37.196452985793947</v>
      </c>
      <c r="BD56" s="21">
        <v>39.925705028269732</v>
      </c>
      <c r="BE56" s="21">
        <v>44.585020086822361</v>
      </c>
    </row>
    <row r="57" spans="6:57" x14ac:dyDescent="0.15">
      <c r="F57" s="21">
        <v>55</v>
      </c>
      <c r="G57" s="21">
        <v>44.254833995939045</v>
      </c>
      <c r="K57" s="18"/>
      <c r="N57" s="26">
        <f>[1]节奏总纲!N57</f>
        <v>64</v>
      </c>
      <c r="O57" s="21">
        <v>54</v>
      </c>
      <c r="P57" s="21">
        <f>[1]节奏总纲!P57</f>
        <v>41.224253144732614</v>
      </c>
      <c r="Q57" s="21">
        <f>[1]节奏总纲!Q57</f>
        <v>35.947548742206841</v>
      </c>
      <c r="R57" s="21">
        <f>[1]节奏总纲!R57</f>
        <v>29.553667079458812</v>
      </c>
      <c r="S57" s="21">
        <f>[1]节奏总纲!S57</f>
        <v>21.762283235104348</v>
      </c>
      <c r="T57" s="21">
        <f>[1]节奏总纲!T57</f>
        <v>12.111685573922442</v>
      </c>
      <c r="U57" s="27"/>
      <c r="V57" s="21">
        <v>54</v>
      </c>
      <c r="W57" s="21">
        <f>[1]节奏总纲!W57</f>
        <v>2.8276319176953066</v>
      </c>
      <c r="X57" s="21">
        <f>[1]节奏总纲!X57</f>
        <v>2.5194503019481616</v>
      </c>
      <c r="Y57" s="21">
        <f>[1]节奏总纲!Y57</f>
        <v>1.9733740520779115</v>
      </c>
      <c r="Z57" s="21">
        <f>[1]节奏总纲!Z57</f>
        <v>1.4427912817562039</v>
      </c>
      <c r="AA57" s="21">
        <f>[1]节奏总纲!AA57</f>
        <v>0.77316332557832368</v>
      </c>
      <c r="AC57" s="21">
        <v>54</v>
      </c>
      <c r="AD57" s="21">
        <f>[1]节奏总纲!AD57</f>
        <v>57.80830335012682</v>
      </c>
      <c r="AE57" s="21">
        <f>[1]节奏总纲!AE57</f>
        <v>59.838454950756969</v>
      </c>
      <c r="AF57" s="21">
        <f>[1]节奏总纲!AF57</f>
        <v>62.660624101136307</v>
      </c>
      <c r="AG57" s="21">
        <f>[1]节奏总纲!AG57</f>
        <v>67.098789255934349</v>
      </c>
      <c r="AH57" s="21">
        <f>[1]节奏总纲!AH57</f>
        <v>75.574169554689718</v>
      </c>
      <c r="AL57" s="43">
        <v>54</v>
      </c>
      <c r="AM57" s="43">
        <f>[1]节奏总纲!AM57</f>
        <v>1060.2230944101252</v>
      </c>
      <c r="AN57" s="43">
        <f>[1]节奏总纲!AN57</f>
        <v>848.17847552810019</v>
      </c>
      <c r="AO57" s="43">
        <f>[1]节奏总纲!AO57</f>
        <v>636.13385664607506</v>
      </c>
      <c r="AP57" s="43">
        <f>[1]节奏总纲!AP57</f>
        <v>424.0892377640501</v>
      </c>
      <c r="AQ57" s="43">
        <f>[1]节奏总纲!AQ57</f>
        <v>212.04461888202505</v>
      </c>
      <c r="AS57" s="43">
        <v>54</v>
      </c>
      <c r="AT57" s="43">
        <f>[1]节奏总纲!AT57</f>
        <v>145.07777358720386</v>
      </c>
      <c r="AU57" s="43">
        <f>[1]节奏总纲!AU57</f>
        <v>116.06221886976311</v>
      </c>
      <c r="AV57" s="43">
        <f>[1]节奏总纲!AV57</f>
        <v>87.046664152322251</v>
      </c>
      <c r="AW57" s="43">
        <f>[1]节奏总纲!AW57</f>
        <v>58.031109434881557</v>
      </c>
      <c r="AX57" s="43">
        <f>[1]节奏总纲!AX57</f>
        <v>29.015554717440779</v>
      </c>
      <c r="AZ57" s="21">
        <v>54</v>
      </c>
      <c r="BA57" s="21">
        <v>33.986182150746572</v>
      </c>
      <c r="BB57" s="21">
        <v>35.390363423454687</v>
      </c>
      <c r="BC57" s="21">
        <v>37.317457773889828</v>
      </c>
      <c r="BD57" s="21">
        <v>40.052446592012309</v>
      </c>
      <c r="BE57" s="21">
        <v>44.71429731834187</v>
      </c>
    </row>
    <row r="58" spans="6:57" x14ac:dyDescent="0.15">
      <c r="F58" s="21">
        <v>56</v>
      </c>
      <c r="G58" s="21">
        <v>47.502930128332721</v>
      </c>
      <c r="K58" s="18"/>
      <c r="N58" s="26">
        <f>[1]节奏总纲!N58</f>
        <v>65</v>
      </c>
      <c r="O58" s="21">
        <v>55</v>
      </c>
      <c r="P58" s="21">
        <f>[1]节奏总纲!P58</f>
        <v>44.254833995939045</v>
      </c>
      <c r="Q58" s="21">
        <f>[1]节奏总纲!Q58</f>
        <v>38.53268396026413</v>
      </c>
      <c r="R58" s="21">
        <f>[1]节奏总纲!R58</f>
        <v>31.642206307096416</v>
      </c>
      <c r="S58" s="21">
        <f>[1]节奏总纲!S58</f>
        <v>23.282468165263531</v>
      </c>
      <c r="T58" s="21">
        <f>[1]节奏总纲!T58</f>
        <v>12.944538943812169</v>
      </c>
      <c r="U58" s="27"/>
      <c r="V58" s="21">
        <v>55</v>
      </c>
      <c r="W58" s="21">
        <f>[1]节奏总纲!W58</f>
        <v>3.0305808512064303</v>
      </c>
      <c r="X58" s="21">
        <f>[1]节奏总纲!X58</f>
        <v>2.5851352180572889</v>
      </c>
      <c r="Y58" s="21">
        <f>[1]节奏总纲!Y58</f>
        <v>2.0885392276376038</v>
      </c>
      <c r="Z58" s="21">
        <f>[1]节奏总纲!Z58</f>
        <v>1.5201849301591821</v>
      </c>
      <c r="AA58" s="21">
        <f>[1]节奏总纲!AA58</f>
        <v>0.8328533698897278</v>
      </c>
      <c r="AC58" s="21">
        <v>55</v>
      </c>
      <c r="AD58" s="21">
        <f>[1]节奏总纲!AD58</f>
        <v>58.071211008105138</v>
      </c>
      <c r="AE58" s="21">
        <f>[1]节奏总纲!AE58</f>
        <v>60.102437883401088</v>
      </c>
      <c r="AF58" s="21">
        <f>[1]节奏总纲!AF58</f>
        <v>62.925786777239075</v>
      </c>
      <c r="AG58" s="21">
        <f>[1]节奏总纲!AG58</f>
        <v>67.36285691246691</v>
      </c>
      <c r="AH58" s="21">
        <f>[1]节奏总纲!AH58</f>
        <v>75.829988076574182</v>
      </c>
      <c r="AL58" s="43">
        <v>55</v>
      </c>
      <c r="AM58" s="43">
        <f>[1]节奏总纲!AM58</f>
        <v>1228.2</v>
      </c>
      <c r="AN58" s="43">
        <f>[1]节奏总纲!AN58</f>
        <v>982.56000000000006</v>
      </c>
      <c r="AO58" s="43">
        <f>[1]节奏总纲!AO58</f>
        <v>736.92</v>
      </c>
      <c r="AP58" s="43">
        <f>[1]节奏总纲!AP58</f>
        <v>491.28000000000003</v>
      </c>
      <c r="AQ58" s="43">
        <f>[1]节奏总纲!AQ58</f>
        <v>245.64000000000001</v>
      </c>
      <c r="AS58" s="43">
        <v>55</v>
      </c>
      <c r="AT58" s="43">
        <f>[1]节奏总纲!AT58</f>
        <v>167.97690558987483</v>
      </c>
      <c r="AU58" s="43">
        <f>[1]节奏总纲!AU58</f>
        <v>134.38152447189987</v>
      </c>
      <c r="AV58" s="43">
        <f>[1]节奏总纲!AV58</f>
        <v>100.7861433539249</v>
      </c>
      <c r="AW58" s="43">
        <f>[1]节奏总纲!AW58</f>
        <v>67.190762235949933</v>
      </c>
      <c r="AX58" s="43">
        <f>[1]节奏总纲!AX58</f>
        <v>33.595381117974966</v>
      </c>
      <c r="AZ58" s="21">
        <v>55</v>
      </c>
      <c r="BA58" s="21">
        <v>34.09469189131628</v>
      </c>
      <c r="BB58" s="21">
        <v>35.512351993284277</v>
      </c>
      <c r="BC58" s="21">
        <v>37.438462561985709</v>
      </c>
      <c r="BD58" s="21">
        <v>40.168994574261895</v>
      </c>
      <c r="BE58" s="21">
        <v>44.843574549861387</v>
      </c>
    </row>
    <row r="59" spans="6:57" x14ac:dyDescent="0.15">
      <c r="F59" s="21">
        <v>57</v>
      </c>
      <c r="G59" s="21">
        <v>50.984153366799077</v>
      </c>
      <c r="K59" s="18"/>
      <c r="N59" s="26">
        <f>[1]节奏总纲!N59</f>
        <v>66</v>
      </c>
      <c r="O59" s="21">
        <v>56</v>
      </c>
      <c r="P59" s="21">
        <f>[1]节奏总纲!P59</f>
        <v>47.502930128332721</v>
      </c>
      <c r="Q59" s="21">
        <f>[1]节奏总纲!Q59</f>
        <v>41.275295988508304</v>
      </c>
      <c r="R59" s="21">
        <f>[1]节奏总纲!R59</f>
        <v>33.888590353552566</v>
      </c>
      <c r="S59" s="21">
        <f>[1]节奏总纲!S59</f>
        <v>24.910536559297679</v>
      </c>
      <c r="T59" s="21">
        <f>[1]节奏总纲!T59</f>
        <v>13.837603546383322</v>
      </c>
      <c r="U59" s="27"/>
      <c r="V59" s="21">
        <v>56</v>
      </c>
      <c r="W59" s="21">
        <f>[1]节奏总纲!W59</f>
        <v>3.2480961323936768</v>
      </c>
      <c r="X59" s="21">
        <f>[1]节奏总纲!X59</f>
        <v>2.7426120282441744</v>
      </c>
      <c r="Y59" s="21">
        <f>[1]节奏总纲!Y59</f>
        <v>2.24638404645615</v>
      </c>
      <c r="Z59" s="21">
        <f>[1]节奏总纲!Z59</f>
        <v>1.6280683940341483</v>
      </c>
      <c r="AA59" s="21">
        <f>[1]节奏总纲!AA59</f>
        <v>0.89306460257115283</v>
      </c>
      <c r="AC59" s="21">
        <v>56</v>
      </c>
      <c r="AD59" s="21">
        <f>[1]节奏总纲!AD59</f>
        <v>58.321281314909029</v>
      </c>
      <c r="AE59" s="21">
        <f>[1]节奏总纲!AE59</f>
        <v>60.351982057337977</v>
      </c>
      <c r="AF59" s="21">
        <f>[1]节奏总纲!AF59</f>
        <v>63.17626763611517</v>
      </c>
      <c r="AG59" s="21">
        <f>[1]节奏总纲!AG59</f>
        <v>67.626924568999456</v>
      </c>
      <c r="AH59" s="21">
        <f>[1]节奏总纲!AH59</f>
        <v>76.086647524934079</v>
      </c>
      <c r="AL59" s="43">
        <v>56</v>
      </c>
      <c r="AM59" s="43">
        <f>[1]节奏总纲!AM59</f>
        <v>1422.6782097755249</v>
      </c>
      <c r="AN59" s="43">
        <f>[1]节奏总纲!AN59</f>
        <v>1138.14256782042</v>
      </c>
      <c r="AO59" s="43">
        <f>[1]节奏总纲!AO59</f>
        <v>853.60692586531491</v>
      </c>
      <c r="AP59" s="43">
        <f>[1]节奏总纲!AP59</f>
        <v>569.07128391021001</v>
      </c>
      <c r="AQ59" s="43">
        <f>[1]节奏总纲!AQ59</f>
        <v>284.53564195510501</v>
      </c>
      <c r="AS59" s="43">
        <v>56</v>
      </c>
      <c r="AT59" s="43">
        <f>[1]节奏总纲!AT59</f>
        <v>194.47820977552487</v>
      </c>
      <c r="AU59" s="43">
        <f>[1]节奏总纲!AU59</f>
        <v>155.58256782041997</v>
      </c>
      <c r="AV59" s="43">
        <f>[1]节奏总纲!AV59</f>
        <v>116.68692586531495</v>
      </c>
      <c r="AW59" s="43">
        <f>[1]节奏总纲!AW59</f>
        <v>77.791283910209984</v>
      </c>
      <c r="AX59" s="43">
        <f>[1]节奏总纲!AX59</f>
        <v>38.895641955104992</v>
      </c>
      <c r="AZ59" s="21">
        <v>56</v>
      </c>
      <c r="BA59" s="21">
        <v>34.201198727632011</v>
      </c>
      <c r="BB59" s="21">
        <v>35.634340563113874</v>
      </c>
      <c r="BC59" s="21">
        <v>37.55946735008159</v>
      </c>
      <c r="BD59" s="21">
        <v>40.28554255651148</v>
      </c>
      <c r="BE59" s="21">
        <v>44.972851781380903</v>
      </c>
    </row>
    <row r="60" spans="6:57" x14ac:dyDescent="0.15">
      <c r="F60" s="21">
        <v>58</v>
      </c>
      <c r="G60" s="21">
        <v>54.715236050951923</v>
      </c>
      <c r="K60" s="18"/>
      <c r="N60" s="26">
        <f>[1]节奏总纲!N60</f>
        <v>67</v>
      </c>
      <c r="O60" s="21">
        <v>57</v>
      </c>
      <c r="P60" s="21">
        <f>[1]节奏总纲!P60</f>
        <v>50.984153366799077</v>
      </c>
      <c r="Q60" s="21">
        <f>[1]节奏总纲!Q60</f>
        <v>44.310327691085078</v>
      </c>
      <c r="R60" s="21">
        <f>[1]节奏总纲!R60</f>
        <v>36.316012443170983</v>
      </c>
      <c r="S60" s="21">
        <f>[1]节奏总纲!S60</f>
        <v>26.664712210835919</v>
      </c>
      <c r="T60" s="21">
        <f>[1]节奏总纲!T60</f>
        <v>14.815994968391813</v>
      </c>
      <c r="U60" s="27"/>
      <c r="V60" s="21">
        <v>57</v>
      </c>
      <c r="W60" s="21">
        <f>[1]节奏总纲!W60</f>
        <v>3.481223238466356</v>
      </c>
      <c r="X60" s="21">
        <f>[1]节奏总纲!X60</f>
        <v>3.0350317025767737</v>
      </c>
      <c r="Y60" s="21">
        <f>[1]节奏总纲!Y60</f>
        <v>2.4274220896184175</v>
      </c>
      <c r="Z60" s="21">
        <f>[1]节奏总纲!Z60</f>
        <v>1.7541756515382403</v>
      </c>
      <c r="AA60" s="21">
        <f>[1]节奏总纲!AA60</f>
        <v>0.97839142200849061</v>
      </c>
      <c r="AC60" s="21">
        <v>57</v>
      </c>
      <c r="AD60" s="21">
        <f>[1]节奏总纲!AD60</f>
        <v>58.571351621712921</v>
      </c>
      <c r="AE60" s="21">
        <f>[1]节奏总纲!AE60</f>
        <v>60.60152623127486</v>
      </c>
      <c r="AF60" s="21">
        <f>[1]节奏总纲!AF60</f>
        <v>63.421042351541736</v>
      </c>
      <c r="AG60" s="21">
        <f>[1]节奏总纲!AG60</f>
        <v>67.890992225532017</v>
      </c>
      <c r="AH60" s="21">
        <f>[1]节奏总纲!AH60</f>
        <v>76.344973133357612</v>
      </c>
      <c r="AL60" s="43">
        <v>57</v>
      </c>
      <c r="AM60" s="43">
        <f>[1]节奏总纲!AM60</f>
        <v>1647.8248427703616</v>
      </c>
      <c r="AN60" s="43">
        <f>[1]节奏总纲!AN60</f>
        <v>1318.2598742162893</v>
      </c>
      <c r="AO60" s="43">
        <f>[1]节奏总纲!AO60</f>
        <v>988.69490566221691</v>
      </c>
      <c r="AP60" s="43">
        <f>[1]节奏总纲!AP60</f>
        <v>659.12993710814465</v>
      </c>
      <c r="AQ60" s="43">
        <f>[1]节奏总纲!AQ60</f>
        <v>329.56496855407232</v>
      </c>
      <c r="AS60" s="43">
        <v>57</v>
      </c>
      <c r="AT60" s="43">
        <f>[1]节奏总纲!AT60</f>
        <v>225.14663299483664</v>
      </c>
      <c r="AU60" s="43">
        <f>[1]节奏总纲!AU60</f>
        <v>180.11730639586926</v>
      </c>
      <c r="AV60" s="43">
        <f>[1]节奏总纲!AV60</f>
        <v>135.087979796902</v>
      </c>
      <c r="AW60" s="43">
        <f>[1]节奏总纲!AW60</f>
        <v>90.058653197934632</v>
      </c>
      <c r="AX60" s="43">
        <f>[1]节奏总纲!AX60</f>
        <v>45.029326598967316</v>
      </c>
      <c r="AZ60" s="21">
        <v>57</v>
      </c>
      <c r="BA60" s="21">
        <v>34.307705563947749</v>
      </c>
      <c r="BB60" s="21">
        <v>35.756329132943463</v>
      </c>
      <c r="BC60" s="21">
        <v>37.680472138177478</v>
      </c>
      <c r="BD60" s="21">
        <v>40.402090538761065</v>
      </c>
      <c r="BE60" s="21">
        <v>45.088151688727308</v>
      </c>
    </row>
    <row r="61" spans="6:57" x14ac:dyDescent="0.15">
      <c r="F61" s="21">
        <v>59</v>
      </c>
      <c r="G61" s="21">
        <v>58.714111458355703</v>
      </c>
      <c r="K61" s="18"/>
      <c r="N61" s="26">
        <f>[1]节奏总纲!N61</f>
        <v>68</v>
      </c>
      <c r="O61" s="21">
        <v>58</v>
      </c>
      <c r="P61" s="21">
        <f>[1]节奏总纲!P61</f>
        <v>54.715236050951923</v>
      </c>
      <c r="Q61" s="21">
        <f>[1]节奏总纲!Q61</f>
        <v>47.459995750595695</v>
      </c>
      <c r="R61" s="21">
        <f>[1]节奏总纲!R61</f>
        <v>38.913475879437009</v>
      </c>
      <c r="S61" s="21">
        <f>[1]节奏总纲!S61</f>
        <v>28.572296265807093</v>
      </c>
      <c r="T61" s="21">
        <f>[1]节奏总纲!T61</f>
        <v>15.856475407565867</v>
      </c>
      <c r="U61" s="27"/>
      <c r="V61" s="21">
        <v>58</v>
      </c>
      <c r="W61" s="21">
        <f>[1]节奏总纲!W61</f>
        <v>3.7310826841528453</v>
      </c>
      <c r="X61" s="21">
        <f>[1]节奏总纲!X61</f>
        <v>3.149668059510617</v>
      </c>
      <c r="Y61" s="21">
        <f>[1]节奏总纲!Y61</f>
        <v>2.5974634362660254</v>
      </c>
      <c r="Z61" s="21">
        <f>[1]节奏总纲!Z61</f>
        <v>1.9075840549711742</v>
      </c>
      <c r="AA61" s="21">
        <f>[1]节奏总纲!AA61</f>
        <v>1.0404804391740541</v>
      </c>
      <c r="AC61" s="21">
        <v>58</v>
      </c>
      <c r="AD61" s="21">
        <f>[1]节奏总纲!AD61</f>
        <v>58.821421928516813</v>
      </c>
      <c r="AE61" s="21">
        <f>[1]节奏总纲!AE61</f>
        <v>60.851070405211743</v>
      </c>
      <c r="AF61" s="21">
        <f>[1]节奏总纲!AF61</f>
        <v>63.665817066968295</v>
      </c>
      <c r="AG61" s="21">
        <f>[1]节奏总纲!AG61</f>
        <v>68.142437172458173</v>
      </c>
      <c r="AH61" s="21">
        <f>[1]节奏总纲!AH61</f>
        <v>76.60329874178116</v>
      </c>
      <c r="AL61" s="43">
        <v>58</v>
      </c>
      <c r="AM61" s="43">
        <f>[1]节奏总纲!AM61</f>
        <v>1908.4603298511749</v>
      </c>
      <c r="AN61" s="43">
        <f>[1]节奏总纲!AN61</f>
        <v>1526.7682638809401</v>
      </c>
      <c r="AO61" s="43">
        <f>[1]节奏总纲!AO61</f>
        <v>1145.0761979107049</v>
      </c>
      <c r="AP61" s="43">
        <f>[1]节奏总纲!AP61</f>
        <v>763.38413194047007</v>
      </c>
      <c r="AQ61" s="43">
        <f>[1]节奏总纲!AQ61</f>
        <v>381.69206597023503</v>
      </c>
      <c r="AS61" s="43">
        <v>58</v>
      </c>
      <c r="AT61" s="43">
        <f>[1]节奏总纲!AT61</f>
        <v>260.63548708081339</v>
      </c>
      <c r="AU61" s="43">
        <f>[1]节奏总纲!AU61</f>
        <v>208.50838966465085</v>
      </c>
      <c r="AV61" s="43">
        <f>[1]节奏总纲!AV61</f>
        <v>156.38129224848797</v>
      </c>
      <c r="AW61" s="43">
        <f>[1]节奏总纲!AW61</f>
        <v>104.25419483232542</v>
      </c>
      <c r="AX61" s="43">
        <f>[1]节奏总纲!AX61</f>
        <v>52.127097416162712</v>
      </c>
      <c r="AZ61" s="21">
        <v>58</v>
      </c>
      <c r="BA61" s="21">
        <v>34.41421240026348</v>
      </c>
      <c r="BB61" s="21">
        <v>35.878317702773053</v>
      </c>
      <c r="BC61" s="21">
        <v>37.801476926273359</v>
      </c>
      <c r="BD61" s="21">
        <v>40.518638521010644</v>
      </c>
      <c r="BE61" s="21">
        <v>45.199736104837825</v>
      </c>
    </row>
    <row r="62" spans="6:57" x14ac:dyDescent="0.15">
      <c r="F62" s="21">
        <v>60</v>
      </c>
      <c r="G62" s="21">
        <v>63</v>
      </c>
      <c r="K62" s="18"/>
      <c r="N62" s="26">
        <f>[1]节奏总纲!N62</f>
        <v>69</v>
      </c>
      <c r="O62" s="21">
        <v>59</v>
      </c>
      <c r="P62" s="21">
        <f>[1]节奏总纲!P62</f>
        <v>58.714111458355703</v>
      </c>
      <c r="Q62" s="21">
        <f>[1]节奏总纲!Q62</f>
        <v>50.940363101269412</v>
      </c>
      <c r="R62" s="21">
        <f>[1]节奏总纲!R62</f>
        <v>41.728119013453394</v>
      </c>
      <c r="S62" s="21">
        <f>[1]节奏总纲!S62</f>
        <v>30.607666303240826</v>
      </c>
      <c r="T62" s="21">
        <f>[1]节奏总纲!T62</f>
        <v>17.003606678339814</v>
      </c>
      <c r="U62" s="27"/>
      <c r="V62" s="21">
        <v>59</v>
      </c>
      <c r="W62" s="21">
        <f>[1]节奏总纲!W62</f>
        <v>3.99887540740378</v>
      </c>
      <c r="X62" s="21">
        <f>[1]节奏总纲!X62</f>
        <v>3.4803673506737169</v>
      </c>
      <c r="Y62" s="21">
        <f>[1]节奏总纲!Y62</f>
        <v>2.8146431340163858</v>
      </c>
      <c r="Z62" s="21">
        <f>[1]节奏总纲!Z62</f>
        <v>2.0353700374337329</v>
      </c>
      <c r="AA62" s="21">
        <f>[1]节奏总纲!AA62</f>
        <v>1.1471312707739472</v>
      </c>
      <c r="AC62" s="21">
        <v>59</v>
      </c>
      <c r="AD62" s="21">
        <f>[1]节奏总纲!AD62</f>
        <v>59.066704614192936</v>
      </c>
      <c r="AE62" s="21">
        <f>[1]节奏总纲!AE62</f>
        <v>61.094954819415335</v>
      </c>
      <c r="AF62" s="21">
        <f>[1]节奏总纲!AF62</f>
        <v>63.91059178239486</v>
      </c>
      <c r="AG62" s="21">
        <f>[1]节奏总纲!AG62</f>
        <v>68.385008299388929</v>
      </c>
      <c r="AH62" s="21">
        <f>[1]节奏总纲!AH62</f>
        <v>76.861624350204693</v>
      </c>
      <c r="AL62" s="43">
        <v>59</v>
      </c>
      <c r="AM62" s="43">
        <f>[1]节奏总纲!AM62</f>
        <v>2210.1605665017755</v>
      </c>
      <c r="AN62" s="43">
        <f>[1]节奏总纲!AN62</f>
        <v>1768.1284532014206</v>
      </c>
      <c r="AO62" s="43">
        <f>[1]节奏总纲!AO62</f>
        <v>1326.0963399010652</v>
      </c>
      <c r="AP62" s="43">
        <f>[1]节奏总纲!AP62</f>
        <v>884.0642266007103</v>
      </c>
      <c r="AQ62" s="43">
        <f>[1]节奏总纲!AQ62</f>
        <v>442.03211330035515</v>
      </c>
      <c r="AS62" s="43">
        <v>59</v>
      </c>
      <c r="AT62" s="43">
        <f>[1]节奏总纲!AT62</f>
        <v>301.70023665060057</v>
      </c>
      <c r="AU62" s="43">
        <f>[1]节奏总纲!AU62</f>
        <v>241.36018932048046</v>
      </c>
      <c r="AV62" s="43">
        <f>[1]节奏总纲!AV62</f>
        <v>181.02014199036034</v>
      </c>
      <c r="AW62" s="43">
        <f>[1]节奏总纲!AW62</f>
        <v>120.68009466024023</v>
      </c>
      <c r="AX62" s="43">
        <f>[1]节奏总纲!AX62</f>
        <v>60.340047330120115</v>
      </c>
      <c r="AZ62" s="21">
        <v>59</v>
      </c>
      <c r="BA62" s="21">
        <v>34.520719236579211</v>
      </c>
      <c r="BB62" s="21">
        <v>36.000264155774609</v>
      </c>
      <c r="BC62" s="21">
        <v>37.922481714369241</v>
      </c>
      <c r="BD62" s="21">
        <v>40.635186503260229</v>
      </c>
      <c r="BE62" s="21">
        <v>45.31132052094835</v>
      </c>
    </row>
    <row r="63" spans="6:57" x14ac:dyDescent="0.15">
      <c r="F63" s="21">
        <v>61</v>
      </c>
      <c r="G63" s="21">
        <v>67.593501602322732</v>
      </c>
      <c r="N63" s="26">
        <f>[1]节奏总纲!N63</f>
        <v>70</v>
      </c>
      <c r="O63" s="21">
        <v>60</v>
      </c>
      <c r="P63" s="21">
        <f>[1]节奏总纲!P63</f>
        <v>63</v>
      </c>
      <c r="Q63" s="21">
        <f>[1]节奏总纲!Q63</f>
        <v>54.589500000000001</v>
      </c>
      <c r="R63" s="21">
        <f>[1]节奏总纲!R63</f>
        <v>44.717399999999998</v>
      </c>
      <c r="S63" s="21">
        <f>[1]节奏总纲!S63</f>
        <v>32.810400000000001</v>
      </c>
      <c r="T63" s="21">
        <f>[1]节奏总纲!T63</f>
        <v>18.276300000000003</v>
      </c>
      <c r="U63" s="27"/>
      <c r="V63" s="21">
        <v>60</v>
      </c>
      <c r="W63" s="21">
        <f>[1]节奏总纲!W63</f>
        <v>4.2858885416442973</v>
      </c>
      <c r="X63" s="21">
        <f>[1]节奏总纲!X63</f>
        <v>3.649136898730589</v>
      </c>
      <c r="Y63" s="21">
        <f>[1]节奏总纲!Y63</f>
        <v>2.9892809865466035</v>
      </c>
      <c r="Z63" s="21">
        <f>[1]节奏总纲!Z63</f>
        <v>2.2027336967591751</v>
      </c>
      <c r="AA63" s="21">
        <f>[1]节奏总纲!AA63</f>
        <v>1.2726933216601886</v>
      </c>
      <c r="AC63" s="21">
        <v>60</v>
      </c>
      <c r="AD63" s="21">
        <f>[1]节奏总纲!AD63</f>
        <v>59.300028460644697</v>
      </c>
      <c r="AE63" s="21">
        <f>[1]节奏总纲!AE63</f>
        <v>61.330461663183208</v>
      </c>
      <c r="AF63" s="21">
        <f>[1]节奏总纲!AF63</f>
        <v>64.14304723627319</v>
      </c>
      <c r="AG63" s="21">
        <f>[1]节奏总纲!AG63</f>
        <v>68.627579426319684</v>
      </c>
      <c r="AH63" s="21">
        <f>[1]节奏总纲!AH63</f>
        <v>77.112805903056142</v>
      </c>
      <c r="AL63" s="43">
        <v>60</v>
      </c>
      <c r="AM63" s="43">
        <f>[1]节奏总纲!AM63</f>
        <v>2559.375</v>
      </c>
      <c r="AN63" s="43">
        <f>[1]节奏总纲!AN63</f>
        <v>2047.5</v>
      </c>
      <c r="AO63" s="43">
        <f>[1]节奏总纲!AO63</f>
        <v>1535.625</v>
      </c>
      <c r="AP63" s="43">
        <f>[1]节奏总纲!AP63</f>
        <v>1023.75</v>
      </c>
      <c r="AQ63" s="43">
        <f>[1]节奏总纲!AQ63</f>
        <v>511.875</v>
      </c>
      <c r="AS63" s="43">
        <v>60</v>
      </c>
      <c r="AT63" s="43">
        <f>[1]节奏总纲!AT63</f>
        <v>349.21443349822448</v>
      </c>
      <c r="AU63" s="43">
        <f>[1]节奏总纲!AU63</f>
        <v>279.3715467985794</v>
      </c>
      <c r="AV63" s="43">
        <f>[1]节奏总纲!AV63</f>
        <v>209.52866009893478</v>
      </c>
      <c r="AW63" s="43">
        <f>[1]节奏总纲!AW63</f>
        <v>139.6857733992897</v>
      </c>
      <c r="AX63" s="43">
        <f>[1]节奏总纲!AX63</f>
        <v>69.842886699644851</v>
      </c>
      <c r="AZ63" s="21">
        <v>60</v>
      </c>
      <c r="BA63" s="21">
        <v>34.627226072894942</v>
      </c>
      <c r="BB63" s="21">
        <v>36.105477566569242</v>
      </c>
      <c r="BC63" s="21">
        <v>38.037513426486328</v>
      </c>
      <c r="BD63" s="21">
        <v>40.751734485509814</v>
      </c>
      <c r="BE63" s="21">
        <v>45.422904937058867</v>
      </c>
    </row>
    <row r="64" spans="6:57" x14ac:dyDescent="0.15">
      <c r="F64" s="21">
        <v>62</v>
      </c>
      <c r="G64" s="21">
        <v>72.516694719810218</v>
      </c>
      <c r="N64" s="26">
        <f>[1]节奏总纲!N64</f>
        <v>71</v>
      </c>
      <c r="O64" s="21">
        <v>61</v>
      </c>
      <c r="P64" s="21">
        <f>[1]节奏总纲!P64</f>
        <v>67.593501602322732</v>
      </c>
      <c r="Q64" s="21">
        <f>[1]节奏总纲!Q64</f>
        <v>58.596806539053574</v>
      </c>
      <c r="R64" s="21">
        <f>[1]节奏总纲!R64</f>
        <v>47.977867437328676</v>
      </c>
      <c r="S64" s="21">
        <f>[1]节奏总纲!S64</f>
        <v>35.229733035130607</v>
      </c>
      <c r="T64" s="21">
        <f>[1]节奏总纲!T64</f>
        <v>19.602115464673592</v>
      </c>
      <c r="U64" s="27"/>
      <c r="V64" s="21">
        <v>61</v>
      </c>
      <c r="W64" s="21">
        <f>[1]节奏总纲!W64</f>
        <v>4.593501602322732</v>
      </c>
      <c r="X64" s="21">
        <f>[1]节奏总纲!X64</f>
        <v>4.0073065390535731</v>
      </c>
      <c r="Y64" s="21">
        <f>[1]节奏总纲!Y64</f>
        <v>3.2604674373286784</v>
      </c>
      <c r="Z64" s="21">
        <f>[1]节奏总纲!Z64</f>
        <v>2.4193330351306059</v>
      </c>
      <c r="AA64" s="21">
        <f>[1]节奏总纲!AA64</f>
        <v>1.3258154646735889</v>
      </c>
      <c r="AC64" s="21">
        <v>61</v>
      </c>
      <c r="AD64" s="21">
        <f>[1]节奏总纲!AD64</f>
        <v>59.533352307096465</v>
      </c>
      <c r="AE64" s="21">
        <f>[1]节奏总纲!AE64</f>
        <v>61.56596850695108</v>
      </c>
      <c r="AF64" s="21">
        <f>[1]节奏总纲!AF64</f>
        <v>64.368413367596901</v>
      </c>
      <c r="AG64" s="21">
        <f>[1]节奏总纲!AG64</f>
        <v>68.870150553250454</v>
      </c>
      <c r="AH64" s="21">
        <f>[1]节奏总纲!AH64</f>
        <v>77.355745991356301</v>
      </c>
      <c r="AL64" s="43">
        <v>61</v>
      </c>
      <c r="AM64" s="43">
        <f>[1]节奏总纲!AM64</f>
        <v>2963.5631311027469</v>
      </c>
      <c r="AN64" s="43">
        <f>[1]节奏总纲!AN64</f>
        <v>2370.8505048821976</v>
      </c>
      <c r="AO64" s="43">
        <f>[1]节奏总纲!AO64</f>
        <v>1778.1378786616481</v>
      </c>
      <c r="AP64" s="43">
        <f>[1]节奏总纲!AP64</f>
        <v>1185.4252524410988</v>
      </c>
      <c r="AQ64" s="43">
        <f>[1]节奏总纲!AQ64</f>
        <v>592.7126262205494</v>
      </c>
      <c r="AS64" s="43">
        <v>61</v>
      </c>
      <c r="AT64" s="43">
        <f>[1]节奏总纲!AT64</f>
        <v>404.18813110274687</v>
      </c>
      <c r="AU64" s="43">
        <f>[1]节奏总纲!AU64</f>
        <v>323.35050488219758</v>
      </c>
      <c r="AV64" s="43">
        <f>[1]节奏总纲!AV64</f>
        <v>242.51287866164807</v>
      </c>
      <c r="AW64" s="43">
        <f>[1]节奏总纲!AW64</f>
        <v>161.67525244109879</v>
      </c>
      <c r="AX64" s="43">
        <f>[1]节奏总纲!AX64</f>
        <v>80.837626220549396</v>
      </c>
      <c r="AZ64" s="21">
        <v>61</v>
      </c>
      <c r="BA64" s="21">
        <v>34.733732909210673</v>
      </c>
      <c r="BB64" s="21">
        <v>36.210690977363875</v>
      </c>
      <c r="BC64" s="21">
        <v>38.14189763688286</v>
      </c>
      <c r="BD64" s="21">
        <v>40.8682824677594</v>
      </c>
      <c r="BE64" s="21">
        <v>45.534489353169384</v>
      </c>
    </row>
    <row r="65" spans="6:57" x14ac:dyDescent="0.15">
      <c r="F65" s="21">
        <v>63</v>
      </c>
      <c r="G65" s="21">
        <v>77.793242454074615</v>
      </c>
      <c r="N65" s="26">
        <f>[1]节奏总纲!N65</f>
        <v>72</v>
      </c>
      <c r="O65" s="21">
        <v>62</v>
      </c>
      <c r="P65" s="21">
        <f>[1]节奏总纲!P65</f>
        <v>72.516694719810218</v>
      </c>
      <c r="Q65" s="21">
        <f>[1]节奏总纲!Q65</f>
        <v>62.842967644187539</v>
      </c>
      <c r="R65" s="21">
        <f>[1]节奏总纲!R65</f>
        <v>51.5086082594812</v>
      </c>
      <c r="S65" s="21">
        <f>[1]节奏总纲!S65</f>
        <v>37.846462974268952</v>
      </c>
      <c r="T65" s="21">
        <f>[1]节奏总纲!T65</f>
        <v>21.124113171880715</v>
      </c>
      <c r="U65" s="27"/>
      <c r="V65" s="21">
        <v>62</v>
      </c>
      <c r="W65" s="21">
        <f>[1]节奏总纲!W65</f>
        <v>4.9231931174874859</v>
      </c>
      <c r="X65" s="21">
        <f>[1]节奏总纲!X65</f>
        <v>4.2461611051339645</v>
      </c>
      <c r="Y65" s="21">
        <f>[1]节奏总纲!Y65</f>
        <v>3.5307408221525236</v>
      </c>
      <c r="Z65" s="21">
        <f>[1]节奏总纲!Z65</f>
        <v>2.6167299391383452</v>
      </c>
      <c r="AA65" s="21">
        <f>[1]节奏总纲!AA65</f>
        <v>1.5219977072071238</v>
      </c>
      <c r="AC65" s="21">
        <v>62</v>
      </c>
      <c r="AD65" s="21">
        <f>[1]节奏总纲!AD65</f>
        <v>59.766676153548232</v>
      </c>
      <c r="AE65" s="21">
        <f>[1]节奏总纲!AE65</f>
        <v>61.801475350718952</v>
      </c>
      <c r="AF65" s="21">
        <f>[1]节奏总纲!AF65</f>
        <v>64.593779498920611</v>
      </c>
      <c r="AG65" s="21">
        <f>[1]节奏总纲!AG65</f>
        <v>69.105843627521551</v>
      </c>
      <c r="AH65" s="21">
        <f>[1]节奏总纲!AH65</f>
        <v>77.59868607965646</v>
      </c>
      <c r="AL65" s="43">
        <v>62</v>
      </c>
      <c r="AM65" s="43">
        <f>[1]节奏总纲!AM65</f>
        <v>3431.3522956038646</v>
      </c>
      <c r="AN65" s="43">
        <f>[1]节奏总纲!AN65</f>
        <v>2745.081836483092</v>
      </c>
      <c r="AO65" s="43">
        <f>[1]节奏总纲!AO65</f>
        <v>2058.8113773623186</v>
      </c>
      <c r="AP65" s="43">
        <f>[1]节奏总纲!AP65</f>
        <v>1372.540918241546</v>
      </c>
      <c r="AQ65" s="43">
        <f>[1]节奏总纲!AQ65</f>
        <v>686.27045912077301</v>
      </c>
      <c r="AS65" s="43">
        <v>62</v>
      </c>
      <c r="AT65" s="43">
        <f>[1]节奏总纲!AT65</f>
        <v>467.78916450111774</v>
      </c>
      <c r="AU65" s="43">
        <f>[1]节奏总纲!AU65</f>
        <v>374.23133160089446</v>
      </c>
      <c r="AV65" s="43">
        <f>[1]节奏总纲!AV65</f>
        <v>280.67349870067051</v>
      </c>
      <c r="AW65" s="43">
        <f>[1]节奏总纲!AW65</f>
        <v>187.11566580044723</v>
      </c>
      <c r="AX65" s="43">
        <f>[1]节奏总纲!AX65</f>
        <v>93.557832900223616</v>
      </c>
      <c r="AZ65" s="21">
        <v>62</v>
      </c>
      <c r="BA65" s="21">
        <v>34.840239745526404</v>
      </c>
      <c r="BB65" s="21">
        <v>36.315904388158508</v>
      </c>
      <c r="BC65" s="21">
        <v>38.246281847279398</v>
      </c>
      <c r="BD65" s="21">
        <v>40.984830450008978</v>
      </c>
      <c r="BE65" s="21">
        <v>45.646073769279901</v>
      </c>
    </row>
    <row r="66" spans="6:57" x14ac:dyDescent="0.15">
      <c r="F66" s="21">
        <v>64</v>
      </c>
      <c r="G66" s="21">
        <v>83.4485062894652</v>
      </c>
      <c r="N66" s="26">
        <f>[1]节奏总纲!N66</f>
        <v>73</v>
      </c>
      <c r="O66" s="21">
        <v>63</v>
      </c>
      <c r="P66" s="21">
        <f>[1]节奏总纲!P66</f>
        <v>77.793242454074615</v>
      </c>
      <c r="Q66" s="21">
        <f>[1]节奏总纲!Q66</f>
        <v>67.470079180418907</v>
      </c>
      <c r="R66" s="21">
        <f>[1]节奏总纲!R66</f>
        <v>55.27987808786542</v>
      </c>
      <c r="S66" s="21">
        <f>[1]节奏总纲!S66</f>
        <v>40.678086479235617</v>
      </c>
      <c r="T66" s="21">
        <f>[1]节奏总纲!T66</f>
        <v>22.700068148098975</v>
      </c>
      <c r="U66" s="27"/>
      <c r="V66" s="21">
        <v>63</v>
      </c>
      <c r="W66" s="21">
        <f>[1]节奏总纲!W66</f>
        <v>5.2765477342643976</v>
      </c>
      <c r="X66" s="21">
        <f>[1]节奏总纲!X66</f>
        <v>4.6271115362313679</v>
      </c>
      <c r="Y66" s="21">
        <f>[1]节奏总纲!Y66</f>
        <v>3.7712698283842201</v>
      </c>
      <c r="Z66" s="21">
        <f>[1]节奏总纲!Z66</f>
        <v>2.8316235049666645</v>
      </c>
      <c r="AA66" s="21">
        <f>[1]节奏总纲!AA66</f>
        <v>1.5759549762182594</v>
      </c>
      <c r="AC66" s="21">
        <v>63</v>
      </c>
      <c r="AD66" s="21">
        <f>[1]节奏总纲!AD66</f>
        <v>60</v>
      </c>
      <c r="AE66" s="21">
        <f>[1]节奏总纲!AE66</f>
        <v>62.033937447710706</v>
      </c>
      <c r="AF66" s="21">
        <f>[1]节奏总纲!AF66</f>
        <v>64.819145630244321</v>
      </c>
      <c r="AG66" s="21">
        <f>[1]节奏总纲!AG66</f>
        <v>69.333613546893503</v>
      </c>
      <c r="AH66" s="21">
        <f>[1]节奏总纲!AH66</f>
        <v>77.841626167956619</v>
      </c>
      <c r="AL66" s="43">
        <v>63</v>
      </c>
      <c r="AM66" s="43">
        <f>[1]节奏总纲!AM66</f>
        <v>3972.7200361130153</v>
      </c>
      <c r="AN66" s="43">
        <f>[1]节奏总纲!AN66</f>
        <v>3178.1760288904125</v>
      </c>
      <c r="AO66" s="43">
        <f>[1]节奏总纲!AO66</f>
        <v>2383.6320216678091</v>
      </c>
      <c r="AP66" s="43">
        <f>[1]节奏总纲!AP66</f>
        <v>1589.0880144452062</v>
      </c>
      <c r="AQ66" s="43">
        <f>[1]节奏总纲!AQ66</f>
        <v>794.54400722260311</v>
      </c>
      <c r="AS66" s="43">
        <v>63</v>
      </c>
      <c r="AT66" s="43">
        <f>[1]节奏总纲!AT66</f>
        <v>541.36774050915074</v>
      </c>
      <c r="AU66" s="43">
        <f>[1]节奏总纲!AU66</f>
        <v>433.09419240732041</v>
      </c>
      <c r="AV66" s="43">
        <f>[1]节奏总纲!AV66</f>
        <v>324.82064430549053</v>
      </c>
      <c r="AW66" s="43">
        <f>[1]节奏总纲!AW66</f>
        <v>216.5470962036602</v>
      </c>
      <c r="AX66" s="43">
        <f>[1]节奏总纲!AX66</f>
        <v>108.2735481018301</v>
      </c>
      <c r="AZ66" s="21">
        <v>63</v>
      </c>
      <c r="BA66" s="21">
        <v>34.946746581842135</v>
      </c>
      <c r="BB66" s="21">
        <v>36.421117798953141</v>
      </c>
      <c r="BC66" s="21">
        <v>38.35066605767593</v>
      </c>
      <c r="BD66" s="21">
        <v>41.087476216725996</v>
      </c>
      <c r="BE66" s="21">
        <v>45.757658185390426</v>
      </c>
    </row>
    <row r="67" spans="6:57" x14ac:dyDescent="0.15">
      <c r="F67" s="21">
        <v>65</v>
      </c>
      <c r="G67" s="21">
        <v>89.509667991878061</v>
      </c>
      <c r="N67" s="26">
        <f>[1]节奏总纲!N67</f>
        <v>74</v>
      </c>
      <c r="O67" s="21">
        <v>64</v>
      </c>
      <c r="P67" s="21">
        <f>[1]节奏总纲!P67</f>
        <v>83.4485062894652</v>
      </c>
      <c r="Q67" s="21">
        <f>[1]节奏总纲!Q67</f>
        <v>72.399924056740005</v>
      </c>
      <c r="R67" s="21">
        <f>[1]节奏总纲!R67</f>
        <v>59.365267374325548</v>
      </c>
      <c r="S67" s="21">
        <f>[1]节奏总纲!S67</f>
        <v>43.718672445050821</v>
      </c>
      <c r="T67" s="21">
        <f>[1]节奏总纲!T67</f>
        <v>24.341929284637001</v>
      </c>
      <c r="U67" s="27"/>
      <c r="V67" s="21">
        <v>64</v>
      </c>
      <c r="W67" s="21">
        <f>[1]节奏总纲!W67</f>
        <v>5.6552638353905849</v>
      </c>
      <c r="X67" s="21">
        <f>[1]节奏总纲!X67</f>
        <v>4.9298448763210985</v>
      </c>
      <c r="Y67" s="21">
        <f>[1]节奏总纲!Y67</f>
        <v>4.0853892864601278</v>
      </c>
      <c r="Z67" s="21">
        <f>[1]节奏总纲!Z67</f>
        <v>3.0405859658152039</v>
      </c>
      <c r="AA67" s="21">
        <f>[1]节奏总纲!AA67</f>
        <v>1.6418611365380258</v>
      </c>
      <c r="AC67" s="21">
        <v>64</v>
      </c>
      <c r="AD67" s="21">
        <f>[1]节奏总纲!AD67</f>
        <v>60.217698846451768</v>
      </c>
      <c r="AE67" s="21">
        <f>[1]节奏总纲!AE67</f>
        <v>62.250054995811666</v>
      </c>
      <c r="AF67" s="21">
        <f>[1]节奏总纲!AF67</f>
        <v>65.042129882798193</v>
      </c>
      <c r="AG67" s="21">
        <f>[1]节奏总纲!AG67</f>
        <v>69.56138346626544</v>
      </c>
      <c r="AH67" s="21">
        <f>[1]节奏总纲!AH67</f>
        <v>78.077870469399883</v>
      </c>
      <c r="AL67" s="43">
        <v>64</v>
      </c>
      <c r="AM67" s="43">
        <f>[1]节奏总纲!AM67</f>
        <v>4599.2048883665893</v>
      </c>
      <c r="AN67" s="43">
        <f>[1]节奏总纲!AN67</f>
        <v>3679.3639106932715</v>
      </c>
      <c r="AO67" s="43">
        <f>[1]节奏总纲!AO67</f>
        <v>2759.5229330199536</v>
      </c>
      <c r="AP67" s="43">
        <f>[1]节奏总纲!AP67</f>
        <v>1839.6819553466357</v>
      </c>
      <c r="AQ67" s="43">
        <f>[1]节奏总纲!AQ67</f>
        <v>919.84097767331787</v>
      </c>
      <c r="AS67" s="43">
        <v>64</v>
      </c>
      <c r="AT67" s="43">
        <f>[1]节奏总纲!AT67</f>
        <v>626.48485225357399</v>
      </c>
      <c r="AU67" s="43">
        <f>[1]节奏总纲!AU67</f>
        <v>501.18788180285901</v>
      </c>
      <c r="AV67" s="43">
        <f>[1]节奏总纲!AV67</f>
        <v>375.89091135214449</v>
      </c>
      <c r="AW67" s="43">
        <f>[1]节奏总纲!AW67</f>
        <v>250.59394090142951</v>
      </c>
      <c r="AX67" s="43">
        <f>[1]节奏总纲!AX67</f>
        <v>125.29697045071475</v>
      </c>
      <c r="AZ67" s="21">
        <v>64</v>
      </c>
      <c r="BA67" s="21">
        <v>35.048795427931836</v>
      </c>
      <c r="BB67" s="21">
        <v>36.526331209747774</v>
      </c>
      <c r="BC67" s="21">
        <v>38.455050268072462</v>
      </c>
      <c r="BD67" s="21">
        <v>41.188041754455355</v>
      </c>
      <c r="BE67" s="21">
        <v>45.869242601500943</v>
      </c>
    </row>
    <row r="68" spans="6:57" x14ac:dyDescent="0.15">
      <c r="F68" s="21">
        <v>66</v>
      </c>
      <c r="G68" s="21">
        <v>96.005860256665443</v>
      </c>
      <c r="N68" s="26">
        <f>[1]节奏总纲!N68</f>
        <v>75</v>
      </c>
      <c r="O68" s="21">
        <v>65</v>
      </c>
      <c r="P68" s="21">
        <f>[1]节奏总纲!P68</f>
        <v>89.509667991878061</v>
      </c>
      <c r="Q68" s="21">
        <f>[1]节奏总纲!Q68</f>
        <v>77.64963698295422</v>
      </c>
      <c r="R68" s="21">
        <f>[1]节奏总纲!R68</f>
        <v>63.802491344610679</v>
      </c>
      <c r="S68" s="21">
        <f>[1]节奏总纲!S68</f>
        <v>46.929918928141667</v>
      </c>
      <c r="T68" s="21">
        <f>[1]节奏总纲!T68</f>
        <v>25.993607584841389</v>
      </c>
      <c r="U68" s="27"/>
      <c r="V68" s="21">
        <v>65</v>
      </c>
      <c r="W68" s="21">
        <f>[1]节奏总纲!W68</f>
        <v>6.0611617024128606</v>
      </c>
      <c r="X68" s="21">
        <f>[1]节奏总纲!X68</f>
        <v>5.2497129262142153</v>
      </c>
      <c r="Y68" s="21">
        <f>[1]节奏总纲!Y68</f>
        <v>4.4372239702851317</v>
      </c>
      <c r="Z68" s="21">
        <f>[1]节奏总纲!Z68</f>
        <v>3.2112464830908465</v>
      </c>
      <c r="AA68" s="21">
        <f>[1]节奏总纲!AA68</f>
        <v>1.651678300204388</v>
      </c>
      <c r="AC68" s="21">
        <v>65</v>
      </c>
      <c r="AD68" s="21">
        <f>[1]节奏总纲!AD68</f>
        <v>60.435397692903535</v>
      </c>
      <c r="AE68" s="21">
        <f>[1]节奏总纲!AE68</f>
        <v>62.466172543912634</v>
      </c>
      <c r="AF68" s="21">
        <f>[1]节奏总纲!AF68</f>
        <v>65.255436396961542</v>
      </c>
      <c r="AG68" s="21">
        <f>[1]节奏总纲!AG68</f>
        <v>69.789153385637391</v>
      </c>
      <c r="AH68" s="21">
        <f>[1]节奏总纲!AH68</f>
        <v>78.301575047908599</v>
      </c>
      <c r="AL68" s="43">
        <v>65</v>
      </c>
      <c r="AM68" s="43">
        <f>[1]节奏总纲!AM68</f>
        <v>5324.1500000000005</v>
      </c>
      <c r="AN68" s="43">
        <f>[1]节奏总纲!AN68</f>
        <v>4259.3200000000006</v>
      </c>
      <c r="AO68" s="43">
        <f>[1]节奏总纲!AO68</f>
        <v>3194.4900000000002</v>
      </c>
      <c r="AP68" s="43">
        <f>[1]节奏总纲!AP68</f>
        <v>2129.6600000000003</v>
      </c>
      <c r="AQ68" s="43">
        <f>[1]节奏总纲!AQ68</f>
        <v>1064.8300000000002</v>
      </c>
      <c r="AS68" s="43">
        <v>65</v>
      </c>
      <c r="AT68" s="43">
        <f>[1]节奏总纲!AT68</f>
        <v>724.94511163341122</v>
      </c>
      <c r="AU68" s="43">
        <f>[1]节奏总纲!AU68</f>
        <v>579.95608930672915</v>
      </c>
      <c r="AV68" s="43">
        <f>[1]节奏总纲!AV68</f>
        <v>434.96706698004664</v>
      </c>
      <c r="AW68" s="43">
        <f>[1]节奏总纲!AW68</f>
        <v>289.97804465336458</v>
      </c>
      <c r="AX68" s="43">
        <f>[1]节奏总纲!AX68</f>
        <v>144.98902232668229</v>
      </c>
      <c r="AZ68" s="21">
        <v>65</v>
      </c>
      <c r="BA68" s="21">
        <v>35.146386283795508</v>
      </c>
      <c r="BB68" s="21">
        <v>36.631544620542407</v>
      </c>
      <c r="BC68" s="21">
        <v>38.559434478468994</v>
      </c>
      <c r="BD68" s="21">
        <v>41.288607292184714</v>
      </c>
      <c r="BE68" s="21">
        <v>45.98082701761146</v>
      </c>
    </row>
    <row r="69" spans="6:57" x14ac:dyDescent="0.15">
      <c r="F69" s="21">
        <v>67</v>
      </c>
      <c r="G69" s="21">
        <v>102.96830673359811</v>
      </c>
      <c r="N69" s="26">
        <f>[1]节奏总纲!N69</f>
        <v>76</v>
      </c>
      <c r="O69" s="21">
        <v>66</v>
      </c>
      <c r="P69" s="21">
        <f>[1]节奏总纲!P69</f>
        <v>96.005860256665443</v>
      </c>
      <c r="Q69" s="21">
        <f>[1]节奏总纲!Q69</f>
        <v>83.352287874836932</v>
      </c>
      <c r="R69" s="21">
        <f>[1]节奏总纲!R69</f>
        <v>68.490580707105124</v>
      </c>
      <c r="S69" s="21">
        <f>[1]节奏总纲!S69</f>
        <v>50.163061984107692</v>
      </c>
      <c r="T69" s="21">
        <f>[1]节奏总纲!T69</f>
        <v>27.851300060458648</v>
      </c>
      <c r="U69" s="27"/>
      <c r="V69" s="21">
        <v>66</v>
      </c>
      <c r="W69" s="21">
        <f>[1]节奏总纲!W69</f>
        <v>6.496192264787382</v>
      </c>
      <c r="X69" s="21">
        <f>[1]节奏总纲!X69</f>
        <v>5.7026508918827119</v>
      </c>
      <c r="Y69" s="21">
        <f>[1]节奏总纲!Y69</f>
        <v>4.6880893624944449</v>
      </c>
      <c r="Z69" s="21">
        <f>[1]节奏总纲!Z69</f>
        <v>3.2331430559660248</v>
      </c>
      <c r="AA69" s="21">
        <f>[1]节奏总纲!AA69</f>
        <v>1.8576924756172595</v>
      </c>
      <c r="AC69" s="21">
        <v>66</v>
      </c>
      <c r="AD69" s="21">
        <f>[1]节奏总纲!AD69</f>
        <v>60.653096539355303</v>
      </c>
      <c r="AE69" s="21">
        <f>[1]节奏总纲!AE69</f>
        <v>62.682290092013595</v>
      </c>
      <c r="AF69" s="21">
        <f>[1]节奏总纲!AF69</f>
        <v>65.468742911124906</v>
      </c>
      <c r="AG69" s="21">
        <f>[1]节奏总纲!AG69</f>
        <v>70.015851474333999</v>
      </c>
      <c r="AH69" s="21">
        <f>[1]节奏总纲!AH69</f>
        <v>78.525279626417301</v>
      </c>
      <c r="AL69" s="43">
        <v>66</v>
      </c>
      <c r="AM69" s="43">
        <f>[1]节奏总纲!AM69</f>
        <v>6162.9846853088866</v>
      </c>
      <c r="AN69" s="43">
        <f>[1]节奏总纲!AN69</f>
        <v>4930.3877482471098</v>
      </c>
      <c r="AO69" s="43">
        <f>[1]节奏总纲!AO69</f>
        <v>3697.7908111853317</v>
      </c>
      <c r="AP69" s="43">
        <f>[1]节奏总纲!AP69</f>
        <v>2465.1938741235549</v>
      </c>
      <c r="AQ69" s="43">
        <f>[1]节奏总纲!AQ69</f>
        <v>1232.5969370617775</v>
      </c>
      <c r="AS69" s="43">
        <v>66</v>
      </c>
      <c r="AT69" s="43">
        <f>[1]节奏总纲!AT69</f>
        <v>838.83468530888604</v>
      </c>
      <c r="AU69" s="43">
        <f>[1]节奏总纲!AU69</f>
        <v>671.06774824710919</v>
      </c>
      <c r="AV69" s="43">
        <f>[1]节奏总纲!AV69</f>
        <v>503.30081118533144</v>
      </c>
      <c r="AW69" s="43">
        <f>[1]节奏总纲!AW69</f>
        <v>335.5338741235546</v>
      </c>
      <c r="AX69" s="43">
        <f>[1]节奏总纲!AX69</f>
        <v>167.7669370617773</v>
      </c>
      <c r="AZ69" s="21">
        <v>66</v>
      </c>
      <c r="BA69" s="21">
        <v>35.243977139659179</v>
      </c>
      <c r="BB69" s="21">
        <v>36.73675803133704</v>
      </c>
      <c r="BC69" s="21">
        <v>38.663818688865533</v>
      </c>
      <c r="BD69" s="21">
        <v>41.389172829914081</v>
      </c>
      <c r="BE69" s="21">
        <v>46.079770001861057</v>
      </c>
    </row>
    <row r="70" spans="6:57" x14ac:dyDescent="0.15">
      <c r="F70" s="21">
        <v>68</v>
      </c>
      <c r="G70" s="21">
        <v>110.43047210190386</v>
      </c>
      <c r="N70" s="26">
        <f>[1]节奏总纲!N70</f>
        <v>77</v>
      </c>
      <c r="O70" s="21">
        <v>67</v>
      </c>
      <c r="P70" s="21">
        <f>[1]节奏总纲!P70</f>
        <v>102.96830673359811</v>
      </c>
      <c r="Q70" s="21">
        <f>[1]节奏总纲!Q70</f>
        <v>89.469161720823394</v>
      </c>
      <c r="R70" s="21">
        <f>[1]节奏总纲!R70</f>
        <v>73.292840732975137</v>
      </c>
      <c r="S70" s="21">
        <f>[1]节奏总纲!S70</f>
        <v>53.625894146857902</v>
      </c>
      <c r="T70" s="21">
        <f>[1]节奏总纲!T70</f>
        <v>29.799027968703292</v>
      </c>
      <c r="U70" s="27"/>
      <c r="V70" s="21">
        <v>67</v>
      </c>
      <c r="W70" s="21">
        <f>[1]节奏总纲!W70</f>
        <v>6.9624464769326693</v>
      </c>
      <c r="X70" s="21">
        <f>[1]节奏总纲!X70</f>
        <v>6.1168738459864613</v>
      </c>
      <c r="Y70" s="21">
        <f>[1]节奏总纲!Y70</f>
        <v>4.8022600258700123</v>
      </c>
      <c r="Z70" s="21">
        <f>[1]节奏总纲!Z70</f>
        <v>3.4628321627502103</v>
      </c>
      <c r="AA70" s="21">
        <f>[1]节奏总纲!AA70</f>
        <v>1.9477279082446444</v>
      </c>
      <c r="AC70" s="21">
        <v>67</v>
      </c>
      <c r="AD70" s="21">
        <f>[1]节奏总纲!AD70</f>
        <v>60.870795385807064</v>
      </c>
      <c r="AE70" s="21">
        <f>[1]节奏总纲!AE70</f>
        <v>62.898407640114556</v>
      </c>
      <c r="AF70" s="21">
        <f>[1]节奏总纲!AF70</f>
        <v>65.682049425288255</v>
      </c>
      <c r="AG70" s="21">
        <f>[1]节奏总纲!AG70</f>
        <v>70.229195678021767</v>
      </c>
      <c r="AH70" s="21">
        <f>[1]节奏总纲!AH70</f>
        <v>78.748984204926018</v>
      </c>
      <c r="AL70" s="43">
        <v>67</v>
      </c>
      <c r="AM70" s="43">
        <f>[1]节奏总纲!AM70</f>
        <v>7133.5498113340191</v>
      </c>
      <c r="AN70" s="43">
        <f>[1]节奏总纲!AN70</f>
        <v>5706.8398490672153</v>
      </c>
      <c r="AO70" s="43">
        <f>[1]节奏总纲!AO70</f>
        <v>4280.1298868004114</v>
      </c>
      <c r="AP70" s="43">
        <f>[1]节奏总纲!AP70</f>
        <v>2853.4199245336076</v>
      </c>
      <c r="AQ70" s="43">
        <f>[1]节奏总纲!AQ70</f>
        <v>1426.7099622668038</v>
      </c>
      <c r="AS70" s="43">
        <v>67</v>
      </c>
      <c r="AT70" s="43">
        <f>[1]节奏总纲!AT70</f>
        <v>970.56512602513249</v>
      </c>
      <c r="AU70" s="43">
        <f>[1]节奏总纲!AU70</f>
        <v>776.45210082010544</v>
      </c>
      <c r="AV70" s="43">
        <f>[1]节奏总纲!AV70</f>
        <v>582.33907561507976</v>
      </c>
      <c r="AW70" s="43">
        <f>[1]节奏总纲!AW70</f>
        <v>388.22605041005272</v>
      </c>
      <c r="AX70" s="43">
        <f>[1]节奏总纲!AX70</f>
        <v>194.11302520502636</v>
      </c>
      <c r="AZ70" s="21">
        <v>67</v>
      </c>
      <c r="BA70" s="21">
        <v>35.341567995522851</v>
      </c>
      <c r="BB70" s="21">
        <v>36.841971442131673</v>
      </c>
      <c r="BC70" s="21">
        <v>38.768202899262064</v>
      </c>
      <c r="BD70" s="21">
        <v>41.48973836764344</v>
      </c>
      <c r="BE70" s="21">
        <v>46.176090215954694</v>
      </c>
    </row>
    <row r="71" spans="6:57" x14ac:dyDescent="0.15">
      <c r="F71" s="21">
        <v>69</v>
      </c>
      <c r="G71" s="21">
        <v>118.42822291671132</v>
      </c>
      <c r="N71" s="26">
        <f>[1]节奏总纲!N71</f>
        <v>78</v>
      </c>
      <c r="O71" s="21">
        <v>68</v>
      </c>
      <c r="P71" s="21">
        <f>[1]节奏总纲!P71</f>
        <v>110.43047210190386</v>
      </c>
      <c r="Q71" s="21">
        <f>[1]节奏总纲!Q71</f>
        <v>95.831563690032169</v>
      </c>
      <c r="R71" s="21">
        <f>[1]节奏总纲!R71</f>
        <v>78.251032531409081</v>
      </c>
      <c r="S71" s="21">
        <f>[1]节奏总纲!S71</f>
        <v>57.412802445779818</v>
      </c>
      <c r="T71" s="21">
        <f>[1]节奏总纲!T71</f>
        <v>31.859191201399263</v>
      </c>
      <c r="U71" s="27"/>
      <c r="V71" s="21">
        <v>68</v>
      </c>
      <c r="W71" s="21">
        <f>[1]节奏总纲!W71</f>
        <v>7.4621653683057474</v>
      </c>
      <c r="X71" s="21">
        <f>[1]节奏总纲!X71</f>
        <v>6.3624019692087757</v>
      </c>
      <c r="Y71" s="21">
        <f>[1]节奏总纲!Y71</f>
        <v>4.9581917984339441</v>
      </c>
      <c r="Z71" s="21">
        <f>[1]节奏总纲!Z71</f>
        <v>3.7869082989219152</v>
      </c>
      <c r="AA71" s="21">
        <f>[1]节奏总纲!AA71</f>
        <v>2.0601632326959702</v>
      </c>
      <c r="AC71" s="21">
        <v>68</v>
      </c>
      <c r="AD71" s="21">
        <f>[1]节奏总纲!AD71</f>
        <v>61.082568038258209</v>
      </c>
      <c r="AE71" s="21">
        <f>[1]节奏总纲!AE71</f>
        <v>63.107492392331935</v>
      </c>
      <c r="AF71" s="21">
        <f>[1]节奏总纲!AF71</f>
        <v>65.895355939451605</v>
      </c>
      <c r="AG71" s="21">
        <f>[1]节奏总纲!AG71</f>
        <v>70.442539881709536</v>
      </c>
      <c r="AH71" s="21">
        <f>[1]节奏总纲!AH71</f>
        <v>78.972688783434734</v>
      </c>
      <c r="AL71" s="43">
        <v>68</v>
      </c>
      <c r="AM71" s="43">
        <f>[1]节奏总纲!AM71</f>
        <v>8256.4738250473602</v>
      </c>
      <c r="AN71" s="43">
        <f>[1]节奏总纲!AN71</f>
        <v>6605.1790600378881</v>
      </c>
      <c r="AO71" s="43">
        <f>[1]节奏总纲!AO71</f>
        <v>4953.8842950284161</v>
      </c>
      <c r="AP71" s="43">
        <f>[1]节奏总纲!AP71</f>
        <v>3302.5895300189441</v>
      </c>
      <c r="AQ71" s="43">
        <f>[1]节奏总纲!AQ71</f>
        <v>1651.294765009472</v>
      </c>
      <c r="AS71" s="43">
        <v>68</v>
      </c>
      <c r="AT71" s="43">
        <f>[1]节奏总纲!AT71</f>
        <v>1122.9240137133411</v>
      </c>
      <c r="AU71" s="43">
        <f>[1]节奏总纲!AU71</f>
        <v>898.33921097067287</v>
      </c>
      <c r="AV71" s="43">
        <f>[1]节奏总纲!AV71</f>
        <v>673.75440822800465</v>
      </c>
      <c r="AW71" s="43">
        <f>[1]节奏总纲!AW71</f>
        <v>449.16960548533643</v>
      </c>
      <c r="AX71" s="43">
        <f>[1]节奏总纲!AX71</f>
        <v>224.58480274266822</v>
      </c>
      <c r="AZ71" s="21">
        <v>68</v>
      </c>
      <c r="BA71" s="21">
        <v>35.439158851386523</v>
      </c>
      <c r="BB71" s="21">
        <v>36.947184852926306</v>
      </c>
      <c r="BC71" s="21">
        <v>38.872587109658596</v>
      </c>
      <c r="BD71" s="21">
        <v>41.590303905372799</v>
      </c>
      <c r="BE71" s="21">
        <v>46.272410430048332</v>
      </c>
    </row>
    <row r="72" spans="6:57" x14ac:dyDescent="0.15">
      <c r="F72" s="21">
        <v>70</v>
      </c>
      <c r="G72" s="21">
        <v>127</v>
      </c>
      <c r="N72" s="26">
        <f>[1]节奏总纲!N72</f>
        <v>79</v>
      </c>
      <c r="O72" s="21">
        <v>69</v>
      </c>
      <c r="P72" s="21">
        <f>[1]节奏总纲!P72</f>
        <v>118.42822291671132</v>
      </c>
      <c r="Q72" s="21">
        <f>[1]节奏总纲!Q72</f>
        <v>102.51146975670532</v>
      </c>
      <c r="R72" s="21">
        <f>[1]节奏总纲!R72</f>
        <v>83.894553114198303</v>
      </c>
      <c r="S72" s="21">
        <f>[1]节奏总纲!S72</f>
        <v>61.535304627523196</v>
      </c>
      <c r="T72" s="21">
        <f>[1]节奏总纲!T72</f>
        <v>34.059956910846175</v>
      </c>
      <c r="U72" s="27"/>
      <c r="V72" s="21">
        <v>69</v>
      </c>
      <c r="W72" s="21">
        <f>[1]节奏总纲!W72</f>
        <v>7.9977508148074605</v>
      </c>
      <c r="X72" s="21">
        <f>[1]节奏总纲!X72</f>
        <v>6.6799060666731549</v>
      </c>
      <c r="Y72" s="21">
        <f>[1]节奏总纲!Y72</f>
        <v>5.6435205827892219</v>
      </c>
      <c r="Z72" s="21">
        <f>[1]节奏总纲!Z72</f>
        <v>4.1225021817433785</v>
      </c>
      <c r="AA72" s="21">
        <f>[1]节奏总纲!AA72</f>
        <v>2.2007657094469124</v>
      </c>
      <c r="AC72" s="21">
        <v>69</v>
      </c>
      <c r="AD72" s="21">
        <f>[1]节奏总纲!AD72</f>
        <v>61.285688244217212</v>
      </c>
      <c r="AE72" s="21">
        <f>[1]节奏总纲!AE72</f>
        <v>63.310338531528565</v>
      </c>
      <c r="AF72" s="21">
        <f>[1]节奏总纲!AF72</f>
        <v>66.106079073217742</v>
      </c>
      <c r="AG72" s="21">
        <f>[1]节奏总纲!AG72</f>
        <v>70.655884085397304</v>
      </c>
      <c r="AH72" s="21">
        <f>[1]节奏总纲!AH72</f>
        <v>79.188599387584361</v>
      </c>
      <c r="AL72" s="43">
        <v>69</v>
      </c>
      <c r="AM72" s="43">
        <f>[1]节奏总纲!AM72</f>
        <v>9555.6072874592737</v>
      </c>
      <c r="AN72" s="43">
        <f>[1]节奏总纲!AN72</f>
        <v>7644.4858299674197</v>
      </c>
      <c r="AO72" s="43">
        <f>[1]节奏总纲!AO72</f>
        <v>5733.3643724755639</v>
      </c>
      <c r="AP72" s="43">
        <f>[1]节奏总纲!AP72</f>
        <v>3822.2429149837099</v>
      </c>
      <c r="AQ72" s="43">
        <f>[1]节奏总纲!AQ72</f>
        <v>1911.1214574918549</v>
      </c>
      <c r="AS72" s="43">
        <v>69</v>
      </c>
      <c r="AT72" s="43">
        <f>[1]节奏总纲!AT72</f>
        <v>1299.1334624119136</v>
      </c>
      <c r="AU72" s="43">
        <f>[1]节奏总纲!AU72</f>
        <v>1039.3067699295316</v>
      </c>
      <c r="AV72" s="43">
        <f>[1]节奏总纲!AV72</f>
        <v>779.48007744714778</v>
      </c>
      <c r="AW72" s="43">
        <f>[1]节奏总纲!AW72</f>
        <v>519.65338496476579</v>
      </c>
      <c r="AX72" s="43">
        <f>[1]节奏总纲!AX72</f>
        <v>259.8266924823829</v>
      </c>
      <c r="AZ72" s="21">
        <v>69</v>
      </c>
      <c r="BA72" s="21">
        <v>35.536749707250202</v>
      </c>
      <c r="BB72" s="21">
        <v>37.045197000674086</v>
      </c>
      <c r="BC72" s="21">
        <v>38.976971320055128</v>
      </c>
      <c r="BD72" s="21">
        <v>41.690869443102159</v>
      </c>
      <c r="BE72" s="21">
        <v>46.368730644141969</v>
      </c>
    </row>
    <row r="73" spans="6:57" x14ac:dyDescent="0.15">
      <c r="F73" s="21">
        <v>71</v>
      </c>
      <c r="G73" s="21">
        <v>136.18700320464549</v>
      </c>
      <c r="N73" s="26">
        <f>[1]节奏总纲!N73</f>
        <v>80</v>
      </c>
      <c r="O73" s="21">
        <v>70</v>
      </c>
      <c r="P73" s="21">
        <f>[1]节奏总纲!P73</f>
        <v>127</v>
      </c>
      <c r="Q73" s="21">
        <f>[1]节奏总纲!Q73</f>
        <v>109.9693</v>
      </c>
      <c r="R73" s="21">
        <f>[1]节奏总纲!R73</f>
        <v>90.106499999999997</v>
      </c>
      <c r="S73" s="21">
        <f>[1]节奏总纲!S73</f>
        <v>65.925700000000006</v>
      </c>
      <c r="T73" s="21">
        <f>[1]节奏总纲!T73</f>
        <v>36.4998</v>
      </c>
      <c r="U73" s="27"/>
      <c r="V73" s="21">
        <v>70</v>
      </c>
      <c r="W73" s="21">
        <f>[1]节奏总纲!W73</f>
        <v>8.5717770832886799</v>
      </c>
      <c r="X73" s="21">
        <f>[1]节奏总纲!X73</f>
        <v>7.4578302432946799</v>
      </c>
      <c r="Y73" s="21">
        <f>[1]节奏总纲!Y73</f>
        <v>6.2119468858016944</v>
      </c>
      <c r="Z73" s="21">
        <f>[1]节奏总纲!Z73</f>
        <v>4.3903953724768101</v>
      </c>
      <c r="AA73" s="21">
        <f>[1]节奏总纲!AA73</f>
        <v>2.4398430891538254</v>
      </c>
      <c r="AC73" s="21">
        <v>70</v>
      </c>
      <c r="AD73" s="21">
        <f>[1]节奏总纲!AD73</f>
        <v>61.488808450176215</v>
      </c>
      <c r="AE73" s="21">
        <f>[1]节奏总纲!AE73</f>
        <v>63.513184670725188</v>
      </c>
      <c r="AF73" s="21">
        <f>[1]节奏总纲!AF73</f>
        <v>66.314314361313961</v>
      </c>
      <c r="AG73" s="21">
        <f>[1]节奏总纲!AG73</f>
        <v>70.869228289085072</v>
      </c>
      <c r="AH73" s="21">
        <f>[1]节奏总纲!AH73</f>
        <v>79.403426131671111</v>
      </c>
      <c r="AL73" s="43">
        <v>70</v>
      </c>
      <c r="AM73" s="43">
        <f>[1]节奏总纲!AM73</f>
        <v>11058.525000000001</v>
      </c>
      <c r="AN73" s="43">
        <f>[1]节奏总纲!AN73</f>
        <v>8846.8200000000015</v>
      </c>
      <c r="AO73" s="43">
        <f>[1]节奏总纲!AO73</f>
        <v>6635.1150000000007</v>
      </c>
      <c r="AP73" s="43">
        <f>[1]节奏总纲!AP73</f>
        <v>4423.4100000000008</v>
      </c>
      <c r="AQ73" s="43">
        <f>[1]节奏总纲!AQ73</f>
        <v>2211.7050000000004</v>
      </c>
      <c r="AS73" s="43">
        <v>70</v>
      </c>
      <c r="AT73" s="43">
        <f>[1]节奏总纲!AT73</f>
        <v>1502.9177125407277</v>
      </c>
      <c r="AU73" s="43">
        <f>[1]节奏总纲!AU73</f>
        <v>1202.3341700325818</v>
      </c>
      <c r="AV73" s="43">
        <f>[1]节奏总纲!AV73</f>
        <v>901.75062752443682</v>
      </c>
      <c r="AW73" s="43">
        <f>[1]节奏总纲!AW73</f>
        <v>601.16708501629091</v>
      </c>
      <c r="AX73" s="43">
        <f>[1]节奏总纲!AX73</f>
        <v>300.58354250814546</v>
      </c>
      <c r="AZ73" s="21">
        <v>70</v>
      </c>
      <c r="BA73" s="21">
        <v>35.634340563113874</v>
      </c>
      <c r="BB73" s="21">
        <v>37.135950591746003</v>
      </c>
      <c r="BC73" s="21">
        <v>39.070187171981765</v>
      </c>
      <c r="BD73" s="21">
        <v>41.791434980831518</v>
      </c>
      <c r="BE73" s="21">
        <v>46.465050858235607</v>
      </c>
    </row>
    <row r="74" spans="6:57" x14ac:dyDescent="0.15">
      <c r="F74" s="21">
        <v>72</v>
      </c>
      <c r="G74" s="21">
        <v>146.03338943962044</v>
      </c>
      <c r="N74" s="26">
        <f>[1]节奏总纲!N74</f>
        <v>81</v>
      </c>
      <c r="O74" s="21">
        <v>71</v>
      </c>
      <c r="P74" s="21">
        <f>[1]节奏总纲!P74</f>
        <v>136.18700320464549</v>
      </c>
      <c r="Q74" s="21">
        <f>[1]节奏总纲!Q74</f>
        <v>118.03327567746625</v>
      </c>
      <c r="R74" s="21">
        <f>[1]节奏总纲!R74</f>
        <v>96.583822672734584</v>
      </c>
      <c r="S74" s="21">
        <f>[1]节奏总纲!S74</f>
        <v>70.612961161608681</v>
      </c>
      <c r="T74" s="21">
        <f>[1]节奏总纲!T74</f>
        <v>39.126526020694648</v>
      </c>
      <c r="U74" s="27"/>
      <c r="V74" s="21">
        <v>71</v>
      </c>
      <c r="W74" s="21">
        <f>[1]节奏总纲!W74</f>
        <v>9.1870032046454924</v>
      </c>
      <c r="X74" s="21">
        <f>[1]节奏总纲!X74</f>
        <v>8.0639756774662459</v>
      </c>
      <c r="Y74" s="21">
        <f>[1]节奏总纲!Y74</f>
        <v>6.4773226727345872</v>
      </c>
      <c r="Z74" s="21">
        <f>[1]节奏总纲!Z74</f>
        <v>4.6872611616086743</v>
      </c>
      <c r="AA74" s="21">
        <f>[1]节奏总纲!AA74</f>
        <v>2.6267260206946474</v>
      </c>
      <c r="AC74" s="21">
        <v>71</v>
      </c>
      <c r="AD74" s="21">
        <f>[1]节奏总纲!AD74</f>
        <v>61.691928656135218</v>
      </c>
      <c r="AE74" s="21">
        <f>[1]节奏总纲!AE74</f>
        <v>63.716030809921811</v>
      </c>
      <c r="AF74" s="21">
        <f>[1]节奏总纲!AF74</f>
        <v>66.52254964941018</v>
      </c>
      <c r="AG74" s="21">
        <f>[1]节奏总纲!AG74</f>
        <v>71.07781362467729</v>
      </c>
      <c r="AH74" s="21">
        <f>[1]节奏总纲!AH74</f>
        <v>79.618252875757847</v>
      </c>
      <c r="AL74" s="43">
        <v>71</v>
      </c>
      <c r="AM74" s="43">
        <f>[1]节奏总纲!AM74</f>
        <v>12797.106216824561</v>
      </c>
      <c r="AN74" s="43">
        <f>[1]节奏总纲!AN74</f>
        <v>10237.684973459649</v>
      </c>
      <c r="AO74" s="43">
        <f>[1]节奏总纲!AO74</f>
        <v>7678.2637300947363</v>
      </c>
      <c r="AP74" s="43">
        <f>[1]节奏总纲!AP74</f>
        <v>5118.8424867298245</v>
      </c>
      <c r="AQ74" s="43">
        <f>[1]节奏总纲!AQ74</f>
        <v>2559.4212433649122</v>
      </c>
      <c r="AS74" s="43">
        <v>71</v>
      </c>
      <c r="AT74" s="43">
        <f>[1]节奏总纲!AT74</f>
        <v>1738.5812168245593</v>
      </c>
      <c r="AU74" s="43">
        <f>[1]节奏总纲!AU74</f>
        <v>1390.8649734596474</v>
      </c>
      <c r="AV74" s="43">
        <f>[1]节奏总纲!AV74</f>
        <v>1043.1487300947356</v>
      </c>
      <c r="AW74" s="43">
        <f>[1]节奏总纲!AW74</f>
        <v>695.43248672982372</v>
      </c>
      <c r="AX74" s="43">
        <f>[1]节奏总纲!AX74</f>
        <v>347.71624336491186</v>
      </c>
      <c r="AZ74" s="21">
        <v>71</v>
      </c>
      <c r="BA74" s="21">
        <v>35.731931418977545</v>
      </c>
      <c r="BB74" s="21">
        <v>37.226704182817912</v>
      </c>
      <c r="BC74" s="21">
        <v>39.160241683169971</v>
      </c>
      <c r="BD74" s="21">
        <v>41.892000518560877</v>
      </c>
      <c r="BE74" s="21">
        <v>46.561371072329244</v>
      </c>
    </row>
    <row r="75" spans="6:57" x14ac:dyDescent="0.15">
      <c r="F75" s="21">
        <v>73</v>
      </c>
      <c r="G75" s="21">
        <v>156.58648490814926</v>
      </c>
      <c r="N75" s="26">
        <f>[1]节奏总纲!N75</f>
        <v>82</v>
      </c>
      <c r="O75" s="21">
        <v>72</v>
      </c>
      <c r="P75" s="21">
        <f>[1]节奏总纲!P75</f>
        <v>146.03338943962044</v>
      </c>
      <c r="Q75" s="21">
        <f>[1]节奏总纲!Q75</f>
        <v>126.581741966263</v>
      </c>
      <c r="R75" s="21">
        <f>[1]节奏总纲!R75</f>
        <v>103.31862302853146</v>
      </c>
      <c r="S75" s="21">
        <f>[1]节奏总纲!S75</f>
        <v>75.586882373947532</v>
      </c>
      <c r="T75" s="21">
        <f>[1]节奏总纲!T75</f>
        <v>41.896979430227098</v>
      </c>
      <c r="U75" s="27"/>
      <c r="V75" s="21">
        <v>72</v>
      </c>
      <c r="W75" s="21">
        <f>[1]节奏总纲!W75</f>
        <v>9.8463862349749434</v>
      </c>
      <c r="X75" s="21">
        <f>[1]节奏总纲!X75</f>
        <v>8.548466288796746</v>
      </c>
      <c r="Y75" s="21">
        <f>[1]节奏总纲!Y75</f>
        <v>6.7348003557968781</v>
      </c>
      <c r="Z75" s="21">
        <f>[1]节奏总纲!Z75</f>
        <v>4.9739212123388512</v>
      </c>
      <c r="AA75" s="21">
        <f>[1]节奏总纲!AA75</f>
        <v>2.7704534095324505</v>
      </c>
      <c r="AC75" s="21">
        <v>72</v>
      </c>
      <c r="AD75" s="21">
        <f>[1]节奏总纲!AD75</f>
        <v>61.895048862094221</v>
      </c>
      <c r="AE75" s="21">
        <f>[1]节奏总纲!AE75</f>
        <v>63.918876949118435</v>
      </c>
      <c r="AF75" s="21">
        <f>[1]节奏总纲!AF75</f>
        <v>66.7307849375064</v>
      </c>
      <c r="AG75" s="21">
        <f>[1]节奏总纲!AG75</f>
        <v>71.278862245535876</v>
      </c>
      <c r="AH75" s="21">
        <f>[1]节奏总纲!AH75</f>
        <v>79.833079619844597</v>
      </c>
      <c r="AL75" s="43">
        <v>72</v>
      </c>
      <c r="AM75" s="43">
        <f>[1]节奏总纲!AM75</f>
        <v>14808.205062920617</v>
      </c>
      <c r="AN75" s="43">
        <f>[1]节奏总纲!AN75</f>
        <v>11846.564050336494</v>
      </c>
      <c r="AO75" s="43">
        <f>[1]节奏总纲!AO75</f>
        <v>8884.9230377523691</v>
      </c>
      <c r="AP75" s="43">
        <f>[1]节奏总纲!AP75</f>
        <v>5923.2820251682469</v>
      </c>
      <c r="AQ75" s="43">
        <f>[1]节奏总纲!AQ75</f>
        <v>2961.6410125841235</v>
      </c>
      <c r="AS75" s="43">
        <v>72</v>
      </c>
      <c r="AT75" s="43">
        <f>[1]节奏总纲!AT75</f>
        <v>2011.0988460960561</v>
      </c>
      <c r="AU75" s="43">
        <f>[1]节奏总纲!AU75</f>
        <v>1608.8790768768449</v>
      </c>
      <c r="AV75" s="43">
        <f>[1]节奏总纲!AV75</f>
        <v>1206.6593076576328</v>
      </c>
      <c r="AW75" s="43">
        <f>[1]节奏总纲!AW75</f>
        <v>804.43953843842246</v>
      </c>
      <c r="AX75" s="43">
        <f>[1]节奏总纲!AX75</f>
        <v>402.21976921921123</v>
      </c>
      <c r="AZ75" s="21">
        <v>72</v>
      </c>
      <c r="BA75" s="21">
        <v>35.829522274841217</v>
      </c>
      <c r="BB75" s="21">
        <v>37.317457773889828</v>
      </c>
      <c r="BC75" s="21">
        <v>39.250296194358178</v>
      </c>
      <c r="BD75" s="21">
        <v>41.992566056290244</v>
      </c>
      <c r="BE75" s="21">
        <v>46.657691286422882</v>
      </c>
    </row>
    <row r="76" spans="6:57" x14ac:dyDescent="0.15">
      <c r="F76" s="21">
        <v>74</v>
      </c>
      <c r="G76" s="21">
        <v>167.89701257893043</v>
      </c>
      <c r="N76" s="26">
        <f>[1]节奏总纲!N76</f>
        <v>83</v>
      </c>
      <c r="O76" s="21">
        <v>73</v>
      </c>
      <c r="P76" s="21">
        <f>[1]节奏总纲!P76</f>
        <v>156.58648490814926</v>
      </c>
      <c r="Q76" s="21">
        <f>[1]节奏总纲!Q76</f>
        <v>135.41599214856748</v>
      </c>
      <c r="R76" s="21">
        <f>[1]节奏总纲!R76</f>
        <v>110.58137564213501</v>
      </c>
      <c r="S76" s="21">
        <f>[1]节奏总纲!S76</f>
        <v>80.955212697513176</v>
      </c>
      <c r="T76" s="21">
        <f>[1]节奏总纲!T76</f>
        <v>44.877686574675579</v>
      </c>
      <c r="U76" s="27"/>
      <c r="V76" s="21">
        <v>73</v>
      </c>
      <c r="W76" s="21">
        <f>[1]节奏总纲!W76</f>
        <v>10.553095468528824</v>
      </c>
      <c r="X76" s="21">
        <f>[1]节奏总纲!X76</f>
        <v>8.834250182304487</v>
      </c>
      <c r="Y76" s="21">
        <f>[1]节奏总纲!Y76</f>
        <v>7.2627526136035527</v>
      </c>
      <c r="Z76" s="21">
        <f>[1]节奏总纲!Z76</f>
        <v>5.3683303235656439</v>
      </c>
      <c r="AA76" s="21">
        <f>[1]节奏总纲!AA76</f>
        <v>2.9807071444484805</v>
      </c>
      <c r="AC76" s="21">
        <v>73</v>
      </c>
      <c r="AD76" s="21">
        <f>[1]节奏总纲!AD76</f>
        <v>62.091594979242075</v>
      </c>
      <c r="AE76" s="21">
        <f>[1]节奏总纲!AE76</f>
        <v>64.114306430026588</v>
      </c>
      <c r="AF76" s="21">
        <f>[1]节奏总纲!AF76</f>
        <v>66.939020225602619</v>
      </c>
      <c r="AG76" s="21">
        <f>[1]节奏总纲!AG76</f>
        <v>71.479910866394462</v>
      </c>
      <c r="AH76" s="21">
        <f>[1]节奏总纲!AH76</f>
        <v>80.043898354812981</v>
      </c>
      <c r="AL76" s="43">
        <v>73</v>
      </c>
      <c r="AM76" s="43">
        <f>[1]节奏总纲!AM76</f>
        <v>17134.425155737379</v>
      </c>
      <c r="AN76" s="43">
        <f>[1]节奏总纲!AN76</f>
        <v>13707.540124589905</v>
      </c>
      <c r="AO76" s="43">
        <f>[1]节奏总纲!AO76</f>
        <v>10280.655093442427</v>
      </c>
      <c r="AP76" s="43">
        <f>[1]节奏总纲!AP76</f>
        <v>6853.7700622949524</v>
      </c>
      <c r="AQ76" s="43">
        <f>[1]节奏总纲!AQ76</f>
        <v>3426.8850311474762</v>
      </c>
      <c r="AS76" s="43">
        <v>73</v>
      </c>
      <c r="AT76" s="43">
        <f>[1]节奏总纲!AT76</f>
        <v>2326.2200928167622</v>
      </c>
      <c r="AU76" s="43">
        <f>[1]节奏总纲!AU76</f>
        <v>1860.9760742534108</v>
      </c>
      <c r="AV76" s="43">
        <f>[1]节奏总纲!AV76</f>
        <v>1395.7320556900577</v>
      </c>
      <c r="AW76" s="43">
        <f>[1]节奏总纲!AW76</f>
        <v>930.48803712670542</v>
      </c>
      <c r="AX76" s="43">
        <f>[1]节奏总纲!AX76</f>
        <v>465.24401856335271</v>
      </c>
      <c r="AZ76" s="21">
        <v>73</v>
      </c>
      <c r="BA76" s="21">
        <v>35.927113130704889</v>
      </c>
      <c r="BB76" s="21">
        <v>37.408211364961737</v>
      </c>
      <c r="BC76" s="21">
        <v>39.340350705546385</v>
      </c>
      <c r="BD76" s="21">
        <v>42.080366850119908</v>
      </c>
      <c r="BE76" s="21">
        <v>46.754011500516519</v>
      </c>
    </row>
    <row r="77" spans="6:57" x14ac:dyDescent="0.15">
      <c r="F77" s="21">
        <v>75</v>
      </c>
      <c r="G77" s="21">
        <v>180.01933598375612</v>
      </c>
      <c r="N77" s="26">
        <f>[1]节奏总纲!N77</f>
        <v>84</v>
      </c>
      <c r="O77" s="21">
        <v>74</v>
      </c>
      <c r="P77" s="21">
        <f>[1]节奏总纲!P77</f>
        <v>167.89701257893043</v>
      </c>
      <c r="Q77" s="21">
        <f>[1]节奏总纲!Q77</f>
        <v>145.16375707574326</v>
      </c>
      <c r="R77" s="21">
        <f>[1]节奏总纲!R77</f>
        <v>118.70318789330381</v>
      </c>
      <c r="S77" s="21">
        <f>[1]节奏总纲!S77</f>
        <v>86.869914308338593</v>
      </c>
      <c r="T77" s="21">
        <f>[1]节奏总纲!T77</f>
        <v>48.169652908895138</v>
      </c>
      <c r="U77" s="27"/>
      <c r="V77" s="21">
        <v>74</v>
      </c>
      <c r="W77" s="21">
        <f>[1]节奏总纲!W77</f>
        <v>11.31052767078117</v>
      </c>
      <c r="X77" s="21">
        <f>[1]节奏总纲!X77</f>
        <v>9.7477649271757798</v>
      </c>
      <c r="Y77" s="21">
        <f>[1]节奏总纲!Y77</f>
        <v>8.1218122511687909</v>
      </c>
      <c r="Z77" s="21">
        <f>[1]节奏总纲!Z77</f>
        <v>5.9147016108254178</v>
      </c>
      <c r="AA77" s="21">
        <f>[1]节奏总纲!AA77</f>
        <v>3.2919663342195591</v>
      </c>
      <c r="AC77" s="21">
        <v>74</v>
      </c>
      <c r="AD77" s="21">
        <f>[1]节奏总纲!AD77</f>
        <v>62.281112832649576</v>
      </c>
      <c r="AE77" s="21">
        <f>[1]节奏总纲!AE77</f>
        <v>64.304793036447776</v>
      </c>
      <c r="AF77" s="21">
        <f>[1]节奏总纲!AF77</f>
        <v>67.14262442756818</v>
      </c>
      <c r="AG77" s="21">
        <f>[1]节奏总纲!AG77</f>
        <v>71.680959487253048</v>
      </c>
      <c r="AH77" s="21">
        <f>[1]节奏总纲!AH77</f>
        <v>80.24075196383977</v>
      </c>
      <c r="AL77" s="43">
        <v>74</v>
      </c>
      <c r="AM77" s="43">
        <f>[1]节奏总纲!AM77</f>
        <v>19825.014596370729</v>
      </c>
      <c r="AN77" s="43">
        <f>[1]节奏总纲!AN77</f>
        <v>15860.011677096583</v>
      </c>
      <c r="AO77" s="43">
        <f>[1]节奏总纲!AO77</f>
        <v>11895.008757822437</v>
      </c>
      <c r="AP77" s="43">
        <f>[1]节奏总纲!AP77</f>
        <v>7930.0058385482916</v>
      </c>
      <c r="AQ77" s="43">
        <f>[1]节奏总纲!AQ77</f>
        <v>3965.0029192741458</v>
      </c>
      <c r="AS77" s="43">
        <v>74</v>
      </c>
      <c r="AT77" s="43">
        <f>[1]节奏总纲!AT77</f>
        <v>2690.58944063335</v>
      </c>
      <c r="AU77" s="43">
        <f>[1]节奏总纲!AU77</f>
        <v>2152.4715525066786</v>
      </c>
      <c r="AV77" s="43">
        <f>[1]节奏总纲!AV77</f>
        <v>1614.3536643800107</v>
      </c>
      <c r="AW77" s="43">
        <f>[1]节奏总纲!AW77</f>
        <v>1076.2357762533393</v>
      </c>
      <c r="AX77" s="43">
        <f>[1]节奏总纲!AX77</f>
        <v>538.11788812666964</v>
      </c>
      <c r="AZ77" s="21">
        <v>74</v>
      </c>
      <c r="BA77" s="21">
        <v>36.021306837933537</v>
      </c>
      <c r="BB77" s="21">
        <v>37.498964956033646</v>
      </c>
      <c r="BC77" s="21">
        <v>39.430405216734592</v>
      </c>
      <c r="BD77" s="21">
        <v>42.167148737437564</v>
      </c>
      <c r="BE77" s="21">
        <v>46.850331714610157</v>
      </c>
    </row>
    <row r="78" spans="6:57" x14ac:dyDescent="0.15">
      <c r="F78" s="21">
        <v>76</v>
      </c>
      <c r="G78" s="21">
        <v>193.01172051333091</v>
      </c>
      <c r="N78" s="26">
        <f>[1]节奏总纲!N78</f>
        <v>85</v>
      </c>
      <c r="O78" s="21">
        <v>75</v>
      </c>
      <c r="P78" s="21">
        <f>[1]节奏总纲!P78</f>
        <v>180.01933598375612</v>
      </c>
      <c r="Q78" s="21">
        <f>[1]节奏总纲!Q78</f>
        <v>155.75272949314578</v>
      </c>
      <c r="R78" s="21">
        <f>[1]节奏总纲!R78</f>
        <v>127.38168214210583</v>
      </c>
      <c r="S78" s="21">
        <f>[1]节奏总纲!S78</f>
        <v>93.214012172388934</v>
      </c>
      <c r="T78" s="21">
        <f>[1]节奏总纲!T78</f>
        <v>51.755559095329879</v>
      </c>
      <c r="U78" s="27"/>
      <c r="V78" s="21">
        <v>75</v>
      </c>
      <c r="W78" s="21">
        <f>[1]节奏总纲!W78</f>
        <v>12.122323404825693</v>
      </c>
      <c r="X78" s="21">
        <f>[1]节奏总纲!X78</f>
        <v>10.588972417402516</v>
      </c>
      <c r="Y78" s="21">
        <f>[1]节奏总纲!Y78</f>
        <v>8.6784942488020249</v>
      </c>
      <c r="Z78" s="21">
        <f>[1]节奏总纲!Z78</f>
        <v>6.3440978640503403</v>
      </c>
      <c r="AA78" s="21">
        <f>[1]节奏总纲!AA78</f>
        <v>3.585906186434741</v>
      </c>
      <c r="AC78" s="21">
        <v>75</v>
      </c>
      <c r="AD78" s="21">
        <f>[1]节奏总纲!AD78</f>
        <v>62.470630686057078</v>
      </c>
      <c r="AE78" s="21">
        <f>[1]节奏总纲!AE78</f>
        <v>64.495279642868965</v>
      </c>
      <c r="AF78" s="21">
        <f>[1]节奏总纲!AF78</f>
        <v>67.344310856946692</v>
      </c>
      <c r="AG78" s="21">
        <f>[1]节奏总纲!AG78</f>
        <v>71.882008108111634</v>
      </c>
      <c r="AH78" s="21">
        <f>[1]节奏总纲!AH78</f>
        <v>80.437605572866573</v>
      </c>
      <c r="AL78" s="43">
        <v>75</v>
      </c>
      <c r="AM78" s="43">
        <f>[1]节奏总纲!AM78</f>
        <v>22936.899999999998</v>
      </c>
      <c r="AN78" s="43">
        <f>[1]节奏总纲!AN78</f>
        <v>18349.52</v>
      </c>
      <c r="AO78" s="43">
        <f>[1]节奏总纲!AO78</f>
        <v>13762.139999999998</v>
      </c>
      <c r="AP78" s="43">
        <f>[1]节奏总纲!AP78</f>
        <v>9174.76</v>
      </c>
      <c r="AQ78" s="43">
        <f>[1]节奏总纲!AQ78</f>
        <v>4587.38</v>
      </c>
      <c r="AS78" s="43">
        <v>75</v>
      </c>
      <c r="AT78" s="43">
        <f>[1]节奏总纲!AT78</f>
        <v>3111.8854036292687</v>
      </c>
      <c r="AU78" s="43">
        <f>[1]节奏总纲!AU78</f>
        <v>2489.5083229034171</v>
      </c>
      <c r="AV78" s="43">
        <f>[1]节奏总纲!AV78</f>
        <v>1867.1312421775601</v>
      </c>
      <c r="AW78" s="43">
        <f>[1]节奏总纲!AW78</f>
        <v>1244.7541614517086</v>
      </c>
      <c r="AX78" s="43">
        <f>[1]节奏总纲!AX78</f>
        <v>622.37708072585428</v>
      </c>
      <c r="AZ78" s="21">
        <v>75</v>
      </c>
      <c r="BA78" s="21">
        <v>36.105477566569242</v>
      </c>
      <c r="BB78" s="21">
        <v>37.589718547105562</v>
      </c>
      <c r="BC78" s="21">
        <v>39.520459727922798</v>
      </c>
      <c r="BD78" s="21">
        <v>42.253930624755228</v>
      </c>
      <c r="BE78" s="21">
        <v>46.946651928703787</v>
      </c>
    </row>
    <row r="79" spans="6:57" x14ac:dyDescent="0.15">
      <c r="F79" s="21">
        <v>77</v>
      </c>
      <c r="G79" s="21">
        <v>206.93661346719625</v>
      </c>
      <c r="N79" s="26">
        <f>[1]节奏总纲!N79</f>
        <v>86</v>
      </c>
      <c r="O79" s="21">
        <v>76</v>
      </c>
      <c r="P79" s="21">
        <f>[1]节奏总纲!P79</f>
        <v>193.01172051333091</v>
      </c>
      <c r="Q79" s="21">
        <f>[1]节奏总纲!Q79</f>
        <v>166.97443941608256</v>
      </c>
      <c r="R79" s="21">
        <f>[1]节奏总纲!R79</f>
        <v>136.51718991907896</v>
      </c>
      <c r="S79" s="21">
        <f>[1]节奏总纲!S79</f>
        <v>100.0379747420594</v>
      </c>
      <c r="T79" s="21">
        <f>[1]节奏总纲!T79</f>
        <v>55.664580196044632</v>
      </c>
      <c r="U79" s="27"/>
      <c r="V79" s="21">
        <v>76</v>
      </c>
      <c r="W79" s="21">
        <f>[1]节奏总纲!W79</f>
        <v>12.992384529574792</v>
      </c>
      <c r="X79" s="21">
        <f>[1]节奏总纲!X79</f>
        <v>11.221709922936782</v>
      </c>
      <c r="Y79" s="21">
        <f>[1]节奏总纲!Y79</f>
        <v>9.1355077769731281</v>
      </c>
      <c r="Z79" s="21">
        <f>[1]节奏总纲!Z79</f>
        <v>6.8239625696704707</v>
      </c>
      <c r="AA79" s="21">
        <f>[1]节奏总纲!AA79</f>
        <v>3.9090211007147531</v>
      </c>
      <c r="AC79" s="21">
        <v>76</v>
      </c>
      <c r="AD79" s="21">
        <f>[1]节奏总纲!AD79</f>
        <v>62.660148539464579</v>
      </c>
      <c r="AE79" s="21">
        <f>[1]节奏总纲!AE79</f>
        <v>64.685766249290154</v>
      </c>
      <c r="AF79" s="21">
        <f>[1]节奏总纲!AF79</f>
        <v>67.545997286325218</v>
      </c>
      <c r="AG79" s="21">
        <f>[1]节奏总纲!AG79</f>
        <v>72.076954583856178</v>
      </c>
      <c r="AH79" s="21">
        <f>[1]节奏总纲!AH79</f>
        <v>80.634459181893376</v>
      </c>
      <c r="AL79" s="43">
        <v>76</v>
      </c>
      <c r="AM79" s="43">
        <f>[1]节奏总纲!AM79</f>
        <v>26535.88112606269</v>
      </c>
      <c r="AN79" s="43">
        <f>[1]节奏总纲!AN79</f>
        <v>21228.704900850153</v>
      </c>
      <c r="AO79" s="43">
        <f>[1]节奏总纲!AO79</f>
        <v>15921.528675637614</v>
      </c>
      <c r="AP79" s="43">
        <f>[1]节奏总纲!AP79</f>
        <v>10614.352450425076</v>
      </c>
      <c r="AQ79" s="43">
        <f>[1]节奏总纲!AQ79</f>
        <v>5307.1762252125382</v>
      </c>
      <c r="AS79" s="43">
        <v>76</v>
      </c>
      <c r="AT79" s="43">
        <f>[1]节奏总纲!AT79</f>
        <v>3598.9811260626921</v>
      </c>
      <c r="AU79" s="43">
        <f>[1]节奏总纲!AU79</f>
        <v>2879.1849008501522</v>
      </c>
      <c r="AV79" s="43">
        <f>[1]节奏总纲!AV79</f>
        <v>2159.388675637616</v>
      </c>
      <c r="AW79" s="43">
        <f>[1]节奏总纲!AW79</f>
        <v>1439.5924504250761</v>
      </c>
      <c r="AX79" s="43">
        <f>[1]节奏总纲!AX79</f>
        <v>719.79622521253805</v>
      </c>
      <c r="AZ79" s="21">
        <v>76</v>
      </c>
      <c r="BA79" s="21">
        <v>36.189648295204947</v>
      </c>
      <c r="BB79" s="21">
        <v>37.680472138177471</v>
      </c>
      <c r="BC79" s="21">
        <v>39.610514239111005</v>
      </c>
      <c r="BD79" s="21">
        <v>42.340712512072891</v>
      </c>
      <c r="BE79" s="21">
        <v>47.037096473408994</v>
      </c>
    </row>
    <row r="80" spans="6:57" x14ac:dyDescent="0.15">
      <c r="F80" s="21">
        <v>78</v>
      </c>
      <c r="G80" s="21">
        <v>221.86094420380775</v>
      </c>
      <c r="N80" s="26">
        <f>[1]节奏总纲!N80</f>
        <v>87</v>
      </c>
      <c r="O80" s="21">
        <v>77</v>
      </c>
      <c r="P80" s="21">
        <f>[1]节奏总纲!P80</f>
        <v>206.93661346719625</v>
      </c>
      <c r="Q80" s="21">
        <f>[1]节奏总纲!Q80</f>
        <v>179.12433261720508</v>
      </c>
      <c r="R80" s="21">
        <f>[1]节奏总纲!R80</f>
        <v>146.53181599612165</v>
      </c>
      <c r="S80" s="21">
        <f>[1]节奏总纲!S80</f>
        <v>107.42079605082158</v>
      </c>
      <c r="T80" s="21">
        <f>[1]节奏总纲!T80</f>
        <v>59.535663694512365</v>
      </c>
      <c r="U80" s="27"/>
      <c r="V80" s="21">
        <v>77</v>
      </c>
      <c r="W80" s="21">
        <f>[1]节奏总纲!W80</f>
        <v>13.924892953865339</v>
      </c>
      <c r="X80" s="21">
        <f>[1]节奏总纲!X80</f>
        <v>12.149893201122524</v>
      </c>
      <c r="Y80" s="21">
        <f>[1]节奏总纲!Y80</f>
        <v>10.014626077042692</v>
      </c>
      <c r="Z80" s="21">
        <f>[1]节奏总纲!Z80</f>
        <v>7.3828213087621748</v>
      </c>
      <c r="AA80" s="21">
        <f>[1]节奏总纲!AA80</f>
        <v>3.8710834984677334</v>
      </c>
      <c r="AC80" s="21">
        <v>77</v>
      </c>
      <c r="AD80" s="21">
        <f>[1]节奏总纲!AD80</f>
        <v>62.849666392872081</v>
      </c>
      <c r="AE80" s="21">
        <f>[1]节奏总纲!AE80</f>
        <v>64.876252855711357</v>
      </c>
      <c r="AF80" s="21">
        <f>[1]节奏总纲!AF80</f>
        <v>67.747683715703729</v>
      </c>
      <c r="AG80" s="21">
        <f>[1]节奏总纲!AG80</f>
        <v>72.263232241847945</v>
      </c>
      <c r="AH80" s="21">
        <f>[1]节奏总纲!AH80</f>
        <v>80.83131279092018</v>
      </c>
      <c r="AL80" s="43">
        <v>77</v>
      </c>
      <c r="AM80" s="43">
        <f>[1]节奏总纲!AM80</f>
        <v>30698.011006346387</v>
      </c>
      <c r="AN80" s="43">
        <f>[1]节奏总纲!AN80</f>
        <v>24558.40880507711</v>
      </c>
      <c r="AO80" s="43">
        <f>[1]节奏总纲!AO80</f>
        <v>18418.806603807832</v>
      </c>
      <c r="AP80" s="43">
        <f>[1]节奏总纲!AP80</f>
        <v>12279.204402538555</v>
      </c>
      <c r="AQ80" s="43">
        <f>[1]节奏总纲!AQ80</f>
        <v>6139.6022012692774</v>
      </c>
      <c r="AS80" s="43">
        <v>77</v>
      </c>
      <c r="AT80" s="43">
        <f>[1]节奏总纲!AT80</f>
        <v>4162.1298802836973</v>
      </c>
      <c r="AU80" s="43">
        <f>[1]节奏总纲!AU80</f>
        <v>3329.7039042269571</v>
      </c>
      <c r="AV80" s="43">
        <f>[1]节奏总纲!AV80</f>
        <v>2497.2779281702187</v>
      </c>
      <c r="AW80" s="43">
        <f>[1]节奏总纲!AW80</f>
        <v>1664.8519521134785</v>
      </c>
      <c r="AX80" s="43">
        <f>[1]节奏总纲!AX80</f>
        <v>832.42597605673927</v>
      </c>
      <c r="AZ80" s="21">
        <v>77</v>
      </c>
      <c r="BA80" s="21">
        <v>36.273819023840659</v>
      </c>
      <c r="BB80" s="21">
        <v>37.771225729249387</v>
      </c>
      <c r="BC80" s="21">
        <v>39.700568750299212</v>
      </c>
      <c r="BD80" s="21">
        <v>42.427494399390554</v>
      </c>
      <c r="BE80" s="21">
        <v>47.12024662670057</v>
      </c>
    </row>
    <row r="81" spans="6:57" x14ac:dyDescent="0.15">
      <c r="F81" s="21">
        <v>79</v>
      </c>
      <c r="G81" s="21">
        <v>237.85644583342264</v>
      </c>
      <c r="N81" s="26">
        <f>[1]节奏总纲!N81</f>
        <v>88</v>
      </c>
      <c r="O81" s="21">
        <v>78</v>
      </c>
      <c r="P81" s="21">
        <f>[1]节奏总纲!P81</f>
        <v>221.86094420380775</v>
      </c>
      <c r="Q81" s="21">
        <f>[1]节奏总纲!Q81</f>
        <v>192.04283330281601</v>
      </c>
      <c r="R81" s="21">
        <f>[1]节奏总纲!R81</f>
        <v>157.23285115723854</v>
      </c>
      <c r="S81" s="21">
        <f>[1]节奏总纲!S81</f>
        <v>115.1680161361966</v>
      </c>
      <c r="T81" s="21">
        <f>[1]节奏总纲!T81</f>
        <v>63.651904892072437</v>
      </c>
      <c r="U81" s="27"/>
      <c r="V81" s="21">
        <v>78</v>
      </c>
      <c r="W81" s="21">
        <f>[1]节奏总纲!W81</f>
        <v>14.924330736611495</v>
      </c>
      <c r="X81" s="21">
        <f>[1]节奏总纲!X81</f>
        <v>12.918500685610923</v>
      </c>
      <c r="Y81" s="21">
        <f>[1]节奏总纲!Y81</f>
        <v>10.701035161116891</v>
      </c>
      <c r="Z81" s="21">
        <f>[1]节奏总纲!Z81</f>
        <v>7.7472200853750195</v>
      </c>
      <c r="AA81" s="21">
        <f>[1]节奏总纲!AA81</f>
        <v>4.1162411975600719</v>
      </c>
      <c r="AC81" s="21">
        <v>78</v>
      </c>
      <c r="AD81" s="21">
        <f>[1]节奏总纲!AD81</f>
        <v>63.036560194527354</v>
      </c>
      <c r="AE81" s="21">
        <f>[1]节奏总纲!AE81</f>
        <v>65.061438622789353</v>
      </c>
      <c r="AF81" s="21">
        <f>[1]节奏总纲!AF81</f>
        <v>67.949370145082256</v>
      </c>
      <c r="AG81" s="21">
        <f>[1]节奏总纲!AG81</f>
        <v>72.449509899839711</v>
      </c>
      <c r="AH81" s="21">
        <f>[1]节奏总纲!AH81</f>
        <v>81.026624803116562</v>
      </c>
      <c r="AL81" s="43">
        <v>78</v>
      </c>
      <c r="AM81" s="43">
        <f>[1]节奏总纲!AM81</f>
        <v>35511.190322760085</v>
      </c>
      <c r="AN81" s="43">
        <f>[1]节奏总纲!AN81</f>
        <v>28408.952258208068</v>
      </c>
      <c r="AO81" s="43">
        <f>[1]节奏总纲!AO81</f>
        <v>21306.714193656051</v>
      </c>
      <c r="AP81" s="43">
        <f>[1]节奏总纲!AP81</f>
        <v>14204.476129104034</v>
      </c>
      <c r="AQ81" s="43">
        <f>[1]节奏总纲!AQ81</f>
        <v>7102.238064552017</v>
      </c>
      <c r="AS81" s="43">
        <v>78</v>
      </c>
      <c r="AT81" s="43">
        <f>[1]节奏总纲!AT81</f>
        <v>4813.179316413698</v>
      </c>
      <c r="AU81" s="43">
        <f>[1]节奏总纲!AU81</f>
        <v>3850.5434531309584</v>
      </c>
      <c r="AV81" s="43">
        <f>[1]节奏总纲!AV81</f>
        <v>2887.9075898482188</v>
      </c>
      <c r="AW81" s="43">
        <f>[1]节奏总纲!AW81</f>
        <v>1925.2717265654792</v>
      </c>
      <c r="AX81" s="43">
        <f>[1]节奏总纲!AX81</f>
        <v>962.63586328273959</v>
      </c>
      <c r="AZ81" s="21">
        <v>78</v>
      </c>
      <c r="BA81" s="21">
        <v>36.357989752476364</v>
      </c>
      <c r="BB81" s="21">
        <v>37.861979320321296</v>
      </c>
      <c r="BC81" s="21">
        <v>39.790623261487418</v>
      </c>
      <c r="BD81" s="21">
        <v>42.51427628670821</v>
      </c>
      <c r="BE81" s="21">
        <v>47.203396779992147</v>
      </c>
    </row>
    <row r="82" spans="6:57" x14ac:dyDescent="0.15">
      <c r="F82" s="21">
        <v>80</v>
      </c>
      <c r="G82" s="21">
        <v>255</v>
      </c>
      <c r="N82" s="26">
        <f>[1]节奏总纲!N82</f>
        <v>89</v>
      </c>
      <c r="O82" s="21">
        <v>79</v>
      </c>
      <c r="P82" s="21">
        <f>[1]节奏总纲!P82</f>
        <v>237.85644583342264</v>
      </c>
      <c r="Q82" s="21">
        <f>[1]节奏总纲!Q82</f>
        <v>206.07882467007735</v>
      </c>
      <c r="R82" s="21">
        <f>[1]节奏总纲!R82</f>
        <v>168.73536267423003</v>
      </c>
      <c r="S82" s="21">
        <f>[1]节奏总纲!S82</f>
        <v>123.11449636337954</v>
      </c>
      <c r="T82" s="21">
        <f>[1]节奏总纲!T82</f>
        <v>68.122086086692235</v>
      </c>
      <c r="U82" s="27"/>
      <c r="V82" s="21">
        <v>79</v>
      </c>
      <c r="W82" s="21">
        <f>[1]节奏总纲!W82</f>
        <v>15.995501629614893</v>
      </c>
      <c r="X82" s="21">
        <f>[1]节奏总纲!X82</f>
        <v>14.035991367261346</v>
      </c>
      <c r="Y82" s="21">
        <f>[1]节奏总纲!Y82</f>
        <v>11.50251151699149</v>
      </c>
      <c r="Z82" s="21">
        <f>[1]节奏总纲!Z82</f>
        <v>7.9464802271829456</v>
      </c>
      <c r="AA82" s="21">
        <f>[1]节奏总纲!AA82</f>
        <v>4.4701811946197978</v>
      </c>
      <c r="AC82" s="21">
        <v>79</v>
      </c>
      <c r="AD82" s="21">
        <f>[1]节奏总纲!AD82</f>
        <v>63.213386604241791</v>
      </c>
      <c r="AE82" s="21">
        <f>[1]节奏总纲!AE82</f>
        <v>65.23679566619937</v>
      </c>
      <c r="AF82" s="21">
        <f>[1]节奏总纲!AF82</f>
        <v>68.132712808893615</v>
      </c>
      <c r="AG82" s="21">
        <f>[1]节奏总纲!AG82</f>
        <v>72.635787557831478</v>
      </c>
      <c r="AH82" s="21">
        <f>[1]节奏总纲!AH82</f>
        <v>81.212704266341873</v>
      </c>
      <c r="AL82" s="43">
        <v>79</v>
      </c>
      <c r="AM82" s="43">
        <f>[1]节奏总纲!AM82</f>
        <v>41077.009235645834</v>
      </c>
      <c r="AN82" s="43">
        <f>[1]节奏总纲!AN82</f>
        <v>32861.60738851667</v>
      </c>
      <c r="AO82" s="43">
        <f>[1]节奏总纲!AO82</f>
        <v>24646.205541387499</v>
      </c>
      <c r="AP82" s="43">
        <f>[1]节奏总纲!AP82</f>
        <v>16430.803694258335</v>
      </c>
      <c r="AQ82" s="43">
        <f>[1]节奏总纲!AQ82</f>
        <v>8215.4018471291674</v>
      </c>
      <c r="AS82" s="43">
        <v>79</v>
      </c>
      <c r="AT82" s="43">
        <f>[1]节奏总纲!AT82</f>
        <v>5565.8189128857484</v>
      </c>
      <c r="AU82" s="43">
        <f>[1]节奏总纲!AU82</f>
        <v>4452.6551303086017</v>
      </c>
      <c r="AV82" s="43">
        <f>[1]节奏总纲!AV82</f>
        <v>3339.4913477314476</v>
      </c>
      <c r="AW82" s="43">
        <f>[1]节奏总纲!AW82</f>
        <v>2226.3275651543008</v>
      </c>
      <c r="AX82" s="43">
        <f>[1]节奏总纲!AX82</f>
        <v>1113.1637825771504</v>
      </c>
      <c r="AZ82" s="21">
        <v>79</v>
      </c>
      <c r="BA82" s="21">
        <v>36.442160481112069</v>
      </c>
      <c r="BB82" s="21">
        <v>37.952732911393213</v>
      </c>
      <c r="BC82" s="21">
        <v>39.880677772675625</v>
      </c>
      <c r="BD82" s="21">
        <v>42.601058174025873</v>
      </c>
      <c r="BE82" s="21">
        <v>47.286546933283724</v>
      </c>
    </row>
    <row r="83" spans="6:57" x14ac:dyDescent="0.15">
      <c r="F83" s="21">
        <v>81</v>
      </c>
      <c r="G83" s="21">
        <v>273.37400640929098</v>
      </c>
      <c r="N83" s="26">
        <f>[1]节奏总纲!N83</f>
        <v>90</v>
      </c>
      <c r="O83" s="21">
        <v>80</v>
      </c>
      <c r="P83" s="21">
        <f>[1]节奏总纲!P83</f>
        <v>255</v>
      </c>
      <c r="Q83" s="21">
        <f>[1]节奏总纲!Q83</f>
        <v>221.08500000000001</v>
      </c>
      <c r="R83" s="21">
        <f>[1]节奏总纲!R83</f>
        <v>180.33600000000001</v>
      </c>
      <c r="S83" s="21">
        <f>[1]节奏总纲!S83</f>
        <v>131.58000000000001</v>
      </c>
      <c r="T83" s="21">
        <f>[1]节奏总纲!T83</f>
        <v>72.777000000000001</v>
      </c>
      <c r="U83" s="27"/>
      <c r="V83" s="21">
        <v>80</v>
      </c>
      <c r="W83" s="21">
        <f>[1]节奏总纲!W83</f>
        <v>17.14355416657736</v>
      </c>
      <c r="X83" s="21">
        <f>[1]节奏总纲!X83</f>
        <v>15.006175329922655</v>
      </c>
      <c r="Y83" s="21">
        <f>[1]节奏总纲!Y83</f>
        <v>11.600637325769981</v>
      </c>
      <c r="Z83" s="21">
        <f>[1]节奏总纲!Z83</f>
        <v>8.4655036366204683</v>
      </c>
      <c r="AA83" s="21">
        <f>[1]节奏总纲!AA83</f>
        <v>4.6549139133077659</v>
      </c>
      <c r="AC83" s="21">
        <v>80</v>
      </c>
      <c r="AD83" s="21">
        <f>[1]节奏总纲!AD83</f>
        <v>63.39021301395622</v>
      </c>
      <c r="AE83" s="21">
        <f>[1]节奏总纲!AE83</f>
        <v>65.412152709609373</v>
      </c>
      <c r="AF83" s="21">
        <f>[1]节奏总纲!AF83</f>
        <v>68.309907165737044</v>
      </c>
      <c r="AG83" s="21">
        <f>[1]节奏总纲!AG83</f>
        <v>72.822065215823244</v>
      </c>
      <c r="AH83" s="21">
        <f>[1]节奏总纲!AH83</f>
        <v>81.398783729567185</v>
      </c>
      <c r="AL83" s="43">
        <v>80</v>
      </c>
      <c r="AM83" s="43">
        <f>[1]节奏总纲!AM83</f>
        <v>47512.875</v>
      </c>
      <c r="AN83" s="43">
        <f>[1]节奏总纲!AN83</f>
        <v>38010.300000000003</v>
      </c>
      <c r="AO83" s="43">
        <f>[1]节奏总纲!AO83</f>
        <v>28507.724999999999</v>
      </c>
      <c r="AP83" s="43">
        <f>[1]节奏总纲!AP83</f>
        <v>19005.150000000001</v>
      </c>
      <c r="AQ83" s="43">
        <f>[1]节奏总纲!AQ83</f>
        <v>9502.5750000000007</v>
      </c>
      <c r="AS83" s="43">
        <v>80</v>
      </c>
      <c r="AT83" s="43">
        <f>[1]节奏总纲!AT83</f>
        <v>6435.8657643541665</v>
      </c>
      <c r="AU83" s="43">
        <f>[1]节奏总纲!AU83</f>
        <v>5148.6926114833332</v>
      </c>
      <c r="AV83" s="43">
        <f>[1]节奏总纲!AV83</f>
        <v>3861.5194586124999</v>
      </c>
      <c r="AW83" s="43">
        <f>[1]节奏总纲!AW83</f>
        <v>2574.3463057416666</v>
      </c>
      <c r="AX83" s="43">
        <f>[1]节奏总纲!AX83</f>
        <v>1287.1731528708333</v>
      </c>
      <c r="AZ83" s="21">
        <v>80</v>
      </c>
      <c r="BA83" s="21">
        <v>36.526331209747774</v>
      </c>
      <c r="BB83" s="21">
        <v>38.037513426486328</v>
      </c>
      <c r="BC83" s="21">
        <v>39.970732283863832</v>
      </c>
      <c r="BD83" s="21">
        <v>42.687840061343536</v>
      </c>
      <c r="BE83" s="21">
        <v>47.3696970865753</v>
      </c>
    </row>
    <row r="84" spans="6:57" x14ac:dyDescent="0.15">
      <c r="F84" s="21">
        <v>82</v>
      </c>
      <c r="G84" s="21">
        <v>293.06677887924064</v>
      </c>
      <c r="N84" s="26">
        <f>[1]节奏总纲!N84</f>
        <v>91</v>
      </c>
      <c r="O84" s="21">
        <v>81</v>
      </c>
      <c r="P84" s="21">
        <f>[1]节奏总纲!P84</f>
        <v>273.37400640929098</v>
      </c>
      <c r="Q84" s="21">
        <f>[1]节奏总纲!Q84</f>
        <v>236.35916594147301</v>
      </c>
      <c r="R84" s="21">
        <f>[1]节奏总纲!R84</f>
        <v>192.67399971726829</v>
      </c>
      <c r="S84" s="21">
        <f>[1]节奏总纲!S84</f>
        <v>140.76027590014394</v>
      </c>
      <c r="T84" s="21">
        <f>[1]节奏总纲!T84</f>
        <v>77.856917025366073</v>
      </c>
      <c r="U84" s="27"/>
      <c r="V84" s="21">
        <v>81</v>
      </c>
      <c r="W84" s="21">
        <f>[1]节奏总纲!W84</f>
        <v>18.374006409290985</v>
      </c>
      <c r="X84" s="21">
        <f>[1]节奏总纲!X84</f>
        <v>15.274165941473001</v>
      </c>
      <c r="Y84" s="21">
        <f>[1]节奏总纲!Y84</f>
        <v>12.337999717268275</v>
      </c>
      <c r="Z84" s="21">
        <f>[1]节奏总纲!Z84</f>
        <v>9.1802759001439256</v>
      </c>
      <c r="AA84" s="21">
        <f>[1]节奏总纲!AA84</f>
        <v>5.0799170253660719</v>
      </c>
      <c r="AC84" s="21">
        <v>81</v>
      </c>
      <c r="AD84" s="21">
        <f>[1]节奏总纲!AD84</f>
        <v>63.567039423670657</v>
      </c>
      <c r="AE84" s="21">
        <f>[1]节奏总纲!AE84</f>
        <v>65.58750975301939</v>
      </c>
      <c r="AF84" s="21">
        <f>[1]节奏总纲!AF84</f>
        <v>68.487101522580488</v>
      </c>
      <c r="AG84" s="21">
        <f>[1]节奏总纲!AG84</f>
        <v>73.007572199822363</v>
      </c>
      <c r="AH84" s="21">
        <f>[1]节奏总纲!AH84</f>
        <v>81.584863192792497</v>
      </c>
      <c r="AL84" s="43"/>
      <c r="AM84" s="43"/>
      <c r="AN84" s="43"/>
      <c r="AO84" s="43"/>
      <c r="AP84" s="43"/>
      <c r="AQ84" s="43"/>
      <c r="AS84" s="43"/>
      <c r="AT84" s="43"/>
      <c r="AU84" s="43"/>
      <c r="AV84" s="43"/>
      <c r="AW84" s="43"/>
      <c r="AX84" s="43"/>
      <c r="AZ84" s="21">
        <v>81</v>
      </c>
      <c r="BA84" s="21">
        <v>36.610501938383479</v>
      </c>
      <c r="BB84" s="21">
        <v>38.11580158428373</v>
      </c>
      <c r="BC84" s="21">
        <v>40.052446592012309</v>
      </c>
      <c r="BD84" s="21">
        <v>42.774621948661192</v>
      </c>
      <c r="BE84" s="21">
        <v>47.452847239866877</v>
      </c>
    </row>
    <row r="85" spans="6:57" x14ac:dyDescent="0.15">
      <c r="F85" s="21">
        <v>83</v>
      </c>
      <c r="G85" s="21">
        <v>314.1729698162988</v>
      </c>
      <c r="N85" s="26">
        <f>[1]节奏总纲!N85</f>
        <v>92</v>
      </c>
      <c r="O85" s="21">
        <v>82</v>
      </c>
      <c r="P85" s="21">
        <f>[1]节奏总纲!P85</f>
        <v>293.06677887924064</v>
      </c>
      <c r="Q85" s="21">
        <f>[1]节奏总纲!Q85</f>
        <v>253.15108359588808</v>
      </c>
      <c r="R85" s="21">
        <f>[1]节奏总纲!R85</f>
        <v>206.37762568676126</v>
      </c>
      <c r="S85" s="21">
        <f>[1]节奏总纲!S85</f>
        <v>150.81216441125721</v>
      </c>
      <c r="T85" s="21">
        <f>[1]节奏总纲!T85</f>
        <v>83.230965201704336</v>
      </c>
      <c r="U85" s="27"/>
      <c r="V85" s="21">
        <v>82</v>
      </c>
      <c r="W85" s="21">
        <f>[1]节奏总纲!W85</f>
        <v>19.692772469949659</v>
      </c>
      <c r="X85" s="21">
        <f>[1]节奏总纲!X85</f>
        <v>16.791917654415073</v>
      </c>
      <c r="Y85" s="21">
        <f>[1]节奏总纲!Y85</f>
        <v>13.703625969492975</v>
      </c>
      <c r="Z85" s="21">
        <f>[1]节奏总纲!Z85</f>
        <v>10.051888511113276</v>
      </c>
      <c r="AA85" s="21">
        <f>[1]节奏总纲!AA85</f>
        <v>5.3740481763382633</v>
      </c>
      <c r="AC85" s="21">
        <v>82</v>
      </c>
      <c r="AD85" s="21">
        <f>[1]节奏总纲!AD85</f>
        <v>63.743865833385094</v>
      </c>
      <c r="AE85" s="21">
        <f>[1]节奏总纲!AE85</f>
        <v>65.762866796429392</v>
      </c>
      <c r="AF85" s="21">
        <f>[1]节奏总纲!AF85</f>
        <v>68.664295879423918</v>
      </c>
      <c r="AG85" s="21">
        <f>[1]节奏总纲!AG85</f>
        <v>73.176642436293761</v>
      </c>
      <c r="AH85" s="21">
        <f>[1]节奏总纲!AH85</f>
        <v>81.770942656017823</v>
      </c>
      <c r="AL85" s="43"/>
      <c r="AM85" s="43"/>
      <c r="AN85" s="43"/>
      <c r="AO85" s="43"/>
      <c r="AP85" s="43"/>
      <c r="AQ85" s="43"/>
      <c r="AS85" s="43"/>
      <c r="AT85" s="43"/>
      <c r="AU85" s="43"/>
      <c r="AV85" s="43"/>
      <c r="AW85" s="43"/>
      <c r="AX85" s="43"/>
      <c r="AZ85" s="21">
        <v>82</v>
      </c>
      <c r="BA85" s="21">
        <v>36.694672667019191</v>
      </c>
      <c r="BB85" s="21">
        <v>38.194089742081125</v>
      </c>
      <c r="BC85" s="21">
        <v>40.130145246845366</v>
      </c>
      <c r="BD85" s="21">
        <v>42.861403835978855</v>
      </c>
      <c r="BE85" s="21">
        <v>47.535997393158453</v>
      </c>
    </row>
    <row r="86" spans="6:57" x14ac:dyDescent="0.15">
      <c r="F86" s="21">
        <v>84</v>
      </c>
      <c r="G86" s="21">
        <v>336.79402515786086</v>
      </c>
      <c r="N86" s="26">
        <f>[1]节奏总纲!N86</f>
        <v>93</v>
      </c>
      <c r="O86" s="21">
        <v>83</v>
      </c>
      <c r="P86" s="21">
        <f>[1]节奏总纲!P86</f>
        <v>314.1729698162988</v>
      </c>
      <c r="Q86" s="21">
        <f>[1]节奏总纲!Q86</f>
        <v>271.53969781222702</v>
      </c>
      <c r="R86" s="21">
        <f>[1]节奏总纲!R86</f>
        <v>221.55477831445393</v>
      </c>
      <c r="S86" s="21">
        <f>[1]节奏总纲!S86</f>
        <v>161.57915837652246</v>
      </c>
      <c r="T86" s="21">
        <f>[1]节奏总纲!T86</f>
        <v>89.193706130847232</v>
      </c>
      <c r="U86" s="27"/>
      <c r="V86" s="21">
        <v>83</v>
      </c>
      <c r="W86" s="21">
        <f>[1]节奏总纲!W86</f>
        <v>21.106190937058159</v>
      </c>
      <c r="X86" s="21">
        <f>[1]节奏总纲!X86</f>
        <v>18.388614216338937</v>
      </c>
      <c r="Y86" s="21">
        <f>[1]节奏总纲!Y86</f>
        <v>15.177152627692664</v>
      </c>
      <c r="Z86" s="21">
        <f>[1]节奏总纲!Z86</f>
        <v>10.766993965265243</v>
      </c>
      <c r="AA86" s="21">
        <f>[1]节奏总纲!AA86</f>
        <v>5.9627409291428961</v>
      </c>
      <c r="AC86" s="21">
        <v>83</v>
      </c>
      <c r="AD86" s="21">
        <f>[1]节奏总纲!AD86</f>
        <v>63.920692243099523</v>
      </c>
      <c r="AE86" s="21">
        <f>[1]节奏总纲!AE86</f>
        <v>65.938223839839395</v>
      </c>
      <c r="AF86" s="21">
        <f>[1]节奏总纲!AF86</f>
        <v>68.841490236267347</v>
      </c>
      <c r="AG86" s="21">
        <f>[1]节奏总纲!AG86</f>
        <v>73.34571267276516</v>
      </c>
      <c r="AH86" s="21">
        <f>[1]节奏总纲!AH86</f>
        <v>81.957022119243135</v>
      </c>
      <c r="AL86" s="43"/>
      <c r="AM86" s="43"/>
      <c r="AN86" s="43"/>
      <c r="AO86" s="43"/>
      <c r="AP86" s="43"/>
      <c r="AQ86" s="43"/>
      <c r="AS86" s="43"/>
      <c r="AT86" s="43"/>
      <c r="AU86" s="43"/>
      <c r="AV86" s="43"/>
      <c r="AW86" s="43"/>
      <c r="AX86" s="43"/>
      <c r="AZ86" s="21">
        <v>83</v>
      </c>
      <c r="BA86" s="21">
        <v>36.778843395654896</v>
      </c>
      <c r="BB86" s="21">
        <v>38.272377899878528</v>
      </c>
      <c r="BC86" s="21">
        <v>40.207843901678423</v>
      </c>
      <c r="BD86" s="21">
        <v>42.948185723296518</v>
      </c>
      <c r="BE86" s="21">
        <v>47.619147546450023</v>
      </c>
    </row>
    <row r="87" spans="6:57" x14ac:dyDescent="0.15">
      <c r="F87" s="21">
        <v>85</v>
      </c>
      <c r="G87" s="21">
        <v>361.0386719675123</v>
      </c>
      <c r="N87" s="26">
        <f>[1]节奏总纲!N87</f>
        <v>94</v>
      </c>
      <c r="O87" s="21">
        <v>84</v>
      </c>
      <c r="P87" s="21">
        <f>[1]节奏总纲!P87</f>
        <v>336.79402515786086</v>
      </c>
      <c r="Q87" s="21">
        <f>[1]节奏总纲!Q87</f>
        <v>291.2594729565181</v>
      </c>
      <c r="R87" s="21">
        <f>[1]节奏总纲!R87</f>
        <v>237.27139072371298</v>
      </c>
      <c r="S87" s="21">
        <f>[1]节奏总纲!S87</f>
        <v>172.97741132107731</v>
      </c>
      <c r="T87" s="21">
        <f>[1]节奏总纲!T87</f>
        <v>95.64950314483248</v>
      </c>
      <c r="U87" s="27"/>
      <c r="V87" s="21">
        <v>84</v>
      </c>
      <c r="W87" s="21">
        <f>[1]节奏总纲!W87</f>
        <v>22.621055341562055</v>
      </c>
      <c r="X87" s="21">
        <f>[1]节奏总纲!X87</f>
        <v>19.719775144291077</v>
      </c>
      <c r="Y87" s="21">
        <f>[1]节奏总纲!Y87</f>
        <v>15.716612409259056</v>
      </c>
      <c r="Z87" s="21">
        <f>[1]节奏总纲!Z87</f>
        <v>11.398252944554855</v>
      </c>
      <c r="AA87" s="21">
        <f>[1]节奏总纲!AA87</f>
        <v>6.4557970139852472</v>
      </c>
      <c r="AC87" s="21">
        <v>84</v>
      </c>
      <c r="AD87" s="21">
        <f>[1]节奏总纲!AD87</f>
        <v>64.090988120365651</v>
      </c>
      <c r="AE87" s="21">
        <f>[1]节奏总纲!AE87</f>
        <v>66.105889403880397</v>
      </c>
      <c r="AF87" s="21">
        <f>[1]节奏总纲!AF87</f>
        <v>69.01697485309198</v>
      </c>
      <c r="AG87" s="21">
        <f>[1]节奏总纲!AG87</f>
        <v>73.514782909236544</v>
      </c>
      <c r="AH87" s="21">
        <f>[1]节奏总纲!AH87</f>
        <v>82.128973371044353</v>
      </c>
      <c r="AL87" s="43"/>
      <c r="AM87" s="43"/>
      <c r="AN87" s="43"/>
      <c r="AO87" s="43"/>
      <c r="AP87" s="43"/>
      <c r="AQ87" s="43"/>
      <c r="AS87" s="43"/>
      <c r="AT87" s="43"/>
      <c r="AU87" s="43"/>
      <c r="AV87" s="43"/>
      <c r="AW87" s="43"/>
      <c r="AX87" s="43"/>
      <c r="AZ87" s="21">
        <v>84</v>
      </c>
      <c r="BA87" s="21">
        <v>36.863014124290601</v>
      </c>
      <c r="BB87" s="21">
        <v>38.35066605767593</v>
      </c>
      <c r="BC87" s="21">
        <v>40.28554255651148</v>
      </c>
      <c r="BD87" s="21">
        <v>43.030177309109042</v>
      </c>
      <c r="BE87" s="21">
        <v>47.7022976997416</v>
      </c>
    </row>
    <row r="88" spans="6:57" x14ac:dyDescent="0.15">
      <c r="F88" s="21">
        <v>86</v>
      </c>
      <c r="G88" s="21">
        <v>387.02344102666189</v>
      </c>
      <c r="N88" s="26">
        <f>[1]节奏总纲!N88</f>
        <v>95</v>
      </c>
      <c r="O88" s="21">
        <v>85</v>
      </c>
      <c r="P88" s="21">
        <f>[1]节奏总纲!P88</f>
        <v>361.0386719675123</v>
      </c>
      <c r="Q88" s="21">
        <f>[1]节奏总纲!Q88</f>
        <v>311.72078937675008</v>
      </c>
      <c r="R88" s="21">
        <f>[1]节奏总纲!R88</f>
        <v>253.91849799475142</v>
      </c>
      <c r="S88" s="21">
        <f>[1]节奏总纲!S88</f>
        <v>185.57387739130132</v>
      </c>
      <c r="T88" s="21">
        <f>[1]节奏总纲!T88</f>
        <v>102.53498283877349</v>
      </c>
      <c r="U88" s="27"/>
      <c r="V88" s="21">
        <v>85</v>
      </c>
      <c r="W88" s="21">
        <f>[1]节奏总纲!W88</f>
        <v>24.244646809651442</v>
      </c>
      <c r="X88" s="21">
        <f>[1]节奏总纲!X88</f>
        <v>20.461316420231981</v>
      </c>
      <c r="Y88" s="21">
        <f>[1]节奏总纲!Y88</f>
        <v>16.647107271038436</v>
      </c>
      <c r="Z88" s="21">
        <f>[1]节奏总纲!Z88</f>
        <v>12.596466070224011</v>
      </c>
      <c r="AA88" s="21">
        <f>[1]节奏总纲!AA88</f>
        <v>6.8854796939410079</v>
      </c>
      <c r="AC88" s="21">
        <v>85</v>
      </c>
      <c r="AD88" s="21">
        <f>[1]节奏总纲!AD88</f>
        <v>64.255972994404218</v>
      </c>
      <c r="AE88" s="21">
        <f>[1]节奏总纲!AE88</f>
        <v>66.269371604948859</v>
      </c>
      <c r="AF88" s="21">
        <f>[1]节奏总纲!AF88</f>
        <v>69.17795498031839</v>
      </c>
      <c r="AG88" s="21">
        <f>[1]节奏总纲!AG88</f>
        <v>73.683853145707943</v>
      </c>
      <c r="AH88" s="21">
        <f>[1]节奏总纲!AH88</f>
        <v>82.296681479091191</v>
      </c>
      <c r="AL88" s="43"/>
      <c r="AM88" s="43"/>
      <c r="AN88" s="43"/>
      <c r="AO88" s="43"/>
      <c r="AP88" s="43"/>
      <c r="AQ88" s="43"/>
      <c r="AS88" s="43"/>
      <c r="AT88" s="43"/>
      <c r="AU88" s="43"/>
      <c r="AV88" s="43"/>
      <c r="AW88" s="43"/>
      <c r="AX88" s="43"/>
      <c r="AZ88" s="21">
        <v>85</v>
      </c>
      <c r="BA88" s="21">
        <v>36.947184852926306</v>
      </c>
      <c r="BB88" s="21">
        <v>38.428954215473325</v>
      </c>
      <c r="BC88" s="21">
        <v>40.363241211344537</v>
      </c>
      <c r="BD88" s="21">
        <v>43.105070725978337</v>
      </c>
      <c r="BE88" s="21">
        <v>47.785447853033176</v>
      </c>
    </row>
    <row r="89" spans="6:57" x14ac:dyDescent="0.15">
      <c r="F89" s="21">
        <v>87</v>
      </c>
      <c r="G89" s="21">
        <v>414.87322693439216</v>
      </c>
      <c r="N89" s="26">
        <f>[1]节奏总纲!N89</f>
        <v>96</v>
      </c>
      <c r="O89" s="21">
        <v>86</v>
      </c>
      <c r="P89" s="21">
        <f>[1]节奏总纲!P89</f>
        <v>387.02344102666189</v>
      </c>
      <c r="Q89" s="21">
        <f>[1]节奏总纲!Q89</f>
        <v>334.00122960600919</v>
      </c>
      <c r="R89" s="21">
        <f>[1]节奏总纲!R89</f>
        <v>272.23228841815398</v>
      </c>
      <c r="S89" s="21">
        <f>[1]节奏总纲!S89</f>
        <v>199.39447681693619</v>
      </c>
      <c r="T89" s="21">
        <f>[1]节奏总纲!T89</f>
        <v>108.94709864900531</v>
      </c>
      <c r="U89" s="27"/>
      <c r="V89" s="21">
        <v>86</v>
      </c>
      <c r="W89" s="21">
        <f>[1]节奏总纲!W89</f>
        <v>25.984769059149585</v>
      </c>
      <c r="X89" s="21">
        <f>[1]节奏总纲!X89</f>
        <v>22.280440229259113</v>
      </c>
      <c r="Y89" s="21">
        <f>[1]节奏总纲!Y89</f>
        <v>18.313790423402565</v>
      </c>
      <c r="Z89" s="21">
        <f>[1]节奏总纲!Z89</f>
        <v>13.820599425634867</v>
      </c>
      <c r="AA89" s="21">
        <f>[1]节奏总纲!AA89</f>
        <v>6.4121158102318248</v>
      </c>
      <c r="AC89" s="21">
        <v>86</v>
      </c>
      <c r="AD89" s="21">
        <f>[1]节奏总纲!AD89</f>
        <v>64.420957868442798</v>
      </c>
      <c r="AE89" s="21">
        <f>[1]节奏总纲!AE89</f>
        <v>66.43285380601732</v>
      </c>
      <c r="AF89" s="21">
        <f>[1]节奏总纲!AF89</f>
        <v>69.338935107544785</v>
      </c>
      <c r="AG89" s="21">
        <f>[1]节奏总纲!AG89</f>
        <v>73.852923382179341</v>
      </c>
      <c r="AH89" s="21">
        <f>[1]节奏总纲!AH89</f>
        <v>82.464389587138029</v>
      </c>
      <c r="AL89" s="43"/>
      <c r="AM89" s="43"/>
      <c r="AN89" s="43"/>
      <c r="AO89" s="43"/>
      <c r="AP89" s="43"/>
      <c r="AQ89" s="43"/>
      <c r="AS89" s="43"/>
      <c r="AT89" s="43"/>
      <c r="AU89" s="43"/>
      <c r="AV89" s="43"/>
      <c r="AW89" s="43"/>
      <c r="AX89" s="43"/>
      <c r="AZ89" s="21">
        <v>86</v>
      </c>
      <c r="BA89" s="21">
        <v>37.027046282459708</v>
      </c>
      <c r="BB89" s="21">
        <v>38.507242373270728</v>
      </c>
      <c r="BC89" s="21">
        <v>40.440939866177594</v>
      </c>
      <c r="BD89" s="21">
        <v>43.179964142847631</v>
      </c>
      <c r="BE89" s="21">
        <v>47.868598006324753</v>
      </c>
    </row>
    <row r="90" spans="6:57" x14ac:dyDescent="0.15">
      <c r="F90" s="21">
        <v>88</v>
      </c>
      <c r="G90" s="21">
        <v>444.72188840761549</v>
      </c>
      <c r="N90" s="26">
        <f>[1]节奏总纲!N90</f>
        <v>97</v>
      </c>
      <c r="O90" s="21">
        <v>87</v>
      </c>
      <c r="P90" s="21">
        <f>[1]节奏总纲!P90</f>
        <v>414.87322693439216</v>
      </c>
      <c r="Q90" s="21">
        <f>[1]节奏总纲!Q90</f>
        <v>358.28451878054108</v>
      </c>
      <c r="R90" s="21">
        <f>[1]节奏总纲!R90</f>
        <v>292.4026503433596</v>
      </c>
      <c r="S90" s="21">
        <f>[1]节奏总纲!S90</f>
        <v>212.58104148118252</v>
      </c>
      <c r="T90" s="21">
        <f>[1]节奏总纲!T90</f>
        <v>115.74963031469542</v>
      </c>
      <c r="U90" s="27"/>
      <c r="V90" s="21">
        <v>87</v>
      </c>
      <c r="W90" s="21">
        <f>[1]节奏总纲!W90</f>
        <v>27.849785907730279</v>
      </c>
      <c r="X90" s="21">
        <f>[1]节奏总纲!X90</f>
        <v>24.283289174531888</v>
      </c>
      <c r="Y90" s="21">
        <f>[1]节奏总纲!Y90</f>
        <v>20.170361925205611</v>
      </c>
      <c r="Z90" s="21">
        <f>[1]节奏总纲!Z90</f>
        <v>13.186564664246333</v>
      </c>
      <c r="AA90" s="21">
        <f>[1]节奏总纲!AA90</f>
        <v>6.8025316656901111</v>
      </c>
      <c r="AC90" s="21">
        <v>87</v>
      </c>
      <c r="AD90" s="21">
        <f>[1]节奏总纲!AD90</f>
        <v>64.585942742481365</v>
      </c>
      <c r="AE90" s="21">
        <f>[1]节奏总纲!AE90</f>
        <v>66.596336007085796</v>
      </c>
      <c r="AF90" s="21">
        <f>[1]节奏总纲!AF90</f>
        <v>69.49991523477118</v>
      </c>
      <c r="AG90" s="21">
        <f>[1]节奏总纲!AG90</f>
        <v>74.02050499447661</v>
      </c>
      <c r="AH90" s="21">
        <f>[1]节奏总纲!AH90</f>
        <v>82.632097695184868</v>
      </c>
      <c r="AL90" s="43"/>
      <c r="AM90" s="43"/>
      <c r="AN90" s="43"/>
      <c r="AO90" s="43"/>
      <c r="AP90" s="43"/>
      <c r="AQ90" s="43"/>
      <c r="AS90" s="43"/>
      <c r="AT90" s="43"/>
      <c r="AU90" s="43"/>
      <c r="AV90" s="43"/>
      <c r="AW90" s="43"/>
      <c r="AX90" s="43"/>
      <c r="AZ90" s="21">
        <v>87</v>
      </c>
      <c r="BA90" s="21">
        <v>37.099649155317238</v>
      </c>
      <c r="BB90" s="21">
        <v>38.58553053106813</v>
      </c>
      <c r="BC90" s="21">
        <v>40.518638521010651</v>
      </c>
      <c r="BD90" s="21">
        <v>43.254857559716925</v>
      </c>
      <c r="BE90" s="21">
        <v>47.951748159616329</v>
      </c>
    </row>
    <row r="91" spans="6:57" x14ac:dyDescent="0.15">
      <c r="F91" s="21">
        <v>89</v>
      </c>
      <c r="G91" s="21">
        <v>476.71289166684534</v>
      </c>
      <c r="N91" s="26">
        <f>[1]节奏总纲!N91</f>
        <v>98</v>
      </c>
      <c r="O91" s="21">
        <v>88</v>
      </c>
      <c r="P91" s="21">
        <f>[1]节奏总纲!P91</f>
        <v>444.72188840761549</v>
      </c>
      <c r="Q91" s="21">
        <f>[1]节奏总纲!Q91</f>
        <v>384.7733778502689</v>
      </c>
      <c r="R91" s="21">
        <f>[1]节奏总纲!R91</f>
        <v>312.90632068359827</v>
      </c>
      <c r="S91" s="21">
        <f>[1]节奏总纲!S91</f>
        <v>226.0076636887502</v>
      </c>
      <c r="T91" s="21">
        <f>[1]节奏总纲!T91</f>
        <v>123.1879630889095</v>
      </c>
      <c r="U91" s="27"/>
      <c r="V91" s="21">
        <v>88</v>
      </c>
      <c r="W91" s="21">
        <f>[1]节奏总纲!W91</f>
        <v>29.848661473223331</v>
      </c>
      <c r="X91" s="21">
        <f>[1]节奏总纲!X91</f>
        <v>26.488859069727823</v>
      </c>
      <c r="Y91" s="21">
        <f>[1]节奏总纲!Y91</f>
        <v>20.503670340238671</v>
      </c>
      <c r="Z91" s="21">
        <f>[1]节奏总纲!Z91</f>
        <v>13.426622207567675</v>
      </c>
      <c r="AA91" s="21">
        <f>[1]节奏总纲!AA91</f>
        <v>7.438332774214075</v>
      </c>
      <c r="AC91" s="21">
        <v>88</v>
      </c>
      <c r="AD91" s="21">
        <f>[1]节奏总纲!AD91</f>
        <v>64.750927616519931</v>
      </c>
      <c r="AE91" s="21">
        <f>[1]节奏总纲!AE91</f>
        <v>66.759818208154257</v>
      </c>
      <c r="AF91" s="21">
        <f>[1]节奏总纲!AF91</f>
        <v>69.660895361997589</v>
      </c>
      <c r="AG91" s="21">
        <f>[1]节奏总纲!AG91</f>
        <v>74.178131818877702</v>
      </c>
      <c r="AH91" s="21">
        <f>[1]节奏总纲!AH91</f>
        <v>82.799805803231706</v>
      </c>
      <c r="AL91" s="43"/>
      <c r="AM91" s="43"/>
      <c r="AN91" s="43"/>
      <c r="AO91" s="43"/>
      <c r="AP91" s="43"/>
      <c r="AQ91" s="43"/>
      <c r="AS91" s="43"/>
      <c r="AT91" s="43"/>
      <c r="AU91" s="43"/>
      <c r="AV91" s="43"/>
      <c r="AW91" s="43"/>
      <c r="AX91" s="43"/>
      <c r="AZ91" s="21">
        <v>88</v>
      </c>
      <c r="BA91" s="21">
        <v>37.172252028174768</v>
      </c>
      <c r="BB91" s="21">
        <v>38.663818688865533</v>
      </c>
      <c r="BC91" s="21">
        <v>40.596337175843701</v>
      </c>
      <c r="BD91" s="21">
        <v>43.329750976586219</v>
      </c>
      <c r="BE91" s="21">
        <v>48.030128751164234</v>
      </c>
    </row>
    <row r="92" spans="6:57" x14ac:dyDescent="0.15">
      <c r="F92" s="21">
        <v>90</v>
      </c>
      <c r="G92" s="21">
        <v>511</v>
      </c>
      <c r="N92" s="26">
        <f>[1]节奏总纲!N92</f>
        <v>99</v>
      </c>
      <c r="O92" s="21">
        <v>89</v>
      </c>
      <c r="P92" s="21">
        <f>[1]节奏总纲!P92</f>
        <v>476.71289166684534</v>
      </c>
      <c r="Q92" s="21">
        <f>[1]节奏总纲!Q92</f>
        <v>411.78459582182103</v>
      </c>
      <c r="R92" s="21">
        <f>[1]节奏总纲!R92</f>
        <v>332.60258451595797</v>
      </c>
      <c r="S92" s="21">
        <f>[1]节奏总纲!S92</f>
        <v>240.31096868925673</v>
      </c>
      <c r="T92" s="21">
        <f>[1]节奏总纲!T92</f>
        <v>130.61933231671563</v>
      </c>
      <c r="U92" s="27"/>
      <c r="V92" s="21">
        <v>89</v>
      </c>
      <c r="W92" s="21">
        <f>[1]节奏总纲!W92</f>
        <v>31.991003259229842</v>
      </c>
      <c r="X92" s="21">
        <f>[1]节奏总纲!X92</f>
        <v>27.011217971552128</v>
      </c>
      <c r="Y92" s="21">
        <f>[1]节奏总纲!Y92</f>
        <v>19.696263832359705</v>
      </c>
      <c r="Z92" s="21">
        <f>[1]节奏总纲!Z92</f>
        <v>14.303305000506526</v>
      </c>
      <c r="AA92" s="21">
        <f>[1]节奏总纲!AA92</f>
        <v>7.4313692278061296</v>
      </c>
      <c r="AC92" s="21">
        <v>89</v>
      </c>
      <c r="AD92" s="21">
        <f>[1]节奏总纲!AD92</f>
        <v>64.915912490558512</v>
      </c>
      <c r="AE92" s="21">
        <f>[1]节奏总纲!AE92</f>
        <v>66.923300409222719</v>
      </c>
      <c r="AF92" s="21">
        <f>[1]节奏总纲!AF92</f>
        <v>69.821875489223984</v>
      </c>
      <c r="AG92" s="21">
        <f>[1]节奏总纲!AG92</f>
        <v>74.335758643278794</v>
      </c>
      <c r="AH92" s="21">
        <f>[1]节奏总纲!AH92</f>
        <v>82.967513911278544</v>
      </c>
      <c r="AL92" s="43"/>
      <c r="AM92" s="43"/>
      <c r="AN92" s="43"/>
      <c r="AO92" s="43"/>
      <c r="AP92" s="43"/>
      <c r="AQ92" s="43"/>
      <c r="AS92" s="43"/>
      <c r="AT92" s="43"/>
      <c r="AU92" s="43"/>
      <c r="AV92" s="43"/>
      <c r="AW92" s="43"/>
      <c r="AX92" s="43"/>
      <c r="AZ92" s="21">
        <v>89</v>
      </c>
      <c r="BA92" s="21">
        <v>37.244854901032298</v>
      </c>
      <c r="BB92" s="21">
        <v>38.742106846662928</v>
      </c>
      <c r="BC92" s="21">
        <v>40.674035830676758</v>
      </c>
      <c r="BD92" s="21">
        <v>43.404644393455513</v>
      </c>
      <c r="BE92" s="21">
        <v>48.101914750802706</v>
      </c>
    </row>
    <row r="93" spans="6:57" x14ac:dyDescent="0.15">
      <c r="F93" s="21">
        <v>91</v>
      </c>
      <c r="G93" s="21">
        <v>547.74801281858208</v>
      </c>
      <c r="N93" s="26">
        <f>[1]节奏总纲!N93</f>
        <v>100</v>
      </c>
      <c r="O93" s="21">
        <v>90</v>
      </c>
      <c r="P93" s="21">
        <f>[1]节奏总纲!P93</f>
        <v>511</v>
      </c>
      <c r="Q93" s="21">
        <f>[1]节奏总纲!Q93</f>
        <v>438.13140000000004</v>
      </c>
      <c r="R93" s="21">
        <f>[1]节奏总纲!R93</f>
        <v>354.12299999999999</v>
      </c>
      <c r="S93" s="21">
        <f>[1]节奏总纲!S93</f>
        <v>254.88680000000002</v>
      </c>
      <c r="T93" s="21">
        <f>[1]节奏总纲!T93</f>
        <v>138.48100000000002</v>
      </c>
      <c r="U93" s="27"/>
      <c r="V93" s="21">
        <v>90</v>
      </c>
      <c r="W93" s="21">
        <f>[1]节奏总纲!W93</f>
        <v>34.287108333154663</v>
      </c>
      <c r="X93" s="21">
        <f>[1]节奏总纲!X93</f>
        <v>26.346804178179013</v>
      </c>
      <c r="Y93" s="21">
        <f>[1]节奏总纲!Y93</f>
        <v>21.520415484042019</v>
      </c>
      <c r="Z93" s="21">
        <f>[1]节奏总纲!Z93</f>
        <v>14.575831310743297</v>
      </c>
      <c r="AA93" s="21">
        <f>[1]节奏总纲!AA93</f>
        <v>7.861667683284395</v>
      </c>
      <c r="AC93" s="21">
        <v>90</v>
      </c>
      <c r="AD93" s="21">
        <f>[1]节奏总纲!AD93</f>
        <v>65.075479910097457</v>
      </c>
      <c r="AE93" s="21">
        <f>[1]节奏总纲!AE93</f>
        <v>67.083433628014333</v>
      </c>
      <c r="AF93" s="21">
        <f>[1]节奏总纲!AF93</f>
        <v>69.982855616450394</v>
      </c>
      <c r="AG93" s="21">
        <f>[1]节奏总纲!AG93</f>
        <v>74.493385467679886</v>
      </c>
      <c r="AH93" s="21">
        <f>[1]节奏总纲!AH93</f>
        <v>83.124894550960335</v>
      </c>
      <c r="AL93" s="43"/>
      <c r="AM93" s="43"/>
      <c r="AN93" s="43"/>
      <c r="AO93" s="43"/>
      <c r="AP93" s="43"/>
      <c r="AQ93" s="43"/>
      <c r="AS93" s="43"/>
      <c r="AT93" s="43"/>
      <c r="AU93" s="43"/>
      <c r="AV93" s="43"/>
      <c r="AW93" s="43"/>
      <c r="AX93" s="43"/>
      <c r="AZ93" s="21">
        <v>90</v>
      </c>
      <c r="BA93" s="21">
        <v>37.317457773889828</v>
      </c>
      <c r="BB93" s="21">
        <v>38.82039500446033</v>
      </c>
      <c r="BC93" s="21">
        <v>40.751734485509814</v>
      </c>
      <c r="BD93" s="21">
        <v>43.479537810324807</v>
      </c>
      <c r="BE93" s="21">
        <v>48.173700750441178</v>
      </c>
    </row>
    <row r="94" spans="6:57" x14ac:dyDescent="0.15">
      <c r="F94" s="21">
        <v>92</v>
      </c>
      <c r="G94" s="21">
        <v>587.1335577584814</v>
      </c>
      <c r="N94" s="26">
        <f>[1]节奏总纲!N94</f>
        <v>101</v>
      </c>
      <c r="O94" s="21">
        <v>91</v>
      </c>
      <c r="P94" s="21">
        <f>[1]节奏总纲!P94</f>
        <v>547.74801281858208</v>
      </c>
      <c r="Q94" s="21">
        <f>[1]节奏总纲!Q94</f>
        <v>469.6391461906523</v>
      </c>
      <c r="R94" s="21">
        <f>[1]节奏总纲!R94</f>
        <v>378.43910205635837</v>
      </c>
      <c r="S94" s="21">
        <f>[1]节奏总纲!S94</f>
        <v>272.61418597980827</v>
      </c>
      <c r="T94" s="21">
        <f>[1]节奏总纲!T94</f>
        <v>147.89196346101718</v>
      </c>
      <c r="U94" s="27"/>
      <c r="V94" s="21">
        <v>91</v>
      </c>
      <c r="W94" s="21">
        <f>[1]节奏总纲!W94</f>
        <v>36.748012818582083</v>
      </c>
      <c r="X94" s="21">
        <f>[1]节奏总纲!X94</f>
        <v>31.507746190652256</v>
      </c>
      <c r="Y94" s="21">
        <f>[1]节奏总纲!Y94</f>
        <v>24.316102056358375</v>
      </c>
      <c r="Z94" s="21">
        <f>[1]节奏总纲!Z94</f>
        <v>17.727385979808247</v>
      </c>
      <c r="AA94" s="21">
        <f>[1]节奏总纲!AA94</f>
        <v>9.4109634610171611</v>
      </c>
      <c r="AC94" s="21">
        <v>91</v>
      </c>
      <c r="AD94" s="21">
        <f>[1]节奏总纲!AD94</f>
        <v>65.229416240679981</v>
      </c>
      <c r="AE94" s="21">
        <f>[1]节奏总纲!AE94</f>
        <v>67.240606973055961</v>
      </c>
      <c r="AF94" s="21">
        <f>[1]节奏总纲!AF94</f>
        <v>70.137942795989005</v>
      </c>
      <c r="AG94" s="21">
        <f>[1]节奏总纲!AG94</f>
        <v>74.651012292080978</v>
      </c>
      <c r="AH94" s="21">
        <f>[1]节奏总纲!AH94</f>
        <v>83.279794092850153</v>
      </c>
      <c r="AL94" s="43"/>
      <c r="AM94" s="43"/>
      <c r="AN94" s="43"/>
      <c r="AO94" s="43"/>
      <c r="AP94" s="43"/>
      <c r="AQ94" s="43"/>
      <c r="AS94" s="43"/>
      <c r="AT94" s="43"/>
      <c r="AU94" s="43"/>
      <c r="AV94" s="43"/>
      <c r="AW94" s="43"/>
      <c r="AX94" s="43"/>
      <c r="AZ94" s="21">
        <v>91</v>
      </c>
      <c r="BA94" s="21">
        <v>37.390060646747358</v>
      </c>
      <c r="BB94" s="21">
        <v>38.898683162257733</v>
      </c>
      <c r="BC94" s="21">
        <v>40.829433140342871</v>
      </c>
      <c r="BD94" s="21">
        <v>43.554431227194108</v>
      </c>
      <c r="BE94" s="21">
        <v>48.24548675007965</v>
      </c>
    </row>
    <row r="95" spans="6:57" x14ac:dyDescent="0.15">
      <c r="F95" s="21">
        <v>93</v>
      </c>
      <c r="G95" s="21">
        <v>629.34593963259704</v>
      </c>
      <c r="N95" s="26">
        <f>[1]节奏总纲!N95</f>
        <v>102</v>
      </c>
      <c r="O95" s="21">
        <v>92</v>
      </c>
      <c r="P95" s="21">
        <f>[1]节奏总纲!P95</f>
        <v>587.1335577584814</v>
      </c>
      <c r="Q95" s="21">
        <f>[1]节奏总纲!Q95</f>
        <v>502.29275866238083</v>
      </c>
      <c r="R95" s="21">
        <f>[1]节奏总纲!R95</f>
        <v>405.12215485335213</v>
      </c>
      <c r="S95" s="21">
        <f>[1]节奏总纲!S95</f>
        <v>291.57052478286187</v>
      </c>
      <c r="T95" s="21">
        <f>[1]节奏总纲!T95</f>
        <v>157.64536025815227</v>
      </c>
      <c r="U95" s="27"/>
      <c r="V95" s="21">
        <v>92</v>
      </c>
      <c r="W95" s="21">
        <f>[1]节奏总纲!W95</f>
        <v>39.385544939899319</v>
      </c>
      <c r="X95" s="21">
        <f>[1]节奏总纲!X95</f>
        <v>32.653612471728536</v>
      </c>
      <c r="Y95" s="21">
        <f>[1]节奏总纲!Y95</f>
        <v>26.683052796993763</v>
      </c>
      <c r="Z95" s="21">
        <f>[1]节奏总纲!Z95</f>
        <v>18.956338803053598</v>
      </c>
      <c r="AA95" s="21">
        <f>[1]节奏总纲!AA95</f>
        <v>9.7533967971350819</v>
      </c>
      <c r="AC95" s="21">
        <v>92</v>
      </c>
      <c r="AD95" s="21">
        <f>[1]节奏总纲!AD95</f>
        <v>65.38335257126252</v>
      </c>
      <c r="AE95" s="21">
        <f>[1]节奏总纲!AE95</f>
        <v>67.397780318097588</v>
      </c>
      <c r="AF95" s="21">
        <f>[1]节奏总纲!AF95</f>
        <v>70.292327570459079</v>
      </c>
      <c r="AG95" s="21">
        <f>[1]节奏总纲!AG95</f>
        <v>74.808639116482055</v>
      </c>
      <c r="AH95" s="21">
        <f>[1]节奏总纲!AH95</f>
        <v>83.434693634739986</v>
      </c>
      <c r="AL95" s="43"/>
      <c r="AM95" s="43"/>
      <c r="AN95" s="43"/>
      <c r="AO95" s="43"/>
      <c r="AP95" s="43"/>
      <c r="AQ95" s="43"/>
      <c r="AS95" s="43"/>
      <c r="AT95" s="43"/>
      <c r="AU95" s="43"/>
      <c r="AV95" s="43"/>
      <c r="AW95" s="43"/>
      <c r="AX95" s="43"/>
      <c r="AZ95" s="21">
        <v>92</v>
      </c>
      <c r="BA95" s="21">
        <v>37.462663519604888</v>
      </c>
      <c r="BB95" s="21">
        <v>38.976971320055128</v>
      </c>
      <c r="BC95" s="21">
        <v>40.907131795175928</v>
      </c>
      <c r="BD95" s="21">
        <v>43.629324644063402</v>
      </c>
      <c r="BE95" s="21">
        <v>48.317272749718121</v>
      </c>
    </row>
    <row r="96" spans="6:57" x14ac:dyDescent="0.15">
      <c r="F96" s="21">
        <v>94</v>
      </c>
      <c r="G96" s="21">
        <v>674.58805031572183</v>
      </c>
      <c r="N96" s="26">
        <f>[1]节奏总纲!N96</f>
        <v>103</v>
      </c>
      <c r="O96" s="21">
        <v>93</v>
      </c>
      <c r="P96" s="21">
        <f>[1]节奏总纲!P96</f>
        <v>629.34593963259704</v>
      </c>
      <c r="Q96" s="21">
        <f>[1]节奏总纲!Q96</f>
        <v>538.34251676172357</v>
      </c>
      <c r="R96" s="21">
        <f>[1]节奏总纲!R96</f>
        <v>433.68228700082267</v>
      </c>
      <c r="S96" s="21">
        <f>[1]节奏总纲!S96</f>
        <v>311.52624011813555</v>
      </c>
      <c r="T96" s="21">
        <f>[1]节奏总纲!T96</f>
        <v>168.35003885171972</v>
      </c>
      <c r="U96" s="27"/>
      <c r="V96" s="21">
        <v>93</v>
      </c>
      <c r="W96" s="21">
        <f>[1]节奏总纲!W96</f>
        <v>42.212381874115636</v>
      </c>
      <c r="X96" s="21">
        <f>[1]节奏总纲!X96</f>
        <v>36.049758099342739</v>
      </c>
      <c r="Y96" s="21">
        <f>[1]节奏总纲!Y96</f>
        <v>28.56013214747054</v>
      </c>
      <c r="Z96" s="21">
        <f>[1]节奏总纲!Z96</f>
        <v>19.95571533527368</v>
      </c>
      <c r="AA96" s="21">
        <f>[1]节奏总纲!AA96</f>
        <v>10.704678593567451</v>
      </c>
      <c r="AC96" s="21">
        <v>93</v>
      </c>
      <c r="AD96" s="21">
        <f>[1]节奏总纲!AD96</f>
        <v>65.537288901845059</v>
      </c>
      <c r="AE96" s="21">
        <f>[1]节奏总纲!AE96</f>
        <v>67.554953663139216</v>
      </c>
      <c r="AF96" s="21">
        <f>[1]节奏总纲!AF96</f>
        <v>70.446712344929153</v>
      </c>
      <c r="AG96" s="21">
        <f>[1]节奏总纲!AG96</f>
        <v>74.966265940883147</v>
      </c>
      <c r="AH96" s="21">
        <f>[1]节奏总纲!AH96</f>
        <v>83.589593176629805</v>
      </c>
      <c r="AL96" s="43"/>
      <c r="AM96" s="43"/>
      <c r="AN96" s="43"/>
      <c r="AO96" s="43"/>
      <c r="AP96" s="43"/>
      <c r="AQ96" s="43"/>
      <c r="AS96" s="43"/>
      <c r="AT96" s="43"/>
      <c r="AU96" s="43"/>
      <c r="AV96" s="43"/>
      <c r="AW96" s="43"/>
      <c r="AX96" s="43"/>
      <c r="AZ96" s="21">
        <v>93</v>
      </c>
      <c r="BA96" s="21">
        <v>37.535266392462418</v>
      </c>
      <c r="BB96" s="21">
        <v>39.047673544184711</v>
      </c>
      <c r="BC96" s="21">
        <v>40.984830450008985</v>
      </c>
      <c r="BD96" s="21">
        <v>43.704218060932696</v>
      </c>
      <c r="BE96" s="21">
        <v>48.389058749356593</v>
      </c>
    </row>
    <row r="97" spans="6:57" x14ac:dyDescent="0.15">
      <c r="F97" s="21">
        <v>95</v>
      </c>
      <c r="G97" s="21">
        <v>723.0773439350246</v>
      </c>
      <c r="N97" s="26">
        <f>[1]节奏总纲!N97</f>
        <v>104</v>
      </c>
      <c r="O97" s="21">
        <v>94</v>
      </c>
      <c r="P97" s="21">
        <f>[1]节奏总纲!P97</f>
        <v>674.58805031572183</v>
      </c>
      <c r="Q97" s="21">
        <f>[1]节奏总纲!Q97</f>
        <v>576.30057138472114</v>
      </c>
      <c r="R97" s="21">
        <f>[1]节奏总纲!R97</f>
        <v>464.04911981218504</v>
      </c>
      <c r="S97" s="21">
        <f>[1]节奏总纲!S97</f>
        <v>332.70682641571403</v>
      </c>
      <c r="T97" s="21">
        <f>[1]节奏总纲!T97</f>
        <v>179.6427977990767</v>
      </c>
      <c r="U97" s="27"/>
      <c r="V97" s="21">
        <v>94</v>
      </c>
      <c r="W97" s="21">
        <f>[1]节奏总纲!W97</f>
        <v>45.242110683124793</v>
      </c>
      <c r="X97" s="21">
        <f>[1]节奏总纲!X97</f>
        <v>37.958054622997565</v>
      </c>
      <c r="Y97" s="21">
        <f>[1]节奏总纲!Y97</f>
        <v>30.366832811362372</v>
      </c>
      <c r="Z97" s="21">
        <f>[1]节奏总纲!Z97</f>
        <v>21.180586297578486</v>
      </c>
      <c r="AA97" s="21">
        <f>[1]节奏总纲!AA97</f>
        <v>11.292758947356987</v>
      </c>
      <c r="AC97" s="21">
        <v>94</v>
      </c>
      <c r="AD97" s="21">
        <f>[1]节奏总纲!AD97</f>
        <v>65.691225232427584</v>
      </c>
      <c r="AE97" s="21">
        <f>[1]节奏总纲!AE97</f>
        <v>67.712127008180858</v>
      </c>
      <c r="AF97" s="21">
        <f>[1]节奏总纲!AF97</f>
        <v>70.601097119399213</v>
      </c>
      <c r="AG97" s="21">
        <f>[1]节奏总纲!AG97</f>
        <v>75.115180559621535</v>
      </c>
      <c r="AH97" s="21">
        <f>[1]节奏总纲!AH97</f>
        <v>83.744492718519624</v>
      </c>
      <c r="AL97" s="43"/>
      <c r="AM97" s="43"/>
      <c r="AN97" s="43"/>
      <c r="AO97" s="43"/>
      <c r="AP97" s="43"/>
      <c r="AQ97" s="43"/>
      <c r="AS97" s="43"/>
      <c r="AT97" s="43"/>
      <c r="AU97" s="43"/>
      <c r="AV97" s="43"/>
      <c r="AW97" s="43"/>
      <c r="AX97" s="43"/>
      <c r="AZ97" s="21">
        <v>94</v>
      </c>
      <c r="BA97" s="21">
        <v>37.607869265319941</v>
      </c>
      <c r="BB97" s="21">
        <v>39.115214427575864</v>
      </c>
      <c r="BC97" s="21">
        <v>41.053954370816207</v>
      </c>
      <c r="BD97" s="21">
        <v>43.77911147780199</v>
      </c>
      <c r="BE97" s="21">
        <v>48.460844748995065</v>
      </c>
    </row>
    <row r="98" spans="6:57" x14ac:dyDescent="0.15">
      <c r="F98" s="21">
        <v>96</v>
      </c>
      <c r="G98" s="21">
        <v>775.04688205332377</v>
      </c>
      <c r="N98" s="26">
        <f>[1]节奏总纲!N98</f>
        <v>105</v>
      </c>
      <c r="O98" s="21">
        <v>95</v>
      </c>
      <c r="P98" s="21">
        <f>[1]节奏总纲!P98</f>
        <v>723.0773439350246</v>
      </c>
      <c r="Q98" s="21">
        <f>[1]节奏总纲!Q98</f>
        <v>618.15882133005255</v>
      </c>
      <c r="R98" s="21">
        <f>[1]节奏总纲!R98</f>
        <v>495.95875020503337</v>
      </c>
      <c r="S98" s="21">
        <f>[1]节奏总纲!S98</f>
        <v>355.39251454406457</v>
      </c>
      <c r="T98" s="21">
        <f>[1]节奏总纲!T98</f>
        <v>192.84472762747106</v>
      </c>
      <c r="U98" s="27"/>
      <c r="V98" s="21">
        <v>95</v>
      </c>
      <c r="W98" s="21">
        <f>[1]节奏总纲!W98</f>
        <v>48.489293619302771</v>
      </c>
      <c r="X98" s="21">
        <f>[1]节奏总纲!X98</f>
        <v>41.858249945331409</v>
      </c>
      <c r="Y98" s="21">
        <f>[1]节奏总纲!Y98</f>
        <v>31.909630392848328</v>
      </c>
      <c r="Z98" s="21">
        <f>[1]节奏总纲!Z98</f>
        <v>22.685688128350534</v>
      </c>
      <c r="AA98" s="21">
        <f>[1]节奏总纲!AA98</f>
        <v>13.201929828394356</v>
      </c>
      <c r="AC98" s="21">
        <v>95</v>
      </c>
      <c r="AD98" s="21">
        <f>[1]节奏总纲!AD98</f>
        <v>65.845161563010123</v>
      </c>
      <c r="AE98" s="21">
        <f>[1]节奏总纲!AE98</f>
        <v>67.869300353222485</v>
      </c>
      <c r="AF98" s="21">
        <f>[1]节奏总纲!AF98</f>
        <v>70.755481893869288</v>
      </c>
      <c r="AG98" s="21">
        <f>[1]节奏总纲!AG98</f>
        <v>75.261722981240993</v>
      </c>
      <c r="AH98" s="21">
        <f>[1]节奏总纲!AH98</f>
        <v>83.899392260409456</v>
      </c>
      <c r="AL98" s="43"/>
      <c r="AM98" s="43"/>
      <c r="AN98" s="43"/>
      <c r="AO98" s="43"/>
      <c r="AP98" s="43"/>
      <c r="AQ98" s="43"/>
      <c r="AS98" s="43"/>
      <c r="AT98" s="43"/>
      <c r="AU98" s="43"/>
      <c r="AV98" s="43"/>
      <c r="AW98" s="43"/>
      <c r="AX98" s="43"/>
      <c r="AZ98" s="21">
        <v>95</v>
      </c>
      <c r="BA98" s="21">
        <v>37.680472138177471</v>
      </c>
      <c r="BB98" s="21">
        <v>39.182755310967018</v>
      </c>
      <c r="BC98" s="21">
        <v>41.120998062635785</v>
      </c>
      <c r="BD98" s="21">
        <v>43.854004894671284</v>
      </c>
      <c r="BE98" s="21">
        <v>48.532630748633537</v>
      </c>
    </row>
    <row r="99" spans="6:57" x14ac:dyDescent="0.15">
      <c r="F99" s="21">
        <v>97</v>
      </c>
      <c r="G99" s="21">
        <v>830.74645386878444</v>
      </c>
      <c r="N99" s="26">
        <f>[1]节奏总纲!N99</f>
        <v>106</v>
      </c>
      <c r="O99" s="21">
        <v>96</v>
      </c>
      <c r="P99" s="21">
        <f>[1]节奏总纲!P99</f>
        <v>775.04688205332377</v>
      </c>
      <c r="Q99" s="21">
        <f>[1]节奏总纲!Q99</f>
        <v>661.0374857032798</v>
      </c>
      <c r="R99" s="21">
        <f>[1]节奏总纲!R99</f>
        <v>529.97705794806279</v>
      </c>
      <c r="S99" s="21">
        <f>[1]节奏总纲!S99</f>
        <v>380.70302846459265</v>
      </c>
      <c r="T99" s="21">
        <f>[1]节奏总纲!T99</f>
        <v>206.86001282003213</v>
      </c>
      <c r="U99" s="27"/>
      <c r="V99" s="21">
        <v>96</v>
      </c>
      <c r="W99" s="21">
        <f>[1]节奏总纲!W99</f>
        <v>51.96953811829917</v>
      </c>
      <c r="X99" s="21">
        <f>[1]节奏总纲!X99</f>
        <v>42.878664373227252</v>
      </c>
      <c r="Y99" s="21">
        <f>[1]节奏总纲!Y99</f>
        <v>34.018307743029425</v>
      </c>
      <c r="Z99" s="21">
        <f>[1]节奏总纲!Z99</f>
        <v>25.310513920528081</v>
      </c>
      <c r="AA99" s="21">
        <f>[1]节奏总纲!AA99</f>
        <v>14.015285192561066</v>
      </c>
      <c r="AC99" s="21">
        <v>96</v>
      </c>
      <c r="AD99" s="21">
        <f>[1]节奏总纲!AD99</f>
        <v>65.999097893592648</v>
      </c>
      <c r="AE99" s="21">
        <f>[1]节奏总纲!AE99</f>
        <v>68.025215371037646</v>
      </c>
      <c r="AF99" s="21">
        <f>[1]节奏总纲!AF99</f>
        <v>70.909866668339362</v>
      </c>
      <c r="AG99" s="21">
        <f>[1]节奏总纲!AG99</f>
        <v>75.408265402860437</v>
      </c>
      <c r="AH99" s="21">
        <f>[1]节奏总纲!AH99</f>
        <v>84.050903767166133</v>
      </c>
      <c r="AL99" s="43"/>
      <c r="AM99" s="43"/>
      <c r="AN99" s="43"/>
      <c r="AO99" s="43"/>
      <c r="AP99" s="43"/>
      <c r="AQ99" s="43"/>
      <c r="AS99" s="43"/>
      <c r="AT99" s="43"/>
      <c r="AU99" s="43"/>
      <c r="AV99" s="43"/>
      <c r="AW99" s="43"/>
      <c r="AX99" s="43"/>
      <c r="AZ99" s="21">
        <v>96</v>
      </c>
      <c r="BA99" s="21">
        <v>37.753075011035001</v>
      </c>
      <c r="BB99" s="21">
        <v>39.250296194358178</v>
      </c>
      <c r="BC99" s="21">
        <v>41.188041754455355</v>
      </c>
      <c r="BD99" s="21">
        <v>43.928898311540578</v>
      </c>
      <c r="BE99" s="21">
        <v>48.604416748272008</v>
      </c>
    </row>
    <row r="100" spans="6:57" x14ac:dyDescent="0.15">
      <c r="F100" s="21">
        <v>98</v>
      </c>
      <c r="G100" s="21">
        <v>890.4437768152311</v>
      </c>
      <c r="N100" s="26">
        <f>[1]节奏总纲!N100</f>
        <v>107</v>
      </c>
      <c r="O100" s="21">
        <v>97</v>
      </c>
      <c r="P100" s="21">
        <f>[1]节奏总纲!P100</f>
        <v>830.74645386878444</v>
      </c>
      <c r="Q100" s="21">
        <f>[1]节奏总纲!Q100</f>
        <v>707.71290405081743</v>
      </c>
      <c r="R100" s="21">
        <f>[1]节奏总纲!R100</f>
        <v>569.31054483627804</v>
      </c>
      <c r="S100" s="21">
        <f>[1]节奏总纲!S100</f>
        <v>409.80722569347137</v>
      </c>
      <c r="T100" s="21">
        <f>[1]节奏总纲!T100</f>
        <v>223.30464679992923</v>
      </c>
      <c r="U100" s="27"/>
      <c r="V100" s="21">
        <v>97</v>
      </c>
      <c r="W100" s="21">
        <f>[1]节奏总纲!W100</f>
        <v>55.699571815460672</v>
      </c>
      <c r="X100" s="21">
        <f>[1]节奏总纲!X100</f>
        <v>46.675418347537629</v>
      </c>
      <c r="Y100" s="21">
        <f>[1]节奏总纲!Y100</f>
        <v>39.333486888215248</v>
      </c>
      <c r="Z100" s="21">
        <f>[1]节奏总纲!Z100</f>
        <v>29.104197228878718</v>
      </c>
      <c r="AA100" s="21">
        <f>[1]节奏总纲!AA100</f>
        <v>16.444633979897105</v>
      </c>
      <c r="AC100" s="21">
        <v>97</v>
      </c>
      <c r="AD100" s="21">
        <f>[1]节奏总纲!AD100</f>
        <v>66.142785979989682</v>
      </c>
      <c r="AE100" s="21">
        <f>[1]节奏总纲!AE100</f>
        <v>68.174918074940805</v>
      </c>
      <c r="AF100" s="21">
        <f>[1]节奏总纲!AF100</f>
        <v>71.061795050376986</v>
      </c>
      <c r="AG100" s="21">
        <f>[1]节奏总纲!AG100</f>
        <v>75.554807824479894</v>
      </c>
      <c r="AH100" s="21">
        <f>[1]节奏总纲!AH100</f>
        <v>84.196136930932482</v>
      </c>
      <c r="AL100" s="43"/>
      <c r="AM100" s="43"/>
      <c r="AN100" s="43"/>
      <c r="AO100" s="43"/>
      <c r="AP100" s="43"/>
      <c r="AQ100" s="43"/>
      <c r="AS100" s="43"/>
      <c r="AT100" s="43"/>
      <c r="AU100" s="43"/>
      <c r="AV100" s="43"/>
      <c r="AW100" s="43"/>
      <c r="AX100" s="43"/>
      <c r="AZ100" s="21">
        <v>97</v>
      </c>
      <c r="BA100" s="21">
        <v>37.825677883892531</v>
      </c>
      <c r="BB100" s="21">
        <v>39.317837077749331</v>
      </c>
      <c r="BC100" s="21">
        <v>41.255085446274933</v>
      </c>
      <c r="BD100" s="21">
        <v>44.003272544984547</v>
      </c>
      <c r="BE100" s="21">
        <v>48.67620274791048</v>
      </c>
    </row>
    <row r="101" spans="6:57" x14ac:dyDescent="0.15">
      <c r="F101" s="21">
        <v>99</v>
      </c>
      <c r="G101" s="21">
        <v>954.42578333369079</v>
      </c>
      <c r="N101" s="26">
        <f>[1]节奏总纲!N101</f>
        <v>108</v>
      </c>
      <c r="O101" s="21">
        <v>98</v>
      </c>
      <c r="P101" s="21">
        <f>[1]节奏总纲!P101</f>
        <v>890.4437768152311</v>
      </c>
      <c r="Q101" s="21">
        <f>[1]节奏总纲!Q101</f>
        <v>760.34994102252585</v>
      </c>
      <c r="R101" s="21">
        <f>[1]节奏总纲!R101</f>
        <v>612.98149595960513</v>
      </c>
      <c r="S101" s="21">
        <f>[1]节奏总纲!S101</f>
        <v>441.9272464333992</v>
      </c>
      <c r="T101" s="21">
        <f>[1]节奏总纲!T101</f>
        <v>240.77599725083846</v>
      </c>
      <c r="U101" s="27"/>
      <c r="V101" s="21">
        <v>98</v>
      </c>
      <c r="W101" s="21">
        <f>[1]节奏总纲!W101</f>
        <v>59.697322946446661</v>
      </c>
      <c r="X101" s="21">
        <f>[1]节奏总纲!X101</f>
        <v>52.637036971708426</v>
      </c>
      <c r="Y101" s="21">
        <f>[1]节奏总纲!Y101</f>
        <v>43.670951123327086</v>
      </c>
      <c r="Z101" s="21">
        <f>[1]节奏总纲!Z101</f>
        <v>32.120020739927838</v>
      </c>
      <c r="AA101" s="21">
        <f>[1]节奏总纲!AA101</f>
        <v>17.471350450909227</v>
      </c>
      <c r="AC101" s="21">
        <v>98</v>
      </c>
      <c r="AD101" s="21">
        <f>[1]节奏总纲!AD101</f>
        <v>66.286413655019302</v>
      </c>
      <c r="AE101" s="21">
        <f>[1]节奏总纲!AE101</f>
        <v>68.324620778843951</v>
      </c>
      <c r="AF101" s="21">
        <f>[1]节奏总纲!AF101</f>
        <v>71.210277551293188</v>
      </c>
      <c r="AG101" s="21">
        <f>[1]节奏总纲!AG101</f>
        <v>75.701350246099338</v>
      </c>
      <c r="AH101" s="21">
        <f>[1]节奏总纲!AH101</f>
        <v>84.341370094698831</v>
      </c>
      <c r="AL101" s="43"/>
      <c r="AM101" s="43"/>
      <c r="AN101" s="43"/>
      <c r="AO101" s="43"/>
      <c r="AP101" s="43"/>
      <c r="AQ101" s="43"/>
      <c r="AS101" s="43"/>
      <c r="AT101" s="43"/>
      <c r="AU101" s="43"/>
      <c r="AV101" s="43"/>
      <c r="AW101" s="43"/>
      <c r="AX101" s="43"/>
      <c r="AZ101" s="21">
        <v>98</v>
      </c>
      <c r="BA101" s="21">
        <v>37.898280756750061</v>
      </c>
      <c r="BB101" s="21">
        <v>39.385377961140485</v>
      </c>
      <c r="BC101" s="21">
        <v>41.322129138094503</v>
      </c>
      <c r="BD101" s="21">
        <v>44.067911160744309</v>
      </c>
      <c r="BE101" s="21">
        <v>48.747988747548945</v>
      </c>
    </row>
    <row r="102" spans="6:57" x14ac:dyDescent="0.15">
      <c r="F102" s="21">
        <v>100</v>
      </c>
      <c r="G102" s="21">
        <v>1023</v>
      </c>
      <c r="N102" s="26">
        <f>[1]节奏总纲!N102</f>
        <v>109</v>
      </c>
      <c r="O102" s="21">
        <v>99</v>
      </c>
      <c r="P102" s="21">
        <f>[1]节奏总纲!P102</f>
        <v>954.42578333369079</v>
      </c>
      <c r="Q102" s="21">
        <f>[1]节奏总纲!Q102</f>
        <v>816.51125764197252</v>
      </c>
      <c r="R102" s="21">
        <f>[1]节奏总纲!R102</f>
        <v>658.6492330785801</v>
      </c>
      <c r="S102" s="21">
        <f>[1]节奏总纲!S102</f>
        <v>475.39948267851139</v>
      </c>
      <c r="T102" s="21">
        <f>[1]节奏总纲!T102</f>
        <v>257.59951892176309</v>
      </c>
      <c r="U102" s="27"/>
      <c r="V102" s="21">
        <v>99</v>
      </c>
      <c r="W102" s="21">
        <f>[1]节奏总纲!W102</f>
        <v>63.982006518459684</v>
      </c>
      <c r="X102" s="21">
        <f>[1]节奏总纲!X102</f>
        <v>56.161316619446666</v>
      </c>
      <c r="Y102" s="21">
        <f>[1]节奏总纲!Y102</f>
        <v>45.667737118974969</v>
      </c>
      <c r="Z102" s="21">
        <f>[1]节奏总纲!Z102</f>
        <v>33.472236245112185</v>
      </c>
      <c r="AA102" s="21">
        <f>[1]节奏总纲!AA102</f>
        <v>16.823521670924634</v>
      </c>
      <c r="AC102" s="21">
        <v>99</v>
      </c>
      <c r="AD102" s="21">
        <f>[1]节奏总纲!AD102</f>
        <v>66.430041330048923</v>
      </c>
      <c r="AE102" s="21">
        <f>[1]节奏总纲!AE102</f>
        <v>68.474323482747096</v>
      </c>
      <c r="AF102" s="21">
        <f>[1]节奏总纲!AF102</f>
        <v>71.358760052209377</v>
      </c>
      <c r="AG102" s="21">
        <f>[1]节奏总纲!AG102</f>
        <v>75.847892667718796</v>
      </c>
      <c r="AH102" s="21">
        <f>[1]节奏总纲!AH102</f>
        <v>84.48660325846518</v>
      </c>
      <c r="AL102" s="43"/>
      <c r="AM102" s="43"/>
      <c r="AN102" s="43"/>
      <c r="AO102" s="43"/>
      <c r="AP102" s="43"/>
      <c r="AQ102" s="43"/>
      <c r="AS102" s="43"/>
      <c r="AT102" s="43"/>
      <c r="AU102" s="43"/>
      <c r="AV102" s="43"/>
      <c r="AW102" s="43"/>
      <c r="AX102" s="43"/>
      <c r="AZ102" s="21">
        <v>99</v>
      </c>
      <c r="BA102" s="21">
        <v>37.970883629607592</v>
      </c>
      <c r="BB102" s="21">
        <v>39.452918844531645</v>
      </c>
      <c r="BC102" s="21">
        <v>41.389172829914081</v>
      </c>
      <c r="BD102" s="21">
        <v>44.132549776504064</v>
      </c>
      <c r="BE102" s="21">
        <v>48.819774747187417</v>
      </c>
    </row>
    <row r="103" spans="6:57" x14ac:dyDescent="0.15">
      <c r="F103" s="21">
        <v>101</v>
      </c>
      <c r="G103" s="21">
        <v>1096.4960256371633</v>
      </c>
      <c r="N103" s="26">
        <f>[1]节奏总纲!N103</f>
        <v>110</v>
      </c>
      <c r="O103" s="21">
        <v>100</v>
      </c>
      <c r="P103" s="21">
        <f>[1]节奏总纲!P103</f>
        <v>1023</v>
      </c>
      <c r="Q103" s="21">
        <f>[1]节奏总纲!Q103</f>
        <v>875.38110000000006</v>
      </c>
      <c r="R103" s="21">
        <f>[1]节奏总纲!R103</f>
        <v>706.6884</v>
      </c>
      <c r="S103" s="21">
        <f>[1]节奏总纲!S103</f>
        <v>508.22640000000001</v>
      </c>
      <c r="T103" s="21">
        <f>[1]节奏总纲!T103</f>
        <v>274.77780000000001</v>
      </c>
      <c r="U103" s="27"/>
      <c r="V103" s="21">
        <v>100</v>
      </c>
      <c r="W103" s="21">
        <f>[1]节奏总纲!W103</f>
        <v>68.574216666309212</v>
      </c>
      <c r="X103" s="21">
        <f>[1]节奏总纲!X103</f>
        <v>58.86984235802754</v>
      </c>
      <c r="Y103" s="21">
        <f>[1]节奏总纲!Y103</f>
        <v>48.039166921419906</v>
      </c>
      <c r="Z103" s="21">
        <f>[1]节奏总纲!Z103</f>
        <v>32.826917321488622</v>
      </c>
      <c r="AA103" s="21">
        <f>[1]节奏总纲!AA103</f>
        <v>17.178281078236921</v>
      </c>
      <c r="AC103" s="21">
        <v>100</v>
      </c>
      <c r="AD103" s="21">
        <f>[1]节奏总纲!AD103</f>
        <v>66.573669005078543</v>
      </c>
      <c r="AE103" s="21">
        <f>[1]节奏总纲!AE103</f>
        <v>68.624026186650241</v>
      </c>
      <c r="AF103" s="21">
        <f>[1]节奏总纲!AF103</f>
        <v>71.507242553125565</v>
      </c>
      <c r="AG103" s="21">
        <f>[1]节奏总纲!AG103</f>
        <v>75.994435089338239</v>
      </c>
      <c r="AH103" s="21">
        <f>[1]节奏总纲!AH103</f>
        <v>84.63183642223153</v>
      </c>
      <c r="AL103" s="43"/>
      <c r="AM103" s="43"/>
      <c r="AN103" s="43"/>
      <c r="AO103" s="43"/>
      <c r="AP103" s="43"/>
      <c r="AQ103" s="43"/>
      <c r="AS103" s="43"/>
      <c r="AT103" s="43"/>
      <c r="AU103" s="43"/>
      <c r="AV103" s="43"/>
      <c r="AW103" s="43"/>
      <c r="AX103" s="43"/>
      <c r="AZ103" s="21">
        <v>100</v>
      </c>
      <c r="BA103" s="21">
        <v>38.037513426486328</v>
      </c>
      <c r="BB103" s="21">
        <v>39.520459727922798</v>
      </c>
      <c r="BC103" s="21">
        <v>41.456216521733651</v>
      </c>
      <c r="BD103" s="21">
        <v>44.197188392263818</v>
      </c>
      <c r="BE103" s="21">
        <v>48.891560746825888</v>
      </c>
    </row>
    <row r="104" spans="6:57" x14ac:dyDescent="0.15">
      <c r="F104" s="21">
        <v>102</v>
      </c>
      <c r="G104" s="21">
        <v>1175.2671155169628</v>
      </c>
      <c r="N104" s="26">
        <f>[1]节奏总纲!N104</f>
        <v>111</v>
      </c>
      <c r="O104" s="21">
        <v>101</v>
      </c>
      <c r="P104" s="21">
        <f>[1]节奏总纲!P104</f>
        <v>1096.4960256371633</v>
      </c>
      <c r="Q104" s="21">
        <f>[1]节奏总纲!Q104</f>
        <v>939.14884595823037</v>
      </c>
      <c r="R104" s="21">
        <f>[1]节奏总纲!R104</f>
        <v>756.25330888195151</v>
      </c>
      <c r="S104" s="21">
        <f>[1]节奏总纲!S104</f>
        <v>541.99798547244984</v>
      </c>
      <c r="T104" s="21">
        <f>[1]节奏总纲!T104</f>
        <v>293.42233646050488</v>
      </c>
      <c r="U104" s="27"/>
      <c r="V104" s="21">
        <v>101</v>
      </c>
      <c r="W104" s="21">
        <f>[1]节奏总纲!W104</f>
        <v>73.496025637163257</v>
      </c>
      <c r="X104" s="21">
        <f>[1]节奏总纲!X104</f>
        <v>63.767745958230307</v>
      </c>
      <c r="Y104" s="21">
        <f>[1]节奏总纲!Y104</f>
        <v>49.56490888195151</v>
      </c>
      <c r="Z104" s="21">
        <f>[1]节奏总纲!Z104</f>
        <v>33.771585472449829</v>
      </c>
      <c r="AA104" s="21">
        <f>[1]节奏总纲!AA104</f>
        <v>18.644536460504867</v>
      </c>
      <c r="AC104" s="21">
        <v>101</v>
      </c>
      <c r="AD104" s="21">
        <f>[1]节奏总纲!AD104</f>
        <v>66.717296680108163</v>
      </c>
      <c r="AE104" s="21">
        <f>[1]节奏总纲!AE104</f>
        <v>68.773728890553386</v>
      </c>
      <c r="AF104" s="21">
        <f>[1]节奏总纲!AF104</f>
        <v>71.655725054041767</v>
      </c>
      <c r="AG104" s="21">
        <f>[1]节奏总纲!AG104</f>
        <v>76.130305911210229</v>
      </c>
      <c r="AH104" s="21">
        <f>[1]节奏总纲!AH104</f>
        <v>84.777069585997879</v>
      </c>
      <c r="AL104" s="43"/>
      <c r="AM104" s="43"/>
      <c r="AN104" s="43"/>
      <c r="AO104" s="43"/>
      <c r="AP104" s="43"/>
      <c r="AQ104" s="43"/>
      <c r="AS104" s="43"/>
      <c r="AT104" s="43"/>
      <c r="AU104" s="43"/>
      <c r="AV104" s="43"/>
      <c r="AW104" s="43"/>
      <c r="AX104" s="43"/>
      <c r="AZ104" s="21">
        <v>101</v>
      </c>
      <c r="BA104" s="21">
        <v>38.100143952724252</v>
      </c>
      <c r="BB104" s="21">
        <v>39.588000611313952</v>
      </c>
      <c r="BC104" s="21">
        <v>41.523260213553229</v>
      </c>
      <c r="BD104" s="21">
        <v>44.261827008023573</v>
      </c>
      <c r="BE104" s="21">
        <v>48.96334674646436</v>
      </c>
    </row>
    <row r="105" spans="6:57" x14ac:dyDescent="0.15">
      <c r="F105" s="21">
        <v>103</v>
      </c>
      <c r="G105" s="21">
        <v>1259.6918792651943</v>
      </c>
      <c r="N105" s="26">
        <f>[1]节奏总纲!N105</f>
        <v>112</v>
      </c>
      <c r="O105" s="21">
        <v>102</v>
      </c>
      <c r="P105" s="21">
        <f>[1]节奏总纲!P105</f>
        <v>1175.2671155169628</v>
      </c>
      <c r="Q105" s="21">
        <f>[1]节奏总纲!Q105</f>
        <v>1004.2657502092447</v>
      </c>
      <c r="R105" s="21">
        <f>[1]节奏总纲!R105</f>
        <v>806.23324124463659</v>
      </c>
      <c r="S105" s="21">
        <f>[1]节奏总纲!S105</f>
        <v>577.99636741124232</v>
      </c>
      <c r="T105" s="21">
        <f>[1]节奏总纲!T105</f>
        <v>313.56126641992563</v>
      </c>
      <c r="U105" s="27"/>
      <c r="V105" s="21">
        <v>102</v>
      </c>
      <c r="W105" s="21">
        <f>[1]节奏总纲!W105</f>
        <v>78.771089879799547</v>
      </c>
      <c r="X105" s="21">
        <f>[1]节奏总纲!X105</f>
        <v>65.116904251014375</v>
      </c>
      <c r="Y105" s="21">
        <f>[1]节奏总纲!Y105</f>
        <v>49.979932362685076</v>
      </c>
      <c r="Z105" s="21">
        <f>[1]节奏总纲!Z105</f>
        <v>35.998381938792477</v>
      </c>
      <c r="AA105" s="21">
        <f>[1]节奏总纲!AA105</f>
        <v>20.13892995942075</v>
      </c>
      <c r="AC105" s="21">
        <v>102</v>
      </c>
      <c r="AD105" s="21">
        <f>[1]节奏总纲!AD105</f>
        <v>66.860924355137783</v>
      </c>
      <c r="AE105" s="21">
        <f>[1]节奏总纲!AE105</f>
        <v>68.923431594456531</v>
      </c>
      <c r="AF105" s="21">
        <f>[1]节奏总纲!AF105</f>
        <v>71.804207554957955</v>
      </c>
      <c r="AG105" s="21">
        <f>[1]节奏总纲!AG105</f>
        <v>76.265755485049056</v>
      </c>
      <c r="AH105" s="21">
        <f>[1]节奏总纲!AH105</f>
        <v>84.922302749764228</v>
      </c>
      <c r="AL105" s="43"/>
      <c r="AM105" s="43"/>
      <c r="AN105" s="43"/>
      <c r="AO105" s="43"/>
      <c r="AP105" s="43"/>
      <c r="AQ105" s="43"/>
      <c r="AS105" s="43"/>
      <c r="AT105" s="43"/>
      <c r="AU105" s="43"/>
      <c r="AV105" s="43"/>
      <c r="AW105" s="43"/>
      <c r="AX105" s="43"/>
      <c r="AZ105" s="21">
        <v>102</v>
      </c>
      <c r="BA105" s="21">
        <v>38.16277447896217</v>
      </c>
      <c r="BB105" s="21">
        <v>39.655541494705105</v>
      </c>
      <c r="BC105" s="21">
        <v>41.590303905372799</v>
      </c>
      <c r="BD105" s="21">
        <v>44.326465623783335</v>
      </c>
      <c r="BE105" s="21">
        <v>49.030333272797542</v>
      </c>
    </row>
    <row r="106" spans="6:57" x14ac:dyDescent="0.15">
      <c r="F106" s="21">
        <v>104</v>
      </c>
      <c r="G106" s="21">
        <v>1350.1761006314437</v>
      </c>
      <c r="N106" s="26">
        <f>[1]节奏总纲!N106</f>
        <v>113</v>
      </c>
      <c r="O106" s="21">
        <v>103</v>
      </c>
      <c r="P106" s="21">
        <f>[1]节奏总纲!P106</f>
        <v>1259.6918792651943</v>
      </c>
      <c r="Q106" s="21">
        <f>[1]节奏总纲!Q106</f>
        <v>1073.383450321872</v>
      </c>
      <c r="R106" s="21">
        <f>[1]节奏总纲!R106</f>
        <v>861.50327622946634</v>
      </c>
      <c r="S106" s="21">
        <f>[1]节奏总纲!S106</f>
        <v>619.01258947091651</v>
      </c>
      <c r="T106" s="21">
        <f>[1]节奏总纲!T106</f>
        <v>335.8338550121008</v>
      </c>
      <c r="U106" s="27"/>
      <c r="V106" s="21">
        <v>103</v>
      </c>
      <c r="W106" s="21">
        <f>[1]节奏总纲!W106</f>
        <v>84.424763748231499</v>
      </c>
      <c r="X106" s="21">
        <f>[1]节奏总纲!X106</f>
        <v>69.11770011262729</v>
      </c>
      <c r="Y106" s="21">
        <f>[1]节奏总纲!Y106</f>
        <v>55.270034984829749</v>
      </c>
      <c r="Z106" s="21">
        <f>[1]节奏总纲!Z106</f>
        <v>41.016222059674192</v>
      </c>
      <c r="AA106" s="21">
        <f>[1]节奏总纲!AA106</f>
        <v>22.272588592175168</v>
      </c>
      <c r="AC106" s="21">
        <v>103</v>
      </c>
      <c r="AD106" s="21">
        <f>[1]节奏总纲!AD106</f>
        <v>67.004247194324648</v>
      </c>
      <c r="AE106" s="21">
        <f>[1]节奏总纲!AE106</f>
        <v>69.0655056802525</v>
      </c>
      <c r="AF106" s="21">
        <f>[1]节奏总纲!AF106</f>
        <v>71.952690055874157</v>
      </c>
      <c r="AG106" s="21">
        <f>[1]节奏总纲!AG106</f>
        <v>76.401205058887882</v>
      </c>
      <c r="AH106" s="21">
        <f>[1]节奏总纲!AH106</f>
        <v>85.072521641060263</v>
      </c>
      <c r="AL106" s="43"/>
      <c r="AM106" s="43"/>
      <c r="AN106" s="43"/>
      <c r="AO106" s="43"/>
      <c r="AP106" s="43"/>
      <c r="AQ106" s="43"/>
      <c r="AS106" s="43"/>
      <c r="AT106" s="43"/>
      <c r="AU106" s="43"/>
      <c r="AV106" s="43"/>
      <c r="AW106" s="43"/>
      <c r="AX106" s="43"/>
      <c r="AZ106" s="21">
        <v>103</v>
      </c>
      <c r="BA106" s="21">
        <v>38.225405005200088</v>
      </c>
      <c r="BB106" s="21">
        <v>39.723082378096265</v>
      </c>
      <c r="BC106" s="21">
        <v>41.657347597192377</v>
      </c>
      <c r="BD106" s="21">
        <v>44.39110423954309</v>
      </c>
      <c r="BE106" s="21">
        <v>49.09231260978715</v>
      </c>
    </row>
    <row r="107" spans="6:57" x14ac:dyDescent="0.15">
      <c r="F107" s="21">
        <v>105</v>
      </c>
      <c r="G107" s="21">
        <v>1447.1546878700494</v>
      </c>
      <c r="N107" s="26">
        <f>[1]节奏总纲!N107</f>
        <v>114</v>
      </c>
      <c r="O107" s="21">
        <v>104</v>
      </c>
      <c r="P107" s="21">
        <f>[1]节奏总纲!P107</f>
        <v>1350.1761006314437</v>
      </c>
      <c r="Q107" s="21">
        <f>[1]节奏总纲!Q107</f>
        <v>1150.7550905681794</v>
      </c>
      <c r="R107" s="21">
        <f>[1]节奏总纲!R107</f>
        <v>925.41069937279144</v>
      </c>
      <c r="S107" s="21">
        <f>[1]节奏总纲!S107</f>
        <v>665.09674717104917</v>
      </c>
      <c r="T107" s="21">
        <f>[1]节奏总纲!T107</f>
        <v>360.49701886859549</v>
      </c>
      <c r="U107" s="27"/>
      <c r="V107" s="21">
        <v>104</v>
      </c>
      <c r="W107" s="21">
        <f>[1]节奏总纲!W107</f>
        <v>90.484221366249358</v>
      </c>
      <c r="X107" s="21">
        <f>[1]节奏总纲!X107</f>
        <v>77.371640246307379</v>
      </c>
      <c r="Y107" s="21">
        <f>[1]节奏总纲!Y107</f>
        <v>63.907423143325104</v>
      </c>
      <c r="Z107" s="21">
        <f>[1]节奏总纲!Z107</f>
        <v>46.084157700132664</v>
      </c>
      <c r="AA107" s="21">
        <f>[1]节奏总纲!AA107</f>
        <v>24.663163856494691</v>
      </c>
      <c r="AC107" s="21">
        <v>104</v>
      </c>
      <c r="AD107" s="21">
        <f>[1]节奏总纲!AD107</f>
        <v>67.138256553625013</v>
      </c>
      <c r="AE107" s="21">
        <f>[1]节奏总纲!AE107</f>
        <v>69.199592937186125</v>
      </c>
      <c r="AF107" s="21">
        <f>[1]节奏总纲!AF107</f>
        <v>72.093818006439079</v>
      </c>
      <c r="AG107" s="21">
        <f>[1]节奏总纲!AG107</f>
        <v>76.536654632726695</v>
      </c>
      <c r="AH107" s="21">
        <f>[1]节奏总纲!AH107</f>
        <v>85.228476403824274</v>
      </c>
      <c r="AL107" s="43"/>
      <c r="AM107" s="43"/>
      <c r="AN107" s="43"/>
      <c r="AO107" s="43"/>
      <c r="AP107" s="43"/>
      <c r="AQ107" s="43"/>
      <c r="AS107" s="43"/>
      <c r="AT107" s="43"/>
      <c r="AU107" s="43"/>
      <c r="AV107" s="43"/>
      <c r="AW107" s="43"/>
      <c r="AX107" s="43"/>
      <c r="AZ107" s="21">
        <v>104</v>
      </c>
      <c r="BA107" s="21">
        <v>38.288035531438013</v>
      </c>
      <c r="BB107" s="21">
        <v>39.790623261487418</v>
      </c>
      <c r="BC107" s="21">
        <v>41.724391289011947</v>
      </c>
      <c r="BD107" s="21">
        <v>44.455742855302844</v>
      </c>
      <c r="BE107" s="21">
        <v>49.154291946776759</v>
      </c>
    </row>
    <row r="108" spans="6:57" x14ac:dyDescent="0.15">
      <c r="F108" s="21">
        <v>106</v>
      </c>
      <c r="G108" s="21">
        <v>1551.0937641066464</v>
      </c>
      <c r="N108" s="26">
        <f>[1]节奏总纲!N108</f>
        <v>115</v>
      </c>
      <c r="O108" s="21">
        <v>105</v>
      </c>
      <c r="P108" s="21">
        <f>[1]节奏总纲!P108</f>
        <v>1447.1546878700494</v>
      </c>
      <c r="Q108" s="21">
        <f>[1]节奏总纲!Q108</f>
        <v>1234.8570951595132</v>
      </c>
      <c r="R108" s="21">
        <f>[1]节奏总纲!R108</f>
        <v>993.18226228521496</v>
      </c>
      <c r="S108" s="21">
        <f>[1]节奏总纲!S108</f>
        <v>713.59197658872131</v>
      </c>
      <c r="T108" s="21">
        <f>[1]节奏总纲!T108</f>
        <v>386.39030166130323</v>
      </c>
      <c r="U108" s="27"/>
      <c r="V108" s="21">
        <v>105</v>
      </c>
      <c r="W108" s="21">
        <f>[1]节奏总纲!W108</f>
        <v>96.978587238605769</v>
      </c>
      <c r="X108" s="21">
        <f>[1]节奏总纲!X108</f>
        <v>84.102004591333753</v>
      </c>
      <c r="Y108" s="21">
        <f>[1]节奏总纲!Y108</f>
        <v>67.771562912423519</v>
      </c>
      <c r="Z108" s="21">
        <f>[1]节奏总纲!Z108</f>
        <v>48.495229417672135</v>
      </c>
      <c r="AA108" s="21">
        <f>[1]节奏总纲!AA108</f>
        <v>25.893282792707737</v>
      </c>
      <c r="AC108" s="21">
        <v>105</v>
      </c>
      <c r="AD108" s="21">
        <f>[1]节奏总纲!AD108</f>
        <v>67.272265912925377</v>
      </c>
      <c r="AE108" s="21">
        <f>[1]节奏总纲!AE108</f>
        <v>69.333680194119751</v>
      </c>
      <c r="AF108" s="21">
        <f>[1]节奏总纲!AF108</f>
        <v>72.23150684883845</v>
      </c>
      <c r="AG108" s="21">
        <f>[1]节奏总纲!AG108</f>
        <v>76.672104206565521</v>
      </c>
      <c r="AH108" s="21">
        <f>[1]节奏总纲!AH108</f>
        <v>85.384431166588271</v>
      </c>
      <c r="AL108" s="43"/>
      <c r="AM108" s="43"/>
      <c r="AN108" s="43"/>
      <c r="AO108" s="43"/>
      <c r="AP108" s="43"/>
      <c r="AQ108" s="43"/>
      <c r="AS108" s="43"/>
      <c r="AT108" s="43"/>
      <c r="AU108" s="43"/>
      <c r="AV108" s="43"/>
      <c r="AW108" s="43"/>
      <c r="AX108" s="43"/>
      <c r="AZ108" s="21">
        <v>105</v>
      </c>
      <c r="BA108" s="21">
        <v>38.35066605767593</v>
      </c>
      <c r="BB108" s="21">
        <v>39.858164144878572</v>
      </c>
      <c r="BC108" s="21">
        <v>41.791434980831518</v>
      </c>
      <c r="BD108" s="21">
        <v>44.520381471062606</v>
      </c>
      <c r="BE108" s="21">
        <v>49.216271283766375</v>
      </c>
    </row>
    <row r="109" spans="6:57" x14ac:dyDescent="0.15">
      <c r="F109" s="21">
        <v>107</v>
      </c>
      <c r="G109" s="21">
        <v>1662.4929077375689</v>
      </c>
      <c r="N109" s="26">
        <f>[1]节奏总纲!N109</f>
        <v>116</v>
      </c>
      <c r="O109" s="21">
        <v>106</v>
      </c>
      <c r="P109" s="21">
        <f>[1]节奏总纲!P109</f>
        <v>1551.0937641066464</v>
      </c>
      <c r="Q109" s="21">
        <f>[1]节奏总纲!Q109</f>
        <v>1324.4789651706653</v>
      </c>
      <c r="R109" s="21">
        <f>[1]节奏总纲!R109</f>
        <v>1064.6707596828021</v>
      </c>
      <c r="S109" s="21">
        <f>[1]节奏总纲!S109</f>
        <v>764.3790069517554</v>
      </c>
      <c r="T109" s="21">
        <f>[1]节奏总纲!T109</f>
        <v>412.59094125236794</v>
      </c>
      <c r="U109" s="27"/>
      <c r="V109" s="21">
        <v>106</v>
      </c>
      <c r="W109" s="21">
        <f>[1]节奏总纲!W109</f>
        <v>103.93907623659697</v>
      </c>
      <c r="X109" s="21">
        <f>[1]节奏总纲!X109</f>
        <v>89.621870011152168</v>
      </c>
      <c r="Y109" s="21">
        <f>[1]节奏总纲!Y109</f>
        <v>71.488497397587139</v>
      </c>
      <c r="Z109" s="21">
        <f>[1]节奏总纲!Z109</f>
        <v>50.787030363034091</v>
      </c>
      <c r="AA109" s="21">
        <f>[1]节奏总纲!AA109</f>
        <v>26.200639591064714</v>
      </c>
      <c r="AC109" s="21">
        <v>106</v>
      </c>
      <c r="AD109" s="21">
        <f>[1]节奏总纲!AD109</f>
        <v>67.406275272225741</v>
      </c>
      <c r="AE109" s="21">
        <f>[1]节奏总纲!AE109</f>
        <v>69.467767451053362</v>
      </c>
      <c r="AF109" s="21">
        <f>[1]节奏总纲!AF109</f>
        <v>72.369195691237806</v>
      </c>
      <c r="AG109" s="21">
        <f>[1]节奏总纲!AG109</f>
        <v>76.807553780404334</v>
      </c>
      <c r="AH109" s="21">
        <f>[1]节奏总纲!AH109</f>
        <v>85.540385929352269</v>
      </c>
      <c r="AL109" s="43"/>
      <c r="AM109" s="43"/>
      <c r="AN109" s="43"/>
      <c r="AO109" s="43"/>
      <c r="AP109" s="43"/>
      <c r="AQ109" s="43"/>
      <c r="AS109" s="43"/>
      <c r="AT109" s="43"/>
      <c r="AU109" s="43"/>
      <c r="AV109" s="43"/>
      <c r="AW109" s="43"/>
      <c r="AX109" s="43"/>
      <c r="AZ109" s="21">
        <v>106</v>
      </c>
      <c r="BA109" s="21">
        <v>38.413296583913848</v>
      </c>
      <c r="BB109" s="21">
        <v>39.925705028269732</v>
      </c>
      <c r="BC109" s="21">
        <v>41.858478672651096</v>
      </c>
      <c r="BD109" s="21">
        <v>44.585020086822361</v>
      </c>
      <c r="BE109" s="21">
        <v>49.278250620755983</v>
      </c>
    </row>
    <row r="110" spans="6:57" x14ac:dyDescent="0.15">
      <c r="F110" s="21">
        <v>108</v>
      </c>
      <c r="G110" s="21">
        <v>1781.8875536304624</v>
      </c>
      <c r="N110" s="26">
        <f>[1]节奏总纲!N110</f>
        <v>117</v>
      </c>
      <c r="O110" s="21">
        <v>107</v>
      </c>
      <c r="P110" s="21">
        <f>[1]节奏总纲!P110</f>
        <v>1662.4929077375689</v>
      </c>
      <c r="Q110" s="21">
        <f>[1]节奏总纲!Q110</f>
        <v>1418.9376967540152</v>
      </c>
      <c r="R110" s="21">
        <f>[1]节奏总纲!R110</f>
        <v>1141.6338797433884</v>
      </c>
      <c r="S110" s="21">
        <f>[1]节奏总纲!S110</f>
        <v>816.11776840837263</v>
      </c>
      <c r="T110" s="21">
        <f>[1]节奏总纲!T110</f>
        <v>440.22812196890823</v>
      </c>
      <c r="U110" s="27"/>
      <c r="V110" s="21">
        <v>107</v>
      </c>
      <c r="W110" s="21">
        <f>[1]节奏总纲!W110</f>
        <v>111.39914363092248</v>
      </c>
      <c r="X110" s="21">
        <f>[1]节奏总纲!X110</f>
        <v>94.458731583349845</v>
      </c>
      <c r="Y110" s="21">
        <f>[1]节奏总纲!Y110</f>
        <v>76.963120060586334</v>
      </c>
      <c r="Z110" s="21">
        <f>[1]节奏总纲!Z110</f>
        <v>51.738761456617226</v>
      </c>
      <c r="AA110" s="21">
        <f>[1]节奏总纲!AA110</f>
        <v>27.637180716540286</v>
      </c>
      <c r="AC110" s="21">
        <v>107</v>
      </c>
      <c r="AD110" s="21">
        <f>[1]节奏总纲!AD110</f>
        <v>67.540284631526106</v>
      </c>
      <c r="AE110" s="21">
        <f>[1]节奏总纲!AE110</f>
        <v>69.601854707986988</v>
      </c>
      <c r="AF110" s="21">
        <f>[1]节奏总纲!AF110</f>
        <v>72.506884533637162</v>
      </c>
      <c r="AG110" s="21">
        <f>[1]节奏总纲!AG110</f>
        <v>76.94300335424316</v>
      </c>
      <c r="AH110" s="21">
        <f>[1]节奏总纲!AH110</f>
        <v>85.696340692116266</v>
      </c>
      <c r="AL110" s="43"/>
      <c r="AM110" s="43"/>
      <c r="AN110" s="43"/>
      <c r="AO110" s="43"/>
      <c r="AP110" s="43"/>
      <c r="AQ110" s="43"/>
      <c r="AS110" s="43"/>
      <c r="AT110" s="43"/>
      <c r="AU110" s="43"/>
      <c r="AV110" s="43"/>
      <c r="AW110" s="43"/>
      <c r="AX110" s="43"/>
      <c r="AZ110" s="21">
        <v>107</v>
      </c>
      <c r="BA110" s="21">
        <v>38.475927110151773</v>
      </c>
      <c r="BB110" s="21">
        <v>39.993245911660885</v>
      </c>
      <c r="BC110" s="21">
        <v>41.925522364470666</v>
      </c>
      <c r="BD110" s="21">
        <v>44.649658702582116</v>
      </c>
      <c r="BE110" s="21">
        <v>49.340229957745592</v>
      </c>
    </row>
    <row r="111" spans="6:57" x14ac:dyDescent="0.15">
      <c r="F111" s="21">
        <v>109</v>
      </c>
      <c r="G111" s="21">
        <v>1909.8515666673818</v>
      </c>
      <c r="N111" s="26">
        <f>[1]节奏总纲!N111</f>
        <v>118</v>
      </c>
      <c r="O111" s="21">
        <v>108</v>
      </c>
      <c r="P111" s="21">
        <f>[1]节奏总纲!P111</f>
        <v>1781.8875536304624</v>
      </c>
      <c r="Q111" s="21">
        <f>[1]节奏总纲!Q111</f>
        <v>1520.8410270235997</v>
      </c>
      <c r="R111" s="21">
        <f>[1]节奏总纲!R111</f>
        <v>1218.0983316617842</v>
      </c>
      <c r="S111" s="21">
        <f>[1]节奏总纲!S111</f>
        <v>871.69939123602228</v>
      </c>
      <c r="T111" s="21">
        <f>[1]节奏总纲!T111</f>
        <v>471.13106917989433</v>
      </c>
      <c r="U111" s="27"/>
      <c r="V111" s="21">
        <v>108</v>
      </c>
      <c r="W111" s="21">
        <f>[1]节奏总纲!W111</f>
        <v>119.39464589289355</v>
      </c>
      <c r="X111" s="21">
        <f>[1]节奏总纲!X111</f>
        <v>101.90333026958456</v>
      </c>
      <c r="Y111" s="21">
        <f>[1]节奏总纲!Y111</f>
        <v>76.464451918395753</v>
      </c>
      <c r="Z111" s="21">
        <f>[1]节奏总纲!Z111</f>
        <v>55.581622827649653</v>
      </c>
      <c r="AA111" s="21">
        <f>[1]节奏总纲!AA111</f>
        <v>30.902947210986099</v>
      </c>
      <c r="AC111" s="21">
        <v>108</v>
      </c>
      <c r="AD111" s="21">
        <f>[1]节奏总纲!AD111</f>
        <v>67.674293990826456</v>
      </c>
      <c r="AE111" s="21">
        <f>[1]节奏总纲!AE111</f>
        <v>69.735941964920613</v>
      </c>
      <c r="AF111" s="21">
        <f>[1]节奏总纲!AF111</f>
        <v>72.644573376036519</v>
      </c>
      <c r="AG111" s="21">
        <f>[1]节奏总纲!AG111</f>
        <v>77.074762810762508</v>
      </c>
      <c r="AH111" s="21">
        <f>[1]节奏总纲!AH111</f>
        <v>85.852295454880277</v>
      </c>
      <c r="AL111" s="43"/>
      <c r="AM111" s="43"/>
      <c r="AN111" s="43"/>
      <c r="AO111" s="43"/>
      <c r="AP111" s="43"/>
      <c r="AQ111" s="43"/>
      <c r="AS111" s="43"/>
      <c r="AT111" s="43"/>
      <c r="AU111" s="43"/>
      <c r="AV111" s="43"/>
      <c r="AW111" s="43"/>
      <c r="AX111" s="43"/>
      <c r="AZ111" s="21">
        <v>108</v>
      </c>
      <c r="BA111" s="21">
        <v>38.53855763638969</v>
      </c>
      <c r="BB111" s="21">
        <v>40.052446592012309</v>
      </c>
      <c r="BC111" s="21">
        <v>41.992566056290244</v>
      </c>
      <c r="BD111" s="21">
        <v>44.71429731834187</v>
      </c>
      <c r="BE111" s="21">
        <v>49.402209294735208</v>
      </c>
    </row>
    <row r="112" spans="6:57" x14ac:dyDescent="0.15">
      <c r="F112" s="21">
        <v>110</v>
      </c>
      <c r="G112" s="21">
        <v>2047</v>
      </c>
      <c r="N112" s="26">
        <f>[1]节奏总纲!N112</f>
        <v>119</v>
      </c>
      <c r="O112" s="21">
        <v>109</v>
      </c>
      <c r="P112" s="21">
        <f>[1]节奏总纲!P112</f>
        <v>1909.8515666673818</v>
      </c>
      <c r="Q112" s="21">
        <f>[1]节奏总纲!Q112</f>
        <v>1624.7107277639418</v>
      </c>
      <c r="R112" s="21">
        <f>[1]节奏总纲!R112</f>
        <v>1301.5638426838207</v>
      </c>
      <c r="S112" s="21">
        <f>[1]节奏总纲!S112</f>
        <v>931.81657937701561</v>
      </c>
      <c r="T112" s="21">
        <f>[1]节奏总纲!T112</f>
        <v>504.58278391352223</v>
      </c>
      <c r="U112" s="27"/>
      <c r="V112" s="21">
        <v>109</v>
      </c>
      <c r="W112" s="21">
        <f>[1]节奏总纲!W112</f>
        <v>127.96401303691937</v>
      </c>
      <c r="X112" s="21">
        <f>[1]节奏总纲!X112</f>
        <v>103.86970074034207</v>
      </c>
      <c r="Y112" s="21">
        <f>[1]节奏总纲!Y112</f>
        <v>83.46551102203648</v>
      </c>
      <c r="Z112" s="21">
        <f>[1]节奏总纲!Z112</f>
        <v>60.117188140993335</v>
      </c>
      <c r="AA112" s="21">
        <f>[1]节奏总纲!AA112</f>
        <v>33.451714733627909</v>
      </c>
      <c r="AC112" s="21">
        <v>109</v>
      </c>
      <c r="AD112" s="21">
        <f>[1]节奏总纲!AD112</f>
        <v>67.80830335012682</v>
      </c>
      <c r="AE112" s="21">
        <f>[1]节奏总纲!AE112</f>
        <v>69.870029221854239</v>
      </c>
      <c r="AF112" s="21">
        <f>[1]节奏总纲!AF112</f>
        <v>72.782262218435889</v>
      </c>
      <c r="AG112" s="21">
        <f>[1]节奏总纲!AG112</f>
        <v>77.203841369133116</v>
      </c>
      <c r="AH112" s="21">
        <f>[1]节奏总纲!AH112</f>
        <v>86.007776715139968</v>
      </c>
      <c r="AL112" s="43"/>
      <c r="AM112" s="43"/>
      <c r="AN112" s="43"/>
      <c r="AO112" s="43"/>
      <c r="AP112" s="43"/>
      <c r="AQ112" s="43"/>
      <c r="AS112" s="43"/>
      <c r="AT112" s="43"/>
      <c r="AU112" s="43"/>
      <c r="AV112" s="43"/>
      <c r="AW112" s="43"/>
      <c r="AX112" s="43"/>
      <c r="AZ112" s="21">
        <v>109</v>
      </c>
      <c r="BA112" s="21">
        <v>38.601188162627608</v>
      </c>
      <c r="BB112" s="21">
        <v>40.110720583137102</v>
      </c>
      <c r="BC112" s="21">
        <v>42.051439554347354</v>
      </c>
      <c r="BD112" s="21">
        <v>44.778935934101632</v>
      </c>
      <c r="BE112" s="21">
        <v>49.464188631724817</v>
      </c>
    </row>
    <row r="113" spans="6:57" x14ac:dyDescent="0.15">
      <c r="F113" s="21">
        <v>111</v>
      </c>
      <c r="G113" s="21">
        <v>2193.9920512743265</v>
      </c>
      <c r="N113" s="26">
        <f>[1]节奏总纲!N113</f>
        <v>120</v>
      </c>
      <c r="O113" s="21">
        <v>110</v>
      </c>
      <c r="P113" s="21">
        <f>[1]节奏总纲!P113</f>
        <v>2047</v>
      </c>
      <c r="Q113" s="21">
        <f>[1]节奏总纲!Q113</f>
        <v>1741.3829000000001</v>
      </c>
      <c r="R113" s="21">
        <f>[1]节奏总纲!R113</f>
        <v>1397.2821999999999</v>
      </c>
      <c r="S113" s="21">
        <f>[1]节奏总纲!S113</f>
        <v>1001.3924000000001</v>
      </c>
      <c r="T113" s="21">
        <f>[1]节奏总纲!T113</f>
        <v>542.04559999999992</v>
      </c>
      <c r="U113" s="27"/>
      <c r="V113" s="21">
        <v>110</v>
      </c>
      <c r="W113" s="21">
        <f>[1]节奏总纲!W113</f>
        <v>137.1484333326182</v>
      </c>
      <c r="X113" s="21">
        <f>[1]节奏总纲!X113</f>
        <v>116.67217223605826</v>
      </c>
      <c r="Y113" s="21">
        <f>[1]节奏总纲!Y113</f>
        <v>95.718357316179208</v>
      </c>
      <c r="Z113" s="21">
        <f>[1]节奏总纲!Z113</f>
        <v>69.575820622984452</v>
      </c>
      <c r="AA113" s="21">
        <f>[1]节奏总纲!AA113</f>
        <v>37.462816086477687</v>
      </c>
      <c r="AC113" s="21">
        <v>110</v>
      </c>
      <c r="AD113" s="21">
        <f>[1]节奏总纲!AD113</f>
        <v>67.942312709427185</v>
      </c>
      <c r="AE113" s="21">
        <f>[1]节奏总纲!AE113</f>
        <v>70.003807055133578</v>
      </c>
      <c r="AF113" s="21">
        <f>[1]节奏总纲!AF113</f>
        <v>72.919951060835245</v>
      </c>
      <c r="AG113" s="21">
        <f>[1]节奏总纲!AG113</f>
        <v>77.332919927503724</v>
      </c>
      <c r="AH113" s="21">
        <f>[1]节奏总纲!AH113</f>
        <v>86.154780808490045</v>
      </c>
      <c r="AL113" s="43"/>
      <c r="AM113" s="43"/>
      <c r="AN113" s="43"/>
      <c r="AO113" s="43"/>
      <c r="AP113" s="43"/>
      <c r="AQ113" s="43"/>
      <c r="AS113" s="43"/>
      <c r="AT113" s="43"/>
      <c r="AU113" s="43"/>
      <c r="AV113" s="43"/>
      <c r="AW113" s="43"/>
      <c r="AX113" s="43"/>
      <c r="AZ113" s="21">
        <v>110</v>
      </c>
      <c r="BA113" s="21">
        <v>38.663818688865533</v>
      </c>
      <c r="BB113" s="21">
        <v>40.168994574261895</v>
      </c>
      <c r="BC113" s="21">
        <v>42.109294145892463</v>
      </c>
      <c r="BD113" s="21">
        <v>44.843574549861387</v>
      </c>
      <c r="BE113" s="21">
        <v>49.526167968714425</v>
      </c>
    </row>
    <row r="114" spans="6:57" x14ac:dyDescent="0.15">
      <c r="F114" s="21">
        <v>112</v>
      </c>
      <c r="G114" s="21">
        <v>2351.5342310339256</v>
      </c>
      <c r="N114" s="33">
        <f>[1]节奏总纲!N114</f>
        <v>121</v>
      </c>
      <c r="O114" s="33">
        <v>111</v>
      </c>
      <c r="P114" s="33">
        <f>[1]节奏总纲!P114</f>
        <v>2193.9920512743265</v>
      </c>
      <c r="Q114" s="33">
        <f>[1]节奏总纲!Q114</f>
        <v>1869.0618284805987</v>
      </c>
      <c r="R114" s="33">
        <f>[1]节奏总纲!R114</f>
        <v>1500.4711638665117</v>
      </c>
      <c r="S114" s="33">
        <f>[1]节奏总纲!S114</f>
        <v>1076.5918995603122</v>
      </c>
      <c r="T114" s="33">
        <f>[1]节奏总纲!T114</f>
        <v>583.16308722871599</v>
      </c>
      <c r="U114" s="33"/>
      <c r="V114" s="33">
        <v>111</v>
      </c>
      <c r="W114" s="33">
        <f>[1]节奏总纲!W114</f>
        <v>146.99205127432651</v>
      </c>
      <c r="X114" s="33">
        <f>[1]节奏总纲!X114</f>
        <v>127.67892848059864</v>
      </c>
      <c r="Y114" s="33">
        <f>[1]节奏总纲!Y114</f>
        <v>103.18896386651181</v>
      </c>
      <c r="Z114" s="33">
        <f>[1]节奏总纲!Z114</f>
        <v>75.19949956031212</v>
      </c>
      <c r="AA114" s="33">
        <f>[1]节奏总纲!AA114</f>
        <v>41.117487228716072</v>
      </c>
      <c r="AC114" s="21">
        <v>111</v>
      </c>
      <c r="AD114" s="21">
        <f>[1]节奏总纲!AD114</f>
        <v>68.071211008105138</v>
      </c>
      <c r="AE114" s="21">
        <f>[1]节奏总纲!AE114</f>
        <v>70.127815365673797</v>
      </c>
      <c r="AF114" s="21">
        <f>[1]节奏总纲!AF114</f>
        <v>73.051543220271398</v>
      </c>
      <c r="AG114" s="21">
        <f>[1]节奏总纲!AG114</f>
        <v>77.461998485874332</v>
      </c>
      <c r="AH114" s="21">
        <f>[1]节奏总纲!AH114</f>
        <v>86.301784901840136</v>
      </c>
      <c r="AL114" s="43"/>
      <c r="AM114" s="43"/>
      <c r="AN114" s="43"/>
      <c r="AO114" s="43"/>
      <c r="AP114" s="43"/>
      <c r="AQ114" s="43"/>
      <c r="AS114" s="43"/>
      <c r="AT114" s="43"/>
      <c r="AU114" s="43"/>
      <c r="AV114" s="43"/>
      <c r="AW114" s="43"/>
      <c r="AX114" s="43"/>
      <c r="AZ114" s="21">
        <v>111</v>
      </c>
      <c r="BA114" s="21">
        <v>38.72644921510345</v>
      </c>
      <c r="BB114" s="21">
        <v>40.227268565386687</v>
      </c>
      <c r="BC114" s="21">
        <v>42.167148737437572</v>
      </c>
      <c r="BD114" s="21">
        <v>44.908213165621142</v>
      </c>
      <c r="BE114" s="21">
        <v>49.588147305704041</v>
      </c>
    </row>
    <row r="115" spans="6:57" x14ac:dyDescent="0.15">
      <c r="F115" s="21">
        <v>113</v>
      </c>
      <c r="G115" s="21">
        <v>2520.3837585303886</v>
      </c>
      <c r="N115" s="33">
        <f>[1]节奏总纲!N115</f>
        <v>122</v>
      </c>
      <c r="O115" s="33">
        <v>112</v>
      </c>
      <c r="P115" s="33">
        <f>[1]节奏总纲!P115</f>
        <v>2351.5342310339256</v>
      </c>
      <c r="Q115" s="33">
        <f>[1]节奏总纲!Q115</f>
        <v>2004.6829319564217</v>
      </c>
      <c r="R115" s="33">
        <f>[1]节奏总纲!R115</f>
        <v>1609.3900277196187</v>
      </c>
      <c r="S115" s="33">
        <f>[1]节奏总纲!S115</f>
        <v>1155.3087677069677</v>
      </c>
      <c r="T115" s="33">
        <f>[1]节奏总纲!T115</f>
        <v>623.15657122399034</v>
      </c>
      <c r="U115" s="33"/>
      <c r="V115" s="33">
        <v>112</v>
      </c>
      <c r="W115" s="33">
        <f>[1]节奏总纲!W115</f>
        <v>157.54217975959909</v>
      </c>
      <c r="X115" s="33">
        <f>[1]节奏总纲!X115</f>
        <v>135.62110347582302</v>
      </c>
      <c r="Y115" s="33">
        <f>[1]节奏总纲!Y115</f>
        <v>108.91886385310704</v>
      </c>
      <c r="Z115" s="33">
        <f>[1]节奏总纲!Z115</f>
        <v>78.716868146655543</v>
      </c>
      <c r="AA115" s="33">
        <f>[1]节奏总纲!AA115</f>
        <v>39.993483995274346</v>
      </c>
      <c r="AC115" s="21">
        <v>112</v>
      </c>
      <c r="AD115" s="21">
        <f>[1]节奏总纲!AD115</f>
        <v>68.196246161507091</v>
      </c>
      <c r="AE115" s="21">
        <f>[1]节奏总纲!AE115</f>
        <v>70.251823676214016</v>
      </c>
      <c r="AF115" s="21">
        <f>[1]节奏总纲!AF115</f>
        <v>73.174668450093861</v>
      </c>
      <c r="AG115" s="21">
        <f>[1]节奏总纲!AG115</f>
        <v>77.591077044244926</v>
      </c>
      <c r="AH115" s="21">
        <f>[1]节奏总纲!AH115</f>
        <v>86.448788995190213</v>
      </c>
      <c r="AL115" s="43"/>
      <c r="AM115" s="43"/>
      <c r="AN115" s="43"/>
      <c r="AO115" s="43"/>
      <c r="AP115" s="43"/>
      <c r="AQ115" s="43"/>
      <c r="AS115" s="43"/>
      <c r="AT115" s="43"/>
      <c r="AU115" s="43"/>
      <c r="AV115" s="43"/>
      <c r="AW115" s="43"/>
      <c r="AX115" s="43"/>
      <c r="AZ115" s="21">
        <v>112</v>
      </c>
      <c r="BA115" s="21">
        <v>38.789079741341368</v>
      </c>
      <c r="BB115" s="21">
        <v>40.28554255651148</v>
      </c>
      <c r="BC115" s="21">
        <v>42.225003328982673</v>
      </c>
      <c r="BD115" s="21">
        <v>44.972851781380903</v>
      </c>
      <c r="BE115" s="21">
        <v>49.65012664269365</v>
      </c>
    </row>
    <row r="116" spans="6:57" x14ac:dyDescent="0.15">
      <c r="F116" s="21">
        <v>114</v>
      </c>
      <c r="G116" s="21">
        <v>2701.3522012628878</v>
      </c>
      <c r="N116" s="33">
        <f>[1]节奏总纲!N116</f>
        <v>123</v>
      </c>
      <c r="O116" s="33">
        <v>113</v>
      </c>
      <c r="P116" s="33">
        <f>[1]节奏总纲!P116</f>
        <v>2520.3837585303886</v>
      </c>
      <c r="Q116" s="33">
        <f>[1]节奏总纲!Q116</f>
        <v>2149.6353076505684</v>
      </c>
      <c r="R116" s="33">
        <f>[1]节奏总纲!R116</f>
        <v>1726.7149129691693</v>
      </c>
      <c r="S116" s="33">
        <f>[1]节奏总纲!S116</f>
        <v>1235.7441568074496</v>
      </c>
      <c r="T116" s="33">
        <f>[1]节奏总纲!T116</f>
        <v>665.63335062787564</v>
      </c>
      <c r="U116" s="33"/>
      <c r="V116" s="33">
        <v>113</v>
      </c>
      <c r="W116" s="33">
        <f>[1]节奏总纲!W116</f>
        <v>168.849527496463</v>
      </c>
      <c r="X116" s="33">
        <f>[1]节奏总纲!X116</f>
        <v>144.95237569414667</v>
      </c>
      <c r="Y116" s="33">
        <f>[1]节奏总纲!Y116</f>
        <v>117.32488524955056</v>
      </c>
      <c r="Z116" s="33">
        <f>[1]节奏总纲!Z116</f>
        <v>80.435389100481871</v>
      </c>
      <c r="AA116" s="33">
        <f>[1]节奏总纲!AA116</f>
        <v>42.476779403885303</v>
      </c>
      <c r="AC116" s="21">
        <v>113</v>
      </c>
      <c r="AD116" s="21">
        <f>[1]节奏总纲!AD116</f>
        <v>68.321281314909029</v>
      </c>
      <c r="AE116" s="21">
        <f>[1]节奏总纲!AE116</f>
        <v>70.375831986754235</v>
      </c>
      <c r="AF116" s="21">
        <f>[1]节奏总纲!AF116</f>
        <v>73.297793679916325</v>
      </c>
      <c r="AG116" s="21">
        <f>[1]节奏总纲!AG116</f>
        <v>77.720155602615534</v>
      </c>
      <c r="AH116" s="21">
        <f>[1]节奏总纲!AH116</f>
        <v>86.595793088540304</v>
      </c>
      <c r="AL116" s="43"/>
      <c r="AM116" s="43"/>
      <c r="AN116" s="43"/>
      <c r="AO116" s="43"/>
      <c r="AP116" s="43"/>
      <c r="AQ116" s="43"/>
      <c r="AS116" s="43"/>
      <c r="AT116" s="43"/>
      <c r="AU116" s="43"/>
      <c r="AV116" s="43"/>
      <c r="AW116" s="43"/>
      <c r="AX116" s="43"/>
      <c r="AZ116" s="21">
        <v>113</v>
      </c>
      <c r="BA116" s="21">
        <v>38.851710267579293</v>
      </c>
      <c r="BB116" s="21">
        <v>40.343816547636273</v>
      </c>
      <c r="BC116" s="21">
        <v>42.282857920527782</v>
      </c>
      <c r="BD116" s="21">
        <v>45.032359480672049</v>
      </c>
      <c r="BE116" s="21">
        <v>49.712105979683258</v>
      </c>
    </row>
    <row r="117" spans="6:57" x14ac:dyDescent="0.15">
      <c r="F117" s="21">
        <v>115</v>
      </c>
      <c r="G117" s="21">
        <v>2895.3093757400989</v>
      </c>
      <c r="N117" s="33">
        <f>[1]节奏总纲!N117</f>
        <v>124</v>
      </c>
      <c r="O117" s="33">
        <v>114</v>
      </c>
      <c r="P117" s="33">
        <f>[1]节奏总纲!P117</f>
        <v>2701.3522012628878</v>
      </c>
      <c r="Q117" s="33">
        <f>[1]节奏总纲!Q117</f>
        <v>2304.5235628973696</v>
      </c>
      <c r="R117" s="33">
        <f>[1]节奏总纲!R117</f>
        <v>1846.3742295631837</v>
      </c>
      <c r="S117" s="33">
        <f>[1]节奏总纲!S117</f>
        <v>1319.3404150967945</v>
      </c>
      <c r="T117" s="33">
        <f>[1]节奏总纲!T117</f>
        <v>710.99589937239205</v>
      </c>
      <c r="U117" s="33"/>
      <c r="V117" s="33">
        <v>114</v>
      </c>
      <c r="W117" s="33">
        <f>[1]节奏总纲!W117</f>
        <v>180.96844273249917</v>
      </c>
      <c r="X117" s="33">
        <f>[1]节奏总纲!X117</f>
        <v>154.88825524680124</v>
      </c>
      <c r="Y117" s="33">
        <f>[1]节奏总纲!Y117</f>
        <v>119.6593165940144</v>
      </c>
      <c r="Z117" s="33">
        <f>[1]节奏总纲!Z117</f>
        <v>83.59625828934486</v>
      </c>
      <c r="AA117" s="33">
        <f>[1]节奏总纲!AA117</f>
        <v>45.362548744516403</v>
      </c>
      <c r="AC117" s="21">
        <v>114</v>
      </c>
      <c r="AD117" s="21">
        <f>[1]节奏总纲!AD117</f>
        <v>68.446316468310982</v>
      </c>
      <c r="AE117" s="21">
        <f>[1]节奏总纲!AE117</f>
        <v>70.499840297294455</v>
      </c>
      <c r="AF117" s="21">
        <f>[1]节奏总纲!AF117</f>
        <v>73.420918909738774</v>
      </c>
      <c r="AG117" s="21">
        <f>[1]节奏总纲!AG117</f>
        <v>77.849234160986143</v>
      </c>
      <c r="AH117" s="21">
        <f>[1]节奏总纲!AH117</f>
        <v>86.742797181890381</v>
      </c>
      <c r="AL117" s="43"/>
      <c r="AM117" s="43"/>
      <c r="AN117" s="43"/>
      <c r="AO117" s="43"/>
      <c r="AP117" s="43"/>
      <c r="AQ117" s="43"/>
      <c r="AS117" s="43"/>
      <c r="AT117" s="43"/>
      <c r="AU117" s="43"/>
      <c r="AV117" s="43"/>
      <c r="AW117" s="43"/>
      <c r="AX117" s="43"/>
      <c r="AZ117" s="21">
        <v>114</v>
      </c>
      <c r="BA117" s="21">
        <v>38.91434079381721</v>
      </c>
      <c r="BB117" s="21">
        <v>40.402090538761065</v>
      </c>
      <c r="BC117" s="21">
        <v>42.340712512072891</v>
      </c>
      <c r="BD117" s="21">
        <v>45.088151688727308</v>
      </c>
      <c r="BE117" s="21">
        <v>49.774085316672867</v>
      </c>
    </row>
    <row r="118" spans="6:57" x14ac:dyDescent="0.15">
      <c r="F118" s="21">
        <v>116</v>
      </c>
      <c r="G118" s="21">
        <v>3103.1875282132928</v>
      </c>
      <c r="N118" s="33">
        <f>[1]节奏总纲!N118</f>
        <v>125</v>
      </c>
      <c r="O118" s="33">
        <v>115</v>
      </c>
      <c r="P118" s="33">
        <f>[1]节奏总纲!P118</f>
        <v>2895.3093757400989</v>
      </c>
      <c r="Q118" s="33">
        <f>[1]节奏总纲!Q118</f>
        <v>2463.0396859421021</v>
      </c>
      <c r="R118" s="33">
        <f>[1]节奏总纲!R118</f>
        <v>1969.9684992535633</v>
      </c>
      <c r="S118" s="33">
        <f>[1]节奏总纲!S118</f>
        <v>1407.1203566096881</v>
      </c>
      <c r="T118" s="33">
        <f>[1]节奏总纲!T118</f>
        <v>758.86058738147995</v>
      </c>
      <c r="U118" s="33"/>
      <c r="V118" s="33">
        <v>115</v>
      </c>
      <c r="W118" s="33">
        <f>[1]节奏总纲!W118</f>
        <v>193.95717447721108</v>
      </c>
      <c r="X118" s="33">
        <f>[1]节奏总纲!X118</f>
        <v>158.51612304473247</v>
      </c>
      <c r="Y118" s="33">
        <f>[1]节奏总纲!Y118</f>
        <v>123.59426969037963</v>
      </c>
      <c r="Z118" s="33">
        <f>[1]节奏总纲!Z118</f>
        <v>87.779941512893629</v>
      </c>
      <c r="AA118" s="33">
        <f>[1]节奏总纲!AA118</f>
        <v>47.864688009087899</v>
      </c>
      <c r="AC118" s="21">
        <v>115</v>
      </c>
      <c r="AD118" s="21">
        <f>[1]节奏总纲!AD118</f>
        <v>68.571351621712935</v>
      </c>
      <c r="AE118" s="21">
        <f>[1]节奏总纲!AE118</f>
        <v>70.623848607834674</v>
      </c>
      <c r="AF118" s="21">
        <f>[1]节奏总纲!AF118</f>
        <v>73.544044139561237</v>
      </c>
      <c r="AG118" s="21">
        <f>[1]节奏总纲!AG118</f>
        <v>77.978312719356751</v>
      </c>
      <c r="AH118" s="21">
        <f>[1]节奏总纲!AH118</f>
        <v>86.889801275240458</v>
      </c>
      <c r="AL118" s="43"/>
      <c r="AM118" s="43"/>
      <c r="AN118" s="43"/>
      <c r="AO118" s="43"/>
      <c r="AP118" s="43"/>
      <c r="AQ118" s="43"/>
      <c r="AS118" s="43"/>
      <c r="AT118" s="43"/>
      <c r="AU118" s="43"/>
      <c r="AV118" s="43"/>
      <c r="AW118" s="43"/>
      <c r="AX118" s="43"/>
      <c r="AZ118" s="21">
        <v>115</v>
      </c>
      <c r="BA118" s="21">
        <v>38.976971320055128</v>
      </c>
      <c r="BB118" s="21">
        <v>40.460364529885858</v>
      </c>
      <c r="BC118" s="21">
        <v>42.398567103617999</v>
      </c>
      <c r="BD118" s="21">
        <v>45.143943896782567</v>
      </c>
      <c r="BE118" s="21">
        <v>49.836064653662483</v>
      </c>
    </row>
    <row r="119" spans="6:57" x14ac:dyDescent="0.15">
      <c r="F119" s="21">
        <v>117</v>
      </c>
      <c r="G119" s="21">
        <v>3325.985815475135</v>
      </c>
      <c r="N119" s="33">
        <f>[1]节奏总纲!N119</f>
        <v>126</v>
      </c>
      <c r="O119" s="33">
        <v>116</v>
      </c>
      <c r="P119" s="33">
        <f>[1]节奏总纲!P119</f>
        <v>3103.1875282132928</v>
      </c>
      <c r="Q119" s="33">
        <f>[1]节奏总纲!Q119</f>
        <v>2636.7784427228348</v>
      </c>
      <c r="R119" s="33">
        <f>[1]节奏总纲!R119</f>
        <v>2108.9262441737537</v>
      </c>
      <c r="S119" s="33">
        <f>[1]节奏总纲!S119</f>
        <v>1509.0800949701243</v>
      </c>
      <c r="T119" s="33">
        <f>[1]节奏总纲!T119</f>
        <v>813.34545114470404</v>
      </c>
      <c r="U119" s="33"/>
      <c r="V119" s="33">
        <v>116</v>
      </c>
      <c r="W119" s="33">
        <f>[1]节奏总纲!W119</f>
        <v>207.87815247319395</v>
      </c>
      <c r="X119" s="33">
        <f>[1]节奏总纲!X119</f>
        <v>173.73875678073273</v>
      </c>
      <c r="Y119" s="33">
        <f>[1]节奏总纲!Y119</f>
        <v>138.95774492019041</v>
      </c>
      <c r="Z119" s="33">
        <f>[1]节奏总纲!Z119</f>
        <v>101.95973836043618</v>
      </c>
      <c r="AA119" s="33">
        <f>[1]节奏总纲!AA119</f>
        <v>54.484863763224098</v>
      </c>
      <c r="AC119" s="21">
        <v>116</v>
      </c>
      <c r="AD119" s="21">
        <f>[1]节奏总纲!AD119</f>
        <v>68.696386775114874</v>
      </c>
      <c r="AE119" s="21">
        <f>[1]节奏总纲!AE119</f>
        <v>70.747856918374893</v>
      </c>
      <c r="AF119" s="21">
        <f>[1]节奏总纲!AF119</f>
        <v>73.667169369383686</v>
      </c>
      <c r="AG119" s="21">
        <f>[1]节奏总纲!AG119</f>
        <v>78.10469841238104</v>
      </c>
      <c r="AH119" s="21">
        <f>[1]节奏总纲!AH119</f>
        <v>87.033659382136349</v>
      </c>
      <c r="AL119" s="43"/>
      <c r="AM119" s="43"/>
      <c r="AN119" s="43"/>
      <c r="AO119" s="43"/>
      <c r="AP119" s="43"/>
      <c r="AQ119" s="43"/>
      <c r="AS119" s="43"/>
      <c r="AT119" s="43"/>
      <c r="AU119" s="43"/>
      <c r="AV119" s="43"/>
      <c r="AW119" s="43"/>
      <c r="AX119" s="43"/>
      <c r="AZ119" s="21">
        <v>116</v>
      </c>
      <c r="BA119" s="21">
        <v>39.034165367506482</v>
      </c>
      <c r="BB119" s="21">
        <v>40.518638521010644</v>
      </c>
      <c r="BC119" s="21">
        <v>42.456421695163108</v>
      </c>
      <c r="BD119" s="21">
        <v>45.199736104837825</v>
      </c>
      <c r="BE119" s="21">
        <v>49.898043990652091</v>
      </c>
    </row>
    <row r="120" spans="6:57" x14ac:dyDescent="0.15">
      <c r="F120" s="21">
        <v>118</v>
      </c>
      <c r="G120" s="21">
        <v>3564.7751072609281</v>
      </c>
      <c r="N120" s="33">
        <f>[1]节奏总纲!N120</f>
        <v>127</v>
      </c>
      <c r="O120" s="33">
        <v>117</v>
      </c>
      <c r="P120" s="33">
        <f>[1]节奏总纲!P120</f>
        <v>3325.985815475135</v>
      </c>
      <c r="Q120" s="33">
        <f>[1]节奏总纲!Q120</f>
        <v>2826.7553445723174</v>
      </c>
      <c r="R120" s="33">
        <f>[1]节奏总纲!R120</f>
        <v>2262.6681502677343</v>
      </c>
      <c r="S120" s="33">
        <f>[1]节奏总纲!S120</f>
        <v>1618.0920992286531</v>
      </c>
      <c r="T120" s="33">
        <f>[1]节奏总纲!T120</f>
        <v>873.07127656222303</v>
      </c>
      <c r="U120" s="33"/>
      <c r="V120" s="33">
        <v>117</v>
      </c>
      <c r="W120" s="33">
        <f>[1]节奏总纲!W120</f>
        <v>222.79828726184223</v>
      </c>
      <c r="X120" s="33">
        <f>[1]节奏总纲!X120</f>
        <v>189.9769018494826</v>
      </c>
      <c r="Y120" s="33">
        <f>[1]节奏总纲!Y120</f>
        <v>153.74190609398056</v>
      </c>
      <c r="Z120" s="33">
        <f>[1]节奏总纲!Z120</f>
        <v>109.0120042585288</v>
      </c>
      <c r="AA120" s="33">
        <f>[1]节奏总纲!AA120</f>
        <v>59.72582541751899</v>
      </c>
      <c r="AC120" s="21">
        <v>117</v>
      </c>
      <c r="AD120" s="21">
        <f>[1]节奏总纲!AD120</f>
        <v>68.821421928516827</v>
      </c>
      <c r="AE120" s="21">
        <f>[1]节奏总纲!AE120</f>
        <v>70.871865228915112</v>
      </c>
      <c r="AF120" s="21">
        <f>[1]节奏总纲!AF120</f>
        <v>73.790294599206149</v>
      </c>
      <c r="AG120" s="21">
        <f>[1]节奏总纲!AG120</f>
        <v>78.230540290975199</v>
      </c>
      <c r="AH120" s="21">
        <f>[1]节奏总纲!AH120</f>
        <v>87.168098110592624</v>
      </c>
      <c r="AL120" s="43"/>
      <c r="AM120" s="43"/>
      <c r="AN120" s="43"/>
      <c r="AO120" s="43"/>
      <c r="AP120" s="43"/>
      <c r="AQ120" s="43"/>
      <c r="AS120" s="43"/>
      <c r="AT120" s="43"/>
      <c r="AU120" s="43"/>
      <c r="AV120" s="43"/>
      <c r="AW120" s="43"/>
      <c r="AX120" s="43"/>
      <c r="AZ120" s="21">
        <v>117</v>
      </c>
      <c r="BA120" s="21">
        <v>39.088198074219406</v>
      </c>
      <c r="BB120" s="21">
        <v>40.576912512135436</v>
      </c>
      <c r="BC120" s="21">
        <v>42.51427628670821</v>
      </c>
      <c r="BD120" s="21">
        <v>45.255528312893091</v>
      </c>
      <c r="BE120" s="21">
        <v>49.9600233276417</v>
      </c>
    </row>
    <row r="121" spans="6:57" x14ac:dyDescent="0.15">
      <c r="F121" s="21">
        <v>119</v>
      </c>
      <c r="G121" s="21">
        <v>3820.7031333347636</v>
      </c>
      <c r="N121" s="33">
        <f>[1]节奏总纲!N121</f>
        <v>128</v>
      </c>
      <c r="O121" s="33">
        <v>118</v>
      </c>
      <c r="P121" s="33">
        <f>[1]节奏总纲!P121</f>
        <v>3564.7751072609281</v>
      </c>
      <c r="Q121" s="33">
        <f>[1]节奏总纲!Q121</f>
        <v>3030.4153186825147</v>
      </c>
      <c r="R121" s="33">
        <f>[1]节奏总纲!R121</f>
        <v>2426.1859380017877</v>
      </c>
      <c r="S121" s="33">
        <f>[1]节奏总纲!S121</f>
        <v>1737.4713872789764</v>
      </c>
      <c r="T121" s="33">
        <f>[1]节奏总纲!T121</f>
        <v>936.10994316671975</v>
      </c>
      <c r="U121" s="33"/>
      <c r="V121" s="33">
        <v>118</v>
      </c>
      <c r="W121" s="33">
        <f>[1]节奏总纲!W121</f>
        <v>238.78929178579301</v>
      </c>
      <c r="X121" s="33">
        <f>[1]节奏总纲!X121</f>
        <v>203.65997411019725</v>
      </c>
      <c r="Y121" s="33">
        <f>[1]节奏总纲!Y121</f>
        <v>163.5177877340534</v>
      </c>
      <c r="Z121" s="33">
        <f>[1]节奏总纲!Z121</f>
        <v>119.37928805032334</v>
      </c>
      <c r="AA121" s="33">
        <f>[1]节奏总纲!AA121</f>
        <v>63.038666604496711</v>
      </c>
      <c r="AC121" s="21">
        <v>118</v>
      </c>
      <c r="AD121" s="21">
        <f>[1]节奏总纲!AD121</f>
        <v>68.946457081918766</v>
      </c>
      <c r="AE121" s="21">
        <f>[1]节奏总纲!AE121</f>
        <v>70.995873539455332</v>
      </c>
      <c r="AF121" s="21">
        <f>[1]节奏总纲!AF121</f>
        <v>73.913419829028598</v>
      </c>
      <c r="AG121" s="21">
        <f>[1]节奏总纲!AG121</f>
        <v>78.356382169569343</v>
      </c>
      <c r="AH121" s="21">
        <f>[1]节奏总纲!AH121</f>
        <v>87.302536839048898</v>
      </c>
      <c r="AL121" s="43"/>
      <c r="AM121" s="43"/>
      <c r="AN121" s="43"/>
      <c r="AO121" s="43"/>
      <c r="AP121" s="43"/>
      <c r="AQ121" s="43"/>
      <c r="AS121" s="43"/>
      <c r="AT121" s="43"/>
      <c r="AU121" s="43"/>
      <c r="AV121" s="43"/>
      <c r="AW121" s="43"/>
      <c r="AX121" s="43"/>
      <c r="AZ121" s="21">
        <v>118</v>
      </c>
      <c r="BA121" s="21">
        <v>39.14223078093233</v>
      </c>
      <c r="BB121" s="21">
        <v>40.635186503260229</v>
      </c>
      <c r="BC121" s="21">
        <v>42.572130878253319</v>
      </c>
      <c r="BD121" s="21">
        <v>45.31132052094835</v>
      </c>
      <c r="BE121" s="21">
        <v>50</v>
      </c>
    </row>
    <row r="122" spans="6:57" x14ac:dyDescent="0.15">
      <c r="F122" s="21">
        <v>120</v>
      </c>
      <c r="G122" s="21">
        <v>4095</v>
      </c>
      <c r="N122" s="33">
        <f>[1]节奏总纲!N122</f>
        <v>129</v>
      </c>
      <c r="O122" s="33">
        <v>119</v>
      </c>
      <c r="P122" s="33">
        <f>[1]节奏总纲!P122</f>
        <v>3820.7031333347636</v>
      </c>
      <c r="Q122" s="33">
        <f>[1]节奏总纲!Q122</f>
        <v>3250.2721555278836</v>
      </c>
      <c r="R122" s="33">
        <f>[1]节奏总纲!R122</f>
        <v>2604.5733259943081</v>
      </c>
      <c r="S122" s="33">
        <f>[1]节奏总纲!S122</f>
        <v>1863.3569181273642</v>
      </c>
      <c r="T122" s="33">
        <f>[1]节奏总纲!T122</f>
        <v>1000.260080307041</v>
      </c>
      <c r="U122" s="33"/>
      <c r="V122" s="33">
        <v>119</v>
      </c>
      <c r="W122" s="33">
        <f>[1]节奏总纲!W122</f>
        <v>255.92802607383555</v>
      </c>
      <c r="X122" s="33">
        <f>[1]节奏总纲!X122</f>
        <v>219.85683684536889</v>
      </c>
      <c r="Y122" s="33">
        <f>[1]节奏总纲!Y122</f>
        <v>178.38738799252042</v>
      </c>
      <c r="Z122" s="33">
        <f>[1]节奏总纲!Z122</f>
        <v>125.88553084838782</v>
      </c>
      <c r="AA122" s="33">
        <f>[1]节奏总纲!AA122</f>
        <v>64.150137140321249</v>
      </c>
      <c r="AC122" s="21">
        <v>119</v>
      </c>
      <c r="AD122" s="21">
        <f>[1]节奏总纲!AD122</f>
        <v>69.066704614192943</v>
      </c>
      <c r="AE122" s="21">
        <f>[1]节奏总纲!AE122</f>
        <v>71.113087458015798</v>
      </c>
      <c r="AF122" s="21">
        <f>[1]节奏总纲!AF122</f>
        <v>74.034200876118248</v>
      </c>
      <c r="AG122" s="21">
        <f>[1]节奏总纲!AG122</f>
        <v>78.482224048163502</v>
      </c>
      <c r="AH122" s="21">
        <f>[1]节奏总纲!AH122</f>
        <v>87.436975567505186</v>
      </c>
      <c r="AL122" s="43"/>
      <c r="AM122" s="43"/>
      <c r="AN122" s="43"/>
      <c r="AO122" s="43"/>
      <c r="AP122" s="43"/>
      <c r="AQ122" s="43"/>
      <c r="AS122" s="43"/>
      <c r="AT122" s="43"/>
      <c r="AU122" s="43"/>
      <c r="AV122" s="43"/>
      <c r="AW122" s="43"/>
      <c r="AX122" s="43"/>
      <c r="AZ122" s="21">
        <v>119</v>
      </c>
      <c r="BA122" s="21">
        <v>39.196263487645254</v>
      </c>
      <c r="BB122" s="21">
        <v>40.693460494385022</v>
      </c>
      <c r="BC122" s="21">
        <v>42.629985469798427</v>
      </c>
      <c r="BD122" s="21">
        <v>45.367112729003608</v>
      </c>
      <c r="BE122" s="21">
        <v>50</v>
      </c>
    </row>
    <row r="123" spans="6:57" x14ac:dyDescent="0.15">
      <c r="F123" s="21">
        <v>121</v>
      </c>
      <c r="G123" s="21">
        <v>4388.9841025486576</v>
      </c>
      <c r="N123" s="33">
        <f>[1]节奏总纲!N123</f>
        <v>130</v>
      </c>
      <c r="O123" s="33">
        <v>120</v>
      </c>
      <c r="P123" s="33">
        <f>[1]节奏总纲!P123</f>
        <v>4095</v>
      </c>
      <c r="Q123" s="33">
        <f>[1]节奏总纲!Q123</f>
        <v>3486.0735</v>
      </c>
      <c r="R123" s="33">
        <f>[1]节奏总纲!R123</f>
        <v>2791.971</v>
      </c>
      <c r="S123" s="33">
        <f>[1]节奏总纲!S123</f>
        <v>1988.5319999999999</v>
      </c>
      <c r="T123" s="33">
        <f>[1]节奏总纲!T123</f>
        <v>1067.9759999999999</v>
      </c>
      <c r="U123" s="33"/>
      <c r="V123" s="33">
        <v>120</v>
      </c>
      <c r="W123" s="33">
        <f>[1]节奏总纲!W123</f>
        <v>274.29686666523639</v>
      </c>
      <c r="X123" s="33">
        <f>[1]节奏总纲!X123</f>
        <v>235.8013444721164</v>
      </c>
      <c r="Y123" s="33">
        <f>[1]节奏总纲!Y123</f>
        <v>187.3976740056919</v>
      </c>
      <c r="Z123" s="33">
        <f>[1]节奏总纲!Z123</f>
        <v>125.1750818726357</v>
      </c>
      <c r="AA123" s="33">
        <f>[1]节奏总纲!AA123</f>
        <v>67.715919692958892</v>
      </c>
      <c r="AC123" s="21">
        <v>120</v>
      </c>
      <c r="AD123" s="21">
        <f>[1]节奏总纲!AD123</f>
        <v>69.18336653741882</v>
      </c>
      <c r="AE123" s="21">
        <f>[1]节奏总纲!AE123</f>
        <v>71.230067506391322</v>
      </c>
      <c r="AF123" s="21">
        <f>[1]节奏总纲!AF123</f>
        <v>74.149428238300118</v>
      </c>
      <c r="AG123" s="21">
        <f>[1]节奏总纲!AG123</f>
        <v>78.608065926757661</v>
      </c>
      <c r="AH123" s="21">
        <f>[1]节奏总纲!AH123</f>
        <v>87.571414295961461</v>
      </c>
      <c r="AL123" s="43"/>
      <c r="AM123" s="43"/>
      <c r="AN123" s="43"/>
      <c r="AO123" s="43"/>
      <c r="AP123" s="43"/>
      <c r="AQ123" s="43"/>
      <c r="AS123" s="43"/>
      <c r="AT123" s="43"/>
      <c r="AU123" s="43"/>
      <c r="AV123" s="43"/>
      <c r="AW123" s="43"/>
      <c r="AX123" s="43"/>
      <c r="AZ123" s="21">
        <v>120</v>
      </c>
      <c r="BA123" s="21">
        <v>39.250296194358178</v>
      </c>
      <c r="BB123" s="21">
        <v>40.751734485509814</v>
      </c>
      <c r="BC123" s="21">
        <v>42.687840061343536</v>
      </c>
      <c r="BD123" s="21">
        <v>45.422904937058867</v>
      </c>
      <c r="BE123" s="21">
        <v>50</v>
      </c>
    </row>
    <row r="124" spans="6:57" x14ac:dyDescent="0.15">
      <c r="F124" s="21">
        <v>122</v>
      </c>
      <c r="G124" s="21">
        <v>4704.0684620678521</v>
      </c>
      <c r="N124" s="33">
        <f>[1]节奏总纲!N124</f>
        <v>131</v>
      </c>
      <c r="O124" s="33">
        <v>121</v>
      </c>
      <c r="P124" s="33">
        <f>[1]节奏总纲!P124</f>
        <v>4388.9841025486576</v>
      </c>
      <c r="Q124" s="33">
        <f>[1]节奏总纲!Q124</f>
        <v>3731.5142839868686</v>
      </c>
      <c r="R124" s="33">
        <f>[1]节奏总纲!R124</f>
        <v>2978.8035103997736</v>
      </c>
      <c r="S124" s="33">
        <f>[1]节奏总纲!S124</f>
        <v>2122.0738135822758</v>
      </c>
      <c r="T124" s="33">
        <f>[1]节奏总纲!T124</f>
        <v>1143.3303587139253</v>
      </c>
      <c r="U124" s="33"/>
      <c r="V124" s="33">
        <v>121</v>
      </c>
      <c r="W124" s="33">
        <f>[1]节奏总纲!W124</f>
        <v>293.98410254865757</v>
      </c>
      <c r="X124" s="33">
        <f>[1]节奏总纲!X124</f>
        <v>245.44078398686861</v>
      </c>
      <c r="Y124" s="33">
        <f>[1]节奏总纲!Y124</f>
        <v>186.83251039977358</v>
      </c>
      <c r="Z124" s="33">
        <f>[1]节奏总纲!Z124</f>
        <v>133.54181358227584</v>
      </c>
      <c r="AA124" s="33">
        <f>[1]节奏总纲!AA124</f>
        <v>75.354358713925421</v>
      </c>
      <c r="AC124" s="21">
        <v>121</v>
      </c>
      <c r="AD124" s="21">
        <f>[1]节奏总纲!AD124</f>
        <v>69.300028460644711</v>
      </c>
      <c r="AE124" s="21">
        <f>[1]节奏总纲!AE124</f>
        <v>71.347047554766846</v>
      </c>
      <c r="AF124" s="21">
        <f>[1]节奏总纲!AF124</f>
        <v>74.264655600481987</v>
      </c>
      <c r="AG124" s="21">
        <f>[1]节奏总纲!AG124</f>
        <v>78.733907805351805</v>
      </c>
      <c r="AH124" s="21">
        <f>[1]节奏总纲!AH124</f>
        <v>87.705853024417735</v>
      </c>
      <c r="AL124" s="43"/>
      <c r="AM124" s="43"/>
      <c r="AN124" s="43"/>
      <c r="AO124" s="43"/>
      <c r="AP124" s="43"/>
      <c r="AQ124" s="43"/>
      <c r="AS124" s="43"/>
      <c r="AT124" s="43"/>
      <c r="AU124" s="43"/>
      <c r="AV124" s="43"/>
      <c r="AW124" s="43"/>
      <c r="AX124" s="43"/>
      <c r="AZ124" s="21">
        <v>121</v>
      </c>
      <c r="BA124" s="21">
        <v>39.304328901071102</v>
      </c>
      <c r="BB124" s="21">
        <v>40.810008476634607</v>
      </c>
      <c r="BC124" s="21">
        <v>42.745694652888645</v>
      </c>
      <c r="BD124" s="21">
        <v>45.478697145114126</v>
      </c>
      <c r="BE124" s="21">
        <v>50</v>
      </c>
    </row>
    <row r="125" spans="6:57" x14ac:dyDescent="0.15">
      <c r="F125" s="21">
        <v>123</v>
      </c>
      <c r="G125" s="21">
        <v>5041.7675170607781</v>
      </c>
      <c r="N125" s="33">
        <f>[1]节奏总纲!N125</f>
        <v>132</v>
      </c>
      <c r="O125" s="33">
        <v>122</v>
      </c>
      <c r="P125" s="33">
        <f>[1]节奏总纲!P125</f>
        <v>4704.0684620678521</v>
      </c>
      <c r="Q125" s="33">
        <f>[1]节奏总纲!Q125</f>
        <v>3989.5204626797454</v>
      </c>
      <c r="R125" s="33">
        <f>[1]节奏总纲!R125</f>
        <v>3183.7135351275219</v>
      </c>
      <c r="S125" s="33">
        <f>[1]节奏总纲!S125</f>
        <v>2271.1242534863591</v>
      </c>
      <c r="T125" s="33">
        <f>[1]节奏总纲!T125</f>
        <v>1223.9986138300551</v>
      </c>
      <c r="U125" s="33"/>
      <c r="V125" s="33">
        <v>122</v>
      </c>
      <c r="W125" s="33">
        <f>[1]节奏总纲!W125</f>
        <v>315.08435951919455</v>
      </c>
      <c r="X125" s="33">
        <f>[1]节奏总纲!X125</f>
        <v>258.0061786928768</v>
      </c>
      <c r="Y125" s="33">
        <f>[1]节奏总纲!Y125</f>
        <v>204.91002472774835</v>
      </c>
      <c r="Z125" s="33">
        <f>[1]节奏总纲!Z125</f>
        <v>149.05043990408331</v>
      </c>
      <c r="AA125" s="33">
        <f>[1]节奏总纲!AA125</f>
        <v>80.668255116129785</v>
      </c>
      <c r="AC125" s="21">
        <v>122</v>
      </c>
      <c r="AD125" s="21">
        <f>[1]节奏总纲!AD125</f>
        <v>69.416690383870588</v>
      </c>
      <c r="AE125" s="21">
        <f>[1]节奏总纲!AE125</f>
        <v>71.46402760314237</v>
      </c>
      <c r="AF125" s="21">
        <f>[1]节奏总纲!AF125</f>
        <v>74.379882962663856</v>
      </c>
      <c r="AG125" s="21">
        <f>[1]节奏总纲!AG125</f>
        <v>78.859749683945964</v>
      </c>
      <c r="AH125" s="21">
        <f>[1]节奏总纲!AH125</f>
        <v>87.840291752874009</v>
      </c>
      <c r="AZ125" s="21">
        <v>122</v>
      </c>
      <c r="BA125" s="21">
        <v>39.358361607784026</v>
      </c>
      <c r="BB125" s="21">
        <v>40.8682824677594</v>
      </c>
      <c r="BC125" s="21">
        <v>42.803549244433754</v>
      </c>
      <c r="BD125" s="21">
        <v>45.534489353169384</v>
      </c>
      <c r="BE125" s="21">
        <v>50</v>
      </c>
    </row>
    <row r="126" spans="6:57" x14ac:dyDescent="0.15">
      <c r="F126" s="21">
        <v>124</v>
      </c>
      <c r="G126" s="21">
        <v>5403.704402525771</v>
      </c>
      <c r="N126" s="33">
        <f>[1]节奏总纲!N126</f>
        <v>133</v>
      </c>
      <c r="O126" s="33">
        <v>123</v>
      </c>
      <c r="P126" s="33">
        <f>[1]节奏总纲!P126</f>
        <v>5041.7675170607781</v>
      </c>
      <c r="Q126" s="33">
        <f>[1]节奏总纲!Q126</f>
        <v>4275.9230312192458</v>
      </c>
      <c r="R126" s="33">
        <f>[1]节奏总纲!R126</f>
        <v>3419.8309068223257</v>
      </c>
      <c r="S126" s="33">
        <f>[1]节奏总纲!S126</f>
        <v>2442.7363620159467</v>
      </c>
      <c r="T126" s="33">
        <f>[1]节奏总纲!T126</f>
        <v>1316.4054987045693</v>
      </c>
      <c r="U126" s="33"/>
      <c r="V126" s="33">
        <v>123</v>
      </c>
      <c r="W126" s="33">
        <f>[1]节奏总纲!W126</f>
        <v>337.69905499292599</v>
      </c>
      <c r="X126" s="33">
        <f>[1]节奏总纲!X126</f>
        <v>286.40256853950041</v>
      </c>
      <c r="Y126" s="33">
        <f>[1]节奏总纲!Y126</f>
        <v>236.11737169480375</v>
      </c>
      <c r="Z126" s="33">
        <f>[1]节奏总纲!Z126</f>
        <v>171.61210852958766</v>
      </c>
      <c r="AA126" s="33">
        <f>[1]节奏总纲!AA126</f>
        <v>92.406884874514162</v>
      </c>
      <c r="AC126" s="21">
        <v>123</v>
      </c>
      <c r="AD126" s="21">
        <f>[1]节奏总纲!AD126</f>
        <v>69.533352307096465</v>
      </c>
      <c r="AE126" s="21">
        <f>[1]节奏总纲!AE126</f>
        <v>71.581007651517908</v>
      </c>
      <c r="AF126" s="21">
        <f>[1]节奏总纲!AF126</f>
        <v>74.495110324845726</v>
      </c>
      <c r="AG126" s="21">
        <f>[1]节奏总纲!AG126</f>
        <v>78.985591562540122</v>
      </c>
      <c r="AH126" s="21">
        <f>[1]节奏总纲!AH126</f>
        <v>87.974730481330297</v>
      </c>
      <c r="AZ126" s="21">
        <v>123</v>
      </c>
      <c r="BA126" s="21">
        <v>39.41239431449695</v>
      </c>
      <c r="BB126" s="21">
        <v>40.926556458884193</v>
      </c>
      <c r="BC126" s="21">
        <v>42.861403835978855</v>
      </c>
      <c r="BD126" s="21">
        <v>45.590281561224643</v>
      </c>
      <c r="BE126" s="21">
        <v>50</v>
      </c>
    </row>
    <row r="127" spans="6:57" x14ac:dyDescent="0.15">
      <c r="F127" s="21">
        <v>125</v>
      </c>
      <c r="G127" s="21">
        <v>5791.6187514801986</v>
      </c>
      <c r="N127" s="33">
        <f>[1]节奏总纲!N127</f>
        <v>134</v>
      </c>
      <c r="O127" s="33">
        <v>124</v>
      </c>
      <c r="P127" s="33">
        <f>[1]节奏总纲!P127</f>
        <v>5403.704402525771</v>
      </c>
      <c r="Q127" s="33">
        <f>[1]节奏总纲!Q127</f>
        <v>4591.5276308261473</v>
      </c>
      <c r="R127" s="33">
        <f>[1]节奏总纲!R127</f>
        <v>3671.276771076009</v>
      </c>
      <c r="S127" s="33">
        <f>[1]节奏总纲!S127</f>
        <v>2624.0388578665143</v>
      </c>
      <c r="T127" s="33">
        <f>[1]节奏总纲!T127</f>
        <v>1415.7705534617521</v>
      </c>
      <c r="U127" s="33"/>
      <c r="V127" s="33">
        <v>124</v>
      </c>
      <c r="W127" s="33">
        <f>[1]节奏总纲!W127</f>
        <v>361.93688546499288</v>
      </c>
      <c r="X127" s="33">
        <f>[1]节奏总纲!X127</f>
        <v>315.6045996069015</v>
      </c>
      <c r="Y127" s="33">
        <f>[1]节奏总纲!Y127</f>
        <v>251.44586425368334</v>
      </c>
      <c r="Z127" s="33">
        <f>[1]节奏总纲!Z127</f>
        <v>181.30249585056754</v>
      </c>
      <c r="AA127" s="33">
        <f>[1]节奏总纲!AA127</f>
        <v>99.365054757182861</v>
      </c>
      <c r="AC127" s="21">
        <v>124</v>
      </c>
      <c r="AD127" s="21">
        <f>[1]节奏总纲!AD127</f>
        <v>69.650014230322356</v>
      </c>
      <c r="AE127" s="21">
        <f>[1]节奏总纲!AE127</f>
        <v>71.697987699893432</v>
      </c>
      <c r="AF127" s="21">
        <f>[1]节奏总纲!AF127</f>
        <v>74.610337687027609</v>
      </c>
      <c r="AG127" s="21">
        <f>[1]节奏总纲!AG127</f>
        <v>79.104601412347151</v>
      </c>
      <c r="AH127" s="21">
        <f>[1]节奏总纲!AH127</f>
        <v>88.109271506528316</v>
      </c>
      <c r="AZ127" s="21">
        <v>124</v>
      </c>
      <c r="BA127" s="21">
        <v>39.466427021209874</v>
      </c>
      <c r="BB127" s="21">
        <v>40.984830450008978</v>
      </c>
      <c r="BC127" s="21">
        <v>42.919258427523964</v>
      </c>
      <c r="BD127" s="21">
        <v>45.646073769279901</v>
      </c>
      <c r="BE127" s="21">
        <v>50</v>
      </c>
    </row>
    <row r="128" spans="6:57" x14ac:dyDescent="0.15">
      <c r="F128" s="21">
        <v>126</v>
      </c>
      <c r="G128" s="21">
        <v>6207.3750564265865</v>
      </c>
      <c r="N128" s="33">
        <f>[1]节奏总纲!N128</f>
        <v>135</v>
      </c>
      <c r="O128" s="33">
        <v>125</v>
      </c>
      <c r="P128" s="33">
        <f>[1]节奏总纲!P128</f>
        <v>5791.6187514801986</v>
      </c>
      <c r="Q128" s="33">
        <f>[1]节奏总纲!Q128</f>
        <v>4918.821805632133</v>
      </c>
      <c r="R128" s="33">
        <f>[1]节奏总纲!R128</f>
        <v>3940.0382366319791</v>
      </c>
      <c r="S128" s="33">
        <f>[1]节奏总纲!S128</f>
        <v>2816.4641988448207</v>
      </c>
      <c r="T128" s="33">
        <f>[1]节奏总纲!T128</f>
        <v>1509.8750085108877</v>
      </c>
      <c r="U128" s="33"/>
      <c r="V128" s="33">
        <v>125</v>
      </c>
      <c r="W128" s="33">
        <f>[1]节奏总纲!W128</f>
        <v>387.91434895442762</v>
      </c>
      <c r="X128" s="33">
        <f>[1]节奏总纲!X128</f>
        <v>327.29417480598568</v>
      </c>
      <c r="Y128" s="33">
        <f>[1]节奏总纲!Y128</f>
        <v>268.76146555597006</v>
      </c>
      <c r="Z128" s="33">
        <f>[1]节奏总纲!Z128</f>
        <v>192.42534097830639</v>
      </c>
      <c r="AA128" s="33">
        <f>[1]节奏总纲!AA128</f>
        <v>94.104455049135595</v>
      </c>
      <c r="AC128" s="21">
        <v>125</v>
      </c>
      <c r="AD128" s="21">
        <f>[1]节奏总纲!AD128</f>
        <v>69.766676153548232</v>
      </c>
      <c r="AE128" s="21">
        <f>[1]节奏总纲!AE128</f>
        <v>71.814967748268955</v>
      </c>
      <c r="AF128" s="21">
        <f>[1]节奏总纲!AF128</f>
        <v>74.725565049209479</v>
      </c>
      <c r="AG128" s="21">
        <f>[1]节奏总纲!AG128</f>
        <v>79.222727875098187</v>
      </c>
      <c r="AH128" s="21">
        <f>[1]节奏总纲!AH128</f>
        <v>88.243836210467165</v>
      </c>
      <c r="AZ128" s="21">
        <v>125</v>
      </c>
      <c r="BA128" s="21">
        <v>39.520459727922798</v>
      </c>
      <c r="BB128" s="21">
        <v>41.037193447861313</v>
      </c>
      <c r="BC128" s="21">
        <v>42.977113019069073</v>
      </c>
      <c r="BD128" s="21">
        <v>45.701865977335167</v>
      </c>
      <c r="BE128" s="21">
        <v>50</v>
      </c>
    </row>
    <row r="129" spans="6:57" x14ac:dyDescent="0.15">
      <c r="F129" s="21">
        <v>127</v>
      </c>
      <c r="G129" s="21">
        <v>6652.971630950271</v>
      </c>
      <c r="N129" s="33">
        <f>[1]节奏总纲!N129</f>
        <v>136</v>
      </c>
      <c r="O129" s="33">
        <v>126</v>
      </c>
      <c r="P129" s="33">
        <f>[1]节奏总纲!P129</f>
        <v>6207.3750564265865</v>
      </c>
      <c r="Q129" s="33">
        <f>[1]节奏总纲!Q129</f>
        <v>5279.3724854908123</v>
      </c>
      <c r="R129" s="33">
        <f>[1]节奏总纲!R129</f>
        <v>4225.9809384152195</v>
      </c>
      <c r="S129" s="33">
        <f>[1]节奏总纲!S129</f>
        <v>3006.8524773330387</v>
      </c>
      <c r="T129" s="33">
        <f>[1]节奏总纲!T129</f>
        <v>1610.1930896370566</v>
      </c>
      <c r="U129" s="33"/>
      <c r="V129" s="33">
        <v>126</v>
      </c>
      <c r="W129" s="33">
        <f>[1]节奏总纲!W129</f>
        <v>415.7563049463879</v>
      </c>
      <c r="X129" s="33">
        <f>[1]节奏总纲!X129</f>
        <v>360.55067985867936</v>
      </c>
      <c r="Y129" s="33">
        <f>[1]节奏总纲!Y129</f>
        <v>285.94270178324041</v>
      </c>
      <c r="Z129" s="33">
        <f>[1]节奏总纲!Z129</f>
        <v>190.38827848821802</v>
      </c>
      <c r="AA129" s="33">
        <f>[1]节奏总纲!AA129</f>
        <v>100.31808112616886</v>
      </c>
      <c r="AC129" s="21">
        <v>126</v>
      </c>
      <c r="AD129" s="21">
        <f>[1]节奏总纲!AD129</f>
        <v>69.883338076774123</v>
      </c>
      <c r="AE129" s="21">
        <f>[1]节奏总纲!AE129</f>
        <v>71.931947796644479</v>
      </c>
      <c r="AF129" s="21">
        <f>[1]节奏总纲!AF129</f>
        <v>74.840792411391348</v>
      </c>
      <c r="AG129" s="21">
        <f>[1]节奏总纲!AG129</f>
        <v>79.340854337849223</v>
      </c>
      <c r="AH129" s="21">
        <f>[1]节奏总纲!AH129</f>
        <v>88.378400914406001</v>
      </c>
      <c r="AZ129" s="21">
        <v>126</v>
      </c>
      <c r="BA129" s="21">
        <v>39.574492434635722</v>
      </c>
      <c r="BB129" s="21">
        <v>41.087476216725996</v>
      </c>
      <c r="BC129" s="21">
        <v>43.030177309109042</v>
      </c>
      <c r="BD129" s="21">
        <v>45.757658185390426</v>
      </c>
      <c r="BE129" s="21">
        <v>50</v>
      </c>
    </row>
    <row r="130" spans="6:57" x14ac:dyDescent="0.15">
      <c r="F130" s="21">
        <v>128</v>
      </c>
      <c r="G130" s="21">
        <v>7130.5502145218443</v>
      </c>
      <c r="N130" s="33">
        <f>[1]节奏总纲!N130</f>
        <v>137</v>
      </c>
      <c r="O130" s="33">
        <v>127</v>
      </c>
      <c r="P130" s="33">
        <f>[1]节奏总纲!P130</f>
        <v>6652.971630950271</v>
      </c>
      <c r="Q130" s="33">
        <f>[1]节奏总纲!Q130</f>
        <v>5658.3523721232059</v>
      </c>
      <c r="R130" s="33">
        <f>[1]节奏总纲!R130</f>
        <v>4508.7188742949984</v>
      </c>
      <c r="S130" s="33">
        <f>[1]节奏总纲!S130</f>
        <v>3203.4058403025556</v>
      </c>
      <c r="T130" s="33">
        <f>[1]节奏总纲!T130</f>
        <v>1719.793166600645</v>
      </c>
      <c r="U130" s="33"/>
      <c r="V130" s="33">
        <v>127</v>
      </c>
      <c r="W130" s="33">
        <f>[1]节奏总纲!W130</f>
        <v>445.59657452368447</v>
      </c>
      <c r="X130" s="33">
        <f>[1]节奏总纲!X130</f>
        <v>378.97988663239357</v>
      </c>
      <c r="Y130" s="33">
        <f>[1]节奏总纲!Y130</f>
        <v>282.73793587977889</v>
      </c>
      <c r="Z130" s="33">
        <f>[1]节奏总纲!Z130</f>
        <v>196.55336296951691</v>
      </c>
      <c r="AA130" s="33">
        <f>[1]节奏总纲!AA130</f>
        <v>109.60007696358844</v>
      </c>
      <c r="AC130" s="21">
        <v>127</v>
      </c>
      <c r="AD130" s="21">
        <f>[1]节奏总纲!AD130</f>
        <v>70</v>
      </c>
      <c r="AE130" s="21">
        <f>[1]节奏总纲!AE130</f>
        <v>72.047345051940553</v>
      </c>
      <c r="AF130" s="21">
        <f>[1]节奏总纲!AF130</f>
        <v>74.956019773573217</v>
      </c>
      <c r="AG130" s="21">
        <f>[1]节奏总纲!AG130</f>
        <v>79.458980800600258</v>
      </c>
      <c r="AH130" s="21">
        <f>[1]节奏总纲!AH130</f>
        <v>88.51296561834485</v>
      </c>
      <c r="AZ130" s="21">
        <v>127</v>
      </c>
      <c r="BA130" s="21">
        <v>39.628525141348646</v>
      </c>
      <c r="BB130" s="21">
        <v>41.137758985590679</v>
      </c>
      <c r="BC130" s="21">
        <v>43.080106253688569</v>
      </c>
      <c r="BD130" s="21">
        <v>45.813450393445684</v>
      </c>
      <c r="BE130" s="21">
        <v>50</v>
      </c>
    </row>
    <row r="131" spans="6:57" x14ac:dyDescent="0.15">
      <c r="F131" s="21">
        <v>129</v>
      </c>
      <c r="G131" s="21">
        <v>7642.4062666695281</v>
      </c>
      <c r="N131" s="33">
        <f>[1]节奏总纲!N131</f>
        <v>138</v>
      </c>
      <c r="O131" s="33">
        <v>128</v>
      </c>
      <c r="P131" s="33">
        <f>[1]节奏总纲!P131</f>
        <v>7130.5502145218443</v>
      </c>
      <c r="Q131" s="33">
        <f>[1]节奏总纲!Q131</f>
        <v>6036.010756592741</v>
      </c>
      <c r="R131" s="33">
        <f>[1]节奏总纲!R131</f>
        <v>4805.9908445877236</v>
      </c>
      <c r="S131" s="33">
        <f>[1]节奏总纲!S131</f>
        <v>3419.0988278632244</v>
      </c>
      <c r="T131" s="33">
        <f>[1]节奏总纲!T131</f>
        <v>1838.9689003251838</v>
      </c>
      <c r="U131" s="33"/>
      <c r="V131" s="33">
        <v>128</v>
      </c>
      <c r="W131" s="33">
        <f>[1]节奏总纲!W131</f>
        <v>477.57858357157329</v>
      </c>
      <c r="X131" s="33">
        <f>[1]节奏总纲!X131</f>
        <v>377.65838446953512</v>
      </c>
      <c r="Y131" s="33">
        <f>[1]节奏总纲!Y131</f>
        <v>297.2719702927252</v>
      </c>
      <c r="Z131" s="33">
        <f>[1]节奏总纲!Z131</f>
        <v>215.69298756066883</v>
      </c>
      <c r="AA131" s="33">
        <f>[1]节奏总纲!AA131</f>
        <v>119.17573372453876</v>
      </c>
      <c r="AC131" s="21">
        <v>128</v>
      </c>
      <c r="AD131" s="21">
        <f>[1]节奏总纲!AD131</f>
        <v>70.108849423225877</v>
      </c>
      <c r="AE131" s="21">
        <f>[1]节奏总纲!AE131</f>
        <v>72.160540850040434</v>
      </c>
      <c r="AF131" s="21">
        <f>[1]节奏总纲!AF131</f>
        <v>75.067682921736733</v>
      </c>
      <c r="AG131" s="21">
        <f>[1]节奏总纲!AG131</f>
        <v>79.577107263351294</v>
      </c>
      <c r="AH131" s="21">
        <f>[1]节奏总纲!AH131</f>
        <v>88.6475303222837</v>
      </c>
      <c r="AZ131" s="21">
        <v>128</v>
      </c>
      <c r="BA131" s="21">
        <v>39.68255784806157</v>
      </c>
      <c r="BB131" s="21">
        <v>41.188041754455355</v>
      </c>
      <c r="BC131" s="21">
        <v>43.130035198268104</v>
      </c>
      <c r="BD131" s="21">
        <v>45.869242601500943</v>
      </c>
      <c r="BE131" s="21">
        <v>50</v>
      </c>
    </row>
    <row r="132" spans="6:57" x14ac:dyDescent="0.15">
      <c r="F132" s="21">
        <v>130</v>
      </c>
      <c r="G132" s="21">
        <v>8191</v>
      </c>
      <c r="N132" s="33">
        <f>[1]节奏总纲!N132</f>
        <v>139</v>
      </c>
      <c r="O132" s="33">
        <v>129</v>
      </c>
      <c r="P132" s="33">
        <f>[1]节奏总纲!P132</f>
        <v>7642.4062666695281</v>
      </c>
      <c r="Q132" s="33">
        <f>[1]节奏总纲!Q132</f>
        <v>6469.2969047357556</v>
      </c>
      <c r="R132" s="33">
        <f>[1]节奏总纲!R132</f>
        <v>5159.388470628599</v>
      </c>
      <c r="S132" s="33">
        <f>[1]节奏总纲!S132</f>
        <v>3676.7616548947103</v>
      </c>
      <c r="T132" s="33">
        <f>[1]节奏总纲!T132</f>
        <v>1975.5620199340731</v>
      </c>
      <c r="U132" s="33"/>
      <c r="V132" s="33">
        <v>129</v>
      </c>
      <c r="W132" s="33">
        <f>[1]节奏总纲!W132</f>
        <v>511.85605214768384</v>
      </c>
      <c r="X132" s="33">
        <f>[1]节奏总纲!X132</f>
        <v>433.28614814301454</v>
      </c>
      <c r="Y132" s="33">
        <f>[1]节奏总纲!Y132</f>
        <v>353.39762604087537</v>
      </c>
      <c r="Z132" s="33">
        <f>[1]节奏总纲!Z132</f>
        <v>257.6628270314859</v>
      </c>
      <c r="AA132" s="33">
        <f>[1]节奏总纲!AA132</f>
        <v>136.59311960888931</v>
      </c>
      <c r="AC132" s="21">
        <v>129</v>
      </c>
      <c r="AD132" s="21">
        <f>[1]节奏总纲!AD132</f>
        <v>70.217698846451768</v>
      </c>
      <c r="AE132" s="21">
        <f>[1]节奏总纲!AE132</f>
        <v>72.273736648140314</v>
      </c>
      <c r="AF132" s="21">
        <f>[1]节奏总纲!AF132</f>
        <v>75.177145912126889</v>
      </c>
      <c r="AG132" s="21">
        <f>[1]节奏总纲!AG132</f>
        <v>79.69523372610233</v>
      </c>
      <c r="AH132" s="21">
        <f>[1]节奏总纲!AH132</f>
        <v>88.782095026222549</v>
      </c>
      <c r="AZ132" s="21">
        <v>129</v>
      </c>
      <c r="BA132" s="21">
        <v>39.736590554774494</v>
      </c>
      <c r="BB132" s="21">
        <v>41.238324523320038</v>
      </c>
      <c r="BC132" s="21">
        <v>43.179964142847631</v>
      </c>
      <c r="BD132" s="21">
        <v>45.925034809556202</v>
      </c>
      <c r="BE132" s="21">
        <v>50</v>
      </c>
    </row>
    <row r="133" spans="6:57" x14ac:dyDescent="0.15">
      <c r="F133" s="21">
        <v>131</v>
      </c>
      <c r="G133" s="21">
        <v>8778.9682050973151</v>
      </c>
      <c r="N133" s="33">
        <f>[1]节奏总纲!N133</f>
        <v>140</v>
      </c>
      <c r="O133" s="33">
        <v>130</v>
      </c>
      <c r="P133" s="33">
        <f>[1]节奏总纲!P133</f>
        <v>8191</v>
      </c>
      <c r="Q133" s="33">
        <f>[1]节奏总纲!Q133</f>
        <v>6941.8725000000004</v>
      </c>
      <c r="R133" s="33">
        <f>[1]节奏总纲!R133</f>
        <v>5542.0306</v>
      </c>
      <c r="S133" s="33">
        <f>[1]节奏总纲!S133</f>
        <v>3951.3384000000001</v>
      </c>
      <c r="T133" s="33">
        <f>[1]节奏总纲!T133</f>
        <v>2124.7454000000002</v>
      </c>
      <c r="U133" s="33"/>
      <c r="V133" s="33">
        <v>130</v>
      </c>
      <c r="W133" s="33">
        <f>[1]节奏总纲!W133</f>
        <v>548.59373333047188</v>
      </c>
      <c r="X133" s="33">
        <f>[1]节奏总纲!X133</f>
        <v>472.57559526424484</v>
      </c>
      <c r="Y133" s="33">
        <f>[1]节奏总纲!Y133</f>
        <v>382.6421293714011</v>
      </c>
      <c r="Z133" s="33">
        <f>[1]节奏总纲!Z133</f>
        <v>274.57674510528977</v>
      </c>
      <c r="AA133" s="33">
        <f>[1]节奏总纲!AA133</f>
        <v>149.18338006592717</v>
      </c>
      <c r="AC133" s="21">
        <v>130</v>
      </c>
      <c r="AD133" s="21">
        <f>[1]节奏总纲!AD133</f>
        <v>70.326548269677644</v>
      </c>
      <c r="AE133" s="21">
        <f>[1]节奏总纲!AE133</f>
        <v>72.386932446240195</v>
      </c>
      <c r="AF133" s="21">
        <f>[1]节奏总纲!AF133</f>
        <v>75.286608902517045</v>
      </c>
      <c r="AG133" s="21">
        <f>[1]节奏总纲!AG133</f>
        <v>79.813360188853366</v>
      </c>
      <c r="AH133" s="21">
        <f>[1]节奏总纲!AH133</f>
        <v>88.916659730161399</v>
      </c>
      <c r="AZ133" s="21">
        <v>130</v>
      </c>
      <c r="BA133" s="21">
        <v>39.790623261487418</v>
      </c>
      <c r="BB133" s="21">
        <v>41.288607292184714</v>
      </c>
      <c r="BC133" s="21">
        <v>43.229893087427158</v>
      </c>
      <c r="BD133" s="21">
        <v>45.98082701761146</v>
      </c>
      <c r="BE133" s="21">
        <v>50</v>
      </c>
    </row>
    <row r="134" spans="6:57" x14ac:dyDescent="0.15">
      <c r="F134" s="21">
        <v>132</v>
      </c>
      <c r="G134" s="21">
        <v>9409.1369241357042</v>
      </c>
      <c r="N134" s="33">
        <f>[1]节奏总纲!N134</f>
        <v>141</v>
      </c>
      <c r="O134" s="33">
        <v>131</v>
      </c>
      <c r="P134" s="33">
        <f>[1]节奏总纲!P134</f>
        <v>8778.9682050973151</v>
      </c>
      <c r="Q134" s="33">
        <f>[1]节奏总纲!Q134</f>
        <v>7443.6871411020138</v>
      </c>
      <c r="R134" s="33">
        <f>[1]节奏总纲!R134</f>
        <v>5945.117268491902</v>
      </c>
      <c r="S134" s="33">
        <f>[1]节奏总纲!S134</f>
        <v>4244.6311271645518</v>
      </c>
      <c r="T134" s="33">
        <f>[1]节奏总纲!T134</f>
        <v>2275.5085587612239</v>
      </c>
      <c r="U134" s="33"/>
      <c r="V134" s="33">
        <v>131</v>
      </c>
      <c r="W134" s="33">
        <f>[1]节奏总纲!W134</f>
        <v>587.96820509731515</v>
      </c>
      <c r="X134" s="33">
        <f>[1]节奏总纲!X134</f>
        <v>501.81464110201341</v>
      </c>
      <c r="Y134" s="33">
        <f>[1]节奏总纲!Y134</f>
        <v>403.08666849190195</v>
      </c>
      <c r="Z134" s="33">
        <f>[1]节奏总纲!Z134</f>
        <v>293.29272716455171</v>
      </c>
      <c r="AA134" s="33">
        <f>[1]节奏总纲!AA134</f>
        <v>150.76315876122362</v>
      </c>
      <c r="AC134" s="21">
        <v>131</v>
      </c>
      <c r="AD134" s="21">
        <f>[1]节奏总纲!AD134</f>
        <v>70.435397692903535</v>
      </c>
      <c r="AE134" s="21">
        <f>[1]节奏总纲!AE134</f>
        <v>72.50012824434009</v>
      </c>
      <c r="AF134" s="21">
        <f>[1]节奏总纲!AF134</f>
        <v>75.396071892907202</v>
      </c>
      <c r="AG134" s="21">
        <f>[1]节奏总纲!AG134</f>
        <v>79.931486651604402</v>
      </c>
      <c r="AH134" s="21">
        <f>[1]节奏总纲!AH134</f>
        <v>89.048420729369383</v>
      </c>
      <c r="AZ134" s="21">
        <v>131</v>
      </c>
      <c r="BA134" s="21">
        <v>39.844655968200342</v>
      </c>
      <c r="BB134" s="21">
        <v>41.338890061049398</v>
      </c>
      <c r="BC134" s="21">
        <v>43.279822032006692</v>
      </c>
      <c r="BD134" s="21">
        <v>46.031609894814238</v>
      </c>
      <c r="BE134" s="21">
        <v>50</v>
      </c>
    </row>
    <row r="135" spans="6:57" x14ac:dyDescent="0.15">
      <c r="F135" s="21">
        <v>133</v>
      </c>
      <c r="G135" s="21">
        <v>10084.535034121556</v>
      </c>
      <c r="N135" s="33">
        <f>[1]节奏总纲!N135</f>
        <v>142</v>
      </c>
      <c r="O135" s="33">
        <v>132</v>
      </c>
      <c r="P135" s="33">
        <f>[1]节奏总纲!P135</f>
        <v>9409.1369241357042</v>
      </c>
      <c r="Q135" s="33">
        <f>[1]节奏总纲!Q135</f>
        <v>7983.6526801291457</v>
      </c>
      <c r="R135" s="33">
        <f>[1]节奏总纲!R135</f>
        <v>6385.9812304109018</v>
      </c>
      <c r="S135" s="33">
        <f>[1]节奏总纲!S135</f>
        <v>4544.6131343575453</v>
      </c>
      <c r="T135" s="33">
        <f>[1]节奏总纲!T135</f>
        <v>2431.3209811966663</v>
      </c>
      <c r="U135" s="33"/>
      <c r="V135" s="33">
        <v>132</v>
      </c>
      <c r="W135" s="33">
        <f>[1]节奏总纲!W135</f>
        <v>630.1687190383891</v>
      </c>
      <c r="X135" s="33">
        <f>[1]节奏总纲!X135</f>
        <v>539.96553902713185</v>
      </c>
      <c r="Y135" s="33">
        <f>[1]节奏总纲!Y135</f>
        <v>440.86396191899985</v>
      </c>
      <c r="Z135" s="33">
        <f>[1]节奏总纲!Z135</f>
        <v>299.98200719299348</v>
      </c>
      <c r="AA135" s="33">
        <f>[1]节奏总纲!AA135</f>
        <v>155.81242243544239</v>
      </c>
      <c r="AC135" s="21">
        <v>132</v>
      </c>
      <c r="AD135" s="21">
        <f>[1]节奏总纲!AD135</f>
        <v>70.544247116129412</v>
      </c>
      <c r="AE135" s="21">
        <f>[1]节奏总纲!AE135</f>
        <v>72.61332404243997</v>
      </c>
      <c r="AF135" s="21">
        <f>[1]节奏总纲!AF135</f>
        <v>75.505534883297358</v>
      </c>
      <c r="AG135" s="21">
        <f>[1]节奏总纲!AG135</f>
        <v>80.045750258986601</v>
      </c>
      <c r="AH135" s="21">
        <f>[1]节奏总纲!AH135</f>
        <v>89.175620204122851</v>
      </c>
      <c r="AZ135" s="21">
        <v>132</v>
      </c>
      <c r="BA135" s="21">
        <v>39.898688674913267</v>
      </c>
      <c r="BB135" s="21">
        <v>41.389172829914081</v>
      </c>
      <c r="BC135" s="21">
        <v>43.329750976586219</v>
      </c>
      <c r="BD135" s="21">
        <v>46.079770001861057</v>
      </c>
      <c r="BE135" s="21">
        <v>50</v>
      </c>
    </row>
    <row r="136" spans="6:57" x14ac:dyDescent="0.15">
      <c r="F136" s="21">
        <v>134</v>
      </c>
      <c r="G136" s="21">
        <v>10808.408805051544</v>
      </c>
      <c r="N136" s="33">
        <f>[1]节奏总纲!N136</f>
        <v>143</v>
      </c>
      <c r="O136" s="33">
        <v>133</v>
      </c>
      <c r="P136" s="33">
        <f>[1]节奏总纲!P136</f>
        <v>10084.535034121556</v>
      </c>
      <c r="Q136" s="33">
        <f>[1]节奏总纲!Q136</f>
        <v>8562.7786974726132</v>
      </c>
      <c r="R136" s="33">
        <f>[1]节奏总纲!R136</f>
        <v>6827.2302181002942</v>
      </c>
      <c r="S136" s="33">
        <f>[1]节奏总纲!S136</f>
        <v>4847.6359909022322</v>
      </c>
      <c r="T136" s="33">
        <f>[1]节奏总纲!T136</f>
        <v>2595.759317782889</v>
      </c>
      <c r="U136" s="33"/>
      <c r="V136" s="33">
        <v>133</v>
      </c>
      <c r="W136" s="33">
        <f>[1]节奏总纲!W136</f>
        <v>675.39810998585199</v>
      </c>
      <c r="X136" s="33">
        <f>[1]节奏总纲!X136</f>
        <v>579.12601734346754</v>
      </c>
      <c r="Y136" s="33">
        <f>[1]节奏总纲!Y136</f>
        <v>441.24898768939238</v>
      </c>
      <c r="Z136" s="33">
        <f>[1]节奏总纲!Z136</f>
        <v>303.02285654468687</v>
      </c>
      <c r="AA136" s="33">
        <f>[1]节奏总纲!AA136</f>
        <v>164.4383365862227</v>
      </c>
      <c r="AC136" s="21">
        <v>133</v>
      </c>
      <c r="AD136" s="21">
        <f>[1]节奏总纲!AD136</f>
        <v>70.653096539355303</v>
      </c>
      <c r="AE136" s="21">
        <f>[1]节奏总纲!AE136</f>
        <v>72.726519840539851</v>
      </c>
      <c r="AF136" s="21">
        <f>[1]节奏总纲!AF136</f>
        <v>75.614997873687514</v>
      </c>
      <c r="AG136" s="21">
        <f>[1]节奏总纲!AG136</f>
        <v>80.154679447049915</v>
      </c>
      <c r="AH136" s="21">
        <f>[1]节奏总纲!AH136</f>
        <v>89.302819678876304</v>
      </c>
      <c r="AZ136" s="21">
        <v>133</v>
      </c>
      <c r="BA136" s="21">
        <v>39.952721381626191</v>
      </c>
      <c r="BB136" s="21">
        <v>41.439455598778757</v>
      </c>
      <c r="BC136" s="21">
        <v>43.379679921165753</v>
      </c>
      <c r="BD136" s="21">
        <v>46.127930108907876</v>
      </c>
      <c r="BE136" s="21">
        <v>50</v>
      </c>
    </row>
    <row r="137" spans="6:57" x14ac:dyDescent="0.15">
      <c r="F137" s="21">
        <v>135</v>
      </c>
      <c r="G137" s="21">
        <v>11584.237502960397</v>
      </c>
      <c r="N137" s="33">
        <f>[1]节奏总纲!N137</f>
        <v>144</v>
      </c>
      <c r="O137" s="33">
        <v>134</v>
      </c>
      <c r="P137" s="33">
        <f>[1]节奏总纲!P137</f>
        <v>10808.408805051544</v>
      </c>
      <c r="Q137" s="33">
        <f>[1]节奏总纲!Q137</f>
        <v>9151.4797352371424</v>
      </c>
      <c r="R137" s="33">
        <f>[1]节奏总纲!R137</f>
        <v>7283.7866937242361</v>
      </c>
      <c r="S137" s="33">
        <f>[1]节奏总纲!S137</f>
        <v>5175.0661358586794</v>
      </c>
      <c r="T137" s="33">
        <f>[1]节奏总纲!T137</f>
        <v>2775.5993811372364</v>
      </c>
      <c r="U137" s="33"/>
      <c r="V137" s="33">
        <v>134</v>
      </c>
      <c r="W137" s="33">
        <f>[1]节奏总纲!W137</f>
        <v>723.87377092998759</v>
      </c>
      <c r="X137" s="33">
        <f>[1]节奏总纲!X137</f>
        <v>588.70103776452925</v>
      </c>
      <c r="Y137" s="33">
        <f>[1]节奏总纲!Y137</f>
        <v>456.55647562394188</v>
      </c>
      <c r="Z137" s="33">
        <f>[1]节奏总纲!Z137</f>
        <v>327.43014495644729</v>
      </c>
      <c r="AA137" s="33">
        <f>[1]节奏总纲!AA137</f>
        <v>179.84006335434742</v>
      </c>
      <c r="AC137" s="21">
        <v>134</v>
      </c>
      <c r="AD137" s="21">
        <f>[1]节奏总纲!AD137</f>
        <v>70.76194596258118</v>
      </c>
      <c r="AE137" s="21">
        <f>[1]节奏总纲!AE137</f>
        <v>72.839715638639731</v>
      </c>
      <c r="AF137" s="21">
        <f>[1]节奏总纲!AF137</f>
        <v>75.72446086407767</v>
      </c>
      <c r="AG137" s="21">
        <f>[1]节奏总纲!AG137</f>
        <v>80.263608635113243</v>
      </c>
      <c r="AH137" s="21">
        <f>[1]节奏总纲!AH137</f>
        <v>89.430019153629758</v>
      </c>
      <c r="AZ137" s="21">
        <v>134</v>
      </c>
      <c r="BA137" s="21">
        <v>40.005827399112476</v>
      </c>
      <c r="BB137" s="21">
        <v>41.48973836764344</v>
      </c>
      <c r="BC137" s="21">
        <v>43.42960886574528</v>
      </c>
      <c r="BD137" s="21">
        <v>46.176090215954694</v>
      </c>
      <c r="BE137" s="21">
        <v>50</v>
      </c>
    </row>
    <row r="138" spans="6:57" x14ac:dyDescent="0.15">
      <c r="F138" s="21">
        <v>136</v>
      </c>
      <c r="G138" s="21">
        <v>12415.750112853173</v>
      </c>
      <c r="N138" s="33">
        <f>[1]节奏总纲!N138</f>
        <v>145</v>
      </c>
      <c r="O138" s="33">
        <v>135</v>
      </c>
      <c r="P138" s="33">
        <f>[1]节奏总纲!P138</f>
        <v>11584.237502960397</v>
      </c>
      <c r="Q138" s="33">
        <f>[1]节奏总纲!Q138</f>
        <v>9796.789656253608</v>
      </c>
      <c r="R138" s="33">
        <f>[1]节奏总纲!R138</f>
        <v>7796.1918394923478</v>
      </c>
      <c r="S138" s="33">
        <f>[1]节奏总纲!S138</f>
        <v>5548.8497639180305</v>
      </c>
      <c r="T138" s="33">
        <f>[1]节奏总纲!T138</f>
        <v>2979.465885761414</v>
      </c>
      <c r="U138" s="33"/>
      <c r="V138" s="33">
        <v>135</v>
      </c>
      <c r="W138" s="33">
        <f>[1]节奏总纲!W138</f>
        <v>775.82869790885343</v>
      </c>
      <c r="X138" s="33">
        <f>[1]节奏总纲!X138</f>
        <v>645.30992101646552</v>
      </c>
      <c r="Y138" s="33">
        <f>[1]节奏总纲!Y138</f>
        <v>512.40514576811165</v>
      </c>
      <c r="Z138" s="33">
        <f>[1]节奏总纲!Z138</f>
        <v>373.78362805935103</v>
      </c>
      <c r="AA138" s="33">
        <f>[1]节奏总纲!AA138</f>
        <v>203.86650462417765</v>
      </c>
      <c r="AC138" s="21">
        <v>135</v>
      </c>
      <c r="AD138" s="21">
        <f>[1]节奏总纲!AD138</f>
        <v>70.870795385807057</v>
      </c>
      <c r="AE138" s="21">
        <f>[1]节奏总纲!AE138</f>
        <v>72.952911436739612</v>
      </c>
      <c r="AF138" s="21">
        <f>[1]节奏总纲!AF138</f>
        <v>75.833923854467812</v>
      </c>
      <c r="AG138" s="21">
        <f>[1]节奏总纲!AG138</f>
        <v>80.372537823176572</v>
      </c>
      <c r="AH138" s="21">
        <f>[1]节奏总纲!AH138</f>
        <v>89.557218628383211</v>
      </c>
      <c r="AZ138" s="21">
        <v>135</v>
      </c>
      <c r="BA138" s="21">
        <v>40.052446592012309</v>
      </c>
      <c r="BB138" s="21">
        <v>41.540021136508116</v>
      </c>
      <c r="BC138" s="21">
        <v>43.479537810324814</v>
      </c>
      <c r="BD138" s="21">
        <v>46.224250323001513</v>
      </c>
      <c r="BE138" s="21">
        <v>50</v>
      </c>
    </row>
    <row r="139" spans="6:57" x14ac:dyDescent="0.15">
      <c r="F139" s="21">
        <v>137</v>
      </c>
      <c r="G139" s="21">
        <v>13306.943261900544</v>
      </c>
      <c r="N139" s="33">
        <f>[1]节奏总纲!N139</f>
        <v>146</v>
      </c>
      <c r="O139" s="33">
        <v>136</v>
      </c>
      <c r="P139" s="33">
        <f>[1]节奏总纲!P139</f>
        <v>12415.750112853173</v>
      </c>
      <c r="Q139" s="33">
        <f>[1]节奏总纲!Q139</f>
        <v>10507.449320507641</v>
      </c>
      <c r="R139" s="33">
        <f>[1]节奏总纲!R139</f>
        <v>8384.3560512097483</v>
      </c>
      <c r="S139" s="33">
        <f>[1]节奏总纲!S139</f>
        <v>5967.009504237235</v>
      </c>
      <c r="T139" s="33">
        <f>[1]节奏总纲!T139</f>
        <v>3204.5051041274041</v>
      </c>
      <c r="U139" s="33"/>
      <c r="V139" s="33">
        <v>136</v>
      </c>
      <c r="W139" s="33">
        <f>[1]节奏总纲!W139</f>
        <v>831.5126098927758</v>
      </c>
      <c r="X139" s="33">
        <f>[1]节奏总纲!X139</f>
        <v>710.65966425403349</v>
      </c>
      <c r="Y139" s="33">
        <f>[1]节奏总纲!Y139</f>
        <v>588.16421171740058</v>
      </c>
      <c r="Z139" s="33">
        <f>[1]节奏总纲!Z139</f>
        <v>418.1597403192045</v>
      </c>
      <c r="AA139" s="33">
        <f>[1]节奏总纲!AA139</f>
        <v>225.03921836599011</v>
      </c>
      <c r="AC139" s="21">
        <v>136</v>
      </c>
      <c r="AD139" s="21">
        <f>[1]节奏总纲!AD139</f>
        <v>70.979644809032948</v>
      </c>
      <c r="AE139" s="21">
        <f>[1]节奏总纲!AE139</f>
        <v>73.059911975288244</v>
      </c>
      <c r="AF139" s="21">
        <f>[1]节奏总纲!AF139</f>
        <v>75.943386844857969</v>
      </c>
      <c r="AG139" s="21">
        <f>[1]节奏总纲!AG139</f>
        <v>80.4814670112399</v>
      </c>
      <c r="AH139" s="21">
        <f>[1]节奏总纲!AH139</f>
        <v>89.684418103136665</v>
      </c>
      <c r="AZ139" s="21">
        <v>136</v>
      </c>
      <c r="BA139" s="21">
        <v>40.099065784912149</v>
      </c>
      <c r="BB139" s="21">
        <v>41.590303905372799</v>
      </c>
      <c r="BC139" s="21">
        <v>43.529466754904341</v>
      </c>
      <c r="BD139" s="21">
        <v>46.272410430048332</v>
      </c>
      <c r="BE139" s="21">
        <v>50</v>
      </c>
    </row>
    <row r="140" spans="6:57" x14ac:dyDescent="0.15">
      <c r="F140" s="21">
        <v>138</v>
      </c>
      <c r="G140" s="21">
        <v>14262.10042904369</v>
      </c>
      <c r="N140" s="33">
        <f>[1]节奏总纲!N140</f>
        <v>147</v>
      </c>
      <c r="O140" s="33">
        <v>137</v>
      </c>
      <c r="P140" s="33">
        <f>[1]节奏总纲!P140</f>
        <v>13306.943261900544</v>
      </c>
      <c r="Q140" s="33">
        <f>[1]节奏总纲!Q140</f>
        <v>11274.973025808331</v>
      </c>
      <c r="R140" s="33">
        <f>[1]节奏总纲!R140</f>
        <v>8995.4936450447676</v>
      </c>
      <c r="S140" s="33">
        <f>[1]节奏总纲!S140</f>
        <v>6407.293180605112</v>
      </c>
      <c r="T140" s="33">
        <f>[1]节奏总纲!T140</f>
        <v>3438.5141388751008</v>
      </c>
      <c r="U140" s="33"/>
      <c r="V140" s="33">
        <v>137</v>
      </c>
      <c r="W140" s="33">
        <f>[1]节奏总纲!W140</f>
        <v>891.19314904737075</v>
      </c>
      <c r="X140" s="33">
        <f>[1]节奏总纲!X140</f>
        <v>767.52370530068947</v>
      </c>
      <c r="Y140" s="33">
        <f>[1]节奏总纲!Y140</f>
        <v>611.13759383501929</v>
      </c>
      <c r="Z140" s="33">
        <f>[1]节奏总纲!Z140</f>
        <v>440.28367636787698</v>
      </c>
      <c r="AA140" s="33">
        <f>[1]节奏总纲!AA140</f>
        <v>234.00903474769666</v>
      </c>
      <c r="AC140" s="21">
        <v>137</v>
      </c>
      <c r="AD140" s="21">
        <f>[1]节奏总纲!AD140</f>
        <v>71.082568038258202</v>
      </c>
      <c r="AE140" s="21">
        <f>[1]节奏总纲!AE140</f>
        <v>73.162499594857536</v>
      </c>
      <c r="AF140" s="21">
        <f>[1]节奏总纲!AF140</f>
        <v>76.048210495050611</v>
      </c>
      <c r="AG140" s="21">
        <f>[1]节奏总纲!AG140</f>
        <v>80.590396199303228</v>
      </c>
      <c r="AH140" s="21">
        <f>[1]节奏总纲!AH140</f>
        <v>89.811617577890132</v>
      </c>
      <c r="AZ140" s="21">
        <v>137</v>
      </c>
      <c r="BA140" s="21">
        <v>40.145684977811982</v>
      </c>
      <c r="BB140" s="21">
        <v>41.640586674237483</v>
      </c>
      <c r="BC140" s="21">
        <v>43.579395699483875</v>
      </c>
      <c r="BD140" s="21">
        <v>46.320570537095151</v>
      </c>
      <c r="BE140" s="21">
        <v>50</v>
      </c>
    </row>
    <row r="141" spans="6:57" x14ac:dyDescent="0.15">
      <c r="F141" s="21">
        <v>139</v>
      </c>
      <c r="G141" s="21">
        <v>15285.812533339058</v>
      </c>
      <c r="N141" s="33">
        <f>[1]节奏总纲!N141</f>
        <v>148</v>
      </c>
      <c r="O141" s="33">
        <v>138</v>
      </c>
      <c r="P141" s="33">
        <f>[1]节奏总纲!P141</f>
        <v>14262.10042904369</v>
      </c>
      <c r="Q141" s="33">
        <f>[1]节奏总纲!Q141</f>
        <v>12084.27769352872</v>
      </c>
      <c r="R141" s="33">
        <f>[1]节奏总纲!R141</f>
        <v>9648.3109402480568</v>
      </c>
      <c r="S141" s="33">
        <f>[1]节奏总纲!S141</f>
        <v>6871.4799867132497</v>
      </c>
      <c r="T141" s="33">
        <f>[1]节奏总纲!T141</f>
        <v>3671.064650435846</v>
      </c>
      <c r="U141" s="33"/>
      <c r="V141" s="33">
        <v>138</v>
      </c>
      <c r="W141" s="33">
        <f>[1]节奏总纲!W141</f>
        <v>955.15716714314658</v>
      </c>
      <c r="X141" s="33">
        <f>[1]节奏总纲!X141</f>
        <v>809.30466772038926</v>
      </c>
      <c r="Y141" s="33">
        <f>[1]节奏总纲!Y141</f>
        <v>652.81729520328918</v>
      </c>
      <c r="Z141" s="33">
        <f>[1]节奏总纲!Z141</f>
        <v>464.18680610813772</v>
      </c>
      <c r="AA141" s="33">
        <f>[1]节奏总纲!AA141</f>
        <v>232.55051156074524</v>
      </c>
      <c r="AC141" s="21">
        <v>138</v>
      </c>
      <c r="AD141" s="21">
        <f>[1]节奏总纲!AD141</f>
        <v>71.184128141237707</v>
      </c>
      <c r="AE141" s="21">
        <f>[1]节奏总纲!AE141</f>
        <v>73.265087214426828</v>
      </c>
      <c r="AF141" s="21">
        <f>[1]节奏总纲!AF141</f>
        <v>76.148064447889894</v>
      </c>
      <c r="AG141" s="21">
        <f>[1]节奏总纲!AG141</f>
        <v>80.699325387366557</v>
      </c>
      <c r="AH141" s="21">
        <f>[1]节奏总纲!AH141</f>
        <v>89.938817052643586</v>
      </c>
      <c r="AZ141" s="21">
        <v>138</v>
      </c>
      <c r="BA141" s="21">
        <v>40.192304170711814</v>
      </c>
      <c r="BB141" s="21">
        <v>41.690869443102159</v>
      </c>
      <c r="BC141" s="21">
        <v>43.629324644063402</v>
      </c>
      <c r="BD141" s="21">
        <v>46.368730644141969</v>
      </c>
      <c r="BE141" s="21">
        <v>50</v>
      </c>
    </row>
    <row r="142" spans="6:57" x14ac:dyDescent="0.15">
      <c r="F142" s="21">
        <v>140</v>
      </c>
      <c r="G142" s="21">
        <v>16383</v>
      </c>
      <c r="N142" s="33">
        <f>[1]节奏总纲!N142</f>
        <v>149</v>
      </c>
      <c r="O142" s="33">
        <v>139</v>
      </c>
      <c r="P142" s="33">
        <f>[1]节奏总纲!P142</f>
        <v>15285.812533339058</v>
      </c>
      <c r="Q142" s="33">
        <f>[1]节奏总纲!Q142</f>
        <v>12957.783284511519</v>
      </c>
      <c r="R142" s="33">
        <f>[1]节奏总纲!R142</f>
        <v>10342.380760057207</v>
      </c>
      <c r="S142" s="33">
        <f>[1]节奏总纲!S142</f>
        <v>7335.6614347494142</v>
      </c>
      <c r="T142" s="33">
        <f>[1]节奏总纲!T142</f>
        <v>3920.8109148014687</v>
      </c>
      <c r="U142" s="33"/>
      <c r="V142" s="33">
        <v>139</v>
      </c>
      <c r="W142" s="33">
        <f>[1]节奏总纲!W142</f>
        <v>1023.7121042953677</v>
      </c>
      <c r="X142" s="33">
        <f>[1]节奏总纲!X142</f>
        <v>873.50559098279882</v>
      </c>
      <c r="Y142" s="33">
        <f>[1]节奏总纲!Y142</f>
        <v>694.06981980915043</v>
      </c>
      <c r="Z142" s="33">
        <f>[1]节奏总纲!Z142</f>
        <v>464.18144803616451</v>
      </c>
      <c r="AA142" s="33">
        <f>[1]节奏总纲!AA142</f>
        <v>249.74626436562266</v>
      </c>
      <c r="AC142" s="21">
        <v>139</v>
      </c>
      <c r="AD142" s="21">
        <f>[1]节奏总纲!AD142</f>
        <v>71.285688244217212</v>
      </c>
      <c r="AE142" s="21">
        <f>[1]节奏总纲!AE142</f>
        <v>73.367674833996119</v>
      </c>
      <c r="AF142" s="21">
        <f>[1]节奏总纲!AF142</f>
        <v>76.247918400729162</v>
      </c>
      <c r="AG142" s="21">
        <f>[1]节奏总纲!AG142</f>
        <v>80.808254575429885</v>
      </c>
      <c r="AH142" s="21">
        <f>[1]节奏总纲!AH142</f>
        <v>90.055148444912135</v>
      </c>
      <c r="AZ142" s="21">
        <v>139</v>
      </c>
      <c r="BA142" s="21">
        <v>40.238923363611647</v>
      </c>
      <c r="BB142" s="21">
        <v>41.741152211966842</v>
      </c>
      <c r="BC142" s="21">
        <v>43.679253588642929</v>
      </c>
      <c r="BD142" s="21">
        <v>46.416890751188788</v>
      </c>
      <c r="BE142" s="21">
        <v>50</v>
      </c>
    </row>
    <row r="143" spans="6:57" x14ac:dyDescent="0.15">
      <c r="F143" s="21">
        <v>141</v>
      </c>
      <c r="G143" s="21">
        <v>17558.936410194601</v>
      </c>
      <c r="N143" s="33">
        <f>[1]节奏总纲!N143</f>
        <v>150</v>
      </c>
      <c r="O143" s="33">
        <v>140</v>
      </c>
      <c r="P143" s="33">
        <f>[1]节奏总纲!P143</f>
        <v>16383</v>
      </c>
      <c r="Q143" s="33">
        <f>[1]节奏总纲!Q143</f>
        <v>13881.315900000001</v>
      </c>
      <c r="R143" s="33">
        <f>[1]节奏总纲!R143</f>
        <v>11037.2271</v>
      </c>
      <c r="S143" s="33">
        <f>[1]节奏总纲!S143</f>
        <v>7827.7974000000004</v>
      </c>
      <c r="T143" s="33">
        <f>[1]节奏总纲!T143</f>
        <v>4192.4097000000002</v>
      </c>
      <c r="U143" s="33"/>
      <c r="V143" s="33">
        <v>140</v>
      </c>
      <c r="W143" s="33">
        <f>[1]节奏总纲!W143</f>
        <v>1097.1874666609419</v>
      </c>
      <c r="X143" s="33">
        <f>[1]节奏总纲!X143</f>
        <v>923.53261548848241</v>
      </c>
      <c r="Y143" s="33">
        <f>[1]节奏总纲!Y143</f>
        <v>694.84633994279284</v>
      </c>
      <c r="Z143" s="33">
        <f>[1]节奏总纲!Z143</f>
        <v>492.1359652505862</v>
      </c>
      <c r="AA143" s="33">
        <f>[1]节奏总纲!AA143</f>
        <v>271.59878519853146</v>
      </c>
      <c r="AC143" s="21">
        <v>140</v>
      </c>
      <c r="AD143" s="21">
        <f>[1]节奏总纲!AD143</f>
        <v>71.387248347196717</v>
      </c>
      <c r="AE143" s="21">
        <f>[1]节奏总纲!AE143</f>
        <v>73.470262453565411</v>
      </c>
      <c r="AF143" s="21">
        <f>[1]节奏总纲!AF143</f>
        <v>76.347772353568445</v>
      </c>
      <c r="AG143" s="21">
        <f>[1]节奏总纲!AG143</f>
        <v>80.917183763493213</v>
      </c>
      <c r="AH143" s="21">
        <f>[1]节奏总纲!AH143</f>
        <v>90.16140749098561</v>
      </c>
      <c r="AZ143" s="21">
        <v>140</v>
      </c>
      <c r="BA143" s="21">
        <v>40.28554255651148</v>
      </c>
      <c r="BB143" s="21">
        <v>41.791434980831518</v>
      </c>
      <c r="BC143" s="21">
        <v>43.729182533222463</v>
      </c>
      <c r="BD143" s="21">
        <v>46.465050858235607</v>
      </c>
      <c r="BE143" s="21">
        <v>50</v>
      </c>
    </row>
    <row r="144" spans="6:57" x14ac:dyDescent="0.15">
      <c r="F144" s="21">
        <v>142</v>
      </c>
      <c r="G144" s="21">
        <v>18819.273848271412</v>
      </c>
      <c r="N144" s="33">
        <f>[1]节奏总纲!N144</f>
        <v>151</v>
      </c>
      <c r="O144" s="33">
        <v>141</v>
      </c>
      <c r="P144" s="33">
        <f>[1]节奏总纲!P144</f>
        <v>17558.936410194601</v>
      </c>
      <c r="Q144" s="33">
        <f>[1]节奏总纲!Q144</f>
        <v>14839.057160255457</v>
      </c>
      <c r="R144" s="33">
        <f>[1]节奏总纲!R144</f>
        <v>11789.069905804656</v>
      </c>
      <c r="S144" s="33">
        <f>[1]节奏总纲!S144</f>
        <v>8380.8803485858825</v>
      </c>
      <c r="T144" s="33">
        <f>[1]节奏总纲!T144</f>
        <v>4489.820040086759</v>
      </c>
      <c r="U144" s="33"/>
      <c r="V144" s="33">
        <v>141</v>
      </c>
      <c r="W144" s="33">
        <f>[1]节奏总纲!W144</f>
        <v>1175.9364101946012</v>
      </c>
      <c r="X144" s="33">
        <f>[1]节奏总纲!X144</f>
        <v>957.74126025545593</v>
      </c>
      <c r="Y144" s="33">
        <f>[1]节奏总纲!Y144</f>
        <v>751.84280580465565</v>
      </c>
      <c r="Z144" s="33">
        <f>[1]节奏总纲!Z144</f>
        <v>553.08294858588215</v>
      </c>
      <c r="AA144" s="33">
        <f>[1]节奏总纲!AA144</f>
        <v>297.41034008675888</v>
      </c>
      <c r="AC144" s="21">
        <v>141</v>
      </c>
      <c r="AD144" s="21">
        <f>[1]节奏总纲!AD144</f>
        <v>71.488808450176208</v>
      </c>
      <c r="AE144" s="21">
        <f>[1]节奏总纲!AE144</f>
        <v>73.572850073134703</v>
      </c>
      <c r="AF144" s="21">
        <f>[1]节奏总纲!AF144</f>
        <v>76.447626306407713</v>
      </c>
      <c r="AG144" s="21">
        <f>[1]节奏总纲!AG144</f>
        <v>81.023848662825003</v>
      </c>
      <c r="AH144" s="21">
        <f>[1]节奏总纲!AH144</f>
        <v>90.267666537059071</v>
      </c>
      <c r="AZ144" s="21">
        <v>141</v>
      </c>
      <c r="BA144" s="21">
        <v>40.332161749411313</v>
      </c>
      <c r="BB144" s="21">
        <v>41.841717749696201</v>
      </c>
      <c r="BC144" s="21">
        <v>43.77911147780199</v>
      </c>
      <c r="BD144" s="21">
        <v>46.513210965282425</v>
      </c>
      <c r="BE144" s="21">
        <v>50</v>
      </c>
    </row>
    <row r="145" spans="6:57" x14ac:dyDescent="0.15">
      <c r="F145" s="21">
        <v>143</v>
      </c>
      <c r="G145" s="21">
        <v>20170.070068243116</v>
      </c>
      <c r="N145" s="33">
        <f>[1]节奏总纲!N145</f>
        <v>152</v>
      </c>
      <c r="O145" s="33">
        <v>142</v>
      </c>
      <c r="P145" s="33">
        <f>[1]节奏总纲!P145</f>
        <v>18819.273848271412</v>
      </c>
      <c r="Q145" s="33">
        <f>[1]节奏总纲!Q145</f>
        <v>15904.16832917417</v>
      </c>
      <c r="R145" s="33">
        <f>[1]节奏总纲!R145</f>
        <v>12667.253227271489</v>
      </c>
      <c r="S145" s="33">
        <f>[1]节奏总纲!S145</f>
        <v>9003.140609013044</v>
      </c>
      <c r="T145" s="33">
        <f>[1]节奏总纲!T145</f>
        <v>4823.3798873119622</v>
      </c>
      <c r="U145" s="33"/>
      <c r="V145" s="33">
        <v>142</v>
      </c>
      <c r="W145" s="33">
        <f>[1]节奏总纲!W145</f>
        <v>1260.3374380768109</v>
      </c>
      <c r="X145" s="33">
        <f>[1]节奏总纲!X145</f>
        <v>1065.1111689187128</v>
      </c>
      <c r="Y145" s="33">
        <f>[1]节奏总纲!Y145</f>
        <v>878.18332146683315</v>
      </c>
      <c r="Z145" s="33">
        <f>[1]节奏总纲!Z145</f>
        <v>622.26026042716148</v>
      </c>
      <c r="AA145" s="33">
        <f>[1]节奏总纲!AA145</f>
        <v>333.55984722520316</v>
      </c>
      <c r="AC145" s="21">
        <v>142</v>
      </c>
      <c r="AD145" s="21">
        <f>[1]节奏总纲!AD145</f>
        <v>71.590368553155713</v>
      </c>
      <c r="AE145" s="21">
        <f>[1]节奏总纲!AE145</f>
        <v>73.675437692703994</v>
      </c>
      <c r="AF145" s="21">
        <f>[1]节奏总纲!AF145</f>
        <v>76.547480259246996</v>
      </c>
      <c r="AG145" s="21">
        <f>[1]节奏总纲!AG145</f>
        <v>81.123332456233015</v>
      </c>
      <c r="AH145" s="21">
        <f>[1]节奏总纲!AH145</f>
        <v>90.373925583132547</v>
      </c>
      <c r="AZ145" s="21">
        <v>142</v>
      </c>
      <c r="BA145" s="21">
        <v>40.378780942311145</v>
      </c>
      <c r="BB145" s="21">
        <v>41.892000518560877</v>
      </c>
      <c r="BC145" s="21">
        <v>43.829040422381524</v>
      </c>
      <c r="BD145" s="21">
        <v>46.561371072329244</v>
      </c>
      <c r="BE145" s="21">
        <v>50</v>
      </c>
    </row>
    <row r="146" spans="6:57" x14ac:dyDescent="0.15">
      <c r="F146" s="21">
        <v>144</v>
      </c>
      <c r="G146" s="21">
        <v>21617.817610103088</v>
      </c>
      <c r="N146" s="33">
        <f>[1]节奏总纲!N146</f>
        <v>153</v>
      </c>
      <c r="O146" s="33">
        <v>143</v>
      </c>
      <c r="P146" s="33">
        <f>[1]节奏总纲!P146</f>
        <v>20170.070068243116</v>
      </c>
      <c r="Q146" s="33">
        <f>[1]节奏总纲!Q146</f>
        <v>17065.896284740498</v>
      </c>
      <c r="R146" s="33">
        <f>[1]节奏总纲!R146</f>
        <v>13594.62722599586</v>
      </c>
      <c r="S146" s="33">
        <f>[1]节奏总纲!S146</f>
        <v>9669.5315907157492</v>
      </c>
      <c r="T146" s="33">
        <f>[1]节奏总纲!T146</f>
        <v>5185.7250145453054</v>
      </c>
      <c r="U146" s="33"/>
      <c r="V146" s="33">
        <v>143</v>
      </c>
      <c r="W146" s="33">
        <f>[1]节奏总纲!W146</f>
        <v>1350.796219971704</v>
      </c>
      <c r="X146" s="33">
        <f>[1]节奏总纲!X146</f>
        <v>1161.7279555663281</v>
      </c>
      <c r="Y146" s="33">
        <f>[1]节奏总纲!Y146</f>
        <v>927.37399872437163</v>
      </c>
      <c r="Z146" s="33">
        <f>[1]节奏总纲!Z146</f>
        <v>666.39098170270518</v>
      </c>
      <c r="AA146" s="33">
        <f>[1]节奏总纲!AA146</f>
        <v>362.34512723334319</v>
      </c>
      <c r="AC146" s="21">
        <v>143</v>
      </c>
      <c r="AD146" s="21">
        <f>[1]节奏总纲!AD146</f>
        <v>71.691928656135218</v>
      </c>
      <c r="AE146" s="21">
        <f>[1]节奏总纲!AE146</f>
        <v>73.778025312273286</v>
      </c>
      <c r="AF146" s="21">
        <f>[1]节奏总纲!AF146</f>
        <v>76.647334212086264</v>
      </c>
      <c r="AG146" s="21">
        <f>[1]节奏总纲!AG146</f>
        <v>81.222816249641028</v>
      </c>
      <c r="AH146" s="21">
        <f>[1]节奏总纲!AH146</f>
        <v>90.480184629206022</v>
      </c>
      <c r="AZ146" s="21">
        <v>143</v>
      </c>
      <c r="BA146" s="21">
        <v>40.425400135210978</v>
      </c>
      <c r="BB146" s="21">
        <v>41.94228328742556</v>
      </c>
      <c r="BC146" s="21">
        <v>43.878969366961051</v>
      </c>
      <c r="BD146" s="21">
        <v>46.609531179376063</v>
      </c>
      <c r="BE146" s="21">
        <v>50</v>
      </c>
    </row>
    <row r="147" spans="6:57" x14ac:dyDescent="0.15">
      <c r="F147" s="21">
        <v>145</v>
      </c>
      <c r="G147" s="21">
        <v>23169.475005920798</v>
      </c>
      <c r="N147" s="33">
        <f>[1]节奏总纲!N147</f>
        <v>154</v>
      </c>
      <c r="O147" s="33">
        <v>144</v>
      </c>
      <c r="P147" s="33">
        <f>[1]节奏总纲!P147</f>
        <v>21617.817610103088</v>
      </c>
      <c r="Q147" s="33">
        <f>[1]节奏总纲!Q147</f>
        <v>18290.835479908223</v>
      </c>
      <c r="R147" s="33">
        <f>[1]节奏总纲!R147</f>
        <v>14585.541541536553</v>
      </c>
      <c r="S147" s="33">
        <f>[1]节奏总纲!S147</f>
        <v>10380.876016371503</v>
      </c>
      <c r="T147" s="33">
        <f>[1]节奏总纲!T147</f>
        <v>5547.1319987524521</v>
      </c>
      <c r="U147" s="33"/>
      <c r="V147" s="33">
        <v>144</v>
      </c>
      <c r="W147" s="33">
        <f>[1]节奏总纲!W147</f>
        <v>1447.7475418599715</v>
      </c>
      <c r="X147" s="33">
        <f>[1]节奏总纲!X147</f>
        <v>1224.9391951677244</v>
      </c>
      <c r="Y147" s="33">
        <f>[1]节奏总纲!Y147</f>
        <v>990.91431554069277</v>
      </c>
      <c r="Z147" s="33">
        <f>[1]节奏总纲!Z147</f>
        <v>711.34442565575409</v>
      </c>
      <c r="AA147" s="33">
        <f>[1]节奏总纲!AA147</f>
        <v>361.40698420714671</v>
      </c>
      <c r="AC147" s="21">
        <v>144</v>
      </c>
      <c r="AD147" s="21">
        <f>[1]节奏总纲!AD147</f>
        <v>71.793488759114723</v>
      </c>
      <c r="AE147" s="21">
        <f>[1]节奏总纲!AE147</f>
        <v>73.880612931842577</v>
      </c>
      <c r="AF147" s="21">
        <f>[1]节奏总纲!AF147</f>
        <v>76.747188164925547</v>
      </c>
      <c r="AG147" s="21">
        <f>[1]节奏总纲!AG147</f>
        <v>81.322300043049054</v>
      </c>
      <c r="AH147" s="21">
        <f>[1]节奏总纲!AH147</f>
        <v>90.586443675279497</v>
      </c>
      <c r="AZ147" s="21">
        <v>144</v>
      </c>
      <c r="BA147" s="21">
        <v>40.472019328110811</v>
      </c>
      <c r="BB147" s="21">
        <v>41.992566056290244</v>
      </c>
      <c r="BC147" s="21">
        <v>43.928898311540586</v>
      </c>
      <c r="BD147" s="21">
        <v>46.657691286422882</v>
      </c>
      <c r="BE147" s="21">
        <v>50</v>
      </c>
    </row>
    <row r="148" spans="6:57" x14ac:dyDescent="0.15">
      <c r="F148" s="21">
        <v>146</v>
      </c>
      <c r="G148" s="21">
        <v>24832.50022570635</v>
      </c>
      <c r="N148" s="33">
        <f>[1]节奏总纲!N148</f>
        <v>155</v>
      </c>
      <c r="O148" s="33">
        <v>145</v>
      </c>
      <c r="P148" s="33">
        <f>[1]节奏总纲!P148</f>
        <v>23169.475005920798</v>
      </c>
      <c r="Q148" s="33">
        <f>[1]节奏总纲!Q148</f>
        <v>19631.496172516694</v>
      </c>
      <c r="R148" s="33">
        <f>[1]节奏总纲!R148</f>
        <v>15650.9803664995</v>
      </c>
      <c r="S148" s="33">
        <f>[1]节奏总纲!S148</f>
        <v>11105.129370337838</v>
      </c>
      <c r="T148" s="33">
        <f>[1]节奏总纲!T148</f>
        <v>5926.7517065145412</v>
      </c>
      <c r="U148" s="33"/>
      <c r="V148" s="33">
        <v>145</v>
      </c>
      <c r="W148" s="33">
        <f>[1]节奏总纲!W148</f>
        <v>1551.6573958177105</v>
      </c>
      <c r="X148" s="33">
        <f>[1]节奏总纲!X148</f>
        <v>1340.6606926084714</v>
      </c>
      <c r="Y148" s="33">
        <f>[1]节奏总纲!Y148</f>
        <v>1065.4388249629465</v>
      </c>
      <c r="Z148" s="33">
        <f>[1]节奏总纲!Z148</f>
        <v>724.25335396633454</v>
      </c>
      <c r="AA148" s="33">
        <f>[1]节奏总纲!AA148</f>
        <v>379.61970776208909</v>
      </c>
      <c r="AC148" s="21">
        <v>145</v>
      </c>
      <c r="AD148" s="21">
        <f>[1]节奏总纲!AD148</f>
        <v>71.895048862094214</v>
      </c>
      <c r="AE148" s="21">
        <f>[1]节奏总纲!AE148</f>
        <v>73.983200551411869</v>
      </c>
      <c r="AF148" s="21">
        <f>[1]节奏总纲!AF148</f>
        <v>76.847042117764815</v>
      </c>
      <c r="AG148" s="21">
        <f>[1]节奏总纲!AG148</f>
        <v>81.421783836457067</v>
      </c>
      <c r="AH148" s="21">
        <f>[1]节奏总纲!AH148</f>
        <v>90.692702721352973</v>
      </c>
      <c r="AZ148" s="21">
        <v>145</v>
      </c>
      <c r="BA148" s="21">
        <v>40.518638521010651</v>
      </c>
      <c r="BB148" s="21">
        <v>42.036975906461073</v>
      </c>
      <c r="BC148" s="21">
        <v>43.978827256120113</v>
      </c>
      <c r="BD148" s="21">
        <v>46.7058513934697</v>
      </c>
      <c r="BE148" s="21">
        <v>50</v>
      </c>
    </row>
    <row r="149" spans="6:57" x14ac:dyDescent="0.15">
      <c r="F149" s="21">
        <v>147</v>
      </c>
      <c r="G149" s="21">
        <v>26614.886523801088</v>
      </c>
      <c r="N149" s="33">
        <f>[1]节奏总纲!N149</f>
        <v>156</v>
      </c>
      <c r="O149" s="33">
        <v>146</v>
      </c>
      <c r="P149" s="33">
        <f>[1]节奏总纲!P149</f>
        <v>24832.50022570635</v>
      </c>
      <c r="Q149" s="33">
        <f>[1]节奏总纲!Q149</f>
        <v>21035.61094119585</v>
      </c>
      <c r="R149" s="33">
        <f>[1]节奏总纲!R149</f>
        <v>16719.722401968087</v>
      </c>
      <c r="S149" s="33">
        <f>[1]节奏总纲!S149</f>
        <v>11847.5858576845</v>
      </c>
      <c r="T149" s="33">
        <f>[1]节奏总纲!T149</f>
        <v>6324.8378074874072</v>
      </c>
      <c r="U149" s="33"/>
      <c r="V149" s="33">
        <v>146</v>
      </c>
      <c r="W149" s="33">
        <f>[1]节奏总纲!W149</f>
        <v>1663.0252197855516</v>
      </c>
      <c r="X149" s="33">
        <f>[1]节奏总纲!X149</f>
        <v>1404.1147686791555</v>
      </c>
      <c r="Y149" s="33">
        <f>[1]节奏总纲!Y149</f>
        <v>1068.7420354685873</v>
      </c>
      <c r="Z149" s="33">
        <f>[1]节奏总纲!Z149</f>
        <v>742.45648734666247</v>
      </c>
      <c r="AA149" s="33">
        <f>[1]节奏总纲!AA149</f>
        <v>398.08610097286601</v>
      </c>
      <c r="AC149" s="21">
        <v>146</v>
      </c>
      <c r="AD149" s="21">
        <f>[1]节奏总纲!AD149</f>
        <v>71.996608965073719</v>
      </c>
      <c r="AE149" s="21">
        <f>[1]节奏总纲!AE149</f>
        <v>74.078973000522922</v>
      </c>
      <c r="AF149" s="21">
        <f>[1]节奏总纲!AF149</f>
        <v>76.946896070604097</v>
      </c>
      <c r="AG149" s="21">
        <f>[1]节奏总纲!AG149</f>
        <v>81.521267629865079</v>
      </c>
      <c r="AH149" s="21">
        <f>[1]节奏总纲!AH149</f>
        <v>90.798961767426448</v>
      </c>
      <c r="AZ149" s="21">
        <v>146</v>
      </c>
      <c r="BA149" s="21">
        <v>40.565257713910484</v>
      </c>
      <c r="BB149" s="21">
        <v>42.080366850119908</v>
      </c>
      <c r="BC149" s="21">
        <v>44.024818750237806</v>
      </c>
      <c r="BD149" s="21">
        <v>46.754011500516519</v>
      </c>
      <c r="BE149" s="21">
        <v>50</v>
      </c>
    </row>
    <row r="150" spans="6:57" x14ac:dyDescent="0.15">
      <c r="F150" s="21">
        <v>148</v>
      </c>
      <c r="G150" s="21">
        <v>28525.200858087381</v>
      </c>
      <c r="N150" s="33">
        <f>[1]节奏总纲!N150</f>
        <v>157</v>
      </c>
      <c r="O150" s="33">
        <v>147</v>
      </c>
      <c r="P150" s="33">
        <f>[1]节奏总纲!P150</f>
        <v>26614.886523801088</v>
      </c>
      <c r="Q150" s="33">
        <f>[1]节奏总纲!Q150</f>
        <v>22470.948692045258</v>
      </c>
      <c r="R150" s="33">
        <f>[1]节奏总纲!R150</f>
        <v>17837.296948251489</v>
      </c>
      <c r="S150" s="33">
        <f>[1]节奏总纲!S150</f>
        <v>12631.425144195997</v>
      </c>
      <c r="T150" s="33">
        <f>[1]节奏总纲!T150</f>
        <v>6754.8581997407164</v>
      </c>
      <c r="U150" s="33"/>
      <c r="V150" s="33">
        <v>147</v>
      </c>
      <c r="W150" s="33">
        <f>[1]节奏总纲!W150</f>
        <v>1782.3862980947379</v>
      </c>
      <c r="X150" s="33">
        <f>[1]节奏总纲!X150</f>
        <v>1435.3377508494086</v>
      </c>
      <c r="Y150" s="33">
        <f>[1]节奏总纲!Y150</f>
        <v>1117.574546283402</v>
      </c>
      <c r="Z150" s="33">
        <f>[1]节奏总纲!Z150</f>
        <v>783.83928651149654</v>
      </c>
      <c r="AA150" s="33">
        <f>[1]节奏总纲!AA150</f>
        <v>430.02039225330918</v>
      </c>
      <c r="AC150" s="21">
        <v>147</v>
      </c>
      <c r="AD150" s="21">
        <f>[1]节奏总纲!AD150</f>
        <v>72.091594979242075</v>
      </c>
      <c r="AE150" s="21">
        <f>[1]节奏总纲!AE150</f>
        <v>74.173410870467364</v>
      </c>
      <c r="AF150" s="21">
        <f>[1]节奏总纲!AF150</f>
        <v>77.043751281705866</v>
      </c>
      <c r="AG150" s="21">
        <f>[1]节奏总纲!AG150</f>
        <v>81.620751423273092</v>
      </c>
      <c r="AH150" s="21">
        <f>[1]节奏总纲!AH150</f>
        <v>90.905220813499923</v>
      </c>
      <c r="AZ150" s="21">
        <v>147</v>
      </c>
      <c r="BA150" s="21">
        <v>40.611876906810316</v>
      </c>
      <c r="BB150" s="21">
        <v>42.123757793778736</v>
      </c>
      <c r="BC150" s="21">
        <v>44.067911160744309</v>
      </c>
      <c r="BD150" s="21">
        <v>46.802171607563338</v>
      </c>
      <c r="BE150" s="21">
        <v>50</v>
      </c>
    </row>
    <row r="151" spans="6:57" x14ac:dyDescent="0.15">
      <c r="F151" s="21">
        <v>149</v>
      </c>
      <c r="G151" s="21">
        <v>30572.62506667812</v>
      </c>
      <c r="N151" s="33">
        <f>[1]节奏总纲!N151</f>
        <v>158</v>
      </c>
      <c r="O151" s="33">
        <v>148</v>
      </c>
      <c r="P151" s="33">
        <f>[1]节奏总纲!P151</f>
        <v>28525.200858087381</v>
      </c>
      <c r="Q151" s="33">
        <f>[1]节奏总纲!Q151</f>
        <v>24083.827084483179</v>
      </c>
      <c r="R151" s="33">
        <f>[1]节奏总纲!R151</f>
        <v>19128.999695433398</v>
      </c>
      <c r="S151" s="33">
        <f>[1]节奏总纲!S151</f>
        <v>13566.58552810636</v>
      </c>
      <c r="T151" s="33">
        <f>[1]节奏总纲!T151</f>
        <v>7242.5484978683862</v>
      </c>
      <c r="U151" s="33"/>
      <c r="V151" s="33">
        <v>148</v>
      </c>
      <c r="W151" s="33">
        <f>[1]节奏总纲!W151</f>
        <v>1910.3143342862932</v>
      </c>
      <c r="X151" s="33">
        <f>[1]节奏总纲!X151</f>
        <v>1612.8783924379204</v>
      </c>
      <c r="Y151" s="33">
        <f>[1]节奏总纲!Y151</f>
        <v>1291.7027471819092</v>
      </c>
      <c r="Z151" s="33">
        <f>[1]节奏总纲!Z151</f>
        <v>935.16038391036273</v>
      </c>
      <c r="AA151" s="33">
        <f>[1]节奏总纲!AA151</f>
        <v>487.69029812766985</v>
      </c>
      <c r="AC151" s="21">
        <v>148</v>
      </c>
      <c r="AD151" s="21">
        <f>[1]节奏总纲!AD151</f>
        <v>72.186353905945822</v>
      </c>
      <c r="AE151" s="21">
        <f>[1]节奏总纲!AE151</f>
        <v>74.267848740411821</v>
      </c>
      <c r="AF151" s="21">
        <f>[1]节奏总纲!AF151</f>
        <v>77.137200185007629</v>
      </c>
      <c r="AG151" s="21">
        <f>[1]节奏总纲!AG151</f>
        <v>81.720235216681118</v>
      </c>
      <c r="AH151" s="21">
        <f>[1]节奏总纲!AH151</f>
        <v>91.011076811620597</v>
      </c>
      <c r="AZ151" s="21">
        <v>148</v>
      </c>
      <c r="BA151" s="21">
        <v>40.658496099710149</v>
      </c>
      <c r="BB151" s="21">
        <v>42.167148737437564</v>
      </c>
      <c r="BC151" s="21">
        <v>44.111003571250812</v>
      </c>
      <c r="BD151" s="21">
        <v>46.850331714610157</v>
      </c>
      <c r="BE151" s="21">
        <v>50</v>
      </c>
    </row>
    <row r="152" spans="6:57" x14ac:dyDescent="0.15">
      <c r="F152" s="21">
        <v>150</v>
      </c>
      <c r="G152" s="21">
        <v>32767</v>
      </c>
      <c r="N152" s="33">
        <f>[1]节奏总纲!N152</f>
        <v>159</v>
      </c>
      <c r="O152" s="33">
        <v>149</v>
      </c>
      <c r="P152" s="33">
        <f>[1]节奏总纲!P152</f>
        <v>30572.62506667812</v>
      </c>
      <c r="Q152" s="33">
        <f>[1]节奏总纲!Q152</f>
        <v>25818.581868809673</v>
      </c>
      <c r="R152" s="33">
        <f>[1]节奏总纲!R152</f>
        <v>20520.345944754354</v>
      </c>
      <c r="S152" s="33">
        <f>[1]节奏总纲!S152</f>
        <v>14549.512269232117</v>
      </c>
      <c r="T152" s="33">
        <f>[1]节奏总纲!T152</f>
        <v>7768.50402944291</v>
      </c>
      <c r="U152" s="33"/>
      <c r="V152" s="33">
        <v>149</v>
      </c>
      <c r="W152" s="33">
        <f>[1]节奏总纲!W152</f>
        <v>2047.424208590739</v>
      </c>
      <c r="X152" s="33">
        <f>[1]节奏总纲!X152</f>
        <v>1734.7547843264947</v>
      </c>
      <c r="Y152" s="33">
        <f>[1]节奏总纲!Y152</f>
        <v>1391.3462493209554</v>
      </c>
      <c r="Z152" s="33">
        <f>[1]节奏总纲!Z152</f>
        <v>982.92674112575696</v>
      </c>
      <c r="AA152" s="33">
        <f>[1]节奏总纲!AA152</f>
        <v>525.95553157452377</v>
      </c>
      <c r="AC152" s="21">
        <v>149</v>
      </c>
      <c r="AD152" s="21">
        <f>[1]节奏总纲!AD152</f>
        <v>72.281112832649583</v>
      </c>
      <c r="AE152" s="21">
        <f>[1]节奏总纲!AE152</f>
        <v>74.362286610356264</v>
      </c>
      <c r="AF152" s="21">
        <f>[1]节奏总纲!AF152</f>
        <v>77.230649088309391</v>
      </c>
      <c r="AG152" s="21">
        <f>[1]节奏总纲!AG152</f>
        <v>81.819719010089131</v>
      </c>
      <c r="AH152" s="21">
        <f>[1]节奏总纲!AH152</f>
        <v>91.113605194377854</v>
      </c>
      <c r="AZ152" s="21">
        <v>149</v>
      </c>
      <c r="BA152" s="21">
        <v>40.705115292609982</v>
      </c>
      <c r="BB152" s="21">
        <v>42.2105396810964</v>
      </c>
      <c r="BC152" s="21">
        <v>44.154095981757315</v>
      </c>
      <c r="BD152" s="21">
        <v>46.898491821656968</v>
      </c>
      <c r="BE152" s="21">
        <v>50</v>
      </c>
    </row>
    <row r="153" spans="6:57" x14ac:dyDescent="0.15">
      <c r="N153" s="33">
        <f>[1]节奏总纲!N153</f>
        <v>160</v>
      </c>
      <c r="O153" s="33">
        <v>150</v>
      </c>
      <c r="P153" s="33">
        <f>[1]节奏总纲!P153</f>
        <v>32767</v>
      </c>
      <c r="Q153" s="33">
        <f>[1]节奏总纲!Q153</f>
        <v>27671.731500000002</v>
      </c>
      <c r="R153" s="33">
        <f>[1]节奏总纲!R153</f>
        <v>21996.487099999998</v>
      </c>
      <c r="S153" s="33">
        <f>[1]节奏总纲!S153</f>
        <v>15603.645400000001</v>
      </c>
      <c r="T153" s="33">
        <f>[1]节奏总纲!T153</f>
        <v>8355.5850000000009</v>
      </c>
      <c r="U153" s="33"/>
      <c r="V153" s="33">
        <v>150</v>
      </c>
      <c r="W153" s="33">
        <f>[1]节奏总纲!W153</f>
        <v>2194.3749333218802</v>
      </c>
      <c r="X153" s="33">
        <f>[1]节奏总纲!X153</f>
        <v>1853.1496311903284</v>
      </c>
      <c r="Y153" s="33">
        <f>[1]节奏总纲!Y153</f>
        <v>1476.1411552456448</v>
      </c>
      <c r="Z153" s="33">
        <f>[1]节奏总纲!Z153</f>
        <v>1054.1331307678847</v>
      </c>
      <c r="AA153" s="33">
        <f>[1]节奏总纲!AA153</f>
        <v>587.08097055709095</v>
      </c>
      <c r="AC153" s="21">
        <v>150</v>
      </c>
      <c r="AD153" s="21">
        <f>[1]节奏总纲!AD153</f>
        <v>72.375871759353331</v>
      </c>
      <c r="AE153" s="21">
        <f>[1]节奏总纲!AE153</f>
        <v>74.456724480300707</v>
      </c>
      <c r="AF153" s="21">
        <f>[1]节奏总纲!AF153</f>
        <v>77.324097991611154</v>
      </c>
      <c r="AG153" s="21">
        <f>[1]节奏总纲!AG153</f>
        <v>81.919202803497143</v>
      </c>
      <c r="AH153" s="21">
        <f>[1]节奏总纲!AH153</f>
        <v>91.216133577135096</v>
      </c>
      <c r="AZ153" s="21">
        <v>150</v>
      </c>
      <c r="BA153" s="21">
        <v>40.751734485509814</v>
      </c>
      <c r="BB153" s="21">
        <v>42.253930624755228</v>
      </c>
      <c r="BC153" s="21">
        <v>44.197188392263818</v>
      </c>
      <c r="BD153" s="21">
        <v>46.946651928703787</v>
      </c>
      <c r="BE153" s="21">
        <v>50</v>
      </c>
    </row>
    <row r="154" spans="6:57" x14ac:dyDescent="0.15">
      <c r="N154" s="33">
        <f>[1]节奏总纲!N154</f>
        <v>161</v>
      </c>
      <c r="O154" s="33">
        <v>151</v>
      </c>
      <c r="P154" s="33">
        <f>[1]节奏总纲!P154</f>
        <v>35118.87282038921</v>
      </c>
      <c r="Q154" s="33">
        <f>[1]节奏总纲!Q154</f>
        <v>29671.935645946844</v>
      </c>
      <c r="R154" s="33">
        <f>[1]节奏总纲!R154</f>
        <v>23592.858760737468</v>
      </c>
      <c r="S154" s="33">
        <f>[1]节奏总纲!S154</f>
        <v>16804.380644556237</v>
      </c>
      <c r="T154" s="33">
        <f>[1]节奏总纲!T154</f>
        <v>9095.7880604808051</v>
      </c>
      <c r="U154" s="33"/>
      <c r="V154" s="33">
        <v>151</v>
      </c>
      <c r="W154" s="33">
        <f>[1]节奏总纲!W154</f>
        <v>2351.8728203892097</v>
      </c>
      <c r="X154" s="33">
        <f>[1]节奏总纲!X154</f>
        <v>2000.2041459468419</v>
      </c>
      <c r="Y154" s="33">
        <f>[1]节奏总纲!Y154</f>
        <v>1596.3716607374699</v>
      </c>
      <c r="Z154" s="33">
        <f>[1]节奏总纲!Z154</f>
        <v>1200.7352445562356</v>
      </c>
      <c r="AA154" s="33">
        <f>[1]节奏总纲!AA154</f>
        <v>740.2030604808042</v>
      </c>
      <c r="AC154" s="21">
        <v>151</v>
      </c>
      <c r="AD154" s="21">
        <f>[1]节奏总纲!AD154</f>
        <v>72.470630686057078</v>
      </c>
      <c r="AE154" s="21">
        <f>[1]节奏总纲!AE154</f>
        <v>74.551162350245164</v>
      </c>
      <c r="AF154" s="21">
        <f>[1]节奏总纲!AF154</f>
        <v>77.417546894912917</v>
      </c>
      <c r="AG154" s="21">
        <f>[1]节奏总纲!AG154</f>
        <v>82.01744549958407</v>
      </c>
      <c r="AH154" s="21">
        <f>[1]节奏总纲!AH154</f>
        <v>91.318661959892353</v>
      </c>
      <c r="AZ154" s="21">
        <v>151</v>
      </c>
      <c r="BA154" s="21">
        <v>40.798353678409647</v>
      </c>
      <c r="BB154" s="21">
        <v>42.297321568414056</v>
      </c>
      <c r="BC154" s="21">
        <v>44.240280802770329</v>
      </c>
      <c r="BD154" s="21">
        <v>46.994812035750606</v>
      </c>
      <c r="BE154" s="21">
        <v>50</v>
      </c>
    </row>
    <row r="155" spans="6:57" x14ac:dyDescent="0.15">
      <c r="N155" s="33">
        <f>[1]节奏总纲!N155</f>
        <v>162</v>
      </c>
      <c r="O155" s="33">
        <v>152</v>
      </c>
      <c r="P155" s="33">
        <f>[1]节奏总纲!P155</f>
        <v>37639.547696542824</v>
      </c>
      <c r="Q155" s="33">
        <f>[1]节奏总纲!Q155</f>
        <v>31794.125939269725</v>
      </c>
      <c r="R155" s="33">
        <f>[1]节奏总纲!R155</f>
        <v>25425.514469014677</v>
      </c>
      <c r="S155" s="33">
        <f>[1]节奏总纲!S155</f>
        <v>18255.180632823271</v>
      </c>
      <c r="T155" s="33">
        <f>[1]节奏总纲!T155</f>
        <v>14114.830386203559</v>
      </c>
      <c r="U155" s="33"/>
      <c r="V155" s="33">
        <v>152</v>
      </c>
      <c r="W155" s="33">
        <f>[1]节奏总纲!W155</f>
        <v>2520.6748761536146</v>
      </c>
      <c r="X155" s="33">
        <f>[1]节奏总纲!X155</f>
        <v>2122.1902933228812</v>
      </c>
      <c r="Y155" s="33">
        <f>[1]节奏总纲!Y155</f>
        <v>1832.6557082772088</v>
      </c>
      <c r="Z155" s="33">
        <f>[1]节奏总纲!Z155</f>
        <v>1450.7999882670338</v>
      </c>
      <c r="AA155" s="33">
        <f>[1]节奏总纲!AA155</f>
        <v>5019.042325722754</v>
      </c>
      <c r="AC155" s="21">
        <v>152</v>
      </c>
      <c r="AD155" s="21">
        <f>[1]节奏总纲!AD155</f>
        <v>72.565389612760825</v>
      </c>
      <c r="AE155" s="21">
        <f>[1]节奏总纲!AE155</f>
        <v>74.645600220189607</v>
      </c>
      <c r="AF155" s="21">
        <f>[1]节奏总纲!AF155</f>
        <v>77.51099579821468</v>
      </c>
      <c r="AG155" s="21">
        <f>[1]节奏总纲!AG155</f>
        <v>82.110321933176039</v>
      </c>
      <c r="AH155" s="21">
        <f>[1]节奏总纲!AH155</f>
        <v>91.421190342649595</v>
      </c>
      <c r="AZ155" s="21">
        <v>152</v>
      </c>
      <c r="BA155" s="21">
        <v>40.84497287130948</v>
      </c>
      <c r="BB155" s="21">
        <v>42.340712512072891</v>
      </c>
      <c r="BC155" s="21">
        <v>44.283373213276832</v>
      </c>
      <c r="BD155" s="21">
        <v>47.037096473408994</v>
      </c>
      <c r="BE155" s="21">
        <v>50</v>
      </c>
    </row>
    <row r="156" spans="6:57" x14ac:dyDescent="0.15">
      <c r="N156" s="33">
        <f>[1]节奏总纲!N156</f>
        <v>163</v>
      </c>
      <c r="O156" s="33">
        <v>153</v>
      </c>
      <c r="P156" s="33">
        <f>[1]节奏总纲!P156</f>
        <v>40341.140136486232</v>
      </c>
      <c r="Q156" s="33">
        <f>[1]节奏总纲!Q156</f>
        <v>34330.31025614978</v>
      </c>
      <c r="R156" s="33">
        <f>[1]节奏总纲!R156</f>
        <v>27552.998713220099</v>
      </c>
      <c r="S156" s="33">
        <f>[1]节奏总纲!S156</f>
        <v>24204.684081891737</v>
      </c>
      <c r="T156" s="33">
        <f>[1]节奏总纲!T156</f>
        <v>24204.684081891737</v>
      </c>
      <c r="U156" s="33"/>
      <c r="V156" s="33">
        <v>153</v>
      </c>
      <c r="W156" s="33">
        <f>[1]节奏总纲!W156</f>
        <v>2701.592439943408</v>
      </c>
      <c r="X156" s="33">
        <f>[1]节奏总纲!X156</f>
        <v>2536.1843168800551</v>
      </c>
      <c r="Y156" s="33">
        <f>[1]节奏总纲!Y156</f>
        <v>2127.4842442054214</v>
      </c>
      <c r="Z156" s="33">
        <f>[1]节奏总纲!Z156</f>
        <v>5949.5034490684666</v>
      </c>
      <c r="AA156" s="33">
        <f>[1]节奏总纲!AA156</f>
        <v>10089.853695688178</v>
      </c>
      <c r="AC156" s="21">
        <v>153</v>
      </c>
      <c r="AD156" s="21">
        <f>[1]节奏总纲!AD156</f>
        <v>72.660148539464572</v>
      </c>
      <c r="AE156" s="21">
        <f>[1]节奏总纲!AE156</f>
        <v>74.74003809013405</v>
      </c>
      <c r="AF156" s="21">
        <f>[1]节奏总纲!AF156</f>
        <v>77.604444701516456</v>
      </c>
      <c r="AG156" s="21">
        <f>[1]节奏总纲!AG156</f>
        <v>82.203198366767992</v>
      </c>
      <c r="AH156" s="21">
        <f>[1]节奏总纲!AH156</f>
        <v>91.523718725406852</v>
      </c>
      <c r="AZ156" s="21">
        <v>153</v>
      </c>
      <c r="BA156" s="21">
        <v>40.891592064209313</v>
      </c>
      <c r="BB156" s="21">
        <v>42.384103455731719</v>
      </c>
      <c r="BC156" s="21">
        <v>44.326465623783335</v>
      </c>
      <c r="BD156" s="21">
        <v>47.078671550054786</v>
      </c>
      <c r="BE156" s="21">
        <v>50</v>
      </c>
    </row>
    <row r="157" spans="6:57" x14ac:dyDescent="0.15">
      <c r="N157" s="33">
        <f>[1]节奏总纲!N157</f>
        <v>164</v>
      </c>
      <c r="O157" s="33">
        <v>154</v>
      </c>
      <c r="P157" s="33">
        <f>[1]节奏总纲!P157</f>
        <v>43236.635220206183</v>
      </c>
      <c r="Q157" s="33">
        <f>[1]节奏总纲!Q157</f>
        <v>36967.323113276288</v>
      </c>
      <c r="R157" s="33">
        <f>[1]节奏总纲!R157</f>
        <v>33940.758647861854</v>
      </c>
      <c r="S157" s="33">
        <f>[1]节奏总纲!S157</f>
        <v>34156.941823962887</v>
      </c>
      <c r="T157" s="33">
        <f>[1]节奏总纲!T157</f>
        <v>34156.941823962887</v>
      </c>
      <c r="U157" s="33"/>
      <c r="V157" s="33">
        <v>154</v>
      </c>
      <c r="W157" s="33">
        <f>[1]节奏总纲!W157</f>
        <v>2895.4950837199503</v>
      </c>
      <c r="X157" s="33">
        <f>[1]节奏总纲!X157</f>
        <v>2637.0128571265086</v>
      </c>
      <c r="Y157" s="33">
        <f>[1]节奏总纲!Y157</f>
        <v>6387.7599346417555</v>
      </c>
      <c r="Z157" s="33">
        <f>[1]节奏总纲!Z157</f>
        <v>9952.2577420711496</v>
      </c>
      <c r="AA157" s="33">
        <f>[1]节奏总纲!AA157</f>
        <v>9952.2577420711496</v>
      </c>
      <c r="AC157" s="21">
        <v>154</v>
      </c>
      <c r="AD157" s="21">
        <f>[1]节奏总纲!AD157</f>
        <v>72.754907466168333</v>
      </c>
      <c r="AE157" s="21">
        <f>[1]节奏总纲!AE157</f>
        <v>74.834475960078507</v>
      </c>
      <c r="AF157" s="21">
        <f>[1]节奏总纲!AF157</f>
        <v>77.697893604818219</v>
      </c>
      <c r="AG157" s="21">
        <f>[1]节奏总纲!AG157</f>
        <v>82.29607480035996</v>
      </c>
      <c r="AH157" s="21">
        <f>[1]节奏总纲!AH157</f>
        <v>91.626247108164094</v>
      </c>
      <c r="AZ157" s="21">
        <v>154</v>
      </c>
      <c r="BA157" s="21">
        <v>40.938211257109145</v>
      </c>
      <c r="BB157" s="21">
        <v>42.427494399390554</v>
      </c>
      <c r="BC157" s="21">
        <v>44.369558034289838</v>
      </c>
      <c r="BD157" s="21">
        <v>47.12024662670057</v>
      </c>
      <c r="BE157" s="21">
        <v>50</v>
      </c>
    </row>
    <row r="158" spans="6:57" x14ac:dyDescent="0.15">
      <c r="N158" s="33">
        <f>[1]节奏总纲!N158</f>
        <v>165</v>
      </c>
      <c r="O158" s="33">
        <v>155</v>
      </c>
      <c r="P158" s="33">
        <f>[1]节奏总纲!P158</f>
        <v>46339.950011841604</v>
      </c>
      <c r="Q158" s="33">
        <f>[1]节奏总纲!Q158</f>
        <v>44078.560451263736</v>
      </c>
      <c r="R158" s="33">
        <f>[1]节奏总纲!R158</f>
        <v>44402.940101346627</v>
      </c>
      <c r="S158" s="33">
        <f>[1]节奏总纲!S158</f>
        <v>44402.940101346627</v>
      </c>
      <c r="T158" s="33">
        <f>[1]节奏总纲!T158</f>
        <v>44541.959951382152</v>
      </c>
      <c r="U158" s="33"/>
      <c r="V158" s="33">
        <v>155</v>
      </c>
      <c r="W158" s="33">
        <f>[1]节奏总纲!W158</f>
        <v>3103.314791635421</v>
      </c>
      <c r="X158" s="33">
        <f>[1]节奏总纲!X158</f>
        <v>7111.237337987448</v>
      </c>
      <c r="Y158" s="33">
        <f>[1]节奏总纲!Y158</f>
        <v>10462.181453484773</v>
      </c>
      <c r="Z158" s="33">
        <f>[1]节奏总纲!Z158</f>
        <v>10245.99827738374</v>
      </c>
      <c r="AA158" s="33">
        <f>[1]节奏总纲!AA158</f>
        <v>10385.018127419266</v>
      </c>
      <c r="AC158" s="21">
        <v>155</v>
      </c>
      <c r="AD158" s="21">
        <f>[1]节奏总纲!AD158</f>
        <v>72.849666392872081</v>
      </c>
      <c r="AE158" s="21">
        <f>[1]节奏总纲!AE158</f>
        <v>74.92891383002295</v>
      </c>
      <c r="AF158" s="21">
        <f>[1]节奏总纲!AF158</f>
        <v>77.791342508119982</v>
      </c>
      <c r="AG158" s="21">
        <f>[1]节奏总纲!AG158</f>
        <v>82.388951233951914</v>
      </c>
      <c r="AH158" s="21">
        <f>[1]节奏总纲!AH158</f>
        <v>91.72877549092135</v>
      </c>
      <c r="AZ158" s="21">
        <v>155</v>
      </c>
      <c r="BA158" s="21">
        <v>40.984830450008985</v>
      </c>
      <c r="BB158" s="21">
        <v>42.470885343049382</v>
      </c>
      <c r="BC158" s="21">
        <v>44.412650444796341</v>
      </c>
      <c r="BD158" s="21">
        <v>47.161821703346362</v>
      </c>
      <c r="BE158" s="21">
        <v>50</v>
      </c>
    </row>
    <row r="159" spans="6:57" x14ac:dyDescent="0.15">
      <c r="N159" s="33">
        <f>[1]节奏总纲!N159</f>
        <v>166</v>
      </c>
      <c r="O159" s="33">
        <v>156</v>
      </c>
      <c r="P159" s="33">
        <f>[1]节奏总纲!P159</f>
        <v>49666.000451412707</v>
      </c>
      <c r="Q159" s="33">
        <f>[1]节奏总纲!Q159</f>
        <v>49666.000451412707</v>
      </c>
      <c r="R159" s="33">
        <f>[1]节奏总纲!R159</f>
        <v>50162.660455926831</v>
      </c>
      <c r="S159" s="33">
        <f>[1]节奏总纲!S159</f>
        <v>50162.660455926831</v>
      </c>
      <c r="T159" s="33">
        <f>[1]节奏总纲!T159</f>
        <v>50311.658457281068</v>
      </c>
      <c r="U159" s="33"/>
      <c r="V159" s="33">
        <v>156</v>
      </c>
      <c r="W159" s="33">
        <f>[1]节奏总纲!W159</f>
        <v>3326.0504395711032</v>
      </c>
      <c r="X159" s="33">
        <f>[1]节奏总纲!X159</f>
        <v>5587.4400001489703</v>
      </c>
      <c r="Y159" s="33">
        <f>[1]节奏总纲!Y159</f>
        <v>5759.720354580204</v>
      </c>
      <c r="Z159" s="33">
        <f>[1]节奏总纲!Z159</f>
        <v>5759.720354580204</v>
      </c>
      <c r="AA159" s="33">
        <f>[1]节奏总纲!AA159</f>
        <v>5769.6985058989158</v>
      </c>
      <c r="AC159" s="21">
        <v>156</v>
      </c>
      <c r="AD159" s="21">
        <f>[1]节奏总纲!AD159</f>
        <v>72.944425319575828</v>
      </c>
      <c r="AE159" s="21">
        <f>[1]节奏总纲!AE159</f>
        <v>75.022035011469043</v>
      </c>
      <c r="AF159" s="21">
        <f>[1]节奏总纲!AF159</f>
        <v>77.884791411421745</v>
      </c>
      <c r="AG159" s="21">
        <f>[1]节奏总纲!AG159</f>
        <v>82.481827667543882</v>
      </c>
      <c r="AH159" s="21">
        <f>[1]节奏总纲!AH159</f>
        <v>91.831303873678593</v>
      </c>
      <c r="AZ159" s="21">
        <v>156</v>
      </c>
      <c r="BA159" s="21">
        <v>41.027136894088379</v>
      </c>
      <c r="BB159" s="21">
        <v>42.51427628670821</v>
      </c>
      <c r="BC159" s="21">
        <v>44.455742855302844</v>
      </c>
      <c r="BD159" s="21">
        <v>47.203396779992147</v>
      </c>
      <c r="BE159" s="21">
        <v>50</v>
      </c>
    </row>
    <row r="160" spans="6:57" x14ac:dyDescent="0.15">
      <c r="N160" s="33">
        <f>[1]节奏总纲!N160</f>
        <v>167</v>
      </c>
      <c r="O160" s="33">
        <v>157</v>
      </c>
      <c r="P160" s="33">
        <f>[1]节奏总纲!P160</f>
        <v>53230.773047602182</v>
      </c>
      <c r="Q160" s="33">
        <f>[1]节奏总纲!Q160</f>
        <v>53230.773047602182</v>
      </c>
      <c r="R160" s="33">
        <f>[1]节奏总纲!R160</f>
        <v>53763.080778078205</v>
      </c>
      <c r="S160" s="33">
        <f>[1]节奏总纲!S160</f>
        <v>53763.080778078205</v>
      </c>
      <c r="T160" s="33">
        <f>[1]节奏总纲!T160</f>
        <v>53763.080778078205</v>
      </c>
      <c r="U160" s="33"/>
      <c r="V160" s="33">
        <v>157</v>
      </c>
      <c r="W160" s="33">
        <f>[1]节奏总纲!W160</f>
        <v>3564.7725961894757</v>
      </c>
      <c r="X160" s="33">
        <f>[1]节奏总纲!X160</f>
        <v>3564.7725961894757</v>
      </c>
      <c r="Y160" s="33">
        <f>[1]节奏总纲!Y160</f>
        <v>3600.4203221513744</v>
      </c>
      <c r="Z160" s="33">
        <f>[1]节奏总纲!Z160</f>
        <v>3600.4203221513744</v>
      </c>
      <c r="AA160" s="33">
        <f>[1]节奏总纲!AA160</f>
        <v>3451.4223207971372</v>
      </c>
      <c r="AC160" s="21">
        <v>157</v>
      </c>
      <c r="AD160" s="21">
        <f>[1]节奏总纲!AD160</f>
        <v>73.036560194527354</v>
      </c>
      <c r="AE160" s="21">
        <f>[1]节奏总纲!AE160</f>
        <v>75.111147990406067</v>
      </c>
      <c r="AF160" s="21">
        <f>[1]节奏总纲!AF160</f>
        <v>77.978240314723507</v>
      </c>
      <c r="AG160" s="21">
        <f>[1]节奏总纲!AG160</f>
        <v>82.574704101135836</v>
      </c>
      <c r="AH160" s="21">
        <f>[1]节奏总纲!AH160</f>
        <v>91.933832256435849</v>
      </c>
      <c r="AZ160" s="21">
        <v>157</v>
      </c>
      <c r="BA160" s="21">
        <v>41.067363109180121</v>
      </c>
      <c r="BB160" s="21">
        <v>42.557667230367045</v>
      </c>
      <c r="BC160" s="21">
        <v>44.498835265809355</v>
      </c>
      <c r="BD160" s="21">
        <v>47.244971856637939</v>
      </c>
      <c r="BE160" s="21">
        <v>50</v>
      </c>
    </row>
    <row r="161" spans="14:57" x14ac:dyDescent="0.15">
      <c r="N161" s="33">
        <f>[1]节奏总纲!N161</f>
        <v>168</v>
      </c>
      <c r="O161" s="33">
        <v>158</v>
      </c>
      <c r="P161" s="33">
        <f>[1]节奏总纲!P161</f>
        <v>57051.401716174769</v>
      </c>
      <c r="Q161" s="33">
        <f>[1]节奏总纲!Q161</f>
        <v>57051.401716174769</v>
      </c>
      <c r="R161" s="33">
        <f>[1]节奏总纲!R161</f>
        <v>57621.915733336515</v>
      </c>
      <c r="S161" s="33">
        <f>[1]节奏总纲!S161</f>
        <v>57621.915733336515</v>
      </c>
      <c r="T161" s="33">
        <f>[1]节奏总纲!T161</f>
        <v>57621.915733336515</v>
      </c>
      <c r="U161" s="33"/>
      <c r="V161" s="33">
        <v>158</v>
      </c>
      <c r="W161" s="33">
        <f>[1]节奏总纲!W161</f>
        <v>3820.6286685725863</v>
      </c>
      <c r="X161" s="33">
        <f>[1]节奏总纲!X161</f>
        <v>3820.6286685725863</v>
      </c>
      <c r="Y161" s="33">
        <f>[1]节奏总纲!Y161</f>
        <v>3858.8349552583095</v>
      </c>
      <c r="Z161" s="33">
        <f>[1]节奏总纲!Z161</f>
        <v>3858.8349552583095</v>
      </c>
      <c r="AA161" s="33">
        <f>[1]节奏总纲!AA161</f>
        <v>3858.8349552583095</v>
      </c>
      <c r="AC161" s="21">
        <v>158</v>
      </c>
      <c r="AD161" s="21">
        <f>[1]节奏总纲!AD161</f>
        <v>73.124973399384572</v>
      </c>
      <c r="AE161" s="21">
        <f>[1]节奏总纲!AE161</f>
        <v>75.200260969343077</v>
      </c>
      <c r="AF161" s="21">
        <f>[1]节奏总纲!AF161</f>
        <v>78.066694029528094</v>
      </c>
      <c r="AG161" s="21">
        <f>[1]节奏总纲!AG161</f>
        <v>82.667580534727804</v>
      </c>
      <c r="AH161" s="21">
        <f>[1]节奏总纲!AH161</f>
        <v>92.033129415212969</v>
      </c>
      <c r="AZ161" s="21">
        <v>158</v>
      </c>
      <c r="BA161" s="21">
        <v>41.107589324271871</v>
      </c>
      <c r="BB161" s="21">
        <v>42.601058174025873</v>
      </c>
      <c r="BC161" s="21">
        <v>44.541927676315858</v>
      </c>
      <c r="BD161" s="21">
        <v>47.286546933283724</v>
      </c>
      <c r="BE161" s="21">
        <v>50</v>
      </c>
    </row>
    <row r="162" spans="14:57" x14ac:dyDescent="0.15">
      <c r="N162" s="33">
        <f>[1]节奏总纲!N162</f>
        <v>169</v>
      </c>
      <c r="O162" s="33">
        <v>159</v>
      </c>
      <c r="P162" s="33">
        <f>[1]节奏总纲!P162</f>
        <v>61146.25013335624</v>
      </c>
      <c r="Q162" s="33">
        <f>[1]节奏总纲!Q162</f>
        <v>61146.25013335624</v>
      </c>
      <c r="R162" s="33">
        <f>[1]节奏总纲!R162</f>
        <v>61757.7126346898</v>
      </c>
      <c r="S162" s="33">
        <f>[1]节奏总纲!S162</f>
        <v>61757.7126346898</v>
      </c>
      <c r="T162" s="33">
        <f>[1]节奏总纲!T162</f>
        <v>61757.7126346898</v>
      </c>
      <c r="U162" s="33"/>
      <c r="V162" s="33">
        <v>159</v>
      </c>
      <c r="W162" s="33">
        <f>[1]节奏总纲!W162</f>
        <v>4094.8484171814707</v>
      </c>
      <c r="X162" s="33">
        <f>[1]节奏总纲!X162</f>
        <v>4094.8484171814707</v>
      </c>
      <c r="Y162" s="33">
        <f>[1]节奏总纲!Y162</f>
        <v>4135.7969013532856</v>
      </c>
      <c r="Z162" s="33">
        <f>[1]节奏总纲!Z162</f>
        <v>4135.7969013532856</v>
      </c>
      <c r="AA162" s="33">
        <f>[1]节奏总纲!AA162</f>
        <v>4135.7969013532856</v>
      </c>
      <c r="AC162" s="21">
        <v>159</v>
      </c>
      <c r="AD162" s="21">
        <f>[1]节奏总纲!AD162</f>
        <v>73.213386604241791</v>
      </c>
      <c r="AE162" s="21">
        <f>[1]节奏总纲!AE162</f>
        <v>75.289373948280101</v>
      </c>
      <c r="AF162" s="21">
        <f>[1]节奏总纲!AF162</f>
        <v>78.153631564737054</v>
      </c>
      <c r="AG162" s="21">
        <f>[1]节奏总纲!AG162</f>
        <v>82.760456968319758</v>
      </c>
      <c r="AH162" s="21">
        <f>[1]节奏总纲!AH162</f>
        <v>92.126546512350387</v>
      </c>
      <c r="AZ162" s="21">
        <v>159</v>
      </c>
      <c r="BA162" s="21">
        <v>41.147815539363613</v>
      </c>
      <c r="BB162" s="21">
        <v>42.644449117684701</v>
      </c>
      <c r="BC162" s="21">
        <v>44.585020086822361</v>
      </c>
      <c r="BD162" s="21">
        <v>47.328122009929508</v>
      </c>
      <c r="BE162" s="21">
        <v>50</v>
      </c>
    </row>
    <row r="163" spans="14:57" x14ac:dyDescent="0.15">
      <c r="N163" s="33">
        <f>[1]节奏总纲!N163</f>
        <v>170</v>
      </c>
      <c r="O163" s="33">
        <v>160</v>
      </c>
      <c r="P163" s="33">
        <f>[1]节奏总纲!P163</f>
        <v>65535</v>
      </c>
      <c r="Q163" s="33">
        <f>[1]节奏总纲!Q163</f>
        <v>65535</v>
      </c>
      <c r="R163" s="33">
        <f>[1]节奏总纲!R163</f>
        <v>66190.350000000006</v>
      </c>
      <c r="S163" s="33">
        <f>[1]节奏总纲!S163</f>
        <v>66190.350000000006</v>
      </c>
      <c r="T163" s="33">
        <f>[1]节奏总纲!T163</f>
        <v>66190.350000000006</v>
      </c>
      <c r="U163" s="33"/>
      <c r="V163" s="33">
        <v>160</v>
      </c>
      <c r="W163" s="33">
        <f>[1]节奏总纲!W163</f>
        <v>4388.7498666437605</v>
      </c>
      <c r="X163" s="33">
        <f>[1]节奏总纲!X163</f>
        <v>4388.7498666437605</v>
      </c>
      <c r="Y163" s="33">
        <f>[1]节奏总纲!Y163</f>
        <v>4432.6373653102055</v>
      </c>
      <c r="Z163" s="33">
        <f>[1]节奏总纲!Z163</f>
        <v>4432.6373653102055</v>
      </c>
      <c r="AA163" s="33">
        <f>[1]节奏总纲!AA163</f>
        <v>4432.6373653102055</v>
      </c>
      <c r="AC163" s="21">
        <v>160</v>
      </c>
      <c r="AD163" s="21">
        <f>[1]节奏总纲!AD163</f>
        <v>73.301799809099009</v>
      </c>
      <c r="AE163" s="21">
        <f>[1]节奏总纲!AE163</f>
        <v>75.378486927217125</v>
      </c>
      <c r="AF163" s="21">
        <f>[1]节奏总纲!AF163</f>
        <v>78.240569099946029</v>
      </c>
      <c r="AG163" s="21">
        <f>[1]节奏总纲!AG163</f>
        <v>82.853333401911726</v>
      </c>
      <c r="AH163" s="21">
        <f>[1]节奏总纲!AH163</f>
        <v>92.219963609487792</v>
      </c>
      <c r="AZ163" s="21">
        <v>160</v>
      </c>
      <c r="BA163" s="21">
        <v>41.188041754455355</v>
      </c>
      <c r="BB163" s="21">
        <v>42.687840061343536</v>
      </c>
      <c r="BC163" s="21">
        <v>44.628112497328864</v>
      </c>
      <c r="BD163" s="21">
        <v>47.3696970865753</v>
      </c>
      <c r="BE163" s="21">
        <v>50</v>
      </c>
    </row>
    <row r="164" spans="14:57" x14ac:dyDescent="0.15">
      <c r="N164" s="33"/>
      <c r="O164" s="33"/>
      <c r="P164" s="33"/>
      <c r="Q164" s="33"/>
      <c r="R164" s="33"/>
      <c r="S164" s="33"/>
      <c r="T164" s="33"/>
      <c r="U164" s="33"/>
      <c r="V164" s="33"/>
      <c r="W164" s="33"/>
      <c r="X164" s="33"/>
      <c r="Y164" s="33"/>
      <c r="Z164" s="33"/>
      <c r="AA164" s="33"/>
      <c r="AB164" s="33"/>
      <c r="AC164" s="21">
        <v>161</v>
      </c>
      <c r="AD164" s="21">
        <f>[1]节奏总纲!AD164</f>
        <v>73.390213013956213</v>
      </c>
      <c r="AE164" s="21">
        <f>[1]节奏总纲!AE164</f>
        <v>75.467599906154135</v>
      </c>
      <c r="AF164" s="21">
        <f>[1]节奏总纲!AF164</f>
        <v>78.32750663515499</v>
      </c>
      <c r="AG164" s="21">
        <f>[1]节奏总纲!AG164</f>
        <v>82.94620983550368</v>
      </c>
      <c r="AH164" s="21">
        <f>[1]节奏总纲!AH164</f>
        <v>92.313380706625196</v>
      </c>
      <c r="AZ164" s="21">
        <v>161</v>
      </c>
      <c r="BA164" s="21">
        <v>41.228267969547105</v>
      </c>
      <c r="BB164" s="21">
        <v>42.731231005002364</v>
      </c>
      <c r="BC164" s="21">
        <v>44.671204907835367</v>
      </c>
      <c r="BD164" s="21">
        <v>47.411272163221085</v>
      </c>
      <c r="BE164" s="21">
        <v>50</v>
      </c>
    </row>
    <row r="165" spans="14:57" x14ac:dyDescent="0.15">
      <c r="N165" s="33"/>
      <c r="O165" s="33"/>
      <c r="P165" s="33"/>
      <c r="Q165" s="33"/>
      <c r="R165" s="33"/>
      <c r="S165" s="33"/>
      <c r="T165" s="33"/>
      <c r="U165" s="33"/>
      <c r="V165" s="33"/>
      <c r="W165" s="33"/>
      <c r="X165" s="33"/>
      <c r="Y165" s="33"/>
      <c r="Z165" s="33"/>
      <c r="AA165" s="33"/>
      <c r="AB165" s="33"/>
      <c r="AC165" s="21">
        <v>162</v>
      </c>
      <c r="AD165" s="21">
        <f>[1]节奏总纲!AD165</f>
        <v>73.478626218813432</v>
      </c>
      <c r="AE165" s="21">
        <f>[1]节奏总纲!AE165</f>
        <v>75.556712885091159</v>
      </c>
      <c r="AF165" s="21">
        <f>[1]节奏总纲!AF165</f>
        <v>78.414444170363964</v>
      </c>
      <c r="AG165" s="21">
        <f>[1]节奏总纲!AG165</f>
        <v>83.036921590135321</v>
      </c>
      <c r="AH165" s="21">
        <f>[1]节奏总纲!AH165</f>
        <v>92.406797803762601</v>
      </c>
      <c r="AZ165" s="21">
        <v>162</v>
      </c>
      <c r="BA165" s="21">
        <v>41.268494184638847</v>
      </c>
      <c r="BB165" s="21">
        <v>42.774621948661192</v>
      </c>
      <c r="BC165" s="21">
        <v>44.714297318341877</v>
      </c>
      <c r="BD165" s="21">
        <v>47.452847239866877</v>
      </c>
      <c r="BE165" s="21">
        <v>50</v>
      </c>
    </row>
    <row r="166" spans="14:57" x14ac:dyDescent="0.15">
      <c r="N166" s="33"/>
      <c r="O166" s="33"/>
      <c r="P166" s="33"/>
      <c r="Q166" s="33"/>
      <c r="R166" s="33"/>
      <c r="S166" s="33"/>
      <c r="T166" s="33"/>
      <c r="U166" s="33"/>
      <c r="V166" s="33"/>
      <c r="W166" s="33"/>
      <c r="X166" s="33"/>
      <c r="Y166" s="33"/>
      <c r="Z166" s="33"/>
      <c r="AA166" s="33"/>
      <c r="AB166" s="33"/>
      <c r="AC166" s="21">
        <v>163</v>
      </c>
      <c r="AD166" s="21">
        <f>[1]节奏总纲!AD166</f>
        <v>73.56703942367065</v>
      </c>
      <c r="AE166" s="21">
        <f>[1]节奏总纲!AE166</f>
        <v>75.645825864028183</v>
      </c>
      <c r="AF166" s="21">
        <f>[1]节奏总纲!AF166</f>
        <v>78.501381705572925</v>
      </c>
      <c r="AG166" s="21">
        <f>[1]节奏总纲!AG166</f>
        <v>83.124654333465756</v>
      </c>
      <c r="AH166" s="21">
        <f>[1]节奏总纲!AH166</f>
        <v>92.500214900900005</v>
      </c>
      <c r="AZ166" s="21">
        <v>163</v>
      </c>
      <c r="BA166" s="21">
        <v>41.308720399730589</v>
      </c>
      <c r="BB166" s="21">
        <v>42.818012892320027</v>
      </c>
      <c r="BC166" s="21">
        <v>44.757389728848381</v>
      </c>
      <c r="BD166" s="21">
        <v>47.494422316512662</v>
      </c>
      <c r="BE166" s="21">
        <v>50</v>
      </c>
    </row>
    <row r="167" spans="14:57" x14ac:dyDescent="0.15">
      <c r="N167" s="33"/>
      <c r="O167" s="33"/>
      <c r="P167" s="33"/>
      <c r="Q167" s="33"/>
      <c r="R167" s="33"/>
      <c r="S167" s="33"/>
      <c r="T167" s="33"/>
      <c r="U167" s="33"/>
      <c r="V167" s="33"/>
      <c r="W167" s="33"/>
      <c r="X167" s="33"/>
      <c r="Y167" s="33"/>
      <c r="Z167" s="33"/>
      <c r="AA167" s="33"/>
      <c r="AB167" s="33"/>
      <c r="AC167" s="21">
        <v>164</v>
      </c>
      <c r="AD167" s="21">
        <f>[1]节奏总纲!AD167</f>
        <v>73.655452628527868</v>
      </c>
      <c r="AE167" s="21">
        <f>[1]节奏总纲!AE167</f>
        <v>75.734938842965192</v>
      </c>
      <c r="AF167" s="21">
        <f>[1]节奏总纲!AF167</f>
        <v>78.5883192407819</v>
      </c>
      <c r="AG167" s="21">
        <f>[1]节奏总纲!AG167</f>
        <v>83.21238707679619</v>
      </c>
      <c r="AH167" s="21">
        <f>[1]节奏总纲!AH167</f>
        <v>92.593631998037409</v>
      </c>
      <c r="AZ167" s="21">
        <v>164</v>
      </c>
      <c r="BA167" s="21">
        <v>41.348946614822331</v>
      </c>
      <c r="BB167" s="21">
        <v>42.861403835978855</v>
      </c>
      <c r="BC167" s="21">
        <v>44.800482139354884</v>
      </c>
      <c r="BD167" s="21">
        <v>47.535997393158453</v>
      </c>
      <c r="BE167" s="21">
        <v>50</v>
      </c>
    </row>
    <row r="168" spans="14:57" x14ac:dyDescent="0.15">
      <c r="N168" s="33"/>
      <c r="O168" s="33"/>
      <c r="P168" s="33"/>
      <c r="Q168" s="33"/>
      <c r="R168" s="33"/>
      <c r="S168" s="33"/>
      <c r="T168" s="33"/>
      <c r="U168" s="33"/>
      <c r="V168" s="33"/>
      <c r="W168" s="33"/>
      <c r="X168" s="33"/>
      <c r="Y168" s="33"/>
      <c r="Z168" s="33"/>
      <c r="AA168" s="33"/>
      <c r="AB168" s="33"/>
      <c r="AC168" s="21">
        <v>165</v>
      </c>
      <c r="AD168" s="21">
        <f>[1]节奏总纲!AD168</f>
        <v>73.743865833385087</v>
      </c>
      <c r="AE168" s="21">
        <f>[1]节奏总纲!AE168</f>
        <v>75.824051821902216</v>
      </c>
      <c r="AF168" s="21">
        <f>[1]节奏总纲!AF168</f>
        <v>78.67525677599086</v>
      </c>
      <c r="AG168" s="21">
        <f>[1]节奏总纲!AG168</f>
        <v>83.300119820126625</v>
      </c>
      <c r="AH168" s="21">
        <f>[1]节奏总纲!AH168</f>
        <v>92.687049095174814</v>
      </c>
      <c r="AZ168" s="21">
        <v>165</v>
      </c>
      <c r="BA168" s="21">
        <v>41.389172829914081</v>
      </c>
      <c r="BB168" s="21">
        <v>42.904794779637683</v>
      </c>
      <c r="BC168" s="21">
        <v>44.843574549861387</v>
      </c>
      <c r="BD168" s="21">
        <v>47.577572469804238</v>
      </c>
      <c r="BE168" s="21">
        <v>50</v>
      </c>
    </row>
    <row r="169" spans="14:57" x14ac:dyDescent="0.15">
      <c r="N169" s="33"/>
      <c r="O169" s="33"/>
      <c r="P169" s="33"/>
      <c r="Q169" s="33"/>
      <c r="R169" s="33"/>
      <c r="S169" s="33"/>
      <c r="T169" s="33"/>
      <c r="U169" s="33"/>
      <c r="V169" s="33"/>
      <c r="W169" s="33"/>
      <c r="X169" s="33"/>
      <c r="Y169" s="33"/>
      <c r="Z169" s="33"/>
      <c r="AA169" s="33"/>
      <c r="AB169" s="33"/>
      <c r="AC169" s="21">
        <v>166</v>
      </c>
      <c r="AD169" s="21">
        <f>[1]节奏总纲!AD169</f>
        <v>73.832279038242305</v>
      </c>
      <c r="AE169" s="21">
        <f>[1]节奏总纲!AE169</f>
        <v>75.91316480083924</v>
      </c>
      <c r="AF169" s="21">
        <f>[1]节奏总纲!AF169</f>
        <v>78.762194311199835</v>
      </c>
      <c r="AG169" s="21">
        <f>[1]节奏总纲!AG169</f>
        <v>83.387852563457059</v>
      </c>
      <c r="AH169" s="21">
        <f>[1]节奏总纲!AH169</f>
        <v>92.780466192312218</v>
      </c>
      <c r="AZ169" s="21">
        <v>166</v>
      </c>
      <c r="BA169" s="21">
        <v>41.429399045005823</v>
      </c>
      <c r="BB169" s="21">
        <v>42.948185723296518</v>
      </c>
      <c r="BC169" s="21">
        <v>44.88666696036789</v>
      </c>
      <c r="BD169" s="21">
        <v>47.619147546450023</v>
      </c>
      <c r="BE169" s="21">
        <v>50</v>
      </c>
    </row>
    <row r="170" spans="14:57" x14ac:dyDescent="0.15">
      <c r="N170" s="33"/>
      <c r="O170" s="33"/>
      <c r="P170" s="33"/>
      <c r="Q170" s="33"/>
      <c r="R170" s="33"/>
      <c r="S170" s="33"/>
      <c r="T170" s="33"/>
      <c r="U170" s="33"/>
      <c r="V170" s="33"/>
      <c r="W170" s="33"/>
      <c r="X170" s="33"/>
      <c r="Y170" s="33"/>
      <c r="Z170" s="33"/>
      <c r="AA170" s="33"/>
      <c r="AB170" s="33"/>
      <c r="AC170" s="21">
        <v>167</v>
      </c>
      <c r="AD170" s="21">
        <f>[1]节奏总纲!AD170</f>
        <v>73.920692243099523</v>
      </c>
      <c r="AE170" s="21">
        <f>[1]节奏总纲!AE170</f>
        <v>76.002103770254962</v>
      </c>
      <c r="AF170" s="21">
        <f>[1]节奏总纲!AF170</f>
        <v>78.849131846408795</v>
      </c>
      <c r="AG170" s="21">
        <f>[1]节奏总纲!AG170</f>
        <v>83.475585306787494</v>
      </c>
      <c r="AH170" s="21">
        <f>[1]节奏总纲!AH170</f>
        <v>92.873883289449623</v>
      </c>
      <c r="AZ170" s="21">
        <v>167</v>
      </c>
      <c r="BA170" s="21">
        <v>41.469625260097565</v>
      </c>
      <c r="BB170" s="21">
        <v>42.991576666955346</v>
      </c>
      <c r="BC170" s="21">
        <v>44.9297593708744</v>
      </c>
      <c r="BD170" s="21">
        <v>47.660722623095815</v>
      </c>
      <c r="BE170" s="21">
        <v>50</v>
      </c>
    </row>
    <row r="171" spans="14:57" x14ac:dyDescent="0.15">
      <c r="N171" s="33"/>
      <c r="O171" s="33"/>
      <c r="P171" s="33"/>
      <c r="Q171" s="33"/>
      <c r="R171" s="33"/>
      <c r="S171" s="33"/>
      <c r="T171" s="33"/>
      <c r="U171" s="33"/>
      <c r="V171" s="33"/>
      <c r="W171" s="33"/>
      <c r="X171" s="33"/>
      <c r="Y171" s="33"/>
      <c r="Z171" s="33"/>
      <c r="AA171" s="33"/>
      <c r="AB171" s="33"/>
      <c r="AC171" s="21">
        <v>168</v>
      </c>
      <c r="AD171" s="21">
        <f>[1]节奏总纲!AD171</f>
        <v>74.008495683346354</v>
      </c>
      <c r="AE171" s="21">
        <f>[1]节奏总纲!AE171</f>
        <v>76.084409020469636</v>
      </c>
      <c r="AF171" s="21">
        <f>[1]节奏总纲!AF171</f>
        <v>78.93606938161777</v>
      </c>
      <c r="AG171" s="21">
        <f>[1]节奏总纲!AG171</f>
        <v>83.563318050117928</v>
      </c>
      <c r="AH171" s="21">
        <f>[1]节奏总纲!AH171</f>
        <v>92.967300386587027</v>
      </c>
      <c r="AZ171" s="21">
        <v>168</v>
      </c>
      <c r="BA171" s="21">
        <v>41.509851475189308</v>
      </c>
      <c r="BB171" s="21">
        <v>43.030177309109042</v>
      </c>
      <c r="BC171" s="21">
        <v>44.972851781380903</v>
      </c>
      <c r="BD171" s="21">
        <v>47.7022976997416</v>
      </c>
      <c r="BE171" s="21">
        <v>50</v>
      </c>
    </row>
    <row r="172" spans="14:57" x14ac:dyDescent="0.15">
      <c r="N172" s="33"/>
      <c r="O172" s="33"/>
      <c r="P172" s="33"/>
      <c r="Q172" s="33"/>
      <c r="R172" s="33"/>
      <c r="S172" s="33"/>
      <c r="T172" s="33"/>
      <c r="U172" s="33"/>
      <c r="V172" s="33"/>
      <c r="W172" s="33"/>
      <c r="X172" s="33"/>
      <c r="Y172" s="33"/>
      <c r="Z172" s="33"/>
      <c r="AA172" s="33"/>
      <c r="AB172" s="33"/>
      <c r="AC172" s="21">
        <v>169</v>
      </c>
      <c r="AD172" s="21">
        <f>[1]节奏总纲!AD172</f>
        <v>74.090988120365651</v>
      </c>
      <c r="AE172" s="21">
        <f>[1]节奏总纲!AE172</f>
        <v>76.166714270684309</v>
      </c>
      <c r="AF172" s="21">
        <f>[1]节奏总纲!AF172</f>
        <v>79.022812309215297</v>
      </c>
      <c r="AG172" s="21">
        <f>[1]节奏总纲!AG172</f>
        <v>83.651050793448363</v>
      </c>
      <c r="AH172" s="21">
        <f>[1]节奏总纲!AH172</f>
        <v>93.057555567360481</v>
      </c>
      <c r="AZ172" s="21">
        <v>169</v>
      </c>
      <c r="BA172" s="21">
        <v>41.550077690281057</v>
      </c>
      <c r="BB172" s="21">
        <v>43.067624017543686</v>
      </c>
      <c r="BC172" s="21">
        <v>45.013762077986961</v>
      </c>
      <c r="BD172" s="21">
        <v>47.743872776387391</v>
      </c>
      <c r="BE172" s="21">
        <v>50</v>
      </c>
    </row>
    <row r="173" spans="14:57" x14ac:dyDescent="0.15">
      <c r="N173" s="33"/>
      <c r="O173" s="33"/>
      <c r="P173" s="33"/>
      <c r="Q173" s="33"/>
      <c r="R173" s="33"/>
      <c r="S173" s="33"/>
      <c r="T173" s="33"/>
      <c r="U173" s="33"/>
      <c r="V173" s="33"/>
      <c r="W173" s="33"/>
      <c r="X173" s="33"/>
      <c r="Y173" s="33"/>
      <c r="Z173" s="33"/>
      <c r="AA173" s="33"/>
      <c r="AB173" s="33"/>
      <c r="AC173" s="21">
        <v>170</v>
      </c>
      <c r="AD173" s="21">
        <f>[1]节奏总纲!AD173</f>
        <v>74.173480557384934</v>
      </c>
      <c r="AE173" s="21">
        <f>[1]节奏总纲!AE173</f>
        <v>76.249019520898997</v>
      </c>
      <c r="AF173" s="21">
        <f>[1]节奏总纲!AF173</f>
        <v>79.109014469658547</v>
      </c>
      <c r="AG173" s="21">
        <f>[1]节奏总纲!AG173</f>
        <v>83.738783536778797</v>
      </c>
      <c r="AH173" s="21">
        <f>[1]节奏总纲!AH173</f>
        <v>93.146107887007233</v>
      </c>
      <c r="AZ173" s="21">
        <v>170</v>
      </c>
      <c r="BA173" s="21">
        <v>41.590303905372799</v>
      </c>
      <c r="BB173" s="21">
        <v>43.105070725978337</v>
      </c>
      <c r="BC173" s="21">
        <v>45.050956883357138</v>
      </c>
      <c r="BD173" s="21">
        <v>47.785447853033176</v>
      </c>
      <c r="BE173" s="21">
        <v>50</v>
      </c>
    </row>
    <row r="174" spans="14:57" x14ac:dyDescent="0.15">
      <c r="N174" s="33"/>
      <c r="O174" s="33"/>
      <c r="P174" s="33"/>
      <c r="Q174" s="33"/>
      <c r="R174" s="33"/>
      <c r="S174" s="33"/>
      <c r="T174" s="33"/>
      <c r="U174" s="33"/>
      <c r="V174" s="33"/>
      <c r="W174" s="33"/>
      <c r="X174" s="33"/>
      <c r="Y174" s="33"/>
      <c r="Z174" s="33"/>
      <c r="AA174" s="33"/>
      <c r="AB174" s="33"/>
      <c r="AC174" s="21">
        <v>171</v>
      </c>
      <c r="AD174" s="21">
        <f>[1]节奏总纲!AD174</f>
        <v>74.255972994404218</v>
      </c>
      <c r="AE174" s="21">
        <f>[1]节奏总纲!AE174</f>
        <v>76.331324771113671</v>
      </c>
      <c r="AF174" s="21">
        <f>[1]节奏总纲!AF174</f>
        <v>79.195216630101797</v>
      </c>
      <c r="AG174" s="21">
        <f>[1]节奏总纲!AG174</f>
        <v>83.826516280109232</v>
      </c>
      <c r="AH174" s="21">
        <f>[1]节奏总纲!AH174</f>
        <v>93.23466020665397</v>
      </c>
      <c r="AZ174" s="21">
        <v>171</v>
      </c>
      <c r="BA174" s="21">
        <v>41.630530120464542</v>
      </c>
      <c r="BB174" s="21">
        <v>43.14251743441298</v>
      </c>
      <c r="BC174" s="21">
        <v>45.088151688727308</v>
      </c>
      <c r="BD174" s="21">
        <v>47.827022929678968</v>
      </c>
      <c r="BE174" s="21">
        <v>50</v>
      </c>
    </row>
    <row r="175" spans="14:57" x14ac:dyDescent="0.15">
      <c r="N175" s="33"/>
      <c r="O175" s="33"/>
      <c r="P175" s="33"/>
      <c r="Q175" s="33"/>
      <c r="R175" s="33"/>
      <c r="S175" s="33"/>
      <c r="T175" s="33"/>
      <c r="U175" s="33"/>
      <c r="V175" s="33"/>
      <c r="W175" s="33"/>
      <c r="X175" s="33"/>
      <c r="Y175" s="33"/>
      <c r="Z175" s="33"/>
      <c r="AA175" s="33"/>
      <c r="AB175" s="33"/>
      <c r="AC175" s="21">
        <v>172</v>
      </c>
      <c r="AD175" s="21">
        <f>[1]节奏总纲!AD175</f>
        <v>74.338465431423501</v>
      </c>
      <c r="AE175" s="21">
        <f>[1]节奏总纲!AE175</f>
        <v>76.413630021328345</v>
      </c>
      <c r="AF175" s="21">
        <f>[1]节奏总纲!AF175</f>
        <v>79.281418790545047</v>
      </c>
      <c r="AG175" s="21">
        <f>[1]节奏总纲!AG175</f>
        <v>83.914249023439666</v>
      </c>
      <c r="AH175" s="21">
        <f>[1]节奏总纲!AH175</f>
        <v>93.323212526300722</v>
      </c>
      <c r="AZ175" s="21">
        <v>172</v>
      </c>
      <c r="BA175" s="21">
        <v>41.670756335556291</v>
      </c>
      <c r="BB175" s="21">
        <v>43.179964142847631</v>
      </c>
      <c r="BC175" s="21">
        <v>45.125346494097485</v>
      </c>
      <c r="BD175" s="21">
        <v>47.868598006324753</v>
      </c>
      <c r="BE175" s="21">
        <v>50</v>
      </c>
    </row>
    <row r="176" spans="14:57" x14ac:dyDescent="0.15">
      <c r="N176" s="33"/>
      <c r="O176" s="33"/>
      <c r="P176" s="33"/>
      <c r="Q176" s="33"/>
      <c r="R176" s="33"/>
      <c r="S176" s="33"/>
      <c r="T176" s="33"/>
      <c r="U176" s="33"/>
      <c r="V176" s="33"/>
      <c r="W176" s="33"/>
      <c r="X176" s="33"/>
      <c r="Y176" s="33"/>
      <c r="Z176" s="33"/>
      <c r="AA176" s="33"/>
      <c r="AB176" s="33"/>
      <c r="AC176" s="21">
        <v>173</v>
      </c>
      <c r="AD176" s="21">
        <f>[1]节奏总纲!AD176</f>
        <v>74.420957868442784</v>
      </c>
      <c r="AE176" s="21">
        <f>[1]节奏总纲!AE176</f>
        <v>76.495935271543019</v>
      </c>
      <c r="AF176" s="21">
        <f>[1]节奏总纲!AF176</f>
        <v>79.367620950988297</v>
      </c>
      <c r="AG176" s="21">
        <f>[1]节奏总纲!AG176</f>
        <v>84.00179325525086</v>
      </c>
      <c r="AH176" s="21">
        <f>[1]节奏总纲!AH176</f>
        <v>93.411764845947459</v>
      </c>
      <c r="AZ176" s="21">
        <v>173</v>
      </c>
      <c r="BA176" s="21">
        <v>41.710982550648033</v>
      </c>
      <c r="BB176" s="21">
        <v>43.217410851282274</v>
      </c>
      <c r="BC176" s="21">
        <v>45.162541299467655</v>
      </c>
      <c r="BD176" s="21">
        <v>47.910173082970537</v>
      </c>
      <c r="BE176" s="21">
        <v>50</v>
      </c>
    </row>
    <row r="177" spans="14:57" x14ac:dyDescent="0.15">
      <c r="N177" s="33"/>
      <c r="O177" s="33"/>
      <c r="P177" s="33"/>
      <c r="Q177" s="33"/>
      <c r="R177" s="33"/>
      <c r="S177" s="33"/>
      <c r="T177" s="33"/>
      <c r="U177" s="33"/>
      <c r="V177" s="33"/>
      <c r="W177" s="33"/>
      <c r="X177" s="33"/>
      <c r="Y177" s="33"/>
      <c r="Z177" s="33"/>
      <c r="AA177" s="33"/>
      <c r="AB177" s="33"/>
      <c r="AC177" s="21">
        <v>174</v>
      </c>
      <c r="AD177" s="21">
        <f>[1]节奏总纲!AD177</f>
        <v>74.503450305462081</v>
      </c>
      <c r="AE177" s="21">
        <f>[1]节奏总纲!AE177</f>
        <v>76.578240521757706</v>
      </c>
      <c r="AF177" s="21">
        <f>[1]节奏总纲!AF177</f>
        <v>79.453823111431561</v>
      </c>
      <c r="AG177" s="21">
        <f>[1]节奏总纲!AG177</f>
        <v>84.08118060043364</v>
      </c>
      <c r="AH177" s="21">
        <f>[1]节奏总纲!AH177</f>
        <v>93.500317165594211</v>
      </c>
      <c r="AZ177" s="21">
        <v>174</v>
      </c>
      <c r="BA177" s="21">
        <v>41.751208765739776</v>
      </c>
      <c r="BB177" s="21">
        <v>43.254857559716925</v>
      </c>
      <c r="BC177" s="21">
        <v>45.199736104837832</v>
      </c>
      <c r="BD177" s="21">
        <v>47.951748159616329</v>
      </c>
      <c r="BE177" s="21">
        <v>50</v>
      </c>
    </row>
    <row r="178" spans="14:57" x14ac:dyDescent="0.15">
      <c r="N178" s="33"/>
      <c r="O178" s="33"/>
      <c r="P178" s="33"/>
      <c r="Q178" s="33"/>
      <c r="R178" s="33"/>
      <c r="S178" s="33"/>
      <c r="T178" s="33"/>
      <c r="U178" s="33"/>
      <c r="V178" s="33"/>
      <c r="W178" s="33"/>
      <c r="X178" s="33"/>
      <c r="Y178" s="33"/>
      <c r="Z178" s="33"/>
      <c r="AA178" s="33"/>
      <c r="AB178" s="33"/>
      <c r="AC178" s="21">
        <v>175</v>
      </c>
      <c r="AD178" s="21">
        <f>[1]节奏总纲!AD178</f>
        <v>74.585942742481365</v>
      </c>
      <c r="AE178" s="21">
        <f>[1]节奏总纲!AE178</f>
        <v>76.66054577197238</v>
      </c>
      <c r="AF178" s="21">
        <f>[1]节奏总纲!AF178</f>
        <v>79.540025271874811</v>
      </c>
      <c r="AG178" s="21">
        <f>[1]节奏总纲!AG178</f>
        <v>84.160567945616407</v>
      </c>
      <c r="AH178" s="21">
        <f>[1]节奏总纲!AH178</f>
        <v>93.588869485240949</v>
      </c>
      <c r="AZ178" s="21">
        <v>175</v>
      </c>
      <c r="BA178" s="21">
        <v>41.791434980831518</v>
      </c>
      <c r="BB178" s="21">
        <v>43.292304268151575</v>
      </c>
      <c r="BC178" s="21">
        <v>45.236930910208002</v>
      </c>
      <c r="BD178" s="21">
        <v>47.993323236262114</v>
      </c>
      <c r="BE178" s="21">
        <v>50</v>
      </c>
    </row>
    <row r="179" spans="14:57" x14ac:dyDescent="0.15">
      <c r="N179" s="33"/>
      <c r="O179" s="33"/>
      <c r="P179" s="33"/>
      <c r="Q179" s="33"/>
      <c r="R179" s="33"/>
      <c r="S179" s="33"/>
      <c r="T179" s="33"/>
      <c r="U179" s="33"/>
      <c r="V179" s="33"/>
      <c r="W179" s="33"/>
      <c r="X179" s="33"/>
      <c r="Y179" s="33"/>
      <c r="Z179" s="33"/>
      <c r="AA179" s="33"/>
      <c r="AB179" s="33"/>
      <c r="AC179" s="21">
        <v>176</v>
      </c>
      <c r="AD179" s="21">
        <f>[1]节奏总纲!AD179</f>
        <v>74.668435179500648</v>
      </c>
      <c r="AE179" s="21">
        <f>[1]节奏总纲!AE179</f>
        <v>76.742851022187054</v>
      </c>
      <c r="AF179" s="21">
        <f>[1]节奏总纲!AF179</f>
        <v>79.626227432318061</v>
      </c>
      <c r="AG179" s="21">
        <f>[1]节奏总纲!AG179</f>
        <v>84.239955290799188</v>
      </c>
      <c r="AH179" s="21">
        <f>[1]节奏总纲!AH179</f>
        <v>93.6774218048877</v>
      </c>
      <c r="AZ179" s="21">
        <v>176</v>
      </c>
      <c r="BA179" s="21">
        <v>41.831661195923267</v>
      </c>
      <c r="BB179" s="21">
        <v>43.329750976586219</v>
      </c>
      <c r="BC179" s="21">
        <v>45.274125715578172</v>
      </c>
      <c r="BD179" s="21">
        <v>48.030128751164234</v>
      </c>
      <c r="BE179" s="21">
        <v>50</v>
      </c>
    </row>
    <row r="180" spans="14:57" x14ac:dyDescent="0.15">
      <c r="N180" s="33"/>
      <c r="O180" s="33"/>
      <c r="P180" s="33"/>
      <c r="Q180" s="33"/>
      <c r="R180" s="33"/>
      <c r="S180" s="33"/>
      <c r="T180" s="33"/>
      <c r="U180" s="33"/>
      <c r="V180" s="33"/>
      <c r="W180" s="33"/>
      <c r="X180" s="33"/>
      <c r="Y180" s="33"/>
      <c r="Z180" s="33"/>
      <c r="AA180" s="33"/>
      <c r="AB180" s="33"/>
      <c r="AC180" s="21">
        <v>177</v>
      </c>
      <c r="AD180" s="21">
        <f>[1]节奏总纲!AD180</f>
        <v>74.750927616519931</v>
      </c>
      <c r="AE180" s="21">
        <f>[1]节奏总纲!AE180</f>
        <v>76.825156272401728</v>
      </c>
      <c r="AF180" s="21">
        <f>[1]节奏总纲!AF180</f>
        <v>79.71242959276131</v>
      </c>
      <c r="AG180" s="21">
        <f>[1]节奏总纲!AG180</f>
        <v>84.319342635981968</v>
      </c>
      <c r="AH180" s="21">
        <f>[1]节奏总纲!AH180</f>
        <v>93.765974124534438</v>
      </c>
      <c r="AZ180" s="21">
        <v>177</v>
      </c>
      <c r="BA180" s="21">
        <v>41.87188741101501</v>
      </c>
      <c r="BB180" s="21">
        <v>43.367197685020869</v>
      </c>
      <c r="BC180" s="21">
        <v>45.31132052094835</v>
      </c>
      <c r="BD180" s="21">
        <v>48.066021750983474</v>
      </c>
      <c r="BE180" s="21">
        <v>50</v>
      </c>
    </row>
    <row r="181" spans="14:57" x14ac:dyDescent="0.15">
      <c r="N181" s="33"/>
      <c r="O181" s="33"/>
      <c r="P181" s="33"/>
      <c r="Q181" s="33"/>
      <c r="R181" s="33"/>
      <c r="S181" s="33"/>
      <c r="T181" s="33"/>
      <c r="U181" s="33"/>
      <c r="V181" s="33"/>
      <c r="W181" s="33"/>
      <c r="X181" s="33"/>
      <c r="Y181" s="33"/>
      <c r="Z181" s="33"/>
      <c r="AA181" s="33"/>
      <c r="AB181" s="33"/>
      <c r="AC181" s="21">
        <v>178</v>
      </c>
      <c r="AD181" s="21">
        <f>[1]节奏总纲!AD181</f>
        <v>74.833420053539214</v>
      </c>
      <c r="AE181" s="21">
        <f>[1]节奏总纲!AE181</f>
        <v>76.907461522616416</v>
      </c>
      <c r="AF181" s="21">
        <f>[1]节奏总纲!AF181</f>
        <v>79.79863175320456</v>
      </c>
      <c r="AG181" s="21">
        <f>[1]节奏总纲!AG181</f>
        <v>84.398729981164735</v>
      </c>
      <c r="AH181" s="21">
        <f>[1]节奏总纲!AH181</f>
        <v>93.85452644418119</v>
      </c>
      <c r="AZ181" s="21">
        <v>178</v>
      </c>
      <c r="BA181" s="21">
        <v>41.912113626106752</v>
      </c>
      <c r="BB181" s="21">
        <v>43.404644393455513</v>
      </c>
      <c r="BC181" s="21">
        <v>45.34851532631852</v>
      </c>
      <c r="BD181" s="21">
        <v>48.101914750802706</v>
      </c>
      <c r="BE181" s="21">
        <v>50</v>
      </c>
    </row>
    <row r="182" spans="14:57" x14ac:dyDescent="0.15">
      <c r="N182" s="33"/>
      <c r="O182" s="33"/>
      <c r="P182" s="33"/>
      <c r="Q182" s="33"/>
      <c r="R182" s="33"/>
      <c r="S182" s="33"/>
      <c r="T182" s="33"/>
      <c r="U182" s="33"/>
      <c r="V182" s="33"/>
      <c r="W182" s="33"/>
      <c r="X182" s="33"/>
      <c r="Y182" s="33"/>
      <c r="Z182" s="33"/>
      <c r="AA182" s="33"/>
      <c r="AB182" s="33"/>
      <c r="AC182" s="21">
        <v>179</v>
      </c>
      <c r="AD182" s="21">
        <f>[1]节奏总纲!AD182</f>
        <v>74.915912490558512</v>
      </c>
      <c r="AE182" s="21">
        <f>[1]节奏总纲!AE182</f>
        <v>76.989766772831089</v>
      </c>
      <c r="AF182" s="21">
        <f>[1]节奏总纲!AF182</f>
        <v>79.88483391364781</v>
      </c>
      <c r="AG182" s="21">
        <f>[1]节奏总纲!AG182</f>
        <v>84.478117326347515</v>
      </c>
      <c r="AH182" s="21">
        <f>[1]节奏总纲!AH182</f>
        <v>93.943078763827941</v>
      </c>
      <c r="AZ182" s="21">
        <v>179</v>
      </c>
      <c r="BA182" s="21">
        <v>41.952339841198494</v>
      </c>
      <c r="BB182" s="21">
        <v>43.442091101890163</v>
      </c>
      <c r="BC182" s="21">
        <v>45.385710131688697</v>
      </c>
      <c r="BD182" s="21">
        <v>48.137807750621946</v>
      </c>
      <c r="BE182" s="21">
        <v>50</v>
      </c>
    </row>
    <row r="183" spans="14:57" x14ac:dyDescent="0.15">
      <c r="N183" s="33"/>
      <c r="O183" s="33"/>
      <c r="P183" s="33"/>
      <c r="Q183" s="33"/>
      <c r="R183" s="33"/>
      <c r="S183" s="33"/>
      <c r="T183" s="33"/>
      <c r="U183" s="33"/>
      <c r="V183" s="33"/>
      <c r="W183" s="33"/>
      <c r="X183" s="33"/>
      <c r="Y183" s="33"/>
      <c r="Z183" s="33"/>
      <c r="AA183" s="33"/>
      <c r="AB183" s="33"/>
      <c r="AC183" s="21">
        <v>180</v>
      </c>
      <c r="AD183" s="21">
        <f>[1]节奏总纲!AD183</f>
        <v>74.998404927577795</v>
      </c>
      <c r="AE183" s="21">
        <f>[1]节奏总纲!AE183</f>
        <v>77.06778397927944</v>
      </c>
      <c r="AF183" s="21">
        <f>[1]节奏总纲!AF183</f>
        <v>79.97103607409106</v>
      </c>
      <c r="AG183" s="21">
        <f>[1]节奏总纲!AG183</f>
        <v>84.557504671530296</v>
      </c>
      <c r="AH183" s="21">
        <f>[1]节奏总纲!AH183</f>
        <v>94.027056817114342</v>
      </c>
      <c r="AZ183" s="21">
        <v>180</v>
      </c>
      <c r="BA183" s="21">
        <v>41.992566056290244</v>
      </c>
      <c r="BB183" s="21">
        <v>43.479537810324807</v>
      </c>
      <c r="BC183" s="21">
        <v>45.422904937058867</v>
      </c>
      <c r="BD183" s="21">
        <v>48.173700750441178</v>
      </c>
      <c r="BE183" s="21">
        <v>50</v>
      </c>
    </row>
    <row r="184" spans="14:57" x14ac:dyDescent="0.15">
      <c r="N184" s="33"/>
      <c r="O184" s="33"/>
      <c r="P184" s="33"/>
      <c r="Q184" s="33"/>
      <c r="R184" s="33"/>
      <c r="S184" s="33"/>
      <c r="T184" s="33"/>
      <c r="U184" s="33"/>
      <c r="V184" s="33"/>
      <c r="W184" s="33"/>
      <c r="X184" s="33"/>
      <c r="Y184" s="33"/>
      <c r="Z184" s="33"/>
      <c r="AA184" s="33"/>
      <c r="AB184" s="33"/>
      <c r="AC184" s="21">
        <v>181</v>
      </c>
      <c r="AD184" s="21">
        <f>[1]节奏总纲!AD184</f>
        <v>75.075479910097457</v>
      </c>
      <c r="AE184" s="21">
        <f>[1]节奏总纲!AE184</f>
        <v>77.145192343015793</v>
      </c>
      <c r="AF184" s="21">
        <f>[1]节奏总纲!AF184</f>
        <v>80.053817475702374</v>
      </c>
      <c r="AG184" s="21">
        <f>[1]节奏总纲!AG184</f>
        <v>84.636892016713063</v>
      </c>
      <c r="AH184" s="21">
        <f>[1]节奏总纲!AH184</f>
        <v>94.102803318799971</v>
      </c>
      <c r="AZ184" s="21">
        <v>181</v>
      </c>
      <c r="BA184" s="21">
        <v>42.028297717729309</v>
      </c>
      <c r="BB184" s="21">
        <v>43.516984518759458</v>
      </c>
      <c r="BC184" s="21">
        <v>45.460099742429037</v>
      </c>
      <c r="BD184" s="21">
        <v>48.209593750260417</v>
      </c>
      <c r="BE184" s="21">
        <v>50</v>
      </c>
    </row>
    <row r="185" spans="14:57" x14ac:dyDescent="0.15">
      <c r="N185" s="33"/>
      <c r="O185" s="33"/>
      <c r="P185" s="33"/>
      <c r="Q185" s="33"/>
      <c r="R185" s="33"/>
      <c r="S185" s="33"/>
      <c r="T185" s="33"/>
      <c r="U185" s="33"/>
      <c r="V185" s="33"/>
      <c r="W185" s="33"/>
      <c r="X185" s="33"/>
      <c r="Y185" s="33"/>
      <c r="Z185" s="33"/>
      <c r="AA185" s="33"/>
      <c r="AB185" s="33"/>
      <c r="AC185" s="21">
        <v>182</v>
      </c>
      <c r="AD185" s="21">
        <f>[1]节奏总纲!AD185</f>
        <v>75.152448075388719</v>
      </c>
      <c r="AE185" s="21">
        <f>[1]节奏总纲!AE185</f>
        <v>77.222600706752132</v>
      </c>
      <c r="AF185" s="21">
        <f>[1]节奏总纲!AF185</f>
        <v>80.134867890916794</v>
      </c>
      <c r="AG185" s="21">
        <f>[1]节奏总纲!AG185</f>
        <v>84.716279361895843</v>
      </c>
      <c r="AH185" s="21">
        <f>[1]节奏总纲!AH185</f>
        <v>94.1785498204856</v>
      </c>
      <c r="AZ185" s="21">
        <v>182</v>
      </c>
      <c r="BA185" s="21">
        <v>42.063010472656373</v>
      </c>
      <c r="BB185" s="21">
        <v>43.554431227194108</v>
      </c>
      <c r="BC185" s="21">
        <v>45.497294547799214</v>
      </c>
      <c r="BD185" s="21">
        <v>48.24548675007965</v>
      </c>
      <c r="BE185" s="21">
        <v>50</v>
      </c>
    </row>
    <row r="186" spans="14:57" x14ac:dyDescent="0.15">
      <c r="N186" s="33"/>
      <c r="O186" s="33"/>
      <c r="P186" s="33"/>
      <c r="Q186" s="33"/>
      <c r="R186" s="33"/>
      <c r="S186" s="33"/>
      <c r="T186" s="33"/>
      <c r="U186" s="33"/>
      <c r="V186" s="33"/>
      <c r="W186" s="33"/>
      <c r="X186" s="33"/>
      <c r="Y186" s="33"/>
      <c r="Z186" s="33"/>
      <c r="AA186" s="33"/>
      <c r="AB186" s="33"/>
      <c r="AC186" s="21">
        <v>183</v>
      </c>
      <c r="AD186" s="21">
        <f>[1]节奏总纲!AD186</f>
        <v>75.229416240679981</v>
      </c>
      <c r="AE186" s="21">
        <f>[1]节奏总纲!AE186</f>
        <v>77.300009070488485</v>
      </c>
      <c r="AF186" s="21">
        <f>[1]节奏总纲!AF186</f>
        <v>80.215918306131215</v>
      </c>
      <c r="AG186" s="21">
        <f>[1]节奏总纲!AG186</f>
        <v>84.795666707078624</v>
      </c>
      <c r="AH186" s="21">
        <f>[1]节奏总纲!AH186</f>
        <v>94.254296322171228</v>
      </c>
      <c r="AZ186" s="21">
        <v>183</v>
      </c>
      <c r="BA186" s="21">
        <v>42.097723227583437</v>
      </c>
      <c r="BB186" s="21">
        <v>43.591877935628752</v>
      </c>
      <c r="BC186" s="21">
        <v>45.534489353169384</v>
      </c>
      <c r="BD186" s="21">
        <v>48.281379749898889</v>
      </c>
      <c r="BE186" s="21">
        <v>50</v>
      </c>
    </row>
    <row r="187" spans="14:57" x14ac:dyDescent="0.15">
      <c r="N187" s="33"/>
      <c r="O187" s="33"/>
      <c r="P187" s="33"/>
      <c r="Q187" s="33"/>
      <c r="R187" s="33"/>
      <c r="S187" s="33"/>
      <c r="T187" s="33"/>
      <c r="U187" s="33"/>
      <c r="V187" s="33"/>
      <c r="W187" s="33"/>
      <c r="X187" s="33"/>
      <c r="Y187" s="33"/>
      <c r="Z187" s="33"/>
      <c r="AA187" s="33"/>
      <c r="AB187" s="33"/>
      <c r="AC187" s="21">
        <v>184</v>
      </c>
      <c r="AD187" s="21">
        <f>[1]节奏总纲!AD187</f>
        <v>75.306384405971258</v>
      </c>
      <c r="AE187" s="21">
        <f>[1]节奏总纲!AE187</f>
        <v>77.377417434224824</v>
      </c>
      <c r="AF187" s="21">
        <f>[1]节奏总纲!AF187</f>
        <v>80.296968721345635</v>
      </c>
      <c r="AG187" s="21">
        <f>[1]节奏总纲!AG187</f>
        <v>84.87505405226139</v>
      </c>
      <c r="AH187" s="21">
        <f>[1]节奏总纲!AH187</f>
        <v>94.330042823856857</v>
      </c>
      <c r="AZ187" s="21">
        <v>184</v>
      </c>
      <c r="BA187" s="21">
        <v>42.132435982510501</v>
      </c>
      <c r="BB187" s="21">
        <v>43.629324644063402</v>
      </c>
      <c r="BC187" s="21">
        <v>45.571684158539561</v>
      </c>
      <c r="BD187" s="21">
        <v>48.317272749718121</v>
      </c>
      <c r="BE187" s="21">
        <v>50</v>
      </c>
    </row>
    <row r="188" spans="14:57" x14ac:dyDescent="0.15">
      <c r="N188" s="33"/>
      <c r="O188" s="33"/>
      <c r="P188" s="33"/>
      <c r="Q188" s="33"/>
      <c r="R188" s="33"/>
      <c r="S188" s="33"/>
      <c r="T188" s="33"/>
      <c r="U188" s="33"/>
      <c r="V188" s="33"/>
      <c r="W188" s="33"/>
      <c r="X188" s="33"/>
      <c r="Y188" s="33"/>
      <c r="Z188" s="33"/>
      <c r="AA188" s="33"/>
      <c r="AB188" s="33"/>
      <c r="AC188" s="21">
        <v>185</v>
      </c>
      <c r="AD188" s="21">
        <f>[1]节奏总纲!AD188</f>
        <v>75.38335257126252</v>
      </c>
      <c r="AE188" s="21">
        <f>[1]节奏总纲!AE188</f>
        <v>77.454825797961163</v>
      </c>
      <c r="AF188" s="21">
        <f>[1]节奏总纲!AF188</f>
        <v>80.378019136560056</v>
      </c>
      <c r="AG188" s="21">
        <f>[1]节奏总纲!AG188</f>
        <v>84.954441397444171</v>
      </c>
      <c r="AH188" s="21">
        <f>[1]节奏总纲!AH188</f>
        <v>94.405789325542486</v>
      </c>
      <c r="AZ188" s="21">
        <v>185</v>
      </c>
      <c r="BA188" s="21">
        <v>42.167148737437564</v>
      </c>
      <c r="BB188" s="21">
        <v>43.666771352498046</v>
      </c>
      <c r="BC188" s="21">
        <v>45.608878963909731</v>
      </c>
      <c r="BD188" s="21">
        <v>48.353165749537354</v>
      </c>
      <c r="BE188" s="21">
        <v>50</v>
      </c>
    </row>
    <row r="189" spans="14:57" x14ac:dyDescent="0.15">
      <c r="N189" s="33"/>
      <c r="O189" s="33"/>
      <c r="P189" s="33"/>
      <c r="Q189" s="33"/>
      <c r="R189" s="33"/>
      <c r="S189" s="33"/>
      <c r="T189" s="33"/>
      <c r="U189" s="33"/>
      <c r="V189" s="33"/>
      <c r="W189" s="33"/>
      <c r="X189" s="33"/>
      <c r="Y189" s="33"/>
      <c r="Z189" s="33"/>
      <c r="AA189" s="33"/>
      <c r="AB189" s="33"/>
      <c r="AC189" s="21">
        <v>186</v>
      </c>
      <c r="AD189" s="21">
        <f>[1]节奏总纲!AD189</f>
        <v>75.460320736553783</v>
      </c>
      <c r="AE189" s="21">
        <f>[1]节奏总纲!AE189</f>
        <v>77.532234161697517</v>
      </c>
      <c r="AF189" s="21">
        <f>[1]节奏总纲!AF189</f>
        <v>80.459069551774476</v>
      </c>
      <c r="AG189" s="21">
        <f>[1]节奏总纲!AG189</f>
        <v>85.030832425973387</v>
      </c>
      <c r="AH189" s="21">
        <f>[1]节奏总纲!AH189</f>
        <v>94.4815358272281</v>
      </c>
      <c r="AZ189" s="21">
        <v>186</v>
      </c>
      <c r="BA189" s="21">
        <v>42.201861492364635</v>
      </c>
      <c r="BB189" s="21">
        <v>43.704218060932696</v>
      </c>
      <c r="BC189" s="21">
        <v>45.646073769279901</v>
      </c>
      <c r="BD189" s="21">
        <v>48.389058749356593</v>
      </c>
      <c r="BE189" s="21">
        <v>50</v>
      </c>
    </row>
    <row r="190" spans="14:57" x14ac:dyDescent="0.15">
      <c r="N190" s="33"/>
      <c r="O190" s="33"/>
      <c r="P190" s="33"/>
      <c r="Q190" s="33"/>
      <c r="R190" s="33"/>
      <c r="S190" s="33"/>
      <c r="T190" s="33"/>
      <c r="U190" s="33"/>
      <c r="V190" s="33"/>
      <c r="W190" s="33"/>
      <c r="X190" s="33"/>
      <c r="Y190" s="33"/>
      <c r="Z190" s="33"/>
      <c r="AA190" s="33"/>
      <c r="AB190" s="33"/>
      <c r="AC190" s="21">
        <v>187</v>
      </c>
      <c r="AD190" s="21">
        <f>[1]节奏总纲!AD190</f>
        <v>75.537288901845045</v>
      </c>
      <c r="AE190" s="21">
        <f>[1]节奏总纲!AE190</f>
        <v>77.609642525433856</v>
      </c>
      <c r="AF190" s="21">
        <f>[1]节奏总纲!AF190</f>
        <v>80.540119966988897</v>
      </c>
      <c r="AG190" s="21">
        <f>[1]节奏总纲!AG190</f>
        <v>85.103188187775231</v>
      </c>
      <c r="AH190" s="21">
        <f>[1]节奏总纲!AH190</f>
        <v>94.557282328913729</v>
      </c>
      <c r="AZ190" s="21">
        <v>187</v>
      </c>
      <c r="BA190" s="21">
        <v>42.236574247291699</v>
      </c>
      <c r="BB190" s="21">
        <v>43.741664769367347</v>
      </c>
      <c r="BC190" s="21">
        <v>45.683268574650079</v>
      </c>
      <c r="BD190" s="21">
        <v>48.424951749175825</v>
      </c>
      <c r="BE190" s="21">
        <v>50</v>
      </c>
    </row>
    <row r="191" spans="14:57" x14ac:dyDescent="0.15">
      <c r="N191" s="33"/>
      <c r="O191" s="33"/>
      <c r="P191" s="33"/>
      <c r="Q191" s="33"/>
      <c r="R191" s="33"/>
      <c r="S191" s="33"/>
      <c r="T191" s="33"/>
      <c r="U191" s="33"/>
      <c r="V191" s="33"/>
      <c r="W191" s="33"/>
      <c r="X191" s="33"/>
      <c r="Y191" s="33"/>
      <c r="Z191" s="33"/>
      <c r="AA191" s="33"/>
      <c r="AB191" s="33"/>
      <c r="AC191" s="21">
        <v>188</v>
      </c>
      <c r="AD191" s="21">
        <f>[1]节奏总纲!AD191</f>
        <v>75.614257067136322</v>
      </c>
      <c r="AE191" s="21">
        <f>[1]节奏总纲!AE191</f>
        <v>77.687050889170209</v>
      </c>
      <c r="AF191" s="21">
        <f>[1]节奏总纲!AF191</f>
        <v>80.621170382203317</v>
      </c>
      <c r="AG191" s="21">
        <f>[1]节奏总纲!AG191</f>
        <v>85.175543949577076</v>
      </c>
      <c r="AH191" s="21">
        <f>[1]节奏总纲!AH191</f>
        <v>94.633028830599358</v>
      </c>
      <c r="AZ191" s="21">
        <v>188</v>
      </c>
      <c r="BA191" s="21">
        <v>42.271287002218763</v>
      </c>
      <c r="BB191" s="21">
        <v>43.77911147780199</v>
      </c>
      <c r="BC191" s="21">
        <v>45.720463380020249</v>
      </c>
      <c r="BD191" s="21">
        <v>48.460844748995065</v>
      </c>
      <c r="BE191" s="21">
        <v>50</v>
      </c>
    </row>
    <row r="192" spans="14:57" x14ac:dyDescent="0.15">
      <c r="N192" s="33"/>
      <c r="O192" s="33"/>
      <c r="P192" s="33"/>
      <c r="Q192" s="33"/>
      <c r="R192" s="33"/>
      <c r="S192" s="33"/>
      <c r="T192" s="33"/>
      <c r="U192" s="33"/>
      <c r="V192" s="33"/>
      <c r="W192" s="33"/>
      <c r="X192" s="33"/>
      <c r="Y192" s="33"/>
      <c r="Z192" s="33"/>
      <c r="AA192" s="33"/>
      <c r="AB192" s="33"/>
      <c r="AC192" s="21">
        <v>189</v>
      </c>
      <c r="AD192" s="21">
        <f>[1]节奏总纲!AD192</f>
        <v>75.691225232427584</v>
      </c>
      <c r="AE192" s="21">
        <f>[1]节奏总纲!AE192</f>
        <v>77.764459252906548</v>
      </c>
      <c r="AF192" s="21">
        <f>[1]节奏总纲!AF192</f>
        <v>80.702220797417738</v>
      </c>
      <c r="AG192" s="21">
        <f>[1]节奏总纲!AG192</f>
        <v>85.247899711378935</v>
      </c>
      <c r="AH192" s="21">
        <f>[1]节奏总纲!AH192</f>
        <v>94.708775332284986</v>
      </c>
      <c r="AZ192" s="21">
        <v>189</v>
      </c>
      <c r="BA192" s="21">
        <v>42.305999757145827</v>
      </c>
      <c r="BB192" s="21">
        <v>43.816558186236641</v>
      </c>
      <c r="BC192" s="21">
        <v>45.757658185390426</v>
      </c>
      <c r="BD192" s="21">
        <v>48.496737748814297</v>
      </c>
      <c r="BE192" s="21">
        <v>50</v>
      </c>
    </row>
    <row r="193" spans="14:57" x14ac:dyDescent="0.15">
      <c r="N193" s="33"/>
      <c r="O193" s="33"/>
      <c r="P193" s="33"/>
      <c r="Q193" s="33"/>
      <c r="R193" s="33"/>
      <c r="S193" s="33"/>
      <c r="T193" s="33"/>
      <c r="U193" s="33"/>
      <c r="V193" s="33"/>
      <c r="W193" s="33"/>
      <c r="X193" s="33"/>
      <c r="Y193" s="33"/>
      <c r="Z193" s="33"/>
      <c r="AA193" s="33"/>
      <c r="AB193" s="33"/>
      <c r="AC193" s="21">
        <v>190</v>
      </c>
      <c r="AD193" s="21">
        <f>[1]节奏总纲!AD193</f>
        <v>75.768193397718846</v>
      </c>
      <c r="AE193" s="21">
        <f>[1]节奏总纲!AE193</f>
        <v>77.841867616642901</v>
      </c>
      <c r="AF193" s="21">
        <f>[1]节奏总纲!AF193</f>
        <v>80.783271212632158</v>
      </c>
      <c r="AG193" s="21">
        <f>[1]节奏总纲!AG193</f>
        <v>85.320255473180779</v>
      </c>
      <c r="AH193" s="21">
        <f>[1]节奏总纲!AH193</f>
        <v>94.784521833970615</v>
      </c>
      <c r="AZ193" s="21">
        <v>190</v>
      </c>
      <c r="BA193" s="21">
        <v>42.340712512072891</v>
      </c>
      <c r="BB193" s="21">
        <v>43.854004894671284</v>
      </c>
      <c r="BC193" s="21">
        <v>45.794852990760596</v>
      </c>
      <c r="BD193" s="21">
        <v>48.532630748633537</v>
      </c>
      <c r="BE193" s="21">
        <v>50</v>
      </c>
    </row>
    <row r="194" spans="14:57" x14ac:dyDescent="0.15">
      <c r="N194" s="33"/>
      <c r="O194" s="33"/>
      <c r="P194" s="33"/>
      <c r="Q194" s="33"/>
      <c r="R194" s="33"/>
      <c r="S194" s="33"/>
      <c r="T194" s="33"/>
      <c r="U194" s="33"/>
      <c r="V194" s="33"/>
      <c r="W194" s="33"/>
      <c r="X194" s="33"/>
      <c r="Y194" s="33"/>
      <c r="Z194" s="33"/>
      <c r="AA194" s="33"/>
      <c r="AB194" s="33"/>
      <c r="AC194" s="21">
        <v>191</v>
      </c>
      <c r="AD194" s="21">
        <f>[1]节奏总纲!AD194</f>
        <v>75.845161563010109</v>
      </c>
      <c r="AE194" s="21">
        <f>[1]节奏总纲!AE194</f>
        <v>77.91927598037924</v>
      </c>
      <c r="AF194" s="21">
        <f>[1]节奏总纲!AF194</f>
        <v>80.864321627846579</v>
      </c>
      <c r="AG194" s="21">
        <f>[1]节奏总纲!AG194</f>
        <v>85.392611234982624</v>
      </c>
      <c r="AH194" s="21">
        <f>[1]节奏总纲!AH194</f>
        <v>94.860268335656244</v>
      </c>
      <c r="AZ194" s="21">
        <v>191</v>
      </c>
      <c r="BA194" s="21">
        <v>42.375425266999954</v>
      </c>
      <c r="BB194" s="21">
        <v>43.891451603105935</v>
      </c>
      <c r="BC194" s="21">
        <v>45.832047796130773</v>
      </c>
      <c r="BD194" s="21">
        <v>48.568523748452769</v>
      </c>
      <c r="BE194" s="21">
        <v>50</v>
      </c>
    </row>
    <row r="195" spans="14:57" x14ac:dyDescent="0.15">
      <c r="N195" s="33"/>
      <c r="O195" s="33"/>
      <c r="P195" s="33"/>
      <c r="Q195" s="33"/>
      <c r="R195" s="33"/>
      <c r="S195" s="33"/>
      <c r="T195" s="33"/>
      <c r="U195" s="33"/>
      <c r="V195" s="33"/>
      <c r="W195" s="33"/>
      <c r="X195" s="33"/>
      <c r="Y195" s="33"/>
      <c r="Z195" s="33"/>
      <c r="AA195" s="33"/>
      <c r="AB195" s="33"/>
      <c r="AC195" s="21">
        <v>192</v>
      </c>
      <c r="AD195" s="21">
        <f>[1]节奏总纲!AD195</f>
        <v>75.922129728301385</v>
      </c>
      <c r="AE195" s="21">
        <f>[1]节奏总纲!AE195</f>
        <v>77.996684344115593</v>
      </c>
      <c r="AF195" s="21">
        <f>[1]节奏总纲!AF195</f>
        <v>80.945372043060999</v>
      </c>
      <c r="AG195" s="21">
        <f>[1]节奏总纲!AG195</f>
        <v>85.464966996784469</v>
      </c>
      <c r="AH195" s="21">
        <f>[1]节奏总纲!AH195</f>
        <v>94.936014837341872</v>
      </c>
      <c r="AZ195" s="21">
        <v>192</v>
      </c>
      <c r="BA195" s="21">
        <v>42.410138021927018</v>
      </c>
      <c r="BB195" s="21">
        <v>43.928898311540578</v>
      </c>
      <c r="BC195" s="21">
        <v>45.869242601500943</v>
      </c>
      <c r="BD195" s="21">
        <v>48.604416748272008</v>
      </c>
      <c r="BE195" s="21">
        <v>50</v>
      </c>
    </row>
    <row r="196" spans="14:57" x14ac:dyDescent="0.15">
      <c r="N196" s="33"/>
      <c r="O196" s="33"/>
      <c r="P196" s="33"/>
      <c r="Q196" s="33"/>
      <c r="R196" s="33"/>
      <c r="S196" s="33"/>
      <c r="T196" s="33"/>
      <c r="U196" s="33"/>
      <c r="V196" s="33"/>
      <c r="W196" s="33"/>
      <c r="X196" s="33"/>
      <c r="Y196" s="33"/>
      <c r="Z196" s="33"/>
      <c r="AA196" s="33"/>
      <c r="AB196" s="33"/>
      <c r="AC196" s="21">
        <v>193</v>
      </c>
      <c r="AD196" s="21">
        <f>[1]节奏总纲!AD196</f>
        <v>75.999097893592648</v>
      </c>
      <c r="AE196" s="21">
        <f>[1]节奏总纲!AE196</f>
        <v>78.068193736526268</v>
      </c>
      <c r="AF196" s="21">
        <f>[1]节奏总纲!AF196</f>
        <v>81.02378934476593</v>
      </c>
      <c r="AG196" s="21">
        <f>[1]节奏总纲!AG196</f>
        <v>85.537322758586328</v>
      </c>
      <c r="AH196" s="21">
        <f>[1]节奏总纲!AH196</f>
        <v>95.011078787937279</v>
      </c>
      <c r="AZ196" s="21">
        <v>193</v>
      </c>
      <c r="BA196" s="21">
        <v>42.444850776854082</v>
      </c>
      <c r="BB196" s="21">
        <v>43.966345019975229</v>
      </c>
      <c r="BC196" s="21">
        <v>45.906437406871113</v>
      </c>
      <c r="BD196" s="21">
        <v>48.640309748091241</v>
      </c>
      <c r="BE196" s="21">
        <v>50</v>
      </c>
    </row>
    <row r="197" spans="14:57" x14ac:dyDescent="0.15">
      <c r="N197" s="33"/>
      <c r="O197" s="33"/>
      <c r="P197" s="33"/>
      <c r="Q197" s="33"/>
      <c r="R197" s="33"/>
      <c r="S197" s="33"/>
      <c r="T197" s="33"/>
      <c r="U197" s="33"/>
      <c r="V197" s="33"/>
      <c r="W197" s="33"/>
      <c r="X197" s="33"/>
      <c r="Y197" s="33"/>
      <c r="Z197" s="33"/>
      <c r="AA197" s="33"/>
      <c r="AB197" s="33"/>
      <c r="AC197" s="21">
        <v>194</v>
      </c>
      <c r="AD197" s="21">
        <f>[1]节奏总纲!AD197</f>
        <v>76.070972142474872</v>
      </c>
      <c r="AE197" s="21">
        <f>[1]节奏总纲!AE197</f>
        <v>78.139439149396253</v>
      </c>
      <c r="AF197" s="21">
        <f>[1]节奏总纲!AF197</f>
        <v>81.096762731680187</v>
      </c>
      <c r="AG197" s="21">
        <f>[1]节奏总纲!AG197</f>
        <v>85.609678520388172</v>
      </c>
      <c r="AH197" s="21">
        <f>[1]节奏总纲!AH197</f>
        <v>95.082429458741387</v>
      </c>
      <c r="AZ197" s="21">
        <v>194</v>
      </c>
      <c r="BA197" s="21">
        <v>42.479563531781146</v>
      </c>
      <c r="BB197" s="21">
        <v>44.003272544984547</v>
      </c>
      <c r="BC197" s="21">
        <v>45.94363221224129</v>
      </c>
      <c r="BD197" s="21">
        <v>48.67620274791048</v>
      </c>
      <c r="BE197" s="21">
        <v>50</v>
      </c>
    </row>
    <row r="198" spans="14:57" x14ac:dyDescent="0.15">
      <c r="N198" s="33"/>
      <c r="O198" s="33"/>
      <c r="P198" s="33"/>
      <c r="Q198" s="33"/>
      <c r="R198" s="33"/>
      <c r="S198" s="33"/>
      <c r="T198" s="33"/>
      <c r="U198" s="33"/>
      <c r="V198" s="33"/>
      <c r="W198" s="33"/>
      <c r="X198" s="33"/>
      <c r="Y198" s="33"/>
      <c r="Z198" s="33"/>
      <c r="AA198" s="33"/>
      <c r="AB198" s="33"/>
      <c r="AC198" s="21">
        <v>195</v>
      </c>
      <c r="AD198" s="21">
        <f>[1]节奏总纲!AD198</f>
        <v>76.142785979989682</v>
      </c>
      <c r="AE198" s="21">
        <f>[1]节奏总纲!AE198</f>
        <v>78.210684562266223</v>
      </c>
      <c r="AF198" s="21">
        <f>[1]节奏总纲!AF198</f>
        <v>81.169736118594443</v>
      </c>
      <c r="AG198" s="21">
        <f>[1]节奏总纲!AG198</f>
        <v>85.682034282190017</v>
      </c>
      <c r="AH198" s="21">
        <f>[1]节奏总纲!AH198</f>
        <v>95.153780129545481</v>
      </c>
      <c r="AZ198" s="21">
        <v>195</v>
      </c>
      <c r="BA198" s="21">
        <v>42.51427628670821</v>
      </c>
      <c r="BB198" s="21">
        <v>44.035591852864428</v>
      </c>
      <c r="BC198" s="21">
        <v>45.98082701761146</v>
      </c>
      <c r="BD198" s="21">
        <v>48.712095747729713</v>
      </c>
      <c r="BE198" s="21">
        <v>50</v>
      </c>
    </row>
    <row r="199" spans="14:57" x14ac:dyDescent="0.15">
      <c r="N199" s="33"/>
      <c r="O199" s="33"/>
      <c r="P199" s="33"/>
      <c r="Q199" s="33"/>
      <c r="R199" s="33"/>
      <c r="S199" s="33"/>
      <c r="T199" s="33"/>
      <c r="U199" s="33"/>
      <c r="V199" s="33"/>
      <c r="W199" s="33"/>
      <c r="X199" s="33"/>
      <c r="Y199" s="33"/>
      <c r="Z199" s="33"/>
      <c r="AA199" s="33"/>
      <c r="AB199" s="33"/>
      <c r="AC199" s="21">
        <v>196</v>
      </c>
      <c r="AD199" s="21">
        <f>[1]节奏总纲!AD199</f>
        <v>76.214599817504492</v>
      </c>
      <c r="AE199" s="21">
        <f>[1]节奏总纲!AE199</f>
        <v>78.281929975136208</v>
      </c>
      <c r="AF199" s="21">
        <f>[1]节奏总纲!AF199</f>
        <v>81.242709505508685</v>
      </c>
      <c r="AG199" s="21">
        <f>[1]节奏总纲!AG199</f>
        <v>85.754390043991862</v>
      </c>
      <c r="AH199" s="21">
        <f>[1]节奏总纲!AH199</f>
        <v>95.225130800349589</v>
      </c>
      <c r="AZ199" s="21">
        <v>196</v>
      </c>
      <c r="BA199" s="21">
        <v>42.548989041635274</v>
      </c>
      <c r="BB199" s="21">
        <v>44.067911160744309</v>
      </c>
      <c r="BC199" s="21">
        <v>46.01555652579863</v>
      </c>
      <c r="BD199" s="21">
        <v>48.747988747548945</v>
      </c>
      <c r="BE199" s="21">
        <v>50</v>
      </c>
    </row>
    <row r="200" spans="14:57" x14ac:dyDescent="0.15">
      <c r="N200" s="33"/>
      <c r="O200" s="33"/>
      <c r="P200" s="33"/>
      <c r="Q200" s="33"/>
      <c r="R200" s="33"/>
      <c r="S200" s="33"/>
      <c r="T200" s="33"/>
      <c r="U200" s="33"/>
      <c r="V200" s="33"/>
      <c r="W200" s="33"/>
      <c r="X200" s="33"/>
      <c r="Y200" s="33"/>
      <c r="Z200" s="33"/>
      <c r="AA200" s="33"/>
      <c r="AB200" s="33"/>
      <c r="AC200" s="21">
        <v>197</v>
      </c>
      <c r="AD200" s="21">
        <f>[1]节奏总纲!AD200</f>
        <v>76.286413655019302</v>
      </c>
      <c r="AE200" s="21">
        <f>[1]节奏总纲!AE200</f>
        <v>78.353175388006179</v>
      </c>
      <c r="AF200" s="21">
        <f>[1]节奏总纲!AF200</f>
        <v>81.315682892422942</v>
      </c>
      <c r="AG200" s="21">
        <f>[1]节奏总纲!AG200</f>
        <v>85.82674580579372</v>
      </c>
      <c r="AH200" s="21">
        <f>[1]节奏总纲!AH200</f>
        <v>95.296481471153683</v>
      </c>
      <c r="AZ200" s="21">
        <v>197</v>
      </c>
      <c r="BA200" s="21">
        <v>42.583701796562345</v>
      </c>
      <c r="BB200" s="21">
        <v>44.100230468624183</v>
      </c>
      <c r="BC200" s="21">
        <v>46.047663263829847</v>
      </c>
      <c r="BD200" s="21">
        <v>48.783881747368184</v>
      </c>
      <c r="BE200" s="21">
        <v>50</v>
      </c>
    </row>
    <row r="201" spans="14:57" x14ac:dyDescent="0.15">
      <c r="N201" s="33"/>
      <c r="O201" s="33"/>
      <c r="P201" s="33"/>
      <c r="Q201" s="33"/>
      <c r="R201" s="33"/>
      <c r="S201" s="33"/>
      <c r="T201" s="33"/>
      <c r="U201" s="33"/>
      <c r="V201" s="33"/>
      <c r="W201" s="33"/>
      <c r="X201" s="33"/>
      <c r="Y201" s="33"/>
      <c r="Z201" s="33"/>
      <c r="AA201" s="33"/>
      <c r="AB201" s="33"/>
      <c r="AC201" s="21">
        <v>198</v>
      </c>
      <c r="AD201" s="21">
        <f>[1]节奏总纲!AD201</f>
        <v>76.358227492534112</v>
      </c>
      <c r="AE201" s="21">
        <f>[1]节奏总纲!AE201</f>
        <v>78.424420800876163</v>
      </c>
      <c r="AF201" s="21">
        <f>[1]节奏总纲!AF201</f>
        <v>81.388656279337198</v>
      </c>
      <c r="AG201" s="21">
        <f>[1]节奏总纲!AG201</f>
        <v>85.899101567595565</v>
      </c>
      <c r="AH201" s="21">
        <f>[1]节奏总纲!AH201</f>
        <v>95.367832141957777</v>
      </c>
      <c r="AZ201" s="21">
        <v>198</v>
      </c>
      <c r="BA201" s="21">
        <v>42.618414551489408</v>
      </c>
      <c r="BB201" s="21">
        <v>44.132549776504064</v>
      </c>
      <c r="BC201" s="21">
        <v>46.079770001861057</v>
      </c>
      <c r="BD201" s="21">
        <v>48.819774747187417</v>
      </c>
      <c r="BE201" s="21">
        <v>50</v>
      </c>
    </row>
    <row r="202" spans="14:57" x14ac:dyDescent="0.15">
      <c r="N202" s="33"/>
      <c r="O202" s="33"/>
      <c r="P202" s="33"/>
      <c r="Q202" s="33"/>
      <c r="R202" s="33"/>
      <c r="S202" s="33"/>
      <c r="T202" s="33"/>
      <c r="U202" s="33"/>
      <c r="V202" s="33"/>
      <c r="W202" s="33"/>
      <c r="X202" s="33"/>
      <c r="Y202" s="33"/>
      <c r="Z202" s="33"/>
      <c r="AA202" s="33"/>
      <c r="AB202" s="33"/>
      <c r="AC202" s="21">
        <v>199</v>
      </c>
      <c r="AD202" s="21">
        <f>[1]节奏总纲!AD202</f>
        <v>76.430041330048923</v>
      </c>
      <c r="AE202" s="21">
        <f>[1]节奏总纲!AE202</f>
        <v>78.495666213746148</v>
      </c>
      <c r="AF202" s="21">
        <f>[1]节奏总纲!AF202</f>
        <v>81.461629666251454</v>
      </c>
      <c r="AG202" s="21">
        <f>[1]节奏总纲!AG202</f>
        <v>85.97145732939741</v>
      </c>
      <c r="AH202" s="21">
        <f>[1]节奏总纲!AH202</f>
        <v>95.439182812761885</v>
      </c>
      <c r="AZ202" s="21">
        <v>199</v>
      </c>
      <c r="BA202" s="21">
        <v>42.653127306416472</v>
      </c>
      <c r="BB202" s="21">
        <v>44.164869084383938</v>
      </c>
      <c r="BC202" s="21">
        <v>46.111876739892267</v>
      </c>
      <c r="BD202" s="21">
        <v>48.855667747006656</v>
      </c>
      <c r="BE202" s="21">
        <v>50</v>
      </c>
    </row>
    <row r="203" spans="14:57" x14ac:dyDescent="0.15">
      <c r="N203" s="33"/>
      <c r="O203" s="33"/>
      <c r="P203" s="33"/>
      <c r="Q203" s="33"/>
      <c r="R203" s="33"/>
      <c r="S203" s="33"/>
      <c r="T203" s="33"/>
      <c r="U203" s="33"/>
      <c r="V203" s="33"/>
      <c r="W203" s="33"/>
      <c r="X203" s="33"/>
      <c r="Y203" s="33"/>
      <c r="Z203" s="33"/>
      <c r="AA203" s="33"/>
      <c r="AB203" s="33"/>
      <c r="AC203" s="21">
        <v>200</v>
      </c>
      <c r="AD203" s="21">
        <f>[1]节奏总纲!AD203</f>
        <v>76.501855167563733</v>
      </c>
      <c r="AE203" s="21">
        <f>[1]节奏总纲!AE203</f>
        <v>78.566911626616118</v>
      </c>
      <c r="AF203" s="21">
        <f>[1]节奏总纲!AF203</f>
        <v>81.534603053165696</v>
      </c>
      <c r="AG203" s="21">
        <f>[1]节奏总纲!AG203</f>
        <v>86.045919706798657</v>
      </c>
      <c r="AH203" s="21">
        <f>[1]节奏总纲!AH203</f>
        <v>95.510533483565979</v>
      </c>
      <c r="AZ203" s="21">
        <v>200</v>
      </c>
      <c r="BA203" s="21">
        <v>42.687840061343536</v>
      </c>
      <c r="BB203" s="21">
        <v>44.197188392263818</v>
      </c>
      <c r="BC203" s="21">
        <v>46.143983477923484</v>
      </c>
      <c r="BD203" s="21">
        <v>48.891560746825888</v>
      </c>
      <c r="BE203" s="21">
        <v>50</v>
      </c>
    </row>
    <row r="204" spans="14:57" x14ac:dyDescent="0.15">
      <c r="N204" s="33"/>
      <c r="O204" s="33"/>
      <c r="P204" s="33"/>
      <c r="Q204" s="33"/>
      <c r="R204" s="33"/>
      <c r="S204" s="33"/>
      <c r="T204" s="33"/>
      <c r="U204" s="33"/>
      <c r="V204" s="33"/>
      <c r="W204" s="33"/>
      <c r="X204" s="33"/>
      <c r="Y204" s="33"/>
      <c r="Z204" s="33"/>
      <c r="AA204" s="33"/>
      <c r="AB204" s="33"/>
      <c r="AC204" s="21">
        <v>201</v>
      </c>
      <c r="AD204" s="21">
        <f>[1]节奏总纲!AD204</f>
        <v>76.573669005078543</v>
      </c>
      <c r="AE204" s="21">
        <f>[1]节奏总纲!AE204</f>
        <v>78.638157039486103</v>
      </c>
      <c r="AF204" s="21">
        <f>[1]节奏总纲!AF204</f>
        <v>81.607576440079953</v>
      </c>
      <c r="AG204" s="21">
        <f>[1]节奏总纲!AG204</f>
        <v>86.121754469336281</v>
      </c>
      <c r="AH204" s="21">
        <f>[1]节奏总纲!AH204</f>
        <v>95.581884154370087</v>
      </c>
      <c r="AZ204" s="21">
        <v>201</v>
      </c>
      <c r="BA204" s="21">
        <v>42.7225528162706</v>
      </c>
      <c r="BB204" s="21">
        <v>44.229507700143699</v>
      </c>
      <c r="BC204" s="21">
        <v>46.176090215954694</v>
      </c>
      <c r="BD204" s="21">
        <v>48.927453746645128</v>
      </c>
      <c r="BE204" s="21">
        <v>50</v>
      </c>
    </row>
    <row r="205" spans="14:57" x14ac:dyDescent="0.15">
      <c r="N205" s="33"/>
      <c r="O205" s="33"/>
      <c r="P205" s="33"/>
      <c r="Q205" s="33"/>
      <c r="R205" s="33"/>
      <c r="S205" s="33"/>
      <c r="T205" s="33"/>
      <c r="U205" s="33"/>
      <c r="V205" s="33"/>
      <c r="W205" s="33"/>
      <c r="X205" s="33"/>
      <c r="Y205" s="33"/>
      <c r="Z205" s="33"/>
      <c r="AA205" s="33"/>
      <c r="AB205" s="33"/>
      <c r="AC205" s="21">
        <v>202</v>
      </c>
      <c r="AD205" s="21">
        <f>[1]节奏总纲!AD205</f>
        <v>76.645482842593353</v>
      </c>
      <c r="AE205" s="21">
        <f>[1]节奏总纲!AE205</f>
        <v>78.709402452356088</v>
      </c>
      <c r="AF205" s="21">
        <f>[1]节奏总纲!AF205</f>
        <v>81.680549826994209</v>
      </c>
      <c r="AG205" s="21">
        <f>[1]节奏总纲!AG205</f>
        <v>86.197589231873891</v>
      </c>
      <c r="AH205" s="21">
        <f>[1]节奏总纲!AH205</f>
        <v>95.653234825174181</v>
      </c>
      <c r="AZ205" s="21">
        <v>202</v>
      </c>
      <c r="BA205" s="21">
        <v>42.757265571197664</v>
      </c>
      <c r="BB205" s="21">
        <v>44.261827008023573</v>
      </c>
      <c r="BC205" s="21">
        <v>46.208196953985905</v>
      </c>
      <c r="BD205" s="21">
        <v>48.96334674646436</v>
      </c>
      <c r="BE205" s="21">
        <v>50</v>
      </c>
    </row>
    <row r="206" spans="14:57" x14ac:dyDescent="0.15">
      <c r="AC206" s="21">
        <v>203</v>
      </c>
      <c r="AD206" s="21">
        <f>[1]节奏总纲!AD206</f>
        <v>76.717296680108163</v>
      </c>
      <c r="AE206" s="21">
        <f>[1]节奏总纲!AE206</f>
        <v>78.780647865226058</v>
      </c>
      <c r="AF206" s="21">
        <f>[1]节奏总纲!AF206</f>
        <v>81.753523213908451</v>
      </c>
      <c r="AG206" s="21">
        <f>[1]节奏总纲!AG206</f>
        <v>86.273423994411502</v>
      </c>
      <c r="AH206" s="21">
        <f>[1]节奏总纲!AH206</f>
        <v>95.724585495978289</v>
      </c>
      <c r="AZ206" s="21">
        <v>203</v>
      </c>
      <c r="BA206" s="21">
        <v>42.791978326124728</v>
      </c>
      <c r="BB206" s="21">
        <v>44.294146315903454</v>
      </c>
      <c r="BC206" s="21">
        <v>46.240303692017122</v>
      </c>
      <c r="BD206" s="21">
        <v>48.9992397462836</v>
      </c>
      <c r="BE206" s="21">
        <v>50</v>
      </c>
    </row>
    <row r="207" spans="14:57" x14ac:dyDescent="0.15">
      <c r="AC207" s="21">
        <v>204</v>
      </c>
      <c r="AD207" s="21">
        <f>[1]节奏总纲!AD207</f>
        <v>76.789110517622973</v>
      </c>
      <c r="AE207" s="21">
        <f>[1]节奏总纲!AE207</f>
        <v>78.851893278096043</v>
      </c>
      <c r="AF207" s="21">
        <f>[1]节奏总纲!AF207</f>
        <v>81.826496600822708</v>
      </c>
      <c r="AG207" s="21">
        <f>[1]节奏总纲!AG207</f>
        <v>86.349258756949112</v>
      </c>
      <c r="AH207" s="21">
        <f>[1]节奏总纲!AH207</f>
        <v>95.795936166782383</v>
      </c>
      <c r="AZ207" s="21">
        <v>204</v>
      </c>
      <c r="BA207" s="21">
        <v>42.826691081051791</v>
      </c>
      <c r="BB207" s="21">
        <v>44.326465623783335</v>
      </c>
      <c r="BC207" s="21">
        <v>46.272410430048332</v>
      </c>
      <c r="BD207" s="21">
        <v>49.030333272797542</v>
      </c>
      <c r="BE207" s="21">
        <v>50</v>
      </c>
    </row>
    <row r="208" spans="14:57" x14ac:dyDescent="0.15">
      <c r="AC208" s="21">
        <v>205</v>
      </c>
      <c r="AD208" s="21">
        <f>[1]节奏总纲!AD208</f>
        <v>76.860924355137783</v>
      </c>
      <c r="AE208" s="21">
        <f>[1]节奏总纲!AE208</f>
        <v>78.923138690966013</v>
      </c>
      <c r="AF208" s="21">
        <f>[1]节奏总纲!AF208</f>
        <v>81.899469987736964</v>
      </c>
      <c r="AG208" s="21">
        <f>[1]节奏总纲!AG208</f>
        <v>86.425093519486722</v>
      </c>
      <c r="AH208" s="21">
        <f>[1]节奏总纲!AH208</f>
        <v>95.867286837586477</v>
      </c>
      <c r="AZ208" s="21">
        <v>205</v>
      </c>
      <c r="BA208" s="21">
        <v>42.861403835978855</v>
      </c>
      <c r="BB208" s="21">
        <v>44.358784931663209</v>
      </c>
      <c r="BC208" s="21">
        <v>46.304517168079542</v>
      </c>
      <c r="BD208" s="21">
        <v>49.061322941292346</v>
      </c>
      <c r="BE208" s="21">
        <v>50</v>
      </c>
    </row>
    <row r="209" spans="29:57" x14ac:dyDescent="0.15">
      <c r="AC209" s="21">
        <v>206</v>
      </c>
      <c r="AD209" s="21">
        <f>[1]节奏总纲!AD209</f>
        <v>76.932738192652593</v>
      </c>
      <c r="AE209" s="21">
        <f>[1]节奏总纲!AE209</f>
        <v>78.994384103835998</v>
      </c>
      <c r="AF209" s="21">
        <f>[1]节奏总纲!AF209</f>
        <v>81.972443374651206</v>
      </c>
      <c r="AG209" s="21">
        <f>[1]节奏总纲!AG209</f>
        <v>86.500928282024347</v>
      </c>
      <c r="AH209" s="21">
        <f>[1]节奏总纲!AH209</f>
        <v>95.938637508390585</v>
      </c>
      <c r="AZ209" s="21">
        <v>206</v>
      </c>
      <c r="BA209" s="21">
        <v>42.896116590905919</v>
      </c>
      <c r="BB209" s="21">
        <v>44.39110423954309</v>
      </c>
      <c r="BC209" s="21">
        <v>46.336623906110759</v>
      </c>
      <c r="BD209" s="21">
        <v>49.09231260978715</v>
      </c>
      <c r="BE209" s="21">
        <v>50</v>
      </c>
    </row>
    <row r="210" spans="29:57" x14ac:dyDescent="0.15">
      <c r="AC210" s="21">
        <v>207</v>
      </c>
      <c r="AD210" s="21">
        <f>[1]节奏总纲!AD210</f>
        <v>77.004247194324648</v>
      </c>
      <c r="AE210" s="21">
        <f>[1]节奏总纲!AE210</f>
        <v>79.061386416569832</v>
      </c>
      <c r="AF210" s="21">
        <f>[1]节奏总纲!AF210</f>
        <v>82.041007317281839</v>
      </c>
      <c r="AG210" s="21">
        <f>[1]节奏总纲!AG210</f>
        <v>86.576763044561957</v>
      </c>
      <c r="AH210" s="21">
        <f>[1]节奏总纲!AH210</f>
        <v>96.008512635801992</v>
      </c>
      <c r="AZ210" s="21">
        <v>207</v>
      </c>
      <c r="BA210" s="21">
        <v>42.930829345832983</v>
      </c>
      <c r="BB210" s="21">
        <v>44.423423547422971</v>
      </c>
      <c r="BC210" s="21">
        <v>46.368730644141969</v>
      </c>
      <c r="BD210" s="21">
        <v>49.123302278281955</v>
      </c>
      <c r="BE210" s="21">
        <v>50</v>
      </c>
    </row>
    <row r="211" spans="29:57" x14ac:dyDescent="0.15">
      <c r="AC211" s="21">
        <v>208</v>
      </c>
      <c r="AD211" s="21">
        <f>[1]节奏总纲!AD211</f>
        <v>77.07125187397483</v>
      </c>
      <c r="AE211" s="21">
        <f>[1]节奏总纲!AE211</f>
        <v>79.128025648620252</v>
      </c>
      <c r="AF211" s="21">
        <f>[1]节奏总纲!AF211</f>
        <v>82.106895829081836</v>
      </c>
      <c r="AG211" s="21">
        <f>[1]节奏总纲!AG211</f>
        <v>86.652597807099568</v>
      </c>
      <c r="AH211" s="21">
        <f>[1]节奏总纲!AH211</f>
        <v>96.069322745727362</v>
      </c>
      <c r="AZ211" s="21">
        <v>208</v>
      </c>
      <c r="BA211" s="21">
        <v>42.965542100760054</v>
      </c>
      <c r="BB211" s="21">
        <v>44.455742855302844</v>
      </c>
      <c r="BC211" s="21">
        <v>46.400837382173179</v>
      </c>
      <c r="BD211" s="21">
        <v>49.154291946776759</v>
      </c>
      <c r="BE211" s="21">
        <v>50</v>
      </c>
    </row>
    <row r="212" spans="29:57" x14ac:dyDescent="0.15">
      <c r="AC212" s="21">
        <v>209</v>
      </c>
      <c r="AD212" s="21">
        <f>[1]节奏总纲!AD212</f>
        <v>77.138256553625013</v>
      </c>
      <c r="AE212" s="21">
        <f>[1]节奏总纲!AE212</f>
        <v>79.194664880670672</v>
      </c>
      <c r="AF212" s="21">
        <f>[1]节奏总纲!AF212</f>
        <v>82.172784340881819</v>
      </c>
      <c r="AG212" s="21">
        <f>[1]节奏总纲!AG212</f>
        <v>86.728432569637178</v>
      </c>
      <c r="AH212" s="21">
        <f>[1]节奏总纲!AH212</f>
        <v>96.130132855652732</v>
      </c>
      <c r="AZ212" s="21">
        <v>209</v>
      </c>
      <c r="BA212" s="21">
        <v>43.000219942361319</v>
      </c>
      <c r="BB212" s="21">
        <v>44.488062163182725</v>
      </c>
      <c r="BC212" s="21">
        <v>46.432944120204397</v>
      </c>
      <c r="BD212" s="21">
        <v>49.18528161527157</v>
      </c>
      <c r="BE212" s="21">
        <v>50</v>
      </c>
    </row>
    <row r="213" spans="29:57" x14ac:dyDescent="0.15">
      <c r="AC213" s="21">
        <v>210</v>
      </c>
      <c r="AD213" s="21">
        <f>[1]节奏总纲!AD213</f>
        <v>77.205261233275195</v>
      </c>
      <c r="AE213" s="21">
        <f>[1]节奏总纲!AE213</f>
        <v>79.261304112721092</v>
      </c>
      <c r="AF213" s="21">
        <f>[1]节奏总纲!AF213</f>
        <v>82.238672852681816</v>
      </c>
      <c r="AG213" s="21">
        <f>[1]节奏总纲!AG213</f>
        <v>86.804267332174788</v>
      </c>
      <c r="AH213" s="21">
        <f>[1]节奏总纲!AH213</f>
        <v>96.190942965578103</v>
      </c>
      <c r="AZ213" s="21">
        <v>210</v>
      </c>
      <c r="BA213" s="21">
        <v>43.030177309109042</v>
      </c>
      <c r="BB213" s="21">
        <v>44.520381471062606</v>
      </c>
      <c r="BC213" s="21">
        <v>46.465050858235607</v>
      </c>
      <c r="BD213" s="21">
        <v>49.216271283766375</v>
      </c>
      <c r="BE213" s="21">
        <v>50</v>
      </c>
    </row>
    <row r="214" spans="29:57" x14ac:dyDescent="0.15">
      <c r="AC214" s="21">
        <v>211</v>
      </c>
      <c r="AD214" s="21">
        <f>[1]节奏总纲!AD214</f>
        <v>77.272265912925377</v>
      </c>
      <c r="AE214" s="21">
        <f>[1]节奏总纲!AE214</f>
        <v>79.327943344771512</v>
      </c>
      <c r="AF214" s="21">
        <f>[1]节奏总纲!AF214</f>
        <v>82.304561364481813</v>
      </c>
      <c r="AG214" s="21">
        <f>[1]节奏总纲!AG214</f>
        <v>86.880102094712413</v>
      </c>
      <c r="AH214" s="21">
        <f>[1]节奏总纲!AH214</f>
        <v>96.251753075503458</v>
      </c>
      <c r="AZ214" s="21">
        <v>211</v>
      </c>
      <c r="BA214" s="21">
        <v>43.060134675856759</v>
      </c>
      <c r="BB214" s="21">
        <v>44.55270077894248</v>
      </c>
      <c r="BC214" s="21">
        <v>46.497157596266817</v>
      </c>
      <c r="BD214" s="21">
        <v>49.247260952261179</v>
      </c>
      <c r="BE214" s="21">
        <v>50</v>
      </c>
    </row>
    <row r="215" spans="29:57" x14ac:dyDescent="0.15">
      <c r="AC215" s="21">
        <v>212</v>
      </c>
      <c r="AD215" s="21">
        <f>[1]节奏总纲!AD215</f>
        <v>77.339270592575559</v>
      </c>
      <c r="AE215" s="21">
        <f>[1]节奏总纲!AE215</f>
        <v>79.394582576821932</v>
      </c>
      <c r="AF215" s="21">
        <f>[1]节奏总纲!AF215</f>
        <v>82.370449876281796</v>
      </c>
      <c r="AG215" s="21">
        <f>[1]节奏总纲!AG215</f>
        <v>86.955936857250023</v>
      </c>
      <c r="AH215" s="21">
        <f>[1]节奏总纲!AH215</f>
        <v>96.312563185428829</v>
      </c>
      <c r="AZ215" s="21">
        <v>212</v>
      </c>
      <c r="BA215" s="21">
        <v>43.090092042604475</v>
      </c>
      <c r="BB215" s="21">
        <v>44.585020086822361</v>
      </c>
      <c r="BC215" s="21">
        <v>46.529264334298034</v>
      </c>
      <c r="BD215" s="21">
        <v>49.278250620755983</v>
      </c>
      <c r="BE215" s="21">
        <v>50</v>
      </c>
    </row>
    <row r="216" spans="29:57" x14ac:dyDescent="0.15">
      <c r="AC216" s="21">
        <v>213</v>
      </c>
      <c r="AD216" s="21">
        <f>[1]节奏总纲!AD216</f>
        <v>77.406275272225741</v>
      </c>
      <c r="AE216" s="21">
        <f>[1]节奏总纲!AE216</f>
        <v>79.461221808872352</v>
      </c>
      <c r="AF216" s="21">
        <f>[1]节奏总纲!AF216</f>
        <v>82.436338388081793</v>
      </c>
      <c r="AG216" s="21">
        <f>[1]节奏总纲!AG216</f>
        <v>87.031203567981635</v>
      </c>
      <c r="AH216" s="21">
        <f>[1]节奏总纲!AH216</f>
        <v>96.373373295354199</v>
      </c>
      <c r="AZ216" s="21">
        <v>213</v>
      </c>
      <c r="BA216" s="21">
        <v>43.120049409352191</v>
      </c>
      <c r="BB216" s="21">
        <v>44.617339394702242</v>
      </c>
      <c r="BC216" s="21">
        <v>46.561371072329244</v>
      </c>
      <c r="BD216" s="21">
        <v>49.309240289250788</v>
      </c>
      <c r="BE216" s="21">
        <v>50</v>
      </c>
    </row>
    <row r="217" spans="29:57" x14ac:dyDescent="0.15">
      <c r="AC217" s="21">
        <v>214</v>
      </c>
      <c r="AD217" s="21">
        <f>[1]节奏总纲!AD217</f>
        <v>77.473279951875909</v>
      </c>
      <c r="AE217" s="21">
        <f>[1]节奏总纲!AE217</f>
        <v>79.527861040922772</v>
      </c>
      <c r="AF217" s="21">
        <f>[1]节奏总纲!AF217</f>
        <v>82.502226899881776</v>
      </c>
      <c r="AG217" s="21">
        <f>[1]节奏总纲!AG217</f>
        <v>87.10568246405397</v>
      </c>
      <c r="AH217" s="21">
        <f>[1]节奏总纲!AH217</f>
        <v>96.434183405279569</v>
      </c>
      <c r="AZ217" s="21">
        <v>214</v>
      </c>
      <c r="BA217" s="21">
        <v>43.150006776099914</v>
      </c>
      <c r="BB217" s="21">
        <v>44.649658702582116</v>
      </c>
      <c r="BC217" s="21">
        <v>46.593477810360454</v>
      </c>
      <c r="BD217" s="21">
        <v>49.340229957745592</v>
      </c>
      <c r="BE217" s="21">
        <v>50</v>
      </c>
    </row>
    <row r="218" spans="29:57" x14ac:dyDescent="0.15">
      <c r="AC218" s="21">
        <v>215</v>
      </c>
      <c r="AD218" s="21">
        <f>[1]节奏总纲!AD218</f>
        <v>77.540284631526092</v>
      </c>
      <c r="AE218" s="21">
        <f>[1]节奏总纲!AE218</f>
        <v>79.594500272973193</v>
      </c>
      <c r="AF218" s="21">
        <f>[1]节奏总纲!AF218</f>
        <v>82.568115411681774</v>
      </c>
      <c r="AG218" s="21">
        <f>[1]节奏总纲!AG218</f>
        <v>87.180161360126306</v>
      </c>
      <c r="AH218" s="21">
        <f>[1]节奏总纲!AH218</f>
        <v>96.494993515204939</v>
      </c>
      <c r="AZ218" s="21">
        <v>215</v>
      </c>
      <c r="BA218" s="21">
        <v>43.179964142847631</v>
      </c>
      <c r="BB218" s="21">
        <v>44.681978010461997</v>
      </c>
      <c r="BC218" s="21">
        <v>46.625584548391664</v>
      </c>
      <c r="BD218" s="21">
        <v>49.371219626240396</v>
      </c>
      <c r="BE218" s="21">
        <v>50</v>
      </c>
    </row>
    <row r="219" spans="29:57" x14ac:dyDescent="0.15">
      <c r="AC219" s="21">
        <v>216</v>
      </c>
      <c r="AD219" s="21">
        <f>[1]节奏总纲!AD219</f>
        <v>77.607289311176274</v>
      </c>
      <c r="AE219" s="21">
        <f>[1]节奏总纲!AE219</f>
        <v>79.661139505023613</v>
      </c>
      <c r="AF219" s="21">
        <f>[1]节奏总纲!AF219</f>
        <v>82.634003923481771</v>
      </c>
      <c r="AG219" s="21">
        <f>[1]节奏总纲!AG219</f>
        <v>87.254640256198641</v>
      </c>
      <c r="AH219" s="21">
        <f>[1]节奏总纲!AH219</f>
        <v>96.555803625130309</v>
      </c>
      <c r="AZ219" s="21">
        <v>216</v>
      </c>
      <c r="BA219" s="21">
        <v>43.209921509595347</v>
      </c>
      <c r="BB219" s="21">
        <v>44.71429731834187</v>
      </c>
      <c r="BC219" s="21">
        <v>46.657691286422882</v>
      </c>
      <c r="BD219" s="21">
        <v>49.402209294735208</v>
      </c>
      <c r="BE219" s="21">
        <v>50</v>
      </c>
    </row>
    <row r="220" spans="29:57" x14ac:dyDescent="0.15">
      <c r="AC220" s="21">
        <v>217</v>
      </c>
      <c r="AD220" s="21">
        <f>[1]节奏总纲!AD220</f>
        <v>77.674293990826456</v>
      </c>
      <c r="AE220" s="21">
        <f>[1]节奏总纲!AE220</f>
        <v>79.727778737074033</v>
      </c>
      <c r="AF220" s="21">
        <f>[1]节奏总纲!AF220</f>
        <v>82.699892435281754</v>
      </c>
      <c r="AG220" s="21">
        <f>[1]节奏总纲!AG220</f>
        <v>87.329119152270991</v>
      </c>
      <c r="AH220" s="21">
        <f>[1]节奏总纲!AH220</f>
        <v>96.61661373505568</v>
      </c>
      <c r="AZ220" s="21">
        <v>217</v>
      </c>
      <c r="BA220" s="21">
        <v>43.239878876343063</v>
      </c>
      <c r="BB220" s="21">
        <v>44.746616626221751</v>
      </c>
      <c r="BC220" s="21">
        <v>46.689798024454092</v>
      </c>
      <c r="BD220" s="21">
        <v>49.433198963230012</v>
      </c>
      <c r="BE220" s="21">
        <v>50</v>
      </c>
    </row>
    <row r="221" spans="29:57" x14ac:dyDescent="0.15">
      <c r="AC221" s="21">
        <v>218</v>
      </c>
      <c r="AD221" s="21">
        <f>[1]节奏总纲!AD221</f>
        <v>77.741298670476638</v>
      </c>
      <c r="AE221" s="21">
        <f>[1]节奏总纲!AE221</f>
        <v>79.794417969124453</v>
      </c>
      <c r="AF221" s="21">
        <f>[1]节奏总纲!AF221</f>
        <v>82.765780947081751</v>
      </c>
      <c r="AG221" s="21">
        <f>[1]节奏总纲!AG221</f>
        <v>87.403598048343326</v>
      </c>
      <c r="AH221" s="21">
        <f>[1]节奏总纲!AH221</f>
        <v>96.67742384498105</v>
      </c>
      <c r="AZ221" s="21">
        <v>218</v>
      </c>
      <c r="BA221" s="21">
        <v>43.269836243090786</v>
      </c>
      <c r="BB221" s="21">
        <v>44.778935934101632</v>
      </c>
      <c r="BC221" s="21">
        <v>46.721904762485302</v>
      </c>
      <c r="BD221" s="21">
        <v>49.464188631724817</v>
      </c>
      <c r="BE221" s="21">
        <v>50</v>
      </c>
    </row>
    <row r="222" spans="29:57" x14ac:dyDescent="0.15">
      <c r="AC222" s="21">
        <v>219</v>
      </c>
      <c r="AD222" s="21">
        <f>[1]节奏总纲!AD222</f>
        <v>77.80830335012682</v>
      </c>
      <c r="AE222" s="21">
        <f>[1]节奏总纲!AE222</f>
        <v>79.861057201174873</v>
      </c>
      <c r="AF222" s="21">
        <f>[1]节奏总纲!AF222</f>
        <v>82.831669458881734</v>
      </c>
      <c r="AG222" s="21">
        <f>[1]节奏总纲!AG222</f>
        <v>87.478076944415662</v>
      </c>
      <c r="AH222" s="21">
        <f>[1]节奏总纲!AH222</f>
        <v>96.73823395490642</v>
      </c>
      <c r="AZ222" s="21">
        <v>219</v>
      </c>
      <c r="BA222" s="21">
        <v>43.299793609838503</v>
      </c>
      <c r="BB222" s="21">
        <v>44.811255241981506</v>
      </c>
      <c r="BC222" s="21">
        <v>46.754011500516519</v>
      </c>
      <c r="BD222" s="21">
        <v>49.495178300219621</v>
      </c>
      <c r="BE222" s="21">
        <v>50</v>
      </c>
    </row>
    <row r="223" spans="29:57" x14ac:dyDescent="0.15">
      <c r="AC223" s="21">
        <v>220</v>
      </c>
      <c r="AD223" s="21">
        <f>[1]节奏总纲!AD223</f>
        <v>77.875308029777003</v>
      </c>
      <c r="AE223" s="21">
        <f>[1]节奏总纲!AE223</f>
        <v>79.927696433225293</v>
      </c>
      <c r="AF223" s="21">
        <f>[1]节奏总纲!AF223</f>
        <v>82.897557970681731</v>
      </c>
      <c r="AG223" s="21">
        <f>[1]节奏总纲!AG223</f>
        <v>87.552555840488012</v>
      </c>
      <c r="AH223" s="21">
        <f>[1]节奏总纲!AH223</f>
        <v>96.79904406483179</v>
      </c>
      <c r="AZ223" s="21">
        <v>220</v>
      </c>
      <c r="BA223" s="21">
        <v>43.329750976586219</v>
      </c>
      <c r="BB223" s="21">
        <v>44.843574549861387</v>
      </c>
      <c r="BC223" s="21">
        <v>46.786118238547729</v>
      </c>
      <c r="BD223" s="21">
        <v>49.526167968714425</v>
      </c>
      <c r="BE223" s="21">
        <v>50</v>
      </c>
    </row>
    <row r="224" spans="29:57" x14ac:dyDescent="0.15">
      <c r="AC224" s="21">
        <v>221</v>
      </c>
      <c r="AD224" s="21">
        <f>[1]节奏总纲!AD224</f>
        <v>77.942312709427185</v>
      </c>
      <c r="AE224" s="21">
        <f>[1]节奏总纲!AE224</f>
        <v>79.994335665275713</v>
      </c>
      <c r="AF224" s="21">
        <f>[1]节奏总纲!AF224</f>
        <v>82.963446482481729</v>
      </c>
      <c r="AG224" s="21">
        <f>[1]节奏总纲!AG224</f>
        <v>87.627034736560347</v>
      </c>
      <c r="AH224" s="21">
        <f>[1]节奏总纲!AH224</f>
        <v>96.85985417475716</v>
      </c>
      <c r="AZ224" s="21">
        <v>221</v>
      </c>
      <c r="BA224" s="21">
        <v>43.359708343333942</v>
      </c>
      <c r="BB224" s="21">
        <v>44.875893857741268</v>
      </c>
      <c r="BC224" s="21">
        <v>46.818224976578939</v>
      </c>
      <c r="BD224" s="21">
        <v>49.55715763720923</v>
      </c>
      <c r="BE224" s="21">
        <v>50</v>
      </c>
    </row>
    <row r="225" spans="29:57" x14ac:dyDescent="0.15">
      <c r="AC225" s="21">
        <v>222</v>
      </c>
      <c r="AD225" s="21">
        <f>[1]节奏总纲!AD225</f>
        <v>78.008693431404168</v>
      </c>
      <c r="AE225" s="21">
        <f>[1]节奏总纲!AE225</f>
        <v>80.05990507131493</v>
      </c>
      <c r="AF225" s="21">
        <f>[1]节奏总纲!AF225</f>
        <v>83.028328094754301</v>
      </c>
      <c r="AG225" s="21">
        <f>[1]节奏总纲!AG225</f>
        <v>87.701513632632683</v>
      </c>
      <c r="AH225" s="21">
        <f>[1]节奏总纲!AH225</f>
        <v>96.920664284682516</v>
      </c>
      <c r="AZ225" s="21">
        <v>222</v>
      </c>
      <c r="BA225" s="21">
        <v>43.389665710081658</v>
      </c>
      <c r="BB225" s="21">
        <v>44.908213165621142</v>
      </c>
      <c r="BC225" s="21">
        <v>46.850331714610157</v>
      </c>
      <c r="BD225" s="21">
        <v>49.588147305704041</v>
      </c>
      <c r="BE225" s="21">
        <v>50</v>
      </c>
    </row>
    <row r="226" spans="29:57" x14ac:dyDescent="0.15">
      <c r="AC226" s="21">
        <v>223</v>
      </c>
      <c r="AD226" s="21">
        <f>[1]节奏总纲!AD226</f>
        <v>78.071211008105138</v>
      </c>
      <c r="AE226" s="21">
        <f>[1]节奏总纲!AE226</f>
        <v>80.125375094609936</v>
      </c>
      <c r="AF226" s="21">
        <f>[1]节奏总纲!AF226</f>
        <v>83.091955037632331</v>
      </c>
      <c r="AG226" s="21">
        <f>[1]节奏总纲!AG226</f>
        <v>87.775992528705018</v>
      </c>
      <c r="AH226" s="21">
        <f>[1]节奏总纲!AH226</f>
        <v>96.981474394607886</v>
      </c>
      <c r="AZ226" s="21">
        <v>223</v>
      </c>
      <c r="BA226" s="21">
        <v>43.419623076829374</v>
      </c>
      <c r="BB226" s="21">
        <v>44.940532473501023</v>
      </c>
      <c r="BC226" s="21">
        <v>46.882438452641367</v>
      </c>
      <c r="BD226" s="21">
        <v>49.619136974198845</v>
      </c>
      <c r="BE226" s="21">
        <v>50</v>
      </c>
    </row>
    <row r="227" spans="29:57" x14ac:dyDescent="0.15">
      <c r="AC227" s="21">
        <v>224</v>
      </c>
      <c r="AD227" s="21">
        <f>[1]节奏总纲!AD227</f>
        <v>78.133728584806107</v>
      </c>
      <c r="AE227" s="21">
        <f>[1]节奏总纲!AE227</f>
        <v>80.190845117904942</v>
      </c>
      <c r="AF227" s="21">
        <f>[1]节奏总纲!AF227</f>
        <v>83.155581980510348</v>
      </c>
      <c r="AG227" s="21">
        <f>[1]节奏总纲!AG227</f>
        <v>87.850471424777368</v>
      </c>
      <c r="AH227" s="21">
        <f>[1]节奏总纲!AH227</f>
        <v>97.03979962522213</v>
      </c>
      <c r="AZ227" s="21">
        <v>224</v>
      </c>
      <c r="BA227" s="21">
        <v>43.449580443577091</v>
      </c>
      <c r="BB227" s="21">
        <v>44.972851781380903</v>
      </c>
      <c r="BC227" s="21">
        <v>46.914545190672577</v>
      </c>
      <c r="BD227" s="21">
        <v>49.65012664269365</v>
      </c>
      <c r="BE227" s="21">
        <v>50</v>
      </c>
    </row>
    <row r="228" spans="29:57" x14ac:dyDescent="0.15">
      <c r="AC228" s="21">
        <v>225</v>
      </c>
      <c r="AD228" s="21">
        <f>[1]节奏总纲!AD228</f>
        <v>78.196246161507091</v>
      </c>
      <c r="AE228" s="21">
        <f>[1]节奏总纲!AE228</f>
        <v>80.256315141199948</v>
      </c>
      <c r="AF228" s="21">
        <f>[1]节奏总纲!AF228</f>
        <v>83.219208923388379</v>
      </c>
      <c r="AG228" s="21">
        <f>[1]节奏总纲!AG228</f>
        <v>87.924950320849703</v>
      </c>
      <c r="AH228" s="21">
        <f>[1]节奏总纲!AH228</f>
        <v>97.097036185315744</v>
      </c>
      <c r="AZ228" s="21">
        <v>225</v>
      </c>
      <c r="BA228" s="21">
        <v>43.479537810324814</v>
      </c>
      <c r="BB228" s="21">
        <v>45.004463376644416</v>
      </c>
      <c r="BC228" s="21">
        <v>46.946651928703794</v>
      </c>
      <c r="BD228" s="21">
        <v>49.681116311188454</v>
      </c>
      <c r="BE228" s="21">
        <v>50</v>
      </c>
    </row>
    <row r="229" spans="29:57" x14ac:dyDescent="0.15">
      <c r="AC229" s="21">
        <v>226</v>
      </c>
      <c r="AD229" s="21">
        <f>[1]节奏总纲!AD229</f>
        <v>78.25876373820806</v>
      </c>
      <c r="AE229" s="21">
        <f>[1]节奏总纲!AE229</f>
        <v>80.321785164494941</v>
      </c>
      <c r="AF229" s="21">
        <f>[1]节奏总纲!AF229</f>
        <v>83.282835866266396</v>
      </c>
      <c r="AG229" s="21">
        <f>[1]节奏总纲!AG229</f>
        <v>87.999429216922039</v>
      </c>
      <c r="AH229" s="21">
        <f>[1]节奏总纲!AH229</f>
        <v>97.154272745409358</v>
      </c>
      <c r="AZ229" s="21">
        <v>226</v>
      </c>
      <c r="BA229" s="21">
        <v>43.50949517707253</v>
      </c>
      <c r="BB229" s="21">
        <v>45.032359480672049</v>
      </c>
      <c r="BC229" s="21">
        <v>46.978758666735004</v>
      </c>
      <c r="BD229" s="21">
        <v>49.712105979683258</v>
      </c>
      <c r="BE229" s="21">
        <v>50</v>
      </c>
    </row>
    <row r="230" spans="29:57" x14ac:dyDescent="0.15">
      <c r="AC230" s="21">
        <v>227</v>
      </c>
      <c r="AD230" s="21">
        <f>[1]节奏总纲!AD230</f>
        <v>78.321281314909029</v>
      </c>
      <c r="AE230" s="21">
        <f>[1]节奏总纲!AE230</f>
        <v>80.387255187789947</v>
      </c>
      <c r="AF230" s="21">
        <f>[1]节奏总纲!AF230</f>
        <v>83.346462809144427</v>
      </c>
      <c r="AG230" s="21">
        <f>[1]节奏总纲!AG230</f>
        <v>88.069378113045531</v>
      </c>
      <c r="AH230" s="21">
        <f>[1]节奏总纲!AH230</f>
        <v>97.211509305502972</v>
      </c>
      <c r="AZ230" s="21">
        <v>227</v>
      </c>
      <c r="BA230" s="21">
        <v>43.539452543820246</v>
      </c>
      <c r="BB230" s="21">
        <v>45.060255584699682</v>
      </c>
      <c r="BC230" s="21">
        <v>47.009379755645142</v>
      </c>
      <c r="BD230" s="21">
        <v>49.743095648178063</v>
      </c>
      <c r="BE230" s="21">
        <v>50</v>
      </c>
    </row>
    <row r="231" spans="29:57" x14ac:dyDescent="0.15">
      <c r="AC231" s="21">
        <v>228</v>
      </c>
      <c r="AD231" s="21">
        <f>[1]节奏总纲!AD231</f>
        <v>78.383798891610013</v>
      </c>
      <c r="AE231" s="21">
        <f>[1]节奏总纲!AE231</f>
        <v>80.452725211084953</v>
      </c>
      <c r="AF231" s="21">
        <f>[1]节奏总纲!AF231</f>
        <v>83.410089752022458</v>
      </c>
      <c r="AG231" s="21">
        <f>[1]节奏总纲!AG231</f>
        <v>88.139292024548126</v>
      </c>
      <c r="AH231" s="21">
        <f>[1]节奏总纲!AH231</f>
        <v>97.268745865596571</v>
      </c>
      <c r="AZ231" s="21">
        <v>228</v>
      </c>
      <c r="BA231" s="21">
        <v>43.569409910567963</v>
      </c>
      <c r="BB231" s="21">
        <v>45.088151688727308</v>
      </c>
      <c r="BC231" s="21">
        <v>47.037096473409001</v>
      </c>
      <c r="BD231" s="21">
        <v>49.774085316672867</v>
      </c>
      <c r="BE231" s="21">
        <v>50</v>
      </c>
    </row>
    <row r="232" spans="29:57" x14ac:dyDescent="0.15">
      <c r="AC232" s="21">
        <v>229</v>
      </c>
      <c r="AD232" s="21">
        <f>[1]节奏总纲!AD232</f>
        <v>78.446316468310982</v>
      </c>
      <c r="AE232" s="21">
        <f>[1]节奏总纲!AE232</f>
        <v>80.518195234379959</v>
      </c>
      <c r="AF232" s="21">
        <f>[1]节奏总纲!AF232</f>
        <v>83.473716694900475</v>
      </c>
      <c r="AG232" s="21">
        <f>[1]节奏总纲!AG232</f>
        <v>88.209205936050708</v>
      </c>
      <c r="AH232" s="21">
        <f>[1]节奏总纲!AH232</f>
        <v>97.325982425690185</v>
      </c>
      <c r="AZ232" s="21">
        <v>229</v>
      </c>
      <c r="BA232" s="21">
        <v>43.599367277315686</v>
      </c>
      <c r="BB232" s="21">
        <v>45.116047792754941</v>
      </c>
      <c r="BC232" s="21">
        <v>47.06481319117286</v>
      </c>
      <c r="BD232" s="21">
        <v>49.805074985167678</v>
      </c>
      <c r="BE232" s="21">
        <v>50</v>
      </c>
    </row>
    <row r="233" spans="29:57" x14ac:dyDescent="0.15">
      <c r="AC233" s="21">
        <v>230</v>
      </c>
      <c r="AD233" s="21">
        <f>[1]节奏总纲!AD233</f>
        <v>78.508834045011952</v>
      </c>
      <c r="AE233" s="21">
        <f>[1]节奏总纲!AE233</f>
        <v>80.583665257674966</v>
      </c>
      <c r="AF233" s="21">
        <f>[1]节奏总纲!AF233</f>
        <v>83.537343637778505</v>
      </c>
      <c r="AG233" s="21">
        <f>[1]节奏总纲!AG233</f>
        <v>88.279119847553304</v>
      </c>
      <c r="AH233" s="21">
        <f>[1]节奏总纲!AH233</f>
        <v>97.383218985783799</v>
      </c>
      <c r="AZ233" s="21">
        <v>230</v>
      </c>
      <c r="BA233" s="21">
        <v>43.629324644063402</v>
      </c>
      <c r="BB233" s="21">
        <v>45.143943896782567</v>
      </c>
      <c r="BC233" s="21">
        <v>47.092529908936719</v>
      </c>
      <c r="BD233" s="21">
        <v>49.836064653662483</v>
      </c>
      <c r="BE233" s="21">
        <v>50</v>
      </c>
    </row>
    <row r="234" spans="29:57" x14ac:dyDescent="0.15">
      <c r="AC234" s="21">
        <v>231</v>
      </c>
      <c r="AD234" s="21">
        <f>[1]节奏总纲!AD234</f>
        <v>78.571351621712921</v>
      </c>
      <c r="AE234" s="21">
        <f>[1]节奏总纲!AE234</f>
        <v>80.649135280969972</v>
      </c>
      <c r="AF234" s="21">
        <f>[1]节奏总纲!AF234</f>
        <v>83.600970580656536</v>
      </c>
      <c r="AG234" s="21">
        <f>[1]节奏总纲!AG234</f>
        <v>88.349033759055899</v>
      </c>
      <c r="AH234" s="21">
        <f>[1]节奏总纲!AH234</f>
        <v>97.440455545877413</v>
      </c>
      <c r="AZ234" s="21">
        <v>231</v>
      </c>
      <c r="BA234" s="21">
        <v>43.659282010811118</v>
      </c>
      <c r="BB234" s="21">
        <v>45.171840000810199</v>
      </c>
      <c r="BC234" s="21">
        <v>47.120246626700578</v>
      </c>
      <c r="BD234" s="21">
        <v>49.867054322157287</v>
      </c>
      <c r="BE234" s="21">
        <v>50</v>
      </c>
    </row>
    <row r="235" spans="29:57" x14ac:dyDescent="0.15">
      <c r="AC235" s="21">
        <v>232</v>
      </c>
      <c r="AD235" s="21">
        <f>[1]节奏总纲!AD235</f>
        <v>78.633869198413905</v>
      </c>
      <c r="AE235" s="21">
        <f>[1]节奏总纲!AE235</f>
        <v>80.714605304264978</v>
      </c>
      <c r="AF235" s="21">
        <f>[1]节奏总纲!AF235</f>
        <v>83.664597523534553</v>
      </c>
      <c r="AG235" s="21">
        <f>[1]节奏总纲!AG235</f>
        <v>88.418947670558495</v>
      </c>
      <c r="AH235" s="21">
        <f>[1]节奏总纲!AH235</f>
        <v>97.497692105971026</v>
      </c>
      <c r="AZ235" s="21">
        <v>232</v>
      </c>
      <c r="BA235" s="21">
        <v>43.689239377558835</v>
      </c>
      <c r="BB235" s="21">
        <v>45.199736104837825</v>
      </c>
      <c r="BC235" s="21">
        <v>47.147963344464429</v>
      </c>
      <c r="BD235" s="21">
        <v>49.898043990652091</v>
      </c>
      <c r="BE235" s="21">
        <v>50</v>
      </c>
    </row>
    <row r="236" spans="29:57" x14ac:dyDescent="0.15">
      <c r="AC236" s="21">
        <v>233</v>
      </c>
      <c r="AD236" s="21">
        <f>[1]节奏总纲!AD236</f>
        <v>78.696386775114874</v>
      </c>
      <c r="AE236" s="21">
        <f>[1]节奏总纲!AE236</f>
        <v>80.78007532755997</v>
      </c>
      <c r="AF236" s="21">
        <f>[1]节奏总纲!AF236</f>
        <v>83.728224466412584</v>
      </c>
      <c r="AG236" s="21">
        <f>[1]节奏总纲!AG236</f>
        <v>88.488861582061077</v>
      </c>
      <c r="AH236" s="21">
        <f>[1]节奏总纲!AH236</f>
        <v>97.554928666064626</v>
      </c>
      <c r="AZ236" s="21">
        <v>233</v>
      </c>
      <c r="BA236" s="21">
        <v>43.719196744306558</v>
      </c>
      <c r="BB236" s="21">
        <v>45.227632208865458</v>
      </c>
      <c r="BC236" s="21">
        <v>47.175680062228288</v>
      </c>
      <c r="BD236" s="21">
        <v>49.929033659146896</v>
      </c>
      <c r="BE236" s="21">
        <v>50</v>
      </c>
    </row>
    <row r="237" spans="29:57" x14ac:dyDescent="0.15">
      <c r="AC237" s="21">
        <v>234</v>
      </c>
      <c r="AD237" s="21">
        <f>[1]节奏总纲!AD237</f>
        <v>78.758904351815843</v>
      </c>
      <c r="AE237" s="21">
        <f>[1]节奏总纲!AE237</f>
        <v>80.845545350854977</v>
      </c>
      <c r="AF237" s="21">
        <f>[1]节奏总纲!AF237</f>
        <v>83.791851409290615</v>
      </c>
      <c r="AG237" s="21">
        <f>[1]节奏总纲!AG237</f>
        <v>88.558775493563672</v>
      </c>
      <c r="AH237" s="21">
        <f>[1]节奏总纲!AH237</f>
        <v>97.61216522615824</v>
      </c>
      <c r="AZ237" s="21">
        <v>234</v>
      </c>
      <c r="BA237" s="21">
        <v>43.749154111054274</v>
      </c>
      <c r="BB237" s="21">
        <v>45.255528312893091</v>
      </c>
      <c r="BC237" s="21">
        <v>47.203396779992147</v>
      </c>
      <c r="BD237" s="21">
        <v>49.9600233276417</v>
      </c>
      <c r="BE237" s="21">
        <v>50</v>
      </c>
    </row>
    <row r="238" spans="29:57" x14ac:dyDescent="0.15">
      <c r="AC238" s="21">
        <v>235</v>
      </c>
      <c r="AD238" s="21">
        <f>[1]节奏总纲!AD238</f>
        <v>78.821421928516827</v>
      </c>
      <c r="AE238" s="21">
        <f>[1]节奏总纲!AE238</f>
        <v>80.911015374149983</v>
      </c>
      <c r="AF238" s="21">
        <f>[1]节奏总纲!AF238</f>
        <v>83.855478352168632</v>
      </c>
      <c r="AG238" s="21">
        <f>[1]节奏总纲!AG238</f>
        <v>88.628689405066268</v>
      </c>
      <c r="AH238" s="21">
        <f>[1]节奏总纲!AH238</f>
        <v>97.669401786251854</v>
      </c>
      <c r="AZ238" s="21">
        <v>235</v>
      </c>
      <c r="BA238" s="21">
        <v>43.77911147780199</v>
      </c>
      <c r="BB238" s="21">
        <v>45.283424416920717</v>
      </c>
      <c r="BC238" s="21">
        <v>47.231113497756006</v>
      </c>
      <c r="BD238" s="21">
        <v>49.991012996136504</v>
      </c>
      <c r="BE238" s="21">
        <v>50</v>
      </c>
    </row>
    <row r="239" spans="29:57" x14ac:dyDescent="0.15">
      <c r="AC239" s="21">
        <v>236</v>
      </c>
      <c r="AD239" s="21">
        <f>[1]节奏总纲!AD239</f>
        <v>78.883939505217796</v>
      </c>
      <c r="AE239" s="21">
        <f>[1]节奏总纲!AE239</f>
        <v>80.976485397444989</v>
      </c>
      <c r="AF239" s="21">
        <f>[1]节奏总纲!AF239</f>
        <v>83.919105295046663</v>
      </c>
      <c r="AG239" s="21">
        <f>[1]节奏总纲!AG239</f>
        <v>88.698603316568864</v>
      </c>
      <c r="AH239" s="21">
        <f>[1]节奏总纲!AH239</f>
        <v>97.726638346345467</v>
      </c>
      <c r="AZ239" s="21">
        <v>236</v>
      </c>
      <c r="BA239" s="21">
        <v>43.809068844549707</v>
      </c>
      <c r="BB239" s="21">
        <v>45.31132052094835</v>
      </c>
      <c r="BC239" s="21">
        <v>47.258830215519865</v>
      </c>
      <c r="BD239" s="21">
        <v>50</v>
      </c>
      <c r="BE239" s="21">
        <v>50</v>
      </c>
    </row>
    <row r="240" spans="29:57" x14ac:dyDescent="0.15">
      <c r="AC240" s="21">
        <v>237</v>
      </c>
      <c r="AD240" s="21">
        <f>[1]节奏总纲!AD240</f>
        <v>78.946457081918766</v>
      </c>
      <c r="AE240" s="21">
        <f>[1]节奏总纲!AE240</f>
        <v>81.038163244467697</v>
      </c>
      <c r="AF240" s="21">
        <f>[1]节奏总纲!AF240</f>
        <v>83.982732237924694</v>
      </c>
      <c r="AG240" s="21">
        <f>[1]节奏总纲!AG240</f>
        <v>88.768517228071445</v>
      </c>
      <c r="AH240" s="21">
        <f>[1]节奏总纲!AH240</f>
        <v>97.783874906439081</v>
      </c>
      <c r="AZ240" s="21">
        <v>237</v>
      </c>
      <c r="BA240" s="21">
        <v>43.83902621129743</v>
      </c>
      <c r="BB240" s="21">
        <v>45.339216624975975</v>
      </c>
      <c r="BC240" s="21">
        <v>47.286546933283724</v>
      </c>
      <c r="BD240" s="21">
        <v>50</v>
      </c>
      <c r="BE240" s="21">
        <v>50</v>
      </c>
    </row>
    <row r="241" spans="29:57" x14ac:dyDescent="0.15">
      <c r="AC241" s="21">
        <v>238</v>
      </c>
      <c r="AD241" s="21">
        <f>[1]节奏总纲!AD241</f>
        <v>79.008373652580005</v>
      </c>
      <c r="AE241" s="21">
        <f>[1]节奏总纲!AE241</f>
        <v>81.097715704203424</v>
      </c>
      <c r="AF241" s="21">
        <f>[1]节奏总纲!AF241</f>
        <v>84.043767921022209</v>
      </c>
      <c r="AG241" s="21">
        <f>[1]节奏总纲!AG241</f>
        <v>88.838431139574041</v>
      </c>
      <c r="AH241" s="21">
        <f>[1]节奏总纲!AH241</f>
        <v>97.841111466532681</v>
      </c>
      <c r="AZ241" s="21">
        <v>238</v>
      </c>
      <c r="BA241" s="21">
        <v>43.868983578045146</v>
      </c>
      <c r="BB241" s="21">
        <v>45.367112729003608</v>
      </c>
      <c r="BC241" s="21">
        <v>47.314263651047582</v>
      </c>
      <c r="BD241" s="21">
        <v>50</v>
      </c>
      <c r="BE241" s="21">
        <v>50</v>
      </c>
    </row>
    <row r="242" spans="29:57" x14ac:dyDescent="0.15">
      <c r="AC242" s="21">
        <v>239</v>
      </c>
      <c r="AD242" s="21">
        <f>[1]节奏总纲!AD242</f>
        <v>79.066704614192943</v>
      </c>
      <c r="AE242" s="21">
        <f>[1]节奏总纲!AE242</f>
        <v>81.157268163939136</v>
      </c>
      <c r="AF242" s="21">
        <f>[1]节奏总纲!AF242</f>
        <v>84.103838417578672</v>
      </c>
      <c r="AG242" s="21">
        <f>[1]节奏总纲!AG242</f>
        <v>88.908345051076637</v>
      </c>
      <c r="AH242" s="21">
        <f>[1]节奏总纲!AH242</f>
        <v>97.898348026626294</v>
      </c>
      <c r="AZ242" s="21">
        <v>239</v>
      </c>
      <c r="BA242" s="21">
        <v>43.898940944792862</v>
      </c>
      <c r="BB242" s="21">
        <v>45.395008833031234</v>
      </c>
      <c r="BC242" s="21">
        <v>47.341980368811441</v>
      </c>
      <c r="BD242" s="21">
        <v>50</v>
      </c>
      <c r="BE242" s="21">
        <v>50</v>
      </c>
    </row>
    <row r="243" spans="29:57" x14ac:dyDescent="0.15">
      <c r="AC243" s="21">
        <v>240</v>
      </c>
      <c r="AD243" s="21">
        <f>[1]节奏总纲!AD243</f>
        <v>79.125035575805882</v>
      </c>
      <c r="AE243" s="21">
        <f>[1]节奏总纲!AE243</f>
        <v>81.216820623674849</v>
      </c>
      <c r="AF243" s="21">
        <f>[1]节奏总纲!AF243</f>
        <v>84.163908914135135</v>
      </c>
      <c r="AG243" s="21">
        <f>[1]节奏总纲!AG243</f>
        <v>88.978258962579233</v>
      </c>
      <c r="AH243" s="21">
        <f>[1]节奏总纲!AH243</f>
        <v>97.955584586719908</v>
      </c>
      <c r="AZ243" s="21">
        <v>240</v>
      </c>
      <c r="BA243" s="21">
        <v>43.928898311540586</v>
      </c>
      <c r="BB243" s="21">
        <v>45.422904937058867</v>
      </c>
      <c r="BC243" s="21">
        <v>47.3696970865753</v>
      </c>
      <c r="BD243" s="21">
        <v>50</v>
      </c>
      <c r="BE243" s="21">
        <v>50</v>
      </c>
    </row>
    <row r="244" spans="29:57" x14ac:dyDescent="0.15">
      <c r="AC244" s="21">
        <v>241</v>
      </c>
      <c r="AD244" s="21">
        <f>[1]节奏总纲!AD244</f>
        <v>79.18336653741882</v>
      </c>
      <c r="AE244" s="21">
        <f>[1]节奏总纲!AE244</f>
        <v>81.276373083410562</v>
      </c>
      <c r="AF244" s="21">
        <f>[1]节奏总纲!AF244</f>
        <v>84.223979410691598</v>
      </c>
      <c r="AG244" s="21">
        <f>[1]节奏总纲!AG244</f>
        <v>89.047272179270863</v>
      </c>
      <c r="AH244" s="21">
        <f>[1]节奏总纲!AH244</f>
        <v>98.013314854852808</v>
      </c>
      <c r="AZ244" s="21">
        <v>241</v>
      </c>
      <c r="BA244" s="21">
        <v>43.958855678288302</v>
      </c>
      <c r="BB244" s="21">
        <v>45.450801041086493</v>
      </c>
      <c r="BC244" s="21">
        <v>47.397413804339159</v>
      </c>
      <c r="BD244" s="21">
        <v>50</v>
      </c>
      <c r="BE244" s="21">
        <v>50</v>
      </c>
    </row>
    <row r="245" spans="29:57" x14ac:dyDescent="0.15">
      <c r="AC245" s="21">
        <v>242</v>
      </c>
      <c r="AD245" s="21">
        <f>[1]节奏总纲!AD245</f>
        <v>79.241697499031773</v>
      </c>
      <c r="AE245" s="21">
        <f>[1]节奏总纲!AE245</f>
        <v>81.335925543146274</v>
      </c>
      <c r="AF245" s="21">
        <f>[1]节奏总纲!AF245</f>
        <v>84.284049907248061</v>
      </c>
      <c r="AG245" s="21">
        <f>[1]节奏总纲!AG245</f>
        <v>89.11587890081428</v>
      </c>
      <c r="AH245" s="21">
        <f>[1]节奏总纲!AH245</f>
        <v>98.072755441643167</v>
      </c>
      <c r="AZ245" s="21">
        <v>242</v>
      </c>
      <c r="BA245" s="21">
        <v>43.988813045036018</v>
      </c>
      <c r="BB245" s="21">
        <v>45.478697145114126</v>
      </c>
      <c r="BC245" s="21">
        <v>47.425130522103018</v>
      </c>
      <c r="BD245" s="21">
        <v>50</v>
      </c>
      <c r="BE245" s="21">
        <v>50</v>
      </c>
    </row>
    <row r="246" spans="29:57" x14ac:dyDescent="0.15">
      <c r="AC246" s="21">
        <v>243</v>
      </c>
      <c r="AD246" s="21">
        <f>[1]节奏总纲!AD246</f>
        <v>79.300028460644711</v>
      </c>
      <c r="AE246" s="21">
        <f>[1]节奏总纲!AE246</f>
        <v>81.395478002882001</v>
      </c>
      <c r="AF246" s="21">
        <f>[1]节奏总纲!AF246</f>
        <v>84.344120403804524</v>
      </c>
      <c r="AG246" s="21">
        <f>[1]节奏总纲!AG246</f>
        <v>89.184485622357698</v>
      </c>
      <c r="AH246" s="21">
        <f>[1]节奏总纲!AH246</f>
        <v>98.132196028433526</v>
      </c>
      <c r="AZ246" s="21">
        <v>243</v>
      </c>
      <c r="BA246" s="21">
        <v>44.016200268136501</v>
      </c>
      <c r="BB246" s="21">
        <v>45.506593249141758</v>
      </c>
      <c r="BC246" s="21">
        <v>47.452847239866877</v>
      </c>
      <c r="BD246" s="21">
        <v>50</v>
      </c>
      <c r="BE246" s="21">
        <v>50</v>
      </c>
    </row>
    <row r="247" spans="29:57" x14ac:dyDescent="0.15">
      <c r="AC247" s="21">
        <v>244</v>
      </c>
      <c r="AD247" s="21">
        <f>[1]节奏总纲!AD247</f>
        <v>79.358359422257649</v>
      </c>
      <c r="AE247" s="21">
        <f>[1]节奏总纲!AE247</f>
        <v>81.455030462617714</v>
      </c>
      <c r="AF247" s="21">
        <f>[1]节奏总纲!AF247</f>
        <v>84.404190900360987</v>
      </c>
      <c r="AG247" s="21">
        <f>[1]节奏总纲!AG247</f>
        <v>89.253092343901116</v>
      </c>
      <c r="AH247" s="21">
        <f>[1]节奏总纲!AH247</f>
        <v>98.191636615223871</v>
      </c>
      <c r="AZ247" s="21">
        <v>244</v>
      </c>
      <c r="BA247" s="21">
        <v>44.042055714440401</v>
      </c>
      <c r="BB247" s="21">
        <v>45.534489353169384</v>
      </c>
      <c r="BC247" s="21">
        <v>47.480563957630736</v>
      </c>
      <c r="BD247" s="21">
        <v>50</v>
      </c>
      <c r="BE247" s="21">
        <v>50</v>
      </c>
    </row>
    <row r="248" spans="29:57" x14ac:dyDescent="0.15">
      <c r="AC248" s="21">
        <v>245</v>
      </c>
      <c r="AD248" s="21">
        <f>[1]节奏总纲!AD248</f>
        <v>79.416690383870588</v>
      </c>
      <c r="AE248" s="21">
        <f>[1]节奏总纲!AE248</f>
        <v>81.514582922353426</v>
      </c>
      <c r="AF248" s="21">
        <f>[1]节奏总纲!AF248</f>
        <v>84.46426139691745</v>
      </c>
      <c r="AG248" s="21">
        <f>[1]节奏总纲!AG248</f>
        <v>89.321699065444534</v>
      </c>
      <c r="AH248" s="21">
        <f>[1]节奏总纲!AH248</f>
        <v>98.25107720201423</v>
      </c>
      <c r="AZ248" s="21">
        <v>245</v>
      </c>
      <c r="BA248" s="21">
        <v>44.067911160744309</v>
      </c>
      <c r="BB248" s="21">
        <v>45.562385457197017</v>
      </c>
      <c r="BC248" s="21">
        <v>47.508280675394595</v>
      </c>
      <c r="BD248" s="21">
        <v>50</v>
      </c>
      <c r="BE248" s="21">
        <v>50</v>
      </c>
    </row>
    <row r="249" spans="29:57" x14ac:dyDescent="0.15">
      <c r="AC249" s="21">
        <v>246</v>
      </c>
      <c r="AD249" s="21">
        <f>[1]节奏总纲!AD249</f>
        <v>79.475021345483526</v>
      </c>
      <c r="AE249" s="21">
        <f>[1]节奏总纲!AE249</f>
        <v>81.574135382089139</v>
      </c>
      <c r="AF249" s="21">
        <f>[1]节奏总纲!AF249</f>
        <v>84.524331893473914</v>
      </c>
      <c r="AG249" s="21">
        <f>[1]节奏总纲!AG249</f>
        <v>89.390305786987952</v>
      </c>
      <c r="AH249" s="21">
        <f>[1]节奏总纲!AH249</f>
        <v>98.310517788804589</v>
      </c>
      <c r="AZ249" s="21">
        <v>246</v>
      </c>
      <c r="BA249" s="21">
        <v>44.093766607048209</v>
      </c>
      <c r="BB249" s="21">
        <v>45.590281561224643</v>
      </c>
      <c r="BC249" s="21">
        <v>47.535997393158453</v>
      </c>
      <c r="BD249" s="21">
        <v>50</v>
      </c>
      <c r="BE249" s="21">
        <v>50</v>
      </c>
    </row>
    <row r="250" spans="29:57" x14ac:dyDescent="0.15">
      <c r="AC250" s="21">
        <v>247</v>
      </c>
      <c r="AD250" s="21">
        <f>[1]节奏总纲!AD250</f>
        <v>79.533352307096465</v>
      </c>
      <c r="AE250" s="21">
        <f>[1]节奏总纲!AE250</f>
        <v>81.633687841824852</v>
      </c>
      <c r="AF250" s="21">
        <f>[1]节奏总纲!AF250</f>
        <v>84.584402390030377</v>
      </c>
      <c r="AG250" s="21">
        <f>[1]节奏总纲!AG250</f>
        <v>89.45891250853137</v>
      </c>
      <c r="AH250" s="21">
        <f>[1]节奏总纲!AH250</f>
        <v>98.369958375594933</v>
      </c>
      <c r="AZ250" s="21">
        <v>247</v>
      </c>
      <c r="BA250" s="21">
        <v>44.11962205335211</v>
      </c>
      <c r="BB250" s="21">
        <v>45.618177665252276</v>
      </c>
      <c r="BC250" s="21">
        <v>47.563714110922312</v>
      </c>
      <c r="BD250" s="21">
        <v>50</v>
      </c>
      <c r="BE250" s="21">
        <v>50</v>
      </c>
    </row>
    <row r="251" spans="29:57" x14ac:dyDescent="0.15">
      <c r="AC251" s="21">
        <v>248</v>
      </c>
      <c r="AD251" s="21">
        <f>[1]节奏总纲!AD251</f>
        <v>79.591683268709417</v>
      </c>
      <c r="AE251" s="21">
        <f>[1]节奏总纲!AE251</f>
        <v>81.693240301560579</v>
      </c>
      <c r="AF251" s="21">
        <f>[1]节奏总纲!AF251</f>
        <v>84.64447288658684</v>
      </c>
      <c r="AG251" s="21">
        <f>[1]节奏总纲!AG251</f>
        <v>89.527519230074788</v>
      </c>
      <c r="AH251" s="21">
        <f>[1]节奏总纲!AH251</f>
        <v>98.429398962385292</v>
      </c>
      <c r="AZ251" s="21">
        <v>248</v>
      </c>
      <c r="BA251" s="21">
        <v>44.145477499656018</v>
      </c>
      <c r="BB251" s="21">
        <v>45.646073769279901</v>
      </c>
      <c r="BC251" s="21">
        <v>47.591430828686171</v>
      </c>
      <c r="BD251" s="21">
        <v>50</v>
      </c>
      <c r="BE251" s="21">
        <v>50</v>
      </c>
    </row>
    <row r="252" spans="29:57" x14ac:dyDescent="0.15">
      <c r="AC252" s="21">
        <v>249</v>
      </c>
      <c r="AD252" s="21">
        <f>[1]节奏总纲!AD252</f>
        <v>79.650014230322356</v>
      </c>
      <c r="AE252" s="21">
        <f>[1]节奏总纲!AE252</f>
        <v>81.752792761296291</v>
      </c>
      <c r="AF252" s="21">
        <f>[1]节奏总纲!AF252</f>
        <v>84.704543383143317</v>
      </c>
      <c r="AG252" s="21">
        <f>[1]节奏总纲!AG252</f>
        <v>89.596125951618205</v>
      </c>
      <c r="AH252" s="21">
        <f>[1]节奏总纲!AH252</f>
        <v>98.488839549175651</v>
      </c>
      <c r="AZ252" s="21">
        <v>249</v>
      </c>
      <c r="BA252" s="21">
        <v>44.171332945959918</v>
      </c>
      <c r="BB252" s="21">
        <v>45.673969873307534</v>
      </c>
      <c r="BC252" s="21">
        <v>47.61914754645003</v>
      </c>
      <c r="BD252" s="21">
        <v>50</v>
      </c>
      <c r="BE252" s="21">
        <v>50</v>
      </c>
    </row>
    <row r="253" spans="29:57" x14ac:dyDescent="0.15">
      <c r="AC253" s="21">
        <v>250</v>
      </c>
      <c r="AD253" s="21">
        <f>[1]节奏总纲!AD253</f>
        <v>79.708345191935294</v>
      </c>
      <c r="AE253" s="21">
        <f>[1]节奏总纲!AE253</f>
        <v>81.812345221032004</v>
      </c>
      <c r="AF253" s="21">
        <f>[1]节奏总纲!AF253</f>
        <v>84.76461387969978</v>
      </c>
      <c r="AG253" s="21">
        <f>[1]节奏总纲!AG253</f>
        <v>89.664732673161623</v>
      </c>
      <c r="AH253" s="21">
        <f>[1]节奏总纲!AH253</f>
        <v>98.548280135965996</v>
      </c>
      <c r="AZ253" s="21">
        <v>250</v>
      </c>
      <c r="BA253" s="21">
        <v>44.197188392263818</v>
      </c>
      <c r="BB253" s="21">
        <v>45.701865977335167</v>
      </c>
      <c r="BC253" s="21">
        <v>47.646864264213889</v>
      </c>
      <c r="BD253" s="21">
        <v>50</v>
      </c>
      <c r="BE253" s="21">
        <v>50</v>
      </c>
    </row>
    <row r="254" spans="29:57" x14ac:dyDescent="0.15">
      <c r="AC254" s="21">
        <v>251</v>
      </c>
      <c r="AD254" s="21">
        <f>[1]节奏总纲!AD254</f>
        <v>79.766676153548232</v>
      </c>
      <c r="AE254" s="21">
        <f>[1]节奏总纲!AE254</f>
        <v>81.871897680767717</v>
      </c>
      <c r="AF254" s="21">
        <f>[1]节奏总纲!AF254</f>
        <v>84.824684376256243</v>
      </c>
      <c r="AG254" s="21">
        <f>[1]节奏总纲!AG254</f>
        <v>89.733339394705041</v>
      </c>
      <c r="AH254" s="21">
        <f>[1]节奏总纲!AH254</f>
        <v>98.607720722756355</v>
      </c>
      <c r="AZ254" s="21">
        <v>251</v>
      </c>
      <c r="BA254" s="21">
        <v>44.223043838567726</v>
      </c>
      <c r="BB254" s="21">
        <v>45.729762081362793</v>
      </c>
      <c r="BC254" s="21">
        <v>47.674580981977748</v>
      </c>
      <c r="BD254" s="21">
        <v>50</v>
      </c>
      <c r="BE254" s="21">
        <v>50</v>
      </c>
    </row>
    <row r="255" spans="29:57" x14ac:dyDescent="0.15">
      <c r="AC255" s="21">
        <v>252</v>
      </c>
      <c r="AD255" s="21">
        <f>[1]节奏总纲!AD255</f>
        <v>79.825007115161171</v>
      </c>
      <c r="AE255" s="21">
        <f>[1]节奏总纲!AE255</f>
        <v>81.931450140503429</v>
      </c>
      <c r="AF255" s="21">
        <f>[1]节奏总纲!AF255</f>
        <v>84.884754872812707</v>
      </c>
      <c r="AG255" s="21">
        <f>[1]节奏总纲!AG255</f>
        <v>89.801946116248459</v>
      </c>
      <c r="AH255" s="21">
        <f>[1]节奏总纲!AH255</f>
        <v>98.667161309546714</v>
      </c>
      <c r="AZ255" s="21">
        <v>252</v>
      </c>
      <c r="BA255" s="21">
        <v>44.248899284871626</v>
      </c>
      <c r="BB255" s="21">
        <v>45.757658185390426</v>
      </c>
      <c r="BC255" s="21">
        <v>47.7022976997416</v>
      </c>
      <c r="BD255" s="21">
        <v>50</v>
      </c>
      <c r="BE255" s="21">
        <v>50</v>
      </c>
    </row>
    <row r="256" spans="29:57" x14ac:dyDescent="0.15">
      <c r="AC256" s="21">
        <v>253</v>
      </c>
      <c r="AD256" s="21">
        <f>[1]节奏总纲!AD256</f>
        <v>79.883338076774123</v>
      </c>
      <c r="AE256" s="21">
        <f>[1]节奏总纲!AE256</f>
        <v>81.991002600239142</v>
      </c>
      <c r="AF256" s="21">
        <f>[1]节奏总纲!AF256</f>
        <v>84.94482536936917</v>
      </c>
      <c r="AG256" s="21">
        <f>[1]节奏总纲!AG256</f>
        <v>89.870552837791877</v>
      </c>
      <c r="AH256" s="21">
        <f>[1]节奏总纲!AH256</f>
        <v>98.726601896337058</v>
      </c>
      <c r="AZ256" s="21">
        <v>253</v>
      </c>
      <c r="BA256" s="21">
        <v>44.274754731175527</v>
      </c>
      <c r="BB256" s="21">
        <v>45.785554289418052</v>
      </c>
      <c r="BC256" s="21">
        <v>47.730014417505458</v>
      </c>
      <c r="BD256" s="21">
        <v>50</v>
      </c>
      <c r="BE256" s="21">
        <v>50</v>
      </c>
    </row>
    <row r="257" spans="29:57" x14ac:dyDescent="0.15">
      <c r="AC257" s="21">
        <v>254</v>
      </c>
      <c r="AD257" s="21">
        <f>[1]节奏总纲!AD257</f>
        <v>79.941669038387062</v>
      </c>
      <c r="AE257" s="21">
        <f>[1]节奏总纲!AE257</f>
        <v>82.046165327855846</v>
      </c>
      <c r="AF257" s="21">
        <f>[1]节奏总纲!AF257</f>
        <v>85.004450307848032</v>
      </c>
      <c r="AG257" s="21">
        <f>[1]节奏总纲!AG257</f>
        <v>89.939159559335295</v>
      </c>
      <c r="AH257" s="21">
        <f>[1]节奏总纲!AH257</f>
        <v>98.786042483127417</v>
      </c>
      <c r="AZ257" s="21">
        <v>254</v>
      </c>
      <c r="BA257" s="21">
        <v>44.300610177479435</v>
      </c>
      <c r="BB257" s="21">
        <v>45.813450393445684</v>
      </c>
      <c r="BC257" s="21">
        <v>47.757731135269317</v>
      </c>
      <c r="BD257" s="21">
        <v>50</v>
      </c>
      <c r="BE257" s="21">
        <v>50</v>
      </c>
    </row>
    <row r="258" spans="29:57" x14ac:dyDescent="0.15">
      <c r="AC258" s="21">
        <v>255</v>
      </c>
      <c r="AD258" s="21">
        <f>[1]节奏总纲!AD258</f>
        <v>80</v>
      </c>
      <c r="AE258" s="21">
        <f>[1]节奏总纲!AE258</f>
        <v>82.100546804797787</v>
      </c>
      <c r="AF258" s="21">
        <f>[1]节奏总纲!AF258</f>
        <v>85.059053968634842</v>
      </c>
      <c r="AG258" s="21">
        <f>[1]节奏总纲!AG258</f>
        <v>90.006385600230558</v>
      </c>
      <c r="AH258" s="21">
        <f>[1]节奏总纲!AH258</f>
        <v>98.845483069917776</v>
      </c>
      <c r="AZ258" s="21">
        <v>255</v>
      </c>
      <c r="BA258" s="21">
        <v>44.326465623783335</v>
      </c>
      <c r="BB258" s="21">
        <v>45.84134649747331</v>
      </c>
      <c r="BC258" s="21">
        <v>47.785447853033176</v>
      </c>
      <c r="BD258" s="21">
        <v>50</v>
      </c>
      <c r="BE258" s="21">
        <v>50</v>
      </c>
    </row>
    <row r="259" spans="29:57" x14ac:dyDescent="0.15">
      <c r="AC259" s="21">
        <v>256</v>
      </c>
      <c r="AD259" s="21">
        <f>[1]节奏总纲!AD259</f>
        <v>80.054424711612938</v>
      </c>
      <c r="AE259" s="21">
        <f>[1]节奏总纲!AE259</f>
        <v>82.154928281739714</v>
      </c>
      <c r="AF259" s="21">
        <f>[1]节奏总纲!AF259</f>
        <v>85.113657629421638</v>
      </c>
      <c r="AG259" s="21">
        <f>[1]节奏总纲!AG259</f>
        <v>90.062795496260307</v>
      </c>
      <c r="AH259" s="21">
        <f>[1]节奏总纲!AH259</f>
        <v>98.904923656708121</v>
      </c>
      <c r="AZ259" s="21">
        <v>256</v>
      </c>
      <c r="BA259" s="21">
        <v>44.352321070087235</v>
      </c>
      <c r="BB259" s="21">
        <v>45.869242601500943</v>
      </c>
      <c r="BC259" s="21">
        <v>47.813164570797035</v>
      </c>
      <c r="BD259" s="21">
        <v>50</v>
      </c>
      <c r="BE259" s="21">
        <v>50</v>
      </c>
    </row>
    <row r="260" spans="29:57" x14ac:dyDescent="0.15">
      <c r="AC260" s="21">
        <v>257</v>
      </c>
      <c r="AD260" s="21">
        <f>[1]节奏总纲!AD260</f>
        <v>80.108849423225877</v>
      </c>
      <c r="AE260" s="21">
        <f>[1]节奏总纲!AE260</f>
        <v>82.209309758681655</v>
      </c>
      <c r="AF260" s="21">
        <f>[1]节奏总纲!AF260</f>
        <v>85.168261290208434</v>
      </c>
      <c r="AG260" s="21">
        <f>[1]节奏总纲!AG260</f>
        <v>90.119205392290041</v>
      </c>
      <c r="AH260" s="21">
        <f>[1]节奏总纲!AH260</f>
        <v>98.96436424349848</v>
      </c>
      <c r="AZ260" s="21">
        <v>257</v>
      </c>
      <c r="BA260" s="21">
        <v>44.378176516391136</v>
      </c>
      <c r="BB260" s="21">
        <v>45.897138705528576</v>
      </c>
      <c r="BC260" s="21">
        <v>47.840881288560894</v>
      </c>
      <c r="BD260" s="21">
        <v>50</v>
      </c>
      <c r="BE260" s="21">
        <v>50</v>
      </c>
    </row>
    <row r="261" spans="29:57" x14ac:dyDescent="0.15">
      <c r="AC261" s="21">
        <v>258</v>
      </c>
      <c r="AD261" s="21">
        <f>[1]节奏总纲!AD261</f>
        <v>80.163274134838829</v>
      </c>
      <c r="AE261" s="21">
        <f>[1]节奏总纲!AE261</f>
        <v>82.263691235623583</v>
      </c>
      <c r="AF261" s="21">
        <f>[1]节奏总纲!AF261</f>
        <v>85.222864950995231</v>
      </c>
      <c r="AG261" s="21">
        <f>[1]节奏总纲!AG261</f>
        <v>90.175615288319776</v>
      </c>
      <c r="AH261" s="21">
        <f>[1]节奏总纲!AH261</f>
        <v>99.023313221876677</v>
      </c>
      <c r="AZ261" s="21">
        <v>258</v>
      </c>
      <c r="BA261" s="21">
        <v>44.404031962695043</v>
      </c>
      <c r="BB261" s="21">
        <v>45.925034809556202</v>
      </c>
      <c r="BC261" s="21">
        <v>47.868598006324753</v>
      </c>
      <c r="BD261" s="21">
        <v>50</v>
      </c>
      <c r="BE261" s="21">
        <v>50</v>
      </c>
    </row>
    <row r="262" spans="29:57" x14ac:dyDescent="0.15">
      <c r="AC262" s="21">
        <v>259</v>
      </c>
      <c r="AD262" s="21">
        <f>[1]节奏总纲!AD262</f>
        <v>80.217698846451768</v>
      </c>
      <c r="AE262" s="21">
        <f>[1]节奏总纲!AE262</f>
        <v>82.318072712565524</v>
      </c>
      <c r="AF262" s="21">
        <f>[1]节奏总纲!AF262</f>
        <v>85.277468611782027</v>
      </c>
      <c r="AG262" s="21">
        <f>[1]节奏总纲!AG262</f>
        <v>90.23202518434951</v>
      </c>
      <c r="AH262" s="21">
        <f>[1]节奏总纲!AH262</f>
        <v>99.081526263999208</v>
      </c>
      <c r="AZ262" s="21">
        <v>259</v>
      </c>
      <c r="BA262" s="21">
        <v>44.429887408998944</v>
      </c>
      <c r="BB262" s="21">
        <v>45.952930913583835</v>
      </c>
      <c r="BC262" s="21">
        <v>47.896314724088612</v>
      </c>
      <c r="BD262" s="21">
        <v>50</v>
      </c>
      <c r="BE262" s="21">
        <v>50</v>
      </c>
    </row>
    <row r="263" spans="29:57" x14ac:dyDescent="0.15">
      <c r="AC263" s="21">
        <v>260</v>
      </c>
      <c r="AD263" s="21">
        <f>[1]节奏总纲!AD263</f>
        <v>80.272123558064706</v>
      </c>
      <c r="AE263" s="21">
        <f>[1]节奏总纲!AE263</f>
        <v>82.372454189507465</v>
      </c>
      <c r="AF263" s="21">
        <f>[1]节奏总纲!AF263</f>
        <v>85.332072272568837</v>
      </c>
      <c r="AG263" s="21">
        <f>[1]节奏总纲!AG263</f>
        <v>90.288435080379244</v>
      </c>
      <c r="AH263" s="21">
        <f>[1]节奏总纲!AH263</f>
        <v>99.139739306121726</v>
      </c>
      <c r="AZ263" s="21">
        <v>260</v>
      </c>
      <c r="BA263" s="21">
        <v>44.455742855302844</v>
      </c>
      <c r="BB263" s="21">
        <v>45.98082701761146</v>
      </c>
      <c r="BC263" s="21">
        <v>47.92403144185247</v>
      </c>
      <c r="BD263" s="21">
        <v>50</v>
      </c>
      <c r="BE263" s="21">
        <v>50</v>
      </c>
    </row>
    <row r="264" spans="29:57" x14ac:dyDescent="0.15">
      <c r="AC264" s="21">
        <v>261</v>
      </c>
      <c r="AD264" s="21">
        <f>[1]节奏总纲!AD264</f>
        <v>80.326548269677644</v>
      </c>
      <c r="AE264" s="21">
        <f>[1]节奏总纲!AE264</f>
        <v>82.426835666449392</v>
      </c>
      <c r="AF264" s="21">
        <f>[1]节奏总纲!AF264</f>
        <v>85.386675933355633</v>
      </c>
      <c r="AG264" s="21">
        <f>[1]节奏总纲!AG264</f>
        <v>90.344844976408993</v>
      </c>
      <c r="AH264" s="21">
        <f>[1]节奏总纲!AH264</f>
        <v>99.197952348244257</v>
      </c>
      <c r="AZ264" s="21">
        <v>261</v>
      </c>
      <c r="BA264" s="21">
        <v>44.481598301606752</v>
      </c>
      <c r="BB264" s="21">
        <v>46.007529841290832</v>
      </c>
      <c r="BC264" s="21">
        <v>47.951748159616329</v>
      </c>
      <c r="BD264" s="21">
        <v>50</v>
      </c>
      <c r="BE264" s="21">
        <v>50</v>
      </c>
    </row>
    <row r="265" spans="29:57" x14ac:dyDescent="0.15">
      <c r="AC265" s="21">
        <v>262</v>
      </c>
      <c r="AD265" s="21">
        <f>[1]节奏总纲!AD265</f>
        <v>80.380972981290597</v>
      </c>
      <c r="AE265" s="21">
        <f>[1]节奏总纲!AE265</f>
        <v>82.481217143391333</v>
      </c>
      <c r="AF265" s="21">
        <f>[1]节奏总纲!AF265</f>
        <v>85.441279594142429</v>
      </c>
      <c r="AG265" s="21">
        <f>[1]节奏总纲!AG265</f>
        <v>90.401254872438727</v>
      </c>
      <c r="AH265" s="21">
        <f>[1]节奏总纲!AH265</f>
        <v>99.256165390366789</v>
      </c>
      <c r="AZ265" s="21">
        <v>262</v>
      </c>
      <c r="BA265" s="21">
        <v>44.507453747910652</v>
      </c>
      <c r="BB265" s="21">
        <v>46.031609894814238</v>
      </c>
      <c r="BC265" s="21">
        <v>47.979464877380188</v>
      </c>
      <c r="BD265" s="21">
        <v>50</v>
      </c>
      <c r="BE265" s="21">
        <v>50</v>
      </c>
    </row>
    <row r="266" spans="29:57" x14ac:dyDescent="0.15">
      <c r="AC266" s="21">
        <v>263</v>
      </c>
      <c r="AD266" s="21">
        <f>[1]节奏总纲!AD266</f>
        <v>80.435397692903535</v>
      </c>
      <c r="AE266" s="21">
        <f>[1]节奏总纲!AE266</f>
        <v>82.535598620333275</v>
      </c>
      <c r="AF266" s="21">
        <f>[1]节奏总纲!AF266</f>
        <v>85.495883254929225</v>
      </c>
      <c r="AG266" s="21">
        <f>[1]节奏总纲!AG266</f>
        <v>90.457664768468462</v>
      </c>
      <c r="AH266" s="21">
        <f>[1]节奏总纲!AH266</f>
        <v>99.314378432489306</v>
      </c>
      <c r="AZ266" s="21">
        <v>263</v>
      </c>
      <c r="BA266" s="21">
        <v>44.533309194214553</v>
      </c>
      <c r="BB266" s="21">
        <v>46.055689948337651</v>
      </c>
      <c r="BC266" s="21">
        <v>48.006200084618079</v>
      </c>
      <c r="BD266" s="21">
        <v>50</v>
      </c>
      <c r="BE266" s="21">
        <v>50</v>
      </c>
    </row>
    <row r="267" spans="29:57" x14ac:dyDescent="0.15">
      <c r="AC267" s="21">
        <v>264</v>
      </c>
      <c r="AD267" s="21">
        <f>[1]节奏总纲!AD267</f>
        <v>80.489822404516474</v>
      </c>
      <c r="AE267" s="21">
        <f>[1]节奏总纲!AE267</f>
        <v>82.589980097275202</v>
      </c>
      <c r="AF267" s="21">
        <f>[1]节奏总纲!AF267</f>
        <v>85.550486915716021</v>
      </c>
      <c r="AG267" s="21">
        <f>[1]节奏总纲!AG267</f>
        <v>90.514074664498196</v>
      </c>
      <c r="AH267" s="21">
        <f>[1]节奏总纲!AH267</f>
        <v>99.372591474611838</v>
      </c>
      <c r="AZ267" s="21">
        <v>264</v>
      </c>
      <c r="BA267" s="21">
        <v>44.55916464051846</v>
      </c>
      <c r="BB267" s="21">
        <v>46.079770001861057</v>
      </c>
      <c r="BC267" s="21">
        <v>48.030128751164241</v>
      </c>
      <c r="BD267" s="21">
        <v>50</v>
      </c>
      <c r="BE267" s="21">
        <v>50</v>
      </c>
    </row>
    <row r="268" spans="29:57" x14ac:dyDescent="0.15">
      <c r="AC268" s="21">
        <v>265</v>
      </c>
      <c r="AD268" s="21">
        <f>[1]节奏总纲!AD268</f>
        <v>80.544247116129412</v>
      </c>
      <c r="AE268" s="21">
        <f>[1]节奏总纲!AE268</f>
        <v>82.644361574217143</v>
      </c>
      <c r="AF268" s="21">
        <f>[1]节奏总纲!AF268</f>
        <v>85.605090576502832</v>
      </c>
      <c r="AG268" s="21">
        <f>[1]节奏总纲!AG268</f>
        <v>90.57048456052793</v>
      </c>
      <c r="AH268" s="21">
        <f>[1]节奏总纲!AH268</f>
        <v>99.430804516734369</v>
      </c>
      <c r="AZ268" s="21">
        <v>265</v>
      </c>
      <c r="BA268" s="21">
        <v>44.585020086822361</v>
      </c>
      <c r="BB268" s="21">
        <v>46.10385005538447</v>
      </c>
      <c r="BC268" s="21">
        <v>48.054057417710396</v>
      </c>
      <c r="BD268" s="21">
        <v>50</v>
      </c>
      <c r="BE268" s="21">
        <v>50</v>
      </c>
    </row>
    <row r="269" spans="29:57" x14ac:dyDescent="0.15">
      <c r="AC269" s="21">
        <v>266</v>
      </c>
      <c r="AD269" s="21">
        <f>[1]节奏总纲!AD269</f>
        <v>80.598671827742351</v>
      </c>
      <c r="AE269" s="21">
        <f>[1]节奏总纲!AE269</f>
        <v>82.698743051159084</v>
      </c>
      <c r="AF269" s="21">
        <f>[1]节奏总纲!AF269</f>
        <v>85.659694237289628</v>
      </c>
      <c r="AG269" s="21">
        <f>[1]节奏总纲!AG269</f>
        <v>90.626894456557665</v>
      </c>
      <c r="AH269" s="21">
        <f>[1]节奏总纲!AH269</f>
        <v>99.489017558856887</v>
      </c>
      <c r="AZ269" s="21">
        <v>266</v>
      </c>
      <c r="BA269" s="21">
        <v>44.610875533126261</v>
      </c>
      <c r="BB269" s="21">
        <v>46.127930108907876</v>
      </c>
      <c r="BC269" s="21">
        <v>48.077986084256551</v>
      </c>
      <c r="BD269" s="21">
        <v>50</v>
      </c>
      <c r="BE269" s="21">
        <v>50</v>
      </c>
    </row>
    <row r="270" spans="29:57" x14ac:dyDescent="0.15">
      <c r="AC270" s="21">
        <v>267</v>
      </c>
      <c r="AD270" s="21">
        <f>[1]节奏总纲!AD270</f>
        <v>80.653096539355303</v>
      </c>
      <c r="AE270" s="21">
        <f>[1]节奏总纲!AE270</f>
        <v>82.753124528101011</v>
      </c>
      <c r="AF270" s="21">
        <f>[1]节奏总纲!AF270</f>
        <v>85.714297898076424</v>
      </c>
      <c r="AG270" s="21">
        <f>[1]节奏总纲!AG270</f>
        <v>90.683304352587413</v>
      </c>
      <c r="AH270" s="21">
        <f>[1]节奏总纲!AH270</f>
        <v>99.547230600979418</v>
      </c>
      <c r="AZ270" s="21">
        <v>267</v>
      </c>
      <c r="BA270" s="21">
        <v>44.636730979430169</v>
      </c>
      <c r="BB270" s="21">
        <v>46.152010162431289</v>
      </c>
      <c r="BC270" s="21">
        <v>48.101914750802706</v>
      </c>
      <c r="BD270" s="21">
        <v>50</v>
      </c>
      <c r="BE270" s="21">
        <v>50</v>
      </c>
    </row>
    <row r="271" spans="29:57" x14ac:dyDescent="0.15">
      <c r="AC271" s="21">
        <v>268</v>
      </c>
      <c r="AD271" s="21">
        <f>[1]节奏总纲!AD271</f>
        <v>80.707521250968242</v>
      </c>
      <c r="AE271" s="21">
        <f>[1]节奏总纲!AE271</f>
        <v>82.807506005042953</v>
      </c>
      <c r="AF271" s="21">
        <f>[1]节奏总纲!AF271</f>
        <v>85.76890155886322</v>
      </c>
      <c r="AG271" s="21">
        <f>[1]节奏总纲!AG271</f>
        <v>90.739714248617148</v>
      </c>
      <c r="AH271" s="21">
        <f>[1]节奏总纲!AH271</f>
        <v>99.605443643101935</v>
      </c>
      <c r="AZ271" s="21">
        <v>268</v>
      </c>
      <c r="BA271" s="21">
        <v>44.662586425734069</v>
      </c>
      <c r="BB271" s="21">
        <v>46.176090215954694</v>
      </c>
      <c r="BC271" s="21">
        <v>48.125843417348868</v>
      </c>
      <c r="BD271" s="21">
        <v>50</v>
      </c>
      <c r="BE271" s="21">
        <v>50</v>
      </c>
    </row>
    <row r="272" spans="29:57" x14ac:dyDescent="0.15">
      <c r="AC272" s="21">
        <v>269</v>
      </c>
      <c r="AD272" s="21">
        <f>[1]节奏总纲!AD272</f>
        <v>80.76194596258118</v>
      </c>
      <c r="AE272" s="21">
        <f>[1]节奏总纲!AE272</f>
        <v>82.861887481984894</v>
      </c>
      <c r="AF272" s="21">
        <f>[1]节奏总纲!AF272</f>
        <v>85.823505219650016</v>
      </c>
      <c r="AG272" s="21">
        <f>[1]节奏总纲!AG272</f>
        <v>90.796124144646882</v>
      </c>
      <c r="AH272" s="21">
        <f>[1]节奏总纲!AH272</f>
        <v>99.663656685224467</v>
      </c>
      <c r="AZ272" s="21">
        <v>269</v>
      </c>
      <c r="BA272" s="21">
        <v>44.68844187203797</v>
      </c>
      <c r="BB272" s="21">
        <v>46.200170269478107</v>
      </c>
      <c r="BC272" s="21">
        <v>48.149772083895023</v>
      </c>
      <c r="BD272" s="21">
        <v>50</v>
      </c>
      <c r="BE272" s="21">
        <v>50</v>
      </c>
    </row>
    <row r="273" spans="29:57" x14ac:dyDescent="0.15">
      <c r="AC273" s="21">
        <v>270</v>
      </c>
      <c r="AD273" s="21">
        <f>[1]节奏总纲!AD273</f>
        <v>80.816370674194118</v>
      </c>
      <c r="AE273" s="21">
        <f>[1]节奏总纲!AE273</f>
        <v>82.916268958926821</v>
      </c>
      <c r="AF273" s="21">
        <f>[1]节奏总纲!AF273</f>
        <v>85.878108880436827</v>
      </c>
      <c r="AG273" s="21">
        <f>[1]节奏总纲!AG273</f>
        <v>90.852534040676616</v>
      </c>
      <c r="AH273" s="21">
        <f>[1]节奏总纲!AH273</f>
        <v>99.721869727346999</v>
      </c>
      <c r="AZ273" s="21">
        <v>270</v>
      </c>
      <c r="BA273" s="21">
        <v>44.714297318341877</v>
      </c>
      <c r="BB273" s="21">
        <v>46.224250323001513</v>
      </c>
      <c r="BC273" s="21">
        <v>48.173700750441178</v>
      </c>
      <c r="BD273" s="21">
        <v>50</v>
      </c>
      <c r="BE273" s="21">
        <v>50</v>
      </c>
    </row>
    <row r="274" spans="29:57" x14ac:dyDescent="0.15">
      <c r="AC274" s="21">
        <v>271</v>
      </c>
      <c r="AD274" s="21">
        <f>[1]节奏总纲!AD274</f>
        <v>80.870795385807057</v>
      </c>
      <c r="AE274" s="21">
        <f>[1]节奏总纲!AE274</f>
        <v>82.970650435868762</v>
      </c>
      <c r="AF274" s="21">
        <f>[1]节奏总纲!AF274</f>
        <v>85.932712541223623</v>
      </c>
      <c r="AG274" s="21">
        <f>[1]节奏总纲!AG274</f>
        <v>90.908943936706351</v>
      </c>
      <c r="AH274" s="21">
        <f>[1]节奏总纲!AH274</f>
        <v>99.780082769469516</v>
      </c>
      <c r="AZ274" s="21">
        <v>271</v>
      </c>
      <c r="BA274" s="21">
        <v>44.740152764645778</v>
      </c>
      <c r="BB274" s="21">
        <v>46.248330376524919</v>
      </c>
      <c r="BC274" s="21">
        <v>48.19762941698734</v>
      </c>
      <c r="BD274" s="21">
        <v>50</v>
      </c>
      <c r="BE274" s="21">
        <v>50</v>
      </c>
    </row>
    <row r="275" spans="29:57" x14ac:dyDescent="0.15">
      <c r="AC275" s="21">
        <v>272</v>
      </c>
      <c r="AD275" s="21">
        <f>[1]节奏总纲!AD275</f>
        <v>80.925220097420009</v>
      </c>
      <c r="AE275" s="21">
        <f>[1]节奏总纲!AE275</f>
        <v>83.023342162088809</v>
      </c>
      <c r="AF275" s="21">
        <f>[1]节奏总纲!AF275</f>
        <v>85.987316202010419</v>
      </c>
      <c r="AG275" s="21">
        <f>[1]节奏总纲!AG275</f>
        <v>90.965353832736099</v>
      </c>
      <c r="AH275" s="21">
        <f>[1]节奏总纲!AH275</f>
        <v>99.838295811592047</v>
      </c>
      <c r="AZ275" s="21">
        <v>272</v>
      </c>
      <c r="BA275" s="21">
        <v>44.766008210949678</v>
      </c>
      <c r="BB275" s="21">
        <v>46.272410430048332</v>
      </c>
      <c r="BC275" s="21">
        <v>48.221558083533495</v>
      </c>
      <c r="BD275" s="21">
        <v>50</v>
      </c>
      <c r="BE275" s="21">
        <v>50</v>
      </c>
    </row>
    <row r="276" spans="29:57" x14ac:dyDescent="0.15">
      <c r="AC276" s="21">
        <v>273</v>
      </c>
      <c r="AD276" s="21">
        <f>[1]节奏总纲!AD276</f>
        <v>80.979644809032948</v>
      </c>
      <c r="AE276" s="21">
        <f>[1]节奏总纲!AE276</f>
        <v>83.07405267945947</v>
      </c>
      <c r="AF276" s="21">
        <f>[1]节奏总纲!AF276</f>
        <v>86.038061368689995</v>
      </c>
      <c r="AG276" s="21">
        <f>[1]节奏总纲!AG276</f>
        <v>91.020352770869948</v>
      </c>
      <c r="AH276" s="21">
        <f>[1]节奏总纲!AH276</f>
        <v>99.896508853714579</v>
      </c>
      <c r="AZ276" s="21">
        <v>273</v>
      </c>
      <c r="BA276" s="21">
        <v>44.791863657253586</v>
      </c>
      <c r="BB276" s="21">
        <v>46.296490483571738</v>
      </c>
      <c r="BC276" s="21">
        <v>48.24548675007965</v>
      </c>
      <c r="BD276" s="21">
        <v>50</v>
      </c>
      <c r="BE276" s="21">
        <v>50</v>
      </c>
    </row>
    <row r="277" spans="29:57" x14ac:dyDescent="0.15">
      <c r="AC277" s="21">
        <v>274</v>
      </c>
      <c r="AD277" s="21">
        <f>[1]节奏总纲!AD277</f>
        <v>81.031787986768464</v>
      </c>
      <c r="AE277" s="21">
        <f>[1]节奏总纲!AE277</f>
        <v>83.124763196830131</v>
      </c>
      <c r="AF277" s="21">
        <f>[1]节奏总纲!AF277</f>
        <v>86.087639061133402</v>
      </c>
      <c r="AG277" s="21">
        <f>[1]节奏总纲!AG277</f>
        <v>91.073105573528181</v>
      </c>
      <c r="AH277" s="21">
        <f>[1]节奏总纲!AH277</f>
        <v>99.954721895837096</v>
      </c>
      <c r="AZ277" s="21">
        <v>274</v>
      </c>
      <c r="BA277" s="21">
        <v>44.817719103557486</v>
      </c>
      <c r="BB277" s="21">
        <v>46.320570537095151</v>
      </c>
      <c r="BC277" s="21">
        <v>48.269415416625804</v>
      </c>
      <c r="BD277" s="21">
        <v>50</v>
      </c>
      <c r="BE277" s="21">
        <v>50</v>
      </c>
    </row>
    <row r="278" spans="29:57" x14ac:dyDescent="0.15">
      <c r="AC278" s="21">
        <v>275</v>
      </c>
      <c r="AD278" s="21">
        <f>[1]节奏总纲!AD278</f>
        <v>81.082568038258216</v>
      </c>
      <c r="AE278" s="21">
        <f>[1]节奏总纲!AE278</f>
        <v>83.175473714200777</v>
      </c>
      <c r="AF278" s="21">
        <f>[1]节奏总纲!AF278</f>
        <v>86.137216753576809</v>
      </c>
      <c r="AG278" s="21">
        <f>[1]节奏总纲!AG278</f>
        <v>91.125858376186414</v>
      </c>
      <c r="AH278" s="21">
        <f>[1]节奏总纲!AH278</f>
        <v>100.01191770041967</v>
      </c>
      <c r="AZ278" s="21">
        <v>275</v>
      </c>
      <c r="BA278" s="21">
        <v>44.843574549861387</v>
      </c>
      <c r="BB278" s="21">
        <v>46.344650590618556</v>
      </c>
      <c r="BC278" s="21">
        <v>48.293344083171966</v>
      </c>
      <c r="BD278" s="21">
        <v>50</v>
      </c>
      <c r="BE278" s="21">
        <v>50</v>
      </c>
    </row>
    <row r="279" spans="29:57" x14ac:dyDescent="0.15">
      <c r="AC279" s="21">
        <v>276</v>
      </c>
      <c r="AD279" s="21">
        <f>[1]节奏总纲!AD279</f>
        <v>81.133348089747955</v>
      </c>
      <c r="AE279" s="21">
        <f>[1]节奏总纲!AE279</f>
        <v>83.226184231571438</v>
      </c>
      <c r="AF279" s="21">
        <f>[1]节奏总纲!AF279</f>
        <v>86.186794446020215</v>
      </c>
      <c r="AG279" s="21">
        <f>[1]节奏总纲!AG279</f>
        <v>91.178611178844633</v>
      </c>
      <c r="AH279" s="21">
        <f>[1]节奏总纲!AH279</f>
        <v>100.06555271580974</v>
      </c>
      <c r="AZ279" s="21">
        <v>276</v>
      </c>
      <c r="BA279" s="21">
        <v>44.869429996165294</v>
      </c>
      <c r="BB279" s="21">
        <v>46.368730644141969</v>
      </c>
      <c r="BC279" s="21">
        <v>48.317272749718121</v>
      </c>
      <c r="BD279" s="21">
        <v>50</v>
      </c>
      <c r="BE279" s="21">
        <v>50</v>
      </c>
    </row>
    <row r="280" spans="29:57" x14ac:dyDescent="0.15">
      <c r="AC280" s="21">
        <v>277</v>
      </c>
      <c r="AD280" s="21">
        <f>[1]节奏总纲!AD280</f>
        <v>81.184128141237707</v>
      </c>
      <c r="AE280" s="21">
        <f>[1]节奏总纲!AE280</f>
        <v>83.276894748942098</v>
      </c>
      <c r="AF280" s="21">
        <f>[1]节奏总纲!AF280</f>
        <v>86.236372138463622</v>
      </c>
      <c r="AG280" s="21">
        <f>[1]节奏总纲!AG280</f>
        <v>91.231363981502867</v>
      </c>
      <c r="AH280" s="21">
        <f>[1]节奏总纲!AH280</f>
        <v>100.11918773119983</v>
      </c>
      <c r="AZ280" s="21">
        <v>277</v>
      </c>
      <c r="BA280" s="21">
        <v>44.895285442469195</v>
      </c>
      <c r="BB280" s="21">
        <v>46.392810697665375</v>
      </c>
      <c r="BC280" s="21">
        <v>48.341201416264276</v>
      </c>
      <c r="BD280" s="21">
        <v>50</v>
      </c>
      <c r="BE280" s="21">
        <v>50</v>
      </c>
    </row>
    <row r="281" spans="29:57" x14ac:dyDescent="0.15">
      <c r="AC281" s="21">
        <v>278</v>
      </c>
      <c r="AD281" s="21">
        <f>[1]节奏总纲!AD281</f>
        <v>81.23490819272746</v>
      </c>
      <c r="AE281" s="21">
        <f>[1]节奏总纲!AE281</f>
        <v>83.327605266312744</v>
      </c>
      <c r="AF281" s="21">
        <f>[1]节奏总纲!AF281</f>
        <v>86.285949830907029</v>
      </c>
      <c r="AG281" s="21">
        <f>[1]节奏总纲!AG281</f>
        <v>91.2841167841611</v>
      </c>
      <c r="AH281" s="21">
        <f>[1]节奏总纲!AH281</f>
        <v>100.1728227465899</v>
      </c>
      <c r="AZ281" s="21">
        <v>278</v>
      </c>
      <c r="BA281" s="21">
        <v>44.921140888773095</v>
      </c>
      <c r="BB281" s="21">
        <v>46.416890751188788</v>
      </c>
      <c r="BC281" s="21">
        <v>48.365130082810438</v>
      </c>
      <c r="BD281" s="21">
        <v>50</v>
      </c>
      <c r="BE281" s="21">
        <v>50</v>
      </c>
    </row>
    <row r="282" spans="29:57" x14ac:dyDescent="0.15">
      <c r="AC282" s="21">
        <v>279</v>
      </c>
      <c r="AD282" s="21">
        <f>[1]节奏总纲!AD282</f>
        <v>81.285688244217212</v>
      </c>
      <c r="AE282" s="21">
        <f>[1]节奏总纲!AE282</f>
        <v>83.378315783683405</v>
      </c>
      <c r="AF282" s="21">
        <f>[1]节奏总纲!AF282</f>
        <v>86.335527523350422</v>
      </c>
      <c r="AG282" s="21">
        <f>[1]节奏总纲!AG282</f>
        <v>91.336869586819319</v>
      </c>
      <c r="AH282" s="21">
        <f>[1]节奏总纲!AH282</f>
        <v>100.22645776197997</v>
      </c>
      <c r="AZ282" s="21">
        <v>279</v>
      </c>
      <c r="BA282" s="21">
        <v>44.946996335076996</v>
      </c>
      <c r="BB282" s="21">
        <v>46.440970804712194</v>
      </c>
      <c r="BC282" s="21">
        <v>48.389058749356593</v>
      </c>
      <c r="BD282" s="21">
        <v>50</v>
      </c>
      <c r="BE282" s="21">
        <v>50</v>
      </c>
    </row>
    <row r="283" spans="29:57" x14ac:dyDescent="0.15">
      <c r="AC283" s="21">
        <v>280</v>
      </c>
      <c r="AD283" s="21">
        <f>[1]节奏总纲!AD283</f>
        <v>81.336468295706965</v>
      </c>
      <c r="AE283" s="21">
        <f>[1]节奏总纲!AE283</f>
        <v>83.429026301054066</v>
      </c>
      <c r="AF283" s="21">
        <f>[1]节奏总纲!AF283</f>
        <v>86.385105215793828</v>
      </c>
      <c r="AG283" s="21">
        <f>[1]节奏总纲!AG283</f>
        <v>91.389622389477552</v>
      </c>
      <c r="AH283" s="21">
        <f>[1]节奏总纲!AH283</f>
        <v>100.28009277737006</v>
      </c>
      <c r="AZ283" s="21">
        <v>280</v>
      </c>
      <c r="BA283" s="21">
        <v>44.972851781380903</v>
      </c>
      <c r="BB283" s="21">
        <v>46.465050858235607</v>
      </c>
      <c r="BC283" s="21">
        <v>48.412987415902748</v>
      </c>
      <c r="BD283" s="21">
        <v>50</v>
      </c>
      <c r="BE283" s="21">
        <v>50</v>
      </c>
    </row>
    <row r="284" spans="29:57" x14ac:dyDescent="0.15">
      <c r="AC284" s="21">
        <v>281</v>
      </c>
      <c r="AD284" s="21">
        <f>[1]节奏总纲!AD284</f>
        <v>81.387248347196717</v>
      </c>
      <c r="AE284" s="21">
        <f>[1]节奏总纲!AE284</f>
        <v>83.479736818424712</v>
      </c>
      <c r="AF284" s="21">
        <f>[1]节奏总纲!AF284</f>
        <v>86.434682908237235</v>
      </c>
      <c r="AG284" s="21">
        <f>[1]节奏总纲!AG284</f>
        <v>91.442375192135771</v>
      </c>
      <c r="AH284" s="21">
        <f>[1]节奏总纲!AH284</f>
        <v>100.33372779276013</v>
      </c>
      <c r="AZ284" s="21">
        <v>281</v>
      </c>
      <c r="BA284" s="21">
        <v>44.998707227684804</v>
      </c>
      <c r="BB284" s="21">
        <v>46.489130911759013</v>
      </c>
      <c r="BC284" s="21">
        <v>48.43691608244891</v>
      </c>
      <c r="BD284" s="21">
        <v>50</v>
      </c>
      <c r="BE284" s="21">
        <v>50</v>
      </c>
    </row>
    <row r="285" spans="29:57" x14ac:dyDescent="0.15">
      <c r="AC285" s="21">
        <v>282</v>
      </c>
      <c r="AD285" s="21">
        <f>[1]节奏总纲!AD285</f>
        <v>81.43802839868647</v>
      </c>
      <c r="AE285" s="21">
        <f>[1]节奏总纲!AE285</f>
        <v>83.530447335795373</v>
      </c>
      <c r="AF285" s="21">
        <f>[1]节奏总纲!AF285</f>
        <v>86.484260600680642</v>
      </c>
      <c r="AG285" s="21">
        <f>[1]节奏总纲!AG285</f>
        <v>91.495127994794004</v>
      </c>
      <c r="AH285" s="21">
        <f>[1]节奏总纲!AH285</f>
        <v>100.3873628081502</v>
      </c>
      <c r="AZ285" s="21">
        <v>282</v>
      </c>
      <c r="BA285" s="21">
        <v>45.021201039060998</v>
      </c>
      <c r="BB285" s="21">
        <v>46.513210965282425</v>
      </c>
      <c r="BC285" s="21">
        <v>48.460844748995065</v>
      </c>
      <c r="BD285" s="21">
        <v>50</v>
      </c>
      <c r="BE285" s="21">
        <v>50</v>
      </c>
    </row>
    <row r="286" spans="29:57" x14ac:dyDescent="0.15">
      <c r="AC286" s="21">
        <v>283</v>
      </c>
      <c r="AD286" s="21">
        <f>[1]节奏总纲!AD286</f>
        <v>81.488808450176222</v>
      </c>
      <c r="AE286" s="21">
        <f>[1]节奏总纲!AE286</f>
        <v>83.581157853166033</v>
      </c>
      <c r="AF286" s="21">
        <f>[1]节奏总纲!AF286</f>
        <v>86.533838293124049</v>
      </c>
      <c r="AG286" s="21">
        <f>[1]节奏总纲!AG286</f>
        <v>91.547880797452237</v>
      </c>
      <c r="AH286" s="21">
        <f>[1]节奏总纲!AH286</f>
        <v>100.44099782354027</v>
      </c>
      <c r="AZ286" s="21">
        <v>283</v>
      </c>
      <c r="BA286" s="21">
        <v>45.043517922283101</v>
      </c>
      <c r="BB286" s="21">
        <v>46.537291018805831</v>
      </c>
      <c r="BC286" s="21">
        <v>48.48477341554122</v>
      </c>
      <c r="BD286" s="21">
        <v>50</v>
      </c>
      <c r="BE286" s="21">
        <v>50</v>
      </c>
    </row>
    <row r="287" spans="29:57" x14ac:dyDescent="0.15">
      <c r="AC287" s="21">
        <v>284</v>
      </c>
      <c r="AD287" s="21">
        <f>[1]节奏总纲!AD287</f>
        <v>81.539588501665975</v>
      </c>
      <c r="AE287" s="21">
        <f>[1]节奏总纲!AE287</f>
        <v>83.631868370536679</v>
      </c>
      <c r="AF287" s="21">
        <f>[1]节奏总纲!AF287</f>
        <v>86.583415985567456</v>
      </c>
      <c r="AG287" s="21">
        <f>[1]节奏总纲!AG287</f>
        <v>91.600633600110456</v>
      </c>
      <c r="AH287" s="21">
        <f>[1]节奏总纲!AH287</f>
        <v>100.49463283893036</v>
      </c>
      <c r="AZ287" s="21">
        <v>284</v>
      </c>
      <c r="BA287" s="21">
        <v>45.065834805505204</v>
      </c>
      <c r="BB287" s="21">
        <v>46.561371072329244</v>
      </c>
      <c r="BC287" s="21">
        <v>48.508702082087382</v>
      </c>
      <c r="BD287" s="21">
        <v>50</v>
      </c>
      <c r="BE287" s="21">
        <v>50</v>
      </c>
    </row>
    <row r="288" spans="29:57" x14ac:dyDescent="0.15">
      <c r="AC288" s="21">
        <v>285</v>
      </c>
      <c r="AD288" s="21">
        <f>[1]节奏总纲!AD288</f>
        <v>81.590368553155727</v>
      </c>
      <c r="AE288" s="21">
        <f>[1]节奏总纲!AE288</f>
        <v>83.68257888790734</v>
      </c>
      <c r="AF288" s="21">
        <f>[1]节奏总纲!AF288</f>
        <v>86.632993678010848</v>
      </c>
      <c r="AG288" s="21">
        <f>[1]节奏总纲!AG288</f>
        <v>91.653386402768689</v>
      </c>
      <c r="AH288" s="21">
        <f>[1]节奏总纲!AH288</f>
        <v>100.54826785432043</v>
      </c>
      <c r="AZ288" s="21">
        <v>285</v>
      </c>
      <c r="BA288" s="21">
        <v>45.088151688727308</v>
      </c>
      <c r="BB288" s="21">
        <v>46.58545112585265</v>
      </c>
      <c r="BC288" s="21">
        <v>48.532630748633537</v>
      </c>
      <c r="BD288" s="21">
        <v>50</v>
      </c>
      <c r="BE288" s="21">
        <v>50</v>
      </c>
    </row>
    <row r="289" spans="29:57" x14ac:dyDescent="0.15">
      <c r="AC289" s="21">
        <v>286</v>
      </c>
      <c r="AD289" s="21">
        <f>[1]节奏总纲!AD289</f>
        <v>81.64114860464548</v>
      </c>
      <c r="AE289" s="21">
        <f>[1]节奏总纲!AE289</f>
        <v>83.733289405278001</v>
      </c>
      <c r="AF289" s="21">
        <f>[1]节奏总纲!AF289</f>
        <v>86.682571370454255</v>
      </c>
      <c r="AG289" s="21">
        <f>[1]节奏总纲!AG289</f>
        <v>91.706139205426922</v>
      </c>
      <c r="AH289" s="21">
        <f>[1]节奏总纲!AH289</f>
        <v>100.6019028697105</v>
      </c>
      <c r="AZ289" s="21">
        <v>286</v>
      </c>
      <c r="BA289" s="21">
        <v>45.110468571949411</v>
      </c>
      <c r="BB289" s="21">
        <v>46.609531179376063</v>
      </c>
      <c r="BC289" s="21">
        <v>48.556559415179692</v>
      </c>
      <c r="BD289" s="21">
        <v>50</v>
      </c>
      <c r="BE289" s="21">
        <v>50</v>
      </c>
    </row>
    <row r="290" spans="29:57" x14ac:dyDescent="0.15">
      <c r="AC290" s="21">
        <v>287</v>
      </c>
      <c r="AD290" s="21">
        <f>[1]节奏总纲!AD290</f>
        <v>81.691928656135218</v>
      </c>
      <c r="AE290" s="21">
        <f>[1]节奏总纲!AE290</f>
        <v>83.783999922648647</v>
      </c>
      <c r="AF290" s="21">
        <f>[1]节奏总纲!AF290</f>
        <v>86.732149062897662</v>
      </c>
      <c r="AG290" s="21">
        <f>[1]节奏总纲!AG290</f>
        <v>91.758892008085141</v>
      </c>
      <c r="AH290" s="21">
        <f>[1]节奏总纲!AH290</f>
        <v>100.65553788510059</v>
      </c>
      <c r="AZ290" s="21">
        <v>287</v>
      </c>
      <c r="BA290" s="21">
        <v>45.132785455171515</v>
      </c>
      <c r="BB290" s="21">
        <v>46.633611232899469</v>
      </c>
      <c r="BC290" s="21">
        <v>48.580488081725846</v>
      </c>
      <c r="BD290" s="21">
        <v>50</v>
      </c>
      <c r="BE290" s="21">
        <v>50</v>
      </c>
    </row>
    <row r="291" spans="29:57" x14ac:dyDescent="0.15">
      <c r="AC291" s="21">
        <v>288</v>
      </c>
      <c r="AD291" s="21">
        <f>[1]节奏总纲!AD291</f>
        <v>81.742708707624971</v>
      </c>
      <c r="AE291" s="21">
        <f>[1]节奏总纲!AE291</f>
        <v>83.834710440019307</v>
      </c>
      <c r="AF291" s="21">
        <f>[1]节奏总纲!AF291</f>
        <v>86.781726755341069</v>
      </c>
      <c r="AG291" s="21">
        <f>[1]节奏总纲!AG291</f>
        <v>91.811644810743374</v>
      </c>
      <c r="AH291" s="21">
        <f>[1]节奏总纲!AH291</f>
        <v>100.70917290049066</v>
      </c>
      <c r="AZ291" s="21">
        <v>288</v>
      </c>
      <c r="BA291" s="21">
        <v>45.155102338393618</v>
      </c>
      <c r="BB291" s="21">
        <v>46.657691286422882</v>
      </c>
      <c r="BC291" s="21">
        <v>48.604416748272008</v>
      </c>
      <c r="BD291" s="21">
        <v>50</v>
      </c>
      <c r="BE291" s="21">
        <v>50</v>
      </c>
    </row>
    <row r="292" spans="29:57" x14ac:dyDescent="0.15">
      <c r="AC292" s="21">
        <v>289</v>
      </c>
      <c r="AD292" s="21">
        <f>[1]节奏总纲!AD292</f>
        <v>81.793488759114723</v>
      </c>
      <c r="AE292" s="21">
        <f>[1]节奏总纲!AE292</f>
        <v>83.885420957389968</v>
      </c>
      <c r="AF292" s="21">
        <f>[1]节奏总纲!AF292</f>
        <v>86.831304447784476</v>
      </c>
      <c r="AG292" s="21">
        <f>[1]节奏总纲!AG292</f>
        <v>91.864397613401607</v>
      </c>
      <c r="AH292" s="21">
        <f>[1]节奏总纲!AH292</f>
        <v>100.76280791588073</v>
      </c>
      <c r="AZ292" s="21">
        <v>289</v>
      </c>
      <c r="BA292" s="21">
        <v>45.177419221615722</v>
      </c>
      <c r="BB292" s="21">
        <v>46.681771339946287</v>
      </c>
      <c r="BC292" s="21">
        <v>48.628345414818163</v>
      </c>
      <c r="BD292" s="21">
        <v>50</v>
      </c>
      <c r="BE292" s="21">
        <v>50</v>
      </c>
    </row>
    <row r="293" spans="29:57" x14ac:dyDescent="0.15">
      <c r="AC293" s="21">
        <v>290</v>
      </c>
      <c r="AD293" s="21">
        <f>[1]节奏总纲!AD293</f>
        <v>81.844268810604476</v>
      </c>
      <c r="AE293" s="21">
        <f>[1]节奏总纲!AE293</f>
        <v>83.936131474760614</v>
      </c>
      <c r="AF293" s="21">
        <f>[1]节奏总纲!AF293</f>
        <v>86.880882140227882</v>
      </c>
      <c r="AG293" s="21">
        <f>[1]节奏总纲!AG293</f>
        <v>91.917150416059826</v>
      </c>
      <c r="AH293" s="21">
        <f>[1]节奏总纲!AH293</f>
        <v>100.8164429312708</v>
      </c>
      <c r="AZ293" s="21">
        <v>290</v>
      </c>
      <c r="BA293" s="21">
        <v>45.199736104837825</v>
      </c>
      <c r="BB293" s="21">
        <v>46.7058513934697</v>
      </c>
      <c r="BC293" s="21">
        <v>48.652274081364318</v>
      </c>
      <c r="BD293" s="21">
        <v>50</v>
      </c>
      <c r="BE293" s="21">
        <v>50</v>
      </c>
    </row>
    <row r="294" spans="29:57" x14ac:dyDescent="0.15">
      <c r="AC294" s="21">
        <v>291</v>
      </c>
      <c r="AD294" s="21">
        <f>[1]节奏总纲!AD294</f>
        <v>81.895048862094228</v>
      </c>
      <c r="AE294" s="21">
        <f>[1]节奏总纲!AE294</f>
        <v>83.986841992131275</v>
      </c>
      <c r="AF294" s="21">
        <f>[1]节奏总纲!AF294</f>
        <v>86.930459832671289</v>
      </c>
      <c r="AG294" s="21">
        <f>[1]节奏总纲!AG294</f>
        <v>91.969903218718059</v>
      </c>
      <c r="AH294" s="21">
        <f>[1]节奏总纲!AH294</f>
        <v>100.87007794666089</v>
      </c>
      <c r="AZ294" s="21">
        <v>291</v>
      </c>
      <c r="BA294" s="21">
        <v>45.222052988059936</v>
      </c>
      <c r="BB294" s="21">
        <v>46.729931446993106</v>
      </c>
      <c r="BC294" s="21">
        <v>48.67620274791048</v>
      </c>
      <c r="BD294" s="21">
        <v>50</v>
      </c>
      <c r="BE294" s="21">
        <v>50</v>
      </c>
    </row>
    <row r="295" spans="29:57" x14ac:dyDescent="0.15">
      <c r="AC295" s="21">
        <v>292</v>
      </c>
      <c r="AD295" s="21">
        <f>[1]节奏总纲!AD295</f>
        <v>81.945828913583981</v>
      </c>
      <c r="AE295" s="21">
        <f>[1]节奏总纲!AE295</f>
        <v>84.036191564035917</v>
      </c>
      <c r="AF295" s="21">
        <f>[1]节奏总纲!AF295</f>
        <v>86.980037525114682</v>
      </c>
      <c r="AG295" s="21">
        <f>[1]节奏总纲!AG295</f>
        <v>92.021521414287719</v>
      </c>
      <c r="AH295" s="21">
        <f>[1]节奏总纲!AH295</f>
        <v>100.92371296205096</v>
      </c>
      <c r="AZ295" s="21">
        <v>292</v>
      </c>
      <c r="BA295" s="21">
        <v>45.244369871282039</v>
      </c>
      <c r="BB295" s="21">
        <v>46.754011500516519</v>
      </c>
      <c r="BC295" s="21">
        <v>48.700131414456635</v>
      </c>
      <c r="BD295" s="21">
        <v>50</v>
      </c>
      <c r="BE295" s="21">
        <v>50</v>
      </c>
    </row>
    <row r="296" spans="29:57" x14ac:dyDescent="0.15">
      <c r="AC296" s="21">
        <v>293</v>
      </c>
      <c r="AD296" s="21">
        <f>[1]节奏总纲!AD296</f>
        <v>81.996608965073733</v>
      </c>
      <c r="AE296" s="21">
        <f>[1]节奏总纲!AE296</f>
        <v>84.085064274836242</v>
      </c>
      <c r="AF296" s="21">
        <f>[1]节奏总纲!AF296</f>
        <v>87.029133791498197</v>
      </c>
      <c r="AG296" s="21">
        <f>[1]节奏总纲!AG296</f>
        <v>92.071632371634976</v>
      </c>
      <c r="AH296" s="21">
        <f>[1]节奏总纲!AH296</f>
        <v>100.97734797744103</v>
      </c>
      <c r="AZ296" s="21">
        <v>293</v>
      </c>
      <c r="BA296" s="21">
        <v>45.266686754504143</v>
      </c>
      <c r="BB296" s="21">
        <v>46.778091554039925</v>
      </c>
      <c r="BC296" s="21">
        <v>48.72406008100279</v>
      </c>
      <c r="BD296" s="21">
        <v>50</v>
      </c>
      <c r="BE296" s="21">
        <v>50</v>
      </c>
    </row>
    <row r="297" spans="29:57" x14ac:dyDescent="0.15">
      <c r="AC297" s="21">
        <v>294</v>
      </c>
      <c r="AD297" s="21">
        <f>[1]节奏总纲!AD297</f>
        <v>82.044215515890215</v>
      </c>
      <c r="AE297" s="21">
        <f>[1]节奏总纲!AE297</f>
        <v>84.133936985636566</v>
      </c>
      <c r="AF297" s="21">
        <f>[1]节奏总纲!AF297</f>
        <v>87.077905547159801</v>
      </c>
      <c r="AG297" s="21">
        <f>[1]节奏总纲!AG297</f>
        <v>92.121743328982234</v>
      </c>
      <c r="AH297" s="21">
        <f>[1]节奏总纲!AH297</f>
        <v>101.02868392415382</v>
      </c>
      <c r="AZ297" s="21">
        <v>294</v>
      </c>
      <c r="BA297" s="21">
        <v>45.289003637726246</v>
      </c>
      <c r="BB297" s="21">
        <v>46.802171607563338</v>
      </c>
      <c r="BC297" s="21">
        <v>48.747988747548945</v>
      </c>
      <c r="BD297" s="21">
        <v>50</v>
      </c>
      <c r="BE297" s="21">
        <v>50</v>
      </c>
    </row>
    <row r="298" spans="29:57" x14ac:dyDescent="0.15">
      <c r="AC298" s="21">
        <v>295</v>
      </c>
      <c r="AD298" s="21">
        <f>[1]节奏总纲!AD298</f>
        <v>82.091594979242089</v>
      </c>
      <c r="AE298" s="21">
        <f>[1]节奏总纲!AE298</f>
        <v>84.182809696436891</v>
      </c>
      <c r="AF298" s="21">
        <f>[1]节奏总纲!AF298</f>
        <v>87.126677302821392</v>
      </c>
      <c r="AG298" s="21">
        <f>[1]节奏总纲!AG298</f>
        <v>92.171854286329506</v>
      </c>
      <c r="AH298" s="21">
        <f>[1]节奏总纲!AH298</f>
        <v>101.07833899530283</v>
      </c>
      <c r="AZ298" s="21">
        <v>295</v>
      </c>
      <c r="BA298" s="21">
        <v>45.31132052094835</v>
      </c>
      <c r="BB298" s="21">
        <v>46.826251661086744</v>
      </c>
      <c r="BC298" s="21">
        <v>48.771917414095107</v>
      </c>
      <c r="BD298" s="21">
        <v>50</v>
      </c>
      <c r="BE298" s="21">
        <v>50</v>
      </c>
    </row>
    <row r="299" spans="29:57" x14ac:dyDescent="0.15">
      <c r="AC299" s="21">
        <v>296</v>
      </c>
      <c r="AD299" s="21">
        <f>[1]节奏总纲!AD299</f>
        <v>82.138974442593963</v>
      </c>
      <c r="AE299" s="21">
        <f>[1]节奏总纲!AE299</f>
        <v>84.23168240723723</v>
      </c>
      <c r="AF299" s="21">
        <f>[1]节奏总纲!AF299</f>
        <v>87.175449058482982</v>
      </c>
      <c r="AG299" s="21">
        <f>[1]节奏总纲!AG299</f>
        <v>92.221965243676763</v>
      </c>
      <c r="AH299" s="21">
        <f>[1]节奏总纲!AH299</f>
        <v>101.12799406645185</v>
      </c>
      <c r="AZ299" s="21">
        <v>296</v>
      </c>
      <c r="BA299" s="21">
        <v>45.333637404170453</v>
      </c>
      <c r="BB299" s="21">
        <v>46.850331714610157</v>
      </c>
      <c r="BC299" s="21">
        <v>48.795846080641262</v>
      </c>
      <c r="BD299" s="21">
        <v>50</v>
      </c>
      <c r="BE299" s="21">
        <v>50</v>
      </c>
    </row>
    <row r="300" spans="29:57" x14ac:dyDescent="0.15">
      <c r="AC300" s="21">
        <v>297</v>
      </c>
      <c r="AD300" s="21">
        <f>[1]节奏总纲!AD300</f>
        <v>82.186353905945836</v>
      </c>
      <c r="AE300" s="21">
        <f>[1]节奏总纲!AE300</f>
        <v>84.280555118037555</v>
      </c>
      <c r="AF300" s="21">
        <f>[1]节奏总纲!AF300</f>
        <v>87.224220814144587</v>
      </c>
      <c r="AG300" s="21">
        <f>[1]节奏总纲!AG300</f>
        <v>92.272076201024021</v>
      </c>
      <c r="AH300" s="21">
        <f>[1]节奏总纲!AH300</f>
        <v>101.17764913760085</v>
      </c>
      <c r="AZ300" s="21">
        <v>297</v>
      </c>
      <c r="BA300" s="21">
        <v>45.355954287392557</v>
      </c>
      <c r="BB300" s="21">
        <v>46.874411768133562</v>
      </c>
      <c r="BC300" s="21">
        <v>48.819774747187417</v>
      </c>
      <c r="BD300" s="21">
        <v>50</v>
      </c>
      <c r="BE300" s="21">
        <v>50</v>
      </c>
    </row>
    <row r="301" spans="29:57" x14ac:dyDescent="0.15">
      <c r="AC301" s="21">
        <v>298</v>
      </c>
      <c r="AD301" s="21">
        <f>[1]节奏总纲!AD301</f>
        <v>82.23373336929771</v>
      </c>
      <c r="AE301" s="21">
        <f>[1]节奏总纲!AE301</f>
        <v>84.329427828837879</v>
      </c>
      <c r="AF301" s="21">
        <f>[1]节奏总纲!AF301</f>
        <v>87.272992569806178</v>
      </c>
      <c r="AG301" s="21">
        <f>[1]节奏总纲!AG301</f>
        <v>92.322187158371293</v>
      </c>
      <c r="AH301" s="21">
        <f>[1]节奏总纲!AH301</f>
        <v>101.22730420874987</v>
      </c>
      <c r="AZ301" s="21">
        <v>298</v>
      </c>
      <c r="BA301" s="21">
        <v>45.37827117061466</v>
      </c>
      <c r="BB301" s="21">
        <v>46.898491821656968</v>
      </c>
      <c r="BC301" s="21">
        <v>48.843703413733579</v>
      </c>
      <c r="BD301" s="21">
        <v>50</v>
      </c>
      <c r="BE301" s="21">
        <v>50</v>
      </c>
    </row>
    <row r="302" spans="29:57" x14ac:dyDescent="0.15">
      <c r="AC302" s="21">
        <v>299</v>
      </c>
      <c r="AD302" s="21">
        <f>[1]节奏总纲!AD302</f>
        <v>82.281112832649583</v>
      </c>
      <c r="AE302" s="21">
        <f>[1]节奏总纲!AE302</f>
        <v>84.378300539638204</v>
      </c>
      <c r="AF302" s="21">
        <f>[1]节奏总纲!AF302</f>
        <v>87.321764325467768</v>
      </c>
      <c r="AG302" s="21">
        <f>[1]节奏总纲!AG302</f>
        <v>92.37229811571855</v>
      </c>
      <c r="AH302" s="21">
        <f>[1]节奏总纲!AH302</f>
        <v>101.27695927989888</v>
      </c>
      <c r="AZ302" s="21">
        <v>299</v>
      </c>
      <c r="BA302" s="21">
        <v>45.400588053836763</v>
      </c>
      <c r="BB302" s="21">
        <v>46.922571875180381</v>
      </c>
      <c r="BC302" s="21">
        <v>48.867632080279733</v>
      </c>
      <c r="BD302" s="21">
        <v>50</v>
      </c>
      <c r="BE302" s="21">
        <v>50</v>
      </c>
    </row>
    <row r="303" spans="29:57" x14ac:dyDescent="0.15">
      <c r="AC303" s="21">
        <v>300</v>
      </c>
      <c r="AD303" s="21">
        <f>[1]节奏总纲!AD303</f>
        <v>82.328492296001457</v>
      </c>
      <c r="AE303" s="21">
        <f>[1]节奏总纲!AE303</f>
        <v>84.427173250438543</v>
      </c>
      <c r="AF303" s="21">
        <f>[1]节奏总纲!AF303</f>
        <v>87.370536081129359</v>
      </c>
      <c r="AG303" s="21">
        <f>[1]节奏总纲!AG303</f>
        <v>92.422409073065808</v>
      </c>
      <c r="AH303" s="21">
        <f>[1]节奏总纲!AH303</f>
        <v>101.32661435104789</v>
      </c>
      <c r="AZ303" s="21">
        <v>300</v>
      </c>
      <c r="BA303" s="21">
        <v>45.422904937058867</v>
      </c>
      <c r="BB303" s="21">
        <v>46.946651928703787</v>
      </c>
      <c r="BC303" s="21">
        <v>48.891560746825888</v>
      </c>
      <c r="BD303" s="21">
        <v>50</v>
      </c>
      <c r="BE303" s="21">
        <v>50</v>
      </c>
    </row>
    <row r="304" spans="29:57" x14ac:dyDescent="0.15">
      <c r="AC304" s="21">
        <v>301</v>
      </c>
      <c r="AD304" s="21">
        <f>[1]节奏总纲!AD304</f>
        <v>82.375871759353331</v>
      </c>
      <c r="AE304" s="21">
        <f>[1]节奏总纲!AE304</f>
        <v>84.476045961238867</v>
      </c>
      <c r="AF304" s="21">
        <f>[1]节奏总纲!AF304</f>
        <v>87.419307836790964</v>
      </c>
      <c r="AG304" s="21">
        <f>[1]节奏总纲!AG304</f>
        <v>92.472520030413079</v>
      </c>
      <c r="AH304" s="21">
        <f>[1]节奏总纲!AH304</f>
        <v>101.3762694221969</v>
      </c>
      <c r="AZ304" s="21">
        <v>301</v>
      </c>
      <c r="BA304" s="21">
        <v>45.44522182028097</v>
      </c>
      <c r="BB304" s="21">
        <v>46.9707319822272</v>
      </c>
      <c r="BC304" s="21">
        <v>48.91548941337205</v>
      </c>
      <c r="BD304" s="21">
        <v>50</v>
      </c>
      <c r="BE304" s="21">
        <v>50</v>
      </c>
    </row>
    <row r="305" spans="29:57" x14ac:dyDescent="0.15">
      <c r="AC305" s="21">
        <v>302</v>
      </c>
      <c r="AD305" s="21">
        <f>[1]节奏总纲!AD305</f>
        <v>82.423251222705204</v>
      </c>
      <c r="AE305" s="21">
        <f>[1]节奏总纲!AE305</f>
        <v>84.524918672039192</v>
      </c>
      <c r="AF305" s="21">
        <f>[1]节奏总纲!AF305</f>
        <v>87.468079592452554</v>
      </c>
      <c r="AG305" s="21">
        <f>[1]节奏总纲!AG305</f>
        <v>92.522630987760337</v>
      </c>
      <c r="AH305" s="21">
        <f>[1]节奏总纲!AH305</f>
        <v>101.42592449334592</v>
      </c>
      <c r="AZ305" s="21">
        <v>302</v>
      </c>
      <c r="BA305" s="21">
        <v>45.467538703503074</v>
      </c>
      <c r="BB305" s="21">
        <v>46.994812035750606</v>
      </c>
      <c r="BC305" s="21">
        <v>48.939418079918205</v>
      </c>
      <c r="BD305" s="21">
        <v>50</v>
      </c>
      <c r="BE305" s="21">
        <v>50</v>
      </c>
    </row>
    <row r="306" spans="29:57" x14ac:dyDescent="0.15">
      <c r="AC306" s="21">
        <v>303</v>
      </c>
      <c r="AD306" s="21">
        <f>[1]节奏总纲!AD306</f>
        <v>82.470630686057078</v>
      </c>
      <c r="AE306" s="21">
        <f>[1]节奏总纲!AE306</f>
        <v>84.573791382839516</v>
      </c>
      <c r="AF306" s="21">
        <f>[1]节奏总纲!AF306</f>
        <v>87.516851348114145</v>
      </c>
      <c r="AG306" s="21">
        <f>[1]节奏总纲!AG306</f>
        <v>92.572741945107595</v>
      </c>
      <c r="AH306" s="21">
        <f>[1]节奏总纲!AH306</f>
        <v>101.47557956449492</v>
      </c>
      <c r="AZ306" s="21">
        <v>303</v>
      </c>
      <c r="BA306" s="21">
        <v>45.489855586725177</v>
      </c>
      <c r="BB306" s="21">
        <v>47.016308935086101</v>
      </c>
      <c r="BC306" s="21">
        <v>48.96334674646436</v>
      </c>
      <c r="BD306" s="21">
        <v>50</v>
      </c>
      <c r="BE306" s="21">
        <v>50</v>
      </c>
    </row>
    <row r="307" spans="29:57" x14ac:dyDescent="0.15">
      <c r="AC307" s="21">
        <v>304</v>
      </c>
      <c r="AD307" s="21">
        <f>[1]节奏总纲!AD307</f>
        <v>82.518010149408951</v>
      </c>
      <c r="AE307" s="21">
        <f>[1]节奏总纲!AE307</f>
        <v>84.622664093639855</v>
      </c>
      <c r="AF307" s="21">
        <f>[1]节奏总纲!AF307</f>
        <v>87.565623103775735</v>
      </c>
      <c r="AG307" s="21">
        <f>[1]节奏总纲!AG307</f>
        <v>92.622852902454852</v>
      </c>
      <c r="AH307" s="21">
        <f>[1]节奏总纲!AH307</f>
        <v>101.52523463564394</v>
      </c>
      <c r="AZ307" s="21">
        <v>304</v>
      </c>
      <c r="BA307" s="21">
        <v>45.512172469947281</v>
      </c>
      <c r="BB307" s="21">
        <v>47.037096473408994</v>
      </c>
      <c r="BC307" s="21">
        <v>48.987275413010522</v>
      </c>
      <c r="BD307" s="21">
        <v>50</v>
      </c>
      <c r="BE307" s="21">
        <v>50</v>
      </c>
    </row>
    <row r="308" spans="29:57" x14ac:dyDescent="0.15">
      <c r="AC308" s="21">
        <v>305</v>
      </c>
      <c r="AD308" s="21">
        <f>[1]节奏总纲!AD308</f>
        <v>82.565389612760825</v>
      </c>
      <c r="AE308" s="21">
        <f>[1]节奏总纲!AE308</f>
        <v>84.67153680444018</v>
      </c>
      <c r="AF308" s="21">
        <f>[1]节奏总纲!AF308</f>
        <v>87.61439485943734</v>
      </c>
      <c r="AG308" s="21">
        <f>[1]节奏总纲!AG308</f>
        <v>92.672963859802124</v>
      </c>
      <c r="AH308" s="21">
        <f>[1]节奏总纲!AH308</f>
        <v>101.57488970679294</v>
      </c>
      <c r="AZ308" s="21">
        <v>305</v>
      </c>
      <c r="BA308" s="21">
        <v>45.534489353169384</v>
      </c>
      <c r="BB308" s="21">
        <v>47.057884011731893</v>
      </c>
      <c r="BC308" s="21">
        <v>49.009673493801003</v>
      </c>
      <c r="BD308" s="21">
        <v>50</v>
      </c>
      <c r="BE308" s="21">
        <v>50</v>
      </c>
    </row>
    <row r="309" spans="29:57" x14ac:dyDescent="0.15">
      <c r="AC309" s="21">
        <v>306</v>
      </c>
      <c r="AD309" s="21">
        <f>[1]节奏总纲!AD309</f>
        <v>82.612769076112698</v>
      </c>
      <c r="AE309" s="21">
        <f>[1]节奏总纲!AE309</f>
        <v>84.720409515240505</v>
      </c>
      <c r="AF309" s="21">
        <f>[1]节奏总纲!AF309</f>
        <v>87.66316661509893</v>
      </c>
      <c r="AG309" s="21">
        <f>[1]节奏总纲!AG309</f>
        <v>92.723074817149381</v>
      </c>
      <c r="AH309" s="21">
        <f>[1]节奏总纲!AH309</f>
        <v>101.62454477794196</v>
      </c>
      <c r="AZ309" s="21">
        <v>306</v>
      </c>
      <c r="BA309" s="21">
        <v>45.556806236391488</v>
      </c>
      <c r="BB309" s="21">
        <v>47.078671550054786</v>
      </c>
      <c r="BC309" s="21">
        <v>49.030333272797542</v>
      </c>
      <c r="BD309" s="21">
        <v>50</v>
      </c>
      <c r="BE309" s="21">
        <v>50</v>
      </c>
    </row>
    <row r="310" spans="29:57" x14ac:dyDescent="0.15">
      <c r="AC310" s="21">
        <v>307</v>
      </c>
      <c r="AD310" s="21">
        <f>[1]节奏总纲!AD310</f>
        <v>82.660148539464572</v>
      </c>
      <c r="AE310" s="21">
        <f>[1]节奏总纲!AE310</f>
        <v>84.769282226040829</v>
      </c>
      <c r="AF310" s="21">
        <f>[1]节奏总纲!AF310</f>
        <v>87.711938370760521</v>
      </c>
      <c r="AG310" s="21">
        <f>[1]节奏总纲!AG310</f>
        <v>92.773185774496639</v>
      </c>
      <c r="AH310" s="21">
        <f>[1]节奏总纲!AH310</f>
        <v>101.67419984909097</v>
      </c>
      <c r="AZ310" s="21">
        <v>307</v>
      </c>
      <c r="BA310" s="21">
        <v>45.579123119613591</v>
      </c>
      <c r="BB310" s="21">
        <v>47.099459088377678</v>
      </c>
      <c r="BC310" s="21">
        <v>49.05099305179408</v>
      </c>
      <c r="BD310" s="21">
        <v>50</v>
      </c>
      <c r="BE310" s="21">
        <v>50</v>
      </c>
    </row>
    <row r="311" spans="29:57" x14ac:dyDescent="0.15">
      <c r="AC311" s="21">
        <v>308</v>
      </c>
      <c r="AD311" s="21">
        <f>[1]节奏总纲!AD311</f>
        <v>82.707528002816446</v>
      </c>
      <c r="AE311" s="21">
        <f>[1]节奏总纲!AE311</f>
        <v>84.818154936841154</v>
      </c>
      <c r="AF311" s="21">
        <f>[1]节奏总纲!AF311</f>
        <v>87.760710126422126</v>
      </c>
      <c r="AG311" s="21">
        <f>[1]节奏总纲!AG311</f>
        <v>92.823296731843911</v>
      </c>
      <c r="AH311" s="21">
        <f>[1]节奏总纲!AH311</f>
        <v>101.72385492023999</v>
      </c>
      <c r="AZ311" s="21">
        <v>308</v>
      </c>
      <c r="BA311" s="21">
        <v>45.601440002835695</v>
      </c>
      <c r="BB311" s="21">
        <v>47.12024662670057</v>
      </c>
      <c r="BC311" s="21">
        <v>49.071652830790612</v>
      </c>
      <c r="BD311" s="21">
        <v>50</v>
      </c>
      <c r="BE311" s="21">
        <v>50</v>
      </c>
    </row>
    <row r="312" spans="29:57" x14ac:dyDescent="0.15">
      <c r="AC312" s="21">
        <v>309</v>
      </c>
      <c r="AD312" s="21">
        <f>[1]节奏总纲!AD312</f>
        <v>82.754907466168319</v>
      </c>
      <c r="AE312" s="21">
        <f>[1]节奏总纲!AE312</f>
        <v>84.867027647641493</v>
      </c>
      <c r="AF312" s="21">
        <f>[1]节奏总纲!AF312</f>
        <v>87.809481882083716</v>
      </c>
      <c r="AG312" s="21">
        <f>[1]节奏总纲!AG312</f>
        <v>92.873407689191168</v>
      </c>
      <c r="AH312" s="21">
        <f>[1]节奏总纲!AH312</f>
        <v>101.77350999138899</v>
      </c>
      <c r="AZ312" s="21">
        <v>309</v>
      </c>
      <c r="BA312" s="21">
        <v>45.623756886057798</v>
      </c>
      <c r="BB312" s="21">
        <v>47.14103416502347</v>
      </c>
      <c r="BC312" s="21">
        <v>49.09231260978715</v>
      </c>
      <c r="BD312" s="21">
        <v>50</v>
      </c>
      <c r="BE312" s="21">
        <v>50</v>
      </c>
    </row>
    <row r="313" spans="29:57" x14ac:dyDescent="0.15">
      <c r="AC313" s="21">
        <v>310</v>
      </c>
      <c r="AD313" s="21">
        <f>[1]节奏总纲!AD313</f>
        <v>82.802286929520193</v>
      </c>
      <c r="AE313" s="21">
        <f>[1]节奏总纲!AE313</f>
        <v>84.915900358441817</v>
      </c>
      <c r="AF313" s="21">
        <f>[1]节奏总纲!AF313</f>
        <v>87.858253637745307</v>
      </c>
      <c r="AG313" s="21">
        <f>[1]节奏总纲!AG313</f>
        <v>92.923518646538426</v>
      </c>
      <c r="AH313" s="21">
        <f>[1]节奏总纲!AH313</f>
        <v>101.82316506253801</v>
      </c>
      <c r="AZ313" s="21">
        <v>310</v>
      </c>
      <c r="BA313" s="21">
        <v>45.646073769279901</v>
      </c>
      <c r="BB313" s="21">
        <v>47.161821703346362</v>
      </c>
      <c r="BC313" s="21">
        <v>49.112972388783689</v>
      </c>
      <c r="BD313" s="21">
        <v>50</v>
      </c>
      <c r="BE313" s="21">
        <v>50</v>
      </c>
    </row>
    <row r="314" spans="29:57" x14ac:dyDescent="0.15">
      <c r="AC314" s="21">
        <v>311</v>
      </c>
      <c r="AD314" s="21">
        <f>[1]节奏总纲!AD314</f>
        <v>82.849666392872066</v>
      </c>
      <c r="AE314" s="21">
        <f>[1]节奏总纲!AE314</f>
        <v>84.964773069242142</v>
      </c>
      <c r="AF314" s="21">
        <f>[1]节奏总纲!AF314</f>
        <v>87.907025393406897</v>
      </c>
      <c r="AG314" s="21">
        <f>[1]节奏总纲!AG314</f>
        <v>92.973629603885698</v>
      </c>
      <c r="AH314" s="21">
        <f>[1]节奏总纲!AH314</f>
        <v>101.87282013368701</v>
      </c>
      <c r="AZ314" s="21">
        <v>311</v>
      </c>
      <c r="BA314" s="21">
        <v>45.668390652502012</v>
      </c>
      <c r="BB314" s="21">
        <v>47.182609241669255</v>
      </c>
      <c r="BC314" s="21">
        <v>49.133632167780227</v>
      </c>
      <c r="BD314" s="21">
        <v>50</v>
      </c>
      <c r="BE314" s="21">
        <v>50</v>
      </c>
    </row>
    <row r="315" spans="29:57" x14ac:dyDescent="0.15">
      <c r="AC315" s="21">
        <v>312</v>
      </c>
      <c r="AD315" s="21">
        <f>[1]节奏总纲!AD315</f>
        <v>82.89704585622394</v>
      </c>
      <c r="AE315" s="21">
        <f>[1]节奏总纲!AE315</f>
        <v>85.012531647506819</v>
      </c>
      <c r="AF315" s="21">
        <f>[1]节奏总纲!AF315</f>
        <v>87.955797149068502</v>
      </c>
      <c r="AG315" s="21">
        <f>[1]节奏总纲!AG315</f>
        <v>93.022367647203353</v>
      </c>
      <c r="AH315" s="21">
        <f>[1]节奏总纲!AH315</f>
        <v>101.92247520483603</v>
      </c>
      <c r="AZ315" s="21">
        <v>312</v>
      </c>
      <c r="BA315" s="21">
        <v>45.690707535724115</v>
      </c>
      <c r="BB315" s="21">
        <v>47.203396779992147</v>
      </c>
      <c r="BC315" s="21">
        <v>49.154291946776759</v>
      </c>
      <c r="BD315" s="21">
        <v>50</v>
      </c>
      <c r="BE315" s="21">
        <v>50</v>
      </c>
    </row>
    <row r="316" spans="29:57" x14ac:dyDescent="0.15">
      <c r="AC316" s="21">
        <v>313</v>
      </c>
      <c r="AD316" s="21">
        <f>[1]节奏总纲!AD316</f>
        <v>82.944425319575814</v>
      </c>
      <c r="AE316" s="21">
        <f>[1]节奏总纲!AE316</f>
        <v>85.057414064088832</v>
      </c>
      <c r="AF316" s="21">
        <f>[1]节奏总纲!AF316</f>
        <v>88.004756197276762</v>
      </c>
      <c r="AG316" s="21">
        <f>[1]节奏总纲!AG316</f>
        <v>93.069580693431178</v>
      </c>
      <c r="AH316" s="21">
        <f>[1]节奏总纲!AH316</f>
        <v>101.97213027598504</v>
      </c>
      <c r="AZ316" s="21">
        <v>313</v>
      </c>
      <c r="BA316" s="21">
        <v>45.713024418946219</v>
      </c>
      <c r="BB316" s="21">
        <v>47.224184318315039</v>
      </c>
      <c r="BC316" s="21">
        <v>49.174951725773298</v>
      </c>
      <c r="BD316" s="21">
        <v>50</v>
      </c>
      <c r="BE316" s="21">
        <v>50</v>
      </c>
    </row>
    <row r="317" spans="29:57" x14ac:dyDescent="0.15">
      <c r="AC317" s="21">
        <v>314</v>
      </c>
      <c r="AD317" s="21">
        <f>[1]节奏总纲!AD317</f>
        <v>82.991804782927687</v>
      </c>
      <c r="AE317" s="21">
        <f>[1]节奏总纲!AE317</f>
        <v>85.10229648067083</v>
      </c>
      <c r="AF317" s="21">
        <f>[1]节奏总纲!AF317</f>
        <v>88.05552724748766</v>
      </c>
      <c r="AG317" s="21">
        <f>[1]节奏总纲!AG317</f>
        <v>93.116793739659002</v>
      </c>
      <c r="AH317" s="21">
        <f>[1]节奏总纲!AH317</f>
        <v>102.01969836502204</v>
      </c>
      <c r="AZ317" s="21">
        <v>314</v>
      </c>
      <c r="BA317" s="21">
        <v>45.735341302168322</v>
      </c>
      <c r="BB317" s="21">
        <v>47.244971856637939</v>
      </c>
      <c r="BC317" s="21">
        <v>49.195611504769836</v>
      </c>
      <c r="BD317" s="21">
        <v>50</v>
      </c>
      <c r="BE317" s="21">
        <v>50</v>
      </c>
    </row>
    <row r="318" spans="29:57" x14ac:dyDescent="0.15">
      <c r="AC318" s="21">
        <v>315</v>
      </c>
      <c r="AD318" s="21">
        <f>[1]节奏总纲!AD318</f>
        <v>83.03656019452734</v>
      </c>
      <c r="AE318" s="21">
        <f>[1]节奏总纲!AE318</f>
        <v>85.147178897252829</v>
      </c>
      <c r="AF318" s="21">
        <f>[1]节奏总纲!AF318</f>
        <v>88.106298297698572</v>
      </c>
      <c r="AG318" s="21">
        <f>[1]节奏总纲!AG318</f>
        <v>93.164006785886826</v>
      </c>
      <c r="AH318" s="21">
        <f>[1]节奏总纲!AH318</f>
        <v>102.06459660376342</v>
      </c>
      <c r="AZ318" s="21">
        <v>315</v>
      </c>
      <c r="BA318" s="21">
        <v>45.757658185390426</v>
      </c>
      <c r="BB318" s="21">
        <v>47.265759394960831</v>
      </c>
      <c r="BC318" s="21">
        <v>49.216271283766375</v>
      </c>
      <c r="BD318" s="21">
        <v>50</v>
      </c>
      <c r="BE318" s="21">
        <v>50</v>
      </c>
    </row>
    <row r="319" spans="29:57" x14ac:dyDescent="0.15">
      <c r="AC319" s="21">
        <v>316</v>
      </c>
      <c r="AD319" s="21">
        <f>[1]节奏总纲!AD319</f>
        <v>83.080766796955942</v>
      </c>
      <c r="AE319" s="21">
        <f>[1]节奏总纲!AE319</f>
        <v>85.192061313834827</v>
      </c>
      <c r="AF319" s="21">
        <f>[1]节奏总纲!AF319</f>
        <v>88.15706934790947</v>
      </c>
      <c r="AG319" s="21">
        <f>[1]节奏总纲!AG319</f>
        <v>93.211219832114651</v>
      </c>
      <c r="AH319" s="21">
        <f>[1]节奏总纲!AH319</f>
        <v>102.1094948425048</v>
      </c>
      <c r="AZ319" s="21">
        <v>316</v>
      </c>
      <c r="BA319" s="21">
        <v>45.779975068612529</v>
      </c>
      <c r="BB319" s="21">
        <v>47.286546933283724</v>
      </c>
      <c r="BC319" s="21">
        <v>49.236931062762913</v>
      </c>
      <c r="BD319" s="21">
        <v>50</v>
      </c>
      <c r="BE319" s="21">
        <v>50</v>
      </c>
    </row>
    <row r="320" spans="29:57" x14ac:dyDescent="0.15">
      <c r="AC320" s="21">
        <v>317</v>
      </c>
      <c r="AD320" s="21">
        <f>[1]节奏总纲!AD320</f>
        <v>83.124973399384558</v>
      </c>
      <c r="AE320" s="21">
        <f>[1]节奏总纲!AE320</f>
        <v>85.236943730416826</v>
      </c>
      <c r="AF320" s="21">
        <f>[1]节奏总纲!AF320</f>
        <v>88.207840398120382</v>
      </c>
      <c r="AG320" s="21">
        <f>[1]节奏总纲!AG320</f>
        <v>93.258432878342475</v>
      </c>
      <c r="AH320" s="21">
        <f>[1]节奏总纲!AH320</f>
        <v>102.15439308124618</v>
      </c>
      <c r="AZ320" s="21">
        <v>317</v>
      </c>
      <c r="BA320" s="21">
        <v>45.802291951834633</v>
      </c>
      <c r="BB320" s="21">
        <v>47.307334471606616</v>
      </c>
      <c r="BC320" s="21">
        <v>49.257590841759445</v>
      </c>
      <c r="BD320" s="21">
        <v>50</v>
      </c>
      <c r="BE320" s="21">
        <v>50</v>
      </c>
    </row>
    <row r="321" spans="29:57" x14ac:dyDescent="0.15">
      <c r="AC321" s="21">
        <v>318</v>
      </c>
      <c r="AD321" s="21">
        <f>[1]节奏总纲!AD321</f>
        <v>83.16918000181316</v>
      </c>
      <c r="AE321" s="21">
        <f>[1]节奏总纲!AE321</f>
        <v>85.281826146998839</v>
      </c>
      <c r="AF321" s="21">
        <f>[1]节奏总纲!AF321</f>
        <v>88.258611448331294</v>
      </c>
      <c r="AG321" s="21">
        <f>[1]节奏总纲!AG321</f>
        <v>93.3056459245703</v>
      </c>
      <c r="AH321" s="21">
        <f>[1]节奏总纲!AH321</f>
        <v>102.19929131998755</v>
      </c>
      <c r="AZ321" s="21">
        <v>318</v>
      </c>
      <c r="BA321" s="21">
        <v>45.824608835056736</v>
      </c>
      <c r="BB321" s="21">
        <v>47.328122009929508</v>
      </c>
      <c r="BC321" s="21">
        <v>49.278250620755983</v>
      </c>
      <c r="BD321" s="21">
        <v>50</v>
      </c>
      <c r="BE321" s="21">
        <v>50</v>
      </c>
    </row>
    <row r="322" spans="29:57" x14ac:dyDescent="0.15">
      <c r="AC322" s="21">
        <v>319</v>
      </c>
      <c r="AD322" s="21">
        <f>[1]节奏总纲!AD322</f>
        <v>83.213386604241776</v>
      </c>
      <c r="AE322" s="21">
        <f>[1]节奏总纲!AE322</f>
        <v>85.326708563580837</v>
      </c>
      <c r="AF322" s="21">
        <f>[1]节奏总纲!AF322</f>
        <v>88.309382498542192</v>
      </c>
      <c r="AG322" s="21">
        <f>[1]节奏总纲!AG322</f>
        <v>93.352858970798124</v>
      </c>
      <c r="AH322" s="21">
        <f>[1]节奏总纲!AH322</f>
        <v>102.24418955872893</v>
      </c>
      <c r="AZ322" s="21">
        <v>319</v>
      </c>
      <c r="BA322" s="21">
        <v>45.84692571827884</v>
      </c>
      <c r="BB322" s="21">
        <v>47.348909548252408</v>
      </c>
      <c r="BC322" s="21">
        <v>49.298910399752522</v>
      </c>
      <c r="BD322" s="21">
        <v>50</v>
      </c>
      <c r="BE322" s="21">
        <v>50</v>
      </c>
    </row>
    <row r="323" spans="29:57" x14ac:dyDescent="0.15">
      <c r="AC323" s="21">
        <v>320</v>
      </c>
      <c r="AD323" s="21">
        <f>[1]节奏总纲!AD323</f>
        <v>83.257593206670379</v>
      </c>
      <c r="AE323" s="21">
        <f>[1]节奏总纲!AE323</f>
        <v>85.371590980162836</v>
      </c>
      <c r="AF323" s="21">
        <f>[1]节奏总纲!AF323</f>
        <v>88.360153548753104</v>
      </c>
      <c r="AG323" s="21">
        <f>[1]节奏总纲!AG323</f>
        <v>93.400072017025948</v>
      </c>
      <c r="AH323" s="21">
        <f>[1]节奏总纲!AH323</f>
        <v>102.28908779747032</v>
      </c>
      <c r="AZ323" s="21">
        <v>320</v>
      </c>
      <c r="BA323" s="21">
        <v>45.869242601500943</v>
      </c>
      <c r="BB323" s="21">
        <v>47.3696970865753</v>
      </c>
      <c r="BC323" s="21">
        <v>49.319570178749061</v>
      </c>
      <c r="BD323" s="21">
        <v>50</v>
      </c>
      <c r="BE323" s="21">
        <v>50</v>
      </c>
    </row>
    <row r="324" spans="29:57" x14ac:dyDescent="0.15">
      <c r="AC324" s="21">
        <v>321</v>
      </c>
      <c r="AD324" s="21">
        <f>[1]节奏总纲!AD324</f>
        <v>83.301799809098995</v>
      </c>
      <c r="AE324" s="21">
        <f>[1]节奏总纲!AE324</f>
        <v>85.416473396744834</v>
      </c>
      <c r="AF324" s="21">
        <f>[1]节奏总纲!AF324</f>
        <v>88.410924598964016</v>
      </c>
      <c r="AG324" s="21">
        <f>[1]节奏总纲!AG324</f>
        <v>93.447285063253773</v>
      </c>
      <c r="AH324" s="21">
        <f>[1]节奏总纲!AH324</f>
        <v>102.3339860362117</v>
      </c>
      <c r="AZ324" s="21">
        <v>321</v>
      </c>
      <c r="BA324" s="21">
        <v>45.891559484723047</v>
      </c>
      <c r="BB324" s="21">
        <v>47.390484624898193</v>
      </c>
      <c r="BC324" s="21">
        <v>49.340229957745592</v>
      </c>
      <c r="BD324" s="21">
        <v>50</v>
      </c>
      <c r="BE324" s="21">
        <v>50</v>
      </c>
    </row>
    <row r="325" spans="29:57" x14ac:dyDescent="0.15">
      <c r="AC325" s="21">
        <v>322</v>
      </c>
      <c r="AD325" s="21">
        <f>[1]节奏总纲!AD325</f>
        <v>83.346006411527597</v>
      </c>
      <c r="AE325" s="21">
        <f>[1]节奏总纲!AE325</f>
        <v>85.461355813326847</v>
      </c>
      <c r="AF325" s="21">
        <f>[1]节奏总纲!AF325</f>
        <v>88.461695649174914</v>
      </c>
      <c r="AG325" s="21">
        <f>[1]节奏总纲!AG325</f>
        <v>93.494498109481597</v>
      </c>
      <c r="AH325" s="21">
        <f>[1]节奏总纲!AH325</f>
        <v>102.37888427495307</v>
      </c>
      <c r="AZ325" s="21">
        <v>322</v>
      </c>
      <c r="BA325" s="21">
        <v>45.91387636794515</v>
      </c>
      <c r="BB325" s="21">
        <v>47.411272163221085</v>
      </c>
      <c r="BC325" s="21">
        <v>49.360889736742131</v>
      </c>
      <c r="BD325" s="21">
        <v>50</v>
      </c>
      <c r="BE325" s="21">
        <v>50</v>
      </c>
    </row>
    <row r="326" spans="29:57" x14ac:dyDescent="0.15">
      <c r="AC326" s="21">
        <v>323</v>
      </c>
      <c r="AD326" s="21">
        <f>[1]节奏总纲!AD326</f>
        <v>83.390213013956213</v>
      </c>
      <c r="AE326" s="21">
        <f>[1]节奏总纲!AE326</f>
        <v>85.506238229908845</v>
      </c>
      <c r="AF326" s="21">
        <f>[1]节奏总纲!AF326</f>
        <v>88.512466699385826</v>
      </c>
      <c r="AG326" s="21">
        <f>[1]节奏总纲!AG326</f>
        <v>93.541711155709422</v>
      </c>
      <c r="AH326" s="21">
        <f>[1]节奏总纲!AH326</f>
        <v>102.42378251369445</v>
      </c>
      <c r="AZ326" s="21">
        <v>323</v>
      </c>
      <c r="BA326" s="21">
        <v>45.936193251167253</v>
      </c>
      <c r="BB326" s="21">
        <v>47.432059701543984</v>
      </c>
      <c r="BC326" s="21">
        <v>49.381549515738669</v>
      </c>
      <c r="BD326" s="21">
        <v>50</v>
      </c>
      <c r="BE326" s="21">
        <v>50</v>
      </c>
    </row>
    <row r="327" spans="29:57" x14ac:dyDescent="0.15">
      <c r="AC327" s="21">
        <v>324</v>
      </c>
      <c r="AD327" s="21">
        <f>[1]节奏总纲!AD327</f>
        <v>83.434419616384815</v>
      </c>
      <c r="AE327" s="21">
        <f>[1]节奏总纲!AE327</f>
        <v>85.551120646490844</v>
      </c>
      <c r="AF327" s="21">
        <f>[1]节奏总纲!AF327</f>
        <v>88.563237749596723</v>
      </c>
      <c r="AG327" s="21">
        <f>[1]节奏总纲!AG327</f>
        <v>93.588924201937246</v>
      </c>
      <c r="AH327" s="21">
        <f>[1]节奏总纲!AH327</f>
        <v>102.46868075243583</v>
      </c>
      <c r="AZ327" s="21">
        <v>324</v>
      </c>
      <c r="BA327" s="21">
        <v>45.958510134389357</v>
      </c>
      <c r="BB327" s="21">
        <v>47.452847239866877</v>
      </c>
      <c r="BC327" s="21">
        <v>49.402209294735208</v>
      </c>
      <c r="BD327" s="21">
        <v>50</v>
      </c>
      <c r="BE327" s="21">
        <v>50</v>
      </c>
    </row>
    <row r="328" spans="29:57" x14ac:dyDescent="0.15">
      <c r="AC328" s="21">
        <v>325</v>
      </c>
      <c r="AD328" s="21">
        <f>[1]节奏总纲!AD328</f>
        <v>83.478626218813432</v>
      </c>
      <c r="AE328" s="21">
        <f>[1]节奏总纲!AE328</f>
        <v>85.596003063072843</v>
      </c>
      <c r="AF328" s="21">
        <f>[1]节奏总纲!AF328</f>
        <v>88.614008799807635</v>
      </c>
      <c r="AG328" s="21">
        <f>[1]节奏总纲!AG328</f>
        <v>93.63613724816507</v>
      </c>
      <c r="AH328" s="21">
        <f>[1]节奏总纲!AH328</f>
        <v>102.51357899117721</v>
      </c>
      <c r="AZ328" s="21">
        <v>325</v>
      </c>
      <c r="BA328" s="21">
        <v>45.98082701761146</v>
      </c>
      <c r="BB328" s="21">
        <v>47.473634778189769</v>
      </c>
      <c r="BC328" s="21">
        <v>49.422869073731739</v>
      </c>
      <c r="BD328" s="21">
        <v>50</v>
      </c>
      <c r="BE328" s="21">
        <v>50</v>
      </c>
    </row>
    <row r="329" spans="29:57" x14ac:dyDescent="0.15">
      <c r="AC329" s="21">
        <v>326</v>
      </c>
      <c r="AD329" s="21">
        <f>[1]节奏总纲!AD329</f>
        <v>83.522832821242034</v>
      </c>
      <c r="AE329" s="21">
        <f>[1]节奏总纲!AE329</f>
        <v>85.640885479654855</v>
      </c>
      <c r="AF329" s="21">
        <f>[1]节奏总纲!AF329</f>
        <v>88.664779850018547</v>
      </c>
      <c r="AG329" s="21">
        <f>[1]节奏总纲!AG329</f>
        <v>93.683350294392895</v>
      </c>
      <c r="AH329" s="21">
        <f>[1]节奏总纲!AH329</f>
        <v>102.55847722991859</v>
      </c>
      <c r="AZ329" s="21">
        <v>326</v>
      </c>
      <c r="BA329" s="21">
        <v>46.002713830586146</v>
      </c>
      <c r="BB329" s="21">
        <v>47.494422316512662</v>
      </c>
      <c r="BC329" s="21">
        <v>49.443528852728278</v>
      </c>
      <c r="BD329" s="21">
        <v>50</v>
      </c>
      <c r="BE329" s="21">
        <v>50</v>
      </c>
    </row>
    <row r="330" spans="29:57" x14ac:dyDescent="0.15">
      <c r="AC330" s="21">
        <v>327</v>
      </c>
      <c r="AD330" s="21">
        <f>[1]节奏总纲!AD330</f>
        <v>83.56703942367065</v>
      </c>
      <c r="AE330" s="21">
        <f>[1]节奏总纲!AE330</f>
        <v>85.685767896236854</v>
      </c>
      <c r="AF330" s="21">
        <f>[1]节奏总纲!AF330</f>
        <v>88.715550900229445</v>
      </c>
      <c r="AG330" s="21">
        <f>[1]节奏总纲!AG330</f>
        <v>93.730563340620719</v>
      </c>
      <c r="AH330" s="21">
        <f>[1]节奏总纲!AH330</f>
        <v>102.60337546865996</v>
      </c>
      <c r="AZ330" s="21">
        <v>327</v>
      </c>
      <c r="BA330" s="21">
        <v>46.021977873404879</v>
      </c>
      <c r="BB330" s="21">
        <v>47.515209854835554</v>
      </c>
      <c r="BC330" s="21">
        <v>49.464188631724817</v>
      </c>
      <c r="BD330" s="21">
        <v>50</v>
      </c>
      <c r="BE330" s="21">
        <v>50</v>
      </c>
    </row>
    <row r="331" spans="29:57" x14ac:dyDescent="0.15">
      <c r="AC331" s="21">
        <v>328</v>
      </c>
      <c r="AD331" s="21">
        <f>[1]节奏总纲!AD331</f>
        <v>83.611246026099252</v>
      </c>
      <c r="AE331" s="21">
        <f>[1]节奏总纲!AE331</f>
        <v>85.730650312818852</v>
      </c>
      <c r="AF331" s="21">
        <f>[1]节奏总纲!AF331</f>
        <v>88.766321950440357</v>
      </c>
      <c r="AG331" s="21">
        <f>[1]节奏总纲!AG331</f>
        <v>93.777776386848544</v>
      </c>
      <c r="AH331" s="21">
        <f>[1]节奏总纲!AH331</f>
        <v>102.64827370740134</v>
      </c>
      <c r="AZ331" s="21">
        <v>328</v>
      </c>
      <c r="BA331" s="21">
        <v>46.041241916223605</v>
      </c>
      <c r="BB331" s="21">
        <v>47.535997393158453</v>
      </c>
      <c r="BC331" s="21">
        <v>49.484848410721355</v>
      </c>
      <c r="BD331" s="21">
        <v>50</v>
      </c>
      <c r="BE331" s="21">
        <v>50</v>
      </c>
    </row>
    <row r="332" spans="29:57" x14ac:dyDescent="0.15">
      <c r="AC332" s="21">
        <v>329</v>
      </c>
      <c r="AD332" s="21">
        <f>[1]节奏总纲!AD332</f>
        <v>83.655452628527868</v>
      </c>
      <c r="AE332" s="21">
        <f>[1]节奏总纲!AE332</f>
        <v>85.775532729400851</v>
      </c>
      <c r="AF332" s="21">
        <f>[1]节奏总纲!AF332</f>
        <v>88.817093000651269</v>
      </c>
      <c r="AG332" s="21">
        <f>[1]节奏总纲!AG332</f>
        <v>93.824989433076368</v>
      </c>
      <c r="AH332" s="21">
        <f>[1]节奏总纲!AH332</f>
        <v>102.69317194614273</v>
      </c>
      <c r="AZ332" s="21">
        <v>329</v>
      </c>
      <c r="BA332" s="21">
        <v>46.060505959042331</v>
      </c>
      <c r="BB332" s="21">
        <v>47.556784931481346</v>
      </c>
      <c r="BC332" s="21">
        <v>49.505508189717887</v>
      </c>
      <c r="BD332" s="21">
        <v>50</v>
      </c>
      <c r="BE332" s="21">
        <v>50</v>
      </c>
    </row>
    <row r="333" spans="29:57" x14ac:dyDescent="0.15">
      <c r="AC333" s="21">
        <v>330</v>
      </c>
      <c r="AD333" s="21">
        <f>[1]节奏总纲!AD333</f>
        <v>83.69965923095647</v>
      </c>
      <c r="AE333" s="21">
        <f>[1]节奏总纲!AE333</f>
        <v>85.820415145982849</v>
      </c>
      <c r="AF333" s="21">
        <f>[1]节奏总纲!AF333</f>
        <v>88.867864050862167</v>
      </c>
      <c r="AG333" s="21">
        <f>[1]节奏总纲!AG333</f>
        <v>93.872202479304192</v>
      </c>
      <c r="AH333" s="21">
        <f>[1]节奏总纲!AH333</f>
        <v>102.73807018488411</v>
      </c>
      <c r="AZ333" s="21">
        <v>330</v>
      </c>
      <c r="BA333" s="21">
        <v>46.079770001861057</v>
      </c>
      <c r="BB333" s="21">
        <v>47.577572469804238</v>
      </c>
      <c r="BC333" s="21">
        <v>49.526167968714425</v>
      </c>
      <c r="BD333" s="21">
        <v>50</v>
      </c>
      <c r="BE333" s="21">
        <v>50</v>
      </c>
    </row>
    <row r="334" spans="29:57" x14ac:dyDescent="0.15">
      <c r="AC334" s="21">
        <v>331</v>
      </c>
      <c r="AD334" s="21">
        <f>[1]节奏总纲!AD334</f>
        <v>83.743865833385087</v>
      </c>
      <c r="AE334" s="21">
        <f>[1]节奏总纲!AE334</f>
        <v>85.865297562564862</v>
      </c>
      <c r="AF334" s="21">
        <f>[1]节奏总纲!AF334</f>
        <v>88.918635101073079</v>
      </c>
      <c r="AG334" s="21">
        <f>[1]节奏总纲!AG334</f>
        <v>93.919415525532017</v>
      </c>
      <c r="AH334" s="21">
        <f>[1]节奏总纲!AH334</f>
        <v>102.78296842362549</v>
      </c>
      <c r="AZ334" s="21">
        <v>331</v>
      </c>
      <c r="BA334" s="21">
        <v>46.099034044679783</v>
      </c>
      <c r="BB334" s="21">
        <v>47.598360008127131</v>
      </c>
      <c r="BC334" s="21">
        <v>49.546827747710964</v>
      </c>
      <c r="BD334" s="21">
        <v>50</v>
      </c>
      <c r="BE334" s="21">
        <v>50</v>
      </c>
    </row>
    <row r="335" spans="29:57" x14ac:dyDescent="0.15">
      <c r="AC335" s="21">
        <v>332</v>
      </c>
      <c r="AD335" s="21">
        <f>[1]节奏总纲!AD335</f>
        <v>83.788072435813689</v>
      </c>
      <c r="AE335" s="21">
        <f>[1]节奏总纲!AE335</f>
        <v>85.910179979146861</v>
      </c>
      <c r="AF335" s="21">
        <f>[1]节奏总纲!AF335</f>
        <v>88.969406151283977</v>
      </c>
      <c r="AG335" s="21">
        <f>[1]节奏总纲!AG335</f>
        <v>93.966628571759841</v>
      </c>
      <c r="AH335" s="21">
        <f>[1]节奏总纲!AH335</f>
        <v>102.82786666236686</v>
      </c>
      <c r="AZ335" s="21">
        <v>332</v>
      </c>
      <c r="BA335" s="21">
        <v>46.118298087498509</v>
      </c>
      <c r="BB335" s="21">
        <v>47.619147546450023</v>
      </c>
      <c r="BC335" s="21">
        <v>49.567487526707502</v>
      </c>
      <c r="BD335" s="21">
        <v>50</v>
      </c>
      <c r="BE335" s="21">
        <v>50</v>
      </c>
    </row>
    <row r="336" spans="29:57" x14ac:dyDescent="0.15">
      <c r="AC336" s="21">
        <v>333</v>
      </c>
      <c r="AD336" s="21">
        <f>[1]节奏总纲!AD336</f>
        <v>83.832279038242305</v>
      </c>
      <c r="AE336" s="21">
        <f>[1]节奏总纲!AE336</f>
        <v>85.955062395728859</v>
      </c>
      <c r="AF336" s="21">
        <f>[1]节奏总纲!AF336</f>
        <v>89.018466905731287</v>
      </c>
      <c r="AG336" s="21">
        <f>[1]节奏总纲!AG336</f>
        <v>94.012923283729691</v>
      </c>
      <c r="AH336" s="21">
        <f>[1]节奏总纲!AH336</f>
        <v>102.87276490110824</v>
      </c>
      <c r="AZ336" s="21">
        <v>333</v>
      </c>
      <c r="BA336" s="21">
        <v>46.137562130317242</v>
      </c>
      <c r="BB336" s="21">
        <v>47.639935084772922</v>
      </c>
      <c r="BC336" s="21">
        <v>49.588147305704041</v>
      </c>
      <c r="BD336" s="21">
        <v>50</v>
      </c>
      <c r="BE336" s="21">
        <v>50</v>
      </c>
    </row>
    <row r="337" spans="29:57" x14ac:dyDescent="0.15">
      <c r="AC337" s="21">
        <v>334</v>
      </c>
      <c r="AD337" s="21">
        <f>[1]节奏总纲!AD337</f>
        <v>83.876485640670907</v>
      </c>
      <c r="AE337" s="21">
        <f>[1]节奏总纲!AE337</f>
        <v>85.999944812310858</v>
      </c>
      <c r="AF337" s="21">
        <f>[1]节奏总纲!AF337</f>
        <v>89.064934410075779</v>
      </c>
      <c r="AG337" s="21">
        <f>[1]节奏总纲!AG337</f>
        <v>94.057003939090123</v>
      </c>
      <c r="AH337" s="21">
        <f>[1]节奏总纲!AH337</f>
        <v>102.91766313984962</v>
      </c>
      <c r="AZ337" s="21">
        <v>334</v>
      </c>
      <c r="BA337" s="21">
        <v>46.156826173135968</v>
      </c>
      <c r="BB337" s="21">
        <v>47.660722623095815</v>
      </c>
      <c r="BC337" s="21">
        <v>49.608807084700572</v>
      </c>
      <c r="BD337" s="21">
        <v>50</v>
      </c>
      <c r="BE337" s="21">
        <v>50</v>
      </c>
    </row>
    <row r="338" spans="29:57" x14ac:dyDescent="0.15">
      <c r="AC338" s="21">
        <v>335</v>
      </c>
      <c r="AD338" s="21">
        <f>[1]节奏总纲!AD338</f>
        <v>83.920692243099523</v>
      </c>
      <c r="AE338" s="21">
        <f>[1]节奏总纲!AE338</f>
        <v>86.041129946887025</v>
      </c>
      <c r="AF338" s="21">
        <f>[1]节奏总纲!AF338</f>
        <v>89.11140191442027</v>
      </c>
      <c r="AG338" s="21">
        <f>[1]节奏总纲!AG338</f>
        <v>94.101084594450555</v>
      </c>
      <c r="AH338" s="21">
        <f>[1]节奏总纲!AH338</f>
        <v>102.962561378591</v>
      </c>
      <c r="AZ338" s="21">
        <v>335</v>
      </c>
      <c r="BA338" s="21">
        <v>46.176090215954694</v>
      </c>
      <c r="BB338" s="21">
        <v>47.681510161418707</v>
      </c>
      <c r="BC338" s="21">
        <v>49.629466863697111</v>
      </c>
      <c r="BD338" s="21">
        <v>50</v>
      </c>
      <c r="BE338" s="21">
        <v>50</v>
      </c>
    </row>
    <row r="339" spans="29:57" x14ac:dyDescent="0.15">
      <c r="AC339" s="21">
        <v>336</v>
      </c>
      <c r="AD339" s="21">
        <f>[1]节奏总纲!AD339</f>
        <v>83.964898845528126</v>
      </c>
      <c r="AE339" s="21">
        <f>[1]节奏总纲!AE339</f>
        <v>86.082310529666103</v>
      </c>
      <c r="AF339" s="21">
        <f>[1]节奏总纲!AF339</f>
        <v>89.157869418764761</v>
      </c>
      <c r="AG339" s="21">
        <f>[1]节奏总纲!AG339</f>
        <v>94.145165249810972</v>
      </c>
      <c r="AH339" s="21">
        <f>[1]节奏总纲!AH339</f>
        <v>103.00673656424885</v>
      </c>
      <c r="AZ339" s="21">
        <v>336</v>
      </c>
      <c r="BA339" s="21">
        <v>46.19535425877342</v>
      </c>
      <c r="BB339" s="21">
        <v>47.7022976997416</v>
      </c>
      <c r="BC339" s="21">
        <v>49.65012664269365</v>
      </c>
      <c r="BD339" s="21">
        <v>50</v>
      </c>
      <c r="BE339" s="21">
        <v>50</v>
      </c>
    </row>
    <row r="340" spans="29:57" x14ac:dyDescent="0.15">
      <c r="AC340" s="21">
        <v>337</v>
      </c>
      <c r="AD340" s="21">
        <f>[1]节奏总纲!AD340</f>
        <v>84.008495683346354</v>
      </c>
      <c r="AE340" s="21">
        <f>[1]节奏总纲!AE340</f>
        <v>86.12349111244518</v>
      </c>
      <c r="AF340" s="21">
        <f>[1]节奏总纲!AF340</f>
        <v>89.204336923109267</v>
      </c>
      <c r="AG340" s="21">
        <f>[1]节奏总纲!AG340</f>
        <v>94.189245905171404</v>
      </c>
      <c r="AH340" s="21">
        <f>[1]节奏总纲!AH340</f>
        <v>103.04728286259964</v>
      </c>
      <c r="AZ340" s="21">
        <v>337</v>
      </c>
      <c r="BA340" s="21">
        <v>46.214618301592147</v>
      </c>
      <c r="BB340" s="21">
        <v>47.723085238064499</v>
      </c>
      <c r="BC340" s="21">
        <v>49.670786421690188</v>
      </c>
      <c r="BD340" s="21">
        <v>50</v>
      </c>
      <c r="BE340" s="21">
        <v>50</v>
      </c>
    </row>
    <row r="341" spans="29:57" x14ac:dyDescent="0.15">
      <c r="AC341" s="21">
        <v>338</v>
      </c>
      <c r="AD341" s="21">
        <f>[1]节奏总纲!AD341</f>
        <v>84.049741901856009</v>
      </c>
      <c r="AE341" s="21">
        <f>[1]节奏总纲!AE341</f>
        <v>86.164671695224243</v>
      </c>
      <c r="AF341" s="21">
        <f>[1]节奏总纲!AF341</f>
        <v>89.250804427453758</v>
      </c>
      <c r="AG341" s="21">
        <f>[1]节奏总纲!AG341</f>
        <v>94.233326560531836</v>
      </c>
      <c r="AH341" s="21">
        <f>[1]节奏总纲!AH341</f>
        <v>103.08782916095045</v>
      </c>
      <c r="AZ341" s="21">
        <v>338</v>
      </c>
      <c r="BA341" s="21">
        <v>46.23388234441088</v>
      </c>
      <c r="BB341" s="21">
        <v>47.743872776387391</v>
      </c>
      <c r="BC341" s="21">
        <v>49.69144620068672</v>
      </c>
      <c r="BD341" s="21">
        <v>50</v>
      </c>
      <c r="BE341" s="21">
        <v>50</v>
      </c>
    </row>
    <row r="342" spans="29:57" x14ac:dyDescent="0.15">
      <c r="AC342" s="21">
        <v>339</v>
      </c>
      <c r="AD342" s="21">
        <f>[1]节奏总纲!AD342</f>
        <v>84.090988120365651</v>
      </c>
      <c r="AE342" s="21">
        <f>[1]节奏总纲!AE342</f>
        <v>86.20585227800332</v>
      </c>
      <c r="AF342" s="21">
        <f>[1]节奏总纲!AF342</f>
        <v>89.29727193179825</v>
      </c>
      <c r="AG342" s="21">
        <f>[1]节奏总纲!AG342</f>
        <v>94.277407215892268</v>
      </c>
      <c r="AH342" s="21">
        <f>[1]节奏总纲!AH342</f>
        <v>103.12837545930124</v>
      </c>
      <c r="AZ342" s="21">
        <v>339</v>
      </c>
      <c r="BA342" s="21">
        <v>46.253146387229606</v>
      </c>
      <c r="BB342" s="21">
        <v>47.764660314710284</v>
      </c>
      <c r="BC342" s="21">
        <v>49.712105979683258</v>
      </c>
      <c r="BD342" s="21">
        <v>50</v>
      </c>
      <c r="BE342" s="21">
        <v>50</v>
      </c>
    </row>
    <row r="343" spans="29:57" x14ac:dyDescent="0.15">
      <c r="AC343" s="21">
        <v>340</v>
      </c>
      <c r="AD343" s="21">
        <f>[1]节奏总纲!AD343</f>
        <v>84.132234338875293</v>
      </c>
      <c r="AE343" s="21">
        <f>[1]节奏总纲!AE343</f>
        <v>86.247032860782397</v>
      </c>
      <c r="AF343" s="21">
        <f>[1]节奏总纲!AF343</f>
        <v>89.343739436142741</v>
      </c>
      <c r="AG343" s="21">
        <f>[1]节奏总纲!AG343</f>
        <v>94.3214878712527</v>
      </c>
      <c r="AH343" s="21">
        <f>[1]节奏总纲!AH343</f>
        <v>103.16892175765203</v>
      </c>
      <c r="AZ343" s="21">
        <v>340</v>
      </c>
      <c r="BA343" s="21">
        <v>46.272410430048332</v>
      </c>
      <c r="BB343" s="21">
        <v>47.785447853033176</v>
      </c>
      <c r="BC343" s="21">
        <v>49.732765758679797</v>
      </c>
      <c r="BD343" s="21">
        <v>50</v>
      </c>
      <c r="BE343" s="21">
        <v>50</v>
      </c>
    </row>
    <row r="344" spans="29:57" x14ac:dyDescent="0.15">
      <c r="AC344" s="21">
        <v>341</v>
      </c>
      <c r="AD344" s="21">
        <f>[1]节奏总纲!AD344</f>
        <v>84.173480557384934</v>
      </c>
      <c r="AE344" s="21">
        <f>[1]节奏总纲!AE344</f>
        <v>86.288213443561474</v>
      </c>
      <c r="AF344" s="21">
        <f>[1]节奏总纲!AF344</f>
        <v>89.390206940487232</v>
      </c>
      <c r="AG344" s="21">
        <f>[1]节奏总纲!AG344</f>
        <v>94.365568526613131</v>
      </c>
      <c r="AH344" s="21">
        <f>[1]节奏总纲!AH344</f>
        <v>103.20946805600283</v>
      </c>
      <c r="AZ344" s="21">
        <v>341</v>
      </c>
      <c r="BA344" s="21">
        <v>46.291674472867058</v>
      </c>
      <c r="BB344" s="21">
        <v>47.806235391356068</v>
      </c>
      <c r="BC344" s="21">
        <v>49.753425537676335</v>
      </c>
      <c r="BD344" s="21">
        <v>50</v>
      </c>
      <c r="BE344" s="21">
        <v>50</v>
      </c>
    </row>
    <row r="345" spans="29:57" x14ac:dyDescent="0.15">
      <c r="AC345" s="21">
        <v>342</v>
      </c>
      <c r="AD345" s="21">
        <f>[1]节奏总纲!AD345</f>
        <v>84.214726775894576</v>
      </c>
      <c r="AE345" s="21">
        <f>[1]节奏总纲!AE345</f>
        <v>86.329394026340537</v>
      </c>
      <c r="AF345" s="21">
        <f>[1]节奏总纲!AF345</f>
        <v>89.436674444831723</v>
      </c>
      <c r="AG345" s="21">
        <f>[1]节奏总纲!AG345</f>
        <v>94.409649181973549</v>
      </c>
      <c r="AH345" s="21">
        <f>[1]节奏总纲!AH345</f>
        <v>103.25001435435362</v>
      </c>
      <c r="AZ345" s="21">
        <v>342</v>
      </c>
      <c r="BA345" s="21">
        <v>46.310938515685784</v>
      </c>
      <c r="BB345" s="21">
        <v>47.827022929678968</v>
      </c>
      <c r="BC345" s="21">
        <v>49.774085316672867</v>
      </c>
      <c r="BD345" s="21">
        <v>50</v>
      </c>
      <c r="BE345" s="21">
        <v>50</v>
      </c>
    </row>
    <row r="346" spans="29:57" x14ac:dyDescent="0.15">
      <c r="AC346" s="21">
        <v>343</v>
      </c>
      <c r="AD346" s="21">
        <f>[1]节奏总纲!AD346</f>
        <v>84.255972994404218</v>
      </c>
      <c r="AE346" s="21">
        <f>[1]节奏总纲!AE346</f>
        <v>86.370574609119615</v>
      </c>
      <c r="AF346" s="21">
        <f>[1]节奏总纲!AF346</f>
        <v>89.483141949176215</v>
      </c>
      <c r="AG346" s="21">
        <f>[1]节奏总纲!AG346</f>
        <v>94.453729837333981</v>
      </c>
      <c r="AH346" s="21">
        <f>[1]节奏总纲!AH346</f>
        <v>103.29056065270443</v>
      </c>
      <c r="AZ346" s="21">
        <v>343</v>
      </c>
      <c r="BA346" s="21">
        <v>46.330202558504517</v>
      </c>
      <c r="BB346" s="21">
        <v>47.84781046800186</v>
      </c>
      <c r="BC346" s="21">
        <v>49.794745095669406</v>
      </c>
      <c r="BD346" s="21">
        <v>50</v>
      </c>
      <c r="BE346" s="21">
        <v>50</v>
      </c>
    </row>
    <row r="347" spans="29:57" x14ac:dyDescent="0.15">
      <c r="AC347" s="21">
        <v>344</v>
      </c>
      <c r="AD347" s="21">
        <f>[1]节奏总纲!AD347</f>
        <v>84.297219212913859</v>
      </c>
      <c r="AE347" s="21">
        <f>[1]节奏总纲!AE347</f>
        <v>86.411755191898692</v>
      </c>
      <c r="AF347" s="21">
        <f>[1]节奏总纲!AF347</f>
        <v>89.529609453520706</v>
      </c>
      <c r="AG347" s="21">
        <f>[1]节奏总纲!AG347</f>
        <v>94.497810492694413</v>
      </c>
      <c r="AH347" s="21">
        <f>[1]节奏总纲!AH347</f>
        <v>103.33110695105522</v>
      </c>
      <c r="AZ347" s="21">
        <v>344</v>
      </c>
      <c r="BA347" s="21">
        <v>46.349466601323243</v>
      </c>
      <c r="BB347" s="21">
        <v>47.868598006324753</v>
      </c>
      <c r="BC347" s="21">
        <v>49.815404874665944</v>
      </c>
      <c r="BD347" s="21">
        <v>50</v>
      </c>
      <c r="BE347" s="21">
        <v>50</v>
      </c>
    </row>
    <row r="348" spans="29:57" x14ac:dyDescent="0.15">
      <c r="AC348" s="21">
        <v>345</v>
      </c>
      <c r="AD348" s="21">
        <f>[1]节奏总纲!AD348</f>
        <v>84.338465431423501</v>
      </c>
      <c r="AE348" s="21">
        <f>[1]节奏总纲!AE348</f>
        <v>86.452935774677769</v>
      </c>
      <c r="AF348" s="21">
        <f>[1]节奏总纲!AF348</f>
        <v>89.576076957865197</v>
      </c>
      <c r="AG348" s="21">
        <f>[1]节奏总纲!AG348</f>
        <v>94.541891148054845</v>
      </c>
      <c r="AH348" s="21">
        <f>[1]节奏总纲!AH348</f>
        <v>103.37165324940601</v>
      </c>
      <c r="AZ348" s="21">
        <v>345</v>
      </c>
      <c r="BA348" s="21">
        <v>46.368730644141969</v>
      </c>
      <c r="BB348" s="21">
        <v>47.889385544647645</v>
      </c>
      <c r="BC348" s="21">
        <v>49.836064653662483</v>
      </c>
      <c r="BD348" s="21">
        <v>50</v>
      </c>
      <c r="BE348" s="21">
        <v>50</v>
      </c>
    </row>
    <row r="349" spans="29:57" x14ac:dyDescent="0.15">
      <c r="AC349" s="21">
        <v>346</v>
      </c>
      <c r="AD349" s="21">
        <f>[1]节奏总纲!AD349</f>
        <v>84.379711649933142</v>
      </c>
      <c r="AE349" s="21">
        <f>[1]节奏总纲!AE349</f>
        <v>86.494116357456846</v>
      </c>
      <c r="AF349" s="21">
        <f>[1]节奏总纲!AF349</f>
        <v>89.622544462209689</v>
      </c>
      <c r="AG349" s="21">
        <f>[1]节奏总纲!AG349</f>
        <v>94.585971803415276</v>
      </c>
      <c r="AH349" s="21">
        <f>[1]节奏总纲!AH349</f>
        <v>103.41219954775681</v>
      </c>
      <c r="AZ349" s="21">
        <v>346</v>
      </c>
      <c r="BA349" s="21">
        <v>46.387994686960695</v>
      </c>
      <c r="BB349" s="21">
        <v>47.910173082970537</v>
      </c>
      <c r="BC349" s="21">
        <v>49.856724432659014</v>
      </c>
      <c r="BD349" s="21">
        <v>50</v>
      </c>
      <c r="BE349" s="21">
        <v>50</v>
      </c>
    </row>
    <row r="350" spans="29:57" x14ac:dyDescent="0.15">
      <c r="AC350" s="21">
        <v>347</v>
      </c>
      <c r="AD350" s="21">
        <f>[1]节奏总纲!AD350</f>
        <v>84.420957868442784</v>
      </c>
      <c r="AE350" s="21">
        <f>[1]节奏总纲!AE350</f>
        <v>86.535296940235909</v>
      </c>
      <c r="AF350" s="21">
        <f>[1]节奏总纲!AF350</f>
        <v>89.66901196655418</v>
      </c>
      <c r="AG350" s="21">
        <f>[1]节奏总纲!AG350</f>
        <v>94.630052458775694</v>
      </c>
      <c r="AH350" s="21">
        <f>[1]节奏总纲!AH350</f>
        <v>103.4527458461076</v>
      </c>
      <c r="AZ350" s="21">
        <v>347</v>
      </c>
      <c r="BA350" s="21">
        <v>46.407258729779421</v>
      </c>
      <c r="BB350" s="21">
        <v>47.930960621293437</v>
      </c>
      <c r="BC350" s="21">
        <v>49.877384211655553</v>
      </c>
      <c r="BD350" s="21">
        <v>50</v>
      </c>
      <c r="BE350" s="21">
        <v>50</v>
      </c>
    </row>
    <row r="351" spans="29:57" x14ac:dyDescent="0.15">
      <c r="AC351" s="21">
        <v>348</v>
      </c>
      <c r="AD351" s="21">
        <f>[1]节奏总纲!AD351</f>
        <v>84.462204086952426</v>
      </c>
      <c r="AE351" s="21">
        <f>[1]节奏总纲!AE351</f>
        <v>86.576477523014987</v>
      </c>
      <c r="AF351" s="21">
        <f>[1]节奏总纲!AF351</f>
        <v>89.715479470898671</v>
      </c>
      <c r="AG351" s="21">
        <f>[1]节奏总纲!AG351</f>
        <v>94.674133114136126</v>
      </c>
      <c r="AH351" s="21">
        <f>[1]节奏总纲!AH351</f>
        <v>103.49329214445841</v>
      </c>
      <c r="AZ351" s="21">
        <v>348</v>
      </c>
      <c r="BA351" s="21">
        <v>46.426522772598148</v>
      </c>
      <c r="BB351" s="21">
        <v>47.951748159616329</v>
      </c>
      <c r="BC351" s="21">
        <v>49.898043990652091</v>
      </c>
      <c r="BD351" s="21">
        <v>50</v>
      </c>
      <c r="BE351" s="21">
        <v>50</v>
      </c>
    </row>
    <row r="352" spans="29:57" x14ac:dyDescent="0.15">
      <c r="AC352" s="21">
        <v>349</v>
      </c>
      <c r="AD352" s="21">
        <f>[1]节奏总纲!AD352</f>
        <v>84.503450305462081</v>
      </c>
      <c r="AE352" s="21">
        <f>[1]节奏总纲!AE352</f>
        <v>86.617658105794064</v>
      </c>
      <c r="AF352" s="21">
        <f>[1]节奏总纲!AF352</f>
        <v>89.761946975243163</v>
      </c>
      <c r="AG352" s="21">
        <f>[1]节奏总纲!AG352</f>
        <v>94.718213769496558</v>
      </c>
      <c r="AH352" s="21">
        <f>[1]节奏总纲!AH352</f>
        <v>103.5338384428092</v>
      </c>
      <c r="AZ352" s="21">
        <v>349</v>
      </c>
      <c r="BA352" s="21">
        <v>46.445786815416881</v>
      </c>
      <c r="BB352" s="21">
        <v>47.972535697939222</v>
      </c>
      <c r="BC352" s="21">
        <v>49.91870376964863</v>
      </c>
      <c r="BD352" s="21">
        <v>50</v>
      </c>
      <c r="BE352" s="21">
        <v>50</v>
      </c>
    </row>
    <row r="353" spans="29:57" x14ac:dyDescent="0.15">
      <c r="AC353" s="21">
        <v>350</v>
      </c>
      <c r="AD353" s="21">
        <f>[1]节奏总纲!AD353</f>
        <v>84.544696523971723</v>
      </c>
      <c r="AE353" s="21">
        <f>[1]节奏总纲!AE353</f>
        <v>86.658838688573141</v>
      </c>
      <c r="AF353" s="21">
        <f>[1]节奏总纲!AF353</f>
        <v>89.808414479587654</v>
      </c>
      <c r="AG353" s="21">
        <f>[1]节奏总纲!AG353</f>
        <v>94.762294424856989</v>
      </c>
      <c r="AH353" s="21">
        <f>[1]节奏总纲!AH353</f>
        <v>103.57438474115999</v>
      </c>
      <c r="AZ353" s="21">
        <v>350</v>
      </c>
      <c r="BA353" s="21">
        <v>46.465050858235607</v>
      </c>
      <c r="BB353" s="21">
        <v>47.993323236262114</v>
      </c>
      <c r="BC353" s="21">
        <v>49.939363548645169</v>
      </c>
      <c r="BD353" s="21">
        <v>50</v>
      </c>
      <c r="BE353" s="21">
        <v>50</v>
      </c>
    </row>
    <row r="354" spans="29:57" x14ac:dyDescent="0.15">
      <c r="AC354" s="21">
        <v>351</v>
      </c>
      <c r="AD354" s="21">
        <f>[1]节奏总纲!AD354</f>
        <v>84.585942742481365</v>
      </c>
      <c r="AE354" s="21">
        <f>[1]节奏总纲!AE354</f>
        <v>86.700019271352204</v>
      </c>
      <c r="AF354" s="21">
        <f>[1]节奏总纲!AF354</f>
        <v>89.854881983932145</v>
      </c>
      <c r="AG354" s="21">
        <f>[1]节奏总纲!AG354</f>
        <v>94.806375080217421</v>
      </c>
      <c r="AH354" s="21">
        <f>[1]节奏总纲!AH354</f>
        <v>103.61493103951079</v>
      </c>
      <c r="AZ354" s="21">
        <v>351</v>
      </c>
      <c r="BA354" s="21">
        <v>46.484314901054333</v>
      </c>
      <c r="BB354" s="21">
        <v>48.012182251254622</v>
      </c>
      <c r="BC354" s="21">
        <v>49.9600233276417</v>
      </c>
      <c r="BD354" s="21">
        <v>50</v>
      </c>
      <c r="BE354" s="21">
        <v>50</v>
      </c>
    </row>
    <row r="355" spans="29:57" x14ac:dyDescent="0.15">
      <c r="AC355" s="21">
        <v>352</v>
      </c>
      <c r="AD355" s="21">
        <f>[1]节奏总纲!AD355</f>
        <v>84.627188960991006</v>
      </c>
      <c r="AE355" s="21">
        <f>[1]节奏总纲!AE355</f>
        <v>86.741199854131281</v>
      </c>
      <c r="AF355" s="21">
        <f>[1]节奏总纲!AF355</f>
        <v>89.901349488276637</v>
      </c>
      <c r="AG355" s="21">
        <f>[1]节奏总纲!AG355</f>
        <v>94.850455735577853</v>
      </c>
      <c r="AH355" s="21">
        <f>[1]节奏总纲!AH355</f>
        <v>103.65547733786158</v>
      </c>
      <c r="AZ355" s="21">
        <v>352</v>
      </c>
      <c r="BA355" s="21">
        <v>46.503578943873059</v>
      </c>
      <c r="BB355" s="21">
        <v>48.030128751164234</v>
      </c>
      <c r="BC355" s="21">
        <v>49.980683106638239</v>
      </c>
      <c r="BD355" s="21">
        <v>50</v>
      </c>
      <c r="BE355" s="21">
        <v>50</v>
      </c>
    </row>
    <row r="356" spans="29:57" x14ac:dyDescent="0.15">
      <c r="AC356" s="21">
        <v>353</v>
      </c>
      <c r="AD356" s="21">
        <f>[1]节奏总纲!AD356</f>
        <v>84.668435179500648</v>
      </c>
      <c r="AE356" s="21">
        <f>[1]节奏总纲!AE356</f>
        <v>86.782380436910358</v>
      </c>
      <c r="AF356" s="21">
        <f>[1]节奏总纲!AF356</f>
        <v>89.947816992621142</v>
      </c>
      <c r="AG356" s="21">
        <f>[1]节奏总纲!AG356</f>
        <v>94.894536390938271</v>
      </c>
      <c r="AH356" s="21">
        <f>[1]节奏总纲!AH356</f>
        <v>103.69602363621237</v>
      </c>
      <c r="AZ356" s="21">
        <v>353</v>
      </c>
      <c r="BA356" s="21">
        <v>46.522842986691785</v>
      </c>
      <c r="BB356" s="21">
        <v>48.048075251073854</v>
      </c>
      <c r="BC356" s="21">
        <v>50</v>
      </c>
      <c r="BD356" s="21">
        <v>50</v>
      </c>
      <c r="BE356" s="21">
        <v>50</v>
      </c>
    </row>
    <row r="357" spans="29:57" x14ac:dyDescent="0.15">
      <c r="AC357" s="21">
        <v>354</v>
      </c>
      <c r="AD357" s="21">
        <f>[1]节奏总纲!AD357</f>
        <v>84.709681398010289</v>
      </c>
      <c r="AE357" s="21">
        <f>[1]节奏总纲!AE357</f>
        <v>86.823561019689436</v>
      </c>
      <c r="AF357" s="21">
        <f>[1]节奏总纲!AF357</f>
        <v>89.994284496965633</v>
      </c>
      <c r="AG357" s="21">
        <f>[1]节奏总纲!AG357</f>
        <v>94.938617046298702</v>
      </c>
      <c r="AH357" s="21">
        <f>[1]节奏总纲!AH357</f>
        <v>103.73656993456318</v>
      </c>
      <c r="AZ357" s="21">
        <v>354</v>
      </c>
      <c r="BA357" s="21">
        <v>46.542107029510518</v>
      </c>
      <c r="BB357" s="21">
        <v>48.066021750983474</v>
      </c>
      <c r="BC357" s="21">
        <v>50</v>
      </c>
      <c r="BD357" s="21">
        <v>50</v>
      </c>
      <c r="BE357" s="21">
        <v>50</v>
      </c>
    </row>
    <row r="358" spans="29:57" x14ac:dyDescent="0.15">
      <c r="AC358" s="21">
        <v>355</v>
      </c>
      <c r="AD358" s="21">
        <f>[1]节奏总纲!AD358</f>
        <v>84.750927616519931</v>
      </c>
      <c r="AE358" s="21">
        <f>[1]节奏总纲!AE358</f>
        <v>86.864741602468499</v>
      </c>
      <c r="AF358" s="21">
        <f>[1]节奏总纲!AF358</f>
        <v>90.036066635925749</v>
      </c>
      <c r="AG358" s="21">
        <f>[1]节奏总纲!AG358</f>
        <v>94.982697701659134</v>
      </c>
      <c r="AH358" s="21">
        <f>[1]节奏总纲!AH358</f>
        <v>103.77711623291397</v>
      </c>
      <c r="AZ358" s="21">
        <v>355</v>
      </c>
      <c r="BA358" s="21">
        <v>46.561371072329244</v>
      </c>
      <c r="BB358" s="21">
        <v>48.083968250893093</v>
      </c>
      <c r="BC358" s="21">
        <v>50</v>
      </c>
      <c r="BD358" s="21">
        <v>50</v>
      </c>
      <c r="BE358" s="21">
        <v>50</v>
      </c>
    </row>
    <row r="359" spans="29:57" x14ac:dyDescent="0.15">
      <c r="AC359" s="21">
        <v>356</v>
      </c>
      <c r="AD359" s="21">
        <f>[1]节奏总纲!AD359</f>
        <v>84.792173835029573</v>
      </c>
      <c r="AE359" s="21">
        <f>[1]节奏总纲!AE359</f>
        <v>86.905922185247576</v>
      </c>
      <c r="AF359" s="21">
        <f>[1]节奏总纲!AF359</f>
        <v>90.077191648383845</v>
      </c>
      <c r="AG359" s="21">
        <f>[1]节奏总纲!AG359</f>
        <v>95.024001308619916</v>
      </c>
      <c r="AH359" s="21">
        <f>[1]节奏总纲!AH359</f>
        <v>103.81766253126477</v>
      </c>
      <c r="AZ359" s="21">
        <v>356</v>
      </c>
      <c r="BA359" s="21">
        <v>46.58063511514797</v>
      </c>
      <c r="BB359" s="21">
        <v>48.101914750802706</v>
      </c>
      <c r="BC359" s="21">
        <v>50</v>
      </c>
      <c r="BD359" s="21">
        <v>50</v>
      </c>
      <c r="BE359" s="21">
        <v>50</v>
      </c>
    </row>
    <row r="360" spans="29:57" x14ac:dyDescent="0.15">
      <c r="AC360" s="21">
        <v>357</v>
      </c>
      <c r="AD360" s="21">
        <f>[1]节奏总纲!AD360</f>
        <v>84.833420053539214</v>
      </c>
      <c r="AE360" s="21">
        <f>[1]节奏总纲!AE360</f>
        <v>86.947102768026653</v>
      </c>
      <c r="AF360" s="21">
        <f>[1]节奏总纲!AF360</f>
        <v>90.118316660841927</v>
      </c>
      <c r="AG360" s="21">
        <f>[1]节奏总纲!AG360</f>
        <v>95.063510581451752</v>
      </c>
      <c r="AH360" s="21">
        <f>[1]节奏总纲!AH360</f>
        <v>103.85820882961556</v>
      </c>
      <c r="AZ360" s="21">
        <v>357</v>
      </c>
      <c r="BA360" s="21">
        <v>46.599899157966696</v>
      </c>
      <c r="BB360" s="21">
        <v>48.119861250712326</v>
      </c>
      <c r="BC360" s="21">
        <v>50</v>
      </c>
      <c r="BD360" s="21">
        <v>50</v>
      </c>
      <c r="BE360" s="21">
        <v>50</v>
      </c>
    </row>
    <row r="361" spans="29:57" x14ac:dyDescent="0.15">
      <c r="AC361" s="21">
        <v>358</v>
      </c>
      <c r="AD361" s="21">
        <f>[1]节奏总纲!AD361</f>
        <v>84.874666272048856</v>
      </c>
      <c r="AE361" s="21">
        <f>[1]节奏总纲!AE361</f>
        <v>86.98828335080573</v>
      </c>
      <c r="AF361" s="21">
        <f>[1]节奏总纲!AF361</f>
        <v>90.159441673300023</v>
      </c>
      <c r="AG361" s="21">
        <f>[1]节奏总纲!AG361</f>
        <v>95.103019854283588</v>
      </c>
      <c r="AH361" s="21">
        <f>[1]节奏总纲!AH361</f>
        <v>103.89875512796635</v>
      </c>
      <c r="AZ361" s="21">
        <v>358</v>
      </c>
      <c r="BA361" s="21">
        <v>46.619163200785422</v>
      </c>
      <c r="BB361" s="21">
        <v>48.137807750621946</v>
      </c>
      <c r="BC361" s="21">
        <v>50</v>
      </c>
      <c r="BD361" s="21">
        <v>50</v>
      </c>
      <c r="BE361" s="21">
        <v>50</v>
      </c>
    </row>
    <row r="362" spans="29:57" x14ac:dyDescent="0.15">
      <c r="AC362" s="21">
        <v>359</v>
      </c>
      <c r="AD362" s="21">
        <f>[1]节奏总纲!AD362</f>
        <v>84.915912490558497</v>
      </c>
      <c r="AE362" s="21">
        <f>[1]节奏总纲!AE362</f>
        <v>87.027010646912942</v>
      </c>
      <c r="AF362" s="21">
        <f>[1]节奏总纲!AF362</f>
        <v>90.200566685758119</v>
      </c>
      <c r="AG362" s="21">
        <f>[1]节奏总纲!AG362</f>
        <v>95.142529127115409</v>
      </c>
      <c r="AH362" s="21">
        <f>[1]节奏总纲!AH362</f>
        <v>103.93930142631716</v>
      </c>
      <c r="AZ362" s="21">
        <v>359</v>
      </c>
      <c r="BA362" s="21">
        <v>46.638427243604156</v>
      </c>
      <c r="BB362" s="21">
        <v>48.155754250531558</v>
      </c>
      <c r="BC362" s="21">
        <v>50</v>
      </c>
      <c r="BD362" s="21">
        <v>50</v>
      </c>
      <c r="BE362" s="21">
        <v>50</v>
      </c>
    </row>
    <row r="363" spans="29:57" x14ac:dyDescent="0.15">
      <c r="AC363" s="21">
        <v>360</v>
      </c>
      <c r="AD363" s="21">
        <f>[1]节奏总纲!AD363</f>
        <v>84.957158709068153</v>
      </c>
      <c r="AE363" s="21">
        <f>[1]节奏总纲!AE363</f>
        <v>87.064762367263285</v>
      </c>
      <c r="AF363" s="21">
        <f>[1]节奏总纲!AF363</f>
        <v>90.241691698216215</v>
      </c>
      <c r="AG363" s="21">
        <f>[1]节奏总纲!AG363</f>
        <v>95.182038399947245</v>
      </c>
      <c r="AH363" s="21">
        <f>[1]节奏总纲!AH363</f>
        <v>103.97984772466795</v>
      </c>
      <c r="AZ363" s="21">
        <v>360</v>
      </c>
      <c r="BA363" s="21">
        <v>46.657691286422882</v>
      </c>
      <c r="BB363" s="21">
        <v>48.173700750441178</v>
      </c>
      <c r="BC363" s="21">
        <v>50</v>
      </c>
      <c r="BD363" s="21">
        <v>50</v>
      </c>
      <c r="BE363" s="21">
        <v>50</v>
      </c>
    </row>
  </sheetData>
  <mergeCells count="13">
    <mergeCell ref="B22:D22"/>
    <mergeCell ref="F1:F2"/>
    <mergeCell ref="G1:G2"/>
    <mergeCell ref="I1:I2"/>
    <mergeCell ref="J1:J2"/>
    <mergeCell ref="AD2:AH2"/>
    <mergeCell ref="AM2:AQ2"/>
    <mergeCell ref="AT2:AX2"/>
    <mergeCell ref="BA2:BE2"/>
    <mergeCell ref="B6:D6"/>
    <mergeCell ref="K1:K2"/>
    <mergeCell ref="P2:T2"/>
    <mergeCell ref="W2:AA2"/>
  </mergeCells>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DG503"/>
  <sheetViews>
    <sheetView topLeftCell="CF1" workbookViewId="0">
      <selection activeCell="CO32" sqref="CH32:CO32"/>
    </sheetView>
  </sheetViews>
  <sheetFormatPr defaultColWidth="6.625" defaultRowHeight="11.25" x14ac:dyDescent="0.15"/>
  <cols>
    <col min="1" max="1" width="6.625" style="17"/>
    <col min="2" max="2" width="6.625" style="23"/>
    <col min="3" max="8" width="6.625" style="17"/>
    <col min="9" max="9" width="6.625" style="23"/>
    <col min="10" max="15" width="6.625" style="17"/>
    <col min="16" max="26" width="6.625" style="28"/>
    <col min="27" max="27" width="6.625" style="17"/>
    <col min="28" max="34" width="6.625" style="30"/>
    <col min="35" max="35" width="6.625" style="17"/>
    <col min="36" max="36" width="6.625" style="38"/>
    <col min="37" max="37" width="6.625" style="17"/>
    <col min="38" max="45" width="6.625" style="36"/>
    <col min="46" max="46" width="6.625" style="17"/>
    <col min="47" max="47" width="6.625" style="38"/>
    <col min="48" max="48" width="6.625" style="17"/>
    <col min="49" max="54" width="6.625" style="39"/>
    <col min="55" max="55" width="6.625" style="17"/>
    <col min="56" max="56" width="6.625" style="38"/>
    <col min="57" max="57" width="6.625" style="17"/>
    <col min="58" max="59" width="7.5" style="42" bestFit="1" customWidth="1"/>
    <col min="60" max="61" width="6.625" style="17"/>
    <col min="62" max="62" width="6.625" style="38"/>
    <col min="63" max="74" width="6.625" style="17"/>
    <col min="75" max="75" width="8.625" style="44" customWidth="1"/>
    <col min="76" max="79" width="8.625" style="17" customWidth="1"/>
    <col min="80" max="82" width="6.625" style="17"/>
    <col min="83" max="83" width="6.625" style="17" customWidth="1"/>
    <col min="84" max="16384" width="6.625" style="17"/>
  </cols>
  <sheetData>
    <row r="1" spans="2:111" x14ac:dyDescent="0.15">
      <c r="AC1" s="31"/>
    </row>
    <row r="2" spans="2:111" x14ac:dyDescent="0.15">
      <c r="B2" s="63" t="s">
        <v>166</v>
      </c>
      <c r="C2" s="63"/>
      <c r="D2" s="63"/>
      <c r="E2" s="63"/>
      <c r="F2" s="63"/>
      <c r="G2" s="63"/>
      <c r="I2" s="63" t="s">
        <v>160</v>
      </c>
      <c r="J2" s="63"/>
      <c r="K2" s="63"/>
      <c r="L2" s="63"/>
      <c r="M2" s="63"/>
      <c r="N2" s="63"/>
      <c r="Q2" s="61" t="s">
        <v>167</v>
      </c>
      <c r="R2" s="61"/>
      <c r="S2" s="61"/>
      <c r="T2" s="61"/>
      <c r="U2" s="61"/>
      <c r="V2" s="61" t="s">
        <v>168</v>
      </c>
      <c r="W2" s="61"/>
      <c r="X2" s="61"/>
      <c r="Y2" s="61"/>
      <c r="Z2" s="61"/>
      <c r="AC2" s="31"/>
      <c r="AD2" s="64" t="s">
        <v>170</v>
      </c>
      <c r="AE2" s="64"/>
      <c r="AF2" s="64"/>
      <c r="AG2" s="64"/>
      <c r="AH2" s="64"/>
    </row>
    <row r="3" spans="2:111" x14ac:dyDescent="0.15">
      <c r="B3" s="23" t="s">
        <v>161</v>
      </c>
      <c r="C3" s="23" t="s">
        <v>74</v>
      </c>
      <c r="D3" s="23" t="s">
        <v>75</v>
      </c>
      <c r="E3" s="23" t="s">
        <v>76</v>
      </c>
      <c r="F3" s="23" t="s">
        <v>77</v>
      </c>
      <c r="G3" s="23" t="s">
        <v>78</v>
      </c>
      <c r="I3" s="23" t="s">
        <v>158</v>
      </c>
      <c r="J3" s="23" t="s">
        <v>74</v>
      </c>
      <c r="K3" s="23" t="s">
        <v>75</v>
      </c>
      <c r="L3" s="23" t="s">
        <v>76</v>
      </c>
      <c r="M3" s="23" t="s">
        <v>77</v>
      </c>
      <c r="N3" s="23" t="s">
        <v>78</v>
      </c>
      <c r="P3" s="28" t="s">
        <v>161</v>
      </c>
      <c r="Q3" s="28" t="s">
        <v>74</v>
      </c>
      <c r="R3" s="28" t="s">
        <v>75</v>
      </c>
      <c r="S3" s="28" t="s">
        <v>76</v>
      </c>
      <c r="T3" s="28" t="s">
        <v>77</v>
      </c>
      <c r="U3" s="28" t="s">
        <v>78</v>
      </c>
      <c r="V3" s="28" t="s">
        <v>74</v>
      </c>
      <c r="W3" s="28" t="s">
        <v>75</v>
      </c>
      <c r="X3" s="28" t="s">
        <v>76</v>
      </c>
      <c r="Y3" s="28" t="s">
        <v>77</v>
      </c>
      <c r="Z3" s="28" t="s">
        <v>78</v>
      </c>
      <c r="AC3" s="30" t="s">
        <v>161</v>
      </c>
      <c r="AD3" s="31" t="s">
        <v>74</v>
      </c>
      <c r="AE3" s="31" t="s">
        <v>75</v>
      </c>
      <c r="AF3" s="31" t="s">
        <v>76</v>
      </c>
      <c r="AG3" s="31" t="s">
        <v>77</v>
      </c>
      <c r="AH3" s="31" t="s">
        <v>78</v>
      </c>
    </row>
    <row r="4" spans="2:111" x14ac:dyDescent="0.15">
      <c r="B4" s="23">
        <v>1</v>
      </c>
      <c r="C4" s="24">
        <f>'[1]资源-钻石'!L4</f>
        <v>1040.8290938523678</v>
      </c>
      <c r="D4" s="24">
        <f>'[1]资源-钻石'!M4</f>
        <v>1168.9459581507617</v>
      </c>
      <c r="E4" s="24">
        <f>'[1]资源-钻石'!N4</f>
        <v>1452.2124024821205</v>
      </c>
      <c r="F4" s="24">
        <f>'[1]资源-钻石'!O4</f>
        <v>2510.7384873663395</v>
      </c>
      <c r="G4" s="24">
        <f>'[1]资源-钻石'!P4</f>
        <v>3045.4142587990791</v>
      </c>
      <c r="I4" s="23">
        <v>1</v>
      </c>
      <c r="J4" s="24">
        <f>'[1]资源-钻石'!T4</f>
        <v>14501.586757446188</v>
      </c>
      <c r="K4" s="24">
        <f>'[1]资源-钻石'!U4</f>
        <v>19413.774658569058</v>
      </c>
      <c r="L4" s="24">
        <f>'[1]资源-钻石'!V4</f>
        <v>30743.43324713083</v>
      </c>
      <c r="M4" s="24">
        <f>'[1]资源-钻石'!W4</f>
        <v>76075.735892489582</v>
      </c>
      <c r="N4" s="24">
        <f>'[1]资源-钻石'!X4</f>
        <v>177081.61851071383</v>
      </c>
      <c r="P4" s="28">
        <v>1</v>
      </c>
      <c r="Q4" s="28">
        <f>'[1]功能-行军令'!N4</f>
        <v>3.301579276669484</v>
      </c>
      <c r="R4" s="28">
        <f>'[1]功能-行军令'!O4</f>
        <v>4.0057487176130557</v>
      </c>
      <c r="S4" s="28">
        <f>'[1]功能-行军令'!P4</f>
        <v>4.2565036636761029</v>
      </c>
      <c r="T4" s="28">
        <f>'[1]功能-行军令'!Q4</f>
        <v>3.3562706551221395</v>
      </c>
      <c r="U4" s="28">
        <f>'[1]功能-行军令'!R4</f>
        <v>1.7550190606299467</v>
      </c>
      <c r="V4" s="28">
        <f>'[1]功能-行军令'!S4</f>
        <v>3.301579276669484</v>
      </c>
      <c r="W4" s="28">
        <f>'[1]功能-行军令'!T4</f>
        <v>4.0057487176130557</v>
      </c>
      <c r="X4" s="28">
        <f>'[1]功能-行军令'!U4</f>
        <v>4.2565036636761029</v>
      </c>
      <c r="Y4" s="28">
        <f>'[1]功能-行军令'!V4</f>
        <v>3.3562706551221395</v>
      </c>
      <c r="Z4" s="28">
        <f>'[1]功能-行军令'!W4</f>
        <v>1.7550190606299467</v>
      </c>
      <c r="AC4" s="30">
        <v>1</v>
      </c>
      <c r="AD4" s="30">
        <f>'[1]功能-实力'!BE5</f>
        <v>22716</v>
      </c>
      <c r="AE4" s="41">
        <f>'[1]功能-实力'!BF5</f>
        <v>22782</v>
      </c>
      <c r="AF4" s="41">
        <f>'[1]功能-实力'!BG5</f>
        <v>22866</v>
      </c>
      <c r="AG4" s="41">
        <f>'[1]功能-实力'!BH5</f>
        <v>22956</v>
      </c>
      <c r="AH4" s="41">
        <f>'[1]功能-实力'!BI5</f>
        <v>23034</v>
      </c>
      <c r="AL4" s="66" t="s">
        <v>171</v>
      </c>
      <c r="AM4" s="66"/>
      <c r="AO4" s="17"/>
      <c r="AP4" s="17"/>
      <c r="AQ4" s="17"/>
      <c r="AR4" s="17"/>
      <c r="AS4" s="17"/>
      <c r="BN4" s="45"/>
      <c r="BO4" s="61" t="s">
        <v>188</v>
      </c>
      <c r="BP4" s="61"/>
      <c r="BQ4" s="61"/>
      <c r="BR4" s="61"/>
      <c r="BS4" s="61"/>
      <c r="BV4" s="45"/>
      <c r="BW4" s="65" t="s">
        <v>202</v>
      </c>
      <c r="BX4" s="65"/>
      <c r="BY4" s="65"/>
      <c r="BZ4" s="65"/>
      <c r="CA4" s="65"/>
      <c r="CD4" s="45"/>
      <c r="CE4" s="61" t="s">
        <v>203</v>
      </c>
      <c r="CF4" s="61"/>
      <c r="CG4" s="61"/>
      <c r="CH4" s="61"/>
      <c r="CI4" s="61"/>
      <c r="CL4" s="45"/>
      <c r="CM4" s="65" t="s">
        <v>204</v>
      </c>
      <c r="CN4" s="65"/>
      <c r="CO4" s="65"/>
      <c r="CP4" s="65"/>
      <c r="CQ4" s="65"/>
      <c r="CT4" s="46"/>
      <c r="CU4" s="61" t="s">
        <v>214</v>
      </c>
      <c r="CV4" s="61"/>
      <c r="CW4" s="61"/>
      <c r="CX4" s="61"/>
      <c r="CY4" s="61"/>
      <c r="DB4" s="46"/>
      <c r="DC4" s="61" t="s">
        <v>215</v>
      </c>
      <c r="DD4" s="61"/>
      <c r="DE4" s="61"/>
      <c r="DF4" s="61"/>
      <c r="DG4" s="61"/>
    </row>
    <row r="5" spans="2:111" x14ac:dyDescent="0.15">
      <c r="B5" s="23">
        <v>2</v>
      </c>
      <c r="C5" s="24">
        <f>'[1]资源-钻石'!L5</f>
        <v>2156.3620956790364</v>
      </c>
      <c r="D5" s="24">
        <f>'[1]资源-钻石'!M5</f>
        <v>2445.0497143017019</v>
      </c>
      <c r="E5" s="24">
        <f>'[1]资源-钻石'!N5</f>
        <v>3068.6712544955481</v>
      </c>
      <c r="F5" s="24">
        <f>'[1]资源-钻石'!O5</f>
        <v>5380.4175575207919</v>
      </c>
      <c r="G5" s="24">
        <f>'[1]资源-钻石'!P5</f>
        <v>6628.3338916853827</v>
      </c>
      <c r="I5" s="23">
        <v>2</v>
      </c>
      <c r="J5" s="24">
        <f>'[1]资源-钻石'!T5</f>
        <v>23029.73301240744</v>
      </c>
      <c r="K5" s="24">
        <f>'[1]资源-钻石'!U5</f>
        <v>30852.706313648192</v>
      </c>
      <c r="L5" s="24">
        <f>'[1]资源-钻石'!V5</f>
        <v>48565.976945013012</v>
      </c>
      <c r="M5" s="24">
        <f>'[1]资源-钻石'!W5</f>
        <v>119202.57463951432</v>
      </c>
      <c r="N5" s="24">
        <f>'[1]资源-钻石'!X5</f>
        <v>275217.83210346574</v>
      </c>
      <c r="P5" s="28">
        <v>2</v>
      </c>
      <c r="Q5" s="28">
        <f>'[1]功能-行军令'!N5</f>
        <v>6.840124329863615</v>
      </c>
      <c r="R5" s="28">
        <f>'[1]功能-行军令'!O5</f>
        <v>8.3787062090179365</v>
      </c>
      <c r="S5" s="28">
        <f>'[1]功能-行军令'!P5</f>
        <v>8.9944214875541597</v>
      </c>
      <c r="T5" s="28">
        <f>'[1]功能-行军令'!Q5</f>
        <v>7.192360993180591</v>
      </c>
      <c r="U5" s="28">
        <f>'[1]功能-行军令'!R5</f>
        <v>3.819793082834837</v>
      </c>
      <c r="V5" s="28">
        <f>'[1]功能-行军令'!S5</f>
        <v>3.5385450531941309</v>
      </c>
      <c r="W5" s="28">
        <f>'[1]功能-行军令'!T5</f>
        <v>4.3729574914048808</v>
      </c>
      <c r="X5" s="28">
        <f>'[1]功能-行军令'!U5</f>
        <v>4.7379178238780568</v>
      </c>
      <c r="Y5" s="28">
        <f>'[1]功能-行军令'!V5</f>
        <v>3.8360903380584515</v>
      </c>
      <c r="Z5" s="28">
        <f>'[1]功能-行军令'!W5</f>
        <v>2.0647740222048903</v>
      </c>
      <c r="AC5" s="30">
        <v>2</v>
      </c>
      <c r="AD5" s="41">
        <f>'[1]功能-实力'!BE6</f>
        <v>27276</v>
      </c>
      <c r="AE5" s="41">
        <f>'[1]功能-实力'!BF6</f>
        <v>27450</v>
      </c>
      <c r="AF5" s="41">
        <f>'[1]功能-实力'!BG6</f>
        <v>27714</v>
      </c>
      <c r="AG5" s="41">
        <f>'[1]功能-实力'!BH6</f>
        <v>28086</v>
      </c>
      <c r="AH5" s="41">
        <f>'[1]功能-实力'!BI6</f>
        <v>28314</v>
      </c>
      <c r="AL5" s="66"/>
      <c r="AM5" s="66"/>
      <c r="AO5" s="66" t="s">
        <v>172</v>
      </c>
      <c r="AP5" s="66"/>
      <c r="AQ5" s="66"/>
      <c r="AR5" s="66"/>
      <c r="AS5" s="66"/>
      <c r="AW5" s="32"/>
      <c r="AX5" s="62" t="s">
        <v>180</v>
      </c>
      <c r="AY5" s="62"/>
      <c r="AZ5" s="62"/>
      <c r="BA5" s="62"/>
      <c r="BB5" s="62"/>
      <c r="BF5" s="65" t="s">
        <v>181</v>
      </c>
      <c r="BG5" s="65"/>
      <c r="BN5" s="49" t="s">
        <v>161</v>
      </c>
      <c r="BO5" s="45" t="s">
        <v>74</v>
      </c>
      <c r="BP5" s="45" t="s">
        <v>75</v>
      </c>
      <c r="BQ5" s="45" t="s">
        <v>76</v>
      </c>
      <c r="BR5" s="45" t="s">
        <v>77</v>
      </c>
      <c r="BS5" s="45" t="s">
        <v>78</v>
      </c>
      <c r="BV5" s="49" t="s">
        <v>161</v>
      </c>
      <c r="BW5" s="45" t="s">
        <v>74</v>
      </c>
      <c r="BX5" s="45" t="s">
        <v>75</v>
      </c>
      <c r="BY5" s="45" t="s">
        <v>76</v>
      </c>
      <c r="BZ5" s="45" t="s">
        <v>77</v>
      </c>
      <c r="CA5" s="45" t="s">
        <v>78</v>
      </c>
      <c r="CD5" s="49" t="s">
        <v>161</v>
      </c>
      <c r="CE5" s="45" t="s">
        <v>74</v>
      </c>
      <c r="CF5" s="45" t="s">
        <v>75</v>
      </c>
      <c r="CG5" s="45" t="s">
        <v>76</v>
      </c>
      <c r="CH5" s="45" t="s">
        <v>77</v>
      </c>
      <c r="CI5" s="45" t="s">
        <v>78</v>
      </c>
      <c r="CL5" s="49" t="s">
        <v>161</v>
      </c>
      <c r="CM5" s="45" t="s">
        <v>74</v>
      </c>
      <c r="CN5" s="45" t="s">
        <v>75</v>
      </c>
      <c r="CO5" s="45" t="s">
        <v>76</v>
      </c>
      <c r="CP5" s="45" t="s">
        <v>77</v>
      </c>
      <c r="CQ5" s="45" t="s">
        <v>78</v>
      </c>
      <c r="CT5" s="49" t="s">
        <v>161</v>
      </c>
      <c r="CU5" s="46" t="s">
        <v>74</v>
      </c>
      <c r="CV5" s="46" t="s">
        <v>75</v>
      </c>
      <c r="CW5" s="46" t="s">
        <v>76</v>
      </c>
      <c r="CX5" s="46" t="s">
        <v>77</v>
      </c>
      <c r="CY5" s="46" t="s">
        <v>78</v>
      </c>
      <c r="DB5" s="49" t="s">
        <v>161</v>
      </c>
      <c r="DC5" s="46" t="s">
        <v>74</v>
      </c>
      <c r="DD5" s="46" t="s">
        <v>75</v>
      </c>
      <c r="DE5" s="46" t="s">
        <v>76</v>
      </c>
      <c r="DF5" s="46" t="s">
        <v>77</v>
      </c>
      <c r="DG5" s="46" t="s">
        <v>78</v>
      </c>
    </row>
    <row r="6" spans="2:111" x14ac:dyDescent="0.15">
      <c r="B6" s="23">
        <v>3</v>
      </c>
      <c r="C6" s="24">
        <f>'[1]资源-钻石'!L6</f>
        <v>3351.9607636203054</v>
      </c>
      <c r="D6" s="24">
        <f>'[1]资源-钻石'!M6</f>
        <v>3828.7312439819634</v>
      </c>
      <c r="E6" s="24">
        <f>'[1]资源-钻石'!N6</f>
        <v>4848.3232135549188</v>
      </c>
      <c r="F6" s="24">
        <f>'[1]资源-钻石'!O6</f>
        <v>8568.4148851945793</v>
      </c>
      <c r="G6" s="24">
        <f>'[1]资源-钻石'!P6</f>
        <v>10613.271384865511</v>
      </c>
      <c r="I6" s="23">
        <v>3</v>
      </c>
      <c r="J6" s="24">
        <f>'[1]资源-钻石'!T6</f>
        <v>31557.879267368698</v>
      </c>
      <c r="K6" s="24">
        <f>'[1]资源-钻石'!U6</f>
        <v>42153.667194105576</v>
      </c>
      <c r="L6" s="24">
        <f>'[1]资源-钻石'!V6</f>
        <v>66085.033913516148</v>
      </c>
      <c r="M6" s="24">
        <f>'[1]资源-钻石'!W6</f>
        <v>161353.53730486776</v>
      </c>
      <c r="N6" s="24">
        <f>'[1]资源-钻石'!X6</f>
        <v>371703.89103535452</v>
      </c>
      <c r="P6" s="28">
        <v>3</v>
      </c>
      <c r="Q6" s="28">
        <f>'[1]功能-行军令'!N6</f>
        <v>10.632643013866151</v>
      </c>
      <c r="R6" s="28">
        <f>'[1]功能-行军令'!O6</f>
        <v>13.120311648049476</v>
      </c>
      <c r="S6" s="28">
        <f>'[1]功能-行军令'!P6</f>
        <v>14.210666074680118</v>
      </c>
      <c r="T6" s="28">
        <f>'[1]功能-行军令'!Q6</f>
        <v>11.453968457804642</v>
      </c>
      <c r="U6" s="28">
        <f>'[1]功能-行军令'!R6</f>
        <v>6.1162429781958272</v>
      </c>
      <c r="V6" s="28">
        <f>'[1]功能-行军令'!S6</f>
        <v>3.7925186840025358</v>
      </c>
      <c r="W6" s="28">
        <f>'[1]功能-行军令'!T6</f>
        <v>4.7416054390315399</v>
      </c>
      <c r="X6" s="28">
        <f>'[1]功能-行军令'!U6</f>
        <v>5.2162445871259582</v>
      </c>
      <c r="Y6" s="28">
        <f>'[1]功能-行军令'!V6</f>
        <v>4.2616074646240509</v>
      </c>
      <c r="Z6" s="28">
        <f>'[1]功能-行军令'!W6</f>
        <v>2.2964498953609902</v>
      </c>
      <c r="AC6" s="30">
        <v>3</v>
      </c>
      <c r="AD6" s="41">
        <f>'[1]功能-实力'!BE7</f>
        <v>31857</v>
      </c>
      <c r="AE6" s="41">
        <f>'[1]功能-实力'!BF7</f>
        <v>32166</v>
      </c>
      <c r="AF6" s="41">
        <f>'[1]功能-实力'!BG7</f>
        <v>32676</v>
      </c>
      <c r="AG6" s="41">
        <f>'[1]功能-实力'!BH7</f>
        <v>33426</v>
      </c>
      <c r="AH6" s="41">
        <f>'[1]功能-实力'!BI7</f>
        <v>33876</v>
      </c>
      <c r="AL6" s="37" t="s">
        <v>173</v>
      </c>
      <c r="AM6" s="37" t="s">
        <v>174</v>
      </c>
      <c r="AO6" s="37" t="s">
        <v>25</v>
      </c>
      <c r="AP6" s="37" t="s">
        <v>1</v>
      </c>
      <c r="AQ6" s="37" t="s">
        <v>2</v>
      </c>
      <c r="AR6" s="37" t="s">
        <v>0</v>
      </c>
      <c r="AS6" s="37" t="s">
        <v>169</v>
      </c>
      <c r="AW6" s="32" t="s">
        <v>179</v>
      </c>
      <c r="AX6" s="32" t="s">
        <v>74</v>
      </c>
      <c r="AY6" s="32" t="s">
        <v>75</v>
      </c>
      <c r="AZ6" s="32" t="s">
        <v>76</v>
      </c>
      <c r="BA6" s="32" t="s">
        <v>77</v>
      </c>
      <c r="BB6" s="32" t="s">
        <v>78</v>
      </c>
      <c r="BF6" s="42" t="s">
        <v>182</v>
      </c>
      <c r="BG6" s="42" t="s">
        <v>183</v>
      </c>
      <c r="BN6" s="49">
        <v>1</v>
      </c>
      <c r="BO6" s="17">
        <f>'[1]资源-木石铜粮'!U6</f>
        <v>124496.71131844865</v>
      </c>
      <c r="BP6" s="17">
        <f>'[1]资源-木石铜粮'!V6</f>
        <v>130034.13832928086</v>
      </c>
      <c r="BQ6" s="17">
        <f>'[1]资源-木石铜粮'!W6</f>
        <v>134363.38016755763</v>
      </c>
      <c r="BR6" s="17">
        <f>'[1]资源-木石铜粮'!X6</f>
        <v>135228.58521441091</v>
      </c>
      <c r="BS6" s="17">
        <f>'[1]资源-木石铜粮'!Y6</f>
        <v>144608.40448455571</v>
      </c>
      <c r="BV6" s="49">
        <v>1</v>
      </c>
      <c r="BW6" s="44">
        <f>'[1]功能-城建'!EQ4+[1]养成buff汇总!H6+'[1]功能-采集'!BS5+[2]产出汇总!AY6+[1]养成buff汇总!GY6</f>
        <v>16364.915388387375</v>
      </c>
      <c r="BX6" s="47">
        <f>'[1]功能-城建'!ER4+[1]养成buff汇总!I6+'[1]功能-采集'!BT5+[2]产出汇总!AZ6+[1]养成buff汇总!GZ6</f>
        <v>15353.150885717674</v>
      </c>
      <c r="BY6" s="47">
        <f>'[1]功能-城建'!ES4+[1]养成buff汇总!J6+'[1]功能-采集'!BU5+[2]产出汇总!BA6+[1]养成buff汇总!HA6</f>
        <v>14289.402327195829</v>
      </c>
      <c r="BZ6" s="47">
        <f>'[1]功能-城建'!ET4+[1]养成buff汇总!K6+'[1]功能-采集'!BV5+[2]产出汇总!BB6+[1]养成buff汇总!HB6</f>
        <v>13101.105917637142</v>
      </c>
      <c r="CA6" s="47">
        <f>'[1]功能-城建'!EU4+[1]养成buff汇总!L6+'[1]功能-采集'!BW5+[2]产出汇总!BC6+[1]养成buff汇总!HC6</f>
        <v>11813.178573233909</v>
      </c>
      <c r="CD6" s="49">
        <v>1</v>
      </c>
      <c r="CE6" s="44">
        <f>'[1]资源-铁'!T6</f>
        <v>0</v>
      </c>
      <c r="CF6" s="44">
        <f>'[1]资源-铁'!U6</f>
        <v>0</v>
      </c>
      <c r="CG6" s="44">
        <f>'[1]资源-铁'!V6</f>
        <v>0</v>
      </c>
      <c r="CH6" s="44">
        <f>'[1]资源-铁'!W6</f>
        <v>0</v>
      </c>
      <c r="CI6" s="44">
        <f>'[1]资源-铁'!X6</f>
        <v>0</v>
      </c>
      <c r="CL6" s="49">
        <v>1</v>
      </c>
      <c r="CM6" s="44">
        <f>'[1]功能-城建'!HF4+[1]养成buff汇总!S6+'[1]功能-采集'!BX5</f>
        <v>0</v>
      </c>
      <c r="CN6" s="44">
        <f>'[1]功能-城建'!HG4+[1]养成buff汇总!T6+'[1]功能-采集'!BY5</f>
        <v>0</v>
      </c>
      <c r="CO6" s="44">
        <f>'[1]功能-城建'!HH4+[1]养成buff汇总!U6+'[1]功能-采集'!BZ5</f>
        <v>0</v>
      </c>
      <c r="CP6" s="44">
        <f>'[1]功能-城建'!HI4+[1]养成buff汇总!V6+'[1]功能-采集'!CA5</f>
        <v>0</v>
      </c>
      <c r="CQ6" s="44">
        <f>'[1]功能-城建'!HJ4+[1]养成buff汇总!W6+'[1]功能-采集'!CB5</f>
        <v>0</v>
      </c>
      <c r="CT6" s="49">
        <v>1</v>
      </c>
      <c r="CU6" s="56">
        <f>'[1]资源-玩家城池建筑时间'!AJ6</f>
        <v>4547.5481108185368</v>
      </c>
      <c r="CV6" s="56">
        <f>'[1]资源-玩家城池建筑时间'!AK6</f>
        <v>4830.2597284523818</v>
      </c>
      <c r="CW6" s="56">
        <f>'[1]资源-玩家城池建筑时间'!AL6</f>
        <v>5138.1012676536811</v>
      </c>
      <c r="CX6" s="56">
        <f>'[1]资源-玩家城池建筑时间'!AM6</f>
        <v>5472.7861321656674</v>
      </c>
      <c r="CY6" s="56">
        <f>'[1]资源-玩家城池建筑时间'!AN6</f>
        <v>5829.1741107586358</v>
      </c>
      <c r="DB6" s="49">
        <v>1</v>
      </c>
      <c r="DC6" s="17">
        <f>'[1]资源-士兵训练时间'!U6</f>
        <v>7160.6396573852171</v>
      </c>
      <c r="DD6" s="17">
        <f>'[1]资源-士兵训练时间'!V6</f>
        <v>9700.756205040987</v>
      </c>
      <c r="DE6" s="17">
        <f>'[1]资源-士兵训练时间'!W6</f>
        <v>12334.517379389406</v>
      </c>
      <c r="DF6" s="17">
        <f>'[1]资源-士兵训练时间'!X6</f>
        <v>15073.532018450225</v>
      </c>
      <c r="DG6" s="17">
        <f>'[1]资源-士兵训练时间'!Y6</f>
        <v>20484.384820564243</v>
      </c>
    </row>
    <row r="7" spans="2:111" x14ac:dyDescent="0.15">
      <c r="B7" s="23">
        <v>4</v>
      </c>
      <c r="C7" s="24">
        <f>'[1]资源-钻石'!L7</f>
        <v>4633.3716877635015</v>
      </c>
      <c r="D7" s="24">
        <f>'[1]资源-钻石'!M7</f>
        <v>5317.3930598263159</v>
      </c>
      <c r="E7" s="24">
        <f>'[1]资源-钻石'!N7</f>
        <v>6773.1961078923341</v>
      </c>
      <c r="F7" s="24">
        <f>'[1]资源-钻石'!O7</f>
        <v>12026.18588679313</v>
      </c>
      <c r="G7" s="24">
        <f>'[1]资源-钻石'!P7</f>
        <v>15024.645280892029</v>
      </c>
      <c r="I7" s="23">
        <v>4</v>
      </c>
      <c r="J7" s="24">
        <f>'[1]资源-钻石'!T7</f>
        <v>40086.025522329954</v>
      </c>
      <c r="K7" s="24">
        <f>'[1]资源-钻石'!U7</f>
        <v>53454.628074562956</v>
      </c>
      <c r="L7" s="24">
        <f>'[1]资源-钻石'!V7</f>
        <v>83604.090882019271</v>
      </c>
      <c r="M7" s="24">
        <f>'[1]资源-钻石'!W7</f>
        <v>203504.49997022119</v>
      </c>
      <c r="N7" s="24">
        <f>'[1]资源-钻石'!X7</f>
        <v>468189.9499672433</v>
      </c>
      <c r="P7" s="28">
        <v>4</v>
      </c>
      <c r="Q7" s="28">
        <f>'[1]功能-行军令'!N7</f>
        <v>14.697363895553133</v>
      </c>
      <c r="R7" s="28">
        <f>'[1]功能-行军令'!O7</f>
        <v>18.221663954542464</v>
      </c>
      <c r="S7" s="28">
        <f>'[1]功能-行军令'!P7</f>
        <v>19.852560134291625</v>
      </c>
      <c r="T7" s="28">
        <f>'[1]功能-行军令'!Q7</f>
        <v>16.076200284493559</v>
      </c>
      <c r="U7" s="28">
        <f>'[1]功能-行军令'!R7</f>
        <v>8.6584407264078909</v>
      </c>
      <c r="V7" s="28">
        <f>'[1]功能-行军令'!S7</f>
        <v>4.0647208816869824</v>
      </c>
      <c r="W7" s="28">
        <f>'[1]功能-行军令'!T7</f>
        <v>5.1013523064929878</v>
      </c>
      <c r="X7" s="28">
        <f>'[1]功能-行军令'!U7</f>
        <v>5.6418940596115075</v>
      </c>
      <c r="Y7" s="28">
        <f>'[1]功能-行军令'!V7</f>
        <v>4.6222318266889175</v>
      </c>
      <c r="Z7" s="28">
        <f>'[1]功能-行军令'!W7</f>
        <v>2.5421977482120637</v>
      </c>
      <c r="AC7" s="30">
        <v>4</v>
      </c>
      <c r="AD7" s="41">
        <f>'[1]功能-实力'!BE8</f>
        <v>42955.5</v>
      </c>
      <c r="AE7" s="41">
        <f>'[1]功能-实力'!BF8</f>
        <v>43515.5</v>
      </c>
      <c r="AF7" s="41">
        <f>'[1]功能-实力'!BG8</f>
        <v>44464</v>
      </c>
      <c r="AG7" s="41">
        <f>'[1]功能-实力'!BH8</f>
        <v>45860.5</v>
      </c>
      <c r="AH7" s="41">
        <f>'[1]功能-实力'!BI8</f>
        <v>46704</v>
      </c>
      <c r="AL7" s="37">
        <f>[3]基础状态预期!C17</f>
        <v>1</v>
      </c>
      <c r="AM7" s="37">
        <f>[3]基础状态预期!D17</f>
        <v>10</v>
      </c>
      <c r="AO7" s="37">
        <f>[3]基础状态预期!F17</f>
        <v>0</v>
      </c>
      <c r="AP7" s="37">
        <f>[3]基础状态预期!G17</f>
        <v>0</v>
      </c>
      <c r="AQ7" s="37">
        <f>[3]基础状态预期!H17</f>
        <v>2</v>
      </c>
      <c r="AR7" s="37">
        <f>[3]基础状态预期!I17</f>
        <v>4</v>
      </c>
      <c r="AS7" s="37">
        <f>[3]基础状态预期!J17</f>
        <v>0</v>
      </c>
      <c r="AW7" s="32">
        <v>1</v>
      </c>
      <c r="AX7" s="32">
        <f>[1]节奏总纲!BJ4</f>
        <v>0.3</v>
      </c>
      <c r="AY7" s="32">
        <f>[1]节奏总纲!BK4</f>
        <v>0.30599999999999999</v>
      </c>
      <c r="AZ7" s="32">
        <f>[1]节奏总纲!BL4</f>
        <v>0.318</v>
      </c>
      <c r="BA7" s="32">
        <f>[1]节奏总纲!BM4</f>
        <v>0.34199999999999997</v>
      </c>
      <c r="BB7" s="32">
        <f>[1]节奏总纲!BN4</f>
        <v>0.42</v>
      </c>
      <c r="BF7" s="42">
        <f>'[1]功能-行军令'!FZ5</f>
        <v>1</v>
      </c>
      <c r="BG7" s="42">
        <f>'[1]功能-行军令'!GA5*'[1]功能-行军令'!GB5</f>
        <v>10</v>
      </c>
      <c r="BN7" s="49">
        <v>2</v>
      </c>
      <c r="BO7" s="17">
        <f>'[1]资源-木石铜粮'!U7</f>
        <v>253996.18685308349</v>
      </c>
      <c r="BP7" s="17">
        <f>'[1]资源-木石铜粮'!V7</f>
        <v>269134.56269353529</v>
      </c>
      <c r="BQ7" s="17">
        <f>'[1]资源-木石铜粮'!W7</f>
        <v>279626.4202868201</v>
      </c>
      <c r="BR7" s="17">
        <f>'[1]资源-木石铜粮'!X7</f>
        <v>277346.39773360878</v>
      </c>
      <c r="BS7" s="17">
        <f>'[1]资源-木石铜粮'!Y7</f>
        <v>286431.1585535843</v>
      </c>
      <c r="BV7" s="49">
        <v>2</v>
      </c>
      <c r="BW7" s="47">
        <f>'[1]功能-城建'!EQ5+[1]养成buff汇总!H7+'[1]功能-采集'!BS6+[2]产出汇总!AY7+[1]养成buff汇总!GY7</f>
        <v>38478.287429886164</v>
      </c>
      <c r="BX7" s="47">
        <f>'[1]功能-城建'!ER5+[1]养成buff汇总!I7+'[1]功能-采集'!BT6+[2]产出汇总!AZ7+[1]养成buff汇总!GZ7</f>
        <v>35301.848736658161</v>
      </c>
      <c r="BY7" s="47">
        <f>'[1]功能-城建'!ES5+[1]养成buff汇总!J7+'[1]功能-采集'!BU6+[2]产出汇总!BA7+[1]养成buff汇总!HA7</f>
        <v>31949.937579245376</v>
      </c>
      <c r="BZ7" s="47">
        <f>'[1]功能-城建'!ET5+[1]养成buff汇总!K7+'[1]功能-采集'!BV6+[2]产出汇总!BB7+[1]养成buff汇总!HB7</f>
        <v>28018.776032917245</v>
      </c>
      <c r="CA7" s="47">
        <f>'[1]功能-城建'!EU5+[1]养成buff汇总!L7+'[1]功能-采集'!BW6+[2]产出汇总!BC7+[1]养成buff汇总!HC7</f>
        <v>23686.938109120681</v>
      </c>
      <c r="CD7" s="49">
        <v>2</v>
      </c>
      <c r="CE7" s="44">
        <f>'[1]资源-铁'!T7</f>
        <v>0</v>
      </c>
      <c r="CF7" s="44">
        <f>'[1]资源-铁'!U7</f>
        <v>0</v>
      </c>
      <c r="CG7" s="44">
        <f>'[1]资源-铁'!V7</f>
        <v>0</v>
      </c>
      <c r="CH7" s="44">
        <f>'[1]资源-铁'!W7</f>
        <v>0</v>
      </c>
      <c r="CI7" s="44">
        <f>'[1]资源-铁'!X7</f>
        <v>0</v>
      </c>
      <c r="CL7" s="49">
        <v>2</v>
      </c>
      <c r="CM7" s="44">
        <f>'[1]功能-城建'!HF5+[1]养成buff汇总!S7+'[1]功能-采集'!BX6</f>
        <v>0</v>
      </c>
      <c r="CN7" s="44">
        <f>'[1]功能-城建'!HG5+[1]养成buff汇总!T7+'[1]功能-采集'!BY6</f>
        <v>0</v>
      </c>
      <c r="CO7" s="44">
        <f>'[1]功能-城建'!HH5+[1]养成buff汇总!U7+'[1]功能-采集'!BZ6</f>
        <v>0</v>
      </c>
      <c r="CP7" s="44">
        <f>'[1]功能-城建'!HI5+[1]养成buff汇总!V7+'[1]功能-采集'!CA6</f>
        <v>0</v>
      </c>
      <c r="CQ7" s="44">
        <f>'[1]功能-城建'!HJ5+[1]养成buff汇总!W7+'[1]功能-采集'!CB6</f>
        <v>0</v>
      </c>
      <c r="CT7" s="49">
        <v>2</v>
      </c>
      <c r="CU7" s="17">
        <f>'[1]资源-玩家城池建筑时间'!AJ7+CU6</f>
        <v>12515.218590892235</v>
      </c>
      <c r="CV7" s="17">
        <f>'[1]资源-玩家城池建筑时间'!AK7+CV6</f>
        <v>13471.783793729432</v>
      </c>
      <c r="CW7" s="17">
        <f>'[1]资源-玩家城池建筑时间'!AL7+CW6</f>
        <v>14560.707476219148</v>
      </c>
      <c r="CX7" s="17">
        <f>'[1]资源-玩家城池建筑时间'!AM7+CX6</f>
        <v>15834.058586523766</v>
      </c>
      <c r="CY7" s="17">
        <f>'[1]资源-玩家城池建筑时间'!AN7+CY6</f>
        <v>17238.914471444223</v>
      </c>
      <c r="DB7" s="49">
        <v>2</v>
      </c>
      <c r="DC7" s="17">
        <f>'[1]资源-士兵训练时间'!U7</f>
        <v>9528.4880276986405</v>
      </c>
      <c r="DD7" s="17">
        <f>'[1]资源-士兵训练时间'!V7</f>
        <v>12943.239948278579</v>
      </c>
      <c r="DE7" s="17">
        <f>'[1]资源-士兵训练时间'!W7</f>
        <v>16495.874577407849</v>
      </c>
      <c r="DF7" s="17">
        <f>'[1]资源-士兵训练时间'!X7</f>
        <v>20239.630522277359</v>
      </c>
      <c r="DG7" s="17">
        <f>'[1]资源-士兵训练时间'!Y7</f>
        <v>27640.167282001781</v>
      </c>
    </row>
    <row r="8" spans="2:111" x14ac:dyDescent="0.15">
      <c r="B8" s="23">
        <v>5</v>
      </c>
      <c r="C8" s="24">
        <f>'[1]资源-钻石'!L8</f>
        <v>6006.7539108642868</v>
      </c>
      <c r="D8" s="24">
        <f>'[1]资源-钻石'!M8</f>
        <v>6890.2872860209773</v>
      </c>
      <c r="E8" s="24">
        <f>'[1]资源-钻石'!N8</f>
        <v>8791.1338196112047</v>
      </c>
      <c r="F8" s="24">
        <f>'[1]资源-钻石'!O8</f>
        <v>15638.753114379244</v>
      </c>
      <c r="G8" s="24">
        <f>'[1]资源-钻石'!P8</f>
        <v>19574.358111099835</v>
      </c>
      <c r="I8" s="23">
        <v>5</v>
      </c>
      <c r="J8" s="24">
        <f>'[1]资源-钻石'!T8</f>
        <v>48614.171777291209</v>
      </c>
      <c r="K8" s="24">
        <f>'[1]资源-钻石'!U8</f>
        <v>64755.588955020336</v>
      </c>
      <c r="L8" s="24">
        <f>'[1]资源-钻石'!V8</f>
        <v>101123.14785052239</v>
      </c>
      <c r="M8" s="24">
        <f>'[1]资源-钻石'!W8</f>
        <v>245655.46263557463</v>
      </c>
      <c r="N8" s="24">
        <f>'[1]资源-钻石'!X8</f>
        <v>564676.00889913214</v>
      </c>
      <c r="P8" s="28">
        <v>5</v>
      </c>
      <c r="Q8" s="28">
        <f>'[1]功能-行军令'!N8</f>
        <v>19.053823869162375</v>
      </c>
      <c r="R8" s="28">
        <f>'[1]功能-行军令'!O8</f>
        <v>23.611664224090969</v>
      </c>
      <c r="S8" s="28">
        <f>'[1]功能-行军令'!P8</f>
        <v>25.76723160268055</v>
      </c>
      <c r="T8" s="28">
        <f>'[1]功能-行军令'!Q8</f>
        <v>20.905358492970112</v>
      </c>
      <c r="U8" s="28">
        <f>'[1]功能-行军令'!R8</f>
        <v>11.280360786818976</v>
      </c>
      <c r="V8" s="28">
        <f>'[1]功能-行军令'!S8</f>
        <v>4.3564599736092422</v>
      </c>
      <c r="W8" s="28">
        <f>'[1]功能-行军令'!T8</f>
        <v>5.390000269548505</v>
      </c>
      <c r="X8" s="28">
        <f>'[1]功能-行军令'!U8</f>
        <v>5.9146714683889243</v>
      </c>
      <c r="Y8" s="28">
        <f>'[1]功能-行军令'!V8</f>
        <v>4.829158208476553</v>
      </c>
      <c r="Z8" s="28">
        <f>'[1]功能-行军令'!W8</f>
        <v>2.6219200604110853</v>
      </c>
      <c r="AC8" s="30">
        <v>5</v>
      </c>
      <c r="AD8" s="41">
        <f>'[1]功能-实力'!BE9</f>
        <v>56256</v>
      </c>
      <c r="AE8" s="41">
        <f>'[1]功能-实力'!BF9</f>
        <v>57168</v>
      </c>
      <c r="AF8" s="41">
        <f>'[1]功能-实力'!BG9</f>
        <v>58724</v>
      </c>
      <c r="AG8" s="41">
        <f>'[1]功能-实力'!BH9</f>
        <v>61028</v>
      </c>
      <c r="AH8" s="41">
        <f>'[1]功能-实力'!BI9</f>
        <v>62428</v>
      </c>
      <c r="AL8" s="37">
        <f>[3]基础状态预期!C18</f>
        <v>3</v>
      </c>
      <c r="AM8" s="37">
        <f>[3]基础状态预期!D18</f>
        <v>20</v>
      </c>
      <c r="AO8" s="37">
        <f>[3]基础状态预期!F18</f>
        <v>0</v>
      </c>
      <c r="AP8" s="37">
        <f>[3]基础状态预期!G18</f>
        <v>0</v>
      </c>
      <c r="AQ8" s="37">
        <f>[3]基础状态预期!H18</f>
        <v>0</v>
      </c>
      <c r="AR8" s="37">
        <f>[3]基础状态预期!I18</f>
        <v>6</v>
      </c>
      <c r="AS8" s="37">
        <f>[3]基础状态预期!J18</f>
        <v>0</v>
      </c>
      <c r="AW8" s="32">
        <v>2</v>
      </c>
      <c r="AX8" s="32">
        <f>[1]节奏总纲!BJ5</f>
        <v>0.47499999999999998</v>
      </c>
      <c r="AY8" s="32">
        <f>[1]节奏总纲!BK5</f>
        <v>0.48449999999999999</v>
      </c>
      <c r="AZ8" s="32">
        <f>[1]节奏总纲!BL5</f>
        <v>0.50349999999999995</v>
      </c>
      <c r="BA8" s="32">
        <f>[1]节奏总纲!BM5</f>
        <v>0.54149999999999998</v>
      </c>
      <c r="BB8" s="32">
        <f>[1]节奏总纲!BN5</f>
        <v>0.66499999999999992</v>
      </c>
      <c r="BF8" s="42">
        <f>'[1]功能-行军令'!FZ6</f>
        <v>2</v>
      </c>
      <c r="BG8" s="42">
        <f>'[1]功能-行军令'!GA6*'[1]功能-行军令'!GB6</f>
        <v>14.5</v>
      </c>
      <c r="BN8" s="49">
        <v>3</v>
      </c>
      <c r="BO8" s="17">
        <f>'[1]资源-木石铜粮'!U8</f>
        <v>528119.37617910584</v>
      </c>
      <c r="BP8" s="17">
        <f>'[1]资源-木石铜粮'!V8</f>
        <v>560692.79485261848</v>
      </c>
      <c r="BQ8" s="17">
        <f>'[1]资源-木石铜粮'!W8</f>
        <v>583103.37804124609</v>
      </c>
      <c r="BR8" s="17">
        <f>'[1]资源-木石铜粮'!X8</f>
        <v>575204.02238841914</v>
      </c>
      <c r="BS8" s="17">
        <f>'[1]资源-木石铜粮'!Y8</f>
        <v>576990.42509176338</v>
      </c>
      <c r="BV8" s="49">
        <v>3</v>
      </c>
      <c r="BW8" s="47">
        <f>'[1]功能-城建'!EQ6+[1]养成buff汇总!H8+'[1]功能-采集'!BS7+[2]产出汇总!AY8+[1]养成buff汇总!GY8</f>
        <v>75805.616378090548</v>
      </c>
      <c r="BX8" s="47">
        <f>'[1]功能-城建'!ER6+[1]养成buff汇总!I8+'[1]功能-采集'!BT7+[2]产出汇总!AZ8+[1]养成buff汇总!GZ8</f>
        <v>68593.390073085349</v>
      </c>
      <c r="BY8" s="47">
        <f>'[1]功能-城建'!ES6+[1]养成buff汇总!J8+'[1]功能-采集'!BU7+[2]产出汇总!BA8+[1]养成buff汇总!HA8</f>
        <v>61138.648034563957</v>
      </c>
      <c r="BZ8" s="47">
        <f>'[1]功能-城建'!ET6+[1]养成buff汇总!K8+'[1]功能-采集'!BV7+[2]产出汇总!BB8+[1]养成buff汇总!HB8</f>
        <v>51865.167442208753</v>
      </c>
      <c r="CA8" s="47">
        <f>'[1]功能-城建'!EU6+[1]养成buff汇总!L8+'[1]功能-采集'!BW7+[2]产出汇总!BC8+[1]养成buff汇总!HC8</f>
        <v>41498.008298282693</v>
      </c>
      <c r="CD8" s="49">
        <v>3</v>
      </c>
      <c r="CE8" s="44">
        <f>'[1]资源-铁'!T8</f>
        <v>0</v>
      </c>
      <c r="CF8" s="44">
        <f>'[1]资源-铁'!U8</f>
        <v>0</v>
      </c>
      <c r="CG8" s="44">
        <f>'[1]资源-铁'!V8</f>
        <v>0</v>
      </c>
      <c r="CH8" s="44">
        <f>'[1]资源-铁'!W8</f>
        <v>0</v>
      </c>
      <c r="CI8" s="44">
        <f>'[1]资源-铁'!X8</f>
        <v>0</v>
      </c>
      <c r="CL8" s="49">
        <v>3</v>
      </c>
      <c r="CM8" s="44">
        <f>'[1]功能-城建'!HF6+[1]养成buff汇总!S8+'[1]功能-采集'!BX7</f>
        <v>0</v>
      </c>
      <c r="CN8" s="44">
        <f>'[1]功能-城建'!HG6+[1]养成buff汇总!T8+'[1]功能-采集'!BY7</f>
        <v>0</v>
      </c>
      <c r="CO8" s="44">
        <f>'[1]功能-城建'!HH6+[1]养成buff汇总!U8+'[1]功能-采集'!BZ7</f>
        <v>0</v>
      </c>
      <c r="CP8" s="44">
        <f>'[1]功能-城建'!HI6+[1]养成buff汇总!V8+'[1]功能-采集'!CA7</f>
        <v>0</v>
      </c>
      <c r="CQ8" s="44">
        <f>'[1]功能-城建'!HJ6+[1]养成buff汇总!W8+'[1]功能-采集'!CB7</f>
        <v>0</v>
      </c>
      <c r="CT8" s="49">
        <v>3</v>
      </c>
      <c r="CU8" s="17">
        <f>'[1]资源-玩家城池建筑时间'!AJ8+CU7</f>
        <v>23275.129925093381</v>
      </c>
      <c r="CV8" s="17">
        <f>'[1]资源-玩家城池建筑时间'!AK8+CV7</f>
        <v>25193.945781858634</v>
      </c>
      <c r="CW8" s="17">
        <f>'[1]资源-玩家城池建筑时间'!AL8+CW7</f>
        <v>27372.940059880206</v>
      </c>
      <c r="CX8" s="17">
        <f>'[1]资源-玩家城池建筑时间'!AM8+CX7</f>
        <v>29869.026788807892</v>
      </c>
      <c r="CY8" s="17">
        <f>'[1]资源-玩家城池建筑时间'!AN8+CY7</f>
        <v>32527.725031020775</v>
      </c>
      <c r="DB8" s="49">
        <v>3</v>
      </c>
      <c r="DC8" s="17">
        <f>'[1]资源-士兵训练时间'!U8</f>
        <v>11526.731245978093</v>
      </c>
      <c r="DD8" s="17">
        <f>'[1]资源-士兵训练时间'!V8</f>
        <v>16000.954650888696</v>
      </c>
      <c r="DE8" s="17">
        <f>'[1]资源-士兵训练时间'!W8</f>
        <v>20898.283079899709</v>
      </c>
      <c r="DF8" s="17">
        <f>'[1]资源-士兵训练时间'!X8</f>
        <v>26311.103389539378</v>
      </c>
      <c r="DG8" s="17">
        <f>'[1]资源-士兵训练时间'!Y8</f>
        <v>36832.804640240262</v>
      </c>
    </row>
    <row r="9" spans="2:111" x14ac:dyDescent="0.15">
      <c r="B9" s="23">
        <v>6</v>
      </c>
      <c r="C9" s="24">
        <f>'[1]资源-钻石'!L9</f>
        <v>7478.7085315028035</v>
      </c>
      <c r="D9" s="24">
        <f>'[1]资源-钻石'!M9</f>
        <v>8590.8514885251207</v>
      </c>
      <c r="E9" s="24">
        <f>'[1]资源-钻石'!N9</f>
        <v>10971.018797335208</v>
      </c>
      <c r="F9" s="24">
        <f>'[1]资源-钻石'!O9</f>
        <v>19602.159874134442</v>
      </c>
      <c r="G9" s="24">
        <f>'[1]资源-钻石'!P9</f>
        <v>24730.535432460631</v>
      </c>
      <c r="I9" s="23">
        <v>6</v>
      </c>
      <c r="J9" s="24">
        <f>'[1]资源-钻石'!T9</f>
        <v>57142.318032252464</v>
      </c>
      <c r="K9" s="24">
        <f>'[1]资源-钻石'!U9</f>
        <v>76056.549835477708</v>
      </c>
      <c r="L9" s="24">
        <f>'[1]资源-钻石'!V9</f>
        <v>118642.20481902552</v>
      </c>
      <c r="M9" s="24">
        <f>'[1]资源-钻石'!W9</f>
        <v>287806.42530092801</v>
      </c>
      <c r="N9" s="24">
        <f>'[1]资源-钻石'!X9</f>
        <v>661162.0678310208</v>
      </c>
      <c r="P9" s="28">
        <v>6</v>
      </c>
      <c r="Q9" s="28">
        <f>'[1]功能-行军令'!N9</f>
        <v>23.722962059478306</v>
      </c>
      <c r="R9" s="28">
        <f>'[1]功能-行军令'!O9</f>
        <v>29.439164482679558</v>
      </c>
      <c r="S9" s="28">
        <f>'[1]功能-行军令'!P9</f>
        <v>32.156578214936147</v>
      </c>
      <c r="T9" s="28">
        <f>'[1]功能-行军令'!Q9</f>
        <v>26.203507172736675</v>
      </c>
      <c r="U9" s="28">
        <f>'[1]功能-行军令'!R9</f>
        <v>14.251775743858198</v>
      </c>
      <c r="V9" s="28">
        <f>'[1]功能-行军令'!S9</f>
        <v>4.6691381903159304</v>
      </c>
      <c r="W9" s="28">
        <f>'[1]功能-行军令'!T9</f>
        <v>5.8275002585885893</v>
      </c>
      <c r="X9" s="28">
        <f>'[1]功能-行军令'!U9</f>
        <v>6.3893466122555971</v>
      </c>
      <c r="Y9" s="28">
        <f>'[1]功能-行军令'!V9</f>
        <v>5.2981486797665625</v>
      </c>
      <c r="Z9" s="28">
        <f>'[1]功能-行军令'!W9</f>
        <v>2.9714149570392223</v>
      </c>
      <c r="AC9" s="30">
        <v>6</v>
      </c>
      <c r="AD9" s="41">
        <f>'[1]功能-实力'!BE10</f>
        <v>63984</v>
      </c>
      <c r="AE9" s="41">
        <f>'[1]功能-实力'!BF10</f>
        <v>65212</v>
      </c>
      <c r="AF9" s="41">
        <f>'[1]功能-实力'!BG10</f>
        <v>67324</v>
      </c>
      <c r="AG9" s="41">
        <f>'[1]功能-实力'!BH10</f>
        <v>70456</v>
      </c>
      <c r="AH9" s="41">
        <f>'[1]功能-实力'!BI10</f>
        <v>72368</v>
      </c>
      <c r="AL9" s="37">
        <f>[3]基础状态预期!C19</f>
        <v>6</v>
      </c>
      <c r="AM9" s="37">
        <f>[3]基础状态预期!D19</f>
        <v>28.071211008105138</v>
      </c>
      <c r="AO9" s="37">
        <f>[3]基础状态预期!F19</f>
        <v>0</v>
      </c>
      <c r="AP9" s="37">
        <f>[3]基础状态预期!G19</f>
        <v>0</v>
      </c>
      <c r="AQ9" s="37">
        <f>[3]基础状态预期!H19</f>
        <v>0</v>
      </c>
      <c r="AR9" s="37">
        <f>[3]基础状态预期!I19</f>
        <v>6</v>
      </c>
      <c r="AS9" s="37">
        <f>[3]基础状态预期!J19</f>
        <v>0</v>
      </c>
      <c r="AW9" s="32">
        <v>3</v>
      </c>
      <c r="AX9" s="32">
        <f>[1]节奏总纲!BJ6</f>
        <v>0.65</v>
      </c>
      <c r="AY9" s="32">
        <f>[1]节奏总纲!BK6</f>
        <v>0.66300000000000003</v>
      </c>
      <c r="AZ9" s="32">
        <f>[1]节奏总纲!BL6</f>
        <v>0.68900000000000006</v>
      </c>
      <c r="BA9" s="32">
        <f>[1]节奏总纲!BM6</f>
        <v>0.74099999999999999</v>
      </c>
      <c r="BB9" s="32">
        <f>[1]节奏总纲!BN6</f>
        <v>0.90999999999999992</v>
      </c>
      <c r="BF9" s="42">
        <f>'[1]功能-行军令'!FZ7</f>
        <v>3</v>
      </c>
      <c r="BG9" s="42">
        <f>'[1]功能-行军令'!GA7*'[1]功能-行军令'!GB7</f>
        <v>18.922499999999999</v>
      </c>
      <c r="BN9" s="49">
        <v>4</v>
      </c>
      <c r="BO9" s="17">
        <f>'[1]资源-木石铜粮'!U9</f>
        <v>807594.06381752924</v>
      </c>
      <c r="BP9" s="17">
        <f>'[1]资源-木石铜粮'!V9</f>
        <v>859906.08915389201</v>
      </c>
      <c r="BQ9" s="17">
        <f>'[1]资源-木石铜粮'!W9</f>
        <v>891429.83434273722</v>
      </c>
      <c r="BR9" s="17">
        <f>'[1]资源-木石铜粮'!X9</f>
        <v>863956.7250488986</v>
      </c>
      <c r="BS9" s="17">
        <f>'[1]资源-木石铜粮'!Y9</f>
        <v>832029.76551892387</v>
      </c>
      <c r="BV9" s="49">
        <v>4</v>
      </c>
      <c r="BW9" s="47">
        <f>'[1]功能-城建'!EQ7+[1]养成buff汇总!H9+'[1]功能-采集'!BS8+[2]产出汇总!AY9+[1]养成buff汇总!GY9</f>
        <v>137115.10591324914</v>
      </c>
      <c r="BX9" s="47">
        <f>'[1]功能-城建'!ER7+[1]养成buff汇总!I9+'[1]功能-采集'!BT8+[2]产出汇总!AZ9+[1]养成buff汇总!GZ9</f>
        <v>123471.13197227655</v>
      </c>
      <c r="BY9" s="47">
        <f>'[1]功能-城建'!ES7+[1]养成buff汇总!J9+'[1]功能-采集'!BU8+[2]产出汇总!BA9+[1]养成buff汇总!HA9</f>
        <v>109641.30765353478</v>
      </c>
      <c r="BZ9" s="47">
        <f>'[1]功能-城建'!ET7+[1]养成buff汇总!K9+'[1]功能-采集'!BV8+[2]产出汇总!BB9+[1]养成buff汇总!HB9</f>
        <v>91157.161606163892</v>
      </c>
      <c r="CA9" s="47">
        <f>'[1]功能-城建'!EU7+[1]养成buff汇总!L9+'[1]功能-采集'!BW8+[2]产出汇总!BC9+[1]养成buff汇总!HC9</f>
        <v>70303.357881447053</v>
      </c>
      <c r="CD9" s="49">
        <v>4</v>
      </c>
      <c r="CE9" s="44">
        <f>'[1]资源-铁'!T9</f>
        <v>0</v>
      </c>
      <c r="CF9" s="44">
        <f>'[1]资源-铁'!U9</f>
        <v>0</v>
      </c>
      <c r="CG9" s="44">
        <f>'[1]资源-铁'!V9</f>
        <v>0</v>
      </c>
      <c r="CH9" s="44">
        <f>'[1]资源-铁'!W9</f>
        <v>0</v>
      </c>
      <c r="CI9" s="44">
        <f>'[1]资源-铁'!X9</f>
        <v>0</v>
      </c>
      <c r="CL9" s="49">
        <v>4</v>
      </c>
      <c r="CM9" s="44">
        <f>'[1]功能-城建'!HF7+[1]养成buff汇总!S9+'[1]功能-采集'!BX8</f>
        <v>0</v>
      </c>
      <c r="CN9" s="44">
        <f>'[1]功能-城建'!HG7+[1]养成buff汇总!T9+'[1]功能-采集'!BY8</f>
        <v>0</v>
      </c>
      <c r="CO9" s="44">
        <f>'[1]功能-城建'!HH7+[1]养成buff汇总!U9+'[1]功能-采集'!BZ8</f>
        <v>0</v>
      </c>
      <c r="CP9" s="44">
        <f>'[1]功能-城建'!HI7+[1]养成buff汇总!V9+'[1]功能-采集'!CA8</f>
        <v>0</v>
      </c>
      <c r="CQ9" s="44">
        <f>'[1]功能-城建'!HJ7+[1]养成buff汇总!W9+'[1]功能-采集'!CB8</f>
        <v>0</v>
      </c>
      <c r="CT9" s="49">
        <v>4</v>
      </c>
      <c r="CU9" s="17">
        <f>'[1]资源-玩家城池建筑时间'!AJ9+CU8</f>
        <v>37422.148447889624</v>
      </c>
      <c r="CV9" s="17">
        <f>'[1]资源-玩家城池建筑时间'!AK9+CV8</f>
        <v>44629.426197632463</v>
      </c>
      <c r="CW9" s="17">
        <f>'[1]资源-玩家城池建筑时间'!AL9+CW8</f>
        <v>52962.841095772659</v>
      </c>
      <c r="CX9" s="17">
        <f>'[1]资源-玩家城池建筑时间'!AM9+CX8</f>
        <v>62337.932856180385</v>
      </c>
      <c r="CY9" s="17">
        <f>'[1]资源-玩家城池建筑时间'!AN9+CY8</f>
        <v>72951.775479825126</v>
      </c>
      <c r="DB9" s="49">
        <v>4</v>
      </c>
      <c r="DC9" s="17">
        <f>'[1]资源-士兵训练时间'!U9</f>
        <v>14648.342458297248</v>
      </c>
      <c r="DD9" s="17">
        <f>'[1]资源-士兵训练时间'!V9</f>
        <v>20648.672849528204</v>
      </c>
      <c r="DE9" s="17">
        <f>'[1]资源-士兵训练时间'!W9</f>
        <v>27426.049427400339</v>
      </c>
      <c r="DF9" s="17">
        <f>'[1]资源-士兵训练时间'!X9</f>
        <v>35091.790606292016</v>
      </c>
      <c r="DG9" s="17">
        <f>'[1]资源-士兵训练时间'!Y9</f>
        <v>50080.586864910583</v>
      </c>
    </row>
    <row r="10" spans="2:111" x14ac:dyDescent="0.15">
      <c r="B10" s="23">
        <v>7</v>
      </c>
      <c r="C10" s="24">
        <f>'[1]资源-钻石'!L10</f>
        <v>9056.3104319608465</v>
      </c>
      <c r="D10" s="24">
        <f>'[1]资源-钻石'!M10</f>
        <v>10443.348760846837</v>
      </c>
      <c r="E10" s="24">
        <f>'[1]资源-钻石'!N10</f>
        <v>13372.55903866349</v>
      </c>
      <c r="F10" s="24">
        <f>'[1]资源-钻石'!O10</f>
        <v>23847.826437800562</v>
      </c>
      <c r="G10" s="24">
        <f>'[1]资源-钻石'!P10</f>
        <v>29846.880210740288</v>
      </c>
      <c r="I10" s="23">
        <v>7</v>
      </c>
      <c r="J10" s="24">
        <f>'[1]资源-钻石'!T10</f>
        <v>65670.464287213719</v>
      </c>
      <c r="K10" s="24">
        <f>'[1]资源-钻石'!U10</f>
        <v>87003.007176305546</v>
      </c>
      <c r="L10" s="24">
        <f>'[1]资源-钻石'!V10</f>
        <v>135821.53511999047</v>
      </c>
      <c r="M10" s="24">
        <f>'[1]资源-钻石'!W10</f>
        <v>329482.58530718263</v>
      </c>
      <c r="N10" s="24">
        <f>'[1]资源-钻石'!X10</f>
        <v>757259.99236457469</v>
      </c>
      <c r="P10" s="28">
        <v>7</v>
      </c>
      <c r="Q10" s="28">
        <f>'[1]功能-行军令'!N10</f>
        <v>28.727220464773662</v>
      </c>
      <c r="R10" s="28">
        <f>'[1]功能-行军令'!O10</f>
        <v>35.787309596867416</v>
      </c>
      <c r="S10" s="28">
        <f>'[1]功能-行军令'!P10</f>
        <v>39.195606953575002</v>
      </c>
      <c r="T10" s="28">
        <f>'[1]功能-行军令'!Q10</f>
        <v>31.878971252634962</v>
      </c>
      <c r="U10" s="28">
        <f>'[1]功能-行军令'!R10</f>
        <v>17.200235901845417</v>
      </c>
      <c r="V10" s="28">
        <f>'[1]功能-行军令'!S10</f>
        <v>5.0042584052953565</v>
      </c>
      <c r="W10" s="28">
        <f>'[1]功能-行军令'!T10</f>
        <v>6.348145114187858</v>
      </c>
      <c r="X10" s="28">
        <f>'[1]功能-行军令'!U10</f>
        <v>7.039028738638855</v>
      </c>
      <c r="Y10" s="28">
        <f>'[1]功能-行军令'!V10</f>
        <v>5.6754640798982869</v>
      </c>
      <c r="Z10" s="28">
        <f>'[1]功能-行军令'!W10</f>
        <v>2.9484601579872187</v>
      </c>
      <c r="AC10" s="30">
        <v>7</v>
      </c>
      <c r="AD10" s="41">
        <f>'[1]功能-实力'!BE11</f>
        <v>72304</v>
      </c>
      <c r="AE10" s="41">
        <f>'[1]功能-实力'!BF11</f>
        <v>73888</v>
      </c>
      <c r="AF10" s="41">
        <f>'[1]功能-实力'!BG11</f>
        <v>76652</v>
      </c>
      <c r="AG10" s="41">
        <f>'[1]功能-实力'!BH11</f>
        <v>80644</v>
      </c>
      <c r="AH10" s="41">
        <f>'[1]功能-实力'!BI11</f>
        <v>82920</v>
      </c>
      <c r="AL10" s="37">
        <f>[3]基础状态预期!C20</f>
        <v>10</v>
      </c>
      <c r="AM10" s="37">
        <f>[3]基础状态预期!D20</f>
        <v>34.585942742481357</v>
      </c>
      <c r="AO10" s="37">
        <f>[3]基础状态预期!F20</f>
        <v>0</v>
      </c>
      <c r="AP10" s="37">
        <f>[3]基础状态预期!G20</f>
        <v>0</v>
      </c>
      <c r="AQ10" s="37">
        <f>[3]基础状态预期!H20</f>
        <v>0</v>
      </c>
      <c r="AR10" s="37">
        <f>[3]基础状态预期!I20</f>
        <v>6</v>
      </c>
      <c r="AS10" s="37">
        <f>[3]基础状态预期!J20</f>
        <v>0</v>
      </c>
      <c r="AW10" s="32">
        <v>4</v>
      </c>
      <c r="AX10" s="32">
        <f>[1]节奏总纲!BJ7</f>
        <v>0.82499999999999996</v>
      </c>
      <c r="AY10" s="32">
        <f>[1]节奏总纲!BK7</f>
        <v>0.84149999999999991</v>
      </c>
      <c r="AZ10" s="32">
        <f>[1]节奏总纲!BL7</f>
        <v>0.87449999999999994</v>
      </c>
      <c r="BA10" s="32">
        <f>[1]节奏总纲!BM7</f>
        <v>0.94049999999999989</v>
      </c>
      <c r="BB10" s="32">
        <f>[1]节奏总纲!BN7</f>
        <v>1.1549999999999998</v>
      </c>
      <c r="BF10" s="42">
        <f>'[1]功能-行军令'!FZ8</f>
        <v>4</v>
      </c>
      <c r="BG10" s="42">
        <f>'[1]功能-行军令'!GA8*'[1]功能-行军令'!GB8</f>
        <v>22.224476249999999</v>
      </c>
      <c r="BN10" s="49">
        <v>5</v>
      </c>
      <c r="BO10" s="17">
        <f>'[1]资源-木石铜粮'!U10</f>
        <v>1338723.9640770692</v>
      </c>
      <c r="BP10" s="17">
        <f>'[1]资源-木石铜粮'!V10</f>
        <v>1413541.3530805111</v>
      </c>
      <c r="BQ10" s="17">
        <f>'[1]资源-木石铜粮'!W10</f>
        <v>1450769.4556995528</v>
      </c>
      <c r="BR10" s="17">
        <f>'[1]资源-木石铜粮'!X10</f>
        <v>1389537.8693932579</v>
      </c>
      <c r="BS10" s="17">
        <f>'[1]资源-木石铜粮'!Y10</f>
        <v>1310513.3032626612</v>
      </c>
      <c r="BV10" s="49">
        <v>5</v>
      </c>
      <c r="BW10" s="47">
        <f>'[1]功能-城建'!EQ8+[1]养成buff汇总!H10+'[1]功能-采集'!BS9+[2]产出汇总!AY10+[1]养成buff汇总!GY10</f>
        <v>231440.05046066205</v>
      </c>
      <c r="BX10" s="47">
        <f>'[1]功能-城建'!ER8+[1]养成buff汇总!I10+'[1]功能-采集'!BT9+[2]产出汇总!AZ10+[1]养成buff汇总!GZ10</f>
        <v>205397.58124554262</v>
      </c>
      <c r="BY10" s="47">
        <f>'[1]功能-城建'!ES8+[1]养成buff汇总!J10+'[1]功能-采集'!BU9+[2]产出汇总!BA10+[1]养成buff汇总!HA10</f>
        <v>181438.41145528521</v>
      </c>
      <c r="BZ10" s="47">
        <f>'[1]功能-城建'!ET8+[1]养成buff汇总!K10+'[1]功能-采集'!BV9+[2]产出汇总!BB10+[1]养成buff汇总!HB10</f>
        <v>148333.91895450017</v>
      </c>
      <c r="CA10" s="47">
        <f>'[1]功能-城建'!EU8+[1]养成buff汇总!L10+'[1]功能-采集'!BW9+[2]产出汇总!BC10+[1]养成buff汇总!HC10</f>
        <v>110935.70650902044</v>
      </c>
      <c r="CD10" s="49">
        <v>5</v>
      </c>
      <c r="CE10" s="44">
        <f>'[1]资源-铁'!T10</f>
        <v>0</v>
      </c>
      <c r="CF10" s="44">
        <f>'[1]资源-铁'!U10</f>
        <v>0</v>
      </c>
      <c r="CG10" s="44">
        <f>'[1]资源-铁'!V10</f>
        <v>0</v>
      </c>
      <c r="CH10" s="44">
        <f>'[1]资源-铁'!W10</f>
        <v>0</v>
      </c>
      <c r="CI10" s="44">
        <f>'[1]资源-铁'!X10</f>
        <v>0</v>
      </c>
      <c r="CL10" s="49">
        <v>5</v>
      </c>
      <c r="CM10" s="44">
        <f>'[1]功能-城建'!HF8+[1]养成buff汇总!S10+'[1]功能-采集'!BX9</f>
        <v>0</v>
      </c>
      <c r="CN10" s="44">
        <f>'[1]功能-城建'!HG8+[1]养成buff汇总!T10+'[1]功能-采集'!BY9</f>
        <v>0</v>
      </c>
      <c r="CO10" s="44">
        <f>'[1]功能-城建'!HH8+[1]养成buff汇总!U10+'[1]功能-采集'!BZ9</f>
        <v>0</v>
      </c>
      <c r="CP10" s="44">
        <f>'[1]功能-城建'!HI8+[1]养成buff汇总!V10+'[1]功能-采集'!CA9</f>
        <v>0</v>
      </c>
      <c r="CQ10" s="44">
        <f>'[1]功能-城建'!HJ8+[1]养成buff汇总!W10+'[1]功能-采集'!CB9</f>
        <v>0</v>
      </c>
      <c r="CT10" s="49">
        <v>5</v>
      </c>
      <c r="CU10" s="17">
        <f>'[1]资源-玩家城池建筑时间'!AJ10+CU9</f>
        <v>70802.089549244178</v>
      </c>
      <c r="CV10" s="17">
        <f>'[1]资源-玩家城池建筑时间'!AK10+CV9</f>
        <v>81843.453841685972</v>
      </c>
      <c r="CW10" s="17">
        <f>'[1]资源-玩家城池建筑时间'!AL10+CW9</f>
        <v>96911.854657112737</v>
      </c>
      <c r="CX10" s="17">
        <f>'[1]资源-玩家城池建筑时间'!AM10+CX9</f>
        <v>113934.17997388061</v>
      </c>
      <c r="CY10" s="17">
        <f>'[1]资源-玩家城池建筑时间'!AN10+CY9</f>
        <v>133208.48607185512</v>
      </c>
      <c r="DB10" s="49">
        <v>5</v>
      </c>
      <c r="DC10" s="17">
        <f>'[1]资源-士兵训练时间'!U10</f>
        <v>18530.224790965462</v>
      </c>
      <c r="DD10" s="17">
        <f>'[1]资源-士兵训练时间'!V10</f>
        <v>26087.810276769873</v>
      </c>
      <c r="DE10" s="17">
        <f>'[1]资源-士兵训练时间'!W10</f>
        <v>34595.792648656992</v>
      </c>
      <c r="DF10" s="17">
        <f>'[1]资源-士兵训练时间'!X10</f>
        <v>44207.221908722589</v>
      </c>
      <c r="DG10" s="17">
        <f>'[1]资源-士兵训练时间'!Y10</f>
        <v>63007.558044456331</v>
      </c>
    </row>
    <row r="11" spans="2:111" x14ac:dyDescent="0.15">
      <c r="B11" s="23">
        <v>8</v>
      </c>
      <c r="C11" s="24">
        <f>'[1]资源-钻石'!L11</f>
        <v>10747.142283318599</v>
      </c>
      <c r="D11" s="24">
        <f>'[1]资源-钻石'!M11</f>
        <v>12335.184249012767</v>
      </c>
      <c r="E11" s="24">
        <f>'[1]资源-钻石'!N11</f>
        <v>15694.375718312185</v>
      </c>
      <c r="F11" s="24">
        <f>'[1]资源-钻石'!O11</f>
        <v>27889.122997198028</v>
      </c>
      <c r="G11" s="24">
        <f>'[1]资源-钻石'!P11</f>
        <v>34995.487735886534</v>
      </c>
      <c r="I11" s="23">
        <v>8</v>
      </c>
      <c r="J11" s="24">
        <f>'[1]资源-钻石'!T11</f>
        <v>71357.436073504898</v>
      </c>
      <c r="K11" s="24">
        <f>'[1]资源-钻石'!U11</f>
        <v>95413.179680855392</v>
      </c>
      <c r="L11" s="24">
        <f>'[1]资源-钻石'!V11</f>
        <v>149792.49764894097</v>
      </c>
      <c r="M11" s="24">
        <f>'[1]资源-钻石'!W11</f>
        <v>366401.74741383508</v>
      </c>
      <c r="N11" s="24">
        <f>'[1]资源-钻石'!X11</f>
        <v>844724.42215521843</v>
      </c>
      <c r="P11" s="28">
        <v>8</v>
      </c>
      <c r="Q11" s="28">
        <f>'[1]功能-行军令'!N11</f>
        <v>34.090651823243419</v>
      </c>
      <c r="R11" s="28">
        <f>'[1]功能-行军令'!O11</f>
        <v>42.270259067554726</v>
      </c>
      <c r="S11" s="28">
        <f>'[1]功能-行军令'!P11</f>
        <v>46.0009621388201</v>
      </c>
      <c r="T11" s="28">
        <f>'[1]功能-行军令'!Q11</f>
        <v>37.281240393448371</v>
      </c>
      <c r="U11" s="28">
        <f>'[1]功能-行军令'!R11</f>
        <v>20.167288517504215</v>
      </c>
      <c r="V11" s="28">
        <f>'[1]功能-行军令'!S11</f>
        <v>5.3634313584697573</v>
      </c>
      <c r="W11" s="28">
        <f>'[1]功能-行军令'!T11</f>
        <v>6.4829494706873092</v>
      </c>
      <c r="X11" s="28">
        <f>'[1]功能-行军令'!U11</f>
        <v>6.805355185245098</v>
      </c>
      <c r="Y11" s="28">
        <f>'[1]功能-行军令'!V11</f>
        <v>5.4022691408134094</v>
      </c>
      <c r="Z11" s="28">
        <f>'[1]功能-行军令'!W11</f>
        <v>2.9670526156587975</v>
      </c>
      <c r="AC11" s="30">
        <v>8</v>
      </c>
      <c r="AD11" s="41">
        <f>'[1]功能-实力'!BE12</f>
        <v>81240</v>
      </c>
      <c r="AE11" s="41">
        <f>'[1]功能-实力'!BF12</f>
        <v>83092</v>
      </c>
      <c r="AF11" s="41">
        <f>'[1]功能-实力'!BG12</f>
        <v>86368</v>
      </c>
      <c r="AG11" s="41">
        <f>'[1]功能-实力'!BH12</f>
        <v>91236</v>
      </c>
      <c r="AH11" s="41">
        <f>'[1]功能-实力'!BI12</f>
        <v>94124</v>
      </c>
      <c r="AL11" s="37">
        <f>[3]基础状态预期!C21</f>
        <v>15</v>
      </c>
      <c r="AM11" s="37">
        <f>[3]基础状态预期!D21</f>
        <v>40</v>
      </c>
      <c r="AO11" s="37">
        <f>[3]基础状态预期!F21</f>
        <v>0</v>
      </c>
      <c r="AP11" s="37">
        <f>[3]基础状态预期!G21</f>
        <v>0</v>
      </c>
      <c r="AQ11" s="37">
        <f>[3]基础状态预期!H21</f>
        <v>0</v>
      </c>
      <c r="AR11" s="37">
        <f>[3]基础状态预期!I21</f>
        <v>6</v>
      </c>
      <c r="AS11" s="37">
        <f>[3]基础状态预期!J21</f>
        <v>0</v>
      </c>
      <c r="AW11" s="32">
        <v>5</v>
      </c>
      <c r="AX11" s="32">
        <f>[1]节奏总纲!BJ8</f>
        <v>1</v>
      </c>
      <c r="AY11" s="32">
        <f>[1]节奏总纲!BK8</f>
        <v>1.02</v>
      </c>
      <c r="AZ11" s="32">
        <f>[1]节奏总纲!BL8</f>
        <v>1.06</v>
      </c>
      <c r="BA11" s="32">
        <f>[1]节奏总纲!BM8</f>
        <v>1.1399999999999999</v>
      </c>
      <c r="BB11" s="32">
        <f>[1]节奏总纲!BN8</f>
        <v>1.4</v>
      </c>
      <c r="BF11" s="42">
        <f>'[1]功能-行军令'!FZ9</f>
        <v>5</v>
      </c>
      <c r="BG11" s="42">
        <f>'[1]功能-行军令'!GA9*'[1]功能-行军令'!GB9</f>
        <v>25.558147687499996</v>
      </c>
      <c r="BN11" s="49">
        <v>6</v>
      </c>
      <c r="BO11" s="17">
        <f>'[1]资源-木石铜粮'!U11</f>
        <v>1671548.6041463646</v>
      </c>
      <c r="BP11" s="17">
        <f>'[1]资源-木石铜粮'!V11</f>
        <v>1777412.3799379496</v>
      </c>
      <c r="BQ11" s="17">
        <f>'[1]资源-木石铜粮'!W11</f>
        <v>1826406.2876247535</v>
      </c>
      <c r="BR11" s="17">
        <f>'[1]资源-木石铜粮'!X11</f>
        <v>1731789.5347496811</v>
      </c>
      <c r="BS11" s="17">
        <f>'[1]资源-木石铜粮'!Y11</f>
        <v>1592077.7503358689</v>
      </c>
      <c r="BV11" s="49">
        <v>6</v>
      </c>
      <c r="BW11" s="47">
        <f>'[1]功能-城建'!EQ9+[1]养成buff汇总!H11+'[1]功能-采集'!BS10+[2]产出汇总!AY11+[1]养成buff汇总!GY11</f>
        <v>346731.7742539788</v>
      </c>
      <c r="BX11" s="47">
        <f>'[1]功能-城建'!ER9+[1]养成buff汇总!I11+'[1]功能-采集'!BT10+[2]产出汇总!AZ11+[1]养成buff汇总!GZ11</f>
        <v>305498.94180968509</v>
      </c>
      <c r="BY11" s="47">
        <f>'[1]功能-城建'!ES9+[1]养成buff汇总!J11+'[1]功能-采集'!BU10+[2]产出汇总!BA11+[1]养成buff汇总!HA11</f>
        <v>268032.55724178255</v>
      </c>
      <c r="BZ11" s="47">
        <f>'[1]功能-城建'!ET9+[1]养成buff汇总!K11+'[1]功能-采集'!BV10+[2]产出汇总!BB11+[1]养成buff汇总!HB11</f>
        <v>217385.20445389079</v>
      </c>
      <c r="CA11" s="47">
        <f>'[1]功能-城建'!EU9+[1]养成buff汇总!L11+'[1]功能-采集'!BW10+[2]产出汇总!BC11+[1]养成buff汇总!HC11</f>
        <v>160650.44959683629</v>
      </c>
      <c r="CD11" s="49">
        <v>6</v>
      </c>
      <c r="CE11" s="44">
        <f>'[1]资源-铁'!T11</f>
        <v>0</v>
      </c>
      <c r="CF11" s="44">
        <f>'[1]资源-铁'!U11</f>
        <v>0</v>
      </c>
      <c r="CG11" s="44">
        <f>'[1]资源-铁'!V11</f>
        <v>0</v>
      </c>
      <c r="CH11" s="44">
        <f>'[1]资源-铁'!W11</f>
        <v>0</v>
      </c>
      <c r="CI11" s="44">
        <f>'[1]资源-铁'!X11</f>
        <v>0</v>
      </c>
      <c r="CL11" s="49">
        <v>6</v>
      </c>
      <c r="CM11" s="44">
        <f>'[1]功能-城建'!HF9+[1]养成buff汇总!S11+'[1]功能-采集'!BX10</f>
        <v>0</v>
      </c>
      <c r="CN11" s="44">
        <f>'[1]功能-城建'!HG9+[1]养成buff汇总!T11+'[1]功能-采集'!BY10</f>
        <v>0</v>
      </c>
      <c r="CO11" s="44">
        <f>'[1]功能-城建'!HH9+[1]养成buff汇总!U11+'[1]功能-采集'!BZ10</f>
        <v>0</v>
      </c>
      <c r="CP11" s="44">
        <f>'[1]功能-城建'!HI9+[1]养成buff汇总!V11+'[1]功能-采集'!CA10</f>
        <v>0</v>
      </c>
      <c r="CQ11" s="44">
        <f>'[1]功能-城建'!HJ9+[1]养成buff汇总!W11+'[1]功能-采集'!CB10</f>
        <v>0</v>
      </c>
      <c r="CT11" s="49">
        <v>6</v>
      </c>
      <c r="CU11" s="17">
        <f>'[1]资源-玩家城池建筑时间'!AJ11+CU10</f>
        <v>117918.18484845915</v>
      </c>
      <c r="CV11" s="17">
        <f>'[1]资源-玩家城池建筑时间'!AK11+CV10</f>
        <v>133998.96602150486</v>
      </c>
      <c r="CW11" s="17">
        <f>'[1]资源-玩家城池建筑时间'!AL11+CW10</f>
        <v>154589.97576860033</v>
      </c>
      <c r="CX11" s="17">
        <f>'[1]资源-玩家城池建筑时间'!AM11+CX10</f>
        <v>181185.59257067222</v>
      </c>
      <c r="CY11" s="17">
        <f>'[1]资源-玩家城池建筑时间'!AN11+CY10</f>
        <v>212736.00921532186</v>
      </c>
      <c r="DB11" s="49">
        <v>6</v>
      </c>
      <c r="DC11" s="17">
        <f>'[1]资源-士兵训练时间'!U11</f>
        <v>22418.668372009484</v>
      </c>
      <c r="DD11" s="17">
        <f>'[1]资源-士兵训练时间'!V11</f>
        <v>31587.12783980566</v>
      </c>
      <c r="DE11" s="17">
        <f>'[1]资源-士兵训练时间'!W11</f>
        <v>41899.499294645488</v>
      </c>
      <c r="DF11" s="17">
        <f>'[1]资源-士兵训练时间'!X11</f>
        <v>53552.031827981795</v>
      </c>
      <c r="DG11" s="17">
        <f>'[1]资源-士兵训练时间'!Y11</f>
        <v>76579.147270252681</v>
      </c>
    </row>
    <row r="12" spans="2:111" x14ac:dyDescent="0.15">
      <c r="B12" s="23">
        <v>9</v>
      </c>
      <c r="C12" s="24">
        <f>'[1]资源-钻石'!L12</f>
        <v>12559.330991214947</v>
      </c>
      <c r="D12" s="24">
        <f>'[1]资源-钻石'!M12</f>
        <v>14410.06948662064</v>
      </c>
      <c r="E12" s="24">
        <f>'[1]资源-钻石'!N12</f>
        <v>18405.302329906328</v>
      </c>
      <c r="F12" s="24">
        <f>'[1]资源-钻石'!O12</f>
        <v>32952.152999458973</v>
      </c>
      <c r="G12" s="24">
        <f>'[1]资源-钻石'!P12</f>
        <v>41453.701666905341</v>
      </c>
      <c r="I12" s="23">
        <v>9</v>
      </c>
      <c r="J12" s="24">
        <f>'[1]资源-钻石'!T12</f>
        <v>77044.407859796062</v>
      </c>
      <c r="K12" s="24">
        <f>'[1]资源-钻石'!U12</f>
        <v>103468.8486457757</v>
      </c>
      <c r="L12" s="24">
        <f>'[1]资源-钻石'!V12</f>
        <v>163423.73351035328</v>
      </c>
      <c r="M12" s="24">
        <f>'[1]资源-钻石'!W12</f>
        <v>402846.1068613886</v>
      </c>
      <c r="N12" s="24">
        <f>'[1]资源-钻石'!X12</f>
        <v>931800.7175475274</v>
      </c>
      <c r="P12" s="28">
        <v>9</v>
      </c>
      <c r="Q12" s="28">
        <f>'[1]功能-行军令'!N12</f>
        <v>39.839035221386283</v>
      </c>
      <c r="R12" s="28">
        <f>'[1]功能-行军令'!O12</f>
        <v>49.380484156908295</v>
      </c>
      <c r="S12" s="28">
        <f>'[1]功能-行军令'!P12</f>
        <v>53.946817052663931</v>
      </c>
      <c r="T12" s="28">
        <f>'[1]功能-行军令'!Q12</f>
        <v>44.049328391500353</v>
      </c>
      <c r="U12" s="28">
        <f>'[1]功能-行军令'!R12</f>
        <v>23.889044437512744</v>
      </c>
      <c r="V12" s="28">
        <f>'[1]功能-行军令'!S12</f>
        <v>5.7483833981428631</v>
      </c>
      <c r="W12" s="28">
        <f>'[1]功能-行军令'!T12</f>
        <v>7.1102250893535697</v>
      </c>
      <c r="X12" s="28">
        <f>'[1]功能-行军令'!U12</f>
        <v>7.9458549138438315</v>
      </c>
      <c r="Y12" s="28">
        <f>'[1]功能-行军令'!V12</f>
        <v>6.7680879980519819</v>
      </c>
      <c r="Z12" s="28">
        <f>'[1]功能-行军令'!W12</f>
        <v>3.7217559200085297</v>
      </c>
      <c r="AC12" s="30">
        <v>9</v>
      </c>
      <c r="AD12" s="41">
        <f>'[1]功能-实力'!BE13</f>
        <v>99413.6</v>
      </c>
      <c r="AE12" s="41">
        <f>'[1]功能-实力'!BF13</f>
        <v>101864.40000000001</v>
      </c>
      <c r="AF12" s="41">
        <f>'[1]功能-实力'!BG13</f>
        <v>106304</v>
      </c>
      <c r="AG12" s="41">
        <f>'[1]功能-实力'!BH13</f>
        <v>112882.00000000001</v>
      </c>
      <c r="AH12" s="41">
        <f>'[1]功能-实力'!BI13</f>
        <v>116820</v>
      </c>
      <c r="AL12" s="37">
        <f>[3]基础状态预期!C22</f>
        <v>20</v>
      </c>
      <c r="AM12" s="37">
        <f>[3]基础状态预期!D22</f>
        <v>43.920692243099523</v>
      </c>
      <c r="AO12" s="37">
        <f>[3]基础状态预期!F22</f>
        <v>0</v>
      </c>
      <c r="AP12" s="37">
        <f>[3]基础状态预期!G22</f>
        <v>0</v>
      </c>
      <c r="AQ12" s="37">
        <f>[3]基础状态预期!H22</f>
        <v>0</v>
      </c>
      <c r="AR12" s="37">
        <f>[3]基础状态预期!I22</f>
        <v>6</v>
      </c>
      <c r="AS12" s="37">
        <f>[3]基础状态预期!J22</f>
        <v>0</v>
      </c>
      <c r="AW12" s="32">
        <v>6</v>
      </c>
      <c r="AX12" s="32">
        <f>[1]节奏总纲!BJ9</f>
        <v>1.0333333333333334</v>
      </c>
      <c r="AY12" s="32">
        <f>[1]节奏总纲!BK9</f>
        <v>1.054</v>
      </c>
      <c r="AZ12" s="32">
        <f>[1]节奏总纲!BL9</f>
        <v>1.0953333333333335</v>
      </c>
      <c r="BA12" s="32">
        <f>[1]节奏总纲!BM9</f>
        <v>1.1779999999999999</v>
      </c>
      <c r="BB12" s="32">
        <f>[1]节奏总纲!BN9</f>
        <v>1.4466666666666668</v>
      </c>
      <c r="BF12" s="42">
        <f>'[1]功能-行军令'!FZ10</f>
        <v>6</v>
      </c>
      <c r="BG12" s="42">
        <f>'[1]功能-行军令'!GA10*'[1]功能-行军令'!GB10</f>
        <v>28.7529161484375</v>
      </c>
      <c r="BN12" s="49">
        <v>7</v>
      </c>
      <c r="BO12" s="17">
        <f>'[1]资源-木石铜粮'!U12</f>
        <v>2032207.1164354286</v>
      </c>
      <c r="BP12" s="17">
        <f>'[1]资源-木石铜粮'!V12</f>
        <v>2176542.501957214</v>
      </c>
      <c r="BQ12" s="17">
        <f>'[1]资源-木石铜粮'!W12</f>
        <v>2242024.4112566346</v>
      </c>
      <c r="BR12" s="17">
        <f>'[1]资源-木石铜粮'!X12</f>
        <v>2104644.7912015389</v>
      </c>
      <c r="BS12" s="17">
        <f>'[1]资源-木石铜粮'!Y12</f>
        <v>1887637.1849666145</v>
      </c>
      <c r="BV12" s="49">
        <v>7</v>
      </c>
      <c r="BW12" s="47">
        <f>'[1]功能-城建'!EQ10+[1]养成buff汇总!H12+'[1]功能-采集'!BS11+[2]产出汇总!AY12+[1]养成buff汇总!GY12</f>
        <v>479949.57361786836</v>
      </c>
      <c r="BX12" s="47">
        <f>'[1]功能-城建'!ER10+[1]养成buff汇总!I12+'[1]功能-采集'!BT11+[2]产出汇总!AZ12+[1]养成buff汇总!GZ12</f>
        <v>422272.4770225914</v>
      </c>
      <c r="BY12" s="47">
        <f>'[1]功能-城建'!ES10+[1]养成buff汇总!J12+'[1]功能-采集'!BU11+[2]产出汇总!BA12+[1]养成buff汇总!HA12</f>
        <v>370094.05419478589</v>
      </c>
      <c r="BZ12" s="47">
        <f>'[1]功能-城建'!ET10+[1]养成buff汇总!K12+'[1]功能-采集'!BV11+[2]产出汇总!BB12+[1]养成buff汇总!HB12</f>
        <v>295682.27785867255</v>
      </c>
      <c r="CA12" s="47">
        <f>'[1]功能-城建'!EU10+[1]养成buff汇总!L12+'[1]功能-采集'!BW11+[2]产出汇总!BC12+[1]养成buff汇总!HC12</f>
        <v>213208.22337735852</v>
      </c>
      <c r="CD12" s="49">
        <v>7</v>
      </c>
      <c r="CE12" s="44">
        <f>'[1]资源-铁'!T12</f>
        <v>0</v>
      </c>
      <c r="CF12" s="44">
        <f>'[1]资源-铁'!U12</f>
        <v>0</v>
      </c>
      <c r="CG12" s="44">
        <f>'[1]资源-铁'!V12</f>
        <v>0</v>
      </c>
      <c r="CH12" s="44">
        <f>'[1]资源-铁'!W12</f>
        <v>0</v>
      </c>
      <c r="CI12" s="44">
        <f>'[1]资源-铁'!X12</f>
        <v>0</v>
      </c>
      <c r="CL12" s="49">
        <v>7</v>
      </c>
      <c r="CM12" s="44">
        <f>'[1]功能-城建'!HF10+[1]养成buff汇总!S12+'[1]功能-采集'!BX11</f>
        <v>0</v>
      </c>
      <c r="CN12" s="44">
        <f>'[1]功能-城建'!HG10+[1]养成buff汇总!T12+'[1]功能-采集'!BY11</f>
        <v>0</v>
      </c>
      <c r="CO12" s="44">
        <f>'[1]功能-城建'!HH10+[1]养成buff汇总!U12+'[1]功能-采集'!BZ11</f>
        <v>0</v>
      </c>
      <c r="CP12" s="44">
        <f>'[1]功能-城建'!HI10+[1]养成buff汇总!V12+'[1]功能-采集'!CA11</f>
        <v>0</v>
      </c>
      <c r="CQ12" s="44">
        <f>'[1]功能-城建'!HJ10+[1]养成buff汇总!W12+'[1]功能-采集'!CB11</f>
        <v>0</v>
      </c>
      <c r="CT12" s="49">
        <v>7</v>
      </c>
      <c r="CU12" s="17">
        <f>'[1]资源-玩家城池建筑时间'!AJ12+CU11</f>
        <v>174684.82699881948</v>
      </c>
      <c r="CV12" s="17">
        <f>'[1]资源-玩家城池建筑时间'!AK12+CV11</f>
        <v>199081.86098263605</v>
      </c>
      <c r="CW12" s="17">
        <f>'[1]资源-玩家城池建筑时间'!AL12+CW11</f>
        <v>227449.47915911739</v>
      </c>
      <c r="CX12" s="17">
        <f>'[1]资源-玩家城池建筑时间'!AM12+CX11</f>
        <v>256252.18738919214</v>
      </c>
      <c r="CY12" s="17">
        <f>'[1]资源-玩家城池建筑时间'!AN12+CY11</f>
        <v>283665.88983731007</v>
      </c>
      <c r="DB12" s="49">
        <v>7</v>
      </c>
      <c r="DC12" s="17">
        <f>'[1]资源-士兵训练时间'!U12</f>
        <v>26376.051175864399</v>
      </c>
      <c r="DD12" s="17">
        <f>'[1]资源-士兵训练时间'!V12</f>
        <v>37169.463957404165</v>
      </c>
      <c r="DE12" s="17">
        <f>'[1]资源-士兵训练时间'!W12</f>
        <v>49370.730149821371</v>
      </c>
      <c r="DF12" s="17">
        <f>'[1]资源-士兵训练时间'!X12</f>
        <v>63422.911854523103</v>
      </c>
      <c r="DG12" s="17">
        <f>'[1]资源-士兵训练时间'!Y12</f>
        <v>91238.280487517157</v>
      </c>
    </row>
    <row r="13" spans="2:111" x14ac:dyDescent="0.15">
      <c r="B13" s="23">
        <v>10</v>
      </c>
      <c r="C13" s="24">
        <f>'[1]资源-钻石'!L13</f>
        <v>14501.586757446188</v>
      </c>
      <c r="D13" s="24">
        <f>'[1]资源-钻石'!M13</f>
        <v>16712.831996291505</v>
      </c>
      <c r="E13" s="24">
        <f>'[1]资源-钻石'!N13</f>
        <v>21406.851323803567</v>
      </c>
      <c r="F13" s="24">
        <f>'[1]资源-钻石'!O13</f>
        <v>38510.39566468561</v>
      </c>
      <c r="G13" s="24">
        <f>'[1]资源-钻石'!P13</f>
        <v>48829.520430474819</v>
      </c>
      <c r="I13" s="23">
        <v>10</v>
      </c>
      <c r="J13" s="24">
        <f>'[1]资源-钻石'!T13</f>
        <v>82731.37964608724</v>
      </c>
      <c r="K13" s="24">
        <f>'[1]资源-钻石'!U13</f>
        <v>111524.51761069598</v>
      </c>
      <c r="L13" s="24">
        <f>'[1]资源-钻石'!V13</f>
        <v>177054.96937176562</v>
      </c>
      <c r="M13" s="24">
        <f>'[1]资源-钻石'!W13</f>
        <v>439290.46630894218</v>
      </c>
      <c r="N13" s="24">
        <f>'[1]资源-钻石'!X13</f>
        <v>1018877.0129398364</v>
      </c>
      <c r="P13" s="28">
        <v>10</v>
      </c>
      <c r="Q13" s="28">
        <f>'[1]功能-行军令'!N13</f>
        <v>46</v>
      </c>
      <c r="R13" s="28">
        <f>'[1]功能-行军令'!O13</f>
        <v>57.271599999999999</v>
      </c>
      <c r="S13" s="28">
        <f>'[1]功能-行军令'!P13</f>
        <v>62.744500000000002</v>
      </c>
      <c r="T13" s="28">
        <f>'[1]功能-行军令'!Q13</f>
        <v>51.479400000000005</v>
      </c>
      <c r="U13" s="28">
        <f>'[1]功能-行军令'!R13</f>
        <v>28.139600000000002</v>
      </c>
      <c r="V13" s="28">
        <f>'[1]功能-行军令'!S13</f>
        <v>6.1609647786137174</v>
      </c>
      <c r="W13" s="28">
        <f>'[1]功能-行军令'!T13</f>
        <v>7.8911158430917041</v>
      </c>
      <c r="X13" s="28">
        <f>'[1]功能-行军令'!U13</f>
        <v>8.7976829473360709</v>
      </c>
      <c r="Y13" s="28">
        <f>'[1]功能-行军令'!V13</f>
        <v>7.4300716084996523</v>
      </c>
      <c r="Z13" s="28">
        <f>'[1]功能-行军令'!W13</f>
        <v>4.2505555624872571</v>
      </c>
      <c r="AC13" s="30">
        <v>10</v>
      </c>
      <c r="AD13" s="41">
        <f>'[1]功能-实力'!BE14</f>
        <v>120374.39999999999</v>
      </c>
      <c r="AE13" s="41">
        <f>'[1]功能-实力'!BF14</f>
        <v>123321.59999999999</v>
      </c>
      <c r="AF13" s="41">
        <f>'[1]功能-实力'!BG14</f>
        <v>129148.79999999999</v>
      </c>
      <c r="AG13" s="41">
        <f>'[1]功能-实力'!BH14</f>
        <v>137803.20000000001</v>
      </c>
      <c r="AH13" s="41">
        <f>'[1]功能-实力'!BI14</f>
        <v>143035.20000000001</v>
      </c>
      <c r="AL13" s="37">
        <f>[3]基础状态预期!C23</f>
        <v>30</v>
      </c>
      <c r="AM13" s="37">
        <f>[3]基础状态预期!D23</f>
        <v>49.533352307096472</v>
      </c>
      <c r="AO13" s="37">
        <f>[3]基础状态预期!F23</f>
        <v>0</v>
      </c>
      <c r="AP13" s="37">
        <f>[3]基础状态预期!G23</f>
        <v>0</v>
      </c>
      <c r="AQ13" s="37">
        <f>[3]基础状态预期!H23</f>
        <v>0</v>
      </c>
      <c r="AR13" s="37">
        <f>[3]基础状态预期!I23</f>
        <v>6</v>
      </c>
      <c r="AS13" s="37">
        <f>[3]基础状态预期!J23</f>
        <v>0</v>
      </c>
      <c r="AW13" s="32">
        <v>7</v>
      </c>
      <c r="AX13" s="32">
        <f>[1]节奏总纲!BJ10</f>
        <v>1.0666666666666669</v>
      </c>
      <c r="AY13" s="32">
        <f>[1]节奏总纲!BK10</f>
        <v>1.0880000000000003</v>
      </c>
      <c r="AZ13" s="32">
        <f>[1]节奏总纲!BL10</f>
        <v>1.1306666666666669</v>
      </c>
      <c r="BA13" s="32">
        <f>[1]节奏总纲!BM10</f>
        <v>1.2160000000000002</v>
      </c>
      <c r="BB13" s="32">
        <f>[1]节奏总纲!BN10</f>
        <v>1.4933333333333336</v>
      </c>
      <c r="BF13" s="42">
        <f>'[1]功能-行军令'!FZ11</f>
        <v>7</v>
      </c>
      <c r="BG13" s="42">
        <f>'[1]功能-行军令'!GA11*'[1]功能-行军令'!GB11</f>
        <v>31.628207763281253</v>
      </c>
      <c r="BN13" s="49">
        <v>8</v>
      </c>
      <c r="BO13" s="17">
        <f>'[1]资源-木石铜粮'!U13</f>
        <v>2606327.0806600507</v>
      </c>
      <c r="BP13" s="17">
        <f>'[1]资源-木石铜粮'!V13</f>
        <v>2787342.8685421972</v>
      </c>
      <c r="BQ13" s="17">
        <f>'[1]资源-木石铜粮'!W13</f>
        <v>2860272.4893781701</v>
      </c>
      <c r="BR13" s="17">
        <f>'[1]资源-木石铜粮'!X13</f>
        <v>2676806.0719852448</v>
      </c>
      <c r="BS13" s="17">
        <f>'[1]资源-木石铜粮'!Y13</f>
        <v>2387744.9878817946</v>
      </c>
      <c r="BV13" s="49">
        <v>8</v>
      </c>
      <c r="BW13" s="47">
        <f>'[1]功能-城建'!EQ11+[1]养成buff汇总!H13+'[1]功能-采集'!BS12+[2]产出汇总!AY13+[1]养成buff汇总!GY13</f>
        <v>632535.63453993585</v>
      </c>
      <c r="BX13" s="47">
        <f>'[1]功能-城建'!ER11+[1]养成buff汇总!I13+'[1]功能-采集'!BT12+[2]产出汇总!AZ13+[1]养成buff汇总!GZ13</f>
        <v>549449.39551850478</v>
      </c>
      <c r="BY13" s="47">
        <f>'[1]功能-城建'!ES11+[1]养成buff汇总!J13+'[1]功能-采集'!BU12+[2]产出汇总!BA13+[1]养成buff汇总!HA13</f>
        <v>476789.21446711017</v>
      </c>
      <c r="BZ13" s="47">
        <f>'[1]功能-城建'!ET11+[1]养成buff汇总!K13+'[1]功能-采集'!BV12+[2]产出汇总!BB13+[1]养成buff汇总!HB13</f>
        <v>376404.22865744599</v>
      </c>
      <c r="CA13" s="47">
        <f>'[1]功能-城建'!EU11+[1]养成buff汇总!L13+'[1]功能-采集'!BW12+[2]产出汇总!BC13+[1]养成buff汇总!HC13</f>
        <v>270095.74799144862</v>
      </c>
      <c r="CD13" s="49">
        <v>8</v>
      </c>
      <c r="CE13" s="44">
        <f>'[1]资源-铁'!T13</f>
        <v>0</v>
      </c>
      <c r="CF13" s="44">
        <f>'[1]资源-铁'!U13</f>
        <v>0</v>
      </c>
      <c r="CG13" s="44">
        <f>'[1]资源-铁'!V13</f>
        <v>0</v>
      </c>
      <c r="CH13" s="44">
        <f>'[1]资源-铁'!W13</f>
        <v>0</v>
      </c>
      <c r="CI13" s="44">
        <f>'[1]资源-铁'!X13</f>
        <v>0</v>
      </c>
      <c r="CL13" s="49">
        <v>8</v>
      </c>
      <c r="CM13" s="44">
        <f>'[1]功能-城建'!HF11+[1]养成buff汇总!S13+'[1]功能-采集'!BX12</f>
        <v>0</v>
      </c>
      <c r="CN13" s="44">
        <f>'[1]功能-城建'!HG11+[1]养成buff汇总!T13+'[1]功能-采集'!BY12</f>
        <v>0</v>
      </c>
      <c r="CO13" s="44">
        <f>'[1]功能-城建'!HH11+[1]养成buff汇总!U13+'[1]功能-采集'!BZ12</f>
        <v>0</v>
      </c>
      <c r="CP13" s="44">
        <f>'[1]功能-城建'!HI11+[1]养成buff汇总!V13+'[1]功能-采集'!CA12</f>
        <v>0</v>
      </c>
      <c r="CQ13" s="44">
        <f>'[1]功能-城建'!HJ11+[1]养成buff汇总!W13+'[1]功能-采集'!CB12</f>
        <v>0</v>
      </c>
      <c r="CT13" s="49">
        <v>8</v>
      </c>
      <c r="CU13" s="17">
        <f>'[1]资源-玩家城池建筑时间'!AJ13+CU12</f>
        <v>240579.60608395078</v>
      </c>
      <c r="CV13" s="17">
        <f>'[1]资源-玩家城池建筑时间'!AK13+CV12</f>
        <v>262909.61454759381</v>
      </c>
      <c r="CW13" s="17">
        <f>'[1]资源-玩家城池建筑时间'!AL13+CW12</f>
        <v>287045.73731813999</v>
      </c>
      <c r="CX13" s="17">
        <f>'[1]资源-玩家城池建筑时间'!AM13+CX12</f>
        <v>314985.54705825646</v>
      </c>
      <c r="CY13" s="17">
        <f>'[1]资源-玩家城池建筑时间'!AN13+CY12</f>
        <v>349636.08668280509</v>
      </c>
      <c r="DB13" s="49">
        <v>8</v>
      </c>
      <c r="DC13" s="17">
        <f>'[1]资源-士兵训练时间'!U13</f>
        <v>30430.279523184498</v>
      </c>
      <c r="DD13" s="17">
        <f>'[1]资源-士兵训练时间'!V13</f>
        <v>43092.38117407581</v>
      </c>
      <c r="DE13" s="17">
        <f>'[1]资源-士兵训练时间'!W13</f>
        <v>57538.231228878321</v>
      </c>
      <c r="DF13" s="17">
        <f>'[1]资源-士兵训练时间'!X13</f>
        <v>74147.744260528663</v>
      </c>
      <c r="DG13" s="17">
        <f>'[1]资源-士兵训练时间'!Y13</f>
        <v>106871.1737064859</v>
      </c>
    </row>
    <row r="14" spans="2:111" x14ac:dyDescent="0.15">
      <c r="B14" s="23">
        <v>11</v>
      </c>
      <c r="C14" s="24">
        <f>'[1]资源-钻石'!L14</f>
        <v>15725.775928915169</v>
      </c>
      <c r="D14" s="24">
        <f>'[1]资源-钻石'!M14</f>
        <v>19167.803484538697</v>
      </c>
      <c r="E14" s="24">
        <f>'[1]资源-钻石'!N14</f>
        <v>24667.908139143787</v>
      </c>
      <c r="F14" s="24">
        <f>'[1]资源-钻石'!O14</f>
        <v>44364.459441276151</v>
      </c>
      <c r="G14" s="24">
        <f>'[1]资源-钻石'!P14</f>
        <v>56779.033521304897</v>
      </c>
      <c r="I14" s="23">
        <v>11</v>
      </c>
      <c r="J14" s="24">
        <f>'[1]资源-钻石'!T14</f>
        <v>88418.351432378433</v>
      </c>
      <c r="K14" s="24">
        <f>'[1]资源-钻石'!U14</f>
        <v>119580.18657561627</v>
      </c>
      <c r="L14" s="24">
        <f>'[1]资源-钻石'!V14</f>
        <v>190686.20523317793</v>
      </c>
      <c r="M14" s="24">
        <f>'[1]资源-钻石'!W14</f>
        <v>475734.8257564957</v>
      </c>
      <c r="N14" s="24">
        <f>'[1]资源-钻石'!X14</f>
        <v>1105953.3083321452</v>
      </c>
      <c r="P14" s="28">
        <v>11</v>
      </c>
      <c r="Q14" s="28">
        <f>'[1]功能-行军令'!N14</f>
        <v>52.603158553338972</v>
      </c>
      <c r="R14" s="28">
        <f>'[1]功能-行军令'!O14</f>
        <v>65.684306183936783</v>
      </c>
      <c r="S14" s="28">
        <f>'[1]功能-行军令'!P14</f>
        <v>72.302812722179397</v>
      </c>
      <c r="T14" s="28">
        <f>'[1]功能-行军令'!Q14</f>
        <v>59.304915307726851</v>
      </c>
      <c r="U14" s="28">
        <f>'[1]功能-行军令'!R14</f>
        <v>32.720765585871938</v>
      </c>
      <c r="V14" s="28">
        <f>'[1]功能-行军令'!S14</f>
        <v>6.6031585533389716</v>
      </c>
      <c r="W14" s="28">
        <f>'[1]功能-行军令'!T14</f>
        <v>8.412706183936784</v>
      </c>
      <c r="X14" s="28">
        <f>'[1]功能-行军令'!U14</f>
        <v>9.5583127221793944</v>
      </c>
      <c r="Y14" s="28">
        <f>'[1]功能-行军令'!V14</f>
        <v>7.825515307726846</v>
      </c>
      <c r="Z14" s="28">
        <f>'[1]功能-行军令'!W14</f>
        <v>4.5811655858719362</v>
      </c>
      <c r="AC14" s="30">
        <v>11</v>
      </c>
      <c r="AD14" s="41">
        <f>'[1]功能-实力'!BE15</f>
        <v>139575</v>
      </c>
      <c r="AE14" s="41">
        <f>'[1]功能-实力'!BF15</f>
        <v>143025</v>
      </c>
      <c r="AF14" s="41">
        <f>'[1]功能-实力'!BG15</f>
        <v>149780</v>
      </c>
      <c r="AG14" s="41">
        <f>'[1]功能-实力'!BH15</f>
        <v>160330</v>
      </c>
      <c r="AH14" s="41">
        <f>'[1]功能-实力'!BI15</f>
        <v>166520</v>
      </c>
      <c r="AL14" s="37">
        <f>[3]基础状态预期!C24</f>
        <v>40</v>
      </c>
      <c r="AM14" s="37">
        <f>[3]基础状态预期!D24</f>
        <v>53.567039423670657</v>
      </c>
      <c r="AO14" s="37">
        <f>[3]基础状态预期!F24</f>
        <v>0</v>
      </c>
      <c r="AP14" s="37">
        <f>[3]基础状态预期!G24</f>
        <v>0</v>
      </c>
      <c r="AQ14" s="37">
        <f>[3]基础状态预期!H24</f>
        <v>0</v>
      </c>
      <c r="AR14" s="37">
        <f>[3]基础状态预期!I24</f>
        <v>5</v>
      </c>
      <c r="AS14" s="37">
        <f>[3]基础状态预期!J24</f>
        <v>1</v>
      </c>
      <c r="AW14" s="32">
        <v>8</v>
      </c>
      <c r="AX14" s="32">
        <f>[1]节奏总纲!BJ11</f>
        <v>1.1000000000000003</v>
      </c>
      <c r="AY14" s="32">
        <f>[1]节奏总纲!BK11</f>
        <v>1.1220000000000003</v>
      </c>
      <c r="AZ14" s="32">
        <f>[1]节奏总纲!BL11</f>
        <v>1.1660000000000004</v>
      </c>
      <c r="BA14" s="32">
        <f>[1]节奏总纲!BM11</f>
        <v>1.2540000000000002</v>
      </c>
      <c r="BB14" s="32">
        <f>[1]节奏总纲!BN11</f>
        <v>1.5400000000000003</v>
      </c>
      <c r="BF14" s="42">
        <f>'[1]功能-行军令'!FZ12</f>
        <v>8</v>
      </c>
      <c r="BG14" s="42">
        <f>'[1]功能-行军令'!GA12*'[1]功能-行军令'!GB12</f>
        <v>34.000323345527342</v>
      </c>
      <c r="BN14" s="49">
        <v>9</v>
      </c>
      <c r="BO14" s="17">
        <f>'[1]资源-木石铜粮'!U14</f>
        <v>3107031.8737523761</v>
      </c>
      <c r="BP14" s="17">
        <f>'[1]资源-木石铜粮'!V14</f>
        <v>3330213.0067997505</v>
      </c>
      <c r="BQ14" s="17">
        <f>'[1]资源-木石铜粮'!W14</f>
        <v>3421185.9965720116</v>
      </c>
      <c r="BR14" s="17">
        <f>'[1]资源-木石铜粮'!X14</f>
        <v>3188264.2119569322</v>
      </c>
      <c r="BS14" s="17">
        <f>'[1]资源-木石铜粮'!Y14</f>
        <v>2795454.283229358</v>
      </c>
      <c r="BV14" s="49">
        <v>9</v>
      </c>
      <c r="BW14" s="47">
        <f>'[1]功能-城建'!EQ12+[1]养成buff汇总!H14+'[1]功能-采集'!BS13+[2]产出汇总!AY14+[1]养成buff汇总!GY14</f>
        <v>811129.86003007495</v>
      </c>
      <c r="BX14" s="47">
        <f>'[1]功能-城建'!ER12+[1]养成buff汇总!I14+'[1]功能-采集'!BT13+[2]产出汇总!AZ14+[1]养成buff汇总!GZ14</f>
        <v>699573.80352840852</v>
      </c>
      <c r="BY14" s="47">
        <f>'[1]功能-城建'!ES12+[1]养成buff汇总!J14+'[1]功能-采集'!BU13+[2]产出汇总!BA14+[1]养成buff汇总!HA14</f>
        <v>610010.36740534869</v>
      </c>
      <c r="BZ14" s="47">
        <f>'[1]功能-城建'!ET12+[1]养成buff汇总!K14+'[1]功能-采集'!BV13+[2]产出汇总!BB14+[1]养成buff汇总!HB14</f>
        <v>483110.43783222407</v>
      </c>
      <c r="CA14" s="47">
        <f>'[1]功能-城建'!EU12+[1]养成buff汇总!L14+'[1]功能-采集'!BW13+[2]产出汇总!BC14+[1]养成buff汇总!HC14</f>
        <v>344039.34370517416</v>
      </c>
      <c r="CD14" s="49">
        <v>9</v>
      </c>
      <c r="CE14" s="44">
        <f>'[1]资源-铁'!T14</f>
        <v>0</v>
      </c>
      <c r="CF14" s="44">
        <f>'[1]资源-铁'!U14</f>
        <v>0</v>
      </c>
      <c r="CG14" s="44">
        <f>'[1]资源-铁'!V14</f>
        <v>0</v>
      </c>
      <c r="CH14" s="44">
        <f>'[1]资源-铁'!W14</f>
        <v>0</v>
      </c>
      <c r="CI14" s="44">
        <f>'[1]资源-铁'!X14</f>
        <v>0</v>
      </c>
      <c r="CL14" s="49">
        <v>9</v>
      </c>
      <c r="CM14" s="44">
        <f>'[1]功能-城建'!HF12+[1]养成buff汇总!S14+'[1]功能-采集'!BX13</f>
        <v>0</v>
      </c>
      <c r="CN14" s="44">
        <f>'[1]功能-城建'!HG12+[1]养成buff汇总!T14+'[1]功能-采集'!BY13</f>
        <v>0</v>
      </c>
      <c r="CO14" s="44">
        <f>'[1]功能-城建'!HH12+[1]养成buff汇总!U14+'[1]功能-采集'!BZ13</f>
        <v>0</v>
      </c>
      <c r="CP14" s="44">
        <f>'[1]功能-城建'!HI12+[1]养成buff汇总!V14+'[1]功能-采集'!CA13</f>
        <v>0</v>
      </c>
      <c r="CQ14" s="44">
        <f>'[1]功能-城建'!HJ12+[1]养成buff汇总!W14+'[1]功能-采集'!CB13</f>
        <v>0</v>
      </c>
      <c r="CT14" s="49">
        <v>9</v>
      </c>
      <c r="CU14" s="17">
        <f>'[1]资源-玩家城池建筑时间'!AJ14+CU13</f>
        <v>297597.75215366425</v>
      </c>
      <c r="CV14" s="17">
        <f>'[1]资源-玩家城池建筑时间'!AK14+CV13</f>
        <v>322328.48655018152</v>
      </c>
      <c r="CW14" s="17">
        <f>'[1]资源-玩家城池建筑时间'!AL14+CW13</f>
        <v>353982.99818440992</v>
      </c>
      <c r="CX14" s="17">
        <f>'[1]资源-玩家城池建筑时间'!AM14+CX13</f>
        <v>392980.36945984158</v>
      </c>
      <c r="CY14" s="17">
        <f>'[1]资源-玩家城池建筑时间'!AN14+CY13</f>
        <v>435852.75626168109</v>
      </c>
      <c r="DB14" s="49">
        <v>9</v>
      </c>
      <c r="DC14" s="17">
        <f>'[1]资源-士兵训练时间'!U14</f>
        <v>35486.348554970114</v>
      </c>
      <c r="DD14" s="17">
        <f>'[1]资源-士兵训练时间'!V14</f>
        <v>50325.720087114954</v>
      </c>
      <c r="DE14" s="17">
        <f>'[1]资源-士兵训练时间'!W14</f>
        <v>67401.298399963227</v>
      </c>
      <c r="DF14" s="17">
        <f>'[1]资源-士兵训练时间'!X14</f>
        <v>87414.246866973699</v>
      </c>
      <c r="DG14" s="17">
        <f>'[1]资源-士兵训练时间'!Y14</f>
        <v>126190.87451349982</v>
      </c>
    </row>
    <row r="15" spans="2:111" x14ac:dyDescent="0.15">
      <c r="B15" s="23">
        <v>12</v>
      </c>
      <c r="C15" s="24">
        <f>'[1]资源-钻石'!L15</f>
        <v>17037.829396019915</v>
      </c>
      <c r="D15" s="24">
        <f>'[1]资源-钻石'!M15</f>
        <v>20824.769502841144</v>
      </c>
      <c r="E15" s="24">
        <f>'[1]资源-钻石'!N15</f>
        <v>28123.615973781823</v>
      </c>
      <c r="F15" s="24">
        <f>'[1]资源-钻石'!O15</f>
        <v>51022.905619408179</v>
      </c>
      <c r="G15" s="24">
        <f>'[1]资源-钻石'!P15</f>
        <v>65345.478881650473</v>
      </c>
      <c r="I15" s="23">
        <v>12</v>
      </c>
      <c r="J15" s="24">
        <f>'[1]资源-钻石'!T15</f>
        <v>94105.323218669597</v>
      </c>
      <c r="K15" s="24">
        <f>'[1]资源-钻石'!U15</f>
        <v>127635.85554053658</v>
      </c>
      <c r="L15" s="24">
        <f>'[1]资源-钻石'!V15</f>
        <v>204317.44109459023</v>
      </c>
      <c r="M15" s="24">
        <f>'[1]资源-钻石'!W15</f>
        <v>512179.18520404928</v>
      </c>
      <c r="N15" s="24">
        <f>'[1]资源-钻石'!X15</f>
        <v>1193029.6037244541</v>
      </c>
      <c r="P15" s="28">
        <v>12</v>
      </c>
      <c r="Q15" s="28">
        <f>'[1]功能-行军令'!N15</f>
        <v>59.680248659727226</v>
      </c>
      <c r="R15" s="28">
        <f>'[1]功能-行军令'!O15</f>
        <v>74.54737703889127</v>
      </c>
      <c r="S15" s="28">
        <f>'[1]功能-行军令'!P15</f>
        <v>82.431656845525254</v>
      </c>
      <c r="T15" s="28">
        <f>'[1]功能-行军令'!Q15</f>
        <v>68.205701920440248</v>
      </c>
      <c r="U15" s="28">
        <f>'[1]功能-行军令'!R15</f>
        <v>37.657458466261879</v>
      </c>
      <c r="V15" s="28">
        <f>'[1]功能-行军令'!S15</f>
        <v>7.0770901063882548</v>
      </c>
      <c r="W15" s="28">
        <f>'[1]功能-行军令'!T15</f>
        <v>8.8630708549544863</v>
      </c>
      <c r="X15" s="28">
        <f>'[1]功能-行军令'!U15</f>
        <v>10.128844123345857</v>
      </c>
      <c r="Y15" s="28">
        <f>'[1]功能-行军令'!V15</f>
        <v>8.9007866127133966</v>
      </c>
      <c r="Z15" s="28">
        <f>'[1]功能-行军令'!W15</f>
        <v>4.9366928803899413</v>
      </c>
      <c r="AC15" s="30">
        <v>12</v>
      </c>
      <c r="AD15" s="41">
        <f>'[1]功能-实力'!BE16</f>
        <v>151335</v>
      </c>
      <c r="AE15" s="41">
        <f>'[1]功能-实力'!BF16</f>
        <v>155545</v>
      </c>
      <c r="AF15" s="41">
        <f>'[1]功能-实力'!BG16</f>
        <v>162445</v>
      </c>
      <c r="AG15" s="41">
        <f>'[1]功能-实力'!BH16</f>
        <v>174130</v>
      </c>
      <c r="AH15" s="41">
        <f>'[1]功能-实力'!BI16</f>
        <v>181420</v>
      </c>
      <c r="AL15" s="37">
        <f>[3]基础状态预期!C25</f>
        <v>60</v>
      </c>
      <c r="AM15" s="37">
        <f>[3]基础状态预期!D25</f>
        <v>59.300028460644697</v>
      </c>
      <c r="AO15" s="37">
        <f>[3]基础状态预期!F25</f>
        <v>0</v>
      </c>
      <c r="AP15" s="37">
        <f>[3]基础状态预期!G25</f>
        <v>0</v>
      </c>
      <c r="AQ15" s="37">
        <f>[3]基础状态预期!H25</f>
        <v>0</v>
      </c>
      <c r="AR15" s="37">
        <f>[3]基础状态预期!I25</f>
        <v>4</v>
      </c>
      <c r="AS15" s="37">
        <f>[3]基础状态预期!J25</f>
        <v>2</v>
      </c>
      <c r="AW15" s="32">
        <v>9</v>
      </c>
      <c r="AX15" s="32">
        <f>[1]节奏总纲!BJ12</f>
        <v>1.1333333333333337</v>
      </c>
      <c r="AY15" s="32">
        <f>[1]节奏总纲!BK12</f>
        <v>1.1560000000000004</v>
      </c>
      <c r="AZ15" s="32">
        <f>[1]节奏总纲!BL12</f>
        <v>1.2013333333333338</v>
      </c>
      <c r="BA15" s="32">
        <f>[1]节奏总纲!BM12</f>
        <v>1.2920000000000003</v>
      </c>
      <c r="BB15" s="32">
        <f>[1]节奏总纲!BN12</f>
        <v>1.5866666666666671</v>
      </c>
      <c r="BF15" s="42">
        <f>'[1]功能-行军令'!FZ13</f>
        <v>9</v>
      </c>
      <c r="BG15" s="42">
        <f>'[1]功能-行军令'!GA13*'[1]功能-行军令'!GB13</f>
        <v>35.700339512803708</v>
      </c>
      <c r="BN15" s="49">
        <v>10</v>
      </c>
      <c r="BO15" s="17">
        <f>'[1]资源-木石铜粮'!U15</f>
        <v>3918836.9064145889</v>
      </c>
      <c r="BP15" s="17">
        <f>'[1]资源-木石铜粮'!V15</f>
        <v>4255854.3814092372</v>
      </c>
      <c r="BQ15" s="17">
        <f>'[1]资源-木石铜粮'!W15</f>
        <v>4531072.0468785567</v>
      </c>
      <c r="BR15" s="17">
        <f>'[1]资源-木石铜粮'!X15</f>
        <v>4147937.7414751439</v>
      </c>
      <c r="BS15" s="17">
        <f>'[1]资源-木石铜粮'!Y15</f>
        <v>3566332.9112964026</v>
      </c>
      <c r="BV15" s="49">
        <v>10</v>
      </c>
      <c r="BW15" s="47">
        <f>'[1]功能-城建'!EQ13+[1]养成buff汇总!H15+'[1]功能-采集'!BS14+[2]产出汇总!AY15+[1]养成buff汇总!GY15</f>
        <v>1015138.1207608276</v>
      </c>
      <c r="BX15" s="47">
        <f>'[1]功能-城建'!ER13+[1]养成buff汇总!I15+'[1]功能-采集'!BT14+[2]产出汇总!AZ15+[1]养成buff汇总!GZ15</f>
        <v>876721.36178456375</v>
      </c>
      <c r="BY15" s="47">
        <f>'[1]功能-城建'!ES13+[1]养成buff汇总!J15+'[1]功能-采集'!BU14+[2]产出汇总!BA15+[1]养成buff汇总!HA15</f>
        <v>766107.15289223392</v>
      </c>
      <c r="BZ15" s="47">
        <f>'[1]功能-城建'!ET13+[1]养成buff汇总!K15+'[1]功能-采集'!BV14+[2]产出汇总!BB15+[1]养成buff汇总!HB15</f>
        <v>606279.365362896</v>
      </c>
      <c r="CA15" s="47">
        <f>'[1]功能-城建'!EU13+[1]养成buff汇总!L15+'[1]功能-采集'!BW14+[2]产出汇总!BC15+[1]养成buff汇总!HC15</f>
        <v>431971.92533401115</v>
      </c>
      <c r="CD15" s="49">
        <v>10</v>
      </c>
      <c r="CE15" s="44">
        <f>'[1]资源-铁'!T15</f>
        <v>0</v>
      </c>
      <c r="CF15" s="44">
        <f>'[1]资源-铁'!U15</f>
        <v>0</v>
      </c>
      <c r="CG15" s="44">
        <f>'[1]资源-铁'!V15</f>
        <v>0</v>
      </c>
      <c r="CH15" s="44">
        <f>'[1]资源-铁'!W15</f>
        <v>0</v>
      </c>
      <c r="CI15" s="44">
        <f>'[1]资源-铁'!X15</f>
        <v>0</v>
      </c>
      <c r="CL15" s="49">
        <v>10</v>
      </c>
      <c r="CM15" s="44">
        <f>'[1]功能-城建'!HF13+[1]养成buff汇总!S15+'[1]功能-采集'!BX14</f>
        <v>0</v>
      </c>
      <c r="CN15" s="44">
        <f>'[1]功能-城建'!HG13+[1]养成buff汇总!T15+'[1]功能-采集'!BY14</f>
        <v>0</v>
      </c>
      <c r="CO15" s="44">
        <f>'[1]功能-城建'!HH13+[1]养成buff汇总!U15+'[1]功能-采集'!BZ14</f>
        <v>0</v>
      </c>
      <c r="CP15" s="44">
        <f>'[1]功能-城建'!HI13+[1]养成buff汇总!V15+'[1]功能-采集'!CA14</f>
        <v>0</v>
      </c>
      <c r="CQ15" s="44">
        <f>'[1]功能-城建'!HJ13+[1]养成buff汇总!W15+'[1]功能-采集'!CB14</f>
        <v>0</v>
      </c>
      <c r="CT15" s="49">
        <v>10</v>
      </c>
      <c r="CU15" s="17">
        <f>'[1]资源-玩家城池建筑时间'!AJ15+CU14</f>
        <v>359733.97322123556</v>
      </c>
      <c r="CV15" s="17">
        <f>'[1]资源-玩家城池建筑时间'!AK15+CV14</f>
        <v>392663.83126935881</v>
      </c>
      <c r="CW15" s="17">
        <f>'[1]资源-玩家城池建筑时间'!AL15+CW14</f>
        <v>431442.54488320719</v>
      </c>
      <c r="CX15" s="17">
        <f>'[1]资源-玩家城池建筑时间'!AM15+CX14</f>
        <v>466615.02438315394</v>
      </c>
      <c r="CY15" s="17">
        <f>'[1]资源-玩家城池建筑时间'!AN15+CY14</f>
        <v>506507.03279421723</v>
      </c>
      <c r="DB15" s="49">
        <v>10</v>
      </c>
      <c r="DC15" s="17">
        <f>'[1]资源-士兵训练时间'!U15</f>
        <v>40922.469586145067</v>
      </c>
      <c r="DD15" s="17">
        <f>'[1]资源-士兵训练时间'!V15</f>
        <v>58240.814409154846</v>
      </c>
      <c r="DE15" s="17">
        <f>'[1]资源-士兵训练时间'!W15</f>
        <v>78214.40142924161</v>
      </c>
      <c r="DF15" s="17">
        <f>'[1]资源-士兵训练时间'!X15</f>
        <v>100717.2870526905</v>
      </c>
      <c r="DG15" s="17">
        <f>'[1]资源-士兵训练时间'!Y15</f>
        <v>144792.16193107751</v>
      </c>
    </row>
    <row r="16" spans="2:111" x14ac:dyDescent="0.15">
      <c r="B16" s="23">
        <v>13</v>
      </c>
      <c r="C16" s="24">
        <f>'[1]资源-钻石'!L16</f>
        <v>18444.053483491516</v>
      </c>
      <c r="D16" s="24">
        <f>'[1]资源-钻石'!M16</f>
        <v>22522.006711170776</v>
      </c>
      <c r="E16" s="24">
        <f>'[1]资源-钻石'!N16</f>
        <v>31562.879574472841</v>
      </c>
      <c r="F16" s="24">
        <f>'[1]资源-钻石'!O16</f>
        <v>58217.473212307872</v>
      </c>
      <c r="G16" s="24">
        <f>'[1]资源-钻石'!P16</f>
        <v>74826.645059076924</v>
      </c>
      <c r="I16" s="23">
        <v>13</v>
      </c>
      <c r="J16" s="24">
        <f>'[1]资源-钻石'!T16</f>
        <v>99792.295004960775</v>
      </c>
      <c r="K16" s="24">
        <f>'[1]资源-钻石'!U16</f>
        <v>135691.52450545688</v>
      </c>
      <c r="L16" s="24">
        <f>'[1]资源-钻石'!V16</f>
        <v>217948.67695600254</v>
      </c>
      <c r="M16" s="24">
        <f>'[1]资源-钻石'!W16</f>
        <v>548623.54465160286</v>
      </c>
      <c r="N16" s="24">
        <f>'[1]资源-钻石'!X16</f>
        <v>1280105.8991167631</v>
      </c>
      <c r="P16" s="28">
        <v>13</v>
      </c>
      <c r="Q16" s="28">
        <f>'[1]功能-行军令'!N16</f>
        <v>67.265286027732301</v>
      </c>
      <c r="R16" s="28">
        <f>'[1]功能-行军令'!O16</f>
        <v>84.609786258865753</v>
      </c>
      <c r="S16" s="28">
        <f>'[1]功能-行军令'!P16</f>
        <v>93.680071393057432</v>
      </c>
      <c r="T16" s="28">
        <f>'[1]功能-行军令'!Q16</f>
        <v>77.82315758531557</v>
      </c>
      <c r="U16" s="28">
        <f>'[1]功能-行军令'!R16</f>
        <v>43.121288981373802</v>
      </c>
      <c r="V16" s="28">
        <f>'[1]功能-行军令'!S16</f>
        <v>7.5850373680050751</v>
      </c>
      <c r="W16" s="28">
        <f>'[1]功能-行军令'!T16</f>
        <v>10.062409219974484</v>
      </c>
      <c r="X16" s="28">
        <f>'[1]功能-行军令'!U16</f>
        <v>11.248414547532178</v>
      </c>
      <c r="Y16" s="28">
        <f>'[1]功能-行军令'!V16</f>
        <v>9.6174556648753224</v>
      </c>
      <c r="Z16" s="28">
        <f>'[1]功能-行军令'!W16</f>
        <v>5.4638305151119226</v>
      </c>
      <c r="AC16" s="30">
        <v>13</v>
      </c>
      <c r="AD16" s="41">
        <f>'[1]功能-实力'!BE17</f>
        <v>163705</v>
      </c>
      <c r="AE16" s="41">
        <f>'[1]功能-实力'!BF17</f>
        <v>168280</v>
      </c>
      <c r="AF16" s="41">
        <f>'[1]功能-实力'!BG17</f>
        <v>176240</v>
      </c>
      <c r="AG16" s="41">
        <f>'[1]功能-实力'!BH17</f>
        <v>188405</v>
      </c>
      <c r="AH16" s="41">
        <f>'[1]功能-实力'!BI17</f>
        <v>196955</v>
      </c>
      <c r="AL16" s="37">
        <f>[3]基础状态预期!C26</f>
        <v>90</v>
      </c>
      <c r="AM16" s="37">
        <f>[3]基础状态预期!D26</f>
        <v>65.075479910097457</v>
      </c>
      <c r="AO16" s="37">
        <f>[3]基础状态预期!F26</f>
        <v>0</v>
      </c>
      <c r="AP16" s="37">
        <f>[3]基础状态预期!G26</f>
        <v>0</v>
      </c>
      <c r="AQ16" s="37">
        <f>[3]基础状态预期!H26</f>
        <v>0</v>
      </c>
      <c r="AR16" s="37">
        <f>[3]基础状态预期!I26</f>
        <v>3</v>
      </c>
      <c r="AS16" s="37">
        <f>[3]基础状态预期!J26</f>
        <v>3</v>
      </c>
      <c r="AW16" s="32">
        <v>10</v>
      </c>
      <c r="AX16" s="32">
        <f>[1]节奏总纲!BJ13</f>
        <v>1.1666666666666672</v>
      </c>
      <c r="AY16" s="32">
        <f>[1]节奏总纲!BK13</f>
        <v>1.1900000000000006</v>
      </c>
      <c r="AZ16" s="32">
        <f>[1]节奏总纲!BL13</f>
        <v>1.2366666666666672</v>
      </c>
      <c r="BA16" s="32">
        <f>[1]节奏总纲!BM13</f>
        <v>1.3300000000000005</v>
      </c>
      <c r="BB16" s="32">
        <f>[1]节奏总纲!BN13</f>
        <v>1.633333333333334</v>
      </c>
      <c r="BF16" s="42">
        <f>'[1]功能-行军令'!FZ14</f>
        <v>10</v>
      </c>
      <c r="BG16" s="42">
        <f>'[1]功能-行军令'!GA14*'[1]功能-行军令'!GB14</f>
        <v>37.485356488443898</v>
      </c>
      <c r="BN16" s="49">
        <v>11</v>
      </c>
      <c r="BO16" s="17">
        <f>'[1]资源-木石铜粮'!U16</f>
        <v>4576303.0952811129</v>
      </c>
      <c r="BP16" s="17">
        <f>'[1]资源-木石铜粮'!V16</f>
        <v>5038081.0433769822</v>
      </c>
      <c r="BQ16" s="17">
        <f>'[1]资源-木石铜粮'!W16</f>
        <v>5557106.5606895592</v>
      </c>
      <c r="BR16" s="17">
        <f>'[1]资源-木石铜粮'!X16</f>
        <v>4971930.1133009391</v>
      </c>
      <c r="BS16" s="17">
        <f>'[1]资源-木石铜粮'!Y16</f>
        <v>4155278.1620977898</v>
      </c>
      <c r="BV16" s="49">
        <v>11</v>
      </c>
      <c r="BW16" s="47">
        <f>'[1]功能-城建'!EQ14+[1]养成buff汇总!H16+'[1]功能-采集'!BS15+[2]产出汇总!AY16+[1]养成buff汇总!GY16</f>
        <v>1246250.671122273</v>
      </c>
      <c r="BX16" s="47">
        <f>'[1]功能-城建'!ER14+[1]养成buff汇总!I16+'[1]功能-采集'!BT15+[2]产出汇总!AZ16+[1]养成buff汇总!GZ16</f>
        <v>1076329.8096278915</v>
      </c>
      <c r="BY16" s="47">
        <f>'[1]功能-城建'!ES14+[1]养成buff汇总!J16+'[1]功能-采集'!BU15+[2]产出汇总!BA16+[1]养成buff汇总!HA16</f>
        <v>947838.10049029207</v>
      </c>
      <c r="BZ16" s="47">
        <f>'[1]功能-城建'!ET14+[1]养成buff汇总!K16+'[1]功能-采集'!BV15+[2]产出汇总!BB16+[1]养成buff汇总!HB16</f>
        <v>744473.07831705851</v>
      </c>
      <c r="CA16" s="47">
        <f>'[1]功能-城建'!EU14+[1]养成buff汇总!L16+'[1]功能-采集'!BW15+[2]产出汇总!BC16+[1]养成buff汇总!HC16</f>
        <v>534221.35621553101</v>
      </c>
      <c r="CD16" s="49">
        <v>11</v>
      </c>
      <c r="CE16" s="44">
        <f>'[1]资源-铁'!T16</f>
        <v>0</v>
      </c>
      <c r="CF16" s="44">
        <f>'[1]资源-铁'!U16</f>
        <v>0</v>
      </c>
      <c r="CG16" s="44">
        <f>'[1]资源-铁'!V16</f>
        <v>0</v>
      </c>
      <c r="CH16" s="44">
        <f>'[1]资源-铁'!W16</f>
        <v>0</v>
      </c>
      <c r="CI16" s="44">
        <f>'[1]资源-铁'!X16</f>
        <v>0</v>
      </c>
      <c r="CL16" s="49">
        <v>11</v>
      </c>
      <c r="CM16" s="44">
        <f>'[1]功能-城建'!HF14+[1]养成buff汇总!S16+'[1]功能-采集'!BX15</f>
        <v>0</v>
      </c>
      <c r="CN16" s="44">
        <f>'[1]功能-城建'!HG14+[1]养成buff汇总!T16+'[1]功能-采集'!BY15</f>
        <v>0</v>
      </c>
      <c r="CO16" s="44">
        <f>'[1]功能-城建'!HH14+[1]养成buff汇总!U16+'[1]功能-采集'!BZ15</f>
        <v>0</v>
      </c>
      <c r="CP16" s="44">
        <f>'[1]功能-城建'!HI14+[1]养成buff汇总!V16+'[1]功能-采集'!CA15</f>
        <v>0</v>
      </c>
      <c r="CQ16" s="44">
        <f>'[1]功能-城建'!HJ14+[1]养成buff汇总!W16+'[1]功能-采集'!CB15</f>
        <v>0</v>
      </c>
      <c r="CT16" s="49">
        <v>11</v>
      </c>
      <c r="CU16" s="17">
        <f>'[1]资源-玩家城池建筑时间'!AJ16+CU15</f>
        <v>428740.97856262024</v>
      </c>
      <c r="CV16" s="17">
        <f>'[1]资源-玩家城池建筑时间'!AK16+CV15</f>
        <v>458380.99662206217</v>
      </c>
      <c r="CW16" s="17">
        <f>'[1]资源-玩家城池建筑时间'!AL16+CW15</f>
        <v>492203.21017938823</v>
      </c>
      <c r="CX16" s="17">
        <f>'[1]资源-玩家城池建筑时间'!AM16+CX15</f>
        <v>531593.42126059392</v>
      </c>
      <c r="CY16" s="17">
        <f>'[1]资源-玩家城池建筑时间'!AN16+CY15</f>
        <v>582180.69594641915</v>
      </c>
      <c r="DB16" s="49">
        <v>11</v>
      </c>
      <c r="DC16" s="17">
        <f>'[1]资源-士兵训练时间'!U16</f>
        <v>46702.362887611627</v>
      </c>
      <c r="DD16" s="17">
        <f>'[1]资源-士兵训练时间'!V16</f>
        <v>66060.963864065387</v>
      </c>
      <c r="DE16" s="17">
        <f>'[1]资源-士兵训练时间'!W16</f>
        <v>88141.479382047459</v>
      </c>
      <c r="DF16" s="17">
        <f>'[1]资源-士兵训练时间'!X16</f>
        <v>115184.35705915635</v>
      </c>
      <c r="DG16" s="17">
        <f>'[1]资源-士兵训练时间'!Y16</f>
        <v>181783.35601381876</v>
      </c>
    </row>
    <row r="17" spans="2:111" x14ac:dyDescent="0.15">
      <c r="B17" s="23">
        <v>14</v>
      </c>
      <c r="C17" s="24">
        <f>'[1]资源-钻石'!L17</f>
        <v>19951.207142822892</v>
      </c>
      <c r="D17" s="24">
        <f>'[1]资源-钻石'!M17</f>
        <v>24226.400853233896</v>
      </c>
      <c r="E17" s="24">
        <f>'[1]资源-钻石'!N17</f>
        <v>33754.012743783525</v>
      </c>
      <c r="F17" s="24">
        <f>'[1]资源-钻石'!O17</f>
        <v>65190.284290468662</v>
      </c>
      <c r="G17" s="24">
        <f>'[1]资源-钻石'!P17</f>
        <v>83664.864674151788</v>
      </c>
      <c r="I17" s="23">
        <v>14</v>
      </c>
      <c r="J17" s="24">
        <f>'[1]资源-钻石'!T17</f>
        <v>105479.19080652379</v>
      </c>
      <c r="K17" s="24">
        <f>'[1]资源-钻石'!U17</f>
        <v>143733.39073628301</v>
      </c>
      <c r="L17" s="24">
        <f>'[1]资源-钻石'!V17</f>
        <v>231366.41076194652</v>
      </c>
      <c r="M17" s="24">
        <f>'[1]资源-钻石'!W17</f>
        <v>584375.7298543494</v>
      </c>
      <c r="N17" s="24">
        <f>'[1]资源-钻石'!X17</f>
        <v>1365848.7174901336</v>
      </c>
      <c r="P17" s="28">
        <v>14</v>
      </c>
      <c r="Q17" s="28">
        <f>'[1]功能-行军令'!N17</f>
        <v>75.394727791106263</v>
      </c>
      <c r="R17" s="28">
        <f>'[1]功能-行军令'!O17</f>
        <v>94.714626787577259</v>
      </c>
      <c r="S17" s="28">
        <f>'[1]功能-行军令'!P17</f>
        <v>105.06156976741366</v>
      </c>
      <c r="T17" s="28">
        <f>'[1]功能-行军令'!Q17</f>
        <v>87.144176609439413</v>
      </c>
      <c r="U17" s="28">
        <f>'[1]功能-行军令'!R17</f>
        <v>48.214600619248152</v>
      </c>
      <c r="V17" s="28">
        <f>'[1]功能-行军令'!S17</f>
        <v>8.1294417633739613</v>
      </c>
      <c r="W17" s="28">
        <f>'[1]功能-行军令'!T17</f>
        <v>10.104840528711506</v>
      </c>
      <c r="X17" s="28">
        <f>'[1]功能-行军令'!U17</f>
        <v>11.381498374356227</v>
      </c>
      <c r="Y17" s="28">
        <f>'[1]功能-行军令'!V17</f>
        <v>9.3210190241238422</v>
      </c>
      <c r="Z17" s="28">
        <f>'[1]功能-行军令'!W17</f>
        <v>5.0933116378743506</v>
      </c>
      <c r="AC17" s="30">
        <v>14</v>
      </c>
      <c r="AD17" s="41">
        <f>'[1]功能-实力'!BE18</f>
        <v>176570</v>
      </c>
      <c r="AE17" s="41">
        <f>'[1]功能-实力'!BF18</f>
        <v>181520</v>
      </c>
      <c r="AF17" s="41">
        <f>'[1]功能-实力'!BG18</f>
        <v>189810</v>
      </c>
      <c r="AG17" s="41">
        <f>'[1]功能-实力'!BH18</f>
        <v>203045</v>
      </c>
      <c r="AH17" s="41">
        <f>'[1]功能-实力'!BI18</f>
        <v>212530</v>
      </c>
      <c r="AL17" s="37">
        <f>[3]基础状态预期!C27</f>
        <v>120</v>
      </c>
      <c r="AM17" s="37">
        <f>[3]基础状态预期!D27</f>
        <v>69.18336653741882</v>
      </c>
      <c r="AO17" s="37">
        <f>[3]基础状态预期!F27</f>
        <v>0</v>
      </c>
      <c r="AP17" s="37">
        <f>[3]基础状态预期!G27</f>
        <v>0</v>
      </c>
      <c r="AQ17" s="37">
        <f>[3]基础状态预期!H27</f>
        <v>0</v>
      </c>
      <c r="AR17" s="37">
        <f>[3]基础状态预期!I27</f>
        <v>2</v>
      </c>
      <c r="AS17" s="37">
        <f>[3]基础状态预期!J27</f>
        <v>4</v>
      </c>
      <c r="AW17" s="32">
        <v>11</v>
      </c>
      <c r="AX17" s="32">
        <f>[1]节奏总纲!BJ14</f>
        <v>1.2000000000000006</v>
      </c>
      <c r="AY17" s="32">
        <f>[1]节奏总纲!BK14</f>
        <v>1.2240000000000006</v>
      </c>
      <c r="AZ17" s="32">
        <f>[1]节奏总纲!BL14</f>
        <v>1.2720000000000007</v>
      </c>
      <c r="BA17" s="32">
        <f>[1]节奏总纲!BM14</f>
        <v>1.3680000000000005</v>
      </c>
      <c r="BB17" s="32">
        <f>[1]节奏总纲!BN14</f>
        <v>1.6800000000000008</v>
      </c>
      <c r="BF17" s="42">
        <f>'[1]功能-行军令'!FZ15</f>
        <v>11</v>
      </c>
      <c r="BG17" s="42">
        <f>'[1]功能-行军令'!GA15*'[1]功能-行军令'!GB15</f>
        <v>39.359624312866096</v>
      </c>
      <c r="BN17" s="49">
        <v>12</v>
      </c>
      <c r="BO17" s="17">
        <f>'[1]资源-木石铜粮'!U17</f>
        <v>5590692.5344275255</v>
      </c>
      <c r="BP17" s="17">
        <f>'[1]资源-木石铜粮'!V17</f>
        <v>6232297.0278738765</v>
      </c>
      <c r="BQ17" s="17">
        <f>'[1]资源-木石铜粮'!W17</f>
        <v>6982691.7206450356</v>
      </c>
      <c r="BR17" s="17">
        <f>'[1]资源-木石铜粮'!X17</f>
        <v>6194709.9507182287</v>
      </c>
      <c r="BS17" s="17">
        <f>'[1]资源-木石铜粮'!Y17</f>
        <v>5100190.6878191503</v>
      </c>
      <c r="BV17" s="49">
        <v>12</v>
      </c>
      <c r="BW17" s="47">
        <f>'[1]功能-城建'!EQ15+[1]养成buff汇总!H17+'[1]功能-采集'!BS16+[2]产出汇总!AY17+[1]养成buff汇总!GY17</f>
        <v>1532768.6389481416</v>
      </c>
      <c r="BX17" s="47">
        <f>'[1]功能-城建'!ER15+[1]养成buff汇总!I17+'[1]功能-采集'!BT16+[2]产出汇总!AZ17+[1]养成buff汇总!GZ17</f>
        <v>1317855.7269597312</v>
      </c>
      <c r="BY17" s="47">
        <f>'[1]功能-城建'!ES15+[1]养成buff汇总!J17+'[1]功能-采集'!BU16+[2]产出汇总!BA17+[1]养成buff汇总!HA17</f>
        <v>1169167.9874813245</v>
      </c>
      <c r="BZ17" s="47">
        <f>'[1]功能-城建'!ET15+[1]养成buff汇总!K17+'[1]功能-采集'!BV16+[2]产出汇总!BB17+[1]养成buff汇总!HB17</f>
        <v>924429.79702893458</v>
      </c>
      <c r="CA17" s="47">
        <f>'[1]功能-城建'!EU15+[1]养成buff汇总!L17+'[1]功能-采集'!BW16+[2]产出汇总!BC17+[1]养成buff汇总!HC17</f>
        <v>658449.28453703993</v>
      </c>
      <c r="CD17" s="49">
        <v>12</v>
      </c>
      <c r="CE17" s="44">
        <f>'[1]资源-铁'!T17</f>
        <v>0</v>
      </c>
      <c r="CF17" s="44">
        <f>'[1]资源-铁'!U17</f>
        <v>0</v>
      </c>
      <c r="CG17" s="44">
        <f>'[1]资源-铁'!V17</f>
        <v>0</v>
      </c>
      <c r="CH17" s="44">
        <f>'[1]资源-铁'!W17</f>
        <v>0</v>
      </c>
      <c r="CI17" s="44">
        <f>'[1]资源-铁'!X17</f>
        <v>0</v>
      </c>
      <c r="CL17" s="49">
        <v>12</v>
      </c>
      <c r="CM17" s="44">
        <f>'[1]功能-城建'!HF15+[1]养成buff汇总!S17+'[1]功能-采集'!BX16</f>
        <v>0</v>
      </c>
      <c r="CN17" s="44">
        <f>'[1]功能-城建'!HG15+[1]养成buff汇总!T17+'[1]功能-采集'!BY16</f>
        <v>0</v>
      </c>
      <c r="CO17" s="44">
        <f>'[1]功能-城建'!HH15+[1]养成buff汇总!U17+'[1]功能-采集'!BZ16</f>
        <v>0</v>
      </c>
      <c r="CP17" s="44">
        <f>'[1]功能-城建'!HI15+[1]养成buff汇总!V17+'[1]功能-采集'!CA16</f>
        <v>0</v>
      </c>
      <c r="CQ17" s="44">
        <f>'[1]功能-城建'!HJ15+[1]养成buff汇总!W17+'[1]功能-采集'!CB16</f>
        <v>0</v>
      </c>
      <c r="CT17" s="49">
        <v>12</v>
      </c>
      <c r="CU17" s="17">
        <f>'[1]资源-玩家城池建筑时间'!AJ17+CU16</f>
        <v>483015.84805650765</v>
      </c>
      <c r="CV17" s="17">
        <f>'[1]资源-玩家城池建筑时间'!AK17+CV16</f>
        <v>515002.24079182942</v>
      </c>
      <c r="CW17" s="17">
        <f>'[1]资源-玩家城池建筑时间'!AL17+CW16</f>
        <v>555468.79280582431</v>
      </c>
      <c r="CX17" s="17">
        <f>'[1]资源-玩家城池建筑时间'!AM17+CX16</f>
        <v>604967.1743640682</v>
      </c>
      <c r="CY17" s="17">
        <f>'[1]资源-玩家城池建筑时间'!AN17+CY16</f>
        <v>663808.95235298062</v>
      </c>
      <c r="DB17" s="49">
        <v>12</v>
      </c>
      <c r="DC17" s="17">
        <f>'[1]资源-士兵训练时间'!U17</f>
        <v>51977.847186080078</v>
      </c>
      <c r="DD17" s="17">
        <f>'[1]资源-士兵训练时间'!V17</f>
        <v>73514.355848467618</v>
      </c>
      <c r="DE17" s="17">
        <f>'[1]资源-士兵训练时间'!W17</f>
        <v>104306.57219918576</v>
      </c>
      <c r="DF17" s="17">
        <f>'[1]资源-士兵训练时间'!X17</f>
        <v>145865.72396926422</v>
      </c>
      <c r="DG17" s="17">
        <f>'[1]资源-士兵训练时间'!Y17</f>
        <v>224232.57098753055</v>
      </c>
    </row>
    <row r="18" spans="2:111" x14ac:dyDescent="0.15">
      <c r="B18" s="23">
        <v>15</v>
      </c>
      <c r="C18" s="24">
        <f>'[1]资源-钻石'!L18</f>
        <v>21566.534438858725</v>
      </c>
      <c r="D18" s="24">
        <f>'[1]资源-钻石'!M18</f>
        <v>26099.469621880136</v>
      </c>
      <c r="E18" s="24">
        <f>'[1]资源-钻石'!N18</f>
        <v>36177.915745460588</v>
      </c>
      <c r="F18" s="24">
        <f>'[1]资源-钻石'!O18</f>
        <v>73118.410558927542</v>
      </c>
      <c r="G18" s="24">
        <f>'[1]资源-钻石'!P18</f>
        <v>94215.869777453918</v>
      </c>
      <c r="I18" s="23">
        <v>15</v>
      </c>
      <c r="J18" s="24">
        <f>'[1]资源-钻石'!T18</f>
        <v>111165.09945502391</v>
      </c>
      <c r="K18" s="24">
        <f>'[1]资源-钻石'!U18</f>
        <v>151576.6094005263</v>
      </c>
      <c r="L18" s="24">
        <f>'[1]资源-钻石'!V18</f>
        <v>244366.02034057895</v>
      </c>
      <c r="M18" s="24">
        <f>'[1]资源-钻石'!W18</f>
        <v>617901.37237463682</v>
      </c>
      <c r="N18" s="24">
        <f>'[1]资源-钻石'!X18</f>
        <v>1444413.0721121004</v>
      </c>
      <c r="P18" s="28">
        <v>15</v>
      </c>
      <c r="Q18" s="28">
        <f>'[1]功能-行军令'!N18</f>
        <v>84.107647738324729</v>
      </c>
      <c r="R18" s="28">
        <f>'[1]功能-行军令'!O18</f>
        <v>105.81948847383583</v>
      </c>
      <c r="S18" s="28">
        <f>'[1]功能-行军令'!P18</f>
        <v>117.65215461163081</v>
      </c>
      <c r="T18" s="28">
        <f>'[1]功能-行军令'!Q18</f>
        <v>97.742228807557069</v>
      </c>
      <c r="U18" s="28">
        <f>'[1]功能-行军令'!R18</f>
        <v>54.294960626625631</v>
      </c>
      <c r="V18" s="28">
        <f>'[1]功能-行军令'!S18</f>
        <v>8.7129199472184666</v>
      </c>
      <c r="W18" s="28">
        <f>'[1]功能-行军令'!T18</f>
        <v>11.104861686258573</v>
      </c>
      <c r="X18" s="28">
        <f>'[1]功能-行军令'!U18</f>
        <v>12.590584844217148</v>
      </c>
      <c r="Y18" s="28">
        <f>'[1]功能-行军令'!V18</f>
        <v>10.598052198117657</v>
      </c>
      <c r="Z18" s="28">
        <f>'[1]功能-行军令'!W18</f>
        <v>6.0803600073774788</v>
      </c>
      <c r="AC18" s="30">
        <v>15</v>
      </c>
      <c r="AD18" s="41">
        <f>'[1]功能-实力'!BE19</f>
        <v>189960</v>
      </c>
      <c r="AE18" s="41">
        <f>'[1]功能-实力'!BF19</f>
        <v>195240</v>
      </c>
      <c r="AF18" s="41">
        <f>'[1]功能-实力'!BG19</f>
        <v>204085</v>
      </c>
      <c r="AG18" s="41">
        <f>'[1]功能-实力'!BH19</f>
        <v>218170</v>
      </c>
      <c r="AH18" s="41">
        <f>'[1]功能-实力'!BI19</f>
        <v>229965</v>
      </c>
      <c r="AL18" s="37">
        <f>[3]基础状态预期!C28</f>
        <v>150</v>
      </c>
      <c r="AM18" s="37">
        <f>[3]基础状态预期!D28</f>
        <v>72.375871759353331</v>
      </c>
      <c r="AO18" s="37">
        <f>[3]基础状态预期!F28</f>
        <v>0</v>
      </c>
      <c r="AP18" s="37">
        <f>[3]基础状态预期!G28</f>
        <v>0</v>
      </c>
      <c r="AQ18" s="37">
        <f>[3]基础状态预期!H28</f>
        <v>0</v>
      </c>
      <c r="AR18" s="37">
        <f>[3]基础状态预期!I28</f>
        <v>1</v>
      </c>
      <c r="AS18" s="37">
        <f>[3]基础状态预期!J28</f>
        <v>5</v>
      </c>
      <c r="AW18" s="32">
        <v>12</v>
      </c>
      <c r="AX18" s="32">
        <f>[1]节奏总纲!BJ15</f>
        <v>1.2333333333333341</v>
      </c>
      <c r="AY18" s="32">
        <f>[1]节奏总纲!BK15</f>
        <v>1.2580000000000007</v>
      </c>
      <c r="AZ18" s="32">
        <f>[1]节奏总纲!BL15</f>
        <v>1.3073333333333341</v>
      </c>
      <c r="BA18" s="32">
        <f>[1]节奏总纲!BM15</f>
        <v>1.4060000000000008</v>
      </c>
      <c r="BB18" s="32">
        <f>[1]节奏总纲!BN15</f>
        <v>1.7266666666666677</v>
      </c>
      <c r="BF18" s="42">
        <f>'[1]功能-行军令'!FZ16</f>
        <v>12</v>
      </c>
      <c r="BG18" s="42">
        <f>'[1]功能-行军令'!GA16*'[1]功能-行军令'!GB16</f>
        <v>41.327605528509402</v>
      </c>
      <c r="BN18" s="49">
        <v>13</v>
      </c>
      <c r="BO18" s="17">
        <f>'[1]资源-木石铜粮'!U18</f>
        <v>6413141.4825912956</v>
      </c>
      <c r="BP18" s="17">
        <f>'[1]资源-木石铜粮'!V18</f>
        <v>7308284.1498182286</v>
      </c>
      <c r="BQ18" s="17">
        <f>'[1]资源-木石铜粮'!W18</f>
        <v>8344256.0131020816</v>
      </c>
      <c r="BR18" s="17">
        <f>'[1]资源-木石铜粮'!X18</f>
        <v>7255615.6429138202</v>
      </c>
      <c r="BS18" s="17">
        <f>'[1]资源-木石铜粮'!Y18</f>
        <v>5848388.8346517859</v>
      </c>
      <c r="BV18" s="49">
        <v>13</v>
      </c>
      <c r="BW18" s="47">
        <f>'[1]功能-城建'!EQ16+[1]养成buff汇总!H18+'[1]功能-采集'!BS17+[2]产出汇总!AY18+[1]养成buff汇总!GY18</f>
        <v>1856016.3917714325</v>
      </c>
      <c r="BX18" s="47">
        <f>'[1]功能-城建'!ER16+[1]养成buff汇总!I18+'[1]功能-采集'!BT17+[2]产出汇总!AZ18+[1]养成buff汇总!GZ18</f>
        <v>1607673.2291304204</v>
      </c>
      <c r="BY18" s="47">
        <f>'[1]功能-城建'!ES16+[1]养成buff汇总!J18+'[1]功能-采集'!BU17+[2]产出汇总!BA18+[1]养成buff汇总!HA18</f>
        <v>1427749.1038215905</v>
      </c>
      <c r="BZ18" s="47">
        <f>'[1]功能-城建'!ET16+[1]养成buff汇总!K18+'[1]功能-采集'!BV17+[2]产出汇总!BB18+[1]养成buff汇总!HB18</f>
        <v>1129405.5611986474</v>
      </c>
      <c r="CA18" s="47">
        <f>'[1]功能-城建'!EU16+[1]养成buff汇总!L18+'[1]功能-采集'!BW17+[2]产出汇总!BC18+[1]养成buff汇总!HC18</f>
        <v>801701.04365121294</v>
      </c>
      <c r="CD18" s="49">
        <v>13</v>
      </c>
      <c r="CE18" s="44">
        <f>'[1]资源-铁'!T18</f>
        <v>0</v>
      </c>
      <c r="CF18" s="44">
        <f>'[1]资源-铁'!U18</f>
        <v>0</v>
      </c>
      <c r="CG18" s="44">
        <f>'[1]资源-铁'!V18</f>
        <v>0</v>
      </c>
      <c r="CH18" s="44">
        <f>'[1]资源-铁'!W18</f>
        <v>0</v>
      </c>
      <c r="CI18" s="44">
        <f>'[1]资源-铁'!X18</f>
        <v>0</v>
      </c>
      <c r="CL18" s="49">
        <v>13</v>
      </c>
      <c r="CM18" s="44">
        <f>'[1]功能-城建'!HF16+[1]养成buff汇总!S18+'[1]功能-采集'!BX17</f>
        <v>0</v>
      </c>
      <c r="CN18" s="44">
        <f>'[1]功能-城建'!HG16+[1]养成buff汇总!T18+'[1]功能-采集'!BY17</f>
        <v>0</v>
      </c>
      <c r="CO18" s="44">
        <f>'[1]功能-城建'!HH16+[1]养成buff汇总!U18+'[1]功能-采集'!BZ17</f>
        <v>0</v>
      </c>
      <c r="CP18" s="44">
        <f>'[1]功能-城建'!HI16+[1]养成buff汇总!V18+'[1]功能-采集'!CA17</f>
        <v>0</v>
      </c>
      <c r="CQ18" s="44">
        <f>'[1]功能-城建'!HJ16+[1]养成buff汇总!W18+'[1]功能-采集'!CB17</f>
        <v>0</v>
      </c>
      <c r="CT18" s="49">
        <v>13</v>
      </c>
      <c r="CU18" s="17">
        <f>'[1]资源-玩家城池建筑时间'!AJ18+CU17</f>
        <v>539353.7357155775</v>
      </c>
      <c r="CV18" s="17">
        <f>'[1]资源-玩家城池建筑时间'!AK18+CV17</f>
        <v>578836.70908217435</v>
      </c>
      <c r="CW18" s="17">
        <f>'[1]资源-玩家城池建筑时间'!AL18+CW17</f>
        <v>625438.20594882849</v>
      </c>
      <c r="CX18" s="17">
        <f>'[1]资源-玩家城池建筑时间'!AM18+CX17</f>
        <v>684632.28509575583</v>
      </c>
      <c r="CY18" s="17">
        <f>'[1]资源-玩家城池建筑时间'!AN18+CY17</f>
        <v>754530.04065020359</v>
      </c>
      <c r="DB18" s="49">
        <v>13</v>
      </c>
      <c r="DC18" s="17">
        <f>'[1]资源-士兵训练时间'!U18</f>
        <v>59214.673257327682</v>
      </c>
      <c r="DD18" s="17">
        <f>'[1]资源-士兵训练时间'!V18</f>
        <v>89959.481923297251</v>
      </c>
      <c r="DE18" s="17">
        <f>'[1]资源-士兵训练时间'!W18</f>
        <v>128688.10222325771</v>
      </c>
      <c r="DF18" s="17">
        <f>'[1]资源-士兵训练时间'!X18</f>
        <v>175460.50640125579</v>
      </c>
      <c r="DG18" s="17">
        <f>'[1]资源-士兵训练时间'!Y18</f>
        <v>266556.94805781881</v>
      </c>
    </row>
    <row r="19" spans="2:111" x14ac:dyDescent="0.15">
      <c r="B19" s="23">
        <v>16</v>
      </c>
      <c r="C19" s="24">
        <f>'[1]资源-钻石'!L19</f>
        <v>23297.799368060441</v>
      </c>
      <c r="D19" s="24">
        <f>'[1]资源-钻石'!M19</f>
        <v>28124.786163106735</v>
      </c>
      <c r="E19" s="24">
        <f>'[1]资源-钻石'!N19</f>
        <v>38753.199334082892</v>
      </c>
      <c r="F19" s="24">
        <f>'[1]资源-钻石'!O19</f>
        <v>79657.810153107886</v>
      </c>
      <c r="G19" s="24">
        <f>'[1]资源-钻石'!P19</f>
        <v>106273.99776789628</v>
      </c>
      <c r="I19" s="23">
        <v>16</v>
      </c>
      <c r="J19" s="24">
        <f>'[1]资源-钻石'!T19</f>
        <v>116850.93211879586</v>
      </c>
      <c r="K19" s="24">
        <f>'[1]资源-钻石'!U19</f>
        <v>159406.02533067545</v>
      </c>
      <c r="L19" s="24">
        <f>'[1]资源-钻石'!V19</f>
        <v>257152.12786374302</v>
      </c>
      <c r="M19" s="24">
        <f>'[1]资源-钻石'!W19</f>
        <v>650734.84065011726</v>
      </c>
      <c r="N19" s="24">
        <f>'[1]资源-钻石'!X19</f>
        <v>1521643.9497151291</v>
      </c>
      <c r="P19" s="28">
        <v>16</v>
      </c>
      <c r="Q19" s="28">
        <f>'[1]功能-行军令'!N19</f>
        <v>93.445924118956611</v>
      </c>
      <c r="R19" s="28">
        <f>'[1]功能-行军令'!O19</f>
        <v>117.82698143815891</v>
      </c>
      <c r="S19" s="28">
        <f>'[1]功能-行军令'!P19</f>
        <v>131.02906222634775</v>
      </c>
      <c r="T19" s="28">
        <f>'[1]功能-行军令'!Q19</f>
        <v>109.36850015888693</v>
      </c>
      <c r="U19" s="28">
        <f>'[1]功能-行军令'!R19</f>
        <v>61.243849237624261</v>
      </c>
      <c r="V19" s="28">
        <f>'[1]功能-行军令'!S19</f>
        <v>9.338276380631882</v>
      </c>
      <c r="W19" s="28">
        <f>'[1]功能-行军令'!T19</f>
        <v>12.007492964323077</v>
      </c>
      <c r="X19" s="28">
        <f>'[1]功能-行军令'!U19</f>
        <v>13.376907614716941</v>
      </c>
      <c r="Y19" s="28">
        <f>'[1]功能-行军令'!V19</f>
        <v>11.626271351329862</v>
      </c>
      <c r="Z19" s="28">
        <f>'[1]功能-行军令'!W19</f>
        <v>6.9488886109986296</v>
      </c>
      <c r="AC19" s="30">
        <v>16</v>
      </c>
      <c r="AD19" s="41">
        <f>'[1]功能-实力'!BE20</f>
        <v>216112.8</v>
      </c>
      <c r="AE19" s="41">
        <f>'[1]功能-实力'!BF20</f>
        <v>222080.59999999998</v>
      </c>
      <c r="AF19" s="41">
        <f>'[1]功能-实力'!BG20</f>
        <v>231901.5</v>
      </c>
      <c r="AG19" s="41">
        <f>'[1]功能-实力'!BH20</f>
        <v>249656.5</v>
      </c>
      <c r="AH19" s="41">
        <f>'[1]功能-实力'!BI20</f>
        <v>262482.5</v>
      </c>
      <c r="AL19" s="37">
        <f>[3]基础状态预期!C29</f>
        <v>180</v>
      </c>
      <c r="AM19" s="37">
        <f>[3]基础状态预期!D29</f>
        <v>74.998404927577795</v>
      </c>
      <c r="AO19" s="37">
        <f>[3]基础状态预期!F29</f>
        <v>0</v>
      </c>
      <c r="AP19" s="37">
        <f>[3]基础状态预期!G29</f>
        <v>0</v>
      </c>
      <c r="AQ19" s="37">
        <f>[3]基础状态预期!H29</f>
        <v>0</v>
      </c>
      <c r="AR19" s="37">
        <f>[3]基础状态预期!I29</f>
        <v>0.5</v>
      </c>
      <c r="AS19" s="37">
        <f>[3]基础状态预期!J29</f>
        <v>5.5</v>
      </c>
      <c r="AW19" s="32">
        <v>13</v>
      </c>
      <c r="AX19" s="32">
        <f>[1]节奏总纲!BJ16</f>
        <v>1.2666666666666675</v>
      </c>
      <c r="AY19" s="32">
        <f>[1]节奏总纲!BK16</f>
        <v>1.2920000000000009</v>
      </c>
      <c r="AZ19" s="32">
        <f>[1]节奏总纲!BL16</f>
        <v>1.3426666666666676</v>
      </c>
      <c r="BA19" s="32">
        <f>[1]节奏总纲!BM16</f>
        <v>1.4440000000000008</v>
      </c>
      <c r="BB19" s="32">
        <f>[1]节奏总纲!BN16</f>
        <v>1.7733333333333343</v>
      </c>
      <c r="BF19" s="42">
        <f>'[1]功能-行军令'!FZ17</f>
        <v>13</v>
      </c>
      <c r="BG19" s="42">
        <f>'[1]功能-行军令'!GA17*'[1]功能-行军令'!GB17</f>
        <v>43.393985804934879</v>
      </c>
      <c r="BN19" s="49">
        <v>14</v>
      </c>
      <c r="BO19" s="17">
        <f>'[1]资源-木石铜粮'!U19</f>
        <v>7715592.2428317089</v>
      </c>
      <c r="BP19" s="17">
        <f>'[1]资源-木石铜粮'!V19</f>
        <v>8900669.1712866072</v>
      </c>
      <c r="BQ19" s="17">
        <f>'[1]资源-木石铜粮'!W19</f>
        <v>10508059.744556008</v>
      </c>
      <c r="BR19" s="17">
        <f>'[1]资源-木石铜粮'!X19</f>
        <v>8797441.0647838712</v>
      </c>
      <c r="BS19" s="17">
        <f>'[1]资源-木石铜粮'!Y19</f>
        <v>7042719.1499266224</v>
      </c>
      <c r="BV19" s="49">
        <v>14</v>
      </c>
      <c r="BW19" s="47">
        <f>'[1]功能-城建'!EQ17+[1]养成buff汇总!H19+'[1]功能-采集'!BS18+[2]产出汇总!AY19+[1]养成buff汇总!GY19</f>
        <v>2223359.0641187169</v>
      </c>
      <c r="BX19" s="47">
        <f>'[1]功能-城建'!ER17+[1]养成buff汇总!I19+'[1]功能-采集'!BT18+[2]产出汇总!AZ19+[1]养成buff汇总!GZ19</f>
        <v>1916076.3485097063</v>
      </c>
      <c r="BY19" s="47">
        <f>'[1]功能-城建'!ES17+[1]养成buff汇总!J19+'[1]功能-采集'!BU18+[2]产出汇总!BA19+[1]养成buff汇总!HA19</f>
        <v>1712772.8418970522</v>
      </c>
      <c r="BZ19" s="47">
        <f>'[1]功能-城建'!ET17+[1]养成buff汇总!K19+'[1]功能-采集'!BV18+[2]产出汇总!BB19+[1]养成buff汇总!HB19</f>
        <v>1345937.2393810349</v>
      </c>
      <c r="CA19" s="47">
        <f>'[1]功能-城建'!EU17+[1]养成buff汇总!L19+'[1]功能-采集'!BW18+[2]产出汇总!BC19+[1]养成buff汇总!HC19</f>
        <v>962095.67191884271</v>
      </c>
      <c r="CD19" s="49">
        <v>14</v>
      </c>
      <c r="CE19" s="44">
        <f>'[1]资源-铁'!T19</f>
        <v>0</v>
      </c>
      <c r="CF19" s="44">
        <f>'[1]资源-铁'!U19</f>
        <v>0</v>
      </c>
      <c r="CG19" s="44">
        <f>'[1]资源-铁'!V19</f>
        <v>0</v>
      </c>
      <c r="CH19" s="44">
        <f>'[1]资源-铁'!W19</f>
        <v>0</v>
      </c>
      <c r="CI19" s="44">
        <f>'[1]资源-铁'!X19</f>
        <v>0</v>
      </c>
      <c r="CL19" s="49">
        <v>14</v>
      </c>
      <c r="CM19" s="44">
        <f>'[1]功能-城建'!HF17+[1]养成buff汇总!S19+'[1]功能-采集'!BX18</f>
        <v>0</v>
      </c>
      <c r="CN19" s="44">
        <f>'[1]功能-城建'!HG17+[1]养成buff汇总!T19+'[1]功能-采集'!BY18</f>
        <v>0</v>
      </c>
      <c r="CO19" s="44">
        <f>'[1]功能-城建'!HH17+[1]养成buff汇总!U19+'[1]功能-采集'!BZ18</f>
        <v>0</v>
      </c>
      <c r="CP19" s="44">
        <f>'[1]功能-城建'!HI17+[1]养成buff汇总!V19+'[1]功能-采集'!CA18</f>
        <v>0</v>
      </c>
      <c r="CQ19" s="44">
        <f>'[1]功能-城建'!HJ17+[1]养成buff汇总!W19+'[1]功能-采集'!CB18</f>
        <v>0</v>
      </c>
      <c r="CT19" s="49">
        <v>14</v>
      </c>
      <c r="CU19" s="17">
        <f>'[1]资源-玩家城池建筑时间'!AJ19+CU18</f>
        <v>599376.01084717573</v>
      </c>
      <c r="CV19" s="17">
        <f>'[1]资源-玩家城池建筑时间'!AK19+CV18</f>
        <v>642955.38171504822</v>
      </c>
      <c r="CW19" s="17">
        <f>'[1]资源-玩家城池建筑时间'!AL19+CW18</f>
        <v>696703.93452567433</v>
      </c>
      <c r="CX19" s="17">
        <f>'[1]资源-玩家城池建筑时间'!AM19+CX18</f>
        <v>763340.69026787649</v>
      </c>
      <c r="CY19" s="17">
        <f>'[1]资源-玩家城池建筑时间'!AN19+CY18</f>
        <v>860143.9101667708</v>
      </c>
      <c r="DB19" s="49">
        <v>14</v>
      </c>
      <c r="DC19" s="17">
        <f>'[1]资源-士兵训练时间'!U19</f>
        <v>71763.884441161819</v>
      </c>
      <c r="DD19" s="17">
        <f>'[1]资源-士兵训练时间'!V19</f>
        <v>107251.84656612531</v>
      </c>
      <c r="DE19" s="17">
        <f>'[1]资源-士兵训练时间'!W19</f>
        <v>149736.97756511517</v>
      </c>
      <c r="DF19" s="17">
        <f>'[1]资源-士兵训练时间'!X19</f>
        <v>203699.8067372439</v>
      </c>
      <c r="DG19" s="17">
        <f>'[1]资源-士兵训练时间'!Y19</f>
        <v>330630.72438967688</v>
      </c>
    </row>
    <row r="20" spans="2:111" x14ac:dyDescent="0.15">
      <c r="B20" s="23">
        <v>17</v>
      </c>
      <c r="C20" s="24">
        <f>'[1]资源-钻石'!L20</f>
        <v>25153.323175798614</v>
      </c>
      <c r="D20" s="24">
        <f>'[1]资源-钻石'!M20</f>
        <v>30212.723663454948</v>
      </c>
      <c r="E20" s="24">
        <f>'[1]资源-钻石'!N20</f>
        <v>41391.915737603507</v>
      </c>
      <c r="F20" s="24">
        <f>'[1]资源-钻石'!O20</f>
        <v>84394.642854872654</v>
      </c>
      <c r="G20" s="24">
        <f>'[1]资源-钻石'!P20</f>
        <v>116731.93440246633</v>
      </c>
      <c r="I20" s="23">
        <v>17</v>
      </c>
      <c r="J20" s="24">
        <f>'[1]资源-钻石'!T20</f>
        <v>122536.76478256781</v>
      </c>
      <c r="K20" s="24">
        <f>'[1]资源-钻石'!U20</f>
        <v>167235.44126082459</v>
      </c>
      <c r="L20" s="24">
        <f>'[1]资源-钻石'!V20</f>
        <v>269938.23538690706</v>
      </c>
      <c r="M20" s="24">
        <f>'[1]资源-钻石'!W20</f>
        <v>683568.30892559781</v>
      </c>
      <c r="N20" s="24">
        <f>'[1]资源-钻石'!X20</f>
        <v>1598874.8273181575</v>
      </c>
      <c r="P20" s="28">
        <v>17</v>
      </c>
      <c r="Q20" s="28">
        <f>'[1]功能-行军令'!N20</f>
        <v>103.45444092954733</v>
      </c>
      <c r="R20" s="28">
        <f>'[1]功能-行军令'!O20</f>
        <v>130.20573524530138</v>
      </c>
      <c r="S20" s="28">
        <f>'[1]功能-行军令'!P20</f>
        <v>144.73546167193922</v>
      </c>
      <c r="T20" s="28">
        <f>'[1]功能-行军令'!Q20</f>
        <v>120.9434141686873</v>
      </c>
      <c r="U20" s="28">
        <f>'[1]功能-行军令'!R20</f>
        <v>67.270575511562512</v>
      </c>
      <c r="V20" s="28">
        <f>'[1]功能-行军令'!S20</f>
        <v>10.00851681059072</v>
      </c>
      <c r="W20" s="28">
        <f>'[1]功能-行军令'!T20</f>
        <v>12.378753807142473</v>
      </c>
      <c r="X20" s="28">
        <f>'[1]功能-行军令'!U20</f>
        <v>13.706399445591472</v>
      </c>
      <c r="Y20" s="28">
        <f>'[1]功能-行军令'!V20</f>
        <v>11.574914009800366</v>
      </c>
      <c r="Z20" s="28">
        <f>'[1]功能-行军令'!W20</f>
        <v>6.0267262739382517</v>
      </c>
      <c r="AC20" s="30">
        <v>17</v>
      </c>
      <c r="AD20" s="41">
        <f>'[1]功能-实力'!BE21</f>
        <v>244473.59999999998</v>
      </c>
      <c r="AE20" s="41">
        <f>'[1]功能-实力'!BF21</f>
        <v>251126.39999999997</v>
      </c>
      <c r="AF20" s="41">
        <f>'[1]功能-实力'!BG21</f>
        <v>263060</v>
      </c>
      <c r="AG20" s="41">
        <f>'[1]功能-实力'!BH21</f>
        <v>282436</v>
      </c>
      <c r="AH20" s="41">
        <f>'[1]功能-实力'!BI21</f>
        <v>297242.39999999997</v>
      </c>
      <c r="AL20" s="37">
        <f>[3]基础状态预期!C30</f>
        <v>220</v>
      </c>
      <c r="AM20" s="37">
        <f>[3]基础状态预期!D30</f>
        <v>77.875308029777003</v>
      </c>
      <c r="AO20" s="37">
        <f>[3]基础状态预期!F30</f>
        <v>0</v>
      </c>
      <c r="AP20" s="37">
        <f>[3]基础状态预期!G30</f>
        <v>0</v>
      </c>
      <c r="AQ20" s="37">
        <f>[3]基础状态预期!H30</f>
        <v>0</v>
      </c>
      <c r="AR20" s="37">
        <f>[3]基础状态预期!I30</f>
        <v>0</v>
      </c>
      <c r="AS20" s="37">
        <f>[3]基础状态预期!J30</f>
        <v>6</v>
      </c>
      <c r="AW20" s="32">
        <v>14</v>
      </c>
      <c r="AX20" s="32">
        <f>[1]节奏总纲!BJ17</f>
        <v>1.3000000000000009</v>
      </c>
      <c r="AY20" s="32">
        <f>[1]节奏总纲!BK17</f>
        <v>1.326000000000001</v>
      </c>
      <c r="AZ20" s="32">
        <f>[1]节奏总纲!BL17</f>
        <v>1.378000000000001</v>
      </c>
      <c r="BA20" s="32">
        <f>[1]节奏总纲!BM17</f>
        <v>1.4820000000000009</v>
      </c>
      <c r="BB20" s="32">
        <f>[1]节奏总纲!BN17</f>
        <v>1.8200000000000012</v>
      </c>
      <c r="BF20" s="42">
        <f>'[1]功能-行军令'!FZ18</f>
        <v>14</v>
      </c>
      <c r="BG20" s="42">
        <f>'[1]功能-行军令'!GA18*'[1]功能-行军令'!GB18</f>
        <v>45.563685095181626</v>
      </c>
      <c r="BN20" s="49">
        <v>15</v>
      </c>
      <c r="BO20" s="17">
        <f>'[1]资源-木石铜粮'!U20</f>
        <v>8759879.837267777</v>
      </c>
      <c r="BP20" s="17">
        <f>'[1]资源-木石铜粮'!V20</f>
        <v>10151952.827218791</v>
      </c>
      <c r="BQ20" s="17">
        <f>'[1]资源-木石铜粮'!W20</f>
        <v>12132196.439752137</v>
      </c>
      <c r="BR20" s="17">
        <f>'[1]资源-木石铜粮'!X20</f>
        <v>9937349.4996036366</v>
      </c>
      <c r="BS20" s="17">
        <f>'[1]资源-木石铜粮'!Y20</f>
        <v>7941328.826563241</v>
      </c>
      <c r="BV20" s="49">
        <v>15</v>
      </c>
      <c r="BW20" s="47">
        <f>'[1]功能-城建'!EQ18+[1]养成buff汇总!H20+'[1]功能-采集'!BS19+[2]产出汇总!AY20+[1]养成buff汇总!GY20</f>
        <v>2670464.42244014</v>
      </c>
      <c r="BX20" s="47">
        <f>'[1]功能-城建'!ER18+[1]养成buff汇总!I20+'[1]功能-采集'!BT19+[2]产出汇总!AZ20+[1]养成buff汇总!GZ20</f>
        <v>2302506.8052971885</v>
      </c>
      <c r="BY20" s="47">
        <f>'[1]功能-城建'!ES18+[1]养成buff汇总!J20+'[1]功能-采集'!BU19+[2]产出汇总!BA20+[1]养成buff汇总!HA20</f>
        <v>2072345.8630770855</v>
      </c>
      <c r="BZ20" s="47">
        <f>'[1]功能-城建'!ET18+[1]养成buff汇总!K20+'[1]功能-采集'!BV19+[2]产出汇总!BB20+[1]养成buff汇总!HB20</f>
        <v>1640353.2427372127</v>
      </c>
      <c r="CA20" s="47">
        <f>'[1]功能-城建'!EU18+[1]养成buff汇总!L20+'[1]功能-采集'!BW19+[2]产出汇总!BC20+[1]养成buff汇总!HC20</f>
        <v>1173473.6077343985</v>
      </c>
      <c r="CD20" s="49">
        <v>15</v>
      </c>
      <c r="CE20" s="44">
        <f>'[1]资源-铁'!T20</f>
        <v>0</v>
      </c>
      <c r="CF20" s="44">
        <f>'[1]资源-铁'!U20</f>
        <v>0</v>
      </c>
      <c r="CG20" s="44">
        <f>'[1]资源-铁'!V20</f>
        <v>0</v>
      </c>
      <c r="CH20" s="44">
        <f>'[1]资源-铁'!W20</f>
        <v>0</v>
      </c>
      <c r="CI20" s="44">
        <f>'[1]资源-铁'!X20</f>
        <v>0</v>
      </c>
      <c r="CL20" s="49">
        <v>15</v>
      </c>
      <c r="CM20" s="44">
        <f>'[1]功能-城建'!HF18+[1]养成buff汇总!S20+'[1]功能-采集'!BX19</f>
        <v>0</v>
      </c>
      <c r="CN20" s="44">
        <f>'[1]功能-城建'!HG18+[1]养成buff汇总!T20+'[1]功能-采集'!BY19</f>
        <v>0</v>
      </c>
      <c r="CO20" s="44">
        <f>'[1]功能-城建'!HH18+[1]养成buff汇总!U20+'[1]功能-采集'!BZ19</f>
        <v>0</v>
      </c>
      <c r="CP20" s="44">
        <f>'[1]功能-城建'!HI18+[1]养成buff汇总!V20+'[1]功能-采集'!CA19</f>
        <v>0</v>
      </c>
      <c r="CQ20" s="44">
        <f>'[1]功能-城建'!HJ18+[1]养成buff汇总!W20+'[1]功能-采集'!CB19</f>
        <v>0</v>
      </c>
      <c r="CT20" s="49">
        <v>15</v>
      </c>
      <c r="CU20" s="17">
        <f>'[1]资源-玩家城池建筑时间'!AJ20+CU19</f>
        <v>663944.11342567881</v>
      </c>
      <c r="CV20" s="17">
        <f>'[1]资源-玩家城池建筑时间'!AK20+CV19</f>
        <v>713819.53729894187</v>
      </c>
      <c r="CW20" s="17">
        <f>'[1]资源-玩家城池建筑时间'!AL20+CW19</f>
        <v>780372.58717206214</v>
      </c>
      <c r="CX20" s="17">
        <f>'[1]资源-玩家城池建筑时间'!AM20+CX19</f>
        <v>873833.1895794858</v>
      </c>
      <c r="CY20" s="17">
        <f>'[1]资源-玩家城池建筑时间'!AN20+CY19</f>
        <v>983012.96497411584</v>
      </c>
      <c r="DB20" s="49">
        <v>15</v>
      </c>
      <c r="DC20" s="17">
        <f>'[1]资源-士兵训练时间'!U20</f>
        <v>84110.860530630001</v>
      </c>
      <c r="DD20" s="17">
        <f>'[1]资源-士兵训练时间'!V20</f>
        <v>123782.07838981092</v>
      </c>
      <c r="DE20" s="17">
        <f>'[1]资源-士兵训练时间'!W20</f>
        <v>176241.16228563202</v>
      </c>
      <c r="DF20" s="17">
        <f>'[1]资源-士兵训练时间'!X20</f>
        <v>254233.87538379157</v>
      </c>
      <c r="DG20" s="17">
        <f>'[1]资源-士兵训练时间'!Y20</f>
        <v>414435.81921612524</v>
      </c>
    </row>
    <row r="21" spans="2:111" x14ac:dyDescent="0.15">
      <c r="B21" s="23">
        <v>18</v>
      </c>
      <c r="C21" s="24">
        <f>'[1]资源-钻石'!L21</f>
        <v>27142.024352036686</v>
      </c>
      <c r="D21" s="24">
        <f>'[1]资源-钻石'!M21</f>
        <v>32565.625874679848</v>
      </c>
      <c r="E21" s="24">
        <f>'[1]资源-钻石'!N21</f>
        <v>44520.223086674225</v>
      </c>
      <c r="F21" s="24">
        <f>'[1]资源-钻石'!O21</f>
        <v>89976.415022573856</v>
      </c>
      <c r="G21" s="24">
        <f>'[1]资源-钻石'!P21</f>
        <v>129678.43026701207</v>
      </c>
      <c r="I21" s="23">
        <v>18</v>
      </c>
      <c r="J21" s="24">
        <f>'[1]资源-钻石'!T21</f>
        <v>128222.59744633976</v>
      </c>
      <c r="K21" s="24">
        <f>'[1]资源-钻石'!U21</f>
        <v>175064.85719097374</v>
      </c>
      <c r="L21" s="24">
        <f>'[1]资源-钻石'!V21</f>
        <v>282724.34291007114</v>
      </c>
      <c r="M21" s="24">
        <f>'[1]资源-钻石'!W21</f>
        <v>716401.77720107825</v>
      </c>
      <c r="N21" s="24">
        <f>'[1]资源-钻石'!X21</f>
        <v>1676105.704921186</v>
      </c>
      <c r="P21" s="28">
        <v>18</v>
      </c>
      <c r="Q21" s="28">
        <f>'[1]功能-行军令'!N21</f>
        <v>114.18130364648684</v>
      </c>
      <c r="R21" s="28">
        <f>'[1]功能-行军令'!O21</f>
        <v>144.15538517504154</v>
      </c>
      <c r="S21" s="28">
        <f>'[1]功能-行军令'!P21</f>
        <v>160.98496467185777</v>
      </c>
      <c r="T21" s="28">
        <f>'[1]功能-行军令'!Q21</f>
        <v>134.58302040586085</v>
      </c>
      <c r="U21" s="28">
        <f>'[1]功能-行军令'!R21</f>
        <v>74.731415016400319</v>
      </c>
      <c r="V21" s="28">
        <f>'[1]功能-行军令'!S21</f>
        <v>10.726862716939507</v>
      </c>
      <c r="W21" s="28">
        <f>'[1]功能-行军令'!T21</f>
        <v>13.949649929740161</v>
      </c>
      <c r="X21" s="28">
        <f>'[1]功能-行军令'!U21</f>
        <v>16.249502999918548</v>
      </c>
      <c r="Y21" s="28">
        <f>'[1]功能-行军令'!V21</f>
        <v>13.639606237173552</v>
      </c>
      <c r="Z21" s="28">
        <f>'[1]功能-行军令'!W21</f>
        <v>7.4608395048378071</v>
      </c>
      <c r="AC21" s="30">
        <v>18</v>
      </c>
      <c r="AD21" s="41">
        <f>'[1]功能-实力'!BE22</f>
        <v>275299.90000000002</v>
      </c>
      <c r="AE21" s="41">
        <f>'[1]功能-实力'!BF22</f>
        <v>283831.30000000005</v>
      </c>
      <c r="AF21" s="41">
        <f>'[1]功能-实力'!BG22</f>
        <v>296427.80000000005</v>
      </c>
      <c r="AG21" s="41">
        <f>'[1]功能-实力'!BH22</f>
        <v>318216.5</v>
      </c>
      <c r="AH21" s="41">
        <f>'[1]功能-实力'!BI22</f>
        <v>335249.80000000005</v>
      </c>
      <c r="AL21" s="37">
        <f>[3]基础状态预期!C31</f>
        <v>260</v>
      </c>
      <c r="AM21" s="37">
        <f>[3]基础状态预期!D31</f>
        <v>80.272123558064706</v>
      </c>
      <c r="AO21" s="37">
        <f>[3]基础状态预期!F31</f>
        <v>0</v>
      </c>
      <c r="AP21" s="37">
        <f>[3]基础状态预期!G31</f>
        <v>0</v>
      </c>
      <c r="AQ21" s="37">
        <f>[3]基础状态预期!H31</f>
        <v>0</v>
      </c>
      <c r="AR21" s="37">
        <f>[3]基础状态预期!I31</f>
        <v>0</v>
      </c>
      <c r="AS21" s="37">
        <f>[3]基础状态预期!J31</f>
        <v>6</v>
      </c>
      <c r="AW21" s="32">
        <v>15</v>
      </c>
      <c r="AX21" s="32">
        <f>[1]节奏总纲!BJ18</f>
        <v>1.3333333333333344</v>
      </c>
      <c r="AY21" s="32">
        <f>[1]节奏总纲!BK18</f>
        <v>1.360000000000001</v>
      </c>
      <c r="AZ21" s="32">
        <f>[1]节奏总纲!BL18</f>
        <v>1.4133333333333344</v>
      </c>
      <c r="BA21" s="32">
        <f>[1]节奏总纲!BM18</f>
        <v>1.5200000000000011</v>
      </c>
      <c r="BB21" s="32">
        <f>[1]节奏总纲!BN18</f>
        <v>1.866666666666668</v>
      </c>
      <c r="BF21" s="42">
        <f>'[1]功能-行军令'!FZ19</f>
        <v>15</v>
      </c>
      <c r="BG21" s="42">
        <f>'[1]功能-行军令'!GA19*'[1]功能-行军令'!GB19</f>
        <v>47.841869349940708</v>
      </c>
      <c r="BN21" s="49">
        <v>16</v>
      </c>
      <c r="BO21" s="17">
        <f>'[1]资源-木石铜粮'!U21</f>
        <v>10381501.548194375</v>
      </c>
      <c r="BP21" s="17">
        <f>'[1]资源-木石铜粮'!V21</f>
        <v>11997650.675545949</v>
      </c>
      <c r="BQ21" s="17">
        <f>'[1]资源-木石铜粮'!W21</f>
        <v>14352287.324425627</v>
      </c>
      <c r="BR21" s="17">
        <f>'[1]资源-木石铜粮'!X21</f>
        <v>11805325.700442705</v>
      </c>
      <c r="BS21" s="17">
        <f>'[1]资源-木石铜粮'!Y21</f>
        <v>9463552.6847004481</v>
      </c>
      <c r="BV21" s="49">
        <v>16</v>
      </c>
      <c r="BW21" s="47">
        <f>'[1]功能-城建'!EQ19+[1]养成buff汇总!H21+'[1]功能-采集'!BS20+[2]产出汇总!AY21+[1]养成buff汇总!GY21</f>
        <v>3178640.5736545273</v>
      </c>
      <c r="BX21" s="47">
        <f>'[1]功能-城建'!ER19+[1]养成buff汇总!I21+'[1]功能-采集'!BT20+[2]产出汇总!AZ21+[1]养成buff汇总!GZ21</f>
        <v>2755740.3623184301</v>
      </c>
      <c r="BY21" s="47">
        <f>'[1]功能-城建'!ES19+[1]养成buff汇总!J21+'[1]功能-采集'!BU20+[2]产出汇总!BA21+[1]养成buff汇总!HA21</f>
        <v>2498984.0334034162</v>
      </c>
      <c r="BZ21" s="47">
        <f>'[1]功能-城建'!ET19+[1]养成buff汇总!K21+'[1]功能-采集'!BV20+[2]产出汇总!BB21+[1]养成buff汇总!HB21</f>
        <v>1986205.7965855566</v>
      </c>
      <c r="CA21" s="47">
        <f>'[1]功能-城建'!EU19+[1]养成buff汇总!L21+'[1]功能-采集'!BW20+[2]产出汇总!BC21+[1]养成buff汇总!HC21</f>
        <v>1433135.8152808617</v>
      </c>
      <c r="CD21" s="49">
        <v>16</v>
      </c>
      <c r="CE21" s="44">
        <f>'[1]资源-铁'!T21</f>
        <v>0</v>
      </c>
      <c r="CF21" s="44">
        <f>'[1]资源-铁'!U21</f>
        <v>0</v>
      </c>
      <c r="CG21" s="44">
        <f>'[1]资源-铁'!V21</f>
        <v>0</v>
      </c>
      <c r="CH21" s="44">
        <f>'[1]资源-铁'!W21</f>
        <v>0</v>
      </c>
      <c r="CI21" s="44">
        <f>'[1]资源-铁'!X21</f>
        <v>0</v>
      </c>
      <c r="CL21" s="49">
        <v>16</v>
      </c>
      <c r="CM21" s="44">
        <f>'[1]功能-城建'!HF19+[1]养成buff汇总!S21+'[1]功能-采集'!BX20</f>
        <v>0</v>
      </c>
      <c r="CN21" s="44">
        <f>'[1]功能-城建'!HG19+[1]养成buff汇总!T21+'[1]功能-采集'!BY20</f>
        <v>0</v>
      </c>
      <c r="CO21" s="44">
        <f>'[1]功能-城建'!HH19+[1]养成buff汇总!U21+'[1]功能-采集'!BZ20</f>
        <v>0</v>
      </c>
      <c r="CP21" s="44">
        <f>'[1]功能-城建'!HI19+[1]养成buff汇总!V21+'[1]功能-采集'!CA20</f>
        <v>0</v>
      </c>
      <c r="CQ21" s="44">
        <f>'[1]功能-城建'!HJ19+[1]养成buff汇总!W21+'[1]功能-采集'!CB20</f>
        <v>0</v>
      </c>
      <c r="CT21" s="49">
        <v>16</v>
      </c>
      <c r="CU21" s="17">
        <f>'[1]资源-玩家城池建筑时间'!AJ21+CU20</f>
        <v>733380.50508946797</v>
      </c>
      <c r="CV21" s="17">
        <f>'[1]资源-玩家城池建筑时间'!AK21+CV20</f>
        <v>799041.7903824033</v>
      </c>
      <c r="CW21" s="17">
        <f>'[1]资源-玩家城池建筑时间'!AL21+CW20</f>
        <v>885609.2443003857</v>
      </c>
      <c r="CX21" s="17">
        <f>'[1]资源-玩家城池建筑时间'!AM21+CX20</f>
        <v>990366.68189365824</v>
      </c>
      <c r="CY21" s="17">
        <f>'[1]资源-玩家城池建筑时间'!AN21+CY20</f>
        <v>1114278.1697743784</v>
      </c>
      <c r="DB21" s="49">
        <v>16</v>
      </c>
      <c r="DC21" s="17">
        <f>'[1]资源-士兵训练时间'!U21</f>
        <v>96258.747305106124</v>
      </c>
      <c r="DD21" s="17">
        <f>'[1]资源-士兵训练时间'!V21</f>
        <v>146685.20639319249</v>
      </c>
      <c r="DE21" s="17">
        <f>'[1]资源-士兵训练时间'!W21</f>
        <v>216349.74045902502</v>
      </c>
      <c r="DF21" s="17">
        <f>'[1]资源-士兵训练时间'!X21</f>
        <v>315488.73478955403</v>
      </c>
      <c r="DG21" s="17">
        <f>'[1]资源-士兵训练时间'!Y21</f>
        <v>525389.48188674089</v>
      </c>
    </row>
    <row r="22" spans="2:111" x14ac:dyDescent="0.15">
      <c r="B22" s="23">
        <v>19</v>
      </c>
      <c r="C22" s="24">
        <f>'[1]资源-钻石'!L22</f>
        <v>29273.461497643359</v>
      </c>
      <c r="D22" s="24">
        <f>'[1]资源-钻石'!M22</f>
        <v>35072.519449941799</v>
      </c>
      <c r="E22" s="24">
        <f>'[1]资源-钻石'!N22</f>
        <v>47707.813595689666</v>
      </c>
      <c r="F22" s="24">
        <f>'[1]资源-钻石'!O22</f>
        <v>95579.503158053587</v>
      </c>
      <c r="G22" s="24">
        <f>'[1]资源-钻石'!P22</f>
        <v>143468.06075121328</v>
      </c>
      <c r="I22" s="23">
        <v>19</v>
      </c>
      <c r="J22" s="24">
        <f>'[1]资源-钻石'!T22</f>
        <v>133908.43011011172</v>
      </c>
      <c r="K22" s="24">
        <f>'[1]资源-钻石'!U22</f>
        <v>182894.27312112288</v>
      </c>
      <c r="L22" s="24">
        <f>'[1]资源-钻石'!V22</f>
        <v>295510.45043323515</v>
      </c>
      <c r="M22" s="24">
        <f>'[1]资源-钻石'!W22</f>
        <v>749235.2454765588</v>
      </c>
      <c r="N22" s="24">
        <f>'[1]资源-钻石'!X22</f>
        <v>1753336.5825242146</v>
      </c>
      <c r="P22" s="28">
        <v>19</v>
      </c>
      <c r="Q22" s="28">
        <f>'[1]功能-行军令'!N22</f>
        <v>125.67807044277257</v>
      </c>
      <c r="R22" s="28">
        <f>'[1]功能-行军令'!O22</f>
        <v>159.01800361247061</v>
      </c>
      <c r="S22" s="28">
        <f>'[1]功能-行军令'!P22</f>
        <v>177.54240476934203</v>
      </c>
      <c r="T22" s="28">
        <f>'[1]功能-行军令'!Q22</f>
        <v>148.27471429518647</v>
      </c>
      <c r="U22" s="28">
        <f>'[1]功能-行军令'!R22</f>
        <v>82.678138280367776</v>
      </c>
      <c r="V22" s="28">
        <f>'[1]功能-行军令'!S22</f>
        <v>11.496766796285726</v>
      </c>
      <c r="W22" s="28">
        <f>'[1]功能-行军令'!T22</f>
        <v>14.862618437429063</v>
      </c>
      <c r="X22" s="28">
        <f>'[1]功能-行军令'!U22</f>
        <v>16.55744009748426</v>
      </c>
      <c r="Y22" s="28">
        <f>'[1]功能-行军令'!V22</f>
        <v>13.69169388932562</v>
      </c>
      <c r="Z22" s="28">
        <f>'[1]功能-行军令'!W22</f>
        <v>7.9467232639674563</v>
      </c>
      <c r="AC22" s="30">
        <v>19</v>
      </c>
      <c r="AD22" s="41">
        <f>'[1]功能-实力'!BE23</f>
        <v>299772</v>
      </c>
      <c r="AE22" s="41">
        <f>'[1]功能-实力'!BF23</f>
        <v>308118</v>
      </c>
      <c r="AF22" s="41">
        <f>'[1]功能-实力'!BG23</f>
        <v>321666</v>
      </c>
      <c r="AG22" s="41">
        <f>'[1]功能-实力'!BH23</f>
        <v>345120</v>
      </c>
      <c r="AH22" s="41">
        <f>'[1]功能-实力'!BI23</f>
        <v>364074</v>
      </c>
      <c r="AL22" s="37">
        <f>[3]基础状态预期!C32</f>
        <v>300</v>
      </c>
      <c r="AM22" s="37">
        <f>[3]基础状态预期!D32</f>
        <v>82.328492296001457</v>
      </c>
      <c r="AO22" s="37">
        <f>[3]基础状态预期!F32</f>
        <v>0</v>
      </c>
      <c r="AP22" s="37">
        <f>[3]基础状态预期!G32</f>
        <v>0</v>
      </c>
      <c r="AQ22" s="37">
        <f>[3]基础状态预期!H32</f>
        <v>0</v>
      </c>
      <c r="AR22" s="37">
        <f>[3]基础状态预期!I32</f>
        <v>0</v>
      </c>
      <c r="AS22" s="37">
        <f>[3]基础状态预期!J32</f>
        <v>6</v>
      </c>
      <c r="AW22" s="32">
        <v>16</v>
      </c>
      <c r="AX22" s="32">
        <f>[1]节奏总纲!BJ19</f>
        <v>1.3666666666666678</v>
      </c>
      <c r="AY22" s="32">
        <f>[1]节奏总纲!BK19</f>
        <v>1.3940000000000012</v>
      </c>
      <c r="AZ22" s="32">
        <f>[1]节奏总纲!BL19</f>
        <v>1.4486666666666679</v>
      </c>
      <c r="BA22" s="32">
        <f>[1]节奏总纲!BM19</f>
        <v>1.5580000000000012</v>
      </c>
      <c r="BB22" s="32">
        <f>[1]节奏总纲!BN19</f>
        <v>1.9133333333333349</v>
      </c>
      <c r="BF22" s="42">
        <f>'[1]功能-行军令'!FZ20</f>
        <v>16</v>
      </c>
      <c r="BG22" s="42">
        <f>'[1]功能-行军令'!GA20*'[1]功能-行军令'!GB20</f>
        <v>50.233962817437742</v>
      </c>
      <c r="BN22" s="49">
        <v>17</v>
      </c>
      <c r="BO22" s="17">
        <f>'[1]资源-木石铜粮'!U22</f>
        <v>11717008.665929452</v>
      </c>
      <c r="BP22" s="17">
        <f>'[1]资源-木石铜粮'!V22</f>
        <v>13521405.100526143</v>
      </c>
      <c r="BQ22" s="17">
        <f>'[1]资源-木石铜粮'!W22</f>
        <v>16266573.861354209</v>
      </c>
      <c r="BR22" s="17">
        <f>'[1]资源-木石铜粮'!X22</f>
        <v>13439830.118955284</v>
      </c>
      <c r="BS22" s="17">
        <f>'[1]资源-木石铜粮'!Y22</f>
        <v>10583638.89345872</v>
      </c>
      <c r="BV22" s="49">
        <v>17</v>
      </c>
      <c r="BW22" s="47">
        <f>'[1]功能-城建'!EQ20+[1]养成buff汇总!H22+'[1]功能-采集'!BS21+[2]产出汇总!AY22+[1]养成buff汇总!GY22</f>
        <v>3792072.869559749</v>
      </c>
      <c r="BX22" s="47">
        <f>'[1]功能-城建'!ER20+[1]养成buff汇总!I22+'[1]功能-采集'!BT21+[2]产出汇总!AZ22+[1]养成buff汇总!GZ22</f>
        <v>3267908.9177368507</v>
      </c>
      <c r="BY22" s="47">
        <f>'[1]功能-城建'!ES20+[1]养成buff汇总!J22+'[1]功能-采集'!BU21+[2]产出汇总!BA22+[1]养成buff汇总!HA22</f>
        <v>2977056.548101665</v>
      </c>
      <c r="BZ22" s="47">
        <f>'[1]功能-城建'!ET20+[1]养成buff汇总!K22+'[1]功能-采集'!BV21+[2]产出汇总!BB22+[1]养成buff汇总!HB22</f>
        <v>2366065.7936758166</v>
      </c>
      <c r="CA22" s="47">
        <f>'[1]功能-城建'!EU20+[1]养成buff汇总!L22+'[1]功能-采集'!BW21+[2]产出汇总!BC22+[1]养成buff汇总!HC22</f>
        <v>1681873.6156764377</v>
      </c>
      <c r="CD22" s="49">
        <v>17</v>
      </c>
      <c r="CE22" s="44">
        <f>'[1]资源-铁'!T22</f>
        <v>0</v>
      </c>
      <c r="CF22" s="44">
        <f>'[1]资源-铁'!U22</f>
        <v>0</v>
      </c>
      <c r="CG22" s="44">
        <f>'[1]资源-铁'!V22</f>
        <v>0</v>
      </c>
      <c r="CH22" s="44">
        <f>'[1]资源-铁'!W22</f>
        <v>0</v>
      </c>
      <c r="CI22" s="44">
        <f>'[1]资源-铁'!X22</f>
        <v>0</v>
      </c>
      <c r="CL22" s="49">
        <v>17</v>
      </c>
      <c r="CM22" s="44">
        <f>'[1]功能-城建'!HF20+[1]养成buff汇总!S22+'[1]功能-采集'!BX21</f>
        <v>0</v>
      </c>
      <c r="CN22" s="44">
        <f>'[1]功能-城建'!HG20+[1]养成buff汇总!T22+'[1]功能-采集'!BY21</f>
        <v>0</v>
      </c>
      <c r="CO22" s="44">
        <f>'[1]功能-城建'!HH20+[1]养成buff汇总!U22+'[1]功能-采集'!BZ21</f>
        <v>0</v>
      </c>
      <c r="CP22" s="44">
        <f>'[1]功能-城建'!HI20+[1]养成buff汇总!V22+'[1]功能-采集'!CA21</f>
        <v>0</v>
      </c>
      <c r="CQ22" s="44">
        <f>'[1]功能-城建'!HJ20+[1]养成buff汇总!W22+'[1]功能-采集'!CB21</f>
        <v>0</v>
      </c>
      <c r="CT22" s="49">
        <v>17</v>
      </c>
      <c r="CU22" s="17">
        <f>'[1]资源-玩家城池建筑时间'!AJ22+CU21</f>
        <v>820838.81779521168</v>
      </c>
      <c r="CV22" s="17">
        <f>'[1]资源-玩家城池建筑时间'!AK22+CV21</f>
        <v>898242.80065804312</v>
      </c>
      <c r="CW22" s="17">
        <f>'[1]资源-玩家城池建筑时间'!AL22+CW21</f>
        <v>988910.29530763766</v>
      </c>
      <c r="CX22" s="17">
        <f>'[1]资源-玩家城池建筑时间'!AM22+CX21</f>
        <v>1099692.3268347073</v>
      </c>
      <c r="CY22" s="17">
        <f>'[1]资源-玩家城池建筑时间'!AN22+CY21</f>
        <v>1230331.4026642467</v>
      </c>
      <c r="DB22" s="49">
        <v>17</v>
      </c>
      <c r="DC22" s="17">
        <f>'[1]资源-士兵训练时间'!U22</f>
        <v>114998.37200503108</v>
      </c>
      <c r="DD22" s="17">
        <f>'[1]资源-士兵训练时间'!V22</f>
        <v>176931.7884043894</v>
      </c>
      <c r="DE22" s="17">
        <f>'[1]资源-士兵训练时间'!W22</f>
        <v>262137.88514169669</v>
      </c>
      <c r="DF22" s="17">
        <f>'[1]资源-士兵训练时间'!X22</f>
        <v>384795.45290552883</v>
      </c>
      <c r="DG22" s="17">
        <f>'[1]资源-士兵训练时间'!Y22</f>
        <v>623814.17735253042</v>
      </c>
    </row>
    <row r="23" spans="2:111" x14ac:dyDescent="0.15">
      <c r="B23" s="23">
        <v>20</v>
      </c>
      <c r="C23" s="24">
        <f>'[1]资源-钻石'!L23</f>
        <v>31557.879267368698</v>
      </c>
      <c r="D23" s="24">
        <f>'[1]资源-钻石'!M23</f>
        <v>37675.096397180314</v>
      </c>
      <c r="E23" s="24">
        <f>'[1]资源-钻石'!N23</f>
        <v>50969.591561091642</v>
      </c>
      <c r="F23" s="24">
        <f>'[1]资源-钻石'!O23</f>
        <v>101503.3854163324</v>
      </c>
      <c r="G23" s="24">
        <f>'[1]资源-钻石'!P23</f>
        <v>157266.08721367057</v>
      </c>
      <c r="I23" s="23">
        <v>20</v>
      </c>
      <c r="J23" s="24">
        <f>'[1]资源-钻石'!T23</f>
        <v>139594.26277388367</v>
      </c>
      <c r="K23" s="24">
        <f>'[1]资源-钻石'!U23</f>
        <v>190723.68905127203</v>
      </c>
      <c r="L23" s="24">
        <f>'[1]资源-钻石'!V23</f>
        <v>308296.55795639928</v>
      </c>
      <c r="M23" s="24">
        <f>'[1]资源-钻石'!W23</f>
        <v>782068.71375203913</v>
      </c>
      <c r="N23" s="24">
        <f>'[1]资源-钻石'!X23</f>
        <v>1830567.4601272431</v>
      </c>
      <c r="P23" s="28">
        <v>20</v>
      </c>
      <c r="Q23" s="28">
        <f>'[1]功能-行军令'!N23</f>
        <v>138</v>
      </c>
      <c r="R23" s="28">
        <f>'[1]功能-行军令'!O23</f>
        <v>174.4479</v>
      </c>
      <c r="S23" s="28">
        <f>'[1]功能-行军令'!P23</f>
        <v>194.48519999999999</v>
      </c>
      <c r="T23" s="28">
        <f>'[1]功能-行军令'!Q23</f>
        <v>162.75029999999998</v>
      </c>
      <c r="U23" s="28">
        <f>'[1]功能-行军令'!R23</f>
        <v>90.6297</v>
      </c>
      <c r="V23" s="28">
        <f>'[1]功能-行军令'!S23</f>
        <v>12.321929557227435</v>
      </c>
      <c r="W23" s="28">
        <f>'[1]功能-行军令'!T23</f>
        <v>15.429896387529396</v>
      </c>
      <c r="X23" s="28">
        <f>'[1]功能-行军令'!U23</f>
        <v>16.942795230657964</v>
      </c>
      <c r="Y23" s="28">
        <f>'[1]功能-行军令'!V23</f>
        <v>14.475585704813511</v>
      </c>
      <c r="Z23" s="28">
        <f>'[1]功能-行军令'!W23</f>
        <v>7.9515617196322239</v>
      </c>
      <c r="AC23" s="30">
        <v>20</v>
      </c>
      <c r="AD23" s="41">
        <f>'[1]功能-实力'!BE24</f>
        <v>319686</v>
      </c>
      <c r="AE23" s="41">
        <f>'[1]功能-实力'!BF24</f>
        <v>327474</v>
      </c>
      <c r="AF23" s="41">
        <f>'[1]功能-实力'!BG24</f>
        <v>341910</v>
      </c>
      <c r="AG23" s="41">
        <f>'[1]功能-实力'!BH24</f>
        <v>365976</v>
      </c>
      <c r="AH23" s="41">
        <f>'[1]功能-实力'!BI24</f>
        <v>386118</v>
      </c>
      <c r="AL23" s="37">
        <f>[3]基础状态预期!C33</f>
        <v>340</v>
      </c>
      <c r="AM23" s="37">
        <f>[3]基础状态预期!D33</f>
        <v>84.132234338875293</v>
      </c>
      <c r="AO23" s="37">
        <f>[3]基础状态预期!F33</f>
        <v>0</v>
      </c>
      <c r="AP23" s="37">
        <f>[3]基础状态预期!G33</f>
        <v>0</v>
      </c>
      <c r="AQ23" s="37">
        <f>[3]基础状态预期!H33</f>
        <v>0</v>
      </c>
      <c r="AR23" s="37">
        <f>[3]基础状态预期!I33</f>
        <v>0</v>
      </c>
      <c r="AS23" s="37">
        <f>[3]基础状态预期!J33</f>
        <v>6</v>
      </c>
      <c r="AW23" s="32">
        <v>17</v>
      </c>
      <c r="AX23" s="32">
        <f>[1]节奏总纲!BJ20</f>
        <v>1.4000000000000012</v>
      </c>
      <c r="AY23" s="32">
        <f>[1]节奏总纲!BK20</f>
        <v>1.4280000000000013</v>
      </c>
      <c r="AZ23" s="32">
        <f>[1]节奏总纲!BL20</f>
        <v>1.4840000000000013</v>
      </c>
      <c r="BA23" s="32">
        <f>[1]节奏总纲!BM20</f>
        <v>1.5960000000000012</v>
      </c>
      <c r="BB23" s="32">
        <f>[1]节奏总纲!BN20</f>
        <v>1.9600000000000015</v>
      </c>
      <c r="BF23" s="42">
        <f>'[1]功能-行军令'!FZ21</f>
        <v>17</v>
      </c>
      <c r="BG23" s="42">
        <f>'[1]功能-行军令'!GA21*'[1]功能-行军令'!GB21</f>
        <v>52.745660958309635</v>
      </c>
      <c r="BN23" s="49">
        <v>18</v>
      </c>
      <c r="BO23" s="17">
        <f>'[1]资源-木石铜粮'!U23</f>
        <v>13731035.438338738</v>
      </c>
      <c r="BP23" s="17">
        <f>'[1]资源-木石铜粮'!V23</f>
        <v>15861149.406573404</v>
      </c>
      <c r="BQ23" s="17">
        <f>'[1]资源-木石铜粮'!W23</f>
        <v>19022288.713760518</v>
      </c>
      <c r="BR23" s="17">
        <f>'[1]资源-木石铜粮'!X23</f>
        <v>15901409.140455903</v>
      </c>
      <c r="BS23" s="17">
        <f>'[1]资源-木石铜粮'!Y23</f>
        <v>12495094.565556414</v>
      </c>
      <c r="BV23" s="49">
        <v>18</v>
      </c>
      <c r="BW23" s="47">
        <f>'[1]功能-城建'!EQ21+[1]养成buff汇总!H23+'[1]功能-采集'!BS22+[2]产出汇总!AY23+[1]养成buff汇总!GY23</f>
        <v>4514050.7218863321</v>
      </c>
      <c r="BX23" s="47">
        <f>'[1]功能-城建'!ER21+[1]养成buff汇总!I23+'[1]功能-采集'!BT22+[2]产出汇总!AZ23+[1]养成buff汇总!GZ23</f>
        <v>3908119.6350532817</v>
      </c>
      <c r="BY23" s="47">
        <f>'[1]功能-城建'!ES21+[1]养成buff汇总!J23+'[1]功能-采集'!BU22+[2]产出汇总!BA23+[1]养成buff汇总!HA23</f>
        <v>3596872.6214791639</v>
      </c>
      <c r="BZ23" s="47">
        <f>'[1]功能-城建'!ET21+[1]养成buff汇总!K23+'[1]功能-采集'!BV22+[2]产出汇总!BB23+[1]养成buff汇总!HB23</f>
        <v>2836633.0217968412</v>
      </c>
      <c r="CA23" s="47">
        <f>'[1]功能-城建'!EU21+[1]养成buff汇总!L23+'[1]功能-采集'!BW22+[2]产出汇总!BC23+[1]养成buff汇总!HC23</f>
        <v>1996117.9235562875</v>
      </c>
      <c r="CD23" s="49">
        <v>18</v>
      </c>
      <c r="CE23" s="44">
        <f>'[1]资源-铁'!T23</f>
        <v>0</v>
      </c>
      <c r="CF23" s="44">
        <f>'[1]资源-铁'!U23</f>
        <v>0</v>
      </c>
      <c r="CG23" s="44">
        <f>'[1]资源-铁'!V23</f>
        <v>0</v>
      </c>
      <c r="CH23" s="44">
        <f>'[1]资源-铁'!W23</f>
        <v>0</v>
      </c>
      <c r="CI23" s="44">
        <f>'[1]资源-铁'!X23</f>
        <v>0</v>
      </c>
      <c r="CL23" s="49">
        <v>18</v>
      </c>
      <c r="CM23" s="44">
        <f>'[1]功能-城建'!HF21+[1]养成buff汇总!S23+'[1]功能-采集'!BX22</f>
        <v>0</v>
      </c>
      <c r="CN23" s="44">
        <f>'[1]功能-城建'!HG21+[1]养成buff汇总!T23+'[1]功能-采集'!BY22</f>
        <v>0</v>
      </c>
      <c r="CO23" s="44">
        <f>'[1]功能-城建'!HH21+[1]养成buff汇总!U23+'[1]功能-采集'!BZ22</f>
        <v>0</v>
      </c>
      <c r="CP23" s="44">
        <f>'[1]功能-城建'!HI21+[1]养成buff汇总!V23+'[1]功能-采集'!CA22</f>
        <v>0</v>
      </c>
      <c r="CQ23" s="44">
        <f>'[1]功能-城建'!HJ21+[1]养成buff汇总!W23+'[1]功能-采集'!CB22</f>
        <v>0</v>
      </c>
      <c r="CT23" s="49">
        <v>18</v>
      </c>
      <c r="CU23" s="17">
        <f>'[1]资源-玩家城池建筑时间'!AJ23+CU22</f>
        <v>921004.47618691274</v>
      </c>
      <c r="CV23" s="17">
        <f>'[1]资源-玩家城池建筑时间'!AK23+CV22</f>
        <v>1003943.987625604</v>
      </c>
      <c r="CW23" s="17">
        <f>'[1]资源-玩家城池建筑时间'!AL23+CW22</f>
        <v>1104721.0603154104</v>
      </c>
      <c r="CX23" s="17">
        <f>'[1]资源-玩家城池建筑时间'!AM23+CX22</f>
        <v>1230737.6674636072</v>
      </c>
      <c r="CY23" s="17">
        <f>'[1]资源-玩家城池建筑时间'!AN23+CY22</f>
        <v>1375118.6560908824</v>
      </c>
      <c r="DB23" s="49">
        <v>18</v>
      </c>
      <c r="DC23" s="17">
        <f>'[1]资源-士兵训练时间'!U23</f>
        <v>137903.9008360774</v>
      </c>
      <c r="DD23" s="17">
        <f>'[1]资源-士兵训练时间'!V23</f>
        <v>216064.02244564978</v>
      </c>
      <c r="DE23" s="17">
        <f>'[1]资源-士兵训练时间'!W23</f>
        <v>323319.50489124667</v>
      </c>
      <c r="DF23" s="17">
        <f>'[1]资源-士兵训练时间'!X23</f>
        <v>468119.39190053346</v>
      </c>
      <c r="DG23" s="17">
        <f>'[1]资源-士兵训练时间'!Y23</f>
        <v>746771.71139534644</v>
      </c>
    </row>
    <row r="24" spans="2:111" x14ac:dyDescent="0.15">
      <c r="B24" s="23">
        <v>21</v>
      </c>
      <c r="C24" s="24">
        <f>'[1]资源-钻石'!L24</f>
        <v>34006.25761030666</v>
      </c>
      <c r="D24" s="24">
        <f>'[1]资源-钻石'!M24</f>
        <v>40479.7985265752</v>
      </c>
      <c r="E24" s="24">
        <f>'[1]资源-钻石'!N24</f>
        <v>54639.068406522434</v>
      </c>
      <c r="F24" s="24">
        <f>'[1]资源-钻石'!O24</f>
        <v>108098.81740168447</v>
      </c>
      <c r="G24" s="24">
        <f>'[1]资源-钻石'!P24</f>
        <v>173667.39803071128</v>
      </c>
      <c r="I24" s="23">
        <v>21</v>
      </c>
      <c r="J24" s="24">
        <f>'[1]资源-钻石'!T24</f>
        <v>145280.0954376556</v>
      </c>
      <c r="K24" s="24">
        <f>'[1]资源-钻石'!U24</f>
        <v>198553.10498142117</v>
      </c>
      <c r="L24" s="24">
        <f>'[1]资源-钻石'!V24</f>
        <v>321082.66547956335</v>
      </c>
      <c r="M24" s="24">
        <f>'[1]资源-钻石'!W24</f>
        <v>814902.18202751968</v>
      </c>
      <c r="N24" s="24">
        <f>'[1]资源-钻石'!X24</f>
        <v>1907798.3377302715</v>
      </c>
      <c r="P24" s="28">
        <v>21</v>
      </c>
      <c r="Q24" s="28">
        <f>'[1]功能-行军令'!N24</f>
        <v>151.20631710667794</v>
      </c>
      <c r="R24" s="28">
        <f>'[1]功能-行军令'!O24</f>
        <v>191.07613583385876</v>
      </c>
      <c r="S24" s="28">
        <f>'[1]功能-行军令'!P24</f>
        <v>213.54572326529612</v>
      </c>
      <c r="T24" s="28">
        <f>'[1]功能-行军令'!Q24</f>
        <v>178.86688314626454</v>
      </c>
      <c r="U24" s="28">
        <f>'[1]功能-行军令'!R24</f>
        <v>100.08148903660003</v>
      </c>
      <c r="V24" s="28">
        <f>'[1]功能-行军令'!S24</f>
        <v>13.206317106677943</v>
      </c>
      <c r="W24" s="28">
        <f>'[1]功能-行军令'!T24</f>
        <v>16.628235833858753</v>
      </c>
      <c r="X24" s="28">
        <f>'[1]功能-行军令'!U24</f>
        <v>19.060523265296126</v>
      </c>
      <c r="Y24" s="28">
        <f>'[1]功能-行军令'!V24</f>
        <v>16.11658314626456</v>
      </c>
      <c r="Z24" s="28">
        <f>'[1]功能-行军令'!W24</f>
        <v>9.451789036600033</v>
      </c>
      <c r="AC24" s="30">
        <v>21</v>
      </c>
      <c r="AD24" s="41">
        <f>'[1]功能-实力'!BE25</f>
        <v>339636</v>
      </c>
      <c r="AE24" s="41">
        <f>'[1]功能-实力'!BF25</f>
        <v>348258</v>
      </c>
      <c r="AF24" s="41">
        <f>'[1]功能-实力'!BG25</f>
        <v>363978</v>
      </c>
      <c r="AG24" s="41">
        <f>'[1]功能-实力'!BH25</f>
        <v>389910</v>
      </c>
      <c r="AH24" s="41">
        <f>'[1]功能-实力'!BI25</f>
        <v>411870</v>
      </c>
      <c r="AL24" s="37">
        <f>[3]基础状态预期!C34</f>
        <v>400</v>
      </c>
      <c r="AM24" s="37">
        <f>[3]基础状态预期!D34</f>
        <v>86.465948248806328</v>
      </c>
      <c r="AO24" s="37">
        <f>[3]基础状态预期!F34</f>
        <v>0</v>
      </c>
      <c r="AP24" s="37">
        <f>[3]基础状态预期!G34</f>
        <v>0</v>
      </c>
      <c r="AQ24" s="37">
        <f>[3]基础状态预期!H34</f>
        <v>0</v>
      </c>
      <c r="AR24" s="37">
        <f>[3]基础状态预期!I34</f>
        <v>0</v>
      </c>
      <c r="AS24" s="37">
        <f>[3]基础状态预期!J34</f>
        <v>6</v>
      </c>
      <c r="AW24" s="32">
        <v>18</v>
      </c>
      <c r="AX24" s="32">
        <f>[1]节奏总纲!BJ21</f>
        <v>1.4333333333333347</v>
      </c>
      <c r="AY24" s="32">
        <f>[1]节奏总纲!BK21</f>
        <v>1.4620000000000013</v>
      </c>
      <c r="AZ24" s="32">
        <f>[1]节奏总纲!BL21</f>
        <v>1.5193333333333348</v>
      </c>
      <c r="BA24" s="32">
        <f>[1]节奏总纲!BM21</f>
        <v>1.6340000000000015</v>
      </c>
      <c r="BB24" s="32">
        <f>[1]节奏总纲!BN21</f>
        <v>2.0066666666666686</v>
      </c>
      <c r="BF24" s="42">
        <f>'[1]功能-行军令'!FZ22</f>
        <v>18</v>
      </c>
      <c r="BG24" s="42">
        <f>'[1]功能-行军令'!GA22*'[1]功能-行军令'!GB22</f>
        <v>55.382944006225117</v>
      </c>
      <c r="BN24" s="49">
        <v>19</v>
      </c>
      <c r="BO24" s="17">
        <f>'[1]资源-木石铜粮'!U24</f>
        <v>15387771.988345878</v>
      </c>
      <c r="BP24" s="17">
        <f>'[1]资源-木石铜粮'!V24</f>
        <v>17875804.822408225</v>
      </c>
      <c r="BQ24" s="17">
        <f>'[1]资源-木石铜粮'!W24</f>
        <v>21412714.727209087</v>
      </c>
      <c r="BR24" s="17">
        <f>'[1]资源-木石铜粮'!X24</f>
        <v>17972382.150098544</v>
      </c>
      <c r="BS24" s="17">
        <f>'[1]资源-木石铜粮'!Y24</f>
        <v>14225282.10667525</v>
      </c>
      <c r="BV24" s="49">
        <v>19</v>
      </c>
      <c r="BW24" s="47">
        <f>'[1]功能-城建'!EQ22+[1]养成buff汇总!H24+'[1]功能-采集'!BS23+[2]产出汇总!AY24+[1]养成buff汇总!GY24</f>
        <v>5461646.4760561604</v>
      </c>
      <c r="BX24" s="47">
        <f>'[1]功能-城建'!ER22+[1]养成buff汇总!I24+'[1]功能-采集'!BT23+[2]产出汇总!AZ24+[1]养成buff汇总!GZ24</f>
        <v>4718065.5172937606</v>
      </c>
      <c r="BY24" s="47">
        <f>'[1]功能-城建'!ES22+[1]养成buff汇总!J24+'[1]功能-采集'!BU23+[2]产出汇总!BA24+[1]养成buff汇总!HA24</f>
        <v>4328529.3093643598</v>
      </c>
      <c r="BZ24" s="47">
        <f>'[1]功能-城建'!ET22+[1]养成buff汇总!K24+'[1]功能-采集'!BV23+[2]产出汇总!BB24+[1]养成buff汇总!HB24</f>
        <v>3381940.3640940208</v>
      </c>
      <c r="CA24" s="47">
        <f>'[1]功能-城建'!EU22+[1]养成buff汇总!L24+'[1]功能-采集'!BW23+[2]产出汇总!BC24+[1]养成buff汇总!HC24</f>
        <v>2385005.7755700187</v>
      </c>
      <c r="CD24" s="49">
        <v>19</v>
      </c>
      <c r="CE24" s="44">
        <f>'[1]资源-铁'!T24</f>
        <v>0</v>
      </c>
      <c r="CF24" s="44">
        <f>'[1]资源-铁'!U24</f>
        <v>0</v>
      </c>
      <c r="CG24" s="44">
        <f>'[1]资源-铁'!V24</f>
        <v>0</v>
      </c>
      <c r="CH24" s="44">
        <f>'[1]资源-铁'!W24</f>
        <v>0</v>
      </c>
      <c r="CI24" s="44">
        <f>'[1]资源-铁'!X24</f>
        <v>0</v>
      </c>
      <c r="CL24" s="49">
        <v>19</v>
      </c>
      <c r="CM24" s="44">
        <f>'[1]功能-城建'!HF22+[1]养成buff汇总!S24+'[1]功能-采集'!BX23</f>
        <v>0</v>
      </c>
      <c r="CN24" s="44">
        <f>'[1]功能-城建'!HG22+[1]养成buff汇总!T24+'[1]功能-采集'!BY23</f>
        <v>0</v>
      </c>
      <c r="CO24" s="44">
        <f>'[1]功能-城建'!HH22+[1]养成buff汇总!U24+'[1]功能-采集'!BZ23</f>
        <v>0</v>
      </c>
      <c r="CP24" s="44">
        <f>'[1]功能-城建'!HI22+[1]养成buff汇总!V24+'[1]功能-采集'!CA23</f>
        <v>0</v>
      </c>
      <c r="CQ24" s="44">
        <f>'[1]功能-城建'!HJ22+[1]养成buff汇总!W24+'[1]功能-采集'!CB23</f>
        <v>0</v>
      </c>
      <c r="CT24" s="49">
        <v>19</v>
      </c>
      <c r="CU24" s="17">
        <f>'[1]资源-玩家城池建筑时间'!AJ24+CU23</f>
        <v>1020546.7991056305</v>
      </c>
      <c r="CV24" s="17">
        <f>'[1]资源-玩家城池建筑时间'!AK24+CV23</f>
        <v>1111846.6174474815</v>
      </c>
      <c r="CW24" s="17">
        <f>'[1]资源-玩家城池建筑时间'!AL24+CW23</f>
        <v>1224786.7878966061</v>
      </c>
      <c r="CX24" s="17">
        <f>'[1]资源-玩家城池建筑时间'!AM24+CX23</f>
        <v>1363590.1937582875</v>
      </c>
      <c r="CY24" s="17">
        <f>'[1]资源-玩家城池建筑时间'!AN24+CY23</f>
        <v>1531944.3219918713</v>
      </c>
      <c r="DB24" s="49">
        <v>19</v>
      </c>
      <c r="DC24" s="17">
        <f>'[1]资源-士兵训练时间'!U24</f>
        <v>167310.67215998156</v>
      </c>
      <c r="DD24" s="17">
        <f>'[1]资源-士兵训练时间'!V24</f>
        <v>261667.08994836765</v>
      </c>
      <c r="DE24" s="17">
        <f>'[1]资源-士兵训练时间'!W24</f>
        <v>386940.95607077586</v>
      </c>
      <c r="DF24" s="17">
        <f>'[1]资源-士兵训练时间'!X24</f>
        <v>552736.05516655813</v>
      </c>
      <c r="DG24" s="17">
        <f>'[1]资源-士兵训练时间'!Y24</f>
        <v>877704.85492873087</v>
      </c>
    </row>
    <row r="25" spans="2:111" x14ac:dyDescent="0.15">
      <c r="B25" s="23">
        <v>22</v>
      </c>
      <c r="C25" s="24">
        <f>'[1]资源-钻石'!L25</f>
        <v>36630.364544516153</v>
      </c>
      <c r="D25" s="24">
        <f>'[1]资源-钻石'!M25</f>
        <v>43557.641631874139</v>
      </c>
      <c r="E25" s="24">
        <f>'[1]资源-钻石'!N25</f>
        <v>58638.567976998238</v>
      </c>
      <c r="F25" s="24">
        <f>'[1]资源-钻石'!O25</f>
        <v>115314.43782592882</v>
      </c>
      <c r="G25" s="24">
        <f>'[1]资源-钻石'!P25</f>
        <v>185363.46105599453</v>
      </c>
      <c r="I25" s="23">
        <v>22</v>
      </c>
      <c r="J25" s="24">
        <f>'[1]资源-钻石'!T25</f>
        <v>150965.92810142756</v>
      </c>
      <c r="K25" s="24">
        <f>'[1]资源-钻石'!U25</f>
        <v>206382.52091157032</v>
      </c>
      <c r="L25" s="24">
        <f>'[1]资源-钻石'!V25</f>
        <v>333868.77300272742</v>
      </c>
      <c r="M25" s="24">
        <f>'[1]资源-钻石'!W25</f>
        <v>847735.65030300012</v>
      </c>
      <c r="N25" s="24">
        <f>'[1]资源-钻石'!X25</f>
        <v>1985029.2153333002</v>
      </c>
      <c r="P25" s="28">
        <v>22</v>
      </c>
      <c r="Q25" s="28">
        <f>'[1]功能-行军令'!N25</f>
        <v>165.36049731945442</v>
      </c>
      <c r="R25" s="28">
        <f>'[1]功能-行军令'!O25</f>
        <v>209.32374240788337</v>
      </c>
      <c r="S25" s="28">
        <f>'[1]功能-行军令'!P25</f>
        <v>234.3204979331129</v>
      </c>
      <c r="T25" s="28">
        <f>'[1]功能-行军令'!Q25</f>
        <v>196.49895740273368</v>
      </c>
      <c r="U25" s="28">
        <f>'[1]功能-行军令'!R25</f>
        <v>110.07940462753481</v>
      </c>
      <c r="V25" s="28">
        <f>'[1]功能-行军令'!S25</f>
        <v>14.154180212776481</v>
      </c>
      <c r="W25" s="28">
        <f>'[1]功能-行军令'!T25</f>
        <v>18.247606574024616</v>
      </c>
      <c r="X25" s="28">
        <f>'[1]功能-行军令'!U25</f>
        <v>20.774774667816786</v>
      </c>
      <c r="Y25" s="28">
        <f>'[1]功能-行军令'!V25</f>
        <v>17.632074256469139</v>
      </c>
      <c r="Z25" s="28">
        <f>'[1]功能-行军令'!W25</f>
        <v>9.997915590934781</v>
      </c>
      <c r="AC25" s="30">
        <v>22</v>
      </c>
      <c r="AD25" s="41">
        <f>'[1]功能-实力'!BE26</f>
        <v>360222</v>
      </c>
      <c r="AE25" s="41">
        <f>'[1]功能-实力'!BF26</f>
        <v>369666</v>
      </c>
      <c r="AF25" s="41">
        <f>'[1]功能-实力'!BG26</f>
        <v>386538</v>
      </c>
      <c r="AG25" s="41">
        <f>'[1]功能-实力'!BH26</f>
        <v>414318</v>
      </c>
      <c r="AH25" s="41">
        <f>'[1]功能-实力'!BI26</f>
        <v>439956</v>
      </c>
      <c r="AL25" s="37">
        <f>[3]基础状态预期!C35</f>
        <v>520</v>
      </c>
      <c r="AM25" s="37">
        <f>[3]基础状态预期!D35</f>
        <v>90.244911202258237</v>
      </c>
      <c r="AO25" s="37">
        <f>[3]基础状态预期!F35</f>
        <v>0</v>
      </c>
      <c r="AP25" s="37">
        <f>[3]基础状态预期!G35</f>
        <v>0</v>
      </c>
      <c r="AQ25" s="37">
        <f>[3]基础状态预期!H35</f>
        <v>0</v>
      </c>
      <c r="AR25" s="37">
        <f>[3]基础状态预期!I35</f>
        <v>0</v>
      </c>
      <c r="AS25" s="37">
        <f>[3]基础状态预期!J35</f>
        <v>6</v>
      </c>
      <c r="AW25" s="32">
        <v>19</v>
      </c>
      <c r="AX25" s="32">
        <f>[1]节奏总纲!BJ22</f>
        <v>1.4666666666666681</v>
      </c>
      <c r="AY25" s="32">
        <f>[1]节奏总纲!BK22</f>
        <v>1.4960000000000016</v>
      </c>
      <c r="AZ25" s="32">
        <f>[1]节奏总纲!BL22</f>
        <v>1.5546666666666682</v>
      </c>
      <c r="BA25" s="32">
        <f>[1]节奏总纲!BM22</f>
        <v>1.6720000000000015</v>
      </c>
      <c r="BB25" s="32">
        <f>[1]节奏总纲!BN22</f>
        <v>2.0533333333333355</v>
      </c>
      <c r="BF25" s="42">
        <f>'[1]功能-行军令'!FZ23</f>
        <v>19</v>
      </c>
      <c r="BG25" s="42">
        <f>'[1]功能-行军令'!GA23*'[1]功能-行军令'!GB23</f>
        <v>58.152091206536376</v>
      </c>
      <c r="BN25" s="49">
        <v>20</v>
      </c>
      <c r="BO25" s="17">
        <f>'[1]资源-木石铜粮'!U25</f>
        <v>17222128.407055628</v>
      </c>
      <c r="BP25" s="17">
        <f>'[1]资源-木石铜粮'!V25</f>
        <v>20085766.901121803</v>
      </c>
      <c r="BQ25" s="17">
        <f>'[1]资源-木石铜粮'!W25</f>
        <v>24191862.696755547</v>
      </c>
      <c r="BR25" s="17">
        <f>'[1]资源-木石铜粮'!X25</f>
        <v>20409695.825021543</v>
      </c>
      <c r="BS25" s="17">
        <f>'[1]资源-木石铜粮'!Y25</f>
        <v>16124502.592146035</v>
      </c>
      <c r="BV25" s="49">
        <v>20</v>
      </c>
      <c r="BW25" s="47">
        <f>'[1]功能-城建'!EQ23+[1]养成buff汇总!H25+'[1]功能-采集'!BS24+[2]产出汇总!AY25+[1]养成buff汇总!GY25</f>
        <v>6547987.2346083168</v>
      </c>
      <c r="BX25" s="47">
        <f>'[1]功能-城建'!ER23+[1]养成buff汇总!I25+'[1]功能-采集'!BT24+[2]产出汇总!AZ25+[1]养成buff汇总!GZ25</f>
        <v>5616126.3438705532</v>
      </c>
      <c r="BY25" s="47">
        <f>'[1]功能-城建'!ES23+[1]养成buff汇总!J25+'[1]功能-采集'!BU24+[2]产出汇总!BA25+[1]养成buff汇总!HA25</f>
        <v>5120252.5214963537</v>
      </c>
      <c r="BZ25" s="47">
        <f>'[1]功能-城建'!ET23+[1]养成buff汇总!K25+'[1]功能-采集'!BV24+[2]产出汇总!BB25+[1]养成buff汇总!HB25</f>
        <v>3991185.8292848603</v>
      </c>
      <c r="CA25" s="47">
        <f>'[1]功能-城建'!EU23+[1]养成buff汇总!L25+'[1]功能-采集'!BW24+[2]产出汇总!BC25+[1]养成buff汇总!HC25</f>
        <v>2794491.3212276855</v>
      </c>
      <c r="CD25" s="49">
        <v>20</v>
      </c>
      <c r="CE25" s="44">
        <f>'[1]资源-铁'!T25</f>
        <v>0</v>
      </c>
      <c r="CF25" s="44">
        <f>'[1]资源-铁'!U25</f>
        <v>0</v>
      </c>
      <c r="CG25" s="44">
        <f>'[1]资源-铁'!V25</f>
        <v>0</v>
      </c>
      <c r="CH25" s="44">
        <f>'[1]资源-铁'!W25</f>
        <v>0</v>
      </c>
      <c r="CI25" s="44">
        <f>'[1]资源-铁'!X25</f>
        <v>0</v>
      </c>
      <c r="CL25" s="49">
        <v>20</v>
      </c>
      <c r="CM25" s="44">
        <f>'[1]功能-城建'!HF23+[1]养成buff汇总!S25+'[1]功能-采集'!BX24</f>
        <v>0</v>
      </c>
      <c r="CN25" s="44">
        <f>'[1]功能-城建'!HG23+[1]养成buff汇总!T25+'[1]功能-采集'!BY24</f>
        <v>0</v>
      </c>
      <c r="CO25" s="44">
        <f>'[1]功能-城建'!HH23+[1]养成buff汇总!U25+'[1]功能-采集'!BZ24</f>
        <v>0</v>
      </c>
      <c r="CP25" s="44">
        <f>'[1]功能-城建'!HI23+[1]养成buff汇总!V25+'[1]功能-采集'!CA24</f>
        <v>0</v>
      </c>
      <c r="CQ25" s="44">
        <f>'[1]功能-城建'!HJ23+[1]养成buff汇总!W25+'[1]功能-采集'!CB24</f>
        <v>0</v>
      </c>
      <c r="CT25" s="49">
        <v>20</v>
      </c>
      <c r="CU25" s="17">
        <f>'[1]资源-玩家城池建筑时间'!AJ25+CU24</f>
        <v>1124783.913614843</v>
      </c>
      <c r="CV25" s="17">
        <f>'[1]资源-玩家城池建筑时间'!AK25+CV24</f>
        <v>1225959.1544415634</v>
      </c>
      <c r="CW25" s="17">
        <f>'[1]资源-玩家城池建筑时间'!AL25+CW24</f>
        <v>1348838.3597989478</v>
      </c>
      <c r="CX25" s="17">
        <f>'[1]资源-玩家城池建筑时间'!AM25+CX24</f>
        <v>1506175.5959137878</v>
      </c>
      <c r="CY25" s="17">
        <f>'[1]资源-玩家城池建筑时间'!AN25+CY24</f>
        <v>1689243.6012351657</v>
      </c>
      <c r="DB25" s="49">
        <v>20</v>
      </c>
      <c r="DC25" s="17">
        <f>'[1]资源-士兵训练时间'!U25</f>
        <v>200351.10067246875</v>
      </c>
      <c r="DD25" s="17">
        <f>'[1]资源-士兵训练时间'!V25</f>
        <v>310050.56868931535</v>
      </c>
      <c r="DE25" s="17">
        <f>'[1]资源-士兵训练时间'!W25</f>
        <v>452783.57607986307</v>
      </c>
      <c r="DF25" s="17">
        <f>'[1]资源-士兵训练时间'!X25</f>
        <v>642177.75711211341</v>
      </c>
      <c r="DG25" s="17">
        <f>'[1]资源-士兵训练时间'!Y25</f>
        <v>1008522.4030282049</v>
      </c>
    </row>
    <row r="26" spans="2:111" x14ac:dyDescent="0.15">
      <c r="B26" s="23">
        <v>23</v>
      </c>
      <c r="C26" s="24">
        <f>'[1]资源-钻石'!L26</f>
        <v>39442.812719459347</v>
      </c>
      <c r="D26" s="24">
        <f>'[1]资源-钻石'!M26</f>
        <v>46765.625878930281</v>
      </c>
      <c r="E26" s="24">
        <f>'[1]资源-钻石'!N26</f>
        <v>62694.491631069395</v>
      </c>
      <c r="F26" s="24">
        <f>'[1]资源-钻石'!O26</f>
        <v>122559.21169298288</v>
      </c>
      <c r="G26" s="24">
        <f>'[1]资源-钻石'!P26</f>
        <v>194255.42193458098</v>
      </c>
      <c r="I26" s="23">
        <v>23</v>
      </c>
      <c r="J26" s="24">
        <f>'[1]资源-钻石'!T26</f>
        <v>156651.76076519952</v>
      </c>
      <c r="K26" s="24">
        <f>'[1]资源-钻石'!U26</f>
        <v>214211.93684171949</v>
      </c>
      <c r="L26" s="24">
        <f>'[1]资源-钻石'!V26</f>
        <v>346654.88052589144</v>
      </c>
      <c r="M26" s="24">
        <f>'[1]资源-钻石'!W26</f>
        <v>880569.11857848056</v>
      </c>
      <c r="N26" s="24">
        <f>'[1]资源-钻石'!X26</f>
        <v>2062260.0929363286</v>
      </c>
      <c r="P26" s="28">
        <v>23</v>
      </c>
      <c r="Q26" s="28">
        <f>'[1]功能-行军令'!N26</f>
        <v>180.53057205546457</v>
      </c>
      <c r="R26" s="28">
        <f>'[1]功能-行军令'!O26</f>
        <v>228.34291669105832</v>
      </c>
      <c r="S26" s="28">
        <f>'[1]功能-行军令'!P26</f>
        <v>255.38835867379359</v>
      </c>
      <c r="T26" s="28">
        <f>'[1]功能-行军令'!Q26</f>
        <v>214.20227094816607</v>
      </c>
      <c r="U26" s="28">
        <f>'[1]功能-行军令'!R26</f>
        <v>119.57167719657959</v>
      </c>
      <c r="V26" s="28">
        <f>'[1]功能-行军令'!S26</f>
        <v>15.17007473601015</v>
      </c>
      <c r="W26" s="28">
        <f>'[1]功能-行军令'!T26</f>
        <v>19.019174283174948</v>
      </c>
      <c r="X26" s="28">
        <f>'[1]功能-行军令'!U26</f>
        <v>21.067860740680686</v>
      </c>
      <c r="Y26" s="28">
        <f>'[1]功能-行军令'!V26</f>
        <v>17.703313545432394</v>
      </c>
      <c r="Z26" s="28">
        <f>'[1]功能-行军令'!W26</f>
        <v>9.492272569044772</v>
      </c>
      <c r="AC26" s="30">
        <v>23</v>
      </c>
      <c r="AD26" s="41">
        <f>'[1]功能-实力'!BE27</f>
        <v>381264</v>
      </c>
      <c r="AE26" s="41">
        <f>'[1]功能-实力'!BF27</f>
        <v>391674</v>
      </c>
      <c r="AF26" s="41">
        <f>'[1]功能-实力'!BG27</f>
        <v>409326</v>
      </c>
      <c r="AG26" s="41">
        <f>'[1]功能-实力'!BH27</f>
        <v>439428</v>
      </c>
      <c r="AH26" s="41">
        <f>'[1]功能-实力'!BI27</f>
        <v>468192</v>
      </c>
      <c r="AL26" s="37">
        <f>[3]基础状态预期!C36</f>
        <v>640</v>
      </c>
      <c r="AM26" s="37">
        <f>[3]基础状态预期!D36</f>
        <v>93.235489905456092</v>
      </c>
      <c r="AO26" s="37">
        <f>[3]基础状态预期!F36</f>
        <v>0</v>
      </c>
      <c r="AP26" s="37">
        <f>[3]基础状态预期!G36</f>
        <v>0</v>
      </c>
      <c r="AQ26" s="37">
        <f>[3]基础状态预期!H36</f>
        <v>0</v>
      </c>
      <c r="AR26" s="37">
        <f>[3]基础状态预期!I36</f>
        <v>0</v>
      </c>
      <c r="AS26" s="37">
        <f>[3]基础状态预期!J36</f>
        <v>6</v>
      </c>
      <c r="AW26" s="32">
        <v>20</v>
      </c>
      <c r="AX26" s="32">
        <f>[1]节奏总纲!BJ23</f>
        <v>1.5000000000000016</v>
      </c>
      <c r="AY26" s="32">
        <f>[1]节奏总纲!BK23</f>
        <v>1.5300000000000016</v>
      </c>
      <c r="AZ26" s="32">
        <f>[1]节奏总纲!BL23</f>
        <v>1.5900000000000016</v>
      </c>
      <c r="BA26" s="32">
        <f>[1]节奏总纲!BM23</f>
        <v>1.7100000000000015</v>
      </c>
      <c r="BB26" s="32">
        <f>[1]节奏总纲!BN23</f>
        <v>2.1000000000000019</v>
      </c>
      <c r="BF26" s="42">
        <f>'[1]功能-行军令'!FZ24</f>
        <v>20</v>
      </c>
      <c r="BG26" s="42">
        <f>'[1]功能-行军令'!GA24*'[1]功能-行军令'!GB24</f>
        <v>61.0596957668632</v>
      </c>
      <c r="BN26" s="49">
        <v>21</v>
      </c>
      <c r="BO26" s="17">
        <f>'[1]资源-木石铜粮'!U26</f>
        <v>19675140.58125256</v>
      </c>
      <c r="BP26" s="17">
        <f>'[1]资源-木石铜粮'!V26</f>
        <v>22906064.730592255</v>
      </c>
      <c r="BQ26" s="17">
        <f>'[1]资源-木石铜粮'!W26</f>
        <v>27820922.894713115</v>
      </c>
      <c r="BR26" s="17">
        <f>'[1]资源-木石铜粮'!X26</f>
        <v>23517203.548833281</v>
      </c>
      <c r="BS26" s="17">
        <f>'[1]资源-木石铜粮'!Y26</f>
        <v>18833141.378623344</v>
      </c>
      <c r="BV26" s="49">
        <v>21</v>
      </c>
      <c r="BW26" s="47">
        <f>'[1]功能-城建'!EQ24+[1]养成buff汇总!H26+'[1]功能-采集'!BS25+[2]产出汇总!AY26+[1]养成buff汇总!GY26</f>
        <v>7795310.7037714366</v>
      </c>
      <c r="BX26" s="47">
        <f>'[1]功能-城建'!ER24+[1]养成buff汇总!I26+'[1]功能-采集'!BT25+[2]产出汇总!AZ26+[1]养成buff汇总!GZ26</f>
        <v>6641418.8061565384</v>
      </c>
      <c r="BY26" s="47">
        <f>'[1]功能-城建'!ES24+[1]养成buff汇总!J26+'[1]功能-采集'!BU25+[2]产出汇总!BA26+[1]养成buff汇总!HA26</f>
        <v>6070043.2752838209</v>
      </c>
      <c r="BZ26" s="47">
        <f>'[1]功能-城建'!ET24+[1]养成buff汇总!K26+'[1]功能-采集'!BV25+[2]产出汇总!BB26+[1]养成buff汇总!HB26</f>
        <v>4694275.1111222375</v>
      </c>
      <c r="CA26" s="47">
        <f>'[1]功能-城建'!EU24+[1]养成buff汇总!L26+'[1]功能-采集'!BW25+[2]产出汇总!BC26+[1]养成buff汇总!HC26</f>
        <v>3303396.8546653641</v>
      </c>
      <c r="CD26" s="49">
        <v>21</v>
      </c>
      <c r="CE26" s="44">
        <f>'[1]资源-铁'!T26</f>
        <v>0</v>
      </c>
      <c r="CF26" s="44">
        <f>'[1]资源-铁'!U26</f>
        <v>0</v>
      </c>
      <c r="CG26" s="44">
        <f>'[1]资源-铁'!V26</f>
        <v>0</v>
      </c>
      <c r="CH26" s="44">
        <f>'[1]资源-铁'!W26</f>
        <v>0</v>
      </c>
      <c r="CI26" s="44">
        <f>'[1]资源-铁'!X26</f>
        <v>0</v>
      </c>
      <c r="CL26" s="49">
        <v>21</v>
      </c>
      <c r="CM26" s="44">
        <f>'[1]功能-城建'!HF24+[1]养成buff汇总!S26+'[1]功能-采集'!BX25</f>
        <v>0</v>
      </c>
      <c r="CN26" s="44">
        <f>'[1]功能-城建'!HG24+[1]养成buff汇总!T26+'[1]功能-采集'!BY25</f>
        <v>0</v>
      </c>
      <c r="CO26" s="44">
        <f>'[1]功能-城建'!HH24+[1]养成buff汇总!U26+'[1]功能-采集'!BZ25</f>
        <v>0</v>
      </c>
      <c r="CP26" s="44">
        <f>'[1]功能-城建'!HI24+[1]养成buff汇总!V26+'[1]功能-采集'!CA25</f>
        <v>0</v>
      </c>
      <c r="CQ26" s="44">
        <f>'[1]功能-城建'!HJ24+[1]养成buff汇总!W26+'[1]功能-采集'!CB25</f>
        <v>0</v>
      </c>
      <c r="CT26" s="49">
        <v>21</v>
      </c>
      <c r="CU26" s="17">
        <f>'[1]资源-玩家城池建筑时间'!AJ26+CU25</f>
        <v>1238939.2162706219</v>
      </c>
      <c r="CV26" s="17">
        <f>'[1]资源-玩家城池建筑时间'!AK26+CV25</f>
        <v>1349979.01482406</v>
      </c>
      <c r="CW26" s="17">
        <f>'[1]资源-玩家城池建筑时间'!AL26+CW25</f>
        <v>1490223.4234864071</v>
      </c>
      <c r="CX26" s="17">
        <f>'[1]资源-玩家城池建筑时间'!AM26+CX25</f>
        <v>1665541.5022186106</v>
      </c>
      <c r="CY26" s="17">
        <f>'[1]资源-玩家城池建筑时间'!AN26+CY25</f>
        <v>1881633.3866408803</v>
      </c>
      <c r="DB26" s="49">
        <v>21</v>
      </c>
      <c r="DC26" s="17">
        <f>'[1]资源-士兵训练时间'!U26</f>
        <v>236671.56835126152</v>
      </c>
      <c r="DD26" s="17">
        <f>'[1]资源-士兵训练时间'!V26</f>
        <v>362711.19952548551</v>
      </c>
      <c r="DE26" s="17">
        <f>'[1]资源-士兵训练时间'!W26</f>
        <v>526842.06519518758</v>
      </c>
      <c r="DF26" s="17">
        <f>'[1]资源-士兵训练时间'!X26</f>
        <v>741753.18729246606</v>
      </c>
      <c r="DG26" s="17">
        <f>'[1]资源-士兵训练时间'!Y26</f>
        <v>1140566.9207733318</v>
      </c>
    </row>
    <row r="27" spans="2:111" x14ac:dyDescent="0.15">
      <c r="B27" s="23">
        <v>24</v>
      </c>
      <c r="C27" s="24">
        <f>'[1]资源-钻石'!L27</f>
        <v>42457.120038122113</v>
      </c>
      <c r="D27" s="24">
        <f>'[1]资源-钻石'!M27</f>
        <v>50306.855338133988</v>
      </c>
      <c r="E27" s="24">
        <f>'[1]资源-钻石'!N27</f>
        <v>67309.887665076516</v>
      </c>
      <c r="F27" s="24">
        <f>'[1]资源-钻石'!O27</f>
        <v>130760.43694876952</v>
      </c>
      <c r="G27" s="24">
        <f>'[1]资源-钻石'!P27</f>
        <v>204714.69584438205</v>
      </c>
      <c r="I27" s="23">
        <v>24</v>
      </c>
      <c r="J27" s="24">
        <f>'[1]资源-钻石'!T27</f>
        <v>162337.59342897148</v>
      </c>
      <c r="K27" s="24">
        <f>'[1]资源-钻石'!U27</f>
        <v>222041.35277186864</v>
      </c>
      <c r="L27" s="24">
        <f>'[1]资源-钻石'!V27</f>
        <v>359440.98804905551</v>
      </c>
      <c r="M27" s="24">
        <f>'[1]资源-钻石'!W27</f>
        <v>913402.58685396099</v>
      </c>
      <c r="N27" s="24">
        <f>'[1]资源-钻石'!X27</f>
        <v>2139490.970539357</v>
      </c>
      <c r="P27" s="28">
        <v>24</v>
      </c>
      <c r="Q27" s="28">
        <f>'[1]功能-行军令'!N27</f>
        <v>196.78945558221253</v>
      </c>
      <c r="R27" s="28">
        <f>'[1]功能-行军令'!O27</f>
        <v>249.3378016637993</v>
      </c>
      <c r="S27" s="28">
        <f>'[1]功能-行军令'!P27</f>
        <v>279.36231114450891</v>
      </c>
      <c r="T27" s="28">
        <f>'[1]功能-行军令'!Q27</f>
        <v>234.24276701115065</v>
      </c>
      <c r="U27" s="28">
        <f>'[1]功能-行军令'!R27</f>
        <v>130.73707481604291</v>
      </c>
      <c r="V27" s="28">
        <f>'[1]功能-行军令'!S27</f>
        <v>16.258883526747951</v>
      </c>
      <c r="W27" s="28">
        <f>'[1]功能-行军令'!T27</f>
        <v>20.994884972740977</v>
      </c>
      <c r="X27" s="28">
        <f>'[1]功能-行军令'!U27</f>
        <v>23.973952470715318</v>
      </c>
      <c r="Y27" s="28">
        <f>'[1]功能-行军令'!V27</f>
        <v>20.040496062984573</v>
      </c>
      <c r="Z27" s="28">
        <f>'[1]功能-行军令'!W27</f>
        <v>11.16539761946332</v>
      </c>
      <c r="AC27" s="30">
        <v>24</v>
      </c>
      <c r="AD27" s="41">
        <f>'[1]功能-实力'!BE28</f>
        <v>402726</v>
      </c>
      <c r="AE27" s="41">
        <f>'[1]功能-实力'!BF28</f>
        <v>414024</v>
      </c>
      <c r="AF27" s="41">
        <f>'[1]功能-实力'!BG28</f>
        <v>433044</v>
      </c>
      <c r="AG27" s="41">
        <f>'[1]功能-实力'!BH28</f>
        <v>466230</v>
      </c>
      <c r="AH27" s="41">
        <f>'[1]功能-实力'!BI28</f>
        <v>497856</v>
      </c>
      <c r="AL27" s="37">
        <f>[3]基础状态预期!C37</f>
        <v>820</v>
      </c>
      <c r="AM27" s="37">
        <f>[3]基础状态预期!D37</f>
        <v>96.807063977001675</v>
      </c>
      <c r="AO27" s="37">
        <f>[3]基础状态预期!F37</f>
        <v>0</v>
      </c>
      <c r="AP27" s="37">
        <f>[3]基础状态预期!G37</f>
        <v>0</v>
      </c>
      <c r="AQ27" s="37">
        <f>[3]基础状态预期!H37</f>
        <v>0</v>
      </c>
      <c r="AR27" s="37">
        <f>[3]基础状态预期!I37</f>
        <v>0</v>
      </c>
      <c r="AS27" s="37">
        <f>[3]基础状态预期!J37</f>
        <v>6</v>
      </c>
      <c r="AW27" s="32">
        <v>21</v>
      </c>
      <c r="AX27" s="32">
        <f>[1]节奏总纲!BJ24</f>
        <v>1.533333333333335</v>
      </c>
      <c r="AY27" s="32">
        <f>[1]节奏总纲!BK24</f>
        <v>1.5640000000000016</v>
      </c>
      <c r="AZ27" s="32">
        <f>[1]节奏总纲!BL24</f>
        <v>1.6253333333333351</v>
      </c>
      <c r="BA27" s="32">
        <f>[1]节奏总纲!BM24</f>
        <v>1.7480000000000018</v>
      </c>
      <c r="BB27" s="32">
        <f>[1]节奏总纲!BN24</f>
        <v>2.1466666666666687</v>
      </c>
      <c r="BF27" s="42">
        <f>'[1]功能-行军令'!FZ25</f>
        <v>21</v>
      </c>
      <c r="BG27" s="42">
        <f>'[1]功能-行军令'!GA25*'[1]功能-行军令'!GB25</f>
        <v>64.112680555206367</v>
      </c>
      <c r="BN27" s="49">
        <v>22</v>
      </c>
      <c r="BO27" s="17">
        <f>'[1]资源-木石铜粮'!U27</f>
        <v>22142611.295390178</v>
      </c>
      <c r="BP27" s="17">
        <f>'[1]资源-木石铜粮'!V27</f>
        <v>25926754.864091232</v>
      </c>
      <c r="BQ27" s="17">
        <f>'[1]资源-木石铜粮'!W27</f>
        <v>31613695.871910471</v>
      </c>
      <c r="BR27" s="17">
        <f>'[1]资源-木石铜粮'!X27</f>
        <v>26854513.375892401</v>
      </c>
      <c r="BS27" s="17">
        <f>'[1]资源-木石铜粮'!Y27</f>
        <v>21717506.681302954</v>
      </c>
      <c r="BV27" s="49">
        <v>22</v>
      </c>
      <c r="BW27" s="47">
        <f>'[1]功能-城建'!EQ25+[1]养成buff汇总!H27+'[1]功能-采集'!BS26+[2]产出汇总!AY27+[1]养成buff汇总!GY27</f>
        <v>9189313.4114746619</v>
      </c>
      <c r="BX27" s="47">
        <f>'[1]功能-城建'!ER25+[1]养成buff汇总!I27+'[1]功能-采集'!BT26+[2]产出汇总!AZ27+[1]养成buff汇总!GZ27</f>
        <v>7837694.0055788187</v>
      </c>
      <c r="BY27" s="47">
        <f>'[1]功能-城建'!ES25+[1]养成buff汇总!J27+'[1]功能-采集'!BU26+[2]产出汇总!BA27+[1]养成buff汇总!HA27</f>
        <v>7162091.6812226316</v>
      </c>
      <c r="BZ27" s="47">
        <f>'[1]功能-城建'!ET25+[1]养成buff汇总!K27+'[1]功能-采集'!BV26+[2]产出汇总!BB27+[1]养成buff汇总!HB27</f>
        <v>5504584.9685966708</v>
      </c>
      <c r="CA27" s="47">
        <f>'[1]功能-城建'!EU25+[1]养成buff汇总!L27+'[1]功能-采集'!BW26+[2]产出汇总!BC27+[1]养成buff汇总!HC27</f>
        <v>3864136.1746163936</v>
      </c>
      <c r="CD27" s="49">
        <v>22</v>
      </c>
      <c r="CE27" s="44">
        <f>'[1]资源-铁'!T27</f>
        <v>0</v>
      </c>
      <c r="CF27" s="44">
        <f>'[1]资源-铁'!U27</f>
        <v>0</v>
      </c>
      <c r="CG27" s="44">
        <f>'[1]资源-铁'!V27</f>
        <v>0</v>
      </c>
      <c r="CH27" s="44">
        <f>'[1]资源-铁'!W27</f>
        <v>0</v>
      </c>
      <c r="CI27" s="44">
        <f>'[1]资源-铁'!X27</f>
        <v>0</v>
      </c>
      <c r="CL27" s="49">
        <v>22</v>
      </c>
      <c r="CM27" s="44">
        <f>'[1]功能-城建'!HF25+[1]养成buff汇总!S27+'[1]功能-采集'!BX26</f>
        <v>0</v>
      </c>
      <c r="CN27" s="44">
        <f>'[1]功能-城建'!HG25+[1]养成buff汇总!T27+'[1]功能-采集'!BY26</f>
        <v>0</v>
      </c>
      <c r="CO27" s="44">
        <f>'[1]功能-城建'!HH25+[1]养成buff汇总!U27+'[1]功能-采集'!BZ26</f>
        <v>0</v>
      </c>
      <c r="CP27" s="44">
        <f>'[1]功能-城建'!HI25+[1]养成buff汇总!V27+'[1]功能-采集'!CA26</f>
        <v>0</v>
      </c>
      <c r="CQ27" s="44">
        <f>'[1]功能-城建'!HJ25+[1]养成buff汇总!W27+'[1]功能-采集'!CB26</f>
        <v>0</v>
      </c>
      <c r="CT27" s="49">
        <v>22</v>
      </c>
      <c r="CU27" s="17">
        <f>'[1]资源-玩家城池建筑时间'!AJ27+CU26</f>
        <v>1361948.1748102321</v>
      </c>
      <c r="CV27" s="17">
        <f>'[1]资源-玩家城池建筑时间'!AK27+CV26</f>
        <v>1487860.4575192269</v>
      </c>
      <c r="CW27" s="17">
        <f>'[1]资源-玩家城池建筑时间'!AL27+CW26</f>
        <v>1645234.716559039</v>
      </c>
      <c r="CX27" s="17">
        <f>'[1]资源-玩家城池建筑时间'!AM27+CX26</f>
        <v>1844343.0838324132</v>
      </c>
      <c r="CY27" s="17">
        <f>'[1]资源-玩家城池建筑时间'!AN27+CY26</f>
        <v>2085979.8357238614</v>
      </c>
      <c r="DB27" s="49">
        <v>22</v>
      </c>
      <c r="DC27" s="17">
        <f>'[1]资源-士兵训练时间'!U27</f>
        <v>275845.10879400501</v>
      </c>
      <c r="DD27" s="17">
        <f>'[1]资源-士兵训练时间'!V27</f>
        <v>420489.36236193078</v>
      </c>
      <c r="DE27" s="17">
        <f>'[1]资源-士兵训练时间'!W27</f>
        <v>607554.20614393684</v>
      </c>
      <c r="DF27" s="17">
        <f>'[1]资源-士兵训练时间'!X27</f>
        <v>836229.86256194673</v>
      </c>
      <c r="DG27" s="17">
        <f>'[1]资源-士兵训练时间'!Y27</f>
        <v>1288261.2742360155</v>
      </c>
    </row>
    <row r="28" spans="2:111" x14ac:dyDescent="0.15">
      <c r="B28" s="23">
        <v>25</v>
      </c>
      <c r="C28" s="24">
        <f>'[1]资源-钻石'!L28</f>
        <v>45687.774630193788</v>
      </c>
      <c r="D28" s="24">
        <f>'[1]资源-钻石'!M28</f>
        <v>54067.787807922585</v>
      </c>
      <c r="E28" s="24">
        <f>'[1]资源-钻石'!N28</f>
        <v>72121.272678631678</v>
      </c>
      <c r="F28" s="24">
        <f>'[1]资源-钻石'!O28</f>
        <v>139366.66075836911</v>
      </c>
      <c r="G28" s="24">
        <f>'[1]资源-钻石'!P28</f>
        <v>215424.61085701626</v>
      </c>
      <c r="I28" s="23">
        <v>25</v>
      </c>
      <c r="J28" s="24">
        <f>'[1]资源-钻石'!T28</f>
        <v>168023.42609274344</v>
      </c>
      <c r="K28" s="24">
        <f>'[1]资源-钻石'!U28</f>
        <v>229870.76870201778</v>
      </c>
      <c r="L28" s="24">
        <f>'[1]资源-钻石'!V28</f>
        <v>372227.09557221952</v>
      </c>
      <c r="M28" s="24">
        <f>'[1]资源-钻石'!W28</f>
        <v>946236.05512944155</v>
      </c>
      <c r="N28" s="24">
        <f>'[1]资源-钻石'!X28</f>
        <v>2216721.8481423855</v>
      </c>
      <c r="P28" s="28">
        <v>25</v>
      </c>
      <c r="Q28" s="28">
        <f>'[1]功能-行军令'!N28</f>
        <v>214.21529547664952</v>
      </c>
      <c r="R28" s="28">
        <f>'[1]功能-行军令'!O28</f>
        <v>271.6352397437405</v>
      </c>
      <c r="S28" s="28">
        <f>'[1]功能-行军令'!P28</f>
        <v>304.3542977006739</v>
      </c>
      <c r="T28" s="28">
        <f>'[1]功能-行军令'!Q28</f>
        <v>255.27291665272404</v>
      </c>
      <c r="U28" s="28">
        <f>'[1]功能-行军令'!R28</f>
        <v>142.17003475360278</v>
      </c>
      <c r="V28" s="28">
        <f>'[1]功能-行军令'!S28</f>
        <v>17.42583989443699</v>
      </c>
      <c r="W28" s="28">
        <f>'[1]功能-行军令'!T28</f>
        <v>22.297438079941202</v>
      </c>
      <c r="X28" s="28">
        <f>'[1]功能-行军令'!U28</f>
        <v>24.991986556164989</v>
      </c>
      <c r="Y28" s="28">
        <f>'[1]功能-行军令'!V28</f>
        <v>21.030149641573388</v>
      </c>
      <c r="Z28" s="28">
        <f>'[1]功能-行军令'!W28</f>
        <v>11.432959937559872</v>
      </c>
      <c r="AC28" s="30">
        <v>25</v>
      </c>
      <c r="AD28" s="41">
        <f>'[1]功能-实力'!BE29</f>
        <v>424542</v>
      </c>
      <c r="AE28" s="41">
        <f>'[1]功能-实力'!BF29</f>
        <v>436884</v>
      </c>
      <c r="AF28" s="41">
        <f>'[1]功能-实力'!BG29</f>
        <v>458004</v>
      </c>
      <c r="AG28" s="41">
        <f>'[1]功能-实力'!BH29</f>
        <v>494154</v>
      </c>
      <c r="AH28" s="41">
        <f>'[1]功能-实力'!BI29</f>
        <v>528090</v>
      </c>
      <c r="AL28" s="37">
        <f>[3]基础状态预期!C38</f>
        <v>1060</v>
      </c>
      <c r="AM28" s="37">
        <f>[3]基础状态预期!D38</f>
        <v>100.50342858241972</v>
      </c>
      <c r="AO28" s="37">
        <f>[3]基础状态预期!F38</f>
        <v>0</v>
      </c>
      <c r="AP28" s="37">
        <f>[3]基础状态预期!G38</f>
        <v>0</v>
      </c>
      <c r="AQ28" s="37">
        <f>[3]基础状态预期!H38</f>
        <v>0</v>
      </c>
      <c r="AR28" s="37">
        <f>[3]基础状态预期!I38</f>
        <v>0</v>
      </c>
      <c r="AS28" s="37">
        <f>[3]基础状态预期!J38</f>
        <v>6</v>
      </c>
      <c r="AW28" s="32">
        <v>22</v>
      </c>
      <c r="AX28" s="32">
        <f>[1]节奏总纲!BJ25</f>
        <v>1.5666666666666684</v>
      </c>
      <c r="AY28" s="32">
        <f>[1]节奏总纲!BK25</f>
        <v>1.5980000000000019</v>
      </c>
      <c r="AZ28" s="32">
        <f>[1]节奏总纲!BL25</f>
        <v>1.6606666666666685</v>
      </c>
      <c r="BA28" s="32">
        <f>[1]节奏总纲!BM25</f>
        <v>1.7860000000000018</v>
      </c>
      <c r="BB28" s="32">
        <f>[1]节奏总纲!BN25</f>
        <v>2.1933333333333356</v>
      </c>
      <c r="BF28" s="42">
        <f>'[1]功能-行军令'!FZ26</f>
        <v>22</v>
      </c>
      <c r="BG28" s="42">
        <f>'[1]功能-行军令'!GA26*'[1]功能-行军令'!GB26</f>
        <v>67.318314582966693</v>
      </c>
      <c r="BN28" s="49">
        <v>23</v>
      </c>
      <c r="BO28" s="17">
        <f>'[1]资源-木石铜粮'!U28</f>
        <v>24975534.320182461</v>
      </c>
      <c r="BP28" s="17">
        <f>'[1]资源-木石铜粮'!V28</f>
        <v>29278743.395395003</v>
      </c>
      <c r="BQ28" s="17">
        <f>'[1]资源-木石铜粮'!W28</f>
        <v>35723380.080042258</v>
      </c>
      <c r="BR28" s="17">
        <f>'[1]资源-木石铜粮'!X28</f>
        <v>30485108.21725668</v>
      </c>
      <c r="BS28" s="17">
        <f>'[1]资源-木石铜粮'!Y28</f>
        <v>25013555.786949534</v>
      </c>
      <c r="BV28" s="49">
        <v>23</v>
      </c>
      <c r="BW28" s="47">
        <f>'[1]功能-城建'!EQ26+[1]养成buff汇总!H28+'[1]功能-采集'!BS27+[2]产出汇总!AY28+[1]养成buff汇总!GY28</f>
        <v>10840219.363143872</v>
      </c>
      <c r="BX28" s="47">
        <f>'[1]功能-城建'!ER26+[1]养成buff汇总!I28+'[1]功能-采集'!BT27+[2]产出汇总!AZ28+[1]养成buff汇总!GZ28</f>
        <v>9209296.576789422</v>
      </c>
      <c r="BY28" s="47">
        <f>'[1]功能-城建'!ES26+[1]养成buff汇总!J28+'[1]功能-采集'!BU27+[2]产出汇总!BA28+[1]养成buff汇总!HA28</f>
        <v>8412545.2973369844</v>
      </c>
      <c r="BZ28" s="47">
        <f>'[1]功能-城建'!ET26+[1]养成buff汇总!K28+'[1]功能-采集'!BV27+[2]产出汇总!BB28+[1]养成buff汇总!HB28</f>
        <v>6411131.1921912748</v>
      </c>
      <c r="CA28" s="47">
        <f>'[1]功能-城建'!EU26+[1]养成buff汇总!L28+'[1]功能-采集'!BW27+[2]产出汇总!BC28+[1]养成buff汇总!HC28</f>
        <v>4475133.0031725168</v>
      </c>
      <c r="CD28" s="49">
        <v>23</v>
      </c>
      <c r="CE28" s="44">
        <f>'[1]资源-铁'!T28</f>
        <v>0</v>
      </c>
      <c r="CF28" s="44">
        <f>'[1]资源-铁'!U28</f>
        <v>0</v>
      </c>
      <c r="CG28" s="44">
        <f>'[1]资源-铁'!V28</f>
        <v>0</v>
      </c>
      <c r="CH28" s="44">
        <f>'[1]资源-铁'!W28</f>
        <v>0</v>
      </c>
      <c r="CI28" s="44">
        <f>'[1]资源-铁'!X28</f>
        <v>0</v>
      </c>
      <c r="CL28" s="49">
        <v>23</v>
      </c>
      <c r="CM28" s="44">
        <f>'[1]功能-城建'!HF26+[1]养成buff汇总!S28+'[1]功能-采集'!BX27</f>
        <v>0</v>
      </c>
      <c r="CN28" s="44">
        <f>'[1]功能-城建'!HG26+[1]养成buff汇总!T28+'[1]功能-采集'!BY27</f>
        <v>0</v>
      </c>
      <c r="CO28" s="44">
        <f>'[1]功能-城建'!HH26+[1]养成buff汇总!U28+'[1]功能-采集'!BZ27</f>
        <v>0</v>
      </c>
      <c r="CP28" s="44">
        <f>'[1]功能-城建'!HI26+[1]养成buff汇总!V28+'[1]功能-采集'!CA27</f>
        <v>0</v>
      </c>
      <c r="CQ28" s="44">
        <f>'[1]功能-城建'!HJ26+[1]养成buff汇总!W28+'[1]功能-采集'!CB27</f>
        <v>0</v>
      </c>
      <c r="CT28" s="49">
        <v>23</v>
      </c>
      <c r="CU28" s="17">
        <f>'[1]资源-玩家城池建筑时间'!AJ28+CU27</f>
        <v>1495716.7147689178</v>
      </c>
      <c r="CV28" s="17">
        <f>'[1]资源-玩家城池建筑时间'!AK28+CV27</f>
        <v>1632419.9211900162</v>
      </c>
      <c r="CW28" s="17">
        <f>'[1]资源-玩家城池建筑时间'!AL28+CW27</f>
        <v>1805787.6544865621</v>
      </c>
      <c r="CX28" s="17">
        <f>'[1]资源-玩家城池建筑时间'!AM28+CX27</f>
        <v>2024517.2646561207</v>
      </c>
      <c r="CY28" s="17">
        <f>'[1]资源-玩家城池建筑时间'!AN28+CY27</f>
        <v>2283327.9442215106</v>
      </c>
      <c r="DB28" s="49">
        <v>23</v>
      </c>
      <c r="DC28" s="17">
        <f>'[1]资源-士兵训练时间'!U28</f>
        <v>317821.40556464531</v>
      </c>
      <c r="DD28" s="17">
        <f>'[1]资源-士兵训练时间'!V28</f>
        <v>480705.38185829285</v>
      </c>
      <c r="DE28" s="17">
        <f>'[1]资源-士兵训练时间'!W28</f>
        <v>680319.4214595065</v>
      </c>
      <c r="DF28" s="17">
        <f>'[1]资源-士兵训练时间'!X28</f>
        <v>928975.22102842759</v>
      </c>
      <c r="DG28" s="17">
        <f>'[1]资源-士兵训练时间'!Y28</f>
        <v>1460329.4476601549</v>
      </c>
    </row>
    <row r="29" spans="2:111" x14ac:dyDescent="0.15">
      <c r="B29" s="23">
        <v>26</v>
      </c>
      <c r="C29" s="24">
        <f>'[1]资源-钻石'!L29</f>
        <v>49150.304488597212</v>
      </c>
      <c r="D29" s="24">
        <f>'[1]资源-钻石'!M29</f>
        <v>58073.827401131173</v>
      </c>
      <c r="E29" s="24">
        <f>'[1]资源-钻石'!N29</f>
        <v>77247.531007805519</v>
      </c>
      <c r="F29" s="24">
        <f>'[1]资源-钻石'!O29</f>
        <v>148346.58089652893</v>
      </c>
      <c r="G29" s="24">
        <f>'[1]资源-钻石'!P29</f>
        <v>226938.23326350009</v>
      </c>
      <c r="I29" s="23">
        <v>26</v>
      </c>
      <c r="J29" s="24">
        <f>'[1]资源-钻石'!T29</f>
        <v>173709.25875651537</v>
      </c>
      <c r="K29" s="24">
        <f>'[1]资源-钻石'!U29</f>
        <v>237700.18463216693</v>
      </c>
      <c r="L29" s="24">
        <f>'[1]资源-钻石'!V29</f>
        <v>385013.20309538359</v>
      </c>
      <c r="M29" s="24">
        <f>'[1]资源-钻石'!W29</f>
        <v>979069.52340492199</v>
      </c>
      <c r="N29" s="24">
        <f>'[1]资源-钻石'!X29</f>
        <v>2293952.7257454144</v>
      </c>
      <c r="P29" s="28">
        <v>26</v>
      </c>
      <c r="Q29" s="28">
        <f>'[1]功能-行军令'!N29</f>
        <v>232.89184823791322</v>
      </c>
      <c r="R29" s="28">
        <f>'[1]功能-行军令'!O29</f>
        <v>295.38584427942419</v>
      </c>
      <c r="S29" s="28">
        <f>'[1]功能-行军令'!P29</f>
        <v>330.98184442270946</v>
      </c>
      <c r="T29" s="28">
        <f>'[1]功能-行军令'!Q29</f>
        <v>277.21622982385412</v>
      </c>
      <c r="U29" s="28">
        <f>'[1]功能-行军令'!R29</f>
        <v>154.46096176415654</v>
      </c>
      <c r="V29" s="28">
        <f>'[1]功能-行军令'!S29</f>
        <v>18.676552761263707</v>
      </c>
      <c r="W29" s="28">
        <f>'[1]功能-行军令'!T29</f>
        <v>23.750604535683692</v>
      </c>
      <c r="X29" s="28">
        <f>'[1]功能-行军令'!U29</f>
        <v>26.627546722035561</v>
      </c>
      <c r="Y29" s="28">
        <f>'[1]功能-行军令'!V29</f>
        <v>21.943313171130086</v>
      </c>
      <c r="Z29" s="28">
        <f>'[1]功能-行军令'!W29</f>
        <v>12.290927010553759</v>
      </c>
      <c r="AC29" s="30">
        <v>26</v>
      </c>
      <c r="AD29" s="41">
        <f>'[1]功能-实力'!BE30</f>
        <v>446916</v>
      </c>
      <c r="AE29" s="41">
        <f>'[1]功能-实力'!BF30</f>
        <v>460956</v>
      </c>
      <c r="AF29" s="41">
        <f>'[1]功能-实力'!BG30</f>
        <v>484098</v>
      </c>
      <c r="AG29" s="41">
        <f>'[1]功能-实力'!BH30</f>
        <v>522564</v>
      </c>
      <c r="AH29" s="41">
        <f>'[1]功能-实力'!BI30</f>
        <v>559548</v>
      </c>
      <c r="AL29" s="37">
        <f>[3]基础状态预期!C39</f>
        <v>1360</v>
      </c>
      <c r="AM29" s="37">
        <f>[3]基础状态预期!D39</f>
        <v>104.10129967499306</v>
      </c>
      <c r="AO29" s="37">
        <f>[3]基础状态预期!F39</f>
        <v>0</v>
      </c>
      <c r="AP29" s="37">
        <f>[3]基础状态预期!G39</f>
        <v>0</v>
      </c>
      <c r="AQ29" s="37">
        <f>[3]基础状态预期!H39</f>
        <v>0</v>
      </c>
      <c r="AR29" s="37">
        <f>[3]基础状态预期!I39</f>
        <v>0</v>
      </c>
      <c r="AS29" s="37">
        <f>[3]基础状态预期!J39</f>
        <v>6</v>
      </c>
      <c r="AW29" s="32">
        <v>23</v>
      </c>
      <c r="AX29" s="32">
        <f>[1]节奏总纲!BJ26</f>
        <v>1.6000000000000019</v>
      </c>
      <c r="AY29" s="32">
        <f>[1]节奏总纲!BK26</f>
        <v>1.6320000000000019</v>
      </c>
      <c r="AZ29" s="32">
        <f>[1]节奏总纲!BL26</f>
        <v>1.6960000000000022</v>
      </c>
      <c r="BA29" s="32">
        <f>[1]节奏总纲!BM26</f>
        <v>1.8240000000000021</v>
      </c>
      <c r="BB29" s="32">
        <f>[1]节奏总纲!BN26</f>
        <v>2.2400000000000024</v>
      </c>
      <c r="BF29" s="42">
        <f>'[1]功能-行军令'!FZ27</f>
        <v>23</v>
      </c>
      <c r="BG29" s="42">
        <f>'[1]功能-行军令'!GA27*'[1]功能-行军令'!GB27</f>
        <v>70.68423031211502</v>
      </c>
      <c r="BN29" s="49">
        <v>24</v>
      </c>
      <c r="BO29" s="17">
        <f>'[1]资源-木石铜粮'!U29</f>
        <v>28105915.495317806</v>
      </c>
      <c r="BP29" s="17">
        <f>'[1]资源-木石铜粮'!V29</f>
        <v>33067796.721321497</v>
      </c>
      <c r="BQ29" s="17">
        <f>'[1]资源-木石铜粮'!W29</f>
        <v>40407063.681290276</v>
      </c>
      <c r="BR29" s="17">
        <f>'[1]资源-木石铜粮'!X29</f>
        <v>34961618.396025054</v>
      </c>
      <c r="BS29" s="17">
        <f>'[1]资源-木石铜粮'!Y29</f>
        <v>28849603.829361465</v>
      </c>
      <c r="BV29" s="49">
        <v>24</v>
      </c>
      <c r="BW29" s="47">
        <f>'[1]功能-城建'!EQ27+[1]养成buff汇总!H29+'[1]功能-采集'!BS28+[2]产出汇总!AY29+[1]养成buff汇总!GY29</f>
        <v>12712945.112135099</v>
      </c>
      <c r="BX29" s="47">
        <f>'[1]功能-城建'!ER27+[1]养成buff汇总!I29+'[1]功能-采集'!BT28+[2]产出汇总!AZ29+[1]养成buff汇总!GZ29</f>
        <v>10820444.244217139</v>
      </c>
      <c r="BY29" s="47">
        <f>'[1]功能-城建'!ES27+[1]养成buff汇总!J29+'[1]功能-采集'!BU28+[2]产出汇总!BA29+[1]养成buff汇总!HA29</f>
        <v>9926795.3964058459</v>
      </c>
      <c r="BZ29" s="47">
        <f>'[1]功能-城建'!ET27+[1]养成buff汇总!K29+'[1]功能-采集'!BV28+[2]产出汇总!BB29+[1]养成buff汇总!HB29</f>
        <v>7508274.8003489915</v>
      </c>
      <c r="CA29" s="47">
        <f>'[1]功能-城建'!EU27+[1]养成buff汇总!L29+'[1]功能-采集'!BW28+[2]产出汇总!BC29+[1]养成buff汇总!HC29</f>
        <v>5216975.2914028009</v>
      </c>
      <c r="CD29" s="49">
        <v>24</v>
      </c>
      <c r="CE29" s="44">
        <f>'[1]资源-铁'!T29</f>
        <v>0</v>
      </c>
      <c r="CF29" s="44">
        <f>'[1]资源-铁'!U29</f>
        <v>0</v>
      </c>
      <c r="CG29" s="44">
        <f>'[1]资源-铁'!V29</f>
        <v>0</v>
      </c>
      <c r="CH29" s="44">
        <f>'[1]资源-铁'!W29</f>
        <v>0</v>
      </c>
      <c r="CI29" s="44">
        <f>'[1]资源-铁'!X29</f>
        <v>0</v>
      </c>
      <c r="CL29" s="49">
        <v>24</v>
      </c>
      <c r="CM29" s="44">
        <f>'[1]功能-城建'!HF27+[1]养成buff汇总!S29+'[1]功能-采集'!BX28</f>
        <v>0</v>
      </c>
      <c r="CN29" s="44">
        <f>'[1]功能-城建'!HG27+[1]养成buff汇总!T29+'[1]功能-采集'!BY28</f>
        <v>0</v>
      </c>
      <c r="CO29" s="44">
        <f>'[1]功能-城建'!HH27+[1]养成buff汇总!U29+'[1]功能-采集'!BZ28</f>
        <v>0</v>
      </c>
      <c r="CP29" s="44">
        <f>'[1]功能-城建'!HI27+[1]养成buff汇总!V29+'[1]功能-采集'!CA28</f>
        <v>0</v>
      </c>
      <c r="CQ29" s="44">
        <f>'[1]功能-城建'!HJ27+[1]养成buff汇总!W29+'[1]功能-采集'!CB28</f>
        <v>0</v>
      </c>
      <c r="CT29" s="49">
        <v>24</v>
      </c>
      <c r="CU29" s="17">
        <f>'[1]资源-玩家城池建筑时间'!AJ29+CU28</f>
        <v>1639713.417651108</v>
      </c>
      <c r="CV29" s="17">
        <f>'[1]资源-玩家城池建筑时间'!AK29+CV28</f>
        <v>1795045.8513641942</v>
      </c>
      <c r="CW29" s="17">
        <f>'[1]资源-玩家城池建筑时间'!AL29+CW28</f>
        <v>1989899.7021710828</v>
      </c>
      <c r="CX29" s="17">
        <f>'[1]资源-玩家城池建筑时间'!AM29+CX28</f>
        <v>2232385.367334248</v>
      </c>
      <c r="CY29" s="17">
        <f>'[1]资源-玩家城池建筑时间'!AN29+CY28</f>
        <v>2516427.7909827475</v>
      </c>
      <c r="DB29" s="49">
        <v>24</v>
      </c>
      <c r="DC29" s="17">
        <f>'[1]资源-士兵训练时间'!U29</f>
        <v>362807.60733926098</v>
      </c>
      <c r="DD29" s="17">
        <f>'[1]资源-士兵训练时间'!V29</f>
        <v>540569.28061813442</v>
      </c>
      <c r="DE29" s="17">
        <f>'[1]资源-士兵训练时间'!W29</f>
        <v>759296.41371608269</v>
      </c>
      <c r="DF29" s="17">
        <f>'[1]资源-士兵训练时间'!X29</f>
        <v>1061934.3919172916</v>
      </c>
      <c r="DG29" s="17">
        <f>'[1]资源-士兵训练时间'!Y29</f>
        <v>1657667.0710405849</v>
      </c>
    </row>
    <row r="30" spans="2:111" x14ac:dyDescent="0.15">
      <c r="B30" s="23">
        <v>27</v>
      </c>
      <c r="C30" s="24">
        <f>'[1]资源-钻石'!L30</f>
        <v>52861.352104073565</v>
      </c>
      <c r="D30" s="24">
        <f>'[1]资源-钻石'!M30</f>
        <v>62362.326788054197</v>
      </c>
      <c r="E30" s="24">
        <f>'[1]资源-钻石'!N30</f>
        <v>82714.598788180941</v>
      </c>
      <c r="F30" s="24">
        <f>'[1]资源-钻石'!O30</f>
        <v>158004.54989583432</v>
      </c>
      <c r="G30" s="24">
        <f>'[1]资源-钻石'!P30</f>
        <v>239427.59061148012</v>
      </c>
      <c r="I30" s="23">
        <v>27</v>
      </c>
      <c r="J30" s="24">
        <f>'[1]资源-钻石'!T30</f>
        <v>179395.09142028732</v>
      </c>
      <c r="K30" s="24">
        <f>'[1]资源-钻石'!U30</f>
        <v>245529.60056231607</v>
      </c>
      <c r="L30" s="24">
        <f>'[1]资源-钻石'!V30</f>
        <v>397799.31061854772</v>
      </c>
      <c r="M30" s="24">
        <f>'[1]资源-钻石'!W30</f>
        <v>1011902.9916804024</v>
      </c>
      <c r="N30" s="24">
        <f>'[1]资源-钻石'!X30</f>
        <v>2371183.6033484424</v>
      </c>
      <c r="P30" s="28">
        <v>27</v>
      </c>
      <c r="Q30" s="28">
        <f>'[1]功能-行军令'!N30</f>
        <v>252.90888185909469</v>
      </c>
      <c r="R30" s="28">
        <f>'[1]功能-行军令'!O30</f>
        <v>320.81106802484203</v>
      </c>
      <c r="S30" s="28">
        <f>'[1]功能-行军令'!P30</f>
        <v>359.37967250835402</v>
      </c>
      <c r="T30" s="28">
        <f>'[1]功能-行军令'!Q30</f>
        <v>300.81642170621222</v>
      </c>
      <c r="U30" s="28">
        <f>'[1]功能-行军令'!R30</f>
        <v>167.79349727325055</v>
      </c>
      <c r="V30" s="28">
        <f>'[1]功能-行军令'!S30</f>
        <v>20.017033621181469</v>
      </c>
      <c r="W30" s="28">
        <f>'[1]功能-行军令'!T30</f>
        <v>25.425223745417838</v>
      </c>
      <c r="X30" s="28">
        <f>'[1]功能-行军令'!U30</f>
        <v>28.397828085644562</v>
      </c>
      <c r="Y30" s="28">
        <f>'[1]功能-行军令'!V30</f>
        <v>23.600191882358104</v>
      </c>
      <c r="Z30" s="28">
        <f>'[1]功能-行军令'!W30</f>
        <v>13.332535509094015</v>
      </c>
      <c r="AC30" s="30">
        <v>27</v>
      </c>
      <c r="AD30" s="41">
        <f>'[1]功能-实力'!BE31</f>
        <v>470412</v>
      </c>
      <c r="AE30" s="41">
        <f>'[1]功能-实力'!BF31</f>
        <v>486210</v>
      </c>
      <c r="AF30" s="41">
        <f>'[1]功能-实力'!BG31</f>
        <v>510864</v>
      </c>
      <c r="AG30" s="41">
        <f>'[1]功能-实力'!BH31</f>
        <v>552060</v>
      </c>
      <c r="AH30" s="41">
        <f>'[1]功能-实力'!BI31</f>
        <v>591858</v>
      </c>
      <c r="AL30" s="37">
        <f>[3]基础状态预期!C40</f>
        <v>1720</v>
      </c>
      <c r="AM30" s="37">
        <f>[3]基础状态预期!D40</f>
        <v>107.48165553683219</v>
      </c>
      <c r="AO30" s="37">
        <f>[3]基础状态预期!F40</f>
        <v>0</v>
      </c>
      <c r="AP30" s="37">
        <f>[3]基础状态预期!G40</f>
        <v>0</v>
      </c>
      <c r="AQ30" s="37">
        <f>[3]基础状态预期!H40</f>
        <v>0</v>
      </c>
      <c r="AR30" s="37">
        <f>[3]基础状态预期!I40</f>
        <v>0</v>
      </c>
      <c r="AS30" s="37">
        <f>[3]基础状态预期!J40</f>
        <v>6</v>
      </c>
      <c r="AW30" s="32">
        <v>24</v>
      </c>
      <c r="AX30" s="32">
        <f>[1]节奏总纲!BJ27</f>
        <v>1.6333333333333353</v>
      </c>
      <c r="AY30" s="32">
        <f>[1]节奏总纲!BK27</f>
        <v>1.6660000000000021</v>
      </c>
      <c r="AZ30" s="32">
        <f>[1]节奏总纲!BL27</f>
        <v>1.7313333333333356</v>
      </c>
      <c r="BA30" s="32">
        <f>[1]节奏总纲!BM27</f>
        <v>1.8620000000000021</v>
      </c>
      <c r="BB30" s="32">
        <f>[1]节奏总纲!BN27</f>
        <v>2.2866666666666693</v>
      </c>
      <c r="BF30" s="42">
        <f>'[1]功能-行军令'!FZ28</f>
        <v>24</v>
      </c>
      <c r="BG30" s="42">
        <f>'[1]功能-行军令'!GA28*'[1]功能-行军令'!GB28</f>
        <v>74.218441827720767</v>
      </c>
      <c r="BN30" s="49">
        <v>25</v>
      </c>
      <c r="BO30" s="17">
        <f>'[1]资源-木石铜粮'!U30</f>
        <v>32135262.809262227</v>
      </c>
      <c r="BP30" s="17">
        <f>'[1]资源-木石铜粮'!V30</f>
        <v>37758163.222800687</v>
      </c>
      <c r="BQ30" s="17">
        <f>'[1]资源-木石铜粮'!W30</f>
        <v>46281547.484861843</v>
      </c>
      <c r="BR30" s="17">
        <f>'[1]资源-木石铜粮'!X30</f>
        <v>40330455.256632127</v>
      </c>
      <c r="BS30" s="17">
        <f>'[1]资源-木石铜粮'!Y30</f>
        <v>33684973.613723673</v>
      </c>
      <c r="BV30" s="49">
        <v>25</v>
      </c>
      <c r="BW30" s="47">
        <f>'[1]功能-城建'!EQ28+[1]养成buff汇总!H30+'[1]功能-采集'!BS29+[2]产出汇总!AY30+[1]养成buff汇总!GY30</f>
        <v>14842022.892998409</v>
      </c>
      <c r="BX30" s="47">
        <f>'[1]功能-城建'!ER28+[1]养成buff汇总!I30+'[1]功能-采集'!BT29+[2]产出汇总!AZ30+[1]养成buff汇总!GZ30</f>
        <v>12613876.237736626</v>
      </c>
      <c r="BY30" s="47">
        <f>'[1]功能-城建'!ES28+[1]养成buff汇总!J30+'[1]功能-采集'!BU29+[2]产出汇总!BA30+[1]养成buff汇总!HA30</f>
        <v>11604072.081889652</v>
      </c>
      <c r="BZ30" s="47">
        <f>'[1]功能-城建'!ET28+[1]养成buff汇总!K30+'[1]功能-采集'!BV29+[2]产出汇总!BB30+[1]养成buff汇总!HB30</f>
        <v>8716249.9957197942</v>
      </c>
      <c r="CA30" s="47">
        <f>'[1]功能-城建'!EU28+[1]养成buff汇总!L30+'[1]功能-采集'!BW29+[2]产出汇总!BC30+[1]养成buff汇总!HC30</f>
        <v>6021905.9098198805</v>
      </c>
      <c r="CD30" s="49">
        <v>25</v>
      </c>
      <c r="CE30" s="44">
        <f>'[1]资源-铁'!T30</f>
        <v>0</v>
      </c>
      <c r="CF30" s="44">
        <f>'[1]资源-铁'!U30</f>
        <v>0</v>
      </c>
      <c r="CG30" s="44">
        <f>'[1]资源-铁'!V30</f>
        <v>0</v>
      </c>
      <c r="CH30" s="44">
        <f>'[1]资源-铁'!W30</f>
        <v>0</v>
      </c>
      <c r="CI30" s="44">
        <f>'[1]资源-铁'!X30</f>
        <v>0</v>
      </c>
      <c r="CL30" s="49">
        <v>25</v>
      </c>
      <c r="CM30" s="44">
        <f>'[1]功能-城建'!HF28+[1]养成buff汇总!S30+'[1]功能-采集'!BX29</f>
        <v>0</v>
      </c>
      <c r="CN30" s="44">
        <f>'[1]功能-城建'!HG28+[1]养成buff汇总!T30+'[1]功能-采集'!BY29</f>
        <v>0</v>
      </c>
      <c r="CO30" s="44">
        <f>'[1]功能-城建'!HH28+[1]养成buff汇总!U30+'[1]功能-采集'!BZ29</f>
        <v>0</v>
      </c>
      <c r="CP30" s="44">
        <f>'[1]功能-城建'!HI28+[1]养成buff汇总!V30+'[1]功能-采集'!CA29</f>
        <v>0</v>
      </c>
      <c r="CQ30" s="44">
        <f>'[1]功能-城建'!HJ28+[1]养成buff汇总!W30+'[1]功能-采集'!CB29</f>
        <v>0</v>
      </c>
      <c r="CT30" s="49">
        <v>25</v>
      </c>
      <c r="CU30" s="17">
        <f>'[1]资源-玩家城池建筑时间'!AJ30+CU29</f>
        <v>1797154.8093685738</v>
      </c>
      <c r="CV30" s="17">
        <f>'[1]资源-玩家城池建筑时间'!AK30+CV29</f>
        <v>1969477.5410815342</v>
      </c>
      <c r="CW30" s="17">
        <f>'[1]资源-玩家城池建筑时间'!AL30+CW29</f>
        <v>2184739.1834628331</v>
      </c>
      <c r="CX30" s="17">
        <f>'[1]资源-玩家城池建筑时间'!AM30+CX29</f>
        <v>2450997.9399820999</v>
      </c>
      <c r="CY30" s="17">
        <f>'[1]资源-玩家城池建筑时间'!AN30+CY29</f>
        <v>2760088.32689266</v>
      </c>
      <c r="DB30" s="49">
        <v>25</v>
      </c>
      <c r="DC30" s="17">
        <f>'[1]资源-士兵训练时间'!U30</f>
        <v>405969.7576202543</v>
      </c>
      <c r="DD30" s="17">
        <f>'[1]资源-士兵训练时间'!V30</f>
        <v>600428.87321454484</v>
      </c>
      <c r="DE30" s="17">
        <f>'[1]资源-士兵训练时间'!W30</f>
        <v>858981.0803104433</v>
      </c>
      <c r="DF30" s="17">
        <f>'[1]资源-士兵训练时间'!X30</f>
        <v>1204890.9156056703</v>
      </c>
      <c r="DG30" s="17">
        <f>'[1]资源-士兵训练时间'!Y30</f>
        <v>1833698.9398004571</v>
      </c>
    </row>
    <row r="31" spans="2:111" x14ac:dyDescent="0.15">
      <c r="B31" s="23">
        <v>28</v>
      </c>
      <c r="C31" s="24">
        <f>'[1]资源-钻石'!L31</f>
        <v>56838.754456549686</v>
      </c>
      <c r="D31" s="24">
        <f>'[1]资源-钻石'!M31</f>
        <v>66918.792695012846</v>
      </c>
      <c r="E31" s="24">
        <f>'[1]资源-钻石'!N31</f>
        <v>88426.827110347978</v>
      </c>
      <c r="F31" s="24">
        <f>'[1]资源-钻石'!O31</f>
        <v>168321.49066755909</v>
      </c>
      <c r="G31" s="24">
        <f>'[1]资源-钻石'!P31</f>
        <v>253394.02674802329</v>
      </c>
      <c r="I31" s="23">
        <v>28</v>
      </c>
      <c r="J31" s="24">
        <f>'[1]资源-钻石'!T31</f>
        <v>185080.92408405928</v>
      </c>
      <c r="K31" s="24">
        <f>'[1]资源-钻石'!U31</f>
        <v>253359.01649246522</v>
      </c>
      <c r="L31" s="24">
        <f>'[1]资源-钻石'!V31</f>
        <v>410585.41814171179</v>
      </c>
      <c r="M31" s="24">
        <f>'[1]资源-钻石'!W31</f>
        <v>1044736.4599558829</v>
      </c>
      <c r="N31" s="24">
        <f>'[1]资源-钻石'!X31</f>
        <v>2448414.4809514708</v>
      </c>
      <c r="P31" s="28">
        <v>28</v>
      </c>
      <c r="Q31" s="28">
        <f>'[1]功能-行军令'!N31</f>
        <v>274.36260729297362</v>
      </c>
      <c r="R31" s="28">
        <f>'[1]功能-行军令'!O31</f>
        <v>347.82498471701922</v>
      </c>
      <c r="S31" s="28">
        <f>'[1]功能-行军令'!P31</f>
        <v>389.05094866504174</v>
      </c>
      <c r="T31" s="28">
        <f>'[1]功能-行军令'!Q31</f>
        <v>326.02687556759241</v>
      </c>
      <c r="U31" s="28">
        <f>'[1]功能-行军令'!R31</f>
        <v>182.70283171999623</v>
      </c>
      <c r="V31" s="28">
        <f>'[1]功能-行军令'!S31</f>
        <v>21.45372543387893</v>
      </c>
      <c r="W31" s="28">
        <f>'[1]功能-行军令'!T31</f>
        <v>27.01391669217719</v>
      </c>
      <c r="X31" s="28">
        <f>'[1]功能-行军令'!U31</f>
        <v>29.671276156687725</v>
      </c>
      <c r="Y31" s="28">
        <f>'[1]功能-行军令'!V31</f>
        <v>25.210453861380188</v>
      </c>
      <c r="Z31" s="28">
        <f>'[1]功能-行军令'!W31</f>
        <v>14.909334446745675</v>
      </c>
      <c r="AC31" s="30">
        <v>28</v>
      </c>
      <c r="AD31" s="41">
        <f>'[1]功能-实力'!BE32</f>
        <v>495072</v>
      </c>
      <c r="AE31" s="41">
        <f>'[1]功能-实力'!BF32</f>
        <v>513486</v>
      </c>
      <c r="AF31" s="41">
        <f>'[1]功能-实力'!BG32</f>
        <v>540870</v>
      </c>
      <c r="AG31" s="41">
        <f>'[1]功能-实力'!BH32</f>
        <v>592788</v>
      </c>
      <c r="AH31" s="41">
        <f>'[1]功能-实力'!BI32</f>
        <v>639876</v>
      </c>
      <c r="AL31" s="37">
        <f>[3]基础状态预期!C41</f>
        <v>2200</v>
      </c>
      <c r="AM31" s="37">
        <f>[3]基础状态预期!D41</f>
        <v>111.03813549320469</v>
      </c>
      <c r="AO31" s="37">
        <f>[3]基础状态预期!F41</f>
        <v>0</v>
      </c>
      <c r="AP31" s="37">
        <f>[3]基础状态预期!G41</f>
        <v>0</v>
      </c>
      <c r="AQ31" s="37">
        <f>[3]基础状态预期!H41</f>
        <v>0</v>
      </c>
      <c r="AR31" s="37">
        <f>[3]基础状态预期!I41</f>
        <v>0</v>
      </c>
      <c r="AS31" s="37">
        <f>[3]基础状态预期!J41</f>
        <v>6</v>
      </c>
      <c r="AW31" s="32">
        <v>25</v>
      </c>
      <c r="AX31" s="32">
        <f>[1]节奏总纲!BJ28</f>
        <v>1.6666666666666687</v>
      </c>
      <c r="AY31" s="32">
        <f>[1]节奏总纲!BK28</f>
        <v>1.7000000000000022</v>
      </c>
      <c r="AZ31" s="32">
        <f>[1]节奏总纲!BL28</f>
        <v>1.766666666666669</v>
      </c>
      <c r="BA31" s="32">
        <f>[1]节奏总纲!BM28</f>
        <v>1.9000000000000021</v>
      </c>
      <c r="BB31" s="32">
        <f>[1]节奏总纲!BN28</f>
        <v>2.3333333333333361</v>
      </c>
      <c r="BF31" s="42">
        <f>'[1]功能-行军令'!FZ29</f>
        <v>25</v>
      </c>
      <c r="BG31" s="42">
        <f>'[1]功能-行军令'!GA29*'[1]功能-行军令'!GB29</f>
        <v>77.929363919106819</v>
      </c>
      <c r="BN31" s="49">
        <v>26</v>
      </c>
      <c r="BO31" s="17">
        <f>'[1]资源-木石铜粮'!U31</f>
        <v>36281668.355377823</v>
      </c>
      <c r="BP31" s="17">
        <f>'[1]资源-木石铜粮'!V31</f>
        <v>42741681.686895393</v>
      </c>
      <c r="BQ31" s="17">
        <f>'[1]资源-木石铜粮'!W31</f>
        <v>52444065.762042418</v>
      </c>
      <c r="BR31" s="17">
        <f>'[1]资源-木石铜粮'!X31</f>
        <v>46032749.220791966</v>
      </c>
      <c r="BS31" s="17">
        <f>'[1]资源-木石铜粮'!Y31</f>
        <v>38701944.46026127</v>
      </c>
      <c r="BV31" s="49">
        <v>26</v>
      </c>
      <c r="BW31" s="47">
        <f>'[1]功能-城建'!EQ29+[1]养成buff汇总!H31+'[1]功能-采集'!BS30+[2]产出汇总!AY31+[1]养成buff汇总!GY31</f>
        <v>17236926.022839978</v>
      </c>
      <c r="BX31" s="47">
        <f>'[1]功能-城建'!ER29+[1]养成buff汇总!I31+'[1]功能-采集'!BT30+[2]产出汇总!AZ31+[1]养成buff汇总!GZ31</f>
        <v>14625573.293919604</v>
      </c>
      <c r="BY31" s="47">
        <f>'[1]功能-城建'!ES29+[1]养成buff汇总!J31+'[1]功能-采集'!BU30+[2]产出汇总!BA31+[1]养成buff汇总!HA31</f>
        <v>13479806.186310068</v>
      </c>
      <c r="BZ31" s="47">
        <f>'[1]功能-城建'!ET29+[1]养成buff汇总!K31+'[1]功能-采集'!BV30+[2]产出汇总!BB31+[1]养成buff汇总!HB31</f>
        <v>10065699.577062121</v>
      </c>
      <c r="CA31" s="47">
        <f>'[1]功能-城建'!EU29+[1]养成buff汇总!L31+'[1]功能-采集'!BW30+[2]产出汇总!BC31+[1]养成buff汇总!HC31</f>
        <v>6926025.6610769425</v>
      </c>
      <c r="CD31" s="49">
        <v>26</v>
      </c>
      <c r="CE31" s="44">
        <f>'[1]资源-铁'!T31</f>
        <v>0</v>
      </c>
      <c r="CF31" s="44">
        <f>'[1]资源-铁'!U31</f>
        <v>0</v>
      </c>
      <c r="CG31" s="44">
        <f>'[1]资源-铁'!V31</f>
        <v>0</v>
      </c>
      <c r="CH31" s="44">
        <f>'[1]资源-铁'!W31</f>
        <v>0</v>
      </c>
      <c r="CI31" s="44">
        <f>'[1]资源-铁'!X31</f>
        <v>0</v>
      </c>
      <c r="CL31" s="49">
        <v>26</v>
      </c>
      <c r="CM31" s="44">
        <f>'[1]功能-城建'!HF29+[1]养成buff汇总!S31+'[1]功能-采集'!BX30</f>
        <v>0</v>
      </c>
      <c r="CN31" s="44">
        <f>'[1]功能-城建'!HG29+[1]养成buff汇总!T31+'[1]功能-采集'!BY30</f>
        <v>0</v>
      </c>
      <c r="CO31" s="44">
        <f>'[1]功能-城建'!HH29+[1]养成buff汇总!U31+'[1]功能-采集'!BZ30</f>
        <v>0</v>
      </c>
      <c r="CP31" s="44">
        <f>'[1]功能-城建'!HI29+[1]养成buff汇总!V31+'[1]功能-采集'!CA30</f>
        <v>0</v>
      </c>
      <c r="CQ31" s="44">
        <f>'[1]功能-城建'!HJ29+[1]养成buff汇总!W31+'[1]功能-采集'!CB30</f>
        <v>0</v>
      </c>
      <c r="CT31" s="49">
        <v>26</v>
      </c>
      <c r="CU31" s="17">
        <f>'[1]资源-玩家城池建筑时间'!AJ31+CU30</f>
        <v>1967399.7045235063</v>
      </c>
      <c r="CV31" s="17">
        <f>'[1]资源-玩家城池建筑时间'!AK31+CV30</f>
        <v>2157618.3841606635</v>
      </c>
      <c r="CW31" s="17">
        <f>'[1]资源-玩家城池建筑时间'!AL31+CW30</f>
        <v>2393605.5447493293</v>
      </c>
      <c r="CX31" s="17">
        <f>'[1]资源-玩家城池建筑时间'!AM31+CX30</f>
        <v>2684176.288170333</v>
      </c>
      <c r="CY31" s="17">
        <f>'[1]资源-玩家城池建筑时间'!AN31+CY30</f>
        <v>3022289.6979269297</v>
      </c>
      <c r="DB31" s="49">
        <v>26</v>
      </c>
      <c r="DC31" s="17">
        <f>'[1]资源-士兵训练时间'!U31</f>
        <v>449786.8676968693</v>
      </c>
      <c r="DD31" s="17">
        <f>'[1]资源-士兵训练时间'!V31</f>
        <v>675361.5272190501</v>
      </c>
      <c r="DE31" s="17">
        <f>'[1]资源-士兵训练时间'!W31</f>
        <v>972800.42962517822</v>
      </c>
      <c r="DF31" s="17">
        <f>'[1]资源-士兵训练时间'!X31</f>
        <v>1334142.3757224914</v>
      </c>
      <c r="DG31" s="17">
        <f>'[1]资源-士兵训练时间'!Y31</f>
        <v>2023857.2974296978</v>
      </c>
    </row>
    <row r="32" spans="2:111" x14ac:dyDescent="0.15">
      <c r="B32" s="23">
        <v>29</v>
      </c>
      <c r="C32" s="24">
        <f>'[1]资源-钻石'!L32</f>
        <v>61101.628747763025</v>
      </c>
      <c r="D32" s="24">
        <f>'[1]资源-钻石'!M32</f>
        <v>71901.335287934984</v>
      </c>
      <c r="E32" s="24">
        <f>'[1]资源-钻石'!N32</f>
        <v>95009.660928262892</v>
      </c>
      <c r="F32" s="24">
        <f>'[1]资源-钻石'!O32</f>
        <v>180456.7663536591</v>
      </c>
      <c r="G32" s="24">
        <f>'[1]资源-钻石'!P32</f>
        <v>269109.63491619297</v>
      </c>
      <c r="I32" s="23">
        <v>29</v>
      </c>
      <c r="J32" s="24">
        <f>'[1]资源-钻石'!T32</f>
        <v>190782.49824321439</v>
      </c>
      <c r="K32" s="24">
        <f>'[1]资源-钻石'!U32</f>
        <v>261201.57494308054</v>
      </c>
      <c r="L32" s="24">
        <f>'[1]资源-钻石'!V32</f>
        <v>423371.52566487581</v>
      </c>
      <c r="M32" s="24">
        <f>'[1]资源-钻石'!W32</f>
        <v>1077825.1181861528</v>
      </c>
      <c r="N32" s="24">
        <f>'[1]资源-钻石'!X32</f>
        <v>2525645.3585544997</v>
      </c>
      <c r="P32" s="28">
        <v>29</v>
      </c>
      <c r="Q32" s="28">
        <f>'[1]功能-行军令'!N32</f>
        <v>297.35614088554507</v>
      </c>
      <c r="R32" s="28">
        <f>'[1]功能-行军令'!O32</f>
        <v>377.36498200194677</v>
      </c>
      <c r="S32" s="28">
        <f>'[1]功能-行军令'!P32</f>
        <v>423.24444883501349</v>
      </c>
      <c r="T32" s="28">
        <f>'[1]功能-行军令'!Q32</f>
        <v>355.68060864106502</v>
      </c>
      <c r="U32" s="28">
        <f>'[1]功能-行军令'!R32</f>
        <v>199.4794278338882</v>
      </c>
      <c r="V32" s="28">
        <f>'[1]功能-行军令'!S32</f>
        <v>22.993533592571453</v>
      </c>
      <c r="W32" s="28">
        <f>'[1]功能-行军令'!T32</f>
        <v>29.539997284927551</v>
      </c>
      <c r="X32" s="28">
        <f>'[1]功能-行军令'!U32</f>
        <v>34.193500169971742</v>
      </c>
      <c r="Y32" s="28">
        <f>'[1]功能-行军令'!V32</f>
        <v>29.653733073472608</v>
      </c>
      <c r="Z32" s="28">
        <f>'[1]功能-行军令'!W32</f>
        <v>16.776596113891969</v>
      </c>
      <c r="AC32" s="30">
        <v>29</v>
      </c>
      <c r="AD32" s="41">
        <f>'[1]功能-实力'!BE33</f>
        <v>524136</v>
      </c>
      <c r="AE32" s="41">
        <f>'[1]功能-实力'!BF33</f>
        <v>546498</v>
      </c>
      <c r="AF32" s="41">
        <f>'[1]功能-实力'!BG33</f>
        <v>580824</v>
      </c>
      <c r="AG32" s="41">
        <f>'[1]功能-实力'!BH33</f>
        <v>641064</v>
      </c>
      <c r="AH32" s="41">
        <f>'[1]功能-实力'!BI33</f>
        <v>692844</v>
      </c>
      <c r="AL32" s="37">
        <f>[3]基础状态预期!C42</f>
        <v>2800</v>
      </c>
      <c r="AM32" s="37">
        <f>[3]基础状态预期!D42</f>
        <v>114.50860608277577</v>
      </c>
      <c r="AO32" s="37">
        <f>[3]基础状态预期!F42</f>
        <v>0</v>
      </c>
      <c r="AP32" s="37">
        <f>[3]基础状态预期!G42</f>
        <v>0</v>
      </c>
      <c r="AQ32" s="37">
        <f>[3]基础状态预期!H42</f>
        <v>0</v>
      </c>
      <c r="AR32" s="37">
        <f>[3]基础状态预期!I42</f>
        <v>0</v>
      </c>
      <c r="AS32" s="37">
        <f>[3]基础状态预期!J42</f>
        <v>6</v>
      </c>
      <c r="AW32" s="32">
        <v>26</v>
      </c>
      <c r="AX32" s="32">
        <f>[1]节奏总纲!BJ29</f>
        <v>1.7000000000000022</v>
      </c>
      <c r="AY32" s="32">
        <f>[1]节奏总纲!BK29</f>
        <v>1.7340000000000022</v>
      </c>
      <c r="AZ32" s="32">
        <f>[1]节奏总纲!BL29</f>
        <v>1.8020000000000025</v>
      </c>
      <c r="BA32" s="32">
        <f>[1]节奏总纲!BM29</f>
        <v>1.9380000000000024</v>
      </c>
      <c r="BB32" s="32">
        <f>[1]节奏总纲!BN29</f>
        <v>2.380000000000003</v>
      </c>
      <c r="BF32" s="42">
        <f>'[1]功能-行军令'!FZ30</f>
        <v>26</v>
      </c>
      <c r="BG32" s="42">
        <f>'[1]功能-行军令'!GA30*'[1]功能-行军令'!GB30</f>
        <v>81.825832115062155</v>
      </c>
      <c r="BN32" s="49">
        <v>27</v>
      </c>
      <c r="BO32" s="17">
        <f>'[1]资源-木石铜粮'!U32</f>
        <v>41072943.043290131</v>
      </c>
      <c r="BP32" s="17">
        <f>'[1]资源-木石铜粮'!V32</f>
        <v>48385127.204095766</v>
      </c>
      <c r="BQ32" s="17">
        <f>'[1]资源-木石铜粮'!W32</f>
        <v>59304648.071725316</v>
      </c>
      <c r="BR32" s="17">
        <f>'[1]资源-木石铜粮'!X32</f>
        <v>52323579.744762421</v>
      </c>
      <c r="BS32" s="17">
        <f>'[1]资源-木石铜粮'!Y32</f>
        <v>44578090.149988845</v>
      </c>
      <c r="BV32" s="49">
        <v>27</v>
      </c>
      <c r="BW32" s="47">
        <f>'[1]功能-城建'!EQ30+[1]养成buff汇总!H32+'[1]功能-采集'!BS31+[2]产出汇总!AY32+[1]养成buff汇总!GY32</f>
        <v>19954221.87521942</v>
      </c>
      <c r="BX32" s="47">
        <f>'[1]功能-城建'!ER30+[1]养成buff汇总!I32+'[1]功能-采集'!BT31+[2]产出汇总!AZ32+[1]养成buff汇总!GZ32</f>
        <v>16886960.093235906</v>
      </c>
      <c r="BY32" s="47">
        <f>'[1]功能-城建'!ES30+[1]养成buff汇总!J32+'[1]功能-采集'!BU31+[2]产出汇总!BA32+[1]养成buff汇总!HA32</f>
        <v>15591803.764822023</v>
      </c>
      <c r="BZ32" s="47">
        <f>'[1]功能-城建'!ET30+[1]养成buff汇总!K32+'[1]功能-采集'!BV31+[2]产出汇总!BB32+[1]养成buff汇总!HB32</f>
        <v>11588574.58744307</v>
      </c>
      <c r="CA32" s="47">
        <f>'[1]功能-城建'!EU30+[1]养成buff汇总!L32+'[1]功能-采集'!BW31+[2]产出汇总!BC32+[1]养成buff汇总!HC32</f>
        <v>7957569.126726985</v>
      </c>
      <c r="CD32" s="49">
        <v>27</v>
      </c>
      <c r="CE32" s="44">
        <f>'[1]资源-铁'!T32</f>
        <v>0</v>
      </c>
      <c r="CF32" s="44">
        <f>'[1]资源-铁'!U32</f>
        <v>0</v>
      </c>
      <c r="CG32" s="44">
        <f>'[1]资源-铁'!V32</f>
        <v>0</v>
      </c>
      <c r="CH32" s="44">
        <f>'[1]资源-铁'!W32</f>
        <v>0</v>
      </c>
      <c r="CI32" s="44">
        <f>'[1]资源-铁'!X32</f>
        <v>0</v>
      </c>
      <c r="CL32" s="49">
        <v>27</v>
      </c>
      <c r="CM32" s="44">
        <f>'[1]功能-城建'!HF30+[1]养成buff汇总!S32+'[1]功能-采集'!BX31</f>
        <v>0</v>
      </c>
      <c r="CN32" s="44">
        <f>'[1]功能-城建'!HG30+[1]养成buff汇总!T32+'[1]功能-采集'!BY31</f>
        <v>0</v>
      </c>
      <c r="CO32" s="44">
        <f>'[1]功能-城建'!HH30+[1]养成buff汇总!U32+'[1]功能-采集'!BZ31</f>
        <v>0</v>
      </c>
      <c r="CP32" s="44">
        <f>'[1]功能-城建'!HI30+[1]养成buff汇总!V32+'[1]功能-采集'!CA31</f>
        <v>0</v>
      </c>
      <c r="CQ32" s="44">
        <f>'[1]功能-城建'!HJ30+[1]养成buff汇总!W32+'[1]功能-采集'!CB31</f>
        <v>0</v>
      </c>
      <c r="CT32" s="49">
        <v>27</v>
      </c>
      <c r="CU32" s="17">
        <f>'[1]资源-玩家城池建筑时间'!AJ32+CU31</f>
        <v>2152088.9360447312</v>
      </c>
      <c r="CV32" s="17">
        <f>'[1]资源-玩家城池建筑时间'!AK32+CV31</f>
        <v>2360774.5378967738</v>
      </c>
      <c r="CW32" s="17">
        <f>'[1]资源-玩家城池建筑时间'!AL32+CW31</f>
        <v>2619856.7129846704</v>
      </c>
      <c r="CX32" s="17">
        <f>'[1]资源-玩家城池建筑时间'!AM32+CX31</f>
        <v>2935661.2681334252</v>
      </c>
      <c r="CY32" s="17">
        <f>'[1]资源-玩家城池建筑时间'!AN32+CY31</f>
        <v>3309357.6505624591</v>
      </c>
      <c r="DB32" s="49">
        <v>27</v>
      </c>
      <c r="DC32" s="17">
        <f>'[1]资源-士兵训练时间'!U32</f>
        <v>504713.21947710408</v>
      </c>
      <c r="DD32" s="17">
        <f>'[1]资源-士兵训练时间'!V32</f>
        <v>763927.63651536126</v>
      </c>
      <c r="DE32" s="17">
        <f>'[1]资源-士兵训练时间'!W32</f>
        <v>1082743.1279994191</v>
      </c>
      <c r="DF32" s="17">
        <f>'[1]资源-士兵训练时间'!X32</f>
        <v>1470405.8379896521</v>
      </c>
      <c r="DG32" s="17">
        <f>'[1]资源-士兵训练时间'!Y32</f>
        <v>2239613.0774900927</v>
      </c>
    </row>
    <row r="33" spans="2:111" x14ac:dyDescent="0.15">
      <c r="B33" s="23">
        <v>30</v>
      </c>
      <c r="C33" s="24">
        <f>'[1]资源-钻石'!L33</f>
        <v>65670.464287213719</v>
      </c>
      <c r="D33" s="24">
        <f>'[1]资源-钻石'!M33</f>
        <v>77216.028421812633</v>
      </c>
      <c r="E33" s="24">
        <f>'[1]资源-钻石'!N33</f>
        <v>101860.70014889639</v>
      </c>
      <c r="F33" s="24">
        <f>'[1]资源-钻石'!O33</f>
        <v>192667.48746895883</v>
      </c>
      <c r="G33" s="24">
        <f>'[1]资源-钻石'!P33</f>
        <v>284933.97823790694</v>
      </c>
      <c r="I33" s="23">
        <v>30</v>
      </c>
      <c r="J33" s="24">
        <f>'[1]资源-钻石'!T33</f>
        <v>196578.45421093283</v>
      </c>
      <c r="K33" s="24">
        <f>'[1]资源-钻石'!U33</f>
        <v>269214.0779279854</v>
      </c>
      <c r="L33" s="24">
        <f>'[1]资源-钻石'!V33</f>
        <v>436396.03129603004</v>
      </c>
      <c r="M33" s="24">
        <f>'[1]资源-钻石'!W33</f>
        <v>1111255.2376815979</v>
      </c>
      <c r="N33" s="24">
        <f>'[1]资源-钻石'!X33</f>
        <v>2603772.0544969337</v>
      </c>
      <c r="P33" s="28">
        <v>30</v>
      </c>
      <c r="Q33" s="28">
        <f>'[1]功能-行军令'!N33</f>
        <v>322</v>
      </c>
      <c r="R33" s="28">
        <f>'[1]功能-行军令'!O33</f>
        <v>408.87419999999997</v>
      </c>
      <c r="S33" s="28">
        <f>'[1]功能-行军令'!P33</f>
        <v>458.83110000000005</v>
      </c>
      <c r="T33" s="28">
        <f>'[1]功能-行军令'!Q33</f>
        <v>385.51869999999997</v>
      </c>
      <c r="U33" s="28">
        <f>'[1]功能-行军令'!R33</f>
        <v>216.37209999999999</v>
      </c>
      <c r="V33" s="28">
        <f>'[1]功能-行军令'!S33</f>
        <v>24.643859114454926</v>
      </c>
      <c r="W33" s="28">
        <f>'[1]功能-行军令'!T33</f>
        <v>31.509217998053202</v>
      </c>
      <c r="X33" s="28">
        <f>'[1]功能-行军令'!U33</f>
        <v>35.586651164986563</v>
      </c>
      <c r="Y33" s="28">
        <f>'[1]功能-行军令'!V33</f>
        <v>29.838091358934946</v>
      </c>
      <c r="Z33" s="28">
        <f>'[1]功能-行军令'!W33</f>
        <v>16.892672166111794</v>
      </c>
      <c r="AC33" s="30">
        <v>30</v>
      </c>
      <c r="AD33" s="41">
        <f>'[1]功能-实力'!BE34</f>
        <v>554220</v>
      </c>
      <c r="AE33" s="41">
        <f>'[1]功能-实力'!BF34</f>
        <v>580752</v>
      </c>
      <c r="AF33" s="41">
        <f>'[1]功能-实力'!BG34</f>
        <v>622410</v>
      </c>
      <c r="AG33" s="41">
        <f>'[1]功能-实力'!BH34</f>
        <v>691548</v>
      </c>
      <c r="AH33" s="41">
        <f>'[1]功能-实力'!BI34</f>
        <v>748662</v>
      </c>
      <c r="AL33" s="37">
        <f>[3]基础状态预期!C43</f>
        <v>3580</v>
      </c>
      <c r="AM33" s="37">
        <f>[3]基础状态预期!D43</f>
        <v>118.05948896247369</v>
      </c>
      <c r="AO33" s="37">
        <f>[3]基础状态预期!F43</f>
        <v>0</v>
      </c>
      <c r="AP33" s="37">
        <f>[3]基础状态预期!G43</f>
        <v>0</v>
      </c>
      <c r="AQ33" s="37">
        <f>[3]基础状态预期!H43</f>
        <v>0</v>
      </c>
      <c r="AR33" s="37">
        <f>[3]基础状态预期!I43</f>
        <v>0</v>
      </c>
      <c r="AS33" s="37">
        <f>[3]基础状态预期!J43</f>
        <v>6</v>
      </c>
      <c r="AW33" s="32">
        <v>27</v>
      </c>
      <c r="AX33" s="32">
        <f>[1]节奏总纲!BJ30</f>
        <v>1.7333333333333356</v>
      </c>
      <c r="AY33" s="32">
        <f>[1]节奏总纲!BK30</f>
        <v>1.7680000000000025</v>
      </c>
      <c r="AZ33" s="32">
        <f>[1]节奏总纲!BL30</f>
        <v>1.8373333333333359</v>
      </c>
      <c r="BA33" s="32">
        <f>[1]节奏总纲!BM30</f>
        <v>1.9760000000000024</v>
      </c>
      <c r="BB33" s="32">
        <f>[1]节奏总纲!BN30</f>
        <v>2.4266666666666699</v>
      </c>
      <c r="BF33" s="42">
        <f>'[1]功能-行军令'!FZ31</f>
        <v>27</v>
      </c>
      <c r="BG33" s="42">
        <f>'[1]功能-行军令'!GA31*'[1]功能-行军令'!GB31</f>
        <v>85.917123720815269</v>
      </c>
      <c r="BN33" s="49">
        <v>28</v>
      </c>
      <c r="BO33" s="17">
        <f>'[1]资源-木石铜粮'!U33</f>
        <v>46463107.102556817</v>
      </c>
      <c r="BP33" s="17">
        <f>'[1]资源-木石铜粮'!V33</f>
        <v>54639730.346737891</v>
      </c>
      <c r="BQ33" s="17">
        <f>'[1]资源-木石铜粮'!W33</f>
        <v>66844359.075723127</v>
      </c>
      <c r="BR33" s="17">
        <f>'[1]资源-木石铜粮'!X33</f>
        <v>59527374.442110792</v>
      </c>
      <c r="BS33" s="17">
        <f>'[1]资源-木石铜粮'!Y33</f>
        <v>51154014.793134548</v>
      </c>
      <c r="BV33" s="49">
        <v>28</v>
      </c>
      <c r="BW33" s="47">
        <f>'[1]功能-城建'!EQ31+[1]养成buff汇总!H33+'[1]功能-采集'!BS32+[2]产出汇总!AY33+[1]养成buff汇总!GY33</f>
        <v>23014803.315527946</v>
      </c>
      <c r="BX33" s="47">
        <f>'[1]功能-城建'!ER31+[1]养成buff汇总!I33+'[1]功能-采集'!BT32+[2]产出汇总!AZ33+[1]养成buff汇总!GZ33</f>
        <v>19402560.794834971</v>
      </c>
      <c r="BY33" s="47">
        <f>'[1]功能-城建'!ES31+[1]养成buff汇总!J33+'[1]功能-采集'!BU32+[2]产出汇总!BA33+[1]养成buff汇总!HA33</f>
        <v>17903798.681951642</v>
      </c>
      <c r="BZ33" s="47">
        <f>'[1]功能-城建'!ET31+[1]养成buff汇总!K33+'[1]功能-采集'!BV32+[2]产出汇总!BB33+[1]养成buff汇总!HB33</f>
        <v>13312765.689720925</v>
      </c>
      <c r="CA33" s="47">
        <f>'[1]功能-城建'!EU31+[1]养成buff汇总!L33+'[1]功能-采集'!BW32+[2]产出汇总!BC33+[1]养成buff汇总!HC33</f>
        <v>9143870.9756053668</v>
      </c>
      <c r="CD33" s="49">
        <v>28</v>
      </c>
      <c r="CE33" s="44">
        <f>'[1]资源-铁'!T33</f>
        <v>0</v>
      </c>
      <c r="CF33" s="44">
        <f>'[1]资源-铁'!U33</f>
        <v>0</v>
      </c>
      <c r="CG33" s="44">
        <f>'[1]资源-铁'!V33</f>
        <v>0</v>
      </c>
      <c r="CH33" s="44">
        <f>'[1]资源-铁'!W33</f>
        <v>0</v>
      </c>
      <c r="CI33" s="44">
        <f>'[1]资源-铁'!X33</f>
        <v>0</v>
      </c>
      <c r="CL33" s="49">
        <v>28</v>
      </c>
      <c r="CM33" s="44">
        <f>'[1]功能-城建'!HF31+[1]养成buff汇总!S33+'[1]功能-采集'!BX32</f>
        <v>0</v>
      </c>
      <c r="CN33" s="44">
        <f>'[1]功能-城建'!HG31+[1]养成buff汇总!T33+'[1]功能-采集'!BY32</f>
        <v>0</v>
      </c>
      <c r="CO33" s="44">
        <f>'[1]功能-城建'!HH31+[1]养成buff汇总!U33+'[1]功能-采集'!BZ32</f>
        <v>0</v>
      </c>
      <c r="CP33" s="44">
        <f>'[1]功能-城建'!HI31+[1]养成buff汇总!V33+'[1]功能-采集'!CA32</f>
        <v>0</v>
      </c>
      <c r="CQ33" s="44">
        <f>'[1]功能-城建'!HJ31+[1]养成buff汇总!W33+'[1]功能-采集'!CB32</f>
        <v>0</v>
      </c>
      <c r="CT33" s="49">
        <v>28</v>
      </c>
      <c r="CU33" s="17">
        <f>'[1]资源-玩家城池建筑时间'!AJ33+CU32</f>
        <v>2351833.4566957001</v>
      </c>
      <c r="CV33" s="17">
        <f>'[1]资源-玩家城池建筑时间'!AK33+CV32</f>
        <v>2579126.5467908108</v>
      </c>
      <c r="CW33" s="17">
        <f>'[1]资源-玩家城池建筑时间'!AL33+CW32</f>
        <v>2858438.5162139824</v>
      </c>
      <c r="CX33" s="17">
        <f>'[1]资源-玩家城池建筑时间'!AM33+CX32</f>
        <v>3206436.3502458227</v>
      </c>
      <c r="CY33" s="17">
        <f>'[1]资源-玩家城池建筑时间'!AN33+CY32</f>
        <v>3630982.9827753315</v>
      </c>
      <c r="DB33" s="49">
        <v>28</v>
      </c>
      <c r="DC33" s="17">
        <f>'[1]资源-士兵训练时间'!U33</f>
        <v>570022.32304833597</v>
      </c>
      <c r="DD33" s="17">
        <f>'[1]资源-士兵训练时间'!V33</f>
        <v>851481.80540239799</v>
      </c>
      <c r="DE33" s="17">
        <f>'[1]资源-士兵训练时间'!W33</f>
        <v>1190469.8483875834</v>
      </c>
      <c r="DF33" s="17">
        <f>'[1]资源-士兵训练时间'!X33</f>
        <v>1621694.279309554</v>
      </c>
      <c r="DG33" s="17">
        <f>'[1]资源-士兵训练时间'!Y33</f>
        <v>2481034.1128274021</v>
      </c>
    </row>
    <row r="34" spans="2:111" x14ac:dyDescent="0.15">
      <c r="B34" s="23">
        <v>31</v>
      </c>
      <c r="C34" s="24">
        <f>'[1]资源-钻石'!L34</f>
        <v>68935.853538800322</v>
      </c>
      <c r="D34" s="24">
        <f>'[1]资源-钻石'!M34</f>
        <v>82967.182834483567</v>
      </c>
      <c r="E34" s="24">
        <f>'[1]资源-钻石'!N34</f>
        <v>109239.05400585775</v>
      </c>
      <c r="F34" s="24">
        <f>'[1]资源-钻石'!O34</f>
        <v>205704.37640060231</v>
      </c>
      <c r="G34" s="24">
        <f>'[1]资源-钻石'!P34</f>
        <v>302071.4132997577</v>
      </c>
      <c r="I34" s="23">
        <v>31</v>
      </c>
      <c r="J34" s="24">
        <f>'[1]资源-钻石'!T34</f>
        <v>202374.41017865125</v>
      </c>
      <c r="K34" s="24">
        <f>'[1]资源-钻石'!U34</f>
        <v>277226.58091289026</v>
      </c>
      <c r="L34" s="24">
        <f>'[1]资源-钻石'!V34</f>
        <v>449716.26502189739</v>
      </c>
      <c r="M34" s="24">
        <f>'[1]资源-钻石'!W34</f>
        <v>1145235.3399477848</v>
      </c>
      <c r="N34" s="24">
        <f>'[1]资源-钻石'!X34</f>
        <v>2685460.3599998821</v>
      </c>
      <c r="P34" s="28">
        <v>31</v>
      </c>
      <c r="Q34" s="28">
        <f>'[1]功能-行军令'!N34</f>
        <v>348.41263421335577</v>
      </c>
      <c r="R34" s="28">
        <f>'[1]功能-行军令'!O34</f>
        <v>442.97106572009051</v>
      </c>
      <c r="S34" s="28">
        <f>'[1]功能-行军令'!P34</f>
        <v>497.15680452796772</v>
      </c>
      <c r="T34" s="28">
        <f>'[1]功能-行军令'!Q34</f>
        <v>417.37561322449938</v>
      </c>
      <c r="U34" s="28">
        <f>'[1]功能-行军令'!R34</f>
        <v>234.66651300547557</v>
      </c>
      <c r="V34" s="28">
        <f>'[1]功能-行军令'!S34</f>
        <v>26.412634213355773</v>
      </c>
      <c r="W34" s="28">
        <f>'[1]功能-行军令'!T34</f>
        <v>34.096865720090534</v>
      </c>
      <c r="X34" s="28">
        <f>'[1]功能-行军令'!U34</f>
        <v>38.325704527967673</v>
      </c>
      <c r="Y34" s="28">
        <f>'[1]功能-行军令'!V34</f>
        <v>31.856913224499408</v>
      </c>
      <c r="Z34" s="28">
        <f>'[1]功能-行军令'!W34</f>
        <v>18.294413005475576</v>
      </c>
      <c r="AC34" s="30">
        <v>31</v>
      </c>
      <c r="AD34" s="41">
        <f>'[1]功能-实力'!BE35</f>
        <v>590178</v>
      </c>
      <c r="AE34" s="41">
        <f>'[1]功能-实力'!BF35</f>
        <v>621192</v>
      </c>
      <c r="AF34" s="41">
        <f>'[1]功能-实力'!BG35</f>
        <v>671202</v>
      </c>
      <c r="AG34" s="41">
        <f>'[1]功能-实力'!BH35</f>
        <v>750414</v>
      </c>
      <c r="AH34" s="41">
        <f>'[1]功能-实力'!BI35</f>
        <v>813120</v>
      </c>
      <c r="AL34" s="37">
        <f>[3]基础状态预期!C44</f>
        <v>4540</v>
      </c>
      <c r="AM34" s="37">
        <f>[3]基础状态预期!D44</f>
        <v>121.47928719052189</v>
      </c>
      <c r="AO34" s="37">
        <f>[3]基础状态预期!F44</f>
        <v>0</v>
      </c>
      <c r="AP34" s="37">
        <f>[3]基础状态预期!G44</f>
        <v>0</v>
      </c>
      <c r="AQ34" s="37">
        <f>[3]基础状态预期!H44</f>
        <v>0</v>
      </c>
      <c r="AR34" s="37">
        <f>[3]基础状态预期!I44</f>
        <v>0</v>
      </c>
      <c r="AS34" s="37">
        <f>[3]基础状态预期!J44</f>
        <v>6</v>
      </c>
      <c r="AW34" s="32">
        <v>28</v>
      </c>
      <c r="AX34" s="32">
        <f>[1]节奏总纲!BJ31</f>
        <v>1.766666666666669</v>
      </c>
      <c r="AY34" s="32">
        <f>[1]节奏总纲!BK31</f>
        <v>1.8020000000000025</v>
      </c>
      <c r="AZ34" s="32">
        <f>[1]节奏总纲!BL31</f>
        <v>1.8726666666666694</v>
      </c>
      <c r="BA34" s="32">
        <f>[1]节奏总纲!BM31</f>
        <v>2.0140000000000025</v>
      </c>
      <c r="BB34" s="32">
        <f>[1]节奏总纲!BN31</f>
        <v>2.4733333333333367</v>
      </c>
      <c r="BF34" s="42">
        <f>'[1]功能-行军令'!FZ32</f>
        <v>28</v>
      </c>
      <c r="BG34" s="42">
        <f>'[1]功能-行军令'!GA32*'[1]功能-行军令'!GB32</f>
        <v>90.212979906856049</v>
      </c>
      <c r="BN34" s="49">
        <v>29</v>
      </c>
      <c r="BO34" s="17">
        <f>'[1]资源-木石铜粮'!U34</f>
        <v>52487070.910367407</v>
      </c>
      <c r="BP34" s="17">
        <f>'[1]资源-木石铜粮'!V34</f>
        <v>61670608.488673672</v>
      </c>
      <c r="BQ34" s="17">
        <f>'[1]资源-木石铜粮'!W34</f>
        <v>75469171.980244964</v>
      </c>
      <c r="BR34" s="17">
        <f>'[1]资源-木石铜粮'!X34</f>
        <v>67901656.791854784</v>
      </c>
      <c r="BS34" s="17">
        <f>'[1]资源-木石铜粮'!Y34</f>
        <v>58816209.995434113</v>
      </c>
      <c r="BV34" s="49">
        <v>29</v>
      </c>
      <c r="BW34" s="47">
        <f>'[1]功能-城建'!EQ32+[1]养成buff汇总!H34+'[1]功能-采集'!BS33+[2]产出汇总!AY34+[1]养成buff汇总!GY34</f>
        <v>26451727.266029846</v>
      </c>
      <c r="BX34" s="47">
        <f>'[1]功能-城建'!ER32+[1]养成buff汇总!I34+'[1]功能-采集'!BT33+[2]产出汇总!AZ34+[1]养成buff汇总!GZ34</f>
        <v>22273924.456158165</v>
      </c>
      <c r="BY34" s="47">
        <f>'[1]功能-城建'!ES32+[1]养成buff汇总!J34+'[1]功能-采集'!BU33+[2]产出汇总!BA34+[1]养成buff汇总!HA34</f>
        <v>20680900.257448845</v>
      </c>
      <c r="BZ34" s="47">
        <f>'[1]功能-城建'!ET32+[1]养成buff汇总!K34+'[1]功能-采集'!BV33+[2]产出汇总!BB34+[1]养成buff汇总!HB34</f>
        <v>15395484.39702536</v>
      </c>
      <c r="CA34" s="47">
        <f>'[1]功能-城建'!EU32+[1]养成buff汇总!L34+'[1]功能-采集'!BW33+[2]产出汇总!BC34+[1]养成buff汇总!HC34</f>
        <v>10535405.80853714</v>
      </c>
      <c r="CD34" s="49">
        <v>29</v>
      </c>
      <c r="CE34" s="44">
        <f>'[1]资源-铁'!T34</f>
        <v>0</v>
      </c>
      <c r="CF34" s="44">
        <f>'[1]资源-铁'!U34</f>
        <v>0</v>
      </c>
      <c r="CG34" s="44">
        <f>'[1]资源-铁'!V34</f>
        <v>0</v>
      </c>
      <c r="CH34" s="44">
        <f>'[1]资源-铁'!W34</f>
        <v>0</v>
      </c>
      <c r="CI34" s="44">
        <f>'[1]资源-铁'!X34</f>
        <v>0</v>
      </c>
      <c r="CL34" s="49">
        <v>29</v>
      </c>
      <c r="CM34" s="44">
        <f>'[1]功能-城建'!HF32+[1]养成buff汇总!S34+'[1]功能-采集'!BX33</f>
        <v>0</v>
      </c>
      <c r="CN34" s="44">
        <f>'[1]功能-城建'!HG32+[1]养成buff汇总!T34+'[1]功能-采集'!BY33</f>
        <v>0</v>
      </c>
      <c r="CO34" s="44">
        <f>'[1]功能-城建'!HH32+[1]养成buff汇总!U34+'[1]功能-采集'!BZ33</f>
        <v>0</v>
      </c>
      <c r="CP34" s="44">
        <f>'[1]功能-城建'!HI32+[1]养成buff汇总!V34+'[1]功能-采集'!CA33</f>
        <v>0</v>
      </c>
      <c r="CQ34" s="44">
        <f>'[1]功能-城建'!HJ32+[1]养成buff汇总!W34+'[1]功能-采集'!CB33</f>
        <v>0</v>
      </c>
      <c r="CT34" s="49">
        <v>29</v>
      </c>
      <c r="CU34" s="17">
        <f>'[1]资源-玩家城池建筑时间'!AJ34+CU33</f>
        <v>2568147.2213648479</v>
      </c>
      <c r="CV34" s="17">
        <f>'[1]资源-玩家城池建筑时间'!AK34+CV33</f>
        <v>2821084.2175896275</v>
      </c>
      <c r="CW34" s="17">
        <f>'[1]资源-玩家城池建筑时间'!AL34+CW33</f>
        <v>3134784.138053908</v>
      </c>
      <c r="CX34" s="17">
        <f>'[1]资源-玩家城池建筑时间'!AM34+CX33</f>
        <v>3525679.3192818267</v>
      </c>
      <c r="CY34" s="17">
        <f>'[1]资源-玩家城池建筑时间'!AN34+CY33</f>
        <v>4006950.1780637265</v>
      </c>
      <c r="DB34" s="49">
        <v>29</v>
      </c>
      <c r="DC34" s="17">
        <f>'[1]资源-士兵训练时间'!U34</f>
        <v>635636.86051321984</v>
      </c>
      <c r="DD34" s="17">
        <f>'[1]资源-士兵训练时间'!V34</f>
        <v>938882.62472762726</v>
      </c>
      <c r="DE34" s="17">
        <f>'[1]资源-士兵训练时间'!W34</f>
        <v>1317753.9736778906</v>
      </c>
      <c r="DF34" s="17">
        <f>'[1]资源-士兵训练时间'!X34</f>
        <v>1801647.7934012418</v>
      </c>
      <c r="DG34" s="17">
        <f>'[1]资源-士兵训练时间'!Y34</f>
        <v>2756131.8420956293</v>
      </c>
    </row>
    <row r="35" spans="2:111" x14ac:dyDescent="0.15">
      <c r="B35" s="23">
        <v>32</v>
      </c>
      <c r="C35" s="24">
        <f>'[1]资源-钻石'!L35</f>
        <v>72435.611083502095</v>
      </c>
      <c r="D35" s="24">
        <f>'[1]资源-钻石'!M35</f>
        <v>88581.700015098104</v>
      </c>
      <c r="E35" s="24">
        <f>'[1]资源-钻石'!N35</f>
        <v>117001.19526067891</v>
      </c>
      <c r="F35" s="24">
        <f>'[1]资源-钻石'!O35</f>
        <v>219754.69728140853</v>
      </c>
      <c r="G35" s="24">
        <f>'[1]资源-钻石'!P35</f>
        <v>320090.18273908959</v>
      </c>
      <c r="I35" s="23">
        <v>32</v>
      </c>
      <c r="J35" s="24">
        <f>'[1]资源-钻石'!T35</f>
        <v>208296.23094569932</v>
      </c>
      <c r="K35" s="24">
        <f>'[1]资源-钻石'!U35</f>
        <v>285405.85404026927</v>
      </c>
      <c r="L35" s="24">
        <f>'[1]资源-钻石'!V35</f>
        <v>463088.43944429624</v>
      </c>
      <c r="M35" s="24">
        <f>'[1]资源-钻石'!W35</f>
        <v>1180067.2833887259</v>
      </c>
      <c r="N35" s="24">
        <f>'[1]资源-钻石'!X35</f>
        <v>2767216.5117275985</v>
      </c>
      <c r="P35" s="28">
        <v>32</v>
      </c>
      <c r="Q35" s="28">
        <f>'[1]功能-行军令'!N35</f>
        <v>376.72099463890885</v>
      </c>
      <c r="R35" s="28">
        <f>'[1]功能-行军令'!O35</f>
        <v>479.18173455253606</v>
      </c>
      <c r="S35" s="28">
        <f>'[1]功能-行军令'!P35</f>
        <v>537.4760326381712</v>
      </c>
      <c r="T35" s="28">
        <f>'[1]功能-行军令'!Q35</f>
        <v>451.70894653915161</v>
      </c>
      <c r="U35" s="28">
        <f>'[1]功能-行军令'!R35</f>
        <v>253.90176079978457</v>
      </c>
      <c r="V35" s="28">
        <f>'[1]功能-行军令'!S35</f>
        <v>28.308360425553076</v>
      </c>
      <c r="W35" s="28">
        <f>'[1]功能-行军令'!T35</f>
        <v>36.210668832445549</v>
      </c>
      <c r="X35" s="28">
        <f>'[1]功能-行军令'!U35</f>
        <v>40.319228110203483</v>
      </c>
      <c r="Y35" s="28">
        <f>'[1]功能-行军令'!V35</f>
        <v>34.333333314652236</v>
      </c>
      <c r="Z35" s="28">
        <f>'[1]功能-行军令'!W35</f>
        <v>19.235247794309004</v>
      </c>
      <c r="AC35" s="30">
        <v>32</v>
      </c>
      <c r="AD35" s="41">
        <f>'[1]功能-实力'!BE36</f>
        <v>627348</v>
      </c>
      <c r="AE35" s="41">
        <f>'[1]功能-实力'!BF36</f>
        <v>663546</v>
      </c>
      <c r="AF35" s="41">
        <f>'[1]功能-实力'!BG36</f>
        <v>722352</v>
      </c>
      <c r="AG35" s="41">
        <f>'[1]功能-实力'!BH36</f>
        <v>812544</v>
      </c>
      <c r="AH35" s="41">
        <f>'[1]功能-实力'!BI36</f>
        <v>881460</v>
      </c>
      <c r="AL35" s="37">
        <f>[3]基础状态预期!C45</f>
        <v>5800</v>
      </c>
      <c r="AM35" s="37">
        <f>[3]基础状态预期!D45</f>
        <v>125.02015904129435</v>
      </c>
      <c r="AO35" s="37">
        <f>[3]基础状态预期!F45</f>
        <v>0</v>
      </c>
      <c r="AP35" s="37">
        <f>[3]基础状态预期!G45</f>
        <v>0</v>
      </c>
      <c r="AQ35" s="37">
        <f>[3]基础状态预期!H45</f>
        <v>0</v>
      </c>
      <c r="AR35" s="37">
        <f>[3]基础状态预期!I45</f>
        <v>0</v>
      </c>
      <c r="AS35" s="37">
        <f>[3]基础状态预期!J45</f>
        <v>6</v>
      </c>
      <c r="AW35" s="32">
        <v>29</v>
      </c>
      <c r="AX35" s="32">
        <f>[1]节奏总纲!BJ32</f>
        <v>1.8000000000000025</v>
      </c>
      <c r="AY35" s="32">
        <f>[1]节奏总纲!BK32</f>
        <v>1.8360000000000025</v>
      </c>
      <c r="AZ35" s="32">
        <f>[1]节奏总纲!BL32</f>
        <v>1.9080000000000028</v>
      </c>
      <c r="BA35" s="32">
        <f>[1]节奏总纲!BM32</f>
        <v>2.0520000000000027</v>
      </c>
      <c r="BB35" s="32">
        <f>[1]节奏总纲!BN32</f>
        <v>2.5200000000000031</v>
      </c>
      <c r="BF35" s="42">
        <f>'[1]功能-行军令'!FZ33</f>
        <v>29</v>
      </c>
      <c r="BG35" s="42">
        <f>'[1]功能-行军令'!GA33*'[1]功能-行军令'!GB33</f>
        <v>94.723628902198854</v>
      </c>
      <c r="BN35" s="49">
        <v>30</v>
      </c>
      <c r="BO35" s="17">
        <f>'[1]资源-木石铜粮'!U35</f>
        <v>59187064.446426183</v>
      </c>
      <c r="BP35" s="17">
        <f>'[1]资源-木石铜粮'!V35</f>
        <v>69436386.107944101</v>
      </c>
      <c r="BQ35" s="17">
        <f>'[1]资源-木石铜粮'!W35</f>
        <v>84890041.981795877</v>
      </c>
      <c r="BR35" s="17">
        <f>'[1]资源-木石铜粮'!X35</f>
        <v>76933601.34783949</v>
      </c>
      <c r="BS35" s="17">
        <f>'[1]资源-木石铜粮'!Y35</f>
        <v>67049881.993011475</v>
      </c>
      <c r="BV35" s="49">
        <v>30</v>
      </c>
      <c r="BW35" s="47">
        <f>'[1]功能-城建'!EQ33+[1]养成buff汇总!H35+'[1]功能-采集'!BS34+[2]产出汇总!AY35+[1]养成buff汇总!GY35</f>
        <v>30294636.774201922</v>
      </c>
      <c r="BX35" s="47">
        <f>'[1]功能-城建'!ER33+[1]养成buff汇总!I35+'[1]功能-采集'!BT34+[2]产出汇总!AZ35+[1]养成buff汇总!GZ35</f>
        <v>25444202.409977973</v>
      </c>
      <c r="BY35" s="47">
        <f>'[1]功能-城建'!ES33+[1]养成buff汇总!J35+'[1]功能-采集'!BU34+[2]产出汇总!BA35+[1]养成buff汇总!HA35</f>
        <v>23697241.412596196</v>
      </c>
      <c r="BZ35" s="47">
        <f>'[1]功能-城建'!ET33+[1]养成buff汇总!K35+'[1]功能-采集'!BV34+[2]产出汇总!BB35+[1]养成buff汇总!HB35</f>
        <v>17582385.519946169</v>
      </c>
      <c r="CA35" s="47">
        <f>'[1]功能-城建'!EU33+[1]养成buff汇总!L35+'[1]功能-采集'!BW34+[2]产出汇总!BC35+[1]养成buff汇总!HC35</f>
        <v>11992018.053571617</v>
      </c>
      <c r="CD35" s="49">
        <v>30</v>
      </c>
      <c r="CE35" s="44">
        <f>'[1]资源-铁'!T35</f>
        <v>0</v>
      </c>
      <c r="CF35" s="44">
        <f>'[1]资源-铁'!U35</f>
        <v>0</v>
      </c>
      <c r="CG35" s="44">
        <f>'[1]资源-铁'!V35</f>
        <v>0</v>
      </c>
      <c r="CH35" s="44">
        <f>'[1]资源-铁'!W35</f>
        <v>0</v>
      </c>
      <c r="CI35" s="44">
        <f>'[1]资源-铁'!X35</f>
        <v>0</v>
      </c>
      <c r="CL35" s="49">
        <v>30</v>
      </c>
      <c r="CM35" s="44">
        <f>'[1]功能-城建'!HF33+[1]养成buff汇总!S35+'[1]功能-采集'!BX34</f>
        <v>0</v>
      </c>
      <c r="CN35" s="44">
        <f>'[1]功能-城建'!HG33+[1]养成buff汇总!T35+'[1]功能-采集'!BY34</f>
        <v>0</v>
      </c>
      <c r="CO35" s="44">
        <f>'[1]功能-城建'!HH33+[1]养成buff汇总!U35+'[1]功能-采集'!BZ34</f>
        <v>0</v>
      </c>
      <c r="CP35" s="44">
        <f>'[1]功能-城建'!HI33+[1]养成buff汇总!V35+'[1]功能-采集'!CA34</f>
        <v>0</v>
      </c>
      <c r="CQ35" s="44">
        <f>'[1]功能-城建'!HJ33+[1]养成buff汇总!W35+'[1]功能-采集'!CB34</f>
        <v>0</v>
      </c>
      <c r="CT35" s="49">
        <v>30</v>
      </c>
      <c r="CU35" s="17">
        <f>'[1]资源-玩家城池建筑时间'!AJ35+CU34</f>
        <v>2803351.1759288665</v>
      </c>
      <c r="CV35" s="17">
        <f>'[1]资源-玩家城池建筑时间'!AK35+CV34</f>
        <v>3080015.0873233103</v>
      </c>
      <c r="CW35" s="17">
        <f>'[1]资源-玩家城池建筑时间'!AL35+CW34</f>
        <v>3423874.5325620086</v>
      </c>
      <c r="CX35" s="17">
        <f>'[1]资源-玩家城池建筑时间'!AM35+CX34</f>
        <v>3856351.7611873401</v>
      </c>
      <c r="CY35" s="17">
        <f>'[1]资源-玩家城池建筑时间'!AN35+CY34</f>
        <v>4385813.1726460913</v>
      </c>
      <c r="DB35" s="49">
        <v>30</v>
      </c>
      <c r="DC35" s="17">
        <f>'[1]资源-士兵训练时间'!U35</f>
        <v>699357.77377119008</v>
      </c>
      <c r="DD35" s="17">
        <f>'[1]资源-士兵训练时间'!V35</f>
        <v>1033621.3982958496</v>
      </c>
      <c r="DE35" s="17">
        <f>'[1]资源-士兵训练时间'!W35</f>
        <v>1453551.3585009477</v>
      </c>
      <c r="DF35" s="17">
        <f>'[1]资源-士兵训练时间'!X35</f>
        <v>1984453.4745389931</v>
      </c>
      <c r="DG35" s="17">
        <f>'[1]资源-士兵训练时间'!Y35</f>
        <v>3031673.3643726571</v>
      </c>
    </row>
    <row r="36" spans="2:111" x14ac:dyDescent="0.15">
      <c r="B36" s="23">
        <v>33</v>
      </c>
      <c r="C36" s="24">
        <f>'[1]资源-钻石'!L36</f>
        <v>76186.558345224621</v>
      </c>
      <c r="D36" s="24">
        <f>'[1]资源-钻石'!M36</f>
        <v>93093.459980414817</v>
      </c>
      <c r="E36" s="24">
        <f>'[1]资源-钻石'!N36</f>
        <v>125117.63351523719</v>
      </c>
      <c r="F36" s="24">
        <f>'[1]资源-钻石'!O36</f>
        <v>234530.47139279128</v>
      </c>
      <c r="G36" s="24">
        <f>'[1]资源-钻石'!P36</f>
        <v>339160.18847569614</v>
      </c>
      <c r="I36" s="23">
        <v>33</v>
      </c>
      <c r="J36" s="24">
        <f>'[1]资源-钻石'!T36</f>
        <v>214218.05171274743</v>
      </c>
      <c r="K36" s="24">
        <f>'[1]资源-钻石'!U36</f>
        <v>293599.85688402219</v>
      </c>
      <c r="L36" s="24">
        <f>'[1]资源-钻石'!V36</f>
        <v>476553.84257242444</v>
      </c>
      <c r="M36" s="24">
        <f>'[1]资源-钻石'!W36</f>
        <v>1214899.2268296669</v>
      </c>
      <c r="N36" s="24">
        <f>'[1]资源-钻石'!X36</f>
        <v>2849386.6495126337</v>
      </c>
      <c r="P36" s="28">
        <v>33</v>
      </c>
      <c r="Q36" s="28">
        <f>'[1]功能-行军令'!N36</f>
        <v>407.06114411092915</v>
      </c>
      <c r="R36" s="28">
        <f>'[1]功能-行军令'!O36</f>
        <v>516.70660293933065</v>
      </c>
      <c r="S36" s="28">
        <f>'[1]功能-行军令'!P36</f>
        <v>579.63560107228818</v>
      </c>
      <c r="T36" s="28">
        <f>'[1]功能-行军令'!Q36</f>
        <v>487.81499577829209</v>
      </c>
      <c r="U36" s="28">
        <f>'[1]功能-行军令'!R36</f>
        <v>274.25921567579985</v>
      </c>
      <c r="V36" s="28">
        <f>'[1]功能-行军令'!S36</f>
        <v>30.3401494720203</v>
      </c>
      <c r="W36" s="28">
        <f>'[1]功能-行军令'!T36</f>
        <v>37.524868386794594</v>
      </c>
      <c r="X36" s="28">
        <f>'[1]功能-行军令'!U36</f>
        <v>42.159568434116977</v>
      </c>
      <c r="Y36" s="28">
        <f>'[1]功能-行军令'!V36</f>
        <v>36.106049239140475</v>
      </c>
      <c r="Z36" s="28">
        <f>'[1]功能-行军令'!W36</f>
        <v>20.357454876015282</v>
      </c>
      <c r="AC36" s="30">
        <v>33</v>
      </c>
      <c r="AD36" s="41">
        <f>'[1]功能-实力'!BE37</f>
        <v>666210</v>
      </c>
      <c r="AE36" s="41">
        <f>'[1]功能-实力'!BF37</f>
        <v>707442</v>
      </c>
      <c r="AF36" s="41">
        <f>'[1]功能-实力'!BG37</f>
        <v>776112</v>
      </c>
      <c r="AG36" s="41">
        <f>'[1]功能-实力'!BH37</f>
        <v>878016</v>
      </c>
      <c r="AH36" s="41">
        <f>'[1]功能-实力'!BI37</f>
        <v>952968</v>
      </c>
      <c r="AL36" s="37">
        <f>[3]基础状态预期!C46</f>
        <v>7420</v>
      </c>
      <c r="AM36" s="37">
        <f>[3]基础状态预期!D46</f>
        <v>128.56549059889721</v>
      </c>
      <c r="AO36" s="37">
        <f>[3]基础状态预期!F46</f>
        <v>0</v>
      </c>
      <c r="AP36" s="37">
        <f>[3]基础状态预期!G46</f>
        <v>0</v>
      </c>
      <c r="AQ36" s="37">
        <f>[3]基础状态预期!H46</f>
        <v>0</v>
      </c>
      <c r="AR36" s="37">
        <f>[3]基础状态预期!I46</f>
        <v>0</v>
      </c>
      <c r="AS36" s="37">
        <f>[3]基础状态预期!J46</f>
        <v>6</v>
      </c>
      <c r="AW36" s="32">
        <v>30</v>
      </c>
      <c r="AX36" s="32">
        <f>[1]节奏总纲!BJ33</f>
        <v>1.8333333333333359</v>
      </c>
      <c r="AY36" s="32">
        <f>[1]节奏总纲!BK33</f>
        <v>1.8700000000000028</v>
      </c>
      <c r="AZ36" s="32">
        <f>[1]节奏总纲!BL33</f>
        <v>1.9433333333333362</v>
      </c>
      <c r="BA36" s="32">
        <f>[1]节奏总纲!BM33</f>
        <v>2.090000000000003</v>
      </c>
      <c r="BB36" s="32">
        <f>[1]节奏总纲!BN33</f>
        <v>2.56666666666667</v>
      </c>
      <c r="BF36" s="42">
        <f>'[1]功能-行军令'!FZ34</f>
        <v>30</v>
      </c>
      <c r="BG36" s="42">
        <f>'[1]功能-行军令'!GA34*'[1]功能-行军令'!GB34</f>
        <v>99.459810347308803</v>
      </c>
      <c r="BN36" s="49">
        <v>31</v>
      </c>
      <c r="BO36" s="17">
        <f>'[1]资源-木石铜粮'!U36</f>
        <v>69182844.950890884</v>
      </c>
      <c r="BP36" s="17">
        <f>'[1]资源-木石铜粮'!V36</f>
        <v>80720723.108909488</v>
      </c>
      <c r="BQ36" s="17">
        <f>'[1]资源-木石铜粮'!W36</f>
        <v>97772404.777548969</v>
      </c>
      <c r="BR36" s="17">
        <f>'[1]资源-木石铜粮'!X36</f>
        <v>89406087.541211113</v>
      </c>
      <c r="BS36" s="17">
        <f>'[1]资源-木石铜粮'!Y36</f>
        <v>79076553.034817547</v>
      </c>
      <c r="BV36" s="49">
        <v>31</v>
      </c>
      <c r="BW36" s="47">
        <f>'[1]功能-城建'!EQ34+[1]养成buff汇总!H36+'[1]功能-采集'!BS35+[2]产出汇总!AY36+[1]养成buff汇总!GY36</f>
        <v>34593980.399395719</v>
      </c>
      <c r="BX36" s="47">
        <f>'[1]功能-城建'!ER34+[1]养成buff汇总!I36+'[1]功能-采集'!BT35+[2]产出汇总!AZ36+[1]养成buff汇总!GZ36</f>
        <v>29039361.096946053</v>
      </c>
      <c r="BY36" s="47">
        <f>'[1]功能-城建'!ES34+[1]养成buff汇总!J36+'[1]功能-采集'!BU35+[2]产出汇总!BA36+[1]养成buff汇总!HA36</f>
        <v>27094053.245950498</v>
      </c>
      <c r="BZ36" s="47">
        <f>'[1]功能-城建'!ET34+[1]养成buff汇总!K36+'[1]功能-采集'!BV35+[2]产出汇总!BB36+[1]养成buff汇总!HB36</f>
        <v>20009276.574675426</v>
      </c>
      <c r="CA36" s="47">
        <f>'[1]功能-城建'!EU34+[1]养成buff汇总!L36+'[1]功能-采集'!BW35+[2]产出汇总!BC36+[1]养成buff汇总!HC36</f>
        <v>13670785.975683121</v>
      </c>
      <c r="CD36" s="49">
        <v>31</v>
      </c>
      <c r="CE36" s="44">
        <f>'[1]资源-铁'!T36</f>
        <v>0</v>
      </c>
      <c r="CF36" s="44">
        <f>'[1]资源-铁'!U36</f>
        <v>0</v>
      </c>
      <c r="CG36" s="44">
        <f>'[1]资源-铁'!V36</f>
        <v>0</v>
      </c>
      <c r="CH36" s="44">
        <f>'[1]资源-铁'!W36</f>
        <v>0</v>
      </c>
      <c r="CI36" s="44">
        <f>'[1]资源-铁'!X36</f>
        <v>0</v>
      </c>
      <c r="CL36" s="49">
        <v>31</v>
      </c>
      <c r="CM36" s="44">
        <f>'[1]功能-城建'!HF34+[1]养成buff汇总!S36+'[1]功能-采集'!BX35</f>
        <v>0</v>
      </c>
      <c r="CN36" s="44">
        <f>'[1]功能-城建'!HG34+[1]养成buff汇总!T36+'[1]功能-采集'!BY35</f>
        <v>0</v>
      </c>
      <c r="CO36" s="44">
        <f>'[1]功能-城建'!HH34+[1]养成buff汇总!U36+'[1]功能-采集'!BZ35</f>
        <v>0</v>
      </c>
      <c r="CP36" s="44">
        <f>'[1]功能-城建'!HI34+[1]养成buff汇总!V36+'[1]功能-采集'!CA35</f>
        <v>0</v>
      </c>
      <c r="CQ36" s="44">
        <f>'[1]功能-城建'!HJ34+[1]养成buff汇总!W36+'[1]功能-采集'!CB35</f>
        <v>0</v>
      </c>
      <c r="CT36" s="49">
        <v>31</v>
      </c>
      <c r="CU36" s="17">
        <f>'[1]资源-玩家城池建筑时间'!AJ36+CU35</f>
        <v>3056035.9420327712</v>
      </c>
      <c r="CV36" s="17">
        <f>'[1]资源-玩家城池建筑时间'!AK36+CV35</f>
        <v>3362170.8033631216</v>
      </c>
      <c r="CW36" s="17">
        <f>'[1]资源-玩家城池建筑时间'!AL36+CW35</f>
        <v>3740101.6895338423</v>
      </c>
      <c r="CX36" s="17">
        <f>'[1]资源-玩家城池建筑时间'!AM36+CX35</f>
        <v>4213311.964385028</v>
      </c>
      <c r="CY36" s="17">
        <f>'[1]资源-玩家城池建筑时间'!AN36+CY35</f>
        <v>4804804.856525586</v>
      </c>
      <c r="DB36" s="49">
        <v>31</v>
      </c>
      <c r="DC36" s="17">
        <f>'[1]资源-士兵训练时间'!U36</f>
        <v>768457.66736586578</v>
      </c>
      <c r="DD36" s="17">
        <f>'[1]资源-士兵训练时间'!V36</f>
        <v>1139653.3082561365</v>
      </c>
      <c r="DE36" s="17">
        <f>'[1]资源-士兵训练时间'!W36</f>
        <v>1600548.128484251</v>
      </c>
      <c r="DF36" s="17">
        <f>'[1]资源-士兵训练时间'!X36</f>
        <v>2180346.1133837528</v>
      </c>
      <c r="DG36" s="17">
        <f>'[1]资源-士兵训练时间'!Y36</f>
        <v>3287006.8797769137</v>
      </c>
    </row>
    <row r="37" spans="2:111" x14ac:dyDescent="0.15">
      <c r="B37" s="23">
        <v>34</v>
      </c>
      <c r="C37" s="24">
        <f>'[1]资源-钻石'!L37</f>
        <v>80206.724079712018</v>
      </c>
      <c r="D37" s="24">
        <f>'[1]资源-钻石'!M37</f>
        <v>98079.412553835689</v>
      </c>
      <c r="E37" s="24">
        <f>'[1]资源-钻石'!N37</f>
        <v>134266.27518432302</v>
      </c>
      <c r="F37" s="24">
        <f>'[1]资源-钻石'!O37</f>
        <v>251081.94240233212</v>
      </c>
      <c r="G37" s="24">
        <f>'[1]资源-钻石'!P37</f>
        <v>360236.82018402731</v>
      </c>
      <c r="I37" s="23">
        <v>34</v>
      </c>
      <c r="J37" s="24">
        <f>'[1]资源-钻石'!T37</f>
        <v>220139.87247979551</v>
      </c>
      <c r="K37" s="24">
        <f>'[1]资源-钻石'!U37</f>
        <v>301793.8597277751</v>
      </c>
      <c r="L37" s="24">
        <f>'[1]资源-钻石'!V37</f>
        <v>490019.24570055259</v>
      </c>
      <c r="M37" s="24">
        <f>'[1]资源-钻石'!W37</f>
        <v>1249731.1702706078</v>
      </c>
      <c r="N37" s="24">
        <f>'[1]资源-钻石'!X37</f>
        <v>2931556.7872976689</v>
      </c>
      <c r="P37" s="28">
        <v>34</v>
      </c>
      <c r="Q37" s="28">
        <f>'[1]功能-行军令'!N37</f>
        <v>439.57891116442499</v>
      </c>
      <c r="R37" s="28">
        <f>'[1]功能-行军令'!O37</f>
        <v>558.17539018392961</v>
      </c>
      <c r="S37" s="28">
        <f>'[1]功能-行军令'!P37</f>
        <v>627.15678862157131</v>
      </c>
      <c r="T37" s="28">
        <f>'[1]功能-行军令'!Q37</f>
        <v>528.26013406653317</v>
      </c>
      <c r="U37" s="28">
        <f>'[1]功能-行军令'!R37</f>
        <v>296.75876732077467</v>
      </c>
      <c r="V37" s="28">
        <f>'[1]功能-行军令'!S37</f>
        <v>32.517767053495845</v>
      </c>
      <c r="W37" s="28">
        <f>'[1]功能-行军令'!T37</f>
        <v>41.468787244598957</v>
      </c>
      <c r="X37" s="28">
        <f>'[1]功能-行军令'!U37</f>
        <v>47.521187549283127</v>
      </c>
      <c r="Y37" s="28">
        <f>'[1]功能-行军令'!V37</f>
        <v>40.445138288241083</v>
      </c>
      <c r="Z37" s="28">
        <f>'[1]功能-行军令'!W37</f>
        <v>22.499551644974815</v>
      </c>
      <c r="AC37" s="30">
        <v>34</v>
      </c>
      <c r="AD37" s="41">
        <f>'[1]功能-实力'!BE38</f>
        <v>706428</v>
      </c>
      <c r="AE37" s="41">
        <f>'[1]功能-实力'!BF38</f>
        <v>753564</v>
      </c>
      <c r="AF37" s="41">
        <f>'[1]功能-实力'!BG38</f>
        <v>832470</v>
      </c>
      <c r="AG37" s="41">
        <f>'[1]功能-实力'!BH38</f>
        <v>942594</v>
      </c>
      <c r="AH37" s="41">
        <f>'[1]功能-实力'!BI38</f>
        <v>1019568</v>
      </c>
      <c r="AL37" s="37">
        <f>[3]基础状态预期!C47</f>
        <v>9460</v>
      </c>
      <c r="AM37" s="37">
        <f>[3]基础状态预期!D47</f>
        <v>132.07530828871487</v>
      </c>
      <c r="AO37" s="37">
        <f>[3]基础状态预期!F47</f>
        <v>0</v>
      </c>
      <c r="AP37" s="37">
        <f>[3]基础状态预期!G47</f>
        <v>0</v>
      </c>
      <c r="AQ37" s="37">
        <f>[3]基础状态预期!H47</f>
        <v>0</v>
      </c>
      <c r="AR37" s="37">
        <f>[3]基础状态预期!I47</f>
        <v>0</v>
      </c>
      <c r="AS37" s="37">
        <f>[3]基础状态预期!J47</f>
        <v>6</v>
      </c>
      <c r="AW37" s="32">
        <v>31</v>
      </c>
      <c r="AX37" s="32">
        <f>[1]节奏总纲!BJ34</f>
        <v>1.8666666666666694</v>
      </c>
      <c r="AY37" s="32">
        <f>[1]节奏总纲!BK34</f>
        <v>1.9040000000000028</v>
      </c>
      <c r="AZ37" s="32">
        <f>[1]节奏总纲!BL34</f>
        <v>1.9786666666666697</v>
      </c>
      <c r="BA37" s="32">
        <f>[1]节奏总纲!BM34</f>
        <v>2.1280000000000028</v>
      </c>
      <c r="BB37" s="32">
        <f>[1]节奏总纲!BN34</f>
        <v>2.6133333333333368</v>
      </c>
      <c r="BF37" s="42">
        <f>'[1]功能-行军令'!FZ35</f>
        <v>31</v>
      </c>
      <c r="BG37" s="42">
        <f>'[1]功能-行军令'!GA35*'[1]功能-行军令'!GB35</f>
        <v>104.43280086467423</v>
      </c>
      <c r="BN37" s="49">
        <v>32</v>
      </c>
      <c r="BO37" s="17">
        <f>'[1]资源-木石铜粮'!U37</f>
        <v>78025534.32249704</v>
      </c>
      <c r="BP37" s="17">
        <f>'[1]资源-木石铜粮'!V37</f>
        <v>90770688.254343733</v>
      </c>
      <c r="BQ37" s="17">
        <f>'[1]资源-木石铜粮'!W37</f>
        <v>109523178.82326201</v>
      </c>
      <c r="BR37" s="17">
        <f>'[1]资源-木石铜粮'!X37</f>
        <v>100959155.29727677</v>
      </c>
      <c r="BS37" s="17">
        <f>'[1]资源-木石铜粮'!Y37</f>
        <v>89808333.719270661</v>
      </c>
      <c r="BV37" s="49">
        <v>32</v>
      </c>
      <c r="BW37" s="47">
        <f>'[1]功能-城建'!EQ35+[1]养成buff汇总!H37+'[1]功能-采集'!BS36+[2]产出汇总!AY37+[1]养成buff汇总!GY37</f>
        <v>39443688.813252181</v>
      </c>
      <c r="BX37" s="47">
        <f>'[1]功能-城建'!ER35+[1]养成buff汇总!I37+'[1]功能-采集'!BT36+[2]产出汇总!AZ37+[1]养成buff汇总!GZ37</f>
        <v>33002067.811219353</v>
      </c>
      <c r="BY37" s="47">
        <f>'[1]功能-城建'!ES35+[1]养成buff汇总!J37+'[1]功能-采集'!BU36+[2]产出汇总!BA37+[1]养成buff汇总!HA37</f>
        <v>30841938.527890481</v>
      </c>
      <c r="BZ37" s="47">
        <f>'[1]功能-城建'!ET35+[1]养成buff汇总!K37+'[1]功能-采集'!BV36+[2]产出汇总!BB37+[1]养成buff汇总!HB37</f>
        <v>22741457.78136792</v>
      </c>
      <c r="CA37" s="47">
        <f>'[1]功能-城建'!EU35+[1]养成buff汇总!L37+'[1]功能-采集'!BW36+[2]产出汇总!BC37+[1]养成buff汇总!HC37</f>
        <v>15533575.118280355</v>
      </c>
      <c r="CD37" s="49">
        <v>32</v>
      </c>
      <c r="CE37" s="44">
        <f>'[1]资源-铁'!T37</f>
        <v>0</v>
      </c>
      <c r="CF37" s="44">
        <f>'[1]资源-铁'!U37</f>
        <v>0</v>
      </c>
      <c r="CG37" s="44">
        <f>'[1]资源-铁'!V37</f>
        <v>0</v>
      </c>
      <c r="CH37" s="44">
        <f>'[1]资源-铁'!W37</f>
        <v>0</v>
      </c>
      <c r="CI37" s="44">
        <f>'[1]资源-铁'!X37</f>
        <v>0</v>
      </c>
      <c r="CL37" s="49">
        <v>32</v>
      </c>
      <c r="CM37" s="44">
        <f>'[1]功能-城建'!HF35+[1]养成buff汇总!S37+'[1]功能-采集'!BX36</f>
        <v>0</v>
      </c>
      <c r="CN37" s="44">
        <f>'[1]功能-城建'!HG35+[1]养成buff汇总!T37+'[1]功能-采集'!BY36</f>
        <v>0</v>
      </c>
      <c r="CO37" s="44">
        <f>'[1]功能-城建'!HH35+[1]养成buff汇总!U37+'[1]功能-采集'!BZ36</f>
        <v>0</v>
      </c>
      <c r="CP37" s="44">
        <f>'[1]功能-城建'!HI35+[1]养成buff汇总!V37+'[1]功能-采集'!CA36</f>
        <v>0</v>
      </c>
      <c r="CQ37" s="44">
        <f>'[1]功能-城建'!HJ35+[1]养成buff汇总!W37+'[1]功能-采集'!CB36</f>
        <v>0</v>
      </c>
      <c r="CT37" s="49">
        <v>32</v>
      </c>
      <c r="CU37" s="17">
        <f>'[1]资源-玩家城池建筑时间'!AJ37+CU36</f>
        <v>3328994.0933036869</v>
      </c>
      <c r="CV37" s="17">
        <f>'[1]资源-玩家城池建筑时间'!AK37+CV36</f>
        <v>3663708.5720931888</v>
      </c>
      <c r="CW37" s="17">
        <f>'[1]资源-玩家城池建筑时间'!AL37+CW36</f>
        <v>4081006.3120663101</v>
      </c>
      <c r="CX37" s="17">
        <f>'[1]资源-玩家城池建筑时间'!AM37+CX36</f>
        <v>4602985.2427313328</v>
      </c>
      <c r="CY37" s="17">
        <f>'[1]资源-玩家城池建筑时间'!AN37+CY36</f>
        <v>5245344.2092101835</v>
      </c>
      <c r="DB37" s="49">
        <v>32</v>
      </c>
      <c r="DC37" s="17">
        <f>'[1]资源-士兵训练时间'!U37</f>
        <v>845389.32019050792</v>
      </c>
      <c r="DD37" s="17">
        <f>'[1]资源-士兵训练时间'!V37</f>
        <v>1252489.8234837125</v>
      </c>
      <c r="DE37" s="17">
        <f>'[1]资源-士兵训练时间'!W37</f>
        <v>1756449.5088623082</v>
      </c>
      <c r="DF37" s="17">
        <f>'[1]资源-士兵训练时间'!X37</f>
        <v>2373013.5113998069</v>
      </c>
      <c r="DG37" s="17">
        <f>'[1]资源-士兵训练时间'!Y37</f>
        <v>3555471.5436894912</v>
      </c>
    </row>
    <row r="38" spans="2:111" x14ac:dyDescent="0.15">
      <c r="B38" s="23">
        <v>35</v>
      </c>
      <c r="C38" s="24">
        <f>'[1]资源-钻石'!L38</f>
        <v>84515.431028933323</v>
      </c>
      <c r="D38" s="24">
        <f>'[1]资源-钻石'!M38</f>
        <v>103508.3124856458</v>
      </c>
      <c r="E38" s="24">
        <f>'[1]资源-钻石'!N38</f>
        <v>142360.04589044797</v>
      </c>
      <c r="F38" s="24">
        <f>'[1]资源-钻石'!O38</f>
        <v>268439.07824784203</v>
      </c>
      <c r="G38" s="24">
        <f>'[1]资源-钻石'!P38</f>
        <v>382376.64658916084</v>
      </c>
      <c r="I38" s="23">
        <v>35</v>
      </c>
      <c r="J38" s="24">
        <f>'[1]资源-钻石'!T38</f>
        <v>226061.69324684358</v>
      </c>
      <c r="K38" s="24">
        <f>'[1]资源-钻石'!U38</f>
        <v>309987.86257152795</v>
      </c>
      <c r="L38" s="24">
        <f>'[1]资源-钻石'!V38</f>
        <v>503484.6488286808</v>
      </c>
      <c r="M38" s="24">
        <f>'[1]资源-钻石'!W38</f>
        <v>1284563.113711549</v>
      </c>
      <c r="N38" s="24">
        <f>'[1]资源-钻石'!X38</f>
        <v>3013726.9250827036</v>
      </c>
      <c r="P38" s="28">
        <v>35</v>
      </c>
      <c r="Q38" s="28">
        <f>'[1]功能-行军令'!N38</f>
        <v>474.43059095329892</v>
      </c>
      <c r="R38" s="28">
        <f>'[1]功能-行军令'!O38</f>
        <v>603.32822566106074</v>
      </c>
      <c r="S38" s="28">
        <f>'[1]功能-行军令'!P38</f>
        <v>678.38211377902269</v>
      </c>
      <c r="T38" s="28">
        <f>'[1]功能-行军令'!Q38</f>
        <v>570.67399318242508</v>
      </c>
      <c r="U38" s="28">
        <f>'[1]功能-行军令'!R38</f>
        <v>320.39329177926174</v>
      </c>
      <c r="V38" s="28">
        <f>'[1]功能-行军令'!S38</f>
        <v>34.851679788873923</v>
      </c>
      <c r="W38" s="28">
        <f>'[1]功能-行军令'!T38</f>
        <v>45.152835477131134</v>
      </c>
      <c r="X38" s="28">
        <f>'[1]功能-行军令'!U38</f>
        <v>51.22532515745138</v>
      </c>
      <c r="Y38" s="28">
        <f>'[1]功能-行军令'!V38</f>
        <v>42.41385911589191</v>
      </c>
      <c r="Z38" s="28">
        <f>'[1]功能-行军令'!W38</f>
        <v>23.634524458487078</v>
      </c>
      <c r="AC38" s="30">
        <v>35</v>
      </c>
      <c r="AD38" s="41">
        <f>'[1]功能-实力'!BE39</f>
        <v>752070</v>
      </c>
      <c r="AE38" s="41">
        <f>'[1]功能-实力'!BF39</f>
        <v>802896</v>
      </c>
      <c r="AF38" s="41">
        <f>'[1]功能-实力'!BG39</f>
        <v>883830</v>
      </c>
      <c r="AG38" s="41">
        <f>'[1]功能-实力'!BH39</f>
        <v>1000476</v>
      </c>
      <c r="AH38" s="41">
        <f>'[1]功能-实力'!BI39</f>
        <v>1082250</v>
      </c>
      <c r="AL38" s="37">
        <f>[3]基础状态预期!C48</f>
        <v>12040</v>
      </c>
      <c r="AM38" s="37">
        <f>[3]基础状态预期!D48</f>
        <v>135.54811255008914</v>
      </c>
      <c r="AO38" s="37">
        <f>[3]基础状态预期!F48</f>
        <v>0</v>
      </c>
      <c r="AP38" s="37">
        <f>[3]基础状态预期!G48</f>
        <v>0</v>
      </c>
      <c r="AQ38" s="37">
        <f>[3]基础状态预期!H48</f>
        <v>0</v>
      </c>
      <c r="AR38" s="37">
        <f>[3]基础状态预期!I48</f>
        <v>0</v>
      </c>
      <c r="AS38" s="37">
        <f>[3]基础状态预期!J48</f>
        <v>6</v>
      </c>
      <c r="AW38" s="32">
        <v>32</v>
      </c>
      <c r="AX38" s="32">
        <f>[1]节奏总纲!BJ35</f>
        <v>1.9000000000000028</v>
      </c>
      <c r="AY38" s="32">
        <f>[1]节奏总纲!BK35</f>
        <v>1.9380000000000028</v>
      </c>
      <c r="AZ38" s="32">
        <f>[1]节奏总纲!BL35</f>
        <v>2.0140000000000029</v>
      </c>
      <c r="BA38" s="32">
        <f>[1]节奏总纲!BM35</f>
        <v>2.166000000000003</v>
      </c>
      <c r="BB38" s="32">
        <f>[1]节奏总纲!BN35</f>
        <v>2.6600000000000037</v>
      </c>
      <c r="BF38" s="42">
        <f>'[1]功能-行军令'!FZ36</f>
        <v>32</v>
      </c>
      <c r="BG38" s="42">
        <f>'[1]功能-行军令'!GA36*'[1]功能-行军令'!GB36</f>
        <v>109.65444090790795</v>
      </c>
      <c r="BN38" s="49">
        <v>33</v>
      </c>
      <c r="BO38" s="17">
        <f>'[1]资源-木石铜粮'!U38</f>
        <v>87729862.998911485</v>
      </c>
      <c r="BP38" s="17">
        <f>'[1]资源-木石铜粮'!V38</f>
        <v>101754005.72649306</v>
      </c>
      <c r="BQ38" s="17">
        <f>'[1]资源-木石铜粮'!W38</f>
        <v>122207956.45319629</v>
      </c>
      <c r="BR38" s="17">
        <f>'[1]资源-木石铜粮'!X38</f>
        <v>113597983.89607461</v>
      </c>
      <c r="BS38" s="17">
        <f>'[1]资源-木石铜粮'!Y38</f>
        <v>101631003.50054842</v>
      </c>
      <c r="BV38" s="49">
        <v>33</v>
      </c>
      <c r="BW38" s="47">
        <f>'[1]功能-城建'!EQ36+[1]养成buff汇总!H38+'[1]功能-采集'!BS37+[2]产出汇总!AY38+[1]养成buff汇总!GY38</f>
        <v>44839030.171925649</v>
      </c>
      <c r="BX38" s="47">
        <f>'[1]功能-城建'!ER36+[1]养成buff汇总!I38+'[1]功能-采集'!BT37+[2]产出汇总!AZ38+[1]养成buff汇总!GZ38</f>
        <v>37317899.516153179</v>
      </c>
      <c r="BY38" s="47">
        <f>'[1]功能-城建'!ES36+[1]养成buff汇总!J38+'[1]功能-采集'!BU37+[2]产出汇总!BA38+[1]养成buff汇总!HA38</f>
        <v>34942484.357392631</v>
      </c>
      <c r="BZ38" s="47">
        <f>'[1]功能-城建'!ET36+[1]养成buff汇总!K38+'[1]功能-采集'!BV37+[2]产出汇总!BB38+[1]养成buff汇总!HB38</f>
        <v>25759231.551574398</v>
      </c>
      <c r="CA38" s="47">
        <f>'[1]功能-城建'!EU36+[1]养成buff汇总!L38+'[1]功能-采集'!BW37+[2]产出汇总!BC38+[1]养成buff汇总!HC38</f>
        <v>17715417.04099904</v>
      </c>
      <c r="CD38" s="49">
        <v>33</v>
      </c>
      <c r="CE38" s="44">
        <f>'[1]资源-铁'!T38</f>
        <v>0</v>
      </c>
      <c r="CF38" s="44">
        <f>'[1]资源-铁'!U38</f>
        <v>0</v>
      </c>
      <c r="CG38" s="44">
        <f>'[1]资源-铁'!V38</f>
        <v>0</v>
      </c>
      <c r="CH38" s="44">
        <f>'[1]资源-铁'!W38</f>
        <v>0</v>
      </c>
      <c r="CI38" s="44">
        <f>'[1]资源-铁'!X38</f>
        <v>32325.006888290372</v>
      </c>
      <c r="CL38" s="49">
        <v>33</v>
      </c>
      <c r="CM38" s="44">
        <f>'[1]功能-城建'!HF36+[1]养成buff汇总!S38+'[1]功能-采集'!BX37</f>
        <v>0</v>
      </c>
      <c r="CN38" s="44">
        <f>'[1]功能-城建'!HG36+[1]养成buff汇总!T38+'[1]功能-采集'!BY37</f>
        <v>0</v>
      </c>
      <c r="CO38" s="44">
        <f>'[1]功能-城建'!HH36+[1]养成buff汇总!U38+'[1]功能-采集'!BZ37</f>
        <v>0</v>
      </c>
      <c r="CP38" s="44">
        <f>'[1]功能-城建'!HI36+[1]养成buff汇总!V38+'[1]功能-采集'!CA37</f>
        <v>0</v>
      </c>
      <c r="CQ38" s="44">
        <f>'[1]功能-城建'!HJ36+[1]养成buff汇总!W38+'[1]功能-采集'!CB37</f>
        <v>0</v>
      </c>
      <c r="CT38" s="49">
        <v>33</v>
      </c>
      <c r="CU38" s="17">
        <f>'[1]资源-玩家城池建筑时间'!AJ38+CU37</f>
        <v>3621789.5847772588</v>
      </c>
      <c r="CV38" s="17">
        <f>'[1]资源-玩家城池建筑时间'!AK38+CV37</f>
        <v>3986905.8628959586</v>
      </c>
      <c r="CW38" s="17">
        <f>'[1]资源-玩家城池建筑时间'!AL38+CW37</f>
        <v>4438907.5003422862</v>
      </c>
      <c r="CX38" s="17">
        <f>'[1]资源-玩家城池建筑时间'!AM38+CX37</f>
        <v>5016448.4777751546</v>
      </c>
      <c r="CY38" s="17">
        <f>'[1]资源-玩家城池建筑时间'!AN38+CY37</f>
        <v>5723694.0378732849</v>
      </c>
      <c r="DB38" s="49">
        <v>33</v>
      </c>
      <c r="DC38" s="17">
        <f>'[1]资源-士兵训练时间'!U38</f>
        <v>927865.21559491672</v>
      </c>
      <c r="DD38" s="17">
        <f>'[1]资源-士兵训练时间'!V38</f>
        <v>1370732.6408354812</v>
      </c>
      <c r="DE38" s="17">
        <f>'[1]资源-士兵训练时间'!W38</f>
        <v>1915018.1534674554</v>
      </c>
      <c r="DF38" s="17">
        <f>'[1]资源-士兵训练时间'!X38</f>
        <v>2561986.8705784315</v>
      </c>
      <c r="DG38" s="17">
        <f>'[1]资源-士兵训练时间'!Y38</f>
        <v>3916088.347954608</v>
      </c>
    </row>
    <row r="39" spans="2:111" x14ac:dyDescent="0.15">
      <c r="B39" s="23">
        <v>36</v>
      </c>
      <c r="C39" s="24">
        <f>'[1]资源-钻石'!L39</f>
        <v>89133.388794954444</v>
      </c>
      <c r="D39" s="24">
        <f>'[1]资源-钻石'!M39</f>
        <v>109318.19377374474</v>
      </c>
      <c r="E39" s="24">
        <f>'[1]资源-钻石'!N39</f>
        <v>150345.47464377317</v>
      </c>
      <c r="F39" s="24">
        <f>'[1]资源-钻石'!O39</f>
        <v>286544.76592007501</v>
      </c>
      <c r="G39" s="24">
        <f>'[1]资源-钻石'!P39</f>
        <v>404396.48747346632</v>
      </c>
      <c r="I39" s="23">
        <v>36</v>
      </c>
      <c r="J39" s="24">
        <f>'[1]资源-钻石'!T39</f>
        <v>231983.51401389166</v>
      </c>
      <c r="K39" s="24">
        <f>'[1]资源-钻石'!U39</f>
        <v>318181.86541528086</v>
      </c>
      <c r="L39" s="24">
        <f>'[1]资源-钻石'!V39</f>
        <v>516950.05195680901</v>
      </c>
      <c r="M39" s="24">
        <f>'[1]资源-钻石'!W39</f>
        <v>1319395.0571524899</v>
      </c>
      <c r="N39" s="24">
        <f>'[1]资源-钻石'!X39</f>
        <v>3095897.0628677388</v>
      </c>
      <c r="P39" s="28">
        <v>36</v>
      </c>
      <c r="Q39" s="28">
        <f>'[1]功能-行军令'!N39</f>
        <v>511.78369647582645</v>
      </c>
      <c r="R39" s="28">
        <f>'[1]功能-行军令'!O39</f>
        <v>651.64973042965698</v>
      </c>
      <c r="S39" s="28">
        <f>'[1]功能-行军令'!P39</f>
        <v>731.69158798522301</v>
      </c>
      <c r="T39" s="28">
        <f>'[1]功能-行军令'!Q39</f>
        <v>614.91701190173114</v>
      </c>
      <c r="U39" s="28">
        <f>'[1]功能-行军令'!R39</f>
        <v>343.89973028645079</v>
      </c>
      <c r="V39" s="28">
        <f>'[1]功能-行军令'!S39</f>
        <v>37.353105522527528</v>
      </c>
      <c r="W39" s="28">
        <f>'[1]功能-行军令'!T39</f>
        <v>48.321504768596242</v>
      </c>
      <c r="X39" s="28">
        <f>'[1]功能-行军令'!U39</f>
        <v>53.309474206200321</v>
      </c>
      <c r="Y39" s="28">
        <f>'[1]功能-行军令'!V39</f>
        <v>44.243018719306065</v>
      </c>
      <c r="Z39" s="28">
        <f>'[1]功能-行军令'!W39</f>
        <v>23.506438507189046</v>
      </c>
      <c r="AC39" s="30">
        <v>36</v>
      </c>
      <c r="AD39" s="41">
        <f>'[1]功能-实力'!BE40</f>
        <v>804870</v>
      </c>
      <c r="AE39" s="41">
        <f>'[1]功能-实力'!BF40</f>
        <v>855168</v>
      </c>
      <c r="AF39" s="41">
        <f>'[1]功能-实力'!BG40</f>
        <v>934494</v>
      </c>
      <c r="AG39" s="41">
        <f>'[1]功能-实力'!BH40</f>
        <v>1060458</v>
      </c>
      <c r="AH39" s="41">
        <f>'[1]功能-实力'!BI40</f>
        <v>1146816</v>
      </c>
      <c r="AL39" s="37">
        <f>[3]基础状态预期!C49</f>
        <v>15340</v>
      </c>
      <c r="AM39" s="37">
        <f>[3]基础状态预期!D49</f>
        <v>139.0493876099641</v>
      </c>
      <c r="AO39" s="37">
        <f>[3]基础状态预期!F49</f>
        <v>0</v>
      </c>
      <c r="AP39" s="37">
        <f>[3]基础状态预期!G49</f>
        <v>0</v>
      </c>
      <c r="AQ39" s="37">
        <f>[3]基础状态预期!H49</f>
        <v>0</v>
      </c>
      <c r="AR39" s="37">
        <f>[3]基础状态预期!I49</f>
        <v>0</v>
      </c>
      <c r="AS39" s="37">
        <f>[3]基础状态预期!J49</f>
        <v>6</v>
      </c>
      <c r="AW39" s="32">
        <v>33</v>
      </c>
      <c r="AX39" s="32">
        <f>[1]节奏总纲!BJ36</f>
        <v>1.9333333333333362</v>
      </c>
      <c r="AY39" s="32">
        <f>[1]节奏总纲!BK36</f>
        <v>1.9720000000000031</v>
      </c>
      <c r="AZ39" s="32">
        <f>[1]节奏总纲!BL36</f>
        <v>2.0493333333333363</v>
      </c>
      <c r="BA39" s="32">
        <f>[1]节奏总纲!BM36</f>
        <v>2.2040000000000033</v>
      </c>
      <c r="BB39" s="32">
        <f>[1]节奏总纲!BN36</f>
        <v>2.7066666666666706</v>
      </c>
      <c r="BF39" s="42">
        <f>'[1]功能-行军令'!FZ37</f>
        <v>33</v>
      </c>
      <c r="BG39" s="42">
        <f>'[1]功能-行军令'!GA37*'[1]功能-行军令'!GB37</f>
        <v>115.13716295330335</v>
      </c>
      <c r="BN39" s="49">
        <v>34</v>
      </c>
      <c r="BO39" s="17">
        <f>'[1]资源-木石铜粮'!U39</f>
        <v>98695151.766226441</v>
      </c>
      <c r="BP39" s="17">
        <f>'[1]资源-木石铜粮'!V39</f>
        <v>114114460.00906093</v>
      </c>
      <c r="BQ39" s="17">
        <f>'[1]资源-木石铜粮'!W39</f>
        <v>136689230.5498794</v>
      </c>
      <c r="BR39" s="17">
        <f>'[1]资源-木石铜粮'!X39</f>
        <v>127835970.69737217</v>
      </c>
      <c r="BS39" s="17">
        <f>'[1]资源-木石铜粮'!Y39</f>
        <v>114815815.90025578</v>
      </c>
      <c r="BV39" s="49">
        <v>34</v>
      </c>
      <c r="BW39" s="47">
        <f>'[1]功能-城建'!EQ37+[1]养成buff汇总!H39+'[1]功能-采集'!BS38+[2]产出汇总!AY39+[1]养成buff汇总!GY39</f>
        <v>50969828.699205071</v>
      </c>
      <c r="BX39" s="47">
        <f>'[1]功能-城建'!ER37+[1]养成buff汇总!I39+'[1]功能-采集'!BT38+[2]产出汇总!AZ39+[1]养成buff汇总!GZ39</f>
        <v>42274690.308936507</v>
      </c>
      <c r="BY39" s="47">
        <f>'[1]功能-城建'!ES37+[1]养成buff汇总!J39+'[1]功能-采集'!BU38+[2]产出汇总!BA39+[1]养成buff汇总!HA39</f>
        <v>39821657.855042204</v>
      </c>
      <c r="BZ39" s="47">
        <f>'[1]功能-城建'!ET37+[1]养成buff汇总!K39+'[1]功能-采集'!BV38+[2]产出汇总!BB39+[1]养成buff汇总!HB39</f>
        <v>29342070.134147391</v>
      </c>
      <c r="CA39" s="47">
        <f>'[1]功能-城建'!EU37+[1]养成buff汇总!L39+'[1]功能-采集'!BW38+[2]产出汇总!BC39+[1]养成buff汇总!HC39</f>
        <v>20249455.066438291</v>
      </c>
      <c r="CD39" s="49">
        <v>34</v>
      </c>
      <c r="CE39" s="44">
        <f>'[1]资源-铁'!T39</f>
        <v>0</v>
      </c>
      <c r="CF39" s="44">
        <f>'[1]资源-铁'!U39</f>
        <v>0</v>
      </c>
      <c r="CG39" s="44">
        <f>'[1]资源-铁'!V39</f>
        <v>0</v>
      </c>
      <c r="CH39" s="44">
        <f>'[1]资源-铁'!W39</f>
        <v>11194.932943111658</v>
      </c>
      <c r="CI39" s="44">
        <f>'[1]资源-铁'!X39</f>
        <v>70971.578267059958</v>
      </c>
      <c r="CL39" s="49">
        <v>34</v>
      </c>
      <c r="CM39" s="44">
        <f>'[1]功能-城建'!HF37+[1]养成buff汇总!S39+'[1]功能-采集'!BX38</f>
        <v>0</v>
      </c>
      <c r="CN39" s="44">
        <f>'[1]功能-城建'!HG37+[1]养成buff汇总!T39+'[1]功能-采集'!BY38</f>
        <v>0</v>
      </c>
      <c r="CO39" s="44">
        <f>'[1]功能-城建'!HH37+[1]养成buff汇总!U39+'[1]功能-采集'!BZ38</f>
        <v>0</v>
      </c>
      <c r="CP39" s="44">
        <f>'[1]功能-城建'!HI37+[1]养成buff汇总!V39+'[1]功能-采集'!CA38</f>
        <v>0</v>
      </c>
      <c r="CQ39" s="44">
        <f>'[1]功能-城建'!HJ37+[1]养成buff汇总!W39+'[1]功能-采集'!CB38</f>
        <v>0</v>
      </c>
      <c r="CT39" s="49">
        <v>34</v>
      </c>
      <c r="CU39" s="17">
        <f>'[1]资源-玩家城池建筑时间'!AJ39+CU38</f>
        <v>3948134.0169887631</v>
      </c>
      <c r="CV39" s="17">
        <f>'[1]资源-玩家城池建筑时间'!AK39+CV38</f>
        <v>4344071.6643101312</v>
      </c>
      <c r="CW39" s="17">
        <f>'[1]资源-玩家城池建筑时间'!AL39+CW38</f>
        <v>4849535.7148336461</v>
      </c>
      <c r="CX39" s="17">
        <f>'[1]资源-玩家城池建筑时间'!AM39+CX38</f>
        <v>5485191.6367118889</v>
      </c>
      <c r="CY39" s="17">
        <f>'[1]资源-玩家城池建筑时间'!AN39+CY38</f>
        <v>6253471.7400039611</v>
      </c>
      <c r="DB39" s="49">
        <v>34</v>
      </c>
      <c r="DC39" s="17">
        <f>'[1]资源-士兵训练时间'!U39</f>
        <v>1017410.8728215882</v>
      </c>
      <c r="DD39" s="17">
        <f>'[1]资源-士兵训练时间'!V39</f>
        <v>1501402.9521985995</v>
      </c>
      <c r="DE39" s="17">
        <f>'[1]资源-士兵训练时间'!W39</f>
        <v>2071416.1644008995</v>
      </c>
      <c r="DF39" s="17">
        <f>'[1]资源-士兵训练时间'!X39</f>
        <v>2800160.5360928592</v>
      </c>
      <c r="DG39" s="17">
        <f>'[1]资源-士兵训练时间'!Y39</f>
        <v>4321560.7176449103</v>
      </c>
    </row>
    <row r="40" spans="2:111" x14ac:dyDescent="0.15">
      <c r="B40" s="23">
        <v>37</v>
      </c>
      <c r="C40" s="24">
        <f>'[1]资源-钻石'!L40</f>
        <v>94082.793379689247</v>
      </c>
      <c r="D40" s="24">
        <f>'[1]资源-钻石'!M40</f>
        <v>115418.12778616633</v>
      </c>
      <c r="E40" s="24">
        <f>'[1]资源-钻石'!N40</f>
        <v>158886.40901528168</v>
      </c>
      <c r="F40" s="24">
        <f>'[1]资源-钻石'!O40</f>
        <v>305369.92673850752</v>
      </c>
      <c r="G40" s="24">
        <f>'[1]资源-钻石'!P40</f>
        <v>429596.59800185915</v>
      </c>
      <c r="I40" s="23">
        <v>37</v>
      </c>
      <c r="J40" s="24">
        <f>'[1]资源-钻石'!T40</f>
        <v>237905.33478093977</v>
      </c>
      <c r="K40" s="24">
        <f>'[1]资源-钻石'!U40</f>
        <v>326375.86825903377</v>
      </c>
      <c r="L40" s="24">
        <f>'[1]资源-钻石'!V40</f>
        <v>530415.45508493716</v>
      </c>
      <c r="M40" s="24">
        <f>'[1]资源-钻石'!W40</f>
        <v>1354227.0005934308</v>
      </c>
      <c r="N40" s="24">
        <f>'[1]资源-钻石'!X40</f>
        <v>3178067.2006527735</v>
      </c>
      <c r="P40" s="28">
        <v>37</v>
      </c>
      <c r="Q40" s="28">
        <f>'[1]功能-行军令'!N40</f>
        <v>551.81776371818933</v>
      </c>
      <c r="R40" s="28">
        <f>'[1]功能-行军令'!O40</f>
        <v>702.3836397563656</v>
      </c>
      <c r="S40" s="28">
        <f>'[1]功能-行军令'!P40</f>
        <v>788.70953087090561</v>
      </c>
      <c r="T40" s="28">
        <f>'[1]功能-行军令'!Q40</f>
        <v>660.91813362444623</v>
      </c>
      <c r="U40" s="28">
        <f>'[1]功能-行军令'!R40</f>
        <v>370.80114395344231</v>
      </c>
      <c r="V40" s="28">
        <f>'[1]功能-行军令'!S40</f>
        <v>40.03406724236288</v>
      </c>
      <c r="W40" s="28">
        <f>'[1]功能-行军令'!T40</f>
        <v>50.733909326708613</v>
      </c>
      <c r="X40" s="28">
        <f>'[1]功能-行军令'!U40</f>
        <v>57.017942885682601</v>
      </c>
      <c r="Y40" s="28">
        <f>'[1]功能-行军令'!V40</f>
        <v>46.001121722715084</v>
      </c>
      <c r="Z40" s="28">
        <f>'[1]功能-行军令'!W40</f>
        <v>26.901413666991516</v>
      </c>
      <c r="AC40" s="30">
        <v>37</v>
      </c>
      <c r="AD40" s="41">
        <f>'[1]功能-实力'!BE41</f>
        <v>860040</v>
      </c>
      <c r="AE40" s="41">
        <f>'[1]功能-实力'!BF41</f>
        <v>909246</v>
      </c>
      <c r="AF40" s="41">
        <f>'[1]功能-实力'!BG41</f>
        <v>987078</v>
      </c>
      <c r="AG40" s="41">
        <f>'[1]功能-实力'!BH41</f>
        <v>1121952</v>
      </c>
      <c r="AH40" s="41">
        <f>'[1]功能-实力'!BI41</f>
        <v>1214346</v>
      </c>
      <c r="AL40" s="37">
        <f>[3]基础状态预期!C50</f>
        <v>19540</v>
      </c>
      <c r="AM40" s="37">
        <f>[3]基础状态预期!D50</f>
        <v>142.53355653582128</v>
      </c>
      <c r="AO40" s="37">
        <f>[3]基础状态预期!F50</f>
        <v>0</v>
      </c>
      <c r="AP40" s="37">
        <f>[3]基础状态预期!G50</f>
        <v>0</v>
      </c>
      <c r="AQ40" s="37">
        <f>[3]基础状态预期!H50</f>
        <v>0</v>
      </c>
      <c r="AR40" s="37">
        <f>[3]基础状态预期!I50</f>
        <v>0</v>
      </c>
      <c r="AS40" s="37">
        <f>[3]基础状态预期!J50</f>
        <v>6</v>
      </c>
      <c r="AW40" s="32">
        <v>34</v>
      </c>
      <c r="AX40" s="32">
        <f>[1]节奏总纲!BJ37</f>
        <v>1.9666666666666697</v>
      </c>
      <c r="AY40" s="32">
        <f>[1]节奏总纲!BK37</f>
        <v>2.0060000000000029</v>
      </c>
      <c r="AZ40" s="32">
        <f>[1]节奏总纲!BL37</f>
        <v>2.0846666666666698</v>
      </c>
      <c r="BA40" s="32">
        <f>[1]节奏总纲!BM37</f>
        <v>2.2420000000000031</v>
      </c>
      <c r="BB40" s="32">
        <f>[1]节奏总纲!BN37</f>
        <v>2.7533333333333374</v>
      </c>
      <c r="BF40" s="42">
        <f>'[1]功能-行军令'!FZ38</f>
        <v>34</v>
      </c>
      <c r="BG40" s="42">
        <f>'[1]功能-行军令'!GA38*'[1]功能-行军令'!GB38</f>
        <v>120.89402110096852</v>
      </c>
      <c r="BN40" s="49">
        <v>35</v>
      </c>
      <c r="BO40" s="17">
        <f>'[1]资源-木石铜粮'!U40</f>
        <v>110725692.968009</v>
      </c>
      <c r="BP40" s="17">
        <f>'[1]资源-木石铜粮'!V40</f>
        <v>127979680.93248318</v>
      </c>
      <c r="BQ40" s="17">
        <f>'[1]资源-木石铜粮'!W40</f>
        <v>152576284.13215786</v>
      </c>
      <c r="BR40" s="17">
        <f>'[1]资源-木石铜粮'!X40</f>
        <v>143264595.29208875</v>
      </c>
      <c r="BS40" s="17">
        <f>'[1]资源-木石铜粮'!Y40</f>
        <v>129649056.44900253</v>
      </c>
      <c r="BV40" s="49">
        <v>35</v>
      </c>
      <c r="BW40" s="47">
        <f>'[1]功能-城建'!EQ38+[1]养成buff汇总!H40+'[1]功能-采集'!BS39+[2]产出汇总!AY40+[1]养成buff汇总!GY40</f>
        <v>57799531.601303846</v>
      </c>
      <c r="BX40" s="47">
        <f>'[1]功能-城建'!ER38+[1]养成buff汇总!I40+'[1]功能-采集'!BT39+[2]产出汇总!AZ40+[1]养成buff汇总!GZ40</f>
        <v>47952192.215437248</v>
      </c>
      <c r="BY40" s="47">
        <f>'[1]功能-城建'!ES38+[1]养成buff汇总!J40+'[1]功能-采集'!BU39+[2]产出汇总!BA40+[1]养成buff汇总!HA40</f>
        <v>45288551.985720962</v>
      </c>
      <c r="BZ40" s="47">
        <f>'[1]功能-城建'!ET38+[1]养成buff汇总!K40+'[1]功能-采集'!BV39+[2]产出汇总!BB40+[1]养成buff汇总!HB40</f>
        <v>33346989.700712934</v>
      </c>
      <c r="CA40" s="47">
        <f>'[1]功能-城建'!EU38+[1]养成buff汇总!L40+'[1]功能-采集'!BW39+[2]产出汇总!BC40+[1]养成buff汇总!HC40</f>
        <v>23155730.426030591</v>
      </c>
      <c r="CD40" s="49">
        <v>35</v>
      </c>
      <c r="CE40" s="44">
        <f>'[1]资源-铁'!T40</f>
        <v>0</v>
      </c>
      <c r="CF40" s="44">
        <f>'[1]资源-铁'!U40</f>
        <v>0</v>
      </c>
      <c r="CG40" s="44">
        <f>'[1]资源-铁'!V40</f>
        <v>543.60198856704301</v>
      </c>
      <c r="CH40" s="44">
        <f>'[1]资源-铁'!W40</f>
        <v>38514.647902923301</v>
      </c>
      <c r="CI40" s="44">
        <f>'[1]资源-铁'!X40</f>
        <v>139179.33742544238</v>
      </c>
      <c r="CL40" s="49">
        <v>35</v>
      </c>
      <c r="CM40" s="44">
        <f>'[1]功能-城建'!HF38+[1]养成buff汇总!S40+'[1]功能-采集'!BX39</f>
        <v>0</v>
      </c>
      <c r="CN40" s="44">
        <f>'[1]功能-城建'!HG38+[1]养成buff汇总!T40+'[1]功能-采集'!BY39</f>
        <v>0</v>
      </c>
      <c r="CO40" s="44">
        <f>'[1]功能-城建'!HH38+[1]养成buff汇总!U40+'[1]功能-采集'!BZ39</f>
        <v>0</v>
      </c>
      <c r="CP40" s="44">
        <f>'[1]功能-城建'!HI38+[1]养成buff汇总!V40+'[1]功能-采集'!CA39</f>
        <v>0</v>
      </c>
      <c r="CQ40" s="44">
        <f>'[1]功能-城建'!HJ38+[1]养成buff汇总!W40+'[1]功能-采集'!CB39</f>
        <v>0</v>
      </c>
      <c r="CT40" s="49">
        <v>35</v>
      </c>
      <c r="CU40" s="17">
        <f>'[1]资源-玩家城池建筑时间'!AJ40+CU39</f>
        <v>4297901.3190795286</v>
      </c>
      <c r="CV40" s="17">
        <f>'[1]资源-玩家城池建筑时间'!AK40+CV39</f>
        <v>4740897.8926899442</v>
      </c>
      <c r="CW40" s="17">
        <f>'[1]资源-玩家城池建筑时间'!AL40+CW39</f>
        <v>5292497.0096166329</v>
      </c>
      <c r="CX40" s="17">
        <f>'[1]资源-玩家城池建筑时间'!AM40+CX39</f>
        <v>5984533.0719428891</v>
      </c>
      <c r="CY40" s="17">
        <f>'[1]资源-玩家城池建筑时间'!AN40+CY39</f>
        <v>6821462.0109516839</v>
      </c>
      <c r="DB40" s="49">
        <v>35</v>
      </c>
      <c r="DC40" s="17">
        <f>'[1]资源-士兵训练时间'!U40</f>
        <v>1113383.5319225062</v>
      </c>
      <c r="DD40" s="17">
        <f>'[1]资源-士兵训练时间'!V40</f>
        <v>1624030.9892852842</v>
      </c>
      <c r="DE40" s="17">
        <f>'[1]资源-士兵训练时间'!W40</f>
        <v>2241291.2503545373</v>
      </c>
      <c r="DF40" s="17">
        <f>'[1]资源-士兵训练时间'!X40</f>
        <v>3086793.7138578543</v>
      </c>
      <c r="DG40" s="17">
        <f>'[1]资源-士兵训练时间'!Y40</f>
        <v>4698511.6259232638</v>
      </c>
    </row>
    <row r="41" spans="2:111" x14ac:dyDescent="0.15">
      <c r="B41" s="23">
        <v>38</v>
      </c>
      <c r="C41" s="24">
        <f>'[1]资源-钻石'!L41</f>
        <v>99387.433868963475</v>
      </c>
      <c r="D41" s="24">
        <f>'[1]资源-钻石'!M41</f>
        <v>121932.61746029864</v>
      </c>
      <c r="E41" s="24">
        <f>'[1]资源-钻石'!N41</f>
        <v>167773.2637167353</v>
      </c>
      <c r="F41" s="24">
        <f>'[1]资源-钻石'!O41</f>
        <v>325583.244627023</v>
      </c>
      <c r="G41" s="24">
        <f>'[1]资源-钻石'!P41</f>
        <v>455732.19283934648</v>
      </c>
      <c r="I41" s="23">
        <v>38</v>
      </c>
      <c r="J41" s="24">
        <f>'[1]资源-钻石'!T41</f>
        <v>243827.15554798787</v>
      </c>
      <c r="K41" s="24">
        <f>'[1]资源-钻石'!U41</f>
        <v>334569.87110278668</v>
      </c>
      <c r="L41" s="24">
        <f>'[1]资源-钻石'!V41</f>
        <v>543880.85821306542</v>
      </c>
      <c r="M41" s="24">
        <f>'[1]资源-钻石'!W41</f>
        <v>1389058.9440343718</v>
      </c>
      <c r="N41" s="24">
        <f>'[1]资源-钻石'!X41</f>
        <v>3260237.3384378087</v>
      </c>
      <c r="P41" s="28">
        <v>38</v>
      </c>
      <c r="Q41" s="28">
        <f>'[1]功能-行军令'!N41</f>
        <v>594.72521458594724</v>
      </c>
      <c r="R41" s="28">
        <f>'[1]功能-行军令'!O41</f>
        <v>756.5654600455988</v>
      </c>
      <c r="S41" s="28">
        <f>'[1]功能-行军令'!P41</f>
        <v>848.03678381072007</v>
      </c>
      <c r="T41" s="28">
        <f>'[1]功能-行军令'!Q41</f>
        <v>710.3113529216273</v>
      </c>
      <c r="U41" s="28">
        <f>'[1]功能-行军令'!R41</f>
        <v>398.70119809661651</v>
      </c>
      <c r="V41" s="28">
        <f>'[1]功能-行军令'!S41</f>
        <v>42.907450867757916</v>
      </c>
      <c r="W41" s="28">
        <f>'[1]功能-行军令'!T41</f>
        <v>54.181820289233201</v>
      </c>
      <c r="X41" s="28">
        <f>'[1]功能-行军令'!U41</f>
        <v>59.327252939814457</v>
      </c>
      <c r="Y41" s="28">
        <f>'[1]功能-行军令'!V41</f>
        <v>49.393219297181076</v>
      </c>
      <c r="Z41" s="28">
        <f>'[1]功能-行军令'!W41</f>
        <v>27.900054143174202</v>
      </c>
      <c r="AC41" s="30">
        <v>38</v>
      </c>
      <c r="AD41" s="41">
        <f>'[1]功能-实力'!BE42</f>
        <v>917430</v>
      </c>
      <c r="AE41" s="41">
        <f>'[1]功能-实力'!BF42</f>
        <v>965460</v>
      </c>
      <c r="AF41" s="41">
        <f>'[1]功能-实力'!BG42</f>
        <v>1041132</v>
      </c>
      <c r="AG41" s="41">
        <f>'[1]功能-实力'!BH42</f>
        <v>1185930</v>
      </c>
      <c r="AH41" s="41">
        <f>'[1]功能-实力'!BI42</f>
        <v>1284510</v>
      </c>
      <c r="AL41" s="37">
        <f>[3]基础状态预期!C51</f>
        <v>24880</v>
      </c>
      <c r="AM41" s="37">
        <f>[3]基础状态预期!D51</f>
        <v>146.02664953963369</v>
      </c>
      <c r="AO41" s="37">
        <f>[3]基础状态预期!F51</f>
        <v>0</v>
      </c>
      <c r="AP41" s="37">
        <f>[3]基础状态预期!G51</f>
        <v>0</v>
      </c>
      <c r="AQ41" s="37">
        <f>[3]基础状态预期!H51</f>
        <v>0</v>
      </c>
      <c r="AR41" s="37">
        <f>[3]基础状态预期!I51</f>
        <v>0</v>
      </c>
      <c r="AS41" s="37">
        <f>[3]基础状态预期!J51</f>
        <v>6</v>
      </c>
      <c r="AW41" s="32">
        <v>35</v>
      </c>
      <c r="AX41" s="32">
        <f>[1]节奏总纲!BJ38</f>
        <v>2.0000000000000031</v>
      </c>
      <c r="AY41" s="32">
        <f>[1]节奏总纲!BK38</f>
        <v>2.0400000000000031</v>
      </c>
      <c r="AZ41" s="32">
        <f>[1]节奏总纲!BL38</f>
        <v>2.1200000000000032</v>
      </c>
      <c r="BA41" s="32">
        <f>[1]节奏总纲!BM38</f>
        <v>2.2800000000000034</v>
      </c>
      <c r="BB41" s="32">
        <f>[1]节奏总纲!BN38</f>
        <v>2.8000000000000043</v>
      </c>
      <c r="BF41" s="42">
        <f>'[1]功能-行军令'!FZ39</f>
        <v>35</v>
      </c>
      <c r="BG41" s="42">
        <f>'[1]功能-行军令'!GA39*'[1]功能-行军令'!GB39</f>
        <v>126.93872215601694</v>
      </c>
      <c r="BN41" s="49">
        <v>36</v>
      </c>
      <c r="BO41" s="17">
        <f>'[1]资源-木石铜粮'!U41</f>
        <v>124161363.91209754</v>
      </c>
      <c r="BP41" s="17">
        <f>'[1]资源-木石铜粮'!V41</f>
        <v>143239361.21305323</v>
      </c>
      <c r="BQ41" s="17">
        <f>'[1]资源-木石铜粮'!W41</f>
        <v>169866480.89054614</v>
      </c>
      <c r="BR41" s="17">
        <f>'[1]资源-木石铜粮'!X41</f>
        <v>160090555.55976295</v>
      </c>
      <c r="BS41" s="17">
        <f>'[1]资源-木石铜粮'!Y41</f>
        <v>145426235.26430961</v>
      </c>
      <c r="BV41" s="49">
        <v>36</v>
      </c>
      <c r="BW41" s="47">
        <f>'[1]功能-城建'!EQ39+[1]养成buff汇总!H41+'[1]功能-采集'!BS40+[2]产出汇总!AY41+[1]养成buff汇总!GY41</f>
        <v>65498682.321868263</v>
      </c>
      <c r="BX41" s="47">
        <f>'[1]功能-城建'!ER39+[1]养成buff汇总!I41+'[1]功能-采集'!BT40+[2]产出汇总!AZ41+[1]养成buff汇总!GZ41</f>
        <v>54247893.845937788</v>
      </c>
      <c r="BY41" s="47">
        <f>'[1]功能-城建'!ES39+[1]养成buff汇总!J41+'[1]功能-采集'!BU40+[2]产出汇总!BA41+[1]养成buff汇总!HA41</f>
        <v>51531153.610099986</v>
      </c>
      <c r="BZ41" s="47">
        <f>'[1]功能-城建'!ET39+[1]养成buff汇总!K41+'[1]功能-采集'!BV40+[2]产出汇总!BB41+[1]养成buff汇总!HB41</f>
        <v>37718416.162839353</v>
      </c>
      <c r="CA41" s="47">
        <f>'[1]功能-城建'!EU39+[1]养成buff汇总!L41+'[1]功能-采集'!BW40+[2]产出汇总!BC41+[1]养成buff汇总!HC41</f>
        <v>26183926.357330296</v>
      </c>
      <c r="CD41" s="49">
        <v>36</v>
      </c>
      <c r="CE41" s="44">
        <f>'[1]资源-铁'!T41</f>
        <v>0</v>
      </c>
      <c r="CF41" s="44">
        <f>'[1]资源-铁'!U41</f>
        <v>0</v>
      </c>
      <c r="CG41" s="44">
        <f>'[1]资源-铁'!V41</f>
        <v>22135.762534787311</v>
      </c>
      <c r="CH41" s="44">
        <f>'[1]资源-铁'!W41</f>
        <v>74261.785728702933</v>
      </c>
      <c r="CI41" s="44">
        <f>'[1]资源-铁'!X41</f>
        <v>214871.660149167</v>
      </c>
      <c r="CL41" s="49">
        <v>36</v>
      </c>
      <c r="CM41" s="44">
        <f>'[1]功能-城建'!HF39+[1]养成buff汇总!S41+'[1]功能-采集'!BX40</f>
        <v>0</v>
      </c>
      <c r="CN41" s="44">
        <f>'[1]功能-城建'!HG39+[1]养成buff汇总!T41+'[1]功能-采集'!BY40</f>
        <v>0</v>
      </c>
      <c r="CO41" s="44">
        <f>'[1]功能-城建'!HH39+[1]养成buff汇总!U41+'[1]功能-采集'!BZ40</f>
        <v>0</v>
      </c>
      <c r="CP41" s="44">
        <f>'[1]功能-城建'!HI39+[1]养成buff汇总!V41+'[1]功能-采集'!CA40</f>
        <v>0</v>
      </c>
      <c r="CQ41" s="44">
        <f>'[1]功能-城建'!HJ39+[1]养成buff汇总!W41+'[1]功能-采集'!CB40</f>
        <v>0</v>
      </c>
      <c r="CT41" s="49">
        <v>36</v>
      </c>
      <c r="CU41" s="17">
        <f>'[1]资源-玩家城池建筑时间'!AJ41+CU40</f>
        <v>4679379.9178521028</v>
      </c>
      <c r="CV41" s="17">
        <f>'[1]资源-玩家城池建筑时间'!AK41+CV40</f>
        <v>5166231.6031042775</v>
      </c>
      <c r="CW41" s="17">
        <f>'[1]资源-玩家城池建筑时间'!AL41+CW40</f>
        <v>5766082.9362376835</v>
      </c>
      <c r="CX41" s="17">
        <f>'[1]资源-玩家城池建筑时间'!AM41+CX40</f>
        <v>6508812.0895022945</v>
      </c>
      <c r="CY41" s="17">
        <f>'[1]资源-玩家城池建筑时间'!AN41+CY40</f>
        <v>7389641.975454337</v>
      </c>
      <c r="DB41" s="49">
        <v>36</v>
      </c>
      <c r="DC41" s="17">
        <f>'[1]资源-士兵训练时间'!U41</f>
        <v>1203964.8476864879</v>
      </c>
      <c r="DD41" s="17">
        <f>'[1]资源-士兵训练时间'!V41</f>
        <v>1753630.1623457959</v>
      </c>
      <c r="DE41" s="17">
        <f>'[1]资源-士兵训练时间'!W41</f>
        <v>2467832.0323970797</v>
      </c>
      <c r="DF41" s="17">
        <f>'[1]资源-士兵训练时间'!X41</f>
        <v>3374908.8140722327</v>
      </c>
      <c r="DG41" s="17">
        <f>'[1]资源-士兵训练时间'!Y41</f>
        <v>5059488.5552318785</v>
      </c>
    </row>
    <row r="42" spans="2:111" x14ac:dyDescent="0.15">
      <c r="B42" s="23">
        <v>39</v>
      </c>
      <c r="C42" s="24">
        <f>'[1]资源-钻石'!L42</f>
        <v>105072.80677366315</v>
      </c>
      <c r="D42" s="24">
        <f>'[1]资源-钻石'!M42</f>
        <v>128820.59593359215</v>
      </c>
      <c r="E42" s="24">
        <f>'[1]资源-钻石'!N42</f>
        <v>177273.12895158533</v>
      </c>
      <c r="F42" s="24">
        <f>'[1]资源-钻石'!O42</f>
        <v>345254.06209714425</v>
      </c>
      <c r="G42" s="24">
        <f>'[1]资源-钻石'!P42</f>
        <v>484611.99709661625</v>
      </c>
      <c r="I42" s="23">
        <v>39</v>
      </c>
      <c r="J42" s="24">
        <f>'[1]资源-钻石'!T42</f>
        <v>249748.97631503595</v>
      </c>
      <c r="K42" s="24">
        <f>'[1]资源-钻石'!U42</f>
        <v>342763.87394653959</v>
      </c>
      <c r="L42" s="24">
        <f>'[1]资源-钻石'!V42</f>
        <v>557346.26134119357</v>
      </c>
      <c r="M42" s="24">
        <f>'[1]资源-钻石'!W42</f>
        <v>1423890.8874753127</v>
      </c>
      <c r="N42" s="24">
        <f>'[1]资源-钻石'!X42</f>
        <v>3342407.4762228439</v>
      </c>
      <c r="P42" s="28">
        <v>39</v>
      </c>
      <c r="Q42" s="28">
        <f>'[1]功能-行军令'!N42</f>
        <v>640.71228177109015</v>
      </c>
      <c r="R42" s="28">
        <f>'[1]功能-行军令'!O42</f>
        <v>813.85363309743559</v>
      </c>
      <c r="S42" s="28">
        <f>'[1]功能-行军令'!P42</f>
        <v>911.45639925575597</v>
      </c>
      <c r="T42" s="28">
        <f>'[1]功能-行军令'!Q42</f>
        <v>764.23185972705107</v>
      </c>
      <c r="U42" s="28">
        <f>'[1]功能-行军令'!R42</f>
        <v>429.53072799376594</v>
      </c>
      <c r="V42" s="28">
        <f>'[1]功能-行军令'!S42</f>
        <v>45.987067185142905</v>
      </c>
      <c r="W42" s="28">
        <f>'[1]功能-行军令'!T42</f>
        <v>57.288173051836793</v>
      </c>
      <c r="X42" s="28">
        <f>'[1]功能-行军令'!U42</f>
        <v>63.419615445035902</v>
      </c>
      <c r="Y42" s="28">
        <f>'[1]功能-行军令'!V42</f>
        <v>53.92050680542377</v>
      </c>
      <c r="Z42" s="28">
        <f>'[1]功能-行军令'!W42</f>
        <v>30.829529897149428</v>
      </c>
      <c r="AC42" s="30">
        <v>39</v>
      </c>
      <c r="AD42" s="41">
        <f>'[1]功能-实力'!BE43</f>
        <v>977328</v>
      </c>
      <c r="AE42" s="41">
        <f>'[1]功能-实力'!BF43</f>
        <v>1023642</v>
      </c>
      <c r="AF42" s="41">
        <f>'[1]功能-实力'!BG43</f>
        <v>1097166</v>
      </c>
      <c r="AG42" s="41">
        <f>'[1]功能-实力'!BH43</f>
        <v>1252674</v>
      </c>
      <c r="AH42" s="41">
        <f>'[1]功能-实力'!BI43</f>
        <v>1357692</v>
      </c>
      <c r="AL42" s="37">
        <f>[3]基础状态预期!C52</f>
        <v>31720</v>
      </c>
      <c r="AM42" s="37">
        <f>[3]基础状态预期!D52</f>
        <v>149.52287096243165</v>
      </c>
      <c r="AO42" s="37">
        <f>[3]基础状态预期!F52</f>
        <v>0</v>
      </c>
      <c r="AP42" s="37">
        <f>[3]基础状态预期!G52</f>
        <v>0</v>
      </c>
      <c r="AQ42" s="37">
        <f>[3]基础状态预期!H52</f>
        <v>0</v>
      </c>
      <c r="AR42" s="37">
        <f>[3]基础状态预期!I52</f>
        <v>0</v>
      </c>
      <c r="AS42" s="37">
        <f>[3]基础状态预期!J52</f>
        <v>6</v>
      </c>
      <c r="AW42" s="32">
        <v>36</v>
      </c>
      <c r="AX42" s="32">
        <f>[1]节奏总纲!BJ39</f>
        <v>2.0333333333333363</v>
      </c>
      <c r="AY42" s="32">
        <f>[1]节奏总纲!BK39</f>
        <v>2.074000000000003</v>
      </c>
      <c r="AZ42" s="32">
        <f>[1]节奏总纲!BL39</f>
        <v>2.1553333333333367</v>
      </c>
      <c r="BA42" s="32">
        <f>[1]节奏总纲!BM39</f>
        <v>2.3180000000000032</v>
      </c>
      <c r="BB42" s="32">
        <f>[1]节奏总纲!BN39</f>
        <v>2.8466666666666707</v>
      </c>
      <c r="BF42" s="42">
        <f>'[1]功能-行军令'!FZ40</f>
        <v>36</v>
      </c>
      <c r="BG42" s="42">
        <f>'[1]功能-行军令'!GA40*'[1]功能-行军令'!GB40</f>
        <v>133.28565826381779</v>
      </c>
      <c r="BN42" s="49">
        <v>37</v>
      </c>
      <c r="BO42" s="17">
        <f>'[1]资源-木石铜粮'!U42</f>
        <v>138964357.40737954</v>
      </c>
      <c r="BP42" s="17">
        <f>'[1]资源-木石铜粮'!V42</f>
        <v>159851866.24461782</v>
      </c>
      <c r="BQ42" s="17">
        <f>'[1]资源-木石铜粮'!W42</f>
        <v>188658407.28716743</v>
      </c>
      <c r="BR42" s="17">
        <f>'[1]资源-木石铜粮'!X42</f>
        <v>178592342.38908756</v>
      </c>
      <c r="BS42" s="17">
        <f>'[1]资源-木石铜粮'!Y42</f>
        <v>163490598.85810977</v>
      </c>
      <c r="BV42" s="49">
        <v>37</v>
      </c>
      <c r="BW42" s="47">
        <f>'[1]功能-城建'!EQ40+[1]养成buff汇总!H42+'[1]功能-采集'!BS41+[2]产出汇总!AY42+[1]养成buff汇总!GY42</f>
        <v>74077748.11132668</v>
      </c>
      <c r="BX42" s="47">
        <f>'[1]功能-城建'!ER40+[1]养成buff汇总!I42+'[1]功能-采集'!BT41+[2]产出汇总!AZ42+[1]养成buff汇总!GZ42</f>
        <v>61352214.296652049</v>
      </c>
      <c r="BY42" s="47">
        <f>'[1]功能-城建'!ES40+[1]养成buff汇总!J42+'[1]功能-采集'!BU41+[2]产出汇总!BA42+[1]养成buff汇总!HA42</f>
        <v>58427560.132746734</v>
      </c>
      <c r="BZ42" s="47">
        <f>'[1]功能-城建'!ET40+[1]养成buff汇总!K42+'[1]功能-采集'!BV41+[2]产出汇总!BB42+[1]养成buff汇总!HB42</f>
        <v>42579401.727904081</v>
      </c>
      <c r="CA42" s="47">
        <f>'[1]功能-城建'!EU40+[1]养成buff汇总!L42+'[1]功能-采集'!BW41+[2]产出汇总!BC42+[1]养成buff汇总!HC42</f>
        <v>29793383.63124641</v>
      </c>
      <c r="CD42" s="49">
        <v>37</v>
      </c>
      <c r="CE42" s="44">
        <f>'[1]资源-铁'!T42</f>
        <v>0</v>
      </c>
      <c r="CF42" s="44">
        <f>'[1]资源-铁'!U42</f>
        <v>12458.143243568455</v>
      </c>
      <c r="CG42" s="44">
        <f>'[1]资源-铁'!V42</f>
        <v>45229.979747300808</v>
      </c>
      <c r="CH42" s="44">
        <f>'[1]资源-铁'!W42</f>
        <v>134522.43064774692</v>
      </c>
      <c r="CI42" s="44">
        <f>'[1]资源-铁'!X42</f>
        <v>340188.89440166898</v>
      </c>
      <c r="CL42" s="49">
        <v>37</v>
      </c>
      <c r="CM42" s="44">
        <f>'[1]功能-城建'!HF40+[1]养成buff汇总!S42+'[1]功能-采集'!BX41</f>
        <v>0</v>
      </c>
      <c r="CN42" s="44">
        <f>'[1]功能-城建'!HG40+[1]养成buff汇总!T42+'[1]功能-采集'!BY41</f>
        <v>0</v>
      </c>
      <c r="CO42" s="44">
        <f>'[1]功能-城建'!HH40+[1]养成buff汇总!U42+'[1]功能-采集'!BZ41</f>
        <v>0</v>
      </c>
      <c r="CP42" s="44">
        <f>'[1]功能-城建'!HI40+[1]养成buff汇总!V42+'[1]功能-采集'!CA41</f>
        <v>0</v>
      </c>
      <c r="CQ42" s="44">
        <f>'[1]功能-城建'!HJ40+[1]养成buff汇总!W42+'[1]功能-采集'!CB41</f>
        <v>21708.20004366944</v>
      </c>
      <c r="CT42" s="49">
        <v>37</v>
      </c>
      <c r="CU42" s="17">
        <f>'[1]资源-玩家城池建筑时间'!AJ42+CU41</f>
        <v>5089986.6134031275</v>
      </c>
      <c r="CV42" s="17">
        <f>'[1]资源-玩家城池建筑时间'!AK42+CV41</f>
        <v>5622133.285397118</v>
      </c>
      <c r="CW42" s="17">
        <f>'[1]资源-玩家城池建筑时间'!AL42+CW41</f>
        <v>6272613.8243701626</v>
      </c>
      <c r="CX42" s="17">
        <f>'[1]资源-玩家城池建筑时间'!AM42+CX41</f>
        <v>7064764.3597601</v>
      </c>
      <c r="CY42" s="17">
        <f>'[1]资源-玩家城池建筑时间'!AN42+CY41</f>
        <v>8047360.937845774</v>
      </c>
      <c r="DB42" s="49">
        <v>37</v>
      </c>
      <c r="DC42" s="17">
        <f>'[1]资源-士兵训练时间'!U42</f>
        <v>1297798.736631037</v>
      </c>
      <c r="DD42" s="17">
        <f>'[1]资源-士兵训练时间'!V42</f>
        <v>1919178.7415436413</v>
      </c>
      <c r="DE42" s="17">
        <f>'[1]资源-士兵训练时间'!W42</f>
        <v>2710132.1031465526</v>
      </c>
      <c r="DF42" s="17">
        <f>'[1]资源-士兵训练时间'!X42</f>
        <v>3639815.1235574889</v>
      </c>
      <c r="DG42" s="17">
        <f>'[1]资源-士兵训练时间'!Y42</f>
        <v>5532421.3732534219</v>
      </c>
    </row>
    <row r="43" spans="2:111" x14ac:dyDescent="0.15">
      <c r="B43" s="23">
        <v>40</v>
      </c>
      <c r="C43" s="24">
        <f>'[1]资源-钻石'!L43</f>
        <v>111165.09945502391</v>
      </c>
      <c r="D43" s="24">
        <f>'[1]资源-钻石'!M43</f>
        <v>136166.80897438718</v>
      </c>
      <c r="E43" s="24">
        <f>'[1]资源-钻石'!N43</f>
        <v>187714.59581539003</v>
      </c>
      <c r="F43" s="24">
        <f>'[1]资源-钻石'!O43</f>
        <v>366438.1917732826</v>
      </c>
      <c r="G43" s="24">
        <f>'[1]资源-钻石'!P43</f>
        <v>516432.97943318769</v>
      </c>
      <c r="I43" s="23">
        <v>40</v>
      </c>
      <c r="J43" s="24">
        <f>'[1]资源-钻石'!T43</f>
        <v>255670.79708208403</v>
      </c>
      <c r="K43" s="24">
        <f>'[1]资源-钻石'!U43</f>
        <v>350957.8767902925</v>
      </c>
      <c r="L43" s="24">
        <f>'[1]资源-钻石'!V43</f>
        <v>570811.66446932172</v>
      </c>
      <c r="M43" s="24">
        <f>'[1]资源-钻石'!W43</f>
        <v>1458722.8309162538</v>
      </c>
      <c r="N43" s="24">
        <f>'[1]资源-钻石'!X43</f>
        <v>3424577.614007879</v>
      </c>
      <c r="P43" s="28">
        <v>40</v>
      </c>
      <c r="Q43" s="28">
        <f>'[1]功能-行军令'!N43</f>
        <v>690</v>
      </c>
      <c r="R43" s="28">
        <f>'[1]功能-行军令'!O43</f>
        <v>874.95300000000009</v>
      </c>
      <c r="S43" s="28">
        <f>'[1]功能-行军令'!P43</f>
        <v>981.16200000000003</v>
      </c>
      <c r="T43" s="28">
        <f>'[1]功能-行军令'!Q43</f>
        <v>824.10299999999995</v>
      </c>
      <c r="U43" s="28">
        <f>'[1]功能-行军令'!R43</f>
        <v>463.5</v>
      </c>
      <c r="V43" s="28">
        <f>'[1]功能-行军令'!S43</f>
        <v>49.287718228909853</v>
      </c>
      <c r="W43" s="28">
        <f>'[1]功能-行军令'!T43</f>
        <v>61.099366902564498</v>
      </c>
      <c r="X43" s="28">
        <f>'[1]功能-行军令'!U43</f>
        <v>69.705600744244066</v>
      </c>
      <c r="Y43" s="28">
        <f>'[1]功能-行军令'!V43</f>
        <v>59.871140272948878</v>
      </c>
      <c r="Z43" s="28">
        <f>'[1]功能-行军令'!W43</f>
        <v>33.969272006234064</v>
      </c>
      <c r="AC43" s="30">
        <v>40</v>
      </c>
      <c r="AD43" s="41">
        <f>'[1]功能-实力'!BE44</f>
        <v>1039920</v>
      </c>
      <c r="AE43" s="41">
        <f>'[1]功能-实力'!BF44</f>
        <v>1080498</v>
      </c>
      <c r="AF43" s="41">
        <f>'[1]功能-实力'!BG44</f>
        <v>1154904</v>
      </c>
      <c r="AG43" s="41">
        <f>'[1]功能-实力'!BH44</f>
        <v>1323240</v>
      </c>
      <c r="AH43" s="41">
        <f>'[1]功能-实力'!BI44</f>
        <v>1434744</v>
      </c>
      <c r="AL43" s="37">
        <f>[3]基础状态预期!C53</f>
        <v>40420</v>
      </c>
      <c r="AM43" s="37">
        <f>[3]基础状态预期!D53</f>
        <v>153.02723536432757</v>
      </c>
      <c r="AO43" s="37">
        <f>[3]基础状态预期!F53</f>
        <v>0</v>
      </c>
      <c r="AP43" s="37">
        <f>[3]基础状态预期!G53</f>
        <v>0</v>
      </c>
      <c r="AQ43" s="37">
        <f>[3]基础状态预期!H53</f>
        <v>0</v>
      </c>
      <c r="AR43" s="37">
        <f>[3]基础状态预期!I53</f>
        <v>0</v>
      </c>
      <c r="AS43" s="37">
        <f>[3]基础状态预期!J53</f>
        <v>6</v>
      </c>
      <c r="AW43" s="32">
        <v>37</v>
      </c>
      <c r="AX43" s="32">
        <f>[1]节奏总纲!BJ40</f>
        <v>2.0666666666666695</v>
      </c>
      <c r="AY43" s="32">
        <f>[1]节奏总纲!BK40</f>
        <v>2.1080000000000028</v>
      </c>
      <c r="AZ43" s="32">
        <f>[1]节奏总纲!BL40</f>
        <v>2.1906666666666696</v>
      </c>
      <c r="BA43" s="32">
        <f>[1]节奏总纲!BM40</f>
        <v>2.356000000000003</v>
      </c>
      <c r="BB43" s="32">
        <f>[1]节奏总纲!BN40</f>
        <v>2.8933333333333371</v>
      </c>
      <c r="BF43" s="42">
        <f>'[1]功能-行军令'!FZ41</f>
        <v>37</v>
      </c>
      <c r="BG43" s="42">
        <f>'[1]功能-行军令'!GA41*'[1]功能-行军令'!GB41</f>
        <v>139.94994117700867</v>
      </c>
      <c r="BN43" s="49">
        <v>38</v>
      </c>
      <c r="BO43" s="17">
        <f>'[1]资源-木石铜粮'!U43</f>
        <v>155410916.96799961</v>
      </c>
      <c r="BP43" s="17">
        <f>'[1]资源-木石铜粮'!V43</f>
        <v>178199415.4163436</v>
      </c>
      <c r="BQ43" s="17">
        <f>'[1]资源-木石铜粮'!W43</f>
        <v>209496748.60946804</v>
      </c>
      <c r="BR43" s="17">
        <f>'[1]资源-木石铜粮'!X43</f>
        <v>199028639.47411895</v>
      </c>
      <c r="BS43" s="17">
        <f>'[1]资源-木石铜粮'!Y43</f>
        <v>183285143.64614016</v>
      </c>
      <c r="BV43" s="49">
        <v>38</v>
      </c>
      <c r="BW43" s="47">
        <f>'[1]功能-城建'!EQ41+[1]养成buff汇总!H43+'[1]功能-采集'!BS42+[2]产出汇总!AY43+[1]养成buff汇总!GY43</f>
        <v>83888694.380779862</v>
      </c>
      <c r="BX43" s="47">
        <f>'[1]功能-城建'!ER41+[1]养成buff汇总!I43+'[1]功能-采集'!BT42+[2]产出汇总!AZ43+[1]养成buff汇总!GZ43</f>
        <v>69267354.012299329</v>
      </c>
      <c r="BY43" s="47">
        <f>'[1]功能-城建'!ES41+[1]养成buff汇总!J43+'[1]功能-采集'!BU42+[2]产出汇总!BA43+[1]养成buff汇总!HA43</f>
        <v>66178272.421809465</v>
      </c>
      <c r="BZ43" s="47">
        <f>'[1]功能-城建'!ET41+[1]养成buff汇总!K43+'[1]功能-采集'!BV42+[2]产出汇总!BB43+[1]养成buff汇总!HB43</f>
        <v>47946695.678540118</v>
      </c>
      <c r="CA43" s="47">
        <f>'[1]功能-城建'!EU41+[1]养成buff汇总!L43+'[1]功能-采集'!BW42+[2]产出汇总!BC43+[1]养成buff汇总!HC43</f>
        <v>33693691.055823699</v>
      </c>
      <c r="CD43" s="49">
        <v>38</v>
      </c>
      <c r="CE43" s="44">
        <f>'[1]资源-铁'!T43</f>
        <v>7016.724792906698</v>
      </c>
      <c r="CF43" s="44">
        <f>'[1]资源-铁'!U43</f>
        <v>30342.080317939028</v>
      </c>
      <c r="CG43" s="44">
        <f>'[1]资源-铁'!V43</f>
        <v>90569.507448220189</v>
      </c>
      <c r="CH43" s="44">
        <f>'[1]资源-铁'!W43</f>
        <v>199226.66258838086</v>
      </c>
      <c r="CI43" s="44">
        <f>'[1]资源-铁'!X43</f>
        <v>506434.94023263571</v>
      </c>
      <c r="CL43" s="49">
        <v>38</v>
      </c>
      <c r="CM43" s="44">
        <f>'[1]功能-城建'!HF41+[1]养成buff汇总!S43+'[1]功能-采集'!BX42</f>
        <v>0</v>
      </c>
      <c r="CN43" s="44">
        <f>'[1]功能-城建'!HG41+[1]养成buff汇总!T43+'[1]功能-采集'!BY42</f>
        <v>0</v>
      </c>
      <c r="CO43" s="44">
        <f>'[1]功能-城建'!HH41+[1]养成buff汇总!U43+'[1]功能-采集'!BZ42</f>
        <v>0</v>
      </c>
      <c r="CP43" s="44">
        <f>'[1]功能-城建'!HI41+[1]养成buff汇总!V43+'[1]功能-采集'!CA42</f>
        <v>0</v>
      </c>
      <c r="CQ43" s="44">
        <f>'[1]功能-城建'!HJ41+[1]养成buff汇总!W43+'[1]功能-采集'!CB42</f>
        <v>64748.030343878148</v>
      </c>
      <c r="CT43" s="49">
        <v>38</v>
      </c>
      <c r="CU43" s="17">
        <f>'[1]资源-玩家城池建筑时间'!AJ43+CU42</f>
        <v>5537073.1799995406</v>
      </c>
      <c r="CV43" s="17">
        <f>'[1]资源-玩家城池建筑时间'!AK43+CV42</f>
        <v>6112449.0236524623</v>
      </c>
      <c r="CW43" s="17">
        <f>'[1]资源-玩家城池建筑时间'!AL43+CW42</f>
        <v>6810874.4797065947</v>
      </c>
      <c r="CX43" s="17">
        <f>'[1]资源-玩家城池建筑时间'!AM43+CX42</f>
        <v>7661712.2465776</v>
      </c>
      <c r="CY43" s="17">
        <f>'[1]资源-玩家城池建筑时间'!AN43+CY42</f>
        <v>8736507.1418068632</v>
      </c>
      <c r="DB43" s="49">
        <v>38</v>
      </c>
      <c r="DC43" s="17">
        <f>'[1]资源-士兵训练时间'!U43</f>
        <v>1414970.8524949364</v>
      </c>
      <c r="DD43" s="17">
        <f>'[1]资源-士兵训练时间'!V43</f>
        <v>2106813.5584557788</v>
      </c>
      <c r="DE43" s="17">
        <f>'[1]资源-士兵训练时间'!W43</f>
        <v>2932365.7125168261</v>
      </c>
      <c r="DF43" s="17">
        <f>'[1]资源-士兵训练时间'!X43</f>
        <v>3924255.479522788</v>
      </c>
      <c r="DG43" s="17">
        <f>'[1]资源-士兵训练时间'!Y43</f>
        <v>6078996.0128223086</v>
      </c>
    </row>
    <row r="44" spans="2:111" x14ac:dyDescent="0.15">
      <c r="B44" s="23">
        <v>41</v>
      </c>
      <c r="C44" s="24">
        <f>'[1]资源-钻石'!L44</f>
        <v>117694.56981791776</v>
      </c>
      <c r="D44" s="24">
        <f>'[1]资源-钻石'!M44</f>
        <v>144257.94521427789</v>
      </c>
      <c r="E44" s="24">
        <f>'[1]资源-钻石'!N44</f>
        <v>199164.64004552286</v>
      </c>
      <c r="F44" s="24">
        <f>'[1]资源-钻石'!O44</f>
        <v>389350.46222699573</v>
      </c>
      <c r="G44" s="24">
        <f>'[1]资源-钻石'!P44</f>
        <v>551231.73750665016</v>
      </c>
      <c r="I44" s="23">
        <v>41</v>
      </c>
      <c r="J44" s="24">
        <f>'[1]资源-钻石'!T44</f>
        <v>261592.6178491321</v>
      </c>
      <c r="K44" s="24">
        <f>'[1]资源-钻石'!U44</f>
        <v>359151.87963404536</v>
      </c>
      <c r="L44" s="24">
        <f>'[1]资源-钻石'!V44</f>
        <v>584277.06759744987</v>
      </c>
      <c r="M44" s="24">
        <f>'[1]资源-钻石'!W44</f>
        <v>1493554.7743571948</v>
      </c>
      <c r="N44" s="24">
        <f>'[1]资源-钻石'!X44</f>
        <v>3506747.7517929142</v>
      </c>
      <c r="P44" s="28">
        <v>41</v>
      </c>
      <c r="Q44" s="28">
        <f>'[1]功能-行军令'!N44</f>
        <v>742.82526842671143</v>
      </c>
      <c r="R44" s="28">
        <f>'[1]功能-行军令'!O44</f>
        <v>942.37074325168692</v>
      </c>
      <c r="S44" s="28">
        <f>'[1]功能-行军令'!P44</f>
        <v>1057.6007055976104</v>
      </c>
      <c r="T44" s="28">
        <f>'[1]功能-行军令'!Q44</f>
        <v>888.85825684924259</v>
      </c>
      <c r="U44" s="28">
        <f>'[1]功能-行军令'!R44</f>
        <v>500.64808254420291</v>
      </c>
      <c r="V44" s="28">
        <f>'[1]功能-行军令'!S44</f>
        <v>52.825268426711432</v>
      </c>
      <c r="W44" s="28">
        <f>'[1]功能-行军令'!T44</f>
        <v>67.417743251686829</v>
      </c>
      <c r="X44" s="28">
        <f>'[1]功能-行军令'!U44</f>
        <v>76.438705597610351</v>
      </c>
      <c r="Y44" s="28">
        <f>'[1]功能-行军令'!V44</f>
        <v>64.755256849242642</v>
      </c>
      <c r="Z44" s="28">
        <f>'[1]功能-行军令'!W44</f>
        <v>37.148082544202907</v>
      </c>
      <c r="AC44" s="30">
        <v>41</v>
      </c>
      <c r="AD44" s="41">
        <f>'[1]功能-实力'!BE45</f>
        <v>1082790</v>
      </c>
      <c r="AE44" s="41">
        <f>'[1]功能-实力'!BF45</f>
        <v>1124460</v>
      </c>
      <c r="AF44" s="41">
        <f>'[1]功能-实力'!BG45</f>
        <v>1205010</v>
      </c>
      <c r="AG44" s="41">
        <f>'[1]功能-实力'!BH45</f>
        <v>1386762</v>
      </c>
      <c r="AH44" s="41">
        <f>'[1]功能-实力'!BI45</f>
        <v>1505406</v>
      </c>
      <c r="AL44" s="37">
        <f>[3]基础状态预期!C54</f>
        <v>51520</v>
      </c>
      <c r="AM44" s="37">
        <f>[3]基础状态预期!D54</f>
        <v>156.52008914974525</v>
      </c>
      <c r="AO44" s="37">
        <f>[3]基础状态预期!F54</f>
        <v>0</v>
      </c>
      <c r="AP44" s="37">
        <f>[3]基础状态预期!G54</f>
        <v>0</v>
      </c>
      <c r="AQ44" s="37">
        <f>[3]基础状态预期!H54</f>
        <v>0</v>
      </c>
      <c r="AR44" s="37">
        <f>[3]基础状态预期!I54</f>
        <v>0</v>
      </c>
      <c r="AS44" s="37">
        <f>[3]基础状态预期!J54</f>
        <v>6</v>
      </c>
      <c r="AW44" s="32">
        <v>38</v>
      </c>
      <c r="AX44" s="32">
        <f>[1]节奏总纲!BJ41</f>
        <v>2.1000000000000028</v>
      </c>
      <c r="AY44" s="32">
        <f>[1]节奏总纲!BK41</f>
        <v>2.142000000000003</v>
      </c>
      <c r="AZ44" s="32">
        <f>[1]节奏总纲!BL41</f>
        <v>2.2260000000000031</v>
      </c>
      <c r="BA44" s="32">
        <f>[1]节奏总纲!BM41</f>
        <v>2.3940000000000028</v>
      </c>
      <c r="BB44" s="32">
        <f>[1]节奏总纲!BN41</f>
        <v>2.9400000000000035</v>
      </c>
      <c r="BF44" s="42">
        <f>'[1]功能-行军令'!FZ42</f>
        <v>38</v>
      </c>
      <c r="BG44" s="42">
        <f>'[1]功能-行军令'!GA42*'[1]功能-行军令'!GB42</f>
        <v>146.94743823585912</v>
      </c>
      <c r="BN44" s="49">
        <v>39</v>
      </c>
      <c r="BO44" s="17">
        <f>'[1]资源-木石铜粮'!U44</f>
        <v>173715658.93012103</v>
      </c>
      <c r="BP44" s="17">
        <f>'[1]资源-木石铜粮'!V44</f>
        <v>198601110.53896993</v>
      </c>
      <c r="BQ44" s="17">
        <f>'[1]资源-木石铜粮'!W44</f>
        <v>232489849.11419174</v>
      </c>
      <c r="BR44" s="17">
        <f>'[1]资源-木石铜粮'!X44</f>
        <v>222234540.45519757</v>
      </c>
      <c r="BS44" s="17">
        <f>'[1]资源-木石铜粮'!Y44</f>
        <v>205683761.60528025</v>
      </c>
      <c r="BV44" s="49">
        <v>39</v>
      </c>
      <c r="BW44" s="47">
        <f>'[1]功能-城建'!EQ42+[1]养成buff汇总!H44+'[1]功能-采集'!BS43+[2]产出汇总!AY44+[1]养成buff汇总!GY44</f>
        <v>95004140.004079208</v>
      </c>
      <c r="BX44" s="47">
        <f>'[1]功能-城建'!ER42+[1]养成buff汇总!I44+'[1]功能-采集'!BT43+[2]产出汇总!AZ44+[1]养成buff汇总!GZ44</f>
        <v>78107203.911581755</v>
      </c>
      <c r="BY44" s="47">
        <f>'[1]功能-城建'!ES42+[1]养成buff汇总!J44+'[1]功能-采集'!BU43+[2]产出汇总!BA44+[1]养成buff汇总!HA44</f>
        <v>74809888.879723802</v>
      </c>
      <c r="BZ44" s="47">
        <f>'[1]功能-城建'!ET42+[1]养成buff汇总!K44+'[1]功能-采集'!BV43+[2]产出汇总!BB44+[1]养成buff汇总!HB44</f>
        <v>54060847.698608905</v>
      </c>
      <c r="CA44" s="47">
        <f>'[1]功能-城建'!EU42+[1]养成buff汇总!L44+'[1]功能-采集'!BW43+[2]产出汇总!BC44+[1]养成buff汇总!HC44</f>
        <v>38158682.310025856</v>
      </c>
      <c r="CD44" s="49">
        <v>39</v>
      </c>
      <c r="CE44" s="44">
        <f>'[1]资源-铁'!T44</f>
        <v>20281.914842143531</v>
      </c>
      <c r="CF44" s="44">
        <f>'[1]资源-铁'!U44</f>
        <v>61127.330366252616</v>
      </c>
      <c r="CG44" s="44">
        <f>'[1]资源-铁'!V44</f>
        <v>144678.44216087664</v>
      </c>
      <c r="CH44" s="44">
        <f>'[1]资源-铁'!W44</f>
        <v>325797.31182013702</v>
      </c>
      <c r="CI44" s="44">
        <f>'[1]资源-铁'!X44</f>
        <v>716233.21194044291</v>
      </c>
      <c r="CL44" s="49">
        <v>39</v>
      </c>
      <c r="CM44" s="44">
        <f>'[1]功能-城建'!HF42+[1]养成buff汇总!S44+'[1]功能-采集'!BX43</f>
        <v>0</v>
      </c>
      <c r="CN44" s="44">
        <f>'[1]功能-城建'!HG42+[1]养成buff汇总!T44+'[1]功能-采集'!BY43</f>
        <v>0</v>
      </c>
      <c r="CO44" s="44">
        <f>'[1]功能-城建'!HH42+[1]养成buff汇总!U44+'[1]功能-采集'!BZ43</f>
        <v>0</v>
      </c>
      <c r="CP44" s="44">
        <f>'[1]功能-城建'!HI42+[1]养成buff汇总!V44+'[1]功能-采集'!CA43</f>
        <v>73989.267229079036</v>
      </c>
      <c r="CQ44" s="44">
        <f>'[1]功能-城建'!HJ42+[1]养成buff汇总!W44+'[1]功能-采集'!CB43</f>
        <v>113821.98999619551</v>
      </c>
      <c r="CT44" s="49">
        <v>39</v>
      </c>
      <c r="CU44" s="17">
        <f>'[1]资源-玩家城池建筑时间'!AJ44+CU43</f>
        <v>6021987.3928704914</v>
      </c>
      <c r="CV44" s="17">
        <f>'[1]资源-玩家城池建筑时间'!AK44+CV43</f>
        <v>6637609.183223295</v>
      </c>
      <c r="CW44" s="17">
        <f>'[1]资源-玩家城池建筑时间'!AL44+CW43</f>
        <v>7389233.1674966104</v>
      </c>
      <c r="CX44" s="17">
        <f>'[1]资源-玩家城池建筑时间'!AM44+CX43</f>
        <v>8326842.1789412843</v>
      </c>
      <c r="CY44" s="17">
        <f>'[1]资源-玩家城池建筑时间'!AN44+CY43</f>
        <v>9501214.6136458982</v>
      </c>
      <c r="DB44" s="49">
        <v>39</v>
      </c>
      <c r="DC44" s="17">
        <f>'[1]资源-士兵训练时间'!U44</f>
        <v>1554146.6668496102</v>
      </c>
      <c r="DD44" s="17">
        <f>'[1]资源-士兵训练时间'!V44</f>
        <v>2290852.9887295314</v>
      </c>
      <c r="DE44" s="17">
        <f>'[1]资源-士兵训练时间'!W44</f>
        <v>3162018.0192249506</v>
      </c>
      <c r="DF44" s="17">
        <f>'[1]资源-士兵训练时间'!X44</f>
        <v>4315562.3479274781</v>
      </c>
      <c r="DG44" s="17">
        <f>'[1]资源-士兵训练时间'!Y44</f>
        <v>6706257.4566162629</v>
      </c>
    </row>
    <row r="45" spans="2:111" x14ac:dyDescent="0.15">
      <c r="B45" s="23">
        <v>42</v>
      </c>
      <c r="C45" s="24">
        <f>'[1]资源-钻石'!L45</f>
        <v>124692.68287728468</v>
      </c>
      <c r="D45" s="24">
        <f>'[1]资源-钻石'!M45</f>
        <v>153005.05601213957</v>
      </c>
      <c r="E45" s="24">
        <f>'[1]资源-钻石'!N45</f>
        <v>211784.13315433351</v>
      </c>
      <c r="F45" s="24">
        <f>'[1]资源-钻石'!O45</f>
        <v>414588.06991100218</v>
      </c>
      <c r="G45" s="24">
        <f>'[1]资源-钻石'!P45</f>
        <v>588653.80295286095</v>
      </c>
      <c r="I45" s="23">
        <v>42</v>
      </c>
      <c r="J45" s="24">
        <f>'[1]资源-钻石'!T45</f>
        <v>267514.43861618021</v>
      </c>
      <c r="K45" s="24">
        <f>'[1]资源-钻石'!U45</f>
        <v>367345.88247779827</v>
      </c>
      <c r="L45" s="24">
        <f>'[1]资源-钻石'!V45</f>
        <v>597742.47072557802</v>
      </c>
      <c r="M45" s="24">
        <f>'[1]资源-钻石'!W45</f>
        <v>1528386.7177981359</v>
      </c>
      <c r="N45" s="24">
        <f>'[1]资源-钻石'!X45</f>
        <v>3588917.8895779494</v>
      </c>
      <c r="P45" s="28">
        <v>42</v>
      </c>
      <c r="Q45" s="28">
        <f>'[1]功能-行军令'!N45</f>
        <v>799.4419892778177</v>
      </c>
      <c r="R45" s="28">
        <f>'[1]功能-行军令'!O45</f>
        <v>1017.2238904960392</v>
      </c>
      <c r="S45" s="28">
        <f>'[1]功能-行军令'!P45</f>
        <v>1141.846469120243</v>
      </c>
      <c r="T45" s="28">
        <f>'[1]功能-行军令'!Q45</f>
        <v>960.18544247843488</v>
      </c>
      <c r="U45" s="28">
        <f>'[1]功能-行军令'!R45</f>
        <v>540.59657648860423</v>
      </c>
      <c r="V45" s="28">
        <f>'[1]功能-行军令'!S45</f>
        <v>56.616720851106265</v>
      </c>
      <c r="W45" s="28">
        <f>'[1]功能-行军令'!T45</f>
        <v>74.853147244352272</v>
      </c>
      <c r="X45" s="28">
        <f>'[1]功能-行军令'!U45</f>
        <v>84.245763522632615</v>
      </c>
      <c r="Y45" s="28">
        <f>'[1]功能-行军令'!V45</f>
        <v>71.327185629192286</v>
      </c>
      <c r="Z45" s="28">
        <f>'[1]功能-行军令'!W45</f>
        <v>39.948493944401321</v>
      </c>
      <c r="AC45" s="30">
        <v>42</v>
      </c>
      <c r="AD45" s="41">
        <f>'[1]功能-实力'!BE46</f>
        <v>1127268</v>
      </c>
      <c r="AE45" s="41">
        <f>'[1]功能-实力'!BF46</f>
        <v>1170090</v>
      </c>
      <c r="AF45" s="41">
        <f>'[1]功能-实力'!BG46</f>
        <v>1256490</v>
      </c>
      <c r="AG45" s="41">
        <f>'[1]功能-实力'!BH46</f>
        <v>1453170</v>
      </c>
      <c r="AH45" s="41">
        <f>'[1]功能-实力'!BI46</f>
        <v>1577712</v>
      </c>
      <c r="AL45" s="37">
        <f>[3]基础状态预期!C55</f>
        <v>65500</v>
      </c>
      <c r="AM45" s="37">
        <f>[3]基础状态预期!D55</f>
        <v>159.99202506384199</v>
      </c>
      <c r="AO45" s="37">
        <f>[3]基础状态预期!F55</f>
        <v>0</v>
      </c>
      <c r="AP45" s="37">
        <f>[3]基础状态预期!G55</f>
        <v>0</v>
      </c>
      <c r="AQ45" s="37">
        <f>[3]基础状态预期!H55</f>
        <v>0</v>
      </c>
      <c r="AR45" s="37">
        <f>[3]基础状态预期!I55</f>
        <v>0</v>
      </c>
      <c r="AS45" s="37">
        <f>[3]基础状态预期!J55</f>
        <v>6</v>
      </c>
      <c r="AW45" s="32">
        <v>39</v>
      </c>
      <c r="AX45" s="32">
        <f>[1]节奏总纲!BJ42</f>
        <v>2.133333333333336</v>
      </c>
      <c r="AY45" s="32">
        <f>[1]节奏总纲!BK42</f>
        <v>2.1760000000000028</v>
      </c>
      <c r="AZ45" s="32">
        <f>[1]节奏总纲!BL42</f>
        <v>2.2613333333333361</v>
      </c>
      <c r="BA45" s="32">
        <f>[1]节奏总纲!BM42</f>
        <v>2.4320000000000026</v>
      </c>
      <c r="BB45" s="32">
        <f>[1]节奏总纲!BN42</f>
        <v>2.9866666666666704</v>
      </c>
      <c r="BF45" s="42">
        <f>'[1]功能-行军令'!FZ43</f>
        <v>39</v>
      </c>
      <c r="BG45" s="42">
        <f>'[1]功能-行军令'!GA43*'[1]功能-行军令'!GB43</f>
        <v>154.2948101476521</v>
      </c>
      <c r="BN45" s="49">
        <v>40</v>
      </c>
      <c r="BO45" s="17">
        <f>'[1]资源-木石铜粮'!U45</f>
        <v>194127639.48996195</v>
      </c>
      <c r="BP45" s="17">
        <f>'[1]资源-木石铜粮'!V45</f>
        <v>221366822.75598779</v>
      </c>
      <c r="BQ45" s="17">
        <f>'[1]资源-木石铜粮'!W45</f>
        <v>258236422.15045398</v>
      </c>
      <c r="BR45" s="17">
        <f>'[1]资源-木石铜粮'!X45</f>
        <v>248250846.32103696</v>
      </c>
      <c r="BS45" s="17">
        <f>'[1]资源-木石铜粮'!Y45</f>
        <v>231330718.26264364</v>
      </c>
      <c r="BV45" s="49">
        <v>40</v>
      </c>
      <c r="BW45" s="47">
        <f>'[1]功能-城建'!EQ43+[1]养成buff汇总!H45+'[1]功能-采集'!BS44+[2]产出汇总!AY45+[1]养成buff汇总!GY45</f>
        <v>107516830.20122464</v>
      </c>
      <c r="BX45" s="47">
        <f>'[1]功能-城建'!ER43+[1]养成buff汇总!I45+'[1]功能-采集'!BT44+[2]产出汇总!AZ45+[1]养成buff汇总!GZ45</f>
        <v>88050129.70697996</v>
      </c>
      <c r="BY45" s="47">
        <f>'[1]功能-城建'!ES43+[1]养成buff汇总!J45+'[1]功能-采集'!BU44+[2]产出汇总!BA45+[1]养成buff汇总!HA45</f>
        <v>84672520.715874702</v>
      </c>
      <c r="BZ45" s="47">
        <f>'[1]功能-城建'!ET43+[1]养成buff汇总!K45+'[1]功能-采集'!BV44+[2]产出汇总!BB45+[1]养成buff汇总!HB45</f>
        <v>61037832.186104938</v>
      </c>
      <c r="CA45" s="47">
        <f>'[1]功能-城建'!EU43+[1]养成buff汇总!L45+'[1]功能-采集'!BW44+[2]产出汇总!BC45+[1]养成buff汇总!HC45</f>
        <v>43280772.66956526</v>
      </c>
      <c r="CD45" s="49">
        <v>40</v>
      </c>
      <c r="CE45" s="44">
        <f>'[1]资源-铁'!T45</f>
        <v>42012.861860629826</v>
      </c>
      <c r="CF45" s="44">
        <f>'[1]资源-铁'!U45</f>
        <v>107183.33469229221</v>
      </c>
      <c r="CG45" s="44">
        <f>'[1]资源-铁'!V45</f>
        <v>229644.19061903004</v>
      </c>
      <c r="CH45" s="44">
        <f>'[1]资源-铁'!W45</f>
        <v>470038.1899228479</v>
      </c>
      <c r="CI45" s="44">
        <f>'[1]资源-铁'!X45</f>
        <v>1019958.2664689492</v>
      </c>
      <c r="CL45" s="49">
        <v>40</v>
      </c>
      <c r="CM45" s="44">
        <f>'[1]功能-城建'!HF43+[1]养成buff汇总!S45+'[1]功能-采集'!BX44</f>
        <v>0</v>
      </c>
      <c r="CN45" s="44">
        <f>'[1]功能-城建'!HG43+[1]养成buff汇总!T45+'[1]功能-采集'!BY44</f>
        <v>0</v>
      </c>
      <c r="CO45" s="44">
        <f>'[1]功能-城建'!HH43+[1]养成buff汇总!U45+'[1]功能-采集'!BZ44</f>
        <v>63734.148009054174</v>
      </c>
      <c r="CP45" s="44">
        <f>'[1]功能-城建'!HI43+[1]养成buff汇总!V45+'[1]功能-采集'!CA44</f>
        <v>161040.74263953359</v>
      </c>
      <c r="CQ45" s="44">
        <f>'[1]功能-城建'!HJ43+[1]养成buff汇总!W45+'[1]功能-采集'!CB44</f>
        <v>171722.59649865158</v>
      </c>
      <c r="CT45" s="49">
        <v>40</v>
      </c>
      <c r="CU45" s="17">
        <f>'[1]资源-玩家城池建筑时间'!AJ45+CU44</f>
        <v>6546071.9250937393</v>
      </c>
      <c r="CV45" s="17">
        <f>'[1]资源-玩家城池建筑时间'!AK45+CV44</f>
        <v>7205203.7409268962</v>
      </c>
      <c r="CW45" s="17">
        <f>'[1]资源-玩家城池建筑时间'!AL45+CW44</f>
        <v>8032067.7522831</v>
      </c>
      <c r="CX45" s="17">
        <f>'[1]资源-玩家城池建筑时间'!AM45+CX44</f>
        <v>9066266.712567484</v>
      </c>
      <c r="CY45" s="17">
        <f>'[1]资源-玩家城池建筑时间'!AN45+CY44</f>
        <v>10352703.531509601</v>
      </c>
      <c r="DB45" s="49">
        <v>40</v>
      </c>
      <c r="DC45" s="17">
        <f>'[1]资源-士兵训练时间'!U45</f>
        <v>1696331.3970823842</v>
      </c>
      <c r="DD45" s="17">
        <f>'[1]资源-士兵训练时间'!V45</f>
        <v>2471155.492630274</v>
      </c>
      <c r="DE45" s="17">
        <f>'[1]资源-士兵训练时间'!W45</f>
        <v>3450182.5400379878</v>
      </c>
      <c r="DF45" s="17">
        <f>'[1]资源-士兵训练时间'!X45</f>
        <v>4755400.8346290076</v>
      </c>
      <c r="DG45" s="17">
        <f>'[1]资源-士兵训练时间'!Y45</f>
        <v>7462177.0371873658</v>
      </c>
    </row>
    <row r="46" spans="2:111" x14ac:dyDescent="0.15">
      <c r="B46" s="23">
        <v>43</v>
      </c>
      <c r="C46" s="24">
        <f>'[1]资源-钻石'!L46</f>
        <v>132193.07474214278</v>
      </c>
      <c r="D46" s="24">
        <f>'[1]资源-钻石'!M46</f>
        <v>162056.93883842273</v>
      </c>
      <c r="E46" s="24">
        <f>'[1]资源-钻石'!N46</f>
        <v>224894.19263473141</v>
      </c>
      <c r="F46" s="24">
        <f>'[1]资源-钻石'!O46</f>
        <v>440034.82987883931</v>
      </c>
      <c r="G46" s="24">
        <f>'[1]资源-钻石'!P46</f>
        <v>626370.20625415735</v>
      </c>
      <c r="I46" s="23">
        <v>43</v>
      </c>
      <c r="J46" s="24">
        <f>'[1]资源-钻石'!T46</f>
        <v>273436.25938322826</v>
      </c>
      <c r="K46" s="24">
        <f>'[1]资源-钻石'!U46</f>
        <v>375539.88532155112</v>
      </c>
      <c r="L46" s="24">
        <f>'[1]资源-钻石'!V46</f>
        <v>611207.87385370617</v>
      </c>
      <c r="M46" s="24">
        <f>'[1]资源-钻石'!W46</f>
        <v>1563218.6612390769</v>
      </c>
      <c r="N46" s="24">
        <f>'[1]资源-钻石'!X46</f>
        <v>3671088.0273629841</v>
      </c>
      <c r="P46" s="28">
        <v>43</v>
      </c>
      <c r="Q46" s="28">
        <f>'[1]功能-行军令'!N46</f>
        <v>860.12228822185841</v>
      </c>
      <c r="R46" s="28">
        <f>'[1]功能-行军令'!O46</f>
        <v>1094.6851155442046</v>
      </c>
      <c r="S46" s="28">
        <f>'[1]功能-行军令'!P46</f>
        <v>1229.3671770623182</v>
      </c>
      <c r="T46" s="28">
        <f>'[1]功能-行军令'!Q46</f>
        <v>1032.1037397518191</v>
      </c>
      <c r="U46" s="28">
        <f>'[1]功能-行军令'!R46</f>
        <v>580.8592795468345</v>
      </c>
      <c r="V46" s="28">
        <f>'[1]功能-行军令'!S46</f>
        <v>60.680298944040715</v>
      </c>
      <c r="W46" s="28">
        <f>'[1]功能-行军令'!T46</f>
        <v>77.461225048165375</v>
      </c>
      <c r="X46" s="28">
        <f>'[1]功能-行军令'!U46</f>
        <v>87.520707942075205</v>
      </c>
      <c r="Y46" s="28">
        <f>'[1]功能-行军令'!V46</f>
        <v>71.918297273384269</v>
      </c>
      <c r="Z46" s="28">
        <f>'[1]功能-行军令'!W46</f>
        <v>40.262703058230272</v>
      </c>
      <c r="AC46" s="30">
        <v>43</v>
      </c>
      <c r="AD46" s="41">
        <f>'[1]功能-实力'!BE47</f>
        <v>1173426</v>
      </c>
      <c r="AE46" s="41">
        <f>'[1]功能-实力'!BF47</f>
        <v>1216974</v>
      </c>
      <c r="AF46" s="41">
        <f>'[1]功能-实力'!BG47</f>
        <v>1309110</v>
      </c>
      <c r="AG46" s="41">
        <f>'[1]功能-实力'!BH47</f>
        <v>1521666</v>
      </c>
      <c r="AH46" s="41">
        <f>'[1]功能-实力'!BI47</f>
        <v>1653900</v>
      </c>
      <c r="AW46" s="32">
        <v>40</v>
      </c>
      <c r="AX46" s="32">
        <f>[1]节奏总纲!BJ43</f>
        <v>2.1666666666666692</v>
      </c>
      <c r="AY46" s="32">
        <f>[1]节奏总纲!BK43</f>
        <v>2.2100000000000026</v>
      </c>
      <c r="AZ46" s="32">
        <f>[1]节奏总纲!BL43</f>
        <v>2.2966666666666695</v>
      </c>
      <c r="BA46" s="32">
        <f>[1]节奏总纲!BM43</f>
        <v>2.4700000000000029</v>
      </c>
      <c r="BB46" s="32">
        <f>[1]节奏总纲!BN43</f>
        <v>3.0333333333333368</v>
      </c>
      <c r="BF46" s="42">
        <f>'[1]功能-行军令'!FZ44</f>
        <v>40</v>
      </c>
      <c r="BG46" s="42">
        <f>'[1]功能-行军令'!GA44*'[1]功能-行军令'!GB44</f>
        <v>162.0095506550347</v>
      </c>
      <c r="BN46" s="49">
        <v>41</v>
      </c>
      <c r="BO46" s="17">
        <f>'[1]资源-木石铜粮'!U46</f>
        <v>217784566.35926419</v>
      </c>
      <c r="BP46" s="17">
        <f>'[1]资源-木石铜粮'!V46</f>
        <v>247669677.9413583</v>
      </c>
      <c r="BQ46" s="17">
        <f>'[1]资源-木石铜粮'!W46</f>
        <v>287701501.74628621</v>
      </c>
      <c r="BR46" s="17">
        <f>'[1]资源-木石铜粮'!X46</f>
        <v>278318915.49302185</v>
      </c>
      <c r="BS46" s="17">
        <f>'[1]资源-木石铜粮'!Y46</f>
        <v>260546603.40849847</v>
      </c>
      <c r="BV46" s="49">
        <v>41</v>
      </c>
      <c r="BW46" s="47">
        <f>'[1]功能-城建'!EQ44+[1]养成buff汇总!H46+'[1]功能-采集'!BS45+[2]产出汇总!AY46+[1]养成buff汇总!GY46</f>
        <v>121856446.25915468</v>
      </c>
      <c r="BX46" s="47">
        <f>'[1]功能-城建'!ER44+[1]养成buff汇总!I46+'[1]功能-采集'!BT45+[2]产出汇总!AZ46+[1]养成buff汇总!GZ46</f>
        <v>99356800.137102246</v>
      </c>
      <c r="BY46" s="47">
        <f>'[1]功能-城建'!ES44+[1]养成buff汇总!J46+'[1]功能-采集'!BU45+[2]产出汇总!BA46+[1]养成buff汇总!HA46</f>
        <v>95904451.31295979</v>
      </c>
      <c r="BZ46" s="47">
        <f>'[1]功能-城建'!ET44+[1]养成buff汇总!K46+'[1]功能-采集'!BV45+[2]产出汇总!BB46+[1]养成buff汇总!HB46</f>
        <v>68869361.33660689</v>
      </c>
      <c r="CA46" s="47">
        <f>'[1]功能-城建'!EU44+[1]养成buff汇总!L46+'[1]功能-采集'!BW45+[2]产出汇总!BC46+[1]养成buff汇总!HC46</f>
        <v>49057637.325129747</v>
      </c>
      <c r="CD46" s="49">
        <v>41</v>
      </c>
      <c r="CE46" s="44">
        <f>'[1]资源-铁'!T46</f>
        <v>82697.577588798042</v>
      </c>
      <c r="CF46" s="44">
        <f>'[1]资源-铁'!U46</f>
        <v>166907.69139294431</v>
      </c>
      <c r="CG46" s="44">
        <f>'[1]资源-铁'!V46</f>
        <v>349282.65000746393</v>
      </c>
      <c r="CH46" s="44">
        <f>'[1]资源-铁'!W46</f>
        <v>684337.41520096932</v>
      </c>
      <c r="CI46" s="44">
        <f>'[1]资源-铁'!X46</f>
        <v>1614887.3150252332</v>
      </c>
      <c r="CL46" s="49">
        <v>41</v>
      </c>
      <c r="CM46" s="44">
        <f>'[1]功能-城建'!HF44+[1]养成buff汇总!S46+'[1]功能-采集'!BX45</f>
        <v>0</v>
      </c>
      <c r="CN46" s="44">
        <f>'[1]功能-城建'!HG44+[1]养成buff汇总!T46+'[1]功能-采集'!BY45</f>
        <v>32031.554971196088</v>
      </c>
      <c r="CO46" s="44">
        <f>'[1]功能-城建'!HH44+[1]养成buff汇总!U46+'[1]功能-采集'!BZ45</f>
        <v>200276.6507816879</v>
      </c>
      <c r="CP46" s="44">
        <f>'[1]功能-城建'!HI44+[1]养成buff汇总!V46+'[1]功能-采集'!CA45</f>
        <v>261805.93349546229</v>
      </c>
      <c r="CQ46" s="44">
        <f>'[1]功能-城建'!HJ44+[1]养成buff汇总!W46+'[1]功能-采集'!CB45</f>
        <v>236548.57239838617</v>
      </c>
      <c r="CT46" s="49">
        <v>41</v>
      </c>
      <c r="CU46" s="17">
        <f>'[1]资源-玩家城池建筑时间'!AJ46+CU45</f>
        <v>7117879.8669580445</v>
      </c>
      <c r="CV46" s="17">
        <f>'[1]资源-玩家城池建筑时间'!AK46+CV45</f>
        <v>7834409.1625663722</v>
      </c>
      <c r="CW46" s="17">
        <f>'[1]资源-玩家城池建筑时间'!AL46+CW45</f>
        <v>8744419.0569029264</v>
      </c>
      <c r="CX46" s="17">
        <f>'[1]资源-玩家城池建筑时间'!AM46+CX45</f>
        <v>9874664.5615411904</v>
      </c>
      <c r="CY46" s="17">
        <f>'[1]资源-玩家城池建筑时间'!AN46+CY45</f>
        <v>11286098.545561982</v>
      </c>
      <c r="DB46" s="49">
        <v>41</v>
      </c>
      <c r="DC46" s="17">
        <f>'[1]资源-士兵训练时间'!U46</f>
        <v>1832562.0950372561</v>
      </c>
      <c r="DD46" s="17">
        <f>'[1]资源-士兵训练时间'!V46</f>
        <v>2681762.6847731988</v>
      </c>
      <c r="DE46" s="17">
        <f>'[1]资源-士兵训练时间'!W46</f>
        <v>3803294.4371679765</v>
      </c>
      <c r="DF46" s="17">
        <f>'[1]资源-士兵训练时间'!X46</f>
        <v>5278344.1219015177</v>
      </c>
      <c r="DG46" s="17">
        <f>'[1]资源-士兵训练时间'!Y46</f>
        <v>8290073.1286574695</v>
      </c>
    </row>
    <row r="47" spans="2:111" x14ac:dyDescent="0.15">
      <c r="B47" s="23">
        <v>44</v>
      </c>
      <c r="C47" s="24">
        <f>'[1]资源-钻石'!L47</f>
        <v>140231.79570152081</v>
      </c>
      <c r="D47" s="24">
        <f>'[1]资源-钻石'!M47</f>
        <v>171729.33965628239</v>
      </c>
      <c r="E47" s="24">
        <f>'[1]资源-钻石'!N47</f>
        <v>238240.90438797322</v>
      </c>
      <c r="F47" s="24">
        <f>'[1]资源-钻石'!O47</f>
        <v>467280.92124246567</v>
      </c>
      <c r="G47" s="24">
        <f>'[1]资源-钻石'!P47</f>
        <v>666348.2029814776</v>
      </c>
      <c r="I47" s="23">
        <v>44</v>
      </c>
      <c r="J47" s="24">
        <f>'[1]资源-钻石'!T47</f>
        <v>279358.08015027636</v>
      </c>
      <c r="K47" s="24">
        <f>'[1]资源-钻石'!U47</f>
        <v>383733.88816530403</v>
      </c>
      <c r="L47" s="24">
        <f>'[1]资源-钻石'!V47</f>
        <v>624673.27698183444</v>
      </c>
      <c r="M47" s="24">
        <f>'[1]资源-钻石'!W47</f>
        <v>1598050.604680018</v>
      </c>
      <c r="N47" s="24">
        <f>'[1]资源-钻石'!X47</f>
        <v>3753258.1651480193</v>
      </c>
      <c r="P47" s="28">
        <v>44</v>
      </c>
      <c r="Q47" s="28">
        <f>'[1]功能-行军令'!N47</f>
        <v>925.1578223288501</v>
      </c>
      <c r="R47" s="28">
        <f>'[1]功能-行军令'!O47</f>
        <v>1177.4564053285565</v>
      </c>
      <c r="S47" s="28">
        <f>'[1]功能-行军令'!P47</f>
        <v>1321.4069400576111</v>
      </c>
      <c r="T47" s="28">
        <f>'[1]功能-行军令'!Q47</f>
        <v>1109.1073543850268</v>
      </c>
      <c r="U47" s="28">
        <f>'[1]功能-行军令'!R47</f>
        <v>623.53626012307257</v>
      </c>
      <c r="V47" s="28">
        <f>'[1]功能-行军令'!S47</f>
        <v>65.03553410699169</v>
      </c>
      <c r="W47" s="28">
        <f>'[1]功能-行军令'!T47</f>
        <v>82.771289784351893</v>
      </c>
      <c r="X47" s="28">
        <f>'[1]功能-行军令'!U47</f>
        <v>92.039762995292904</v>
      </c>
      <c r="Y47" s="28">
        <f>'[1]功能-行军令'!V47</f>
        <v>77.00361463320769</v>
      </c>
      <c r="Z47" s="28">
        <f>'[1]功能-行军令'!W47</f>
        <v>42.676980576238066</v>
      </c>
      <c r="AC47" s="30">
        <v>44</v>
      </c>
      <c r="AD47" s="41">
        <f>'[1]功能-实力'!BE48</f>
        <v>1221210</v>
      </c>
      <c r="AE47" s="41">
        <f>'[1]功能-实力'!BF48</f>
        <v>1265784</v>
      </c>
      <c r="AF47" s="41">
        <f>'[1]功能-实力'!BG48</f>
        <v>1365228</v>
      </c>
      <c r="AG47" s="41">
        <f>'[1]功能-实力'!BH48</f>
        <v>1594986</v>
      </c>
      <c r="AH47" s="41">
        <f>'[1]功能-实力'!BI48</f>
        <v>1730844</v>
      </c>
      <c r="AW47" s="32">
        <v>41</v>
      </c>
      <c r="AX47" s="32">
        <f>[1]节奏总纲!BJ44</f>
        <v>2.2000000000000024</v>
      </c>
      <c r="AY47" s="32">
        <f>[1]节奏总纲!BK44</f>
        <v>2.2440000000000024</v>
      </c>
      <c r="AZ47" s="32">
        <f>[1]节奏总纲!BL44</f>
        <v>2.3320000000000025</v>
      </c>
      <c r="BA47" s="32">
        <f>[1]节奏总纲!BM44</f>
        <v>2.5080000000000027</v>
      </c>
      <c r="BB47" s="32">
        <f>[1]节奏总纲!BN44</f>
        <v>3.0800000000000032</v>
      </c>
      <c r="BF47" s="42">
        <f>'[1]功能-行军令'!FZ45</f>
        <v>41</v>
      </c>
      <c r="BG47" s="42">
        <f>'[1]功能-行军令'!GA45*'[1]功能-行军令'!GB45</f>
        <v>168.4899326812361</v>
      </c>
      <c r="BN47" s="49">
        <v>42</v>
      </c>
      <c r="BO47" s="17">
        <f>'[1]资源-木石铜粮'!U47</f>
        <v>243903387.2010904</v>
      </c>
      <c r="BP47" s="17">
        <f>'[1]资源-木石铜粮'!V47</f>
        <v>277493749.29254395</v>
      </c>
      <c r="BQ47" s="17">
        <f>'[1]资源-木石铜粮'!W47</f>
        <v>320772626.91804385</v>
      </c>
      <c r="BR47" s="17">
        <f>'[1]资源-木石铜粮'!X47</f>
        <v>311999656.73043996</v>
      </c>
      <c r="BS47" s="17">
        <f>'[1]资源-木石铜粮'!Y47</f>
        <v>293096663.24022806</v>
      </c>
      <c r="BV47" s="49">
        <v>42</v>
      </c>
      <c r="BW47" s="47">
        <f>'[1]功能-城建'!EQ45+[1]养成buff汇总!H47+'[1]功能-采集'!BS46+[2]产出汇总!AY47+[1]养成buff汇总!GY47</f>
        <v>137700434.88265792</v>
      </c>
      <c r="BX47" s="47">
        <f>'[1]功能-城建'!ER45+[1]养成buff汇总!I47+'[1]功能-采集'!BT46+[2]产出汇总!AZ47+[1]养成buff汇总!GZ47</f>
        <v>112399481.47078703</v>
      </c>
      <c r="BY47" s="47">
        <f>'[1]功能-城建'!ES45+[1]养成buff汇总!J47+'[1]功能-采集'!BU46+[2]产出汇总!BA47+[1]养成buff汇总!HA47</f>
        <v>108711943.68000698</v>
      </c>
      <c r="BZ47" s="47">
        <f>'[1]功能-城建'!ET45+[1]养成buff汇总!K47+'[1]功能-采集'!BV46+[2]产出汇总!BB47+[1]养成buff汇总!HB47</f>
        <v>77748587.144464299</v>
      </c>
      <c r="CA47" s="47">
        <f>'[1]功能-城建'!EU45+[1]养成buff汇总!L47+'[1]功能-采集'!BW46+[2]产出汇总!BC47+[1]养成buff汇总!HC47</f>
        <v>55545759.36571236</v>
      </c>
      <c r="CD47" s="49">
        <v>42</v>
      </c>
      <c r="CE47" s="44">
        <f>'[1]资源-铁'!T47</f>
        <v>128160.80492777738</v>
      </c>
      <c r="CF47" s="44">
        <f>'[1]资源-铁'!U47</f>
        <v>269848.79617709899</v>
      </c>
      <c r="CG47" s="44">
        <f>'[1]资源-铁'!V47</f>
        <v>502605.15115819947</v>
      </c>
      <c r="CH47" s="44">
        <f>'[1]资源-铁'!W47</f>
        <v>944087.07758765668</v>
      </c>
      <c r="CI47" s="44">
        <f>'[1]资源-铁'!X47</f>
        <v>4201278.4393331883</v>
      </c>
      <c r="CL47" s="49">
        <v>42</v>
      </c>
      <c r="CM47" s="44">
        <f>'[1]功能-城建'!HF45+[1]养成buff汇总!S47+'[1]功能-采集'!BX46</f>
        <v>10539.857861082301</v>
      </c>
      <c r="CN47" s="44">
        <f>'[1]功能-城建'!HG45+[1]养成buff汇总!T47+'[1]功能-采集'!BY46</f>
        <v>199345.09722961707</v>
      </c>
      <c r="CO47" s="44">
        <f>'[1]功能-城建'!HH45+[1]养成buff汇总!U47+'[1]功能-采集'!BZ46</f>
        <v>355939.9774557504</v>
      </c>
      <c r="CP47" s="44">
        <f>'[1]功能-城建'!HI45+[1]养成buff汇总!V47+'[1]功能-采集'!CA46</f>
        <v>375486.23245554208</v>
      </c>
      <c r="CQ47" s="44">
        <f>'[1]功能-城建'!HJ45+[1]养成buff汇总!W47+'[1]功能-采集'!CB46</f>
        <v>315999.44048704929</v>
      </c>
      <c r="CT47" s="49">
        <v>42</v>
      </c>
      <c r="CU47" s="17">
        <f>'[1]资源-玩家城池建筑时间'!AJ47+CU46</f>
        <v>7731437.0187521214</v>
      </c>
      <c r="CV47" s="17">
        <f>'[1]资源-玩家城池建筑时间'!AK47+CV46</f>
        <v>8544998.7153019849</v>
      </c>
      <c r="CW47" s="17">
        <f>'[1]资源-玩家城池建筑时间'!AL47+CW46</f>
        <v>9533194.7688159775</v>
      </c>
      <c r="CX47" s="17">
        <f>'[1]资源-玩家城池建筑时间'!AM47+CX46</f>
        <v>10768624.080227939</v>
      </c>
      <c r="CY47" s="17">
        <f>'[1]资源-玩家城池建筑时间'!AN47+CY46</f>
        <v>12306336.940053176</v>
      </c>
      <c r="DB47" s="49">
        <v>42</v>
      </c>
      <c r="DC47" s="17">
        <f>'[1]资源-士兵训练时间'!U47</f>
        <v>1980696.0944711829</v>
      </c>
      <c r="DD47" s="17">
        <f>'[1]资源-士兵训练时间'!V47</f>
        <v>2963553.5634252811</v>
      </c>
      <c r="DE47" s="17">
        <f>'[1]资源-士兵训练时间'!W47</f>
        <v>4209155.1412374396</v>
      </c>
      <c r="DF47" s="17">
        <f>'[1]资源-士兵训练时间'!X47</f>
        <v>5873561.6493139528</v>
      </c>
      <c r="DG47" s="17">
        <f>'[1]资源-士兵训练时间'!Y47</f>
        <v>9189553.304829631</v>
      </c>
    </row>
    <row r="48" spans="2:111" x14ac:dyDescent="0.15">
      <c r="B48" s="23">
        <v>45</v>
      </c>
      <c r="C48" s="24">
        <f>'[1]资源-钻石'!L48</f>
        <v>148847.48349851643</v>
      </c>
      <c r="D48" s="24">
        <f>'[1]资源-钻石'!M48</f>
        <v>182112.89517619589</v>
      </c>
      <c r="E48" s="24">
        <f>'[1]资源-钻石'!N48</f>
        <v>252091.14822462251</v>
      </c>
      <c r="F48" s="24">
        <f>'[1]资源-钻石'!O48</f>
        <v>496611.27863223618</v>
      </c>
      <c r="G48" s="24">
        <f>'[1]资源-钻石'!P48</f>
        <v>709312.35565837938</v>
      </c>
      <c r="I48" s="23">
        <v>45</v>
      </c>
      <c r="J48" s="24">
        <f>'[1]资源-钻石'!T48</f>
        <v>285279.90091732447</v>
      </c>
      <c r="K48" s="24">
        <f>'[1]资源-钻石'!U48</f>
        <v>391927.89100905694</v>
      </c>
      <c r="L48" s="24">
        <f>'[1]资源-钻石'!V48</f>
        <v>638138.68010996259</v>
      </c>
      <c r="M48" s="24">
        <f>'[1]资源-钻石'!W48</f>
        <v>1632882.548120959</v>
      </c>
      <c r="N48" s="24">
        <f>'[1]资源-钻石'!X48</f>
        <v>3835428.3029330545</v>
      </c>
      <c r="P48" s="28">
        <v>45</v>
      </c>
      <c r="Q48" s="28">
        <f>'[1]功能-行军令'!N48</f>
        <v>994.86118190659784</v>
      </c>
      <c r="R48" s="28">
        <f>'[1]功能-行军令'!O48</f>
        <v>1266.3133808732127</v>
      </c>
      <c r="S48" s="28">
        <f>'[1]功能-行军令'!P48</f>
        <v>1419.9805041271859</v>
      </c>
      <c r="T48" s="28">
        <f>'[1]功能-行军令'!Q48</f>
        <v>1192.0015760681895</v>
      </c>
      <c r="U48" s="28">
        <f>'[1]功能-行军令'!R48</f>
        <v>669.40099721265346</v>
      </c>
      <c r="V48" s="28">
        <f>'[1]功能-行军令'!S48</f>
        <v>69.703359577747733</v>
      </c>
      <c r="W48" s="28">
        <f>'[1]功能-行军令'!T48</f>
        <v>88.856975544656279</v>
      </c>
      <c r="X48" s="28">
        <f>'[1]功能-行军令'!U48</f>
        <v>98.573564069574786</v>
      </c>
      <c r="Y48" s="28">
        <f>'[1]功能-行军令'!V48</f>
        <v>82.894221683162641</v>
      </c>
      <c r="Z48" s="28">
        <f>'[1]功能-行军令'!W48</f>
        <v>45.864737089580899</v>
      </c>
      <c r="AC48" s="30">
        <v>45</v>
      </c>
      <c r="AD48" s="41">
        <f>'[1]功能-实力'!BE49</f>
        <v>1269744</v>
      </c>
      <c r="AE48" s="41">
        <f>'[1]功能-实力'!BF49</f>
        <v>1317480</v>
      </c>
      <c r="AF48" s="41">
        <f>'[1]功能-实力'!BG49</f>
        <v>1423926</v>
      </c>
      <c r="AG48" s="41">
        <f>'[1]功能-实力'!BH49</f>
        <v>1669668</v>
      </c>
      <c r="AH48" s="41">
        <f>'[1]功能-实力'!BI49</f>
        <v>1809804</v>
      </c>
      <c r="AW48" s="32">
        <v>42</v>
      </c>
      <c r="AX48" s="32">
        <f>[1]节奏总纲!BJ45</f>
        <v>2.2333333333333356</v>
      </c>
      <c r="AY48" s="32">
        <f>[1]节奏总纲!BK45</f>
        <v>2.2780000000000022</v>
      </c>
      <c r="AZ48" s="32">
        <f>[1]节奏总纲!BL45</f>
        <v>2.367333333333336</v>
      </c>
      <c r="BA48" s="32">
        <f>[1]节奏总纲!BM45</f>
        <v>2.5460000000000025</v>
      </c>
      <c r="BB48" s="32">
        <f>[1]节奏总纲!BN45</f>
        <v>3.1266666666666696</v>
      </c>
      <c r="BF48" s="42">
        <f>'[1]功能-行军令'!FZ46</f>
        <v>42</v>
      </c>
      <c r="BG48" s="42">
        <f>'[1]功能-行军令'!GA46*'[1]功能-行军令'!GB46</f>
        <v>173.54463066167318</v>
      </c>
      <c r="BN48" s="49">
        <v>43</v>
      </c>
      <c r="BO48" s="17">
        <f>'[1]资源-木石铜粮'!U48</f>
        <v>273116705.51703191</v>
      </c>
      <c r="BP48" s="17">
        <f>'[1]资源-木石铜粮'!V48</f>
        <v>309818359.51861513</v>
      </c>
      <c r="BQ48" s="17">
        <f>'[1]资源-木石铜粮'!W48</f>
        <v>357034633.82317656</v>
      </c>
      <c r="BR48" s="17">
        <f>'[1]资源-木石铜粮'!X48</f>
        <v>347995140.97605467</v>
      </c>
      <c r="BS48" s="17">
        <f>'[1]资源-木石铜粮'!Y48</f>
        <v>327701035.30532467</v>
      </c>
      <c r="BV48" s="49">
        <v>43</v>
      </c>
      <c r="BW48" s="47">
        <f>'[1]功能-城建'!EQ46+[1]养成buff汇总!H48+'[1]功能-采集'!BS47+[2]产出汇总!AY48+[1]养成buff汇总!GY48</f>
        <v>155461143.06580412</v>
      </c>
      <c r="BX48" s="47">
        <f>'[1]功能-城建'!ER46+[1]养成buff汇总!I48+'[1]功能-采集'!BT47+[2]产出汇总!AZ48+[1]养成buff汇总!GZ48</f>
        <v>126243045.09030852</v>
      </c>
      <c r="BY48" s="47">
        <f>'[1]功能-城建'!ES46+[1]养成buff汇总!J48+'[1]功能-采集'!BU47+[2]产出汇总!BA48+[1]养成buff汇总!HA48</f>
        <v>122556927.49048328</v>
      </c>
      <c r="BZ48" s="47">
        <f>'[1]功能-城建'!ET46+[1]养成buff汇总!K48+'[1]功能-采集'!BV47+[2]产出汇总!BB48+[1]养成buff汇总!HB48</f>
        <v>87015470.417742684</v>
      </c>
      <c r="CA48" s="47">
        <f>'[1]功能-城建'!EU46+[1]养成buff汇总!L48+'[1]功能-采集'!BW47+[2]产出汇总!BC48+[1]养成buff汇总!HC48</f>
        <v>62279200.7212063</v>
      </c>
      <c r="CD48" s="49">
        <v>43</v>
      </c>
      <c r="CE48" s="44">
        <f>'[1]资源-铁'!T48</f>
        <v>212618.32903906383</v>
      </c>
      <c r="CF48" s="44">
        <f>'[1]资源-铁'!U48</f>
        <v>376376.63606019493</v>
      </c>
      <c r="CG48" s="44">
        <f>'[1]资源-铁'!V48</f>
        <v>710285.83633399988</v>
      </c>
      <c r="CH48" s="44">
        <f>'[1]资源-铁'!W48</f>
        <v>2050839.8650479007</v>
      </c>
      <c r="CI48" s="44">
        <f>'[1]资源-铁'!X48</f>
        <v>6808012.4497663286</v>
      </c>
      <c r="CL48" s="49">
        <v>43</v>
      </c>
      <c r="CM48" s="44">
        <f>'[1]功能-城建'!HF46+[1]养成buff汇总!S48+'[1]功能-采集'!BX47</f>
        <v>225312.02915085535</v>
      </c>
      <c r="CN48" s="44">
        <f>'[1]功能-城建'!HG46+[1]养成buff汇总!T48+'[1]功能-采集'!BY47</f>
        <v>372488.27727757586</v>
      </c>
      <c r="CO48" s="44">
        <f>'[1]功能-城建'!HH46+[1]养成buff汇总!U48+'[1]功能-采集'!BZ47</f>
        <v>528662.49079477775</v>
      </c>
      <c r="CP48" s="44">
        <f>'[1]功能-城建'!HI46+[1]养成buff汇总!V48+'[1]功能-采集'!CA47</f>
        <v>500231.51460382721</v>
      </c>
      <c r="CQ48" s="44">
        <f>'[1]功能-城建'!HJ46+[1]养成buff汇总!W48+'[1]功能-采集'!CB47</f>
        <v>396394.85812978441</v>
      </c>
      <c r="CT48" s="49">
        <v>43</v>
      </c>
      <c r="CU48" s="17">
        <f>'[1]资源-玩家城池建筑时间'!AJ48+CU47</f>
        <v>8402654.7531515285</v>
      </c>
      <c r="CV48" s="17">
        <f>'[1]资源-玩家城池建筑时间'!AK48+CV47</f>
        <v>9280347.0511794928</v>
      </c>
      <c r="CW48" s="17">
        <f>'[1]资源-玩家城池建筑时间'!AL48+CW47</f>
        <v>10360904.688394517</v>
      </c>
      <c r="CX48" s="17">
        <f>'[1]资源-玩家城池建筑时间'!AM48+CX47</f>
        <v>11679493.482508952</v>
      </c>
      <c r="CY48" s="17">
        <f>'[1]资源-玩家城池建筑时间'!AN48+CY47</f>
        <v>13334599.872397372</v>
      </c>
      <c r="DB48" s="49">
        <v>43</v>
      </c>
      <c r="DC48" s="17">
        <f>'[1]资源-士兵训练时间'!U48</f>
        <v>2180329.3086260101</v>
      </c>
      <c r="DD48" s="17">
        <f>'[1]资源-士兵训练时间'!V48</f>
        <v>3255162.7671977528</v>
      </c>
      <c r="DE48" s="17">
        <f>'[1]资源-士兵训练时间'!W48</f>
        <v>4668411.0708478643</v>
      </c>
      <c r="DF48" s="17">
        <f>'[1]资源-士兵训练时间'!X48</f>
        <v>6477678.5703459727</v>
      </c>
      <c r="DG48" s="17">
        <f>'[1]资源-士兵训练时间'!Y48</f>
        <v>10096108.212516202</v>
      </c>
    </row>
    <row r="49" spans="2:111" x14ac:dyDescent="0.15">
      <c r="B49" s="23">
        <v>46</v>
      </c>
      <c r="C49" s="24">
        <f>'[1]资源-钻石'!L49</f>
        <v>158081.5490408341</v>
      </c>
      <c r="D49" s="24">
        <f>'[1]资源-钻石'!M49</f>
        <v>193152.0194629342</v>
      </c>
      <c r="E49" s="24">
        <f>'[1]资源-钻石'!N49</f>
        <v>266835.4418204822</v>
      </c>
      <c r="F49" s="24">
        <f>'[1]资源-钻石'!O49</f>
        <v>527689.28249029943</v>
      </c>
      <c r="G49" s="24">
        <f>'[1]资源-钻石'!P49</f>
        <v>753259.28476427007</v>
      </c>
      <c r="I49" s="23">
        <v>46</v>
      </c>
      <c r="J49" s="24">
        <f>'[1]资源-钻石'!T49</f>
        <v>291201.72168437252</v>
      </c>
      <c r="K49" s="24">
        <f>'[1]资源-钻石'!U49</f>
        <v>400121.89385280979</v>
      </c>
      <c r="L49" s="24">
        <f>'[1]资源-钻石'!V49</f>
        <v>651604.08323809074</v>
      </c>
      <c r="M49" s="24">
        <f>'[1]资源-钻石'!W49</f>
        <v>1667714.4915618999</v>
      </c>
      <c r="N49" s="24">
        <f>'[1]资源-钻石'!X49</f>
        <v>3917598.4407180897</v>
      </c>
      <c r="P49" s="28">
        <v>46</v>
      </c>
      <c r="Q49" s="28">
        <f>'[1]功能-行军令'!N49</f>
        <v>1069.5673929516524</v>
      </c>
      <c r="R49" s="28">
        <f>'[1]功能-行军令'!O49</f>
        <v>1360.7803671478041</v>
      </c>
      <c r="S49" s="28">
        <f>'[1]功能-行军令'!P49</f>
        <v>1524.9171093287671</v>
      </c>
      <c r="T49" s="28">
        <f>'[1]功能-行军令'!Q49</f>
        <v>1279.8350418199216</v>
      </c>
      <c r="U49" s="28">
        <f>'[1]功能-行军令'!R49</f>
        <v>716.31485967129208</v>
      </c>
      <c r="V49" s="28">
        <f>'[1]功能-行军令'!S49</f>
        <v>74.706211045054602</v>
      </c>
      <c r="W49" s="28">
        <f>'[1]功能-行军令'!T49</f>
        <v>94.466986274591363</v>
      </c>
      <c r="X49" s="28">
        <f>'[1]功能-行军令'!U49</f>
        <v>104.93660520158119</v>
      </c>
      <c r="Y49" s="28">
        <f>'[1]功能-行军令'!V49</f>
        <v>87.833465751732092</v>
      </c>
      <c r="Z49" s="28">
        <f>'[1]功能-行军令'!W49</f>
        <v>46.913862458638619</v>
      </c>
      <c r="AC49" s="30">
        <v>46</v>
      </c>
      <c r="AD49" s="41">
        <f>'[1]功能-实力'!BE50</f>
        <v>1320192</v>
      </c>
      <c r="AE49" s="41">
        <f>'[1]功能-实力'!BF50</f>
        <v>1370754</v>
      </c>
      <c r="AF49" s="41">
        <f>'[1]功能-实力'!BG50</f>
        <v>1485144</v>
      </c>
      <c r="AG49" s="41">
        <f>'[1]功能-实力'!BH50</f>
        <v>1743378</v>
      </c>
      <c r="AH49" s="41">
        <f>'[1]功能-实力'!BI50</f>
        <v>1890660</v>
      </c>
      <c r="AL49" s="66" t="s">
        <v>175</v>
      </c>
      <c r="AM49" s="66"/>
      <c r="AO49" s="17"/>
      <c r="AP49" s="17"/>
      <c r="AQ49" s="17"/>
      <c r="AR49" s="17"/>
      <c r="AS49" s="17"/>
      <c r="AW49" s="32">
        <v>43</v>
      </c>
      <c r="AX49" s="32">
        <f>[1]节奏总纲!BJ46</f>
        <v>2.2666666666666688</v>
      </c>
      <c r="AY49" s="32">
        <f>[1]节奏总纲!BK46</f>
        <v>2.3120000000000021</v>
      </c>
      <c r="AZ49" s="32">
        <f>[1]节奏总纲!BL46</f>
        <v>2.4026666666666689</v>
      </c>
      <c r="BA49" s="32">
        <f>[1]节奏总纲!BM46</f>
        <v>2.5840000000000023</v>
      </c>
      <c r="BB49" s="32">
        <f>[1]节奏总纲!BN46</f>
        <v>3.173333333333336</v>
      </c>
      <c r="BF49" s="42">
        <f>'[1]功能-行军令'!FZ47</f>
        <v>43</v>
      </c>
      <c r="BG49" s="42">
        <f>'[1]功能-行军令'!GA47*'[1]功能-行军令'!GB47</f>
        <v>177.01552327490666</v>
      </c>
      <c r="BN49" s="49">
        <v>44</v>
      </c>
      <c r="BO49" s="17">
        <f>'[1]资源-木石铜粮'!U49</f>
        <v>305154492.19239032</v>
      </c>
      <c r="BP49" s="17">
        <f>'[1]资源-木石铜粮'!V49</f>
        <v>345816646.30139291</v>
      </c>
      <c r="BQ49" s="17">
        <f>'[1]资源-木石铜粮'!W49</f>
        <v>396322259.76691425</v>
      </c>
      <c r="BR49" s="17">
        <f>'[1]资源-木石铜粮'!X49</f>
        <v>387556239.44028324</v>
      </c>
      <c r="BS49" s="17">
        <f>'[1]资源-木石铜粮'!Y49</f>
        <v>366297511.77352703</v>
      </c>
      <c r="BV49" s="49">
        <v>44</v>
      </c>
      <c r="BW49" s="47">
        <f>'[1]功能-城建'!EQ47+[1]养成buff汇总!H49+'[1]功能-采集'!BS48+[2]产出汇总!AY49+[1]养成buff汇总!GY49</f>
        <v>175048314.43806532</v>
      </c>
      <c r="BX49" s="47">
        <f>'[1]功能-城建'!ER47+[1]养成buff汇总!I49+'[1]功能-采集'!BT48+[2]产出汇总!AZ49+[1]养成buff汇总!GZ49</f>
        <v>141632338.9807395</v>
      </c>
      <c r="BY49" s="47">
        <f>'[1]功能-城建'!ES47+[1]养成buff汇总!J49+'[1]功能-采集'!BU48+[2]产出汇总!BA49+[1]养成buff汇总!HA49</f>
        <v>137553835.77909827</v>
      </c>
      <c r="BZ49" s="47">
        <f>'[1]功能-城建'!ET47+[1]养成buff汇总!K49+'[1]功能-采集'!BV48+[2]产出汇总!BB49+[1]养成buff汇总!HB49</f>
        <v>97254001.656663597</v>
      </c>
      <c r="CA49" s="47">
        <f>'[1]功能-城建'!EU47+[1]养成buff汇总!L49+'[1]功能-采集'!BW48+[2]产出汇总!BC49+[1]养成buff汇总!HC49</f>
        <v>69728977.701172128</v>
      </c>
      <c r="CD49" s="49">
        <v>44</v>
      </c>
      <c r="CE49" s="44">
        <f>'[1]资源-铁'!T49</f>
        <v>303137.66209305951</v>
      </c>
      <c r="CF49" s="44">
        <f>'[1]资源-铁'!U49</f>
        <v>549965.06207246706</v>
      </c>
      <c r="CG49" s="44">
        <f>'[1]资源-铁'!V49</f>
        <v>1020341.0800644408</v>
      </c>
      <c r="CH49" s="44">
        <f>'[1]资源-铁'!W49</f>
        <v>3948539.5026897378</v>
      </c>
      <c r="CI49" s="44">
        <f>'[1]资源-铁'!X49</f>
        <v>14393224.964906026</v>
      </c>
      <c r="CL49" s="49">
        <v>44</v>
      </c>
      <c r="CM49" s="44">
        <f>'[1]功能-城建'!HF47+[1]养成buff汇总!S49+'[1]功能-采集'!BX48</f>
        <v>456449.31101588276</v>
      </c>
      <c r="CN49" s="44">
        <f>'[1]功能-城建'!HG47+[1]养成buff汇总!T49+'[1]功能-采集'!BY48</f>
        <v>575255.38341231097</v>
      </c>
      <c r="CO49" s="44">
        <f>'[1]功能-城建'!HH47+[1]养成buff汇总!U49+'[1]功能-采集'!BZ48</f>
        <v>713211.7365529848</v>
      </c>
      <c r="CP49" s="44">
        <f>'[1]功能-城建'!HI47+[1]养成buff汇总!V49+'[1]功能-采集'!CA48</f>
        <v>642336.82595800317</v>
      </c>
      <c r="CQ49" s="44">
        <f>'[1]功能-城建'!HJ47+[1]养成buff汇总!W49+'[1]功能-采集'!CB48</f>
        <v>526402.40462771361</v>
      </c>
      <c r="CT49" s="49">
        <v>44</v>
      </c>
      <c r="CU49" s="17">
        <f>'[1]资源-玩家城池建筑时间'!AJ49+CU48</f>
        <v>9122048.1084645465</v>
      </c>
      <c r="CV49" s="17">
        <f>'[1]资源-玩家城池建筑时间'!AK49+CV48</f>
        <v>10077721.790919019</v>
      </c>
      <c r="CW49" s="17">
        <f>'[1]资源-玩家城池建筑时间'!AL49+CW48</f>
        <v>11232587.489297766</v>
      </c>
      <c r="CX49" s="17">
        <f>'[1]资源-玩家城池建筑时间'!AM49+CX48</f>
        <v>12662785.171461506</v>
      </c>
      <c r="CY49" s="17">
        <f>'[1]资源-玩家城池建筑时间'!AN49+CY48</f>
        <v>14441509.811219551</v>
      </c>
      <c r="DB49" s="49">
        <v>44</v>
      </c>
      <c r="DC49" s="17">
        <f>'[1]资源-士兵训练时间'!U49</f>
        <v>2394290.8897979781</v>
      </c>
      <c r="DD49" s="17">
        <f>'[1]资源-士兵训练时间'!V49</f>
        <v>3609029.3363476857</v>
      </c>
      <c r="DE49" s="17">
        <f>'[1]资源-士兵训练时间'!W49</f>
        <v>5151809.8674834892</v>
      </c>
      <c r="DF49" s="17">
        <f>'[1]资源-士兵训练时间'!X49</f>
        <v>7127858.5084736329</v>
      </c>
      <c r="DG49" s="17">
        <f>'[1]资源-士兵训练时间'!Y49</f>
        <v>11045840.339611851</v>
      </c>
    </row>
    <row r="50" spans="2:111" x14ac:dyDescent="0.15">
      <c r="B50" s="23">
        <v>47</v>
      </c>
      <c r="C50" s="24">
        <f>'[1]资源-钻石'!L50</f>
        <v>167978.3754404111</v>
      </c>
      <c r="D50" s="24">
        <f>'[1]资源-钻石'!M50</f>
        <v>204997.35129277926</v>
      </c>
      <c r="E50" s="24">
        <f>'[1]资源-钻石'!N50</f>
        <v>282683.35601588583</v>
      </c>
      <c r="F50" s="24">
        <f>'[1]资源-钻石'!O50</f>
        <v>560860.54442200926</v>
      </c>
      <c r="G50" s="24">
        <f>'[1]资源-钻石'!P50</f>
        <v>796191.61614817532</v>
      </c>
      <c r="I50" s="23">
        <v>47</v>
      </c>
      <c r="J50" s="24">
        <f>'[1]资源-钻石'!T50</f>
        <v>297123.54245142062</v>
      </c>
      <c r="K50" s="24">
        <f>'[1]资源-钻石'!U50</f>
        <v>408315.8966965627</v>
      </c>
      <c r="L50" s="24">
        <f>'[1]资源-钻石'!V50</f>
        <v>665069.486366219</v>
      </c>
      <c r="M50" s="24">
        <f>'[1]资源-钻石'!W50</f>
        <v>1702546.4350028408</v>
      </c>
      <c r="N50" s="24">
        <f>'[1]资源-钻石'!X50</f>
        <v>3999768.5785031244</v>
      </c>
      <c r="P50" s="28">
        <v>47</v>
      </c>
      <c r="Q50" s="28">
        <f>'[1]功能-行军令'!N50</f>
        <v>1149.6355274363787</v>
      </c>
      <c r="R50" s="28">
        <f>'[1]功能-行军令'!O50</f>
        <v>1462.1464511162799</v>
      </c>
      <c r="S50" s="28">
        <f>'[1]功能-行军令'!P50</f>
        <v>1637.7082921941562</v>
      </c>
      <c r="T50" s="28">
        <f>'[1]功能-行军令'!Q50</f>
        <v>1373.584528180985</v>
      </c>
      <c r="U50" s="28">
        <f>'[1]功能-行军令'!R50</f>
        <v>766.59196494058733</v>
      </c>
      <c r="V50" s="28">
        <f>'[1]功能-行军令'!S50</f>
        <v>80.068134484726215</v>
      </c>
      <c r="W50" s="28">
        <f>'[1]功能-行军令'!T50</f>
        <v>101.36608396847578</v>
      </c>
      <c r="X50" s="28">
        <f>'[1]功能-行军令'!U50</f>
        <v>112.79118286538915</v>
      </c>
      <c r="Y50" s="28">
        <f>'[1]功能-行军令'!V50</f>
        <v>93.749486361063418</v>
      </c>
      <c r="Z50" s="28">
        <f>'[1]功能-行军令'!W50</f>
        <v>50.277105269295248</v>
      </c>
      <c r="AC50" s="30">
        <v>47</v>
      </c>
      <c r="AD50" s="41">
        <f>'[1]功能-实力'!BE51</f>
        <v>1372248</v>
      </c>
      <c r="AE50" s="41">
        <f>'[1]功能-实力'!BF51</f>
        <v>1425690</v>
      </c>
      <c r="AF50" s="41">
        <f>'[1]功能-实力'!BG51</f>
        <v>1545618</v>
      </c>
      <c r="AG50" s="41">
        <f>'[1]功能-实力'!BH51</f>
        <v>1819440</v>
      </c>
      <c r="AH50" s="41">
        <f>'[1]功能-实力'!BI51</f>
        <v>1973934</v>
      </c>
      <c r="AL50" s="66"/>
      <c r="AM50" s="66"/>
      <c r="AO50" s="66" t="s">
        <v>172</v>
      </c>
      <c r="AP50" s="66"/>
      <c r="AQ50" s="66"/>
      <c r="AR50" s="66"/>
      <c r="AS50" s="66"/>
      <c r="AW50" s="32">
        <v>44</v>
      </c>
      <c r="AX50" s="32">
        <f>[1]节奏总纲!BJ47</f>
        <v>2.300000000000002</v>
      </c>
      <c r="AY50" s="32">
        <f>[1]节奏总纲!BK47</f>
        <v>2.3460000000000023</v>
      </c>
      <c r="AZ50" s="32">
        <f>[1]节奏总纲!BL47</f>
        <v>2.4380000000000024</v>
      </c>
      <c r="BA50" s="32">
        <f>[1]节奏总纲!BM47</f>
        <v>2.6220000000000021</v>
      </c>
      <c r="BB50" s="32">
        <f>[1]节奏总纲!BN47</f>
        <v>3.2200000000000029</v>
      </c>
      <c r="BF50" s="42">
        <f>'[1]功能-行军令'!FZ48</f>
        <v>44</v>
      </c>
      <c r="BG50" s="42">
        <f>'[1]功能-行军令'!GA48*'[1]功能-行军令'!GB48</f>
        <v>180.55583374040481</v>
      </c>
      <c r="BN50" s="49">
        <v>45</v>
      </c>
      <c r="BO50" s="17">
        <f>'[1]资源-木石铜粮'!U50</f>
        <v>340943955.79640591</v>
      </c>
      <c r="BP50" s="17">
        <f>'[1]资源-木石铜粮'!V50</f>
        <v>385465203.59039509</v>
      </c>
      <c r="BQ50" s="17">
        <f>'[1]资源-木石铜粮'!W50</f>
        <v>439909247.1285376</v>
      </c>
      <c r="BR50" s="17">
        <f>'[1]资源-木石铜粮'!X50</f>
        <v>431430584.02931094</v>
      </c>
      <c r="BS50" s="17">
        <f>'[1]资源-木石铜粮'!Y50</f>
        <v>408762901.19209027</v>
      </c>
      <c r="BV50" s="49">
        <v>45</v>
      </c>
      <c r="BW50" s="47">
        <f>'[1]功能-城建'!EQ48+[1]养成buff汇总!H50+'[1]功能-采集'!BS49+[2]产出汇总!AY50+[1]养成buff汇总!GY50</f>
        <v>197814243.23910394</v>
      </c>
      <c r="BX50" s="47">
        <f>'[1]功能-城建'!ER48+[1]养成buff汇总!I50+'[1]功能-采集'!BT49+[2]产出汇总!AZ50+[1]养成buff汇总!GZ50</f>
        <v>159368193.98566633</v>
      </c>
      <c r="BY50" s="47">
        <f>'[1]功能-城建'!ES48+[1]养成buff汇总!J50+'[1]功能-采集'!BU49+[2]产出汇总!BA50+[1]养成buff汇总!HA50</f>
        <v>155061364.73329991</v>
      </c>
      <c r="BZ50" s="47">
        <f>'[1]功能-城建'!ET48+[1]养成buff汇总!K50+'[1]功能-采集'!BV49+[2]产出汇总!BB50+[1]养成buff汇总!HB50</f>
        <v>109179381.82437879</v>
      </c>
      <c r="CA50" s="47">
        <f>'[1]功能-城建'!EU48+[1]养成buff汇总!L50+'[1]功能-采集'!BW49+[2]产出汇总!BC50+[1]养成buff汇总!HC50</f>
        <v>78369217.702118263</v>
      </c>
      <c r="CD50" s="49">
        <v>45</v>
      </c>
      <c r="CE50" s="44">
        <f>'[1]资源-铁'!T50</f>
        <v>441935.42450816731</v>
      </c>
      <c r="CF50" s="44">
        <f>'[1]资源-铁'!U50</f>
        <v>736442.55242097634</v>
      </c>
      <c r="CG50" s="44">
        <f>'[1]资源-铁'!V50</f>
        <v>2558267.6261592591</v>
      </c>
      <c r="CH50" s="44">
        <f>'[1]资源-铁'!W50</f>
        <v>7205419.3850918394</v>
      </c>
      <c r="CI50" s="44">
        <f>'[1]资源-铁'!X50</f>
        <v>22958111.735381264</v>
      </c>
      <c r="CL50" s="49">
        <v>45</v>
      </c>
      <c r="CM50" s="44">
        <f>'[1]功能-城建'!HF48+[1]养成buff汇总!S50+'[1]功能-采集'!BX49</f>
        <v>724180.59367817291</v>
      </c>
      <c r="CN50" s="44">
        <f>'[1]功能-城建'!HG48+[1]养成buff汇总!T50+'[1]功能-采集'!BY49</f>
        <v>792968.23573187471</v>
      </c>
      <c r="CO50" s="44">
        <f>'[1]功能-城建'!HH48+[1]养成buff汇总!U50+'[1]功能-采集'!BZ49</f>
        <v>940365.53562010638</v>
      </c>
      <c r="CP50" s="44">
        <f>'[1]功能-城建'!HI48+[1]养成buff汇总!V50+'[1]功能-采集'!CA49</f>
        <v>820123.33472850593</v>
      </c>
      <c r="CQ50" s="44">
        <f>'[1]功能-城建'!HJ48+[1]养成buff汇总!W50+'[1]功能-采集'!CB49</f>
        <v>670574.50519296888</v>
      </c>
      <c r="CT50" s="49">
        <v>45</v>
      </c>
      <c r="CU50" s="17">
        <f>'[1]资源-玩家城池建筑时间'!AJ50+CU49</f>
        <v>9902128.9070730768</v>
      </c>
      <c r="CV50" s="17">
        <f>'[1]资源-玩家城池建筑时间'!AK50+CV49</f>
        <v>10933747.322395945</v>
      </c>
      <c r="CW50" s="17">
        <f>'[1]资源-玩家城池建筑时间'!AL50+CW49</f>
        <v>12182396.508428434</v>
      </c>
      <c r="CX50" s="17">
        <f>'[1]资源-玩家城池建筑时间'!AM50+CX49</f>
        <v>13726450.382019466</v>
      </c>
      <c r="CY50" s="17">
        <f>'[1]资源-玩家城池建筑时间'!AN50+CY49</f>
        <v>15632555.768874135</v>
      </c>
      <c r="DB50" s="49">
        <v>45</v>
      </c>
      <c r="DC50" s="17">
        <f>'[1]资源-士兵训练时间'!U50</f>
        <v>2648315.237737726</v>
      </c>
      <c r="DD50" s="17">
        <f>'[1]资源-士兵训练时间'!V50</f>
        <v>3989002.8434226019</v>
      </c>
      <c r="DE50" s="17">
        <f>'[1]资源-士兵训练时间'!W50</f>
        <v>5675176.7519235387</v>
      </c>
      <c r="DF50" s="17">
        <f>'[1]资源-士兵训练时间'!X50</f>
        <v>7825231.4836671473</v>
      </c>
      <c r="DG50" s="17">
        <f>'[1]资源-士兵训练时间'!Y50</f>
        <v>12065554.72115745</v>
      </c>
    </row>
    <row r="51" spans="2:111" x14ac:dyDescent="0.15">
      <c r="B51" s="23">
        <v>48</v>
      </c>
      <c r="C51" s="24">
        <f>'[1]资源-钻石'!L51</f>
        <v>178585.53133880626</v>
      </c>
      <c r="D51" s="24">
        <f>'[1]资源-钻石'!M51</f>
        <v>217541.1175662356</v>
      </c>
      <c r="E51" s="24">
        <f>'[1]资源-钻石'!N51</f>
        <v>299722.54833621066</v>
      </c>
      <c r="F51" s="24">
        <f>'[1]资源-钻石'!O51</f>
        <v>593914.96279569459</v>
      </c>
      <c r="G51" s="24">
        <f>'[1]资源-钻石'!P51</f>
        <v>841293.44046219846</v>
      </c>
      <c r="I51" s="23">
        <v>48</v>
      </c>
      <c r="J51" s="24">
        <f>'[1]资源-钻石'!T51</f>
        <v>303045.36321846873</v>
      </c>
      <c r="K51" s="24">
        <f>'[1]资源-钻石'!U51</f>
        <v>416509.89954031562</v>
      </c>
      <c r="L51" s="24">
        <f>'[1]资源-钻石'!V51</f>
        <v>678534.88949434715</v>
      </c>
      <c r="M51" s="24">
        <f>'[1]资源-钻石'!W51</f>
        <v>1737378.3784437818</v>
      </c>
      <c r="N51" s="24">
        <f>'[1]资源-钻石'!X51</f>
        <v>4081938.7162881596</v>
      </c>
      <c r="P51" s="28">
        <v>48</v>
      </c>
      <c r="Q51" s="28">
        <f>'[1]功能-行军令'!N51</f>
        <v>1235.4504291718947</v>
      </c>
      <c r="R51" s="28">
        <f>'[1]功能-行军令'!O51</f>
        <v>1569.4893676019494</v>
      </c>
      <c r="S51" s="28">
        <f>'[1]功能-行军令'!P51</f>
        <v>1758.9779200570902</v>
      </c>
      <c r="T51" s="28">
        <f>'[1]功能-行军令'!Q51</f>
        <v>1469.7536030643444</v>
      </c>
      <c r="U51" s="28">
        <f>'[1]功能-行军令'!R51</f>
        <v>819.941592223361</v>
      </c>
      <c r="V51" s="28">
        <f>'[1]功能-行军令'!S51</f>
        <v>85.814901735516059</v>
      </c>
      <c r="W51" s="28">
        <f>'[1]功能-行军令'!T51</f>
        <v>107.34291648566955</v>
      </c>
      <c r="X51" s="28">
        <f>'[1]功能-行军令'!U51</f>
        <v>121.26962786293393</v>
      </c>
      <c r="Y51" s="28">
        <f>'[1]功能-行军令'!V51</f>
        <v>96.169074883359372</v>
      </c>
      <c r="Z51" s="28">
        <f>'[1]功能-行军令'!W51</f>
        <v>53.349627282773668</v>
      </c>
      <c r="AC51" s="30">
        <v>48</v>
      </c>
      <c r="AD51" s="41">
        <f>'[1]功能-实力'!BE52</f>
        <v>1426350</v>
      </c>
      <c r="AE51" s="41">
        <f>'[1]功能-实力'!BF52</f>
        <v>1481112</v>
      </c>
      <c r="AF51" s="41">
        <f>'[1]功能-实力'!BG52</f>
        <v>1607292</v>
      </c>
      <c r="AG51" s="41">
        <f>'[1]功能-实力'!BH52</f>
        <v>1897182</v>
      </c>
      <c r="AH51" s="41">
        <f>'[1]功能-实力'!BI52</f>
        <v>2059668</v>
      </c>
      <c r="AL51" s="37" t="s">
        <v>173</v>
      </c>
      <c r="AM51" s="37" t="s">
        <v>174</v>
      </c>
      <c r="AO51" s="37" t="s">
        <v>25</v>
      </c>
      <c r="AP51" s="37" t="s">
        <v>1</v>
      </c>
      <c r="AQ51" s="37" t="s">
        <v>2</v>
      </c>
      <c r="AR51" s="37" t="s">
        <v>0</v>
      </c>
      <c r="AS51" s="37" t="s">
        <v>169</v>
      </c>
      <c r="AW51" s="32">
        <v>45</v>
      </c>
      <c r="AX51" s="32">
        <f>[1]节奏总纲!BJ48</f>
        <v>2.3333333333333353</v>
      </c>
      <c r="AY51" s="32">
        <f>[1]节奏总纲!BK48</f>
        <v>2.3800000000000021</v>
      </c>
      <c r="AZ51" s="32">
        <f>[1]节奏总纲!BL48</f>
        <v>2.4733333333333354</v>
      </c>
      <c r="BA51" s="32">
        <f>[1]节奏总纲!BM48</f>
        <v>2.6600000000000019</v>
      </c>
      <c r="BB51" s="32">
        <f>[1]节奏总纲!BN48</f>
        <v>3.2666666666666693</v>
      </c>
      <c r="BF51" s="42">
        <f>'[1]功能-行军令'!FZ49</f>
        <v>45</v>
      </c>
      <c r="BG51" s="42">
        <f>'[1]功能-行军令'!GA49*'[1]功能-行军令'!GB49</f>
        <v>184.16695041521291</v>
      </c>
      <c r="BN51" s="49">
        <v>46</v>
      </c>
      <c r="BO51" s="17">
        <f>'[1]资源-木石铜粮'!U51</f>
        <v>380389219.47577751</v>
      </c>
      <c r="BP51" s="17">
        <f>'[1]资源-木石铜粮'!V51</f>
        <v>429059268.83428407</v>
      </c>
      <c r="BQ51" s="17">
        <f>'[1]资源-木石铜粮'!W51</f>
        <v>487731255.36283082</v>
      </c>
      <c r="BR51" s="17">
        <f>'[1]资源-木石铜粮'!X51</f>
        <v>480010569.41506469</v>
      </c>
      <c r="BS51" s="17">
        <f>'[1]资源-木石铜粮'!Y51</f>
        <v>454471765.90463632</v>
      </c>
      <c r="BV51" s="49">
        <v>46</v>
      </c>
      <c r="BW51" s="47">
        <f>'[1]功能-城建'!EQ49+[1]养成buff汇总!H51+'[1]功能-采集'!BS50+[2]产出汇总!AY51+[1]养成buff汇总!GY51</f>
        <v>222978128.54269513</v>
      </c>
      <c r="BX51" s="47">
        <f>'[1]功能-城建'!ER49+[1]养成buff汇总!I51+'[1]功能-采集'!BT50+[2]产出汇总!AZ51+[1]养成buff汇总!GZ51</f>
        <v>178911275.30479735</v>
      </c>
      <c r="BY51" s="47">
        <f>'[1]功能-城建'!ES49+[1]养成buff汇总!J51+'[1]功能-采集'!BU50+[2]产出汇总!BA51+[1]养成buff汇总!HA51</f>
        <v>174198915.12809232</v>
      </c>
      <c r="BZ51" s="47">
        <f>'[1]功能-城建'!ET49+[1]养成buff汇总!K51+'[1]功能-采集'!BV50+[2]产出汇总!BB51+[1]养成buff汇总!HB51</f>
        <v>122254139.12228417</v>
      </c>
      <c r="CA51" s="47">
        <f>'[1]功能-城建'!EU49+[1]养成buff汇总!L51+'[1]功能-采集'!BW50+[2]产出汇总!BC51+[1]养成buff汇总!HC51</f>
        <v>87563022.187860042</v>
      </c>
      <c r="CD51" s="49">
        <v>46</v>
      </c>
      <c r="CE51" s="44">
        <f>'[1]资源-铁'!T51</f>
        <v>602406.39315944025</v>
      </c>
      <c r="CF51" s="44">
        <f>'[1]资源-铁'!U51</f>
        <v>1696477.8798057451</v>
      </c>
      <c r="CG51" s="44">
        <f>'[1]资源-铁'!V51</f>
        <v>4195469.1651304523</v>
      </c>
      <c r="CH51" s="44">
        <f>'[1]资源-铁'!W51</f>
        <v>13816373.889953442</v>
      </c>
      <c r="CI51" s="44">
        <f>'[1]资源-铁'!X51</f>
        <v>36345309.094600663</v>
      </c>
      <c r="CL51" s="49">
        <v>46</v>
      </c>
      <c r="CM51" s="44">
        <f>'[1]功能-城建'!HF49+[1]养成buff汇总!S51+'[1]功能-采集'!BX50</f>
        <v>1017756.1588750198</v>
      </c>
      <c r="CN51" s="44">
        <f>'[1]功能-城建'!HG49+[1]养成buff汇总!T51+'[1]功能-采集'!BY50</f>
        <v>1051652.6030572949</v>
      </c>
      <c r="CO51" s="44">
        <f>'[1]功能-城建'!HH49+[1]养成buff汇总!U51+'[1]功能-采集'!BZ50</f>
        <v>1183297.2479168095</v>
      </c>
      <c r="CP51" s="44">
        <f>'[1]功能-城建'!HI49+[1]养成buff汇总!V51+'[1]功能-采集'!CA50</f>
        <v>1073083.7160934946</v>
      </c>
      <c r="CQ51" s="44">
        <f>'[1]功能-城建'!HJ49+[1]养成buff汇总!W51+'[1]功能-采集'!CB50</f>
        <v>871444.18032667134</v>
      </c>
      <c r="CT51" s="49">
        <v>46</v>
      </c>
      <c r="CU51" s="17">
        <f>'[1]资源-玩家城池建筑时间'!AJ51+CU50</f>
        <v>10740736.633548068</v>
      </c>
      <c r="CV51" s="17">
        <f>'[1]资源-玩家城池建筑时间'!AK51+CV50</f>
        <v>11856595.527632106</v>
      </c>
      <c r="CW51" s="17">
        <f>'[1]资源-玩家城池建筑时间'!AL51+CW50</f>
        <v>13193516.832606504</v>
      </c>
      <c r="CX51" s="17">
        <f>'[1]资源-玩家城池建筑时间'!AM51+CX50</f>
        <v>14866909.272321902</v>
      </c>
      <c r="CY51" s="17">
        <f>'[1]资源-玩家城池建筑时间'!AN51+CY50</f>
        <v>16863770.889864352</v>
      </c>
      <c r="DB51" s="49">
        <v>46</v>
      </c>
      <c r="DC51" s="17">
        <f>'[1]资源-士兵训练时间'!U51</f>
        <v>2927496.79293537</v>
      </c>
      <c r="DD51" s="17">
        <f>'[1]资源-士兵训练时间'!V51</f>
        <v>4396522.2605684046</v>
      </c>
      <c r="DE51" s="17">
        <f>'[1]资源-士兵训练时间'!W51</f>
        <v>6232327.5929878168</v>
      </c>
      <c r="DF51" s="17">
        <f>'[1]资源-士兵训练时间'!X51</f>
        <v>8557534.6692803651</v>
      </c>
      <c r="DG51" s="17">
        <f>'[1]资源-士兵训练时间'!Y51</f>
        <v>13158316.116982326</v>
      </c>
    </row>
    <row r="52" spans="2:111" x14ac:dyDescent="0.15">
      <c r="B52" s="23">
        <v>49</v>
      </c>
      <c r="C52" s="24">
        <f>'[1]资源-钻石'!L52</f>
        <v>189953.99954369152</v>
      </c>
      <c r="D52" s="24">
        <f>'[1]资源-钻石'!M52</f>
        <v>231172.31750732509</v>
      </c>
      <c r="E52" s="24">
        <f>'[1]资源-钻石'!N52</f>
        <v>317494.44915415545</v>
      </c>
      <c r="F52" s="24">
        <f>'[1]资源-钻石'!O52</f>
        <v>626709.54735910101</v>
      </c>
      <c r="G52" s="24">
        <f>'[1]资源-钻石'!P52</f>
        <v>892395.20273107057</v>
      </c>
      <c r="I52" s="23">
        <v>49</v>
      </c>
      <c r="J52" s="24">
        <f>'[1]资源-钻石'!T52</f>
        <v>308967.18398551678</v>
      </c>
      <c r="K52" s="24">
        <f>'[1]资源-钻石'!U52</f>
        <v>424703.90238406853</v>
      </c>
      <c r="L52" s="24">
        <f>'[1]资源-钻石'!V52</f>
        <v>692000.29262247542</v>
      </c>
      <c r="M52" s="24">
        <f>'[1]资源-钻石'!W52</f>
        <v>1772210.3218847229</v>
      </c>
      <c r="N52" s="24">
        <f>'[1]资源-钻石'!X52</f>
        <v>4164108.8540731948</v>
      </c>
      <c r="P52" s="28">
        <v>49</v>
      </c>
      <c r="Q52" s="28">
        <f>'[1]功能-行军令'!N52</f>
        <v>1327.4245635421805</v>
      </c>
      <c r="R52" s="28">
        <f>'[1]功能-行军令'!O52</f>
        <v>1686.1379661948713</v>
      </c>
      <c r="S52" s="28">
        <f>'[1]功能-行军令'!P52</f>
        <v>1885.4623072330214</v>
      </c>
      <c r="T52" s="28">
        <f>'[1]功能-行军令'!Q52</f>
        <v>1572.6316231897233</v>
      </c>
      <c r="U52" s="28">
        <f>'[1]功能-行军令'!R52</f>
        <v>880.3883704191951</v>
      </c>
      <c r="V52" s="28">
        <f>'[1]功能-行军令'!S52</f>
        <v>91.97413437028581</v>
      </c>
      <c r="W52" s="28">
        <f>'[1]功能-行军令'!T52</f>
        <v>116.64859859292187</v>
      </c>
      <c r="X52" s="28">
        <f>'[1]功能-行军令'!U52</f>
        <v>126.48438717593126</v>
      </c>
      <c r="Y52" s="28">
        <f>'[1]功能-行军令'!V52</f>
        <v>102.87802012537895</v>
      </c>
      <c r="Z52" s="28">
        <f>'[1]功能-行军令'!W52</f>
        <v>60.446778195834099</v>
      </c>
      <c r="AC52" s="30">
        <v>49</v>
      </c>
      <c r="AD52" s="41">
        <f>'[1]功能-实力'!BE53</f>
        <v>1481820</v>
      </c>
      <c r="AE52" s="41">
        <f>'[1]功能-实力'!BF53</f>
        <v>1536402</v>
      </c>
      <c r="AF52" s="41">
        <f>'[1]功能-实力'!BG53</f>
        <v>1670304</v>
      </c>
      <c r="AG52" s="41">
        <f>'[1]功能-实力'!BH53</f>
        <v>1976268</v>
      </c>
      <c r="AH52" s="41">
        <f>'[1]功能-实力'!BI53</f>
        <v>2147238</v>
      </c>
      <c r="AL52" s="37">
        <f>[3]基础状态预期!C62</f>
        <v>0.85</v>
      </c>
      <c r="AM52" s="37">
        <f>[3]基础状态预期!D62</f>
        <v>9.9592453074578113</v>
      </c>
      <c r="AO52" s="37">
        <f>[3]基础状态预期!F62</f>
        <v>0</v>
      </c>
      <c r="AP52" s="37">
        <f>[3]基础状态预期!G62</f>
        <v>0</v>
      </c>
      <c r="AQ52" s="37">
        <f>[3]基础状态预期!H62</f>
        <v>2</v>
      </c>
      <c r="AR52" s="37">
        <f>[3]基础状态预期!I62</f>
        <v>4</v>
      </c>
      <c r="AS52" s="37">
        <f>[3]基础状态预期!J62</f>
        <v>0</v>
      </c>
      <c r="AW52" s="32">
        <v>46</v>
      </c>
      <c r="AX52" s="32">
        <f>[1]节奏总纲!BJ49</f>
        <v>2.3666666666666685</v>
      </c>
      <c r="AY52" s="32">
        <f>[1]节奏总纲!BK49</f>
        <v>2.4140000000000019</v>
      </c>
      <c r="AZ52" s="32">
        <f>[1]节奏总纲!BL49</f>
        <v>2.5086666666666688</v>
      </c>
      <c r="BA52" s="32">
        <f>[1]节奏总纲!BM49</f>
        <v>2.6980000000000017</v>
      </c>
      <c r="BB52" s="32">
        <f>[1]节奏总纲!BN49</f>
        <v>3.3133333333333357</v>
      </c>
      <c r="BF52" s="42">
        <f>'[1]功能-行军令'!FZ50</f>
        <v>46</v>
      </c>
      <c r="BG52" s="42">
        <f>'[1]功能-行军令'!GA50*'[1]功能-行军令'!GB50</f>
        <v>187.85028942351715</v>
      </c>
      <c r="BN52" s="49">
        <v>47</v>
      </c>
      <c r="BO52" s="17">
        <f>'[1]资源-木石铜粮'!U52</f>
        <v>424007576.41035068</v>
      </c>
      <c r="BP52" s="17">
        <f>'[1]资源-木石铜粮'!V52</f>
        <v>477373435.92963409</v>
      </c>
      <c r="BQ52" s="17">
        <f>'[1]资源-木石铜粮'!W52</f>
        <v>541195549.99969745</v>
      </c>
      <c r="BR52" s="17">
        <f>'[1]资源-木石铜粮'!X52</f>
        <v>533374061.31928515</v>
      </c>
      <c r="BS52" s="17">
        <f>'[1]资源-木石铜粮'!Y52</f>
        <v>504818913.65800017</v>
      </c>
      <c r="BV52" s="49">
        <v>47</v>
      </c>
      <c r="BW52" s="47">
        <f>'[1]功能-城建'!EQ50+[1]养成buff汇总!H52+'[1]功能-采集'!BS51+[2]产出汇总!AY52+[1]养成buff汇总!GY52</f>
        <v>250952548.23160818</v>
      </c>
      <c r="BX52" s="47">
        <f>'[1]功能-城建'!ER50+[1]养成buff汇总!I52+'[1]功能-采集'!BT51+[2]产出汇总!AZ52+[1]养成buff汇总!GZ52</f>
        <v>200456983.95045507</v>
      </c>
      <c r="BY52" s="47">
        <f>'[1]功能-城建'!ES50+[1]养成buff汇总!J52+'[1]功能-采集'!BU51+[2]产出汇总!BA52+[1]养成buff汇总!HA52</f>
        <v>195593793.79893184</v>
      </c>
      <c r="BZ52" s="47">
        <f>'[1]功能-城建'!ET50+[1]养成buff汇总!K52+'[1]功能-采集'!BV51+[2]产出汇总!BB52+[1]养成buff汇总!HB52</f>
        <v>136564457.83485863</v>
      </c>
      <c r="CA52" s="47">
        <f>'[1]功能-城建'!EU50+[1]养成buff汇总!L52+'[1]功能-采集'!BW51+[2]产出汇总!BC52+[1]养成buff汇总!HC52</f>
        <v>97776158.883635283</v>
      </c>
      <c r="CD52" s="49">
        <v>47</v>
      </c>
      <c r="CE52" s="44">
        <f>'[1]资源-铁'!T52</f>
        <v>1177112.1884338553</v>
      </c>
      <c r="CF52" s="44">
        <f>'[1]资源-铁'!U52</f>
        <v>3006440.0342465546</v>
      </c>
      <c r="CG52" s="44">
        <f>'[1]资源-铁'!V52</f>
        <v>8939489.1752577536</v>
      </c>
      <c r="CH52" s="44">
        <f>'[1]资源-铁'!W52</f>
        <v>20872609.049100749</v>
      </c>
      <c r="CI52" s="44">
        <f>'[1]资源-铁'!X52</f>
        <v>53714561.850938261</v>
      </c>
      <c r="CL52" s="49">
        <v>47</v>
      </c>
      <c r="CM52" s="44">
        <f>'[1]功能-城建'!HF50+[1]养成buff汇总!S52+'[1]功能-采集'!BX51</f>
        <v>1360220.9398733012</v>
      </c>
      <c r="CN52" s="44">
        <f>'[1]功能-城建'!HG50+[1]养成buff汇总!T52+'[1]功能-采集'!BY51</f>
        <v>1339229.6962024868</v>
      </c>
      <c r="CO52" s="44">
        <f>'[1]功能-城建'!HH50+[1]养成buff汇总!U52+'[1]功能-采集'!BZ51</f>
        <v>1562729.2278609728</v>
      </c>
      <c r="CP52" s="44">
        <f>'[1]功能-城建'!HI50+[1]养成buff汇总!V52+'[1]功能-采集'!CA51</f>
        <v>1343082.2368133576</v>
      </c>
      <c r="CQ52" s="44">
        <f>'[1]功能-城建'!HJ50+[1]养成buff汇总!W52+'[1]功能-采集'!CB51</f>
        <v>1122068.210426026</v>
      </c>
      <c r="CT52" s="49">
        <v>47</v>
      </c>
      <c r="CU52" s="17">
        <f>'[1]资源-玩家城池建筑时间'!AJ52+CU51</f>
        <v>11648461.482294587</v>
      </c>
      <c r="CV52" s="17">
        <f>'[1]资源-玩家城池建筑时间'!AK52+CV51</f>
        <v>12851534.291455068</v>
      </c>
      <c r="CW52" s="17">
        <f>'[1]资源-玩家城池建筑时间'!AL52+CW51</f>
        <v>14294882.465064988</v>
      </c>
      <c r="CX52" s="17">
        <f>'[1]资源-玩家城池建筑时间'!AM52+CX51</f>
        <v>16084183.739026561</v>
      </c>
      <c r="CY52" s="17">
        <f>'[1]资源-玩家城池建筑时间'!AN52+CY51</f>
        <v>18191695.006788168</v>
      </c>
      <c r="DB52" s="49">
        <v>47</v>
      </c>
      <c r="DC52" s="17">
        <f>'[1]资源-士兵训练时间'!U52</f>
        <v>3228579.6723815645</v>
      </c>
      <c r="DD52" s="17">
        <f>'[1]资源-士兵训练时间'!V52</f>
        <v>4835109.8002043255</v>
      </c>
      <c r="DE52" s="17">
        <f>'[1]资源-士兵训练时间'!W52</f>
        <v>6825190.8061358621</v>
      </c>
      <c r="DF52" s="17">
        <f>'[1]资源-士兵训练时间'!X52</f>
        <v>9339162.1153140068</v>
      </c>
      <c r="DG52" s="17">
        <f>'[1]资源-士兵训练时间'!Y52</f>
        <v>14361899.50315116</v>
      </c>
    </row>
    <row r="53" spans="2:111" x14ac:dyDescent="0.15">
      <c r="B53" s="23">
        <v>50</v>
      </c>
      <c r="C53" s="24">
        <f>'[1]资源-钻石'!L53</f>
        <v>202374.41017865125</v>
      </c>
      <c r="D53" s="24">
        <f>'[1]资源-钻石'!M53</f>
        <v>245804.41306146432</v>
      </c>
      <c r="E53" s="24">
        <f>'[1]资源-钻石'!N53</f>
        <v>336493.760877233</v>
      </c>
      <c r="F53" s="24">
        <f>'[1]资源-钻石'!O53</f>
        <v>663428.25948541798</v>
      </c>
      <c r="G53" s="24">
        <f>'[1]资源-钻石'!P53</f>
        <v>948205.89159943839</v>
      </c>
      <c r="I53" s="23">
        <v>50</v>
      </c>
      <c r="J53" s="24">
        <f>'[1]资源-钻石'!T53</f>
        <v>314889.00475256488</v>
      </c>
      <c r="K53" s="24">
        <f>'[1]资源-钻石'!U53</f>
        <v>432897.90522782144</v>
      </c>
      <c r="L53" s="24">
        <f>'[1]资源-钻石'!V53</f>
        <v>705465.69575060357</v>
      </c>
      <c r="M53" s="24">
        <f>'[1]资源-钻石'!W53</f>
        <v>1807042.2653256638</v>
      </c>
      <c r="N53" s="24">
        <f>'[1]资源-钻石'!X53</f>
        <v>4246278.99185823</v>
      </c>
      <c r="P53" s="28">
        <v>50</v>
      </c>
      <c r="Q53" s="28">
        <f>'[1]功能-行军令'!N53</f>
        <v>1426</v>
      </c>
      <c r="R53" s="28">
        <f>'[1]功能-行军令'!O53</f>
        <v>1811.3516999999999</v>
      </c>
      <c r="S53" s="28">
        <f>'[1]功能-行军令'!P53</f>
        <v>2020.6823000000002</v>
      </c>
      <c r="T53" s="28">
        <f>'[1]功能-行军令'!Q53</f>
        <v>1687.8197999999998</v>
      </c>
      <c r="U53" s="28">
        <f>'[1]功能-行军令'!R53</f>
        <v>946.40519999999992</v>
      </c>
      <c r="V53" s="28">
        <f>'[1]功能-行军令'!S53</f>
        <v>98.575436457819478</v>
      </c>
      <c r="W53" s="28">
        <f>'[1]功能-行军令'!T53</f>
        <v>125.21373380512864</v>
      </c>
      <c r="X53" s="28">
        <f>'[1]功能-行军令'!U53</f>
        <v>135.21999276697875</v>
      </c>
      <c r="Y53" s="28">
        <f>'[1]功能-行军令'!V53</f>
        <v>115.18817681027645</v>
      </c>
      <c r="Z53" s="28">
        <f>'[1]功能-行军令'!W53</f>
        <v>66.016829580804824</v>
      </c>
      <c r="AC53" s="30">
        <v>50</v>
      </c>
      <c r="AD53" s="41">
        <f>'[1]功能-实力'!BE54</f>
        <v>1539000</v>
      </c>
      <c r="AE53" s="41">
        <f>'[1]功能-实力'!BF54</f>
        <v>1599024</v>
      </c>
      <c r="AF53" s="41">
        <f>'[1]功能-实力'!BG54</f>
        <v>1777254</v>
      </c>
      <c r="AG53" s="41">
        <f>'[1]功能-实力'!BH54</f>
        <v>2054202</v>
      </c>
      <c r="AH53" s="41">
        <f>'[1]功能-实力'!BI54</f>
        <v>2237556</v>
      </c>
      <c r="AL53" s="37">
        <f>[3]基础状态预期!C63</f>
        <v>2.5499999999999998</v>
      </c>
      <c r="AM53" s="37">
        <f>[3]基础状态预期!D63</f>
        <v>19.766822802328868</v>
      </c>
      <c r="AO53" s="37">
        <f>[3]基础状态预期!F63</f>
        <v>0</v>
      </c>
      <c r="AP53" s="37">
        <f>[3]基础状态预期!G63</f>
        <v>0</v>
      </c>
      <c r="AQ53" s="37">
        <f>[3]基础状态预期!H63</f>
        <v>0</v>
      </c>
      <c r="AR53" s="37">
        <f>[3]基础状态预期!I63</f>
        <v>6</v>
      </c>
      <c r="AS53" s="37">
        <f>[3]基础状态预期!J63</f>
        <v>0</v>
      </c>
      <c r="AW53" s="32">
        <v>47</v>
      </c>
      <c r="AX53" s="32">
        <f>[1]节奏总纲!BJ50</f>
        <v>2.4000000000000017</v>
      </c>
      <c r="AY53" s="32">
        <f>[1]节奏总纲!BK50</f>
        <v>2.4480000000000017</v>
      </c>
      <c r="AZ53" s="32">
        <f>[1]节奏总纲!BL50</f>
        <v>2.5440000000000018</v>
      </c>
      <c r="BA53" s="32">
        <f>[1]节奏总纲!BM50</f>
        <v>2.7360000000000015</v>
      </c>
      <c r="BB53" s="32">
        <f>[1]节奏总纲!BN50</f>
        <v>3.3600000000000021</v>
      </c>
      <c r="BF53" s="42">
        <f>'[1]功能-行军令'!FZ51</f>
        <v>47</v>
      </c>
      <c r="BG53" s="42">
        <f>'[1]功能-行军令'!GA51*'[1]功能-行军令'!GB51</f>
        <v>191.60729521198749</v>
      </c>
      <c r="BN53" s="49">
        <v>48</v>
      </c>
      <c r="BO53" s="17">
        <f>'[1]资源-木石铜粮'!U53</f>
        <v>472388435.31252241</v>
      </c>
      <c r="BP53" s="17">
        <f>'[1]资源-木石铜粮'!V53</f>
        <v>530799013.85696918</v>
      </c>
      <c r="BQ53" s="17">
        <f>'[1]资源-木石铜粮'!W53</f>
        <v>600356072.38215673</v>
      </c>
      <c r="BR53" s="17">
        <f>'[1]资源-木石铜粮'!X53</f>
        <v>591246949.8728596</v>
      </c>
      <c r="BS53" s="17">
        <f>'[1]资源-木石铜粮'!Y53</f>
        <v>559928396.57250965</v>
      </c>
      <c r="BV53" s="49">
        <v>48</v>
      </c>
      <c r="BW53" s="47">
        <f>'[1]功能-城建'!EQ51+[1]养成buff汇总!H53+'[1]功能-采集'!BS52+[2]产出汇总!AY53+[1]养成buff汇总!GY53</f>
        <v>281975785.84211713</v>
      </c>
      <c r="BX53" s="47">
        <f>'[1]功能-城建'!ER51+[1]养成buff汇总!I53+'[1]功能-采集'!BT52+[2]产出汇总!AZ53+[1]养成buff汇总!GZ53</f>
        <v>224018683.70200178</v>
      </c>
      <c r="BY53" s="47">
        <f>'[1]功能-城建'!ES51+[1]养成buff汇总!J53+'[1]功能-采集'!BU52+[2]产出汇总!BA53+[1]养成buff汇总!HA53</f>
        <v>219364972.13285536</v>
      </c>
      <c r="BZ53" s="47">
        <f>'[1]功能-城建'!ET51+[1]养成buff汇总!K53+'[1]功能-采集'!BV52+[2]产出汇总!BB53+[1]养成buff汇总!HB53</f>
        <v>151861360.40777236</v>
      </c>
      <c r="CA53" s="47">
        <f>'[1]功能-城建'!EU51+[1]养成buff汇总!L53+'[1]功能-采集'!BW52+[2]产出汇总!BC53+[1]养成buff汇总!HC53</f>
        <v>108959549.64510851</v>
      </c>
      <c r="CD53" s="49">
        <v>48</v>
      </c>
      <c r="CE53" s="44">
        <f>'[1]资源-铁'!T53</f>
        <v>2180398.462117821</v>
      </c>
      <c r="CF53" s="44">
        <f>'[1]资源-铁'!U53</f>
        <v>5884778.4113672338</v>
      </c>
      <c r="CG53" s="44">
        <f>'[1]资源-铁'!V53</f>
        <v>14861677.374617156</v>
      </c>
      <c r="CH53" s="44">
        <f>'[1]资源-铁'!W53</f>
        <v>34119034.317449808</v>
      </c>
      <c r="CI53" s="44">
        <f>'[1]资源-铁'!X53</f>
        <v>73395960.240592808</v>
      </c>
      <c r="CL53" s="49">
        <v>48</v>
      </c>
      <c r="CM53" s="44">
        <f>'[1]功能-城建'!HF51+[1]养成buff汇总!S53+'[1]功能-采集'!BX52</f>
        <v>1754576.7729885904</v>
      </c>
      <c r="CN53" s="44">
        <f>'[1]功能-城建'!HG51+[1]养成buff汇总!T53+'[1]功能-采集'!BY52</f>
        <v>1723173.2033257678</v>
      </c>
      <c r="CO53" s="44">
        <f>'[1]功能-城建'!HH51+[1]养成buff汇总!U53+'[1]功能-采集'!BZ52</f>
        <v>2005103.9565140083</v>
      </c>
      <c r="CP53" s="44">
        <f>'[1]功能-城建'!HI51+[1]养成buff汇总!V53+'[1]功能-采集'!CA52</f>
        <v>1777459.7688705041</v>
      </c>
      <c r="CQ53" s="44">
        <f>'[1]功能-城建'!HJ51+[1]养成buff汇总!W53+'[1]功能-采集'!CB52</f>
        <v>1469007.5427927757</v>
      </c>
      <c r="CT53" s="49">
        <v>48</v>
      </c>
      <c r="CU53" s="17">
        <f>'[1]资源-玩家城池建筑时间'!AJ53+CU52</f>
        <v>12629923.168202609</v>
      </c>
      <c r="CV53" s="17">
        <f>'[1]资源-玩家城池建筑时间'!AK53+CV52</f>
        <v>13913385.391925484</v>
      </c>
      <c r="CW53" s="17">
        <f>'[1]资源-玩家城池建筑时间'!AL53+CW52</f>
        <v>15483046.038388252</v>
      </c>
      <c r="CX53" s="17">
        <f>'[1]资源-玩家城池建筑时间'!AM53+CX52</f>
        <v>17354030.822729934</v>
      </c>
      <c r="CY53" s="17">
        <f>'[1]资源-玩家城池建筑时间'!AN53+CY52</f>
        <v>19605579.90659155</v>
      </c>
      <c r="DB53" s="49">
        <v>48</v>
      </c>
      <c r="DC53" s="17">
        <f>'[1]资源-士兵训练时间'!U53</f>
        <v>3553064.6168735223</v>
      </c>
      <c r="DD53" s="17">
        <f>'[1]资源-士兵训练时间'!V53</f>
        <v>5296843.223682005</v>
      </c>
      <c r="DE53" s="17">
        <f>'[1]资源-士兵训练时间'!W53</f>
        <v>7460969.9481789032</v>
      </c>
      <c r="DF53" s="17">
        <f>'[1]资源-士兵训练时间'!X53</f>
        <v>10202002.766803658</v>
      </c>
      <c r="DG53" s="17">
        <f>'[1]资源-士兵训练时间'!Y53</f>
        <v>15647964.307316016</v>
      </c>
    </row>
    <row r="54" spans="2:111" x14ac:dyDescent="0.15">
      <c r="B54" s="23">
        <v>51</v>
      </c>
      <c r="C54" s="24">
        <f>'[1]资源-钻石'!L54</f>
        <v>215975.35676970295</v>
      </c>
      <c r="D54" s="24">
        <f>'[1]资源-钻石'!M54</f>
        <v>260626.414210908</v>
      </c>
      <c r="E54" s="24">
        <f>'[1]资源-钻石'!N54</f>
        <v>356677.51508766564</v>
      </c>
      <c r="F54" s="24">
        <f>'[1]资源-钻石'!O54</f>
        <v>702852.84206888871</v>
      </c>
      <c r="G54" s="24">
        <f>'[1]资源-钻石'!P54</f>
        <v>1005454.133380581</v>
      </c>
      <c r="I54" s="23">
        <v>51</v>
      </c>
      <c r="J54" s="24">
        <f>'[1]资源-钻石'!T54</f>
        <v>320810.82551961293</v>
      </c>
      <c r="K54" s="24">
        <f>'[1]资源-钻石'!U54</f>
        <v>441091.90807157429</v>
      </c>
      <c r="L54" s="24">
        <f>'[1]资源-钻石'!V54</f>
        <v>718931.09887873172</v>
      </c>
      <c r="M54" s="24">
        <f>'[1]资源-钻石'!W54</f>
        <v>1841874.2087666048</v>
      </c>
      <c r="N54" s="24">
        <f>'[1]资源-钻石'!X54</f>
        <v>4328449.1296432652</v>
      </c>
      <c r="P54" s="28">
        <v>51</v>
      </c>
      <c r="Q54" s="28">
        <f>'[1]功能-行军令'!N54</f>
        <v>1531.6505368534229</v>
      </c>
      <c r="R54" s="28">
        <f>'[1]功能-行军令'!O54</f>
        <v>1938.1905454352827</v>
      </c>
      <c r="S54" s="28">
        <f>'[1]功能-行军令'!P54</f>
        <v>2164.3320878515306</v>
      </c>
      <c r="T54" s="28">
        <f>'[1]功能-行军令'!Q54</f>
        <v>1811.4964086368636</v>
      </c>
      <c r="U54" s="28">
        <f>'[1]功能-行军令'!R54</f>
        <v>1014.1224688260519</v>
      </c>
      <c r="V54" s="28">
        <f>'[1]功能-行军令'!S54</f>
        <v>105.65053685342286</v>
      </c>
      <c r="W54" s="28">
        <f>'[1]功能-行军令'!T54</f>
        <v>126.83884543528279</v>
      </c>
      <c r="X54" s="28">
        <f>'[1]功能-行军令'!U54</f>
        <v>143.64978785153039</v>
      </c>
      <c r="Y54" s="28">
        <f>'[1]功能-行军令'!V54</f>
        <v>123.67660863686388</v>
      </c>
      <c r="Z54" s="28">
        <f>'[1]功能-行军令'!W54</f>
        <v>67.717268826051964</v>
      </c>
      <c r="AC54" s="30">
        <v>51</v>
      </c>
      <c r="AD54" s="41">
        <f>'[1]功能-实力'!BE55</f>
        <v>1611600</v>
      </c>
      <c r="AE54" s="41">
        <f>'[1]功能-实力'!BF55</f>
        <v>1674948</v>
      </c>
      <c r="AF54" s="41">
        <f>'[1]功能-实力'!BG55</f>
        <v>1910466</v>
      </c>
      <c r="AG54" s="41">
        <f>'[1]功能-实力'!BH55</f>
        <v>2155788</v>
      </c>
      <c r="AH54" s="41">
        <f>'[1]功能-实力'!BI55</f>
        <v>2360010</v>
      </c>
      <c r="AL54" s="37">
        <f>[3]基础状态预期!C64</f>
        <v>5.0999999999999996</v>
      </c>
      <c r="AM54" s="37">
        <f>[3]基础状态预期!D64</f>
        <v>27.773265580596355</v>
      </c>
      <c r="AO54" s="37">
        <f>[3]基础状态预期!F64</f>
        <v>0</v>
      </c>
      <c r="AP54" s="37">
        <f>[3]基础状态预期!G64</f>
        <v>0</v>
      </c>
      <c r="AQ54" s="37">
        <f>[3]基础状态预期!H64</f>
        <v>0</v>
      </c>
      <c r="AR54" s="37">
        <f>[3]基础状态预期!I64</f>
        <v>6</v>
      </c>
      <c r="AS54" s="37">
        <f>[3]基础状态预期!J64</f>
        <v>0</v>
      </c>
      <c r="AW54" s="32">
        <v>48</v>
      </c>
      <c r="AX54" s="32">
        <f>[1]节奏总纲!BJ51</f>
        <v>2.4333333333333349</v>
      </c>
      <c r="AY54" s="32">
        <f>[1]节奏总纲!BK51</f>
        <v>2.4820000000000015</v>
      </c>
      <c r="AZ54" s="32">
        <f>[1]节奏总纲!BL51</f>
        <v>2.5793333333333353</v>
      </c>
      <c r="BA54" s="32">
        <f>[1]节奏总纲!BM51</f>
        <v>2.7740000000000014</v>
      </c>
      <c r="BB54" s="32">
        <f>[1]节奏总纲!BN51</f>
        <v>3.4066666666666685</v>
      </c>
      <c r="BF54" s="42">
        <f>'[1]功能-行军令'!FZ52</f>
        <v>48</v>
      </c>
      <c r="BG54" s="42">
        <f>'[1]功能-行军令'!GA52*'[1]功能-行军令'!GB52</f>
        <v>195.43944111622724</v>
      </c>
      <c r="BN54" s="49">
        <v>49</v>
      </c>
      <c r="BO54" s="17">
        <f>'[1]资源-木石铜粮'!U54</f>
        <v>526147458.31680739</v>
      </c>
      <c r="BP54" s="17">
        <f>'[1]资源-木石铜粮'!V54</f>
        <v>590767166.58170199</v>
      </c>
      <c r="BQ54" s="17">
        <f>'[1]资源-木石铜粮'!W54</f>
        <v>664911385.84963977</v>
      </c>
      <c r="BR54" s="17">
        <f>'[1]资源-木石铜粮'!X54</f>
        <v>655011494.18072248</v>
      </c>
      <c r="BS54" s="17">
        <f>'[1]资源-木石铜粮'!Y54</f>
        <v>622868509.58528292</v>
      </c>
      <c r="BV54" s="49">
        <v>49</v>
      </c>
      <c r="BW54" s="47">
        <f>'[1]功能-城建'!EQ52+[1]养成buff汇总!H54+'[1]功能-采集'!BS53+[2]产出汇总!AY54+[1]养成buff汇总!GY54</f>
        <v>317825262.61195326</v>
      </c>
      <c r="BX54" s="47">
        <f>'[1]功能-城建'!ER52+[1]养成buff汇总!I54+'[1]功能-采集'!BT53+[2]产出汇总!AZ54+[1]养成buff汇总!GZ54</f>
        <v>251852485.89265168</v>
      </c>
      <c r="BY54" s="47">
        <f>'[1]功能-城建'!ES52+[1]养成buff汇总!J54+'[1]功能-采集'!BU53+[2]产出汇总!BA54+[1]养成buff汇总!HA54</f>
        <v>246205191.42093381</v>
      </c>
      <c r="BZ54" s="47">
        <f>'[1]功能-城建'!ET52+[1]养成buff汇总!K54+'[1]功能-采集'!BV53+[2]产出汇总!BB54+[1]养成buff汇总!HB54</f>
        <v>169520534.35731125</v>
      </c>
      <c r="CA54" s="47">
        <f>'[1]功能-城建'!EU52+[1]养成buff汇总!L54+'[1]功能-采集'!BW53+[2]产出汇总!BC54+[1]养成buff汇总!HC54</f>
        <v>122692435.42281146</v>
      </c>
      <c r="CD54" s="49">
        <v>49</v>
      </c>
      <c r="CE54" s="44">
        <f>'[1]资源-铁'!T54</f>
        <v>3988063.342481568</v>
      </c>
      <c r="CF54" s="44">
        <f>'[1]资源-铁'!U54</f>
        <v>10875940.120782344</v>
      </c>
      <c r="CG54" s="44">
        <f>'[1]资源-铁'!V54</f>
        <v>23641304.880263787</v>
      </c>
      <c r="CH54" s="44">
        <f>'[1]资源-铁'!W54</f>
        <v>48340201.706881523</v>
      </c>
      <c r="CI54" s="44">
        <f>'[1]资源-铁'!X54</f>
        <v>100582095.70775816</v>
      </c>
      <c r="CL54" s="49">
        <v>49</v>
      </c>
      <c r="CM54" s="44">
        <f>'[1]功能-城建'!HF52+[1]养成buff汇总!S54+'[1]功能-采集'!BX53</f>
        <v>2239959.1223609224</v>
      </c>
      <c r="CN54" s="44">
        <f>'[1]功能-城建'!HG52+[1]养成buff汇总!T54+'[1]功能-采集'!BY53</f>
        <v>2239630.5210362803</v>
      </c>
      <c r="CO54" s="44">
        <f>'[1]功能-城建'!HH52+[1]养成buff汇总!U54+'[1]功能-采集'!BZ53</f>
        <v>2603580.1042671776</v>
      </c>
      <c r="CP54" s="44">
        <f>'[1]功能-城建'!HI52+[1]养成buff汇总!V54+'[1]功能-采集'!CA53</f>
        <v>2243467.235566589</v>
      </c>
      <c r="CQ54" s="44">
        <f>'[1]功能-城建'!HJ52+[1]养成buff汇总!W54+'[1]功能-采集'!CB53</f>
        <v>2177667.9184554112</v>
      </c>
      <c r="CT54" s="49">
        <v>49</v>
      </c>
      <c r="CU54" s="17">
        <f>'[1]资源-玩家城池建筑时间'!AJ54+CU53</f>
        <v>13686317.369227452</v>
      </c>
      <c r="CV54" s="17">
        <f>'[1]资源-玩家城池建筑时间'!AK54+CV53</f>
        <v>15077596.040775781</v>
      </c>
      <c r="CW54" s="17">
        <f>'[1]资源-玩家城池建筑时间'!AL54+CW53</f>
        <v>16733032.036510997</v>
      </c>
      <c r="CX54" s="17">
        <f>'[1]资源-玩家城池建筑时间'!AM54+CX53</f>
        <v>18712643.289519027</v>
      </c>
      <c r="CY54" s="17">
        <f>'[1]资源-玩家城池建筑时间'!AN54+CY53</f>
        <v>21226344.417686306</v>
      </c>
      <c r="DB54" s="49">
        <v>49</v>
      </c>
      <c r="DC54" s="17">
        <f>'[1]资源-士兵训练时间'!U54</f>
        <v>3899730.7823818331</v>
      </c>
      <c r="DD54" s="17">
        <f>'[1]资源-士兵训练时间'!V54</f>
        <v>5795212.8853023462</v>
      </c>
      <c r="DE54" s="17">
        <f>'[1]资源-士兵训练时间'!W54</f>
        <v>8149886.9068184178</v>
      </c>
      <c r="DF54" s="17">
        <f>'[1]资源-士兵训练时间'!X54</f>
        <v>11125551.43146148</v>
      </c>
      <c r="DG54" s="17">
        <f>'[1]资源-士兵训练时间'!Y54</f>
        <v>17139999.172016084</v>
      </c>
    </row>
    <row r="55" spans="2:111" x14ac:dyDescent="0.15">
      <c r="B55" s="23">
        <v>52</v>
      </c>
      <c r="C55" s="24">
        <f>'[1]资源-钻石'!L55</f>
        <v>230552.49039136583</v>
      </c>
      <c r="D55" s="24">
        <f>'[1]资源-钻石'!M55</f>
        <v>277876.83980103343</v>
      </c>
      <c r="E55" s="24">
        <f>'[1]资源-钻石'!N55</f>
        <v>379982.54162372544</v>
      </c>
      <c r="F55" s="24">
        <f>'[1]资源-钻石'!O55</f>
        <v>746952.30462553434</v>
      </c>
      <c r="G55" s="24">
        <f>'[1]资源-钻石'!P55</f>
        <v>1068525.0848155252</v>
      </c>
      <c r="I55" s="23">
        <v>52</v>
      </c>
      <c r="J55" s="24">
        <f>'[1]资源-钻石'!T55</f>
        <v>326732.64628666104</v>
      </c>
      <c r="K55" s="24">
        <f>'[1]资源-钻石'!U55</f>
        <v>449285.9109153272</v>
      </c>
      <c r="L55" s="24">
        <f>'[1]资源-钻石'!V55</f>
        <v>732396.50200685998</v>
      </c>
      <c r="M55" s="24">
        <f>'[1]资源-钻石'!W55</f>
        <v>1876706.1522075459</v>
      </c>
      <c r="N55" s="24">
        <f>'[1]资源-钻石'!X55</f>
        <v>4410619.2674283003</v>
      </c>
      <c r="P55" s="28">
        <v>52</v>
      </c>
      <c r="Q55" s="28">
        <f>'[1]功能-行军令'!N55</f>
        <v>1644.8839785556356</v>
      </c>
      <c r="R55" s="28">
        <f>'[1]功能-行军令'!O55</f>
        <v>2082.4374201903788</v>
      </c>
      <c r="S55" s="28">
        <f>'[1]功能-行军令'!P55</f>
        <v>2330.1962815429533</v>
      </c>
      <c r="T55" s="28">
        <f>'[1]功能-行军令'!Q55</f>
        <v>1949.8383165103787</v>
      </c>
      <c r="U55" s="28">
        <f>'[1]功能-行军令'!R55</f>
        <v>1088.7272503975591</v>
      </c>
      <c r="V55" s="28">
        <f>'[1]功能-行军令'!S55</f>
        <v>113.23344170221276</v>
      </c>
      <c r="W55" s="28">
        <f>'[1]功能-行军令'!T55</f>
        <v>144.24687475509609</v>
      </c>
      <c r="X55" s="28">
        <f>'[1]功能-行军令'!U55</f>
        <v>165.86419369142277</v>
      </c>
      <c r="Y55" s="28">
        <f>'[1]功能-行军令'!V55</f>
        <v>138.34190787351508</v>
      </c>
      <c r="Z55" s="28">
        <f>'[1]功能-行军令'!W55</f>
        <v>74.60478157150726</v>
      </c>
      <c r="AC55" s="30">
        <v>52</v>
      </c>
      <c r="AD55" s="41">
        <f>'[1]功能-实力'!BE56</f>
        <v>1686330</v>
      </c>
      <c r="AE55" s="41">
        <f>'[1]功能-实力'!BF56</f>
        <v>1754232</v>
      </c>
      <c r="AF55" s="41">
        <f>'[1]功能-实力'!BG56</f>
        <v>2048304</v>
      </c>
      <c r="AG55" s="41">
        <f>'[1]功能-实力'!BH56</f>
        <v>2261226</v>
      </c>
      <c r="AH55" s="41">
        <f>'[1]功能-实力'!BI56</f>
        <v>2487078</v>
      </c>
      <c r="AL55" s="37">
        <f>[3]基础状态预期!C65</f>
        <v>8.5</v>
      </c>
      <c r="AM55" s="37">
        <f>[3]基础状态预期!D65</f>
        <v>34.250806171891597</v>
      </c>
      <c r="AO55" s="37">
        <f>[3]基础状态预期!F65</f>
        <v>0</v>
      </c>
      <c r="AP55" s="37">
        <f>[3]基础状态预期!G65</f>
        <v>0</v>
      </c>
      <c r="AQ55" s="37">
        <f>[3]基础状态预期!H65</f>
        <v>0</v>
      </c>
      <c r="AR55" s="37">
        <f>[3]基础状态预期!I65</f>
        <v>6</v>
      </c>
      <c r="AS55" s="37">
        <f>[3]基础状态预期!J65</f>
        <v>0</v>
      </c>
      <c r="AW55" s="32">
        <v>49</v>
      </c>
      <c r="AX55" s="32">
        <f>[1]节奏总纲!BJ52</f>
        <v>2.4666666666666681</v>
      </c>
      <c r="AY55" s="32">
        <f>[1]节奏总纲!BK52</f>
        <v>2.5160000000000013</v>
      </c>
      <c r="AZ55" s="32">
        <f>[1]节奏总纲!BL52</f>
        <v>2.6146666666666682</v>
      </c>
      <c r="BA55" s="32">
        <f>[1]节奏总纲!BM52</f>
        <v>2.8120000000000016</v>
      </c>
      <c r="BB55" s="32">
        <f>[1]节奏总纲!BN52</f>
        <v>3.4533333333333354</v>
      </c>
      <c r="BF55" s="42">
        <f>'[1]功能-行军令'!FZ53</f>
        <v>49</v>
      </c>
      <c r="BG55" s="42">
        <f>'[1]功能-行军令'!GA53*'[1]功能-行军令'!GB53</f>
        <v>199.34822993855178</v>
      </c>
      <c r="BN55" s="49">
        <v>50</v>
      </c>
      <c r="BO55" s="17">
        <f>'[1]资源-木石铜粮'!U55</f>
        <v>586003172.34366107</v>
      </c>
      <c r="BP55" s="17">
        <f>'[1]资源-木石铜粮'!V55</f>
        <v>657019856.8628732</v>
      </c>
      <c r="BQ55" s="17">
        <f>'[1]资源-木石铜粮'!W55</f>
        <v>736026539.80387175</v>
      </c>
      <c r="BR55" s="17">
        <f>'[1]资源-木石铜粮'!X55</f>
        <v>727099551.94666922</v>
      </c>
      <c r="BS55" s="17">
        <f>'[1]资源-木石铜粮'!Y55</f>
        <v>692391133.54965377</v>
      </c>
      <c r="BV55" s="49">
        <v>50</v>
      </c>
      <c r="BW55" s="47">
        <f>'[1]功能-城建'!EQ53+[1]养成buff汇总!H55+'[1]功能-采集'!BS54+[2]产出汇总!AY55+[1]养成buff汇总!GY55</f>
        <v>357373701.22147477</v>
      </c>
      <c r="BX55" s="47">
        <f>'[1]功能-城建'!ER53+[1]养成buff汇总!I55+'[1]功能-采集'!BT54+[2]产出汇总!AZ55+[1]养成buff汇总!GZ55</f>
        <v>282195970.57801139</v>
      </c>
      <c r="BY55" s="47">
        <f>'[1]功能-城建'!ES53+[1]养成buff汇总!J55+'[1]功能-采集'!BU54+[2]产出汇总!BA55+[1]养成buff汇总!HA55</f>
        <v>275565548.55636662</v>
      </c>
      <c r="BZ55" s="47">
        <f>'[1]功能-城建'!ET53+[1]养成buff汇总!K55+'[1]功能-采集'!BV54+[2]产出汇总!BB55+[1]养成buff汇总!HB55</f>
        <v>189710913.1977599</v>
      </c>
      <c r="CA55" s="47">
        <f>'[1]功能-城建'!EU53+[1]养成buff汇总!L55+'[1]功能-采集'!BW54+[2]产出汇总!BC55+[1]养成buff汇总!HC55</f>
        <v>137881374.90053216</v>
      </c>
      <c r="CD55" s="49">
        <v>50</v>
      </c>
      <c r="CE55" s="44">
        <f>'[1]资源-铁'!T55</f>
        <v>8235712.2844953267</v>
      </c>
      <c r="CF55" s="44">
        <f>'[1]资源-铁'!U55</f>
        <v>17052804.234194174</v>
      </c>
      <c r="CG55" s="44">
        <f>'[1]资源-铁'!V55</f>
        <v>35732532.803252511</v>
      </c>
      <c r="CH55" s="44">
        <f>'[1]资源-铁'!W55</f>
        <v>67225176.665337026</v>
      </c>
      <c r="CI55" s="44">
        <f>'[1]资源-铁'!X55</f>
        <v>130273379.93604186</v>
      </c>
      <c r="CL55" s="49">
        <v>50</v>
      </c>
      <c r="CM55" s="44">
        <f>'[1]功能-城建'!HF53+[1]养成buff汇总!S55+'[1]功能-采集'!BX54</f>
        <v>3229238.8281341786</v>
      </c>
      <c r="CN55" s="44">
        <f>'[1]功能-城建'!HG53+[1]养成buff汇总!T55+'[1]功能-采集'!BY54</f>
        <v>3081843.6972240456</v>
      </c>
      <c r="CO55" s="44">
        <f>'[1]功能-城建'!HH53+[1]养成buff汇总!U55+'[1]功能-采集'!BZ54</f>
        <v>3589949.3069226802</v>
      </c>
      <c r="CP55" s="44">
        <f>'[1]功能-城建'!HI53+[1]养成buff汇总!V55+'[1]功能-采集'!CA54</f>
        <v>3352470.4746925682</v>
      </c>
      <c r="CQ55" s="44">
        <f>'[1]功能-城建'!HJ53+[1]养成buff汇总!W55+'[1]功能-采集'!CB54</f>
        <v>2955168.0316808373</v>
      </c>
      <c r="CT55" s="49">
        <v>50</v>
      </c>
      <c r="CU55" s="17">
        <f>'[1]资源-玩家城池建筑时间'!AJ55+CU54</f>
        <v>14832695.014190014</v>
      </c>
      <c r="CV55" s="17">
        <f>'[1]资源-玩家城池建筑时间'!AK55+CV54</f>
        <v>16331275.551901922</v>
      </c>
      <c r="CW55" s="17">
        <f>'[1]资源-玩家城池建筑时间'!AL55+CW54</f>
        <v>18080500.095899753</v>
      </c>
      <c r="CX55" s="17">
        <f>'[1]资源-玩家城池建筑时间'!AM55+CX54</f>
        <v>20248244.144369736</v>
      </c>
      <c r="CY55" s="17">
        <f>'[1]资源-玩家城池建筑时间'!AN55+CY54</f>
        <v>22996459.181667771</v>
      </c>
      <c r="DB55" s="49">
        <v>50</v>
      </c>
      <c r="DC55" s="17">
        <f>'[1]资源-士兵训练时间'!U55</f>
        <v>4267782.6290815584</v>
      </c>
      <c r="DD55" s="17">
        <f>'[1]资源-士兵训练时间'!V55</f>
        <v>6337840.6014859332</v>
      </c>
      <c r="DE55" s="17">
        <f>'[1]资源-士兵训练时间'!W55</f>
        <v>8913197.7339415848</v>
      </c>
      <c r="DF55" s="17">
        <f>'[1]资源-士兵训练时间'!X55</f>
        <v>12179688.577085977</v>
      </c>
      <c r="DG55" s="17">
        <f>'[1]资源-士兵训练时间'!Y55</f>
        <v>18769522.106595121</v>
      </c>
    </row>
    <row r="56" spans="2:111" x14ac:dyDescent="0.15">
      <c r="B56" s="23">
        <v>53</v>
      </c>
      <c r="C56" s="24">
        <f>'[1]资源-钻石'!L56</f>
        <v>246175.87536690949</v>
      </c>
      <c r="D56" s="24">
        <f>'[1]资源-钻石'!M56</f>
        <v>297107.69672090799</v>
      </c>
      <c r="E56" s="24">
        <f>'[1]资源-钻石'!N56</f>
        <v>405218.99966158229</v>
      </c>
      <c r="F56" s="24">
        <f>'[1]资源-钻石'!O56</f>
        <v>792558.74266656674</v>
      </c>
      <c r="G56" s="24">
        <f>'[1]资源-钻石'!P56</f>
        <v>1135430.5716258262</v>
      </c>
      <c r="I56" s="23">
        <v>53</v>
      </c>
      <c r="J56" s="24">
        <f>'[1]资源-钻石'!T56</f>
        <v>332654.46705370909</v>
      </c>
      <c r="K56" s="24">
        <f>'[1]资源-钻石'!U56</f>
        <v>457479.91375908011</v>
      </c>
      <c r="L56" s="24">
        <f>'[1]资源-钻石'!V56</f>
        <v>745861.90513498813</v>
      </c>
      <c r="M56" s="24">
        <f>'[1]资源-钻石'!W56</f>
        <v>1911538.0956484871</v>
      </c>
      <c r="N56" s="24">
        <f>'[1]资源-钻石'!X56</f>
        <v>4492789.4052133355</v>
      </c>
      <c r="P56" s="28">
        <v>53</v>
      </c>
      <c r="Q56" s="28">
        <f>'[1]功能-行军令'!N56</f>
        <v>1766.2445764437161</v>
      </c>
      <c r="R56" s="28">
        <f>'[1]功能-行军令'!O56</f>
        <v>2239.6825954973315</v>
      </c>
      <c r="S56" s="28">
        <f>'[1]功能-行军令'!P56</f>
        <v>2509.806665491662</v>
      </c>
      <c r="T56" s="28">
        <f>'[1]功能-行军令'!Q56</f>
        <v>2092.9076711948587</v>
      </c>
      <c r="U56" s="28">
        <f>'[1]功能-行军令'!R56</f>
        <v>1167.8677915794442</v>
      </c>
      <c r="V56" s="28">
        <f>'[1]功能-行军令'!S56</f>
        <v>121.36059788808052</v>
      </c>
      <c r="W56" s="28">
        <f>'[1]功能-行军令'!T56</f>
        <v>157.24517530695266</v>
      </c>
      <c r="X56" s="28">
        <f>'[1]功能-行军令'!U56</f>
        <v>179.61038394870866</v>
      </c>
      <c r="Y56" s="28">
        <f>'[1]功能-行军令'!V56</f>
        <v>143.06935468448</v>
      </c>
      <c r="Z56" s="28">
        <f>'[1]功能-行军令'!W56</f>
        <v>79.140541181885055</v>
      </c>
      <c r="AC56" s="30">
        <v>53</v>
      </c>
      <c r="AD56" s="41">
        <f>'[1]功能-实力'!BE57</f>
        <v>1763706</v>
      </c>
      <c r="AE56" s="41">
        <f>'[1]功能-实力'!BF57</f>
        <v>1835640</v>
      </c>
      <c r="AF56" s="41">
        <f>'[1]功能-实力'!BG57</f>
        <v>2191302</v>
      </c>
      <c r="AG56" s="41">
        <f>'[1]功能-实力'!BH57</f>
        <v>2372262</v>
      </c>
      <c r="AH56" s="41">
        <f>'[1]功能-实力'!BI57</f>
        <v>2617380</v>
      </c>
      <c r="AL56" s="37">
        <f>[3]基础状态预期!C66</f>
        <v>12.75</v>
      </c>
      <c r="AM56" s="37">
        <f>[3]基础状态预期!D66</f>
        <v>39.661158518499626</v>
      </c>
      <c r="AO56" s="37">
        <f>[3]基础状态预期!F66</f>
        <v>0</v>
      </c>
      <c r="AP56" s="37">
        <f>[3]基础状态预期!G66</f>
        <v>0</v>
      </c>
      <c r="AQ56" s="37">
        <f>[3]基础状态预期!H66</f>
        <v>0</v>
      </c>
      <c r="AR56" s="37">
        <f>[3]基础状态预期!I66</f>
        <v>6</v>
      </c>
      <c r="AS56" s="37">
        <f>[3]基础状态预期!J66</f>
        <v>0</v>
      </c>
      <c r="AW56" s="32">
        <v>50</v>
      </c>
      <c r="AX56" s="32">
        <f>[1]节奏总纲!BJ53</f>
        <v>2.5000000000000013</v>
      </c>
      <c r="AY56" s="32">
        <f>[1]节奏总纲!BK53</f>
        <v>2.5500000000000016</v>
      </c>
      <c r="AZ56" s="32">
        <f>[1]节奏总纲!BL53</f>
        <v>2.6500000000000017</v>
      </c>
      <c r="BA56" s="32">
        <f>[1]节奏总纲!BM53</f>
        <v>2.8500000000000014</v>
      </c>
      <c r="BB56" s="32">
        <f>[1]节奏总纲!BN53</f>
        <v>3.5000000000000018</v>
      </c>
      <c r="BF56" s="42">
        <f>'[1]功能-行军令'!FZ54</f>
        <v>50</v>
      </c>
      <c r="BG56" s="42">
        <f>'[1]功能-行军令'!GA54*'[1]功能-行军令'!GB54</f>
        <v>203.33519453732282</v>
      </c>
      <c r="BN56" s="49">
        <v>51</v>
      </c>
      <c r="BO56" s="17">
        <f>'[1]资源-木石铜粮'!U56</f>
        <v>652815389.24104309</v>
      </c>
      <c r="BP56" s="17">
        <f>'[1]资源-木石铜粮'!V56</f>
        <v>729199213.66231871</v>
      </c>
      <c r="BQ56" s="17">
        <f>'[1]资源-木石铜粮'!W56</f>
        <v>814861582.47603047</v>
      </c>
      <c r="BR56" s="17">
        <f>'[1]资源-木石铜粮'!X56</f>
        <v>807421239.30800235</v>
      </c>
      <c r="BS56" s="17">
        <f>'[1]资源-木石铜粮'!Y56</f>
        <v>767770852.95688009</v>
      </c>
      <c r="BV56" s="49">
        <v>51</v>
      </c>
      <c r="BW56" s="47">
        <f>'[1]功能-城建'!EQ54+[1]养成buff汇总!H56+'[1]功能-采集'!BS55+[2]产出汇总!AY56+[1]养成buff汇总!GY56</f>
        <v>400387559.32595265</v>
      </c>
      <c r="BX56" s="47">
        <f>'[1]功能-城建'!ER54+[1]养成buff汇总!I56+'[1]功能-采集'!BT55+[2]产出汇总!AZ56+[1]养成buff汇总!GZ56</f>
        <v>313712229.34218144</v>
      </c>
      <c r="BY56" s="47">
        <f>'[1]功能-城建'!ES54+[1]养成buff汇总!J56+'[1]功能-采集'!BU55+[2]产出汇总!BA56+[1]养成buff汇总!HA56</f>
        <v>307278270.1082474</v>
      </c>
      <c r="BZ56" s="47">
        <f>'[1]功能-城建'!ET54+[1]养成buff汇总!K56+'[1]功能-采集'!BV55+[2]产出汇总!BB56+[1]养成buff汇总!HB56</f>
        <v>211747908.5606778</v>
      </c>
      <c r="CA56" s="47">
        <f>'[1]功能-城建'!EU54+[1]养成buff汇总!L56+'[1]功能-采集'!BW55+[2]产出汇总!BC56+[1]养成buff汇总!HC56</f>
        <v>153877881.62518695</v>
      </c>
      <c r="CD56" s="49">
        <v>51</v>
      </c>
      <c r="CE56" s="44">
        <f>'[1]资源-铁'!T56</f>
        <v>12788229.698716003</v>
      </c>
      <c r="CF56" s="44">
        <f>'[1]资源-铁'!U56</f>
        <v>26924308.082203954</v>
      </c>
      <c r="CG56" s="44">
        <f>'[1]资源-铁'!V56</f>
        <v>49183662.739546269</v>
      </c>
      <c r="CH56" s="44">
        <f>'[1]资源-铁'!W56</f>
        <v>89415002.682465911</v>
      </c>
      <c r="CI56" s="44">
        <f>'[1]资源-铁'!X56</f>
        <v>167998171.05530247</v>
      </c>
      <c r="CL56" s="49">
        <v>51</v>
      </c>
      <c r="CM56" s="44">
        <f>'[1]功能-城建'!HF54+[1]养成buff汇总!S56+'[1]功能-采集'!BX55</f>
        <v>4609066.0312371105</v>
      </c>
      <c r="CN56" s="44">
        <f>'[1]功能-城建'!HG54+[1]养成buff汇总!T56+'[1]功能-采集'!BY55</f>
        <v>4442734.1935238317</v>
      </c>
      <c r="CO56" s="44">
        <f>'[1]功能-城建'!HH54+[1]养成buff汇总!U56+'[1]功能-采集'!BZ55</f>
        <v>5050471.9875625931</v>
      </c>
      <c r="CP56" s="44">
        <f>'[1]功能-城建'!HI54+[1]养成buff汇总!V56+'[1]功能-采集'!CA55</f>
        <v>4998239.8073818041</v>
      </c>
      <c r="CQ56" s="44">
        <f>'[1]功能-城建'!HJ54+[1]养成buff汇总!W56+'[1]功能-采集'!CB55</f>
        <v>3792937.7569265668</v>
      </c>
      <c r="CT56" s="49">
        <v>51</v>
      </c>
      <c r="CU56" s="17">
        <f>'[1]资源-玩家城池建筑时间'!AJ56+CU55</f>
        <v>16061352.15210573</v>
      </c>
      <c r="CV56" s="17">
        <f>'[1]资源-玩家城池建筑时间'!AK56+CV55</f>
        <v>17618806.580973372</v>
      </c>
      <c r="CW56" s="17">
        <f>'[1]资源-玩家城池建筑时间'!AL56+CW55</f>
        <v>19515431.999179069</v>
      </c>
      <c r="CX56" s="17">
        <f>'[1]资源-玩家城池建筑时间'!AM56+CX55</f>
        <v>21906319.761582687</v>
      </c>
      <c r="CY56" s="17">
        <f>'[1]资源-玩家城池建筑时间'!AN56+CY55</f>
        <v>24840732.380207416</v>
      </c>
      <c r="DB56" s="49">
        <v>51</v>
      </c>
      <c r="DC56" s="17">
        <f>'[1]资源-士兵训练时间'!U56</f>
        <v>4662250.831211797</v>
      </c>
      <c r="DD56" s="17">
        <f>'[1]资源-士兵训练时间'!V56</f>
        <v>6921326.8624919774</v>
      </c>
      <c r="DE56" s="17">
        <f>'[1]资源-士兵训练时间'!W56</f>
        <v>9728110.2631838433</v>
      </c>
      <c r="DF56" s="17">
        <f>'[1]资源-士兵训练时间'!X56</f>
        <v>13324475.471907511</v>
      </c>
      <c r="DG56" s="17">
        <f>'[1]资源-士兵训练时间'!Y56</f>
        <v>20408758.082137335</v>
      </c>
    </row>
    <row r="57" spans="2:111" x14ac:dyDescent="0.15">
      <c r="B57" s="23">
        <v>54</v>
      </c>
      <c r="C57" s="24">
        <f>'[1]资源-钻石'!L57</f>
        <v>262920.60477868555</v>
      </c>
      <c r="D57" s="24">
        <f>'[1]资源-钻石'!M57</f>
        <v>317752.0796597653</v>
      </c>
      <c r="E57" s="24">
        <f>'[1]资源-钻石'!N57</f>
        <v>430450.77247487241</v>
      </c>
      <c r="F57" s="24">
        <f>'[1]资源-钻石'!O57</f>
        <v>839930.58444424893</v>
      </c>
      <c r="G57" s="24">
        <f>'[1]资源-钻石'!P57</f>
        <v>1202754.7697503841</v>
      </c>
      <c r="I57" s="23">
        <v>54</v>
      </c>
      <c r="J57" s="24">
        <f>'[1]资源-钻石'!T57</f>
        <v>338576.28782075719</v>
      </c>
      <c r="K57" s="24">
        <f>'[1]资源-钻石'!U57</f>
        <v>465673.91660283296</v>
      </c>
      <c r="L57" s="24">
        <f>'[1]资源-钻石'!V57</f>
        <v>759327.30826311628</v>
      </c>
      <c r="M57" s="24">
        <f>'[1]资源-钻石'!W57</f>
        <v>1946370.039089428</v>
      </c>
      <c r="N57" s="24">
        <f>'[1]资源-钻石'!X57</f>
        <v>4574959.5429983707</v>
      </c>
      <c r="P57" s="28">
        <v>54</v>
      </c>
      <c r="Q57" s="28">
        <f>'[1]功能-行军令'!N57</f>
        <v>1896.3156446577002</v>
      </c>
      <c r="R57" s="28">
        <f>'[1]功能-行军令'!O57</f>
        <v>2408.4857657278585</v>
      </c>
      <c r="S57" s="28">
        <f>'[1]功能-行军令'!P57</f>
        <v>2689.3837042307518</v>
      </c>
      <c r="T57" s="28">
        <f>'[1]功能-行军令'!Q57</f>
        <v>2241.5151732157478</v>
      </c>
      <c r="U57" s="28">
        <f>'[1]功能-行军令'!R57</f>
        <v>1247.5036141140115</v>
      </c>
      <c r="V57" s="28">
        <f>'[1]功能-行军令'!S57</f>
        <v>130.07106821398406</v>
      </c>
      <c r="W57" s="28">
        <f>'[1]功能-行军令'!T57</f>
        <v>168.80317023052703</v>
      </c>
      <c r="X57" s="28">
        <f>'[1]功能-行军令'!U57</f>
        <v>179.57703873908986</v>
      </c>
      <c r="Y57" s="28">
        <f>'[1]功能-行军令'!V57</f>
        <v>148.60750202088911</v>
      </c>
      <c r="Z57" s="28">
        <f>'[1]功能-行军令'!W57</f>
        <v>79.635822534567296</v>
      </c>
      <c r="AC57" s="30">
        <v>54</v>
      </c>
      <c r="AD57" s="41">
        <f>'[1]功能-实力'!BE58</f>
        <v>1845588</v>
      </c>
      <c r="AE57" s="41">
        <f>'[1]功能-实力'!BF58</f>
        <v>1924062</v>
      </c>
      <c r="AF57" s="41">
        <f>'[1]功能-实力'!BG58</f>
        <v>2275110</v>
      </c>
      <c r="AG57" s="41">
        <f>'[1]功能-实力'!BH58</f>
        <v>2496738</v>
      </c>
      <c r="AH57" s="41">
        <f>'[1]功能-实力'!BI58</f>
        <v>2750802</v>
      </c>
      <c r="AL57" s="37">
        <f>[3]基础状态预期!C67</f>
        <v>17</v>
      </c>
      <c r="AM57" s="37">
        <f>[3]基础状态预期!D67</f>
        <v>43.535389560453282</v>
      </c>
      <c r="AO57" s="37">
        <f>[3]基础状态预期!F67</f>
        <v>0</v>
      </c>
      <c r="AP57" s="37">
        <f>[3]基础状态预期!G67</f>
        <v>0</v>
      </c>
      <c r="AQ57" s="37">
        <f>[3]基础状态预期!H67</f>
        <v>0</v>
      </c>
      <c r="AR57" s="37">
        <f>[3]基础状态预期!I67</f>
        <v>6</v>
      </c>
      <c r="AS57" s="37">
        <f>[3]基础状态预期!J67</f>
        <v>0</v>
      </c>
      <c r="AW57" s="32">
        <v>51</v>
      </c>
      <c r="AX57" s="32">
        <f>[1]节奏总纲!BJ54</f>
        <v>2.5333333333333345</v>
      </c>
      <c r="AY57" s="32">
        <f>[1]节奏总纲!BK54</f>
        <v>2.5840000000000014</v>
      </c>
      <c r="AZ57" s="32">
        <f>[1]节奏总纲!BL54</f>
        <v>2.6853333333333347</v>
      </c>
      <c r="BA57" s="32">
        <f>[1]节奏总纲!BM54</f>
        <v>2.8880000000000012</v>
      </c>
      <c r="BB57" s="32">
        <f>[1]节奏总纲!BN54</f>
        <v>3.5466666666666682</v>
      </c>
      <c r="BF57" s="42">
        <f>'[1]功能-行军令'!FZ55</f>
        <v>51</v>
      </c>
      <c r="BG57" s="42">
        <f>'[1]功能-行军令'!GA55*'[1]功能-行军令'!GB55</f>
        <v>207.40189842806927</v>
      </c>
      <c r="BN57" s="49">
        <v>52</v>
      </c>
      <c r="BO57" s="17">
        <f>'[1]资源-木石铜粮'!U57</f>
        <v>726663103.93516624</v>
      </c>
      <c r="BP57" s="17">
        <f>'[1]资源-木石铜粮'!V57</f>
        <v>810865704.85949826</v>
      </c>
      <c r="BQ57" s="17">
        <f>'[1]资源-木石铜粮'!W57</f>
        <v>905468416.97894204</v>
      </c>
      <c r="BR57" s="17">
        <f>'[1]资源-木石铜粮'!X57</f>
        <v>897472126.07139564</v>
      </c>
      <c r="BS57" s="17">
        <f>'[1]资源-木石铜粮'!Y57</f>
        <v>851215256.29883265</v>
      </c>
      <c r="BV57" s="49">
        <v>52</v>
      </c>
      <c r="BW57" s="47">
        <f>'[1]功能-城建'!EQ55+[1]养成buff汇总!H57+'[1]功能-采集'!BS56+[2]产出汇总!AY57+[1]养成buff汇总!GY57</f>
        <v>447955269.95687276</v>
      </c>
      <c r="BX57" s="47">
        <f>'[1]功能-城建'!ER55+[1]养成buff汇总!I57+'[1]功能-采集'!BT56+[2]产出汇总!AZ57+[1]养成buff汇总!GZ57</f>
        <v>349941966.68665624</v>
      </c>
      <c r="BY57" s="47">
        <f>'[1]功能-城建'!ES55+[1]养成buff汇总!J57+'[1]功能-采集'!BU56+[2]产出汇总!BA57+[1]养成buff汇总!HA57</f>
        <v>344918161.02250469</v>
      </c>
      <c r="BZ57" s="47">
        <f>'[1]功能-城建'!ET55+[1]养成buff汇总!K57+'[1]功能-采集'!BV56+[2]产出汇总!BB57+[1]养成buff汇总!HB57</f>
        <v>236779399.50116643</v>
      </c>
      <c r="CA57" s="47">
        <f>'[1]功能-城建'!EU55+[1]养成buff汇总!L57+'[1]功能-采集'!BW56+[2]产出汇总!BC57+[1]养成buff汇总!HC57</f>
        <v>171727933.64682415</v>
      </c>
      <c r="CD57" s="49">
        <v>52</v>
      </c>
      <c r="CE57" s="44">
        <f>'[1]资源-铁'!T57</f>
        <v>21462562.623547263</v>
      </c>
      <c r="CF57" s="44">
        <f>'[1]资源-铁'!U57</f>
        <v>38150628.964593656</v>
      </c>
      <c r="CG57" s="44">
        <f>'[1]资源-铁'!V57</f>
        <v>68409672.901752427</v>
      </c>
      <c r="CH57" s="44">
        <f>'[1]资源-铁'!W57</f>
        <v>116456598.89635186</v>
      </c>
      <c r="CI57" s="44">
        <f>'[1]资源-铁'!X57</f>
        <v>209918329.635923</v>
      </c>
      <c r="CL57" s="49">
        <v>52</v>
      </c>
      <c r="CM57" s="44">
        <f>'[1]功能-城建'!HF55+[1]养成buff汇总!S57+'[1]功能-采集'!BX56</f>
        <v>6918458.1045976775</v>
      </c>
      <c r="CN57" s="44">
        <f>'[1]功能-城建'!HG55+[1]养成buff汇总!T57+'[1]功能-采集'!BY56</f>
        <v>6287164.6644678954</v>
      </c>
      <c r="CO57" s="44">
        <f>'[1]功能-城建'!HH55+[1]养成buff汇总!U57+'[1]功能-采集'!BZ56</f>
        <v>8119906.4276366401</v>
      </c>
      <c r="CP57" s="44">
        <f>'[1]功能-城建'!HI55+[1]养成buff汇总!V57+'[1]功能-采集'!CA56</f>
        <v>7071862.5085762301</v>
      </c>
      <c r="CQ57" s="44">
        <f>'[1]功能-城建'!HJ55+[1]养成buff汇总!W57+'[1]功能-采集'!CB56</f>
        <v>4722434.1167855365</v>
      </c>
      <c r="CT57" s="49">
        <v>52</v>
      </c>
      <c r="CU57" s="17">
        <f>'[1]资源-玩家城池建筑时间'!AJ57+CU56</f>
        <v>17400124.01327173</v>
      </c>
      <c r="CV57" s="17">
        <f>'[1]资源-玩家城池建筑时间'!AK57+CV56</f>
        <v>19083045.130736351</v>
      </c>
      <c r="CW57" s="17">
        <f>'[1]资源-玩家城池建筑时间'!AL57+CW56</f>
        <v>21193362.544757467</v>
      </c>
      <c r="CX57" s="17">
        <f>'[1]资源-玩家城池建筑时间'!AM57+CX56</f>
        <v>23772293.978360415</v>
      </c>
      <c r="CY57" s="17">
        <f>'[1]资源-玩家城池建筑时间'!AN57+CY56</f>
        <v>26873994.68463254</v>
      </c>
      <c r="DB57" s="49">
        <v>52</v>
      </c>
      <c r="DC57" s="17">
        <f>'[1]资源-士兵训练时间'!U57</f>
        <v>5116667.8466558065</v>
      </c>
      <c r="DD57" s="17">
        <f>'[1]资源-士兵训练时间'!V57</f>
        <v>7584893.8424957665</v>
      </c>
      <c r="DE57" s="17">
        <f>'[1]资源-士兵训练时间'!W57</f>
        <v>10693523.05812203</v>
      </c>
      <c r="DF57" s="17">
        <f>'[1]资源-士兵训练时间'!X57</f>
        <v>14595447.756141635</v>
      </c>
      <c r="DG57" s="17">
        <f>'[1]资源-士兵训练时间'!Y57</f>
        <v>22213129.926925037</v>
      </c>
    </row>
    <row r="58" spans="2:111" x14ac:dyDescent="0.15">
      <c r="B58" s="23">
        <v>55</v>
      </c>
      <c r="C58" s="24">
        <f>'[1]资源-钻石'!L58</f>
        <v>280867.16139957804</v>
      </c>
      <c r="D58" s="24">
        <f>'[1]资源-钻石'!M58</f>
        <v>338934.68498801254</v>
      </c>
      <c r="E58" s="24">
        <f>'[1]资源-钻石'!N58</f>
        <v>458270.60313264781</v>
      </c>
      <c r="F58" s="24">
        <f>'[1]资源-钻石'!O58</f>
        <v>889843.52812149387</v>
      </c>
      <c r="G58" s="24">
        <f>'[1]资源-钻石'!P58</f>
        <v>1275276.5558053821</v>
      </c>
      <c r="I58" s="23">
        <v>55</v>
      </c>
      <c r="J58" s="24">
        <f>'[1]资源-钻石'!T58</f>
        <v>344498.1085878053</v>
      </c>
      <c r="K58" s="24">
        <f>'[1]资源-钻石'!U58</f>
        <v>473867.91944658587</v>
      </c>
      <c r="L58" s="24">
        <f>'[1]资源-钻石'!V58</f>
        <v>772792.71139124432</v>
      </c>
      <c r="M58" s="24">
        <f>'[1]资源-钻石'!W58</f>
        <v>1981201.982530369</v>
      </c>
      <c r="N58" s="24">
        <f>'[1]资源-钻石'!X58</f>
        <v>4657129.6807834059</v>
      </c>
      <c r="P58" s="28">
        <v>55</v>
      </c>
      <c r="Q58" s="28">
        <f>'[1]功能-行军令'!N58</f>
        <v>2035.7223638131961</v>
      </c>
      <c r="R58" s="28">
        <f>'[1]功能-行军令'!O58</f>
        <v>2581.6898253376967</v>
      </c>
      <c r="S58" s="28">
        <f>'[1]功能-行军令'!P58</f>
        <v>2879.4407739457738</v>
      </c>
      <c r="T58" s="28">
        <f>'[1]功能-行军令'!Q58</f>
        <v>2398.0942210221438</v>
      </c>
      <c r="U58" s="28">
        <f>'[1]功能-行军令'!R58</f>
        <v>1333.2875112126535</v>
      </c>
      <c r="V58" s="28">
        <f>'[1]功能-行军令'!S58</f>
        <v>139.40671915549592</v>
      </c>
      <c r="W58" s="28">
        <f>'[1]功能-行军令'!T58</f>
        <v>173.20405960983817</v>
      </c>
      <c r="X58" s="28">
        <f>'[1]功能-行军令'!U58</f>
        <v>190.05706971502195</v>
      </c>
      <c r="Y58" s="28">
        <f>'[1]功能-行军令'!V58</f>
        <v>156.57904780639592</v>
      </c>
      <c r="Z58" s="28">
        <f>'[1]功能-行军令'!W58</f>
        <v>85.783897098642001</v>
      </c>
      <c r="AC58" s="30">
        <v>55</v>
      </c>
      <c r="AD58" s="41">
        <f>'[1]功能-实力'!BE59</f>
        <v>1933344</v>
      </c>
      <c r="AE58" s="41">
        <f>'[1]功能-实力'!BF59</f>
        <v>2016138</v>
      </c>
      <c r="AF58" s="41">
        <f>'[1]功能-实力'!BG59</f>
        <v>2344398</v>
      </c>
      <c r="AG58" s="41">
        <f>'[1]功能-实力'!BH59</f>
        <v>2624928</v>
      </c>
      <c r="AH58" s="41">
        <f>'[1]功能-实力'!BI59</f>
        <v>2889570</v>
      </c>
      <c r="AL58" s="37">
        <f>[3]基础状态预期!C68</f>
        <v>25.5</v>
      </c>
      <c r="AM58" s="37">
        <f>[3]基础状态预期!D68</f>
        <v>49.178590903134719</v>
      </c>
      <c r="AO58" s="37">
        <f>[3]基础状态预期!F68</f>
        <v>0</v>
      </c>
      <c r="AP58" s="37">
        <f>[3]基础状态预期!G68</f>
        <v>0</v>
      </c>
      <c r="AQ58" s="37">
        <f>[3]基础状态预期!H68</f>
        <v>0</v>
      </c>
      <c r="AR58" s="37">
        <f>[3]基础状态预期!I68</f>
        <v>6</v>
      </c>
      <c r="AS58" s="37">
        <f>[3]基础状态预期!J68</f>
        <v>0</v>
      </c>
      <c r="AW58" s="32">
        <v>52</v>
      </c>
      <c r="AX58" s="32">
        <f>[1]节奏总纲!BJ55</f>
        <v>2.5666666666666678</v>
      </c>
      <c r="AY58" s="32">
        <f>[1]节奏总纲!BK55</f>
        <v>2.6180000000000012</v>
      </c>
      <c r="AZ58" s="32">
        <f>[1]节奏总纲!BL55</f>
        <v>2.7206666666666681</v>
      </c>
      <c r="BA58" s="32">
        <f>[1]节奏总纲!BM55</f>
        <v>2.926000000000001</v>
      </c>
      <c r="BB58" s="32">
        <f>[1]节奏总纲!BN55</f>
        <v>3.5933333333333346</v>
      </c>
      <c r="BF58" s="42">
        <f>'[1]功能-行军令'!FZ56</f>
        <v>52</v>
      </c>
      <c r="BG58" s="42">
        <f>'[1]功能-行军令'!GA56*'[1]功能-行军令'!GB56</f>
        <v>211.54993639663067</v>
      </c>
      <c r="BN58" s="49">
        <v>53</v>
      </c>
      <c r="BO58" s="17">
        <f>'[1]资源-木石铜粮'!U58</f>
        <v>807367852.01520538</v>
      </c>
      <c r="BP58" s="17">
        <f>'[1]资源-木石铜粮'!V58</f>
        <v>901401363.8252883</v>
      </c>
      <c r="BQ58" s="17">
        <f>'[1]资源-木石铜粮'!W58</f>
        <v>1005025403.1366237</v>
      </c>
      <c r="BR58" s="17">
        <f>'[1]资源-木石铜粮'!X58</f>
        <v>993883975.58191085</v>
      </c>
      <c r="BS58" s="17">
        <f>'[1]资源-木石铜粮'!Y58</f>
        <v>942597781.02595806</v>
      </c>
      <c r="BV58" s="49">
        <v>53</v>
      </c>
      <c r="BW58" s="47">
        <f>'[1]功能-城建'!EQ56+[1]养成buff汇总!H58+'[1]功能-采集'!BS57+[2]产出汇总!AY58+[1]养成buff汇总!GY58</f>
        <v>499662807.17825335</v>
      </c>
      <c r="BX58" s="47">
        <f>'[1]功能-城建'!ER56+[1]养成buff汇总!I58+'[1]功能-采集'!BT57+[2]产出汇总!AZ58+[1]养成buff汇总!GZ58</f>
        <v>390388903.24937451</v>
      </c>
      <c r="BY58" s="47">
        <f>'[1]功能-城建'!ES56+[1]养成buff汇总!J58+'[1]功能-采集'!BU57+[2]产出汇总!BA58+[1]养成buff汇总!HA58</f>
        <v>386220810.61609823</v>
      </c>
      <c r="BZ58" s="47">
        <f>'[1]功能-城建'!ET56+[1]养成buff汇总!K58+'[1]功能-采集'!BV57+[2]产出汇总!BB58+[1]养成buff汇总!HB58</f>
        <v>263176939.77085218</v>
      </c>
      <c r="CA58" s="47">
        <f>'[1]功能-城建'!EU56+[1]养成buff汇总!L58+'[1]功能-采集'!BW57+[2]产出汇总!BC58+[1]养成buff汇总!HC58</f>
        <v>191092699.80473426</v>
      </c>
      <c r="CD58" s="49">
        <v>53</v>
      </c>
      <c r="CE58" s="44">
        <f>'[1]资源-铁'!T58</f>
        <v>30862714.050552826</v>
      </c>
      <c r="CF58" s="44">
        <f>'[1]资源-铁'!U58</f>
        <v>53519442.460225798</v>
      </c>
      <c r="CG58" s="44">
        <f>'[1]资源-铁'!V58</f>
        <v>89229061.283189401</v>
      </c>
      <c r="CH58" s="44">
        <f>'[1]资源-铁'!W58</f>
        <v>148327568.08028966</v>
      </c>
      <c r="CI58" s="44">
        <f>'[1]资源-铁'!X58</f>
        <v>263941353.80363506</v>
      </c>
      <c r="CL58" s="49">
        <v>53</v>
      </c>
      <c r="CM58" s="44">
        <f>'[1]功能-城建'!HF56+[1]养成buff汇总!S58+'[1]功能-采集'!BX57</f>
        <v>9827910.682146132</v>
      </c>
      <c r="CN58" s="44">
        <f>'[1]功能-城建'!HG56+[1]养成buff汇总!T58+'[1]功能-采集'!BY57</f>
        <v>9916168.5168886594</v>
      </c>
      <c r="CO58" s="44">
        <f>'[1]功能-城建'!HH56+[1]养成buff汇总!U58+'[1]功能-采集'!BZ57</f>
        <v>11788685.930956438</v>
      </c>
      <c r="CP58" s="44">
        <f>'[1]功能-城建'!HI56+[1]养成buff汇总!V58+'[1]功能-采集'!CA57</f>
        <v>9488042.6428080034</v>
      </c>
      <c r="CQ58" s="44">
        <f>'[1]功能-城建'!HJ56+[1]养成buff汇总!W58+'[1]功能-采集'!CB57</f>
        <v>5753936.0498557203</v>
      </c>
      <c r="CT58" s="49">
        <v>53</v>
      </c>
      <c r="CU58" s="17">
        <f>'[1]资源-玩家城池建筑时间'!AJ58+CU57</f>
        <v>18835580.689125702</v>
      </c>
      <c r="CV58" s="17">
        <f>'[1]资源-玩家城池建筑时间'!AK58+CV57</f>
        <v>20700410.193365298</v>
      </c>
      <c r="CW58" s="17">
        <f>'[1]资源-玩家城池建筑时间'!AL58+CW57</f>
        <v>23010353.559052475</v>
      </c>
      <c r="CX58" s="17">
        <f>'[1]资源-玩家城池建筑时间'!AM58+CX57</f>
        <v>25721884.337522324</v>
      </c>
      <c r="CY58" s="17">
        <f>'[1]资源-玩家城池建筑时间'!AN58+CY57</f>
        <v>29056378.619541004</v>
      </c>
      <c r="DB58" s="49">
        <v>53</v>
      </c>
      <c r="DC58" s="17">
        <f>'[1]资源-士兵训练时间'!U58</f>
        <v>5604560.5049987128</v>
      </c>
      <c r="DD58" s="17">
        <f>'[1]资源-士兵训练时间'!V58</f>
        <v>8327918.7057030164</v>
      </c>
      <c r="DE58" s="17">
        <f>'[1]资源-士兵训练时间'!W58</f>
        <v>11738945.574632356</v>
      </c>
      <c r="DF58" s="17">
        <f>'[1]资源-士兵训练时间'!X58</f>
        <v>15893037.082892042</v>
      </c>
      <c r="DG58" s="17">
        <f>'[1]资源-士兵训练时间'!Y58</f>
        <v>24081164.142182361</v>
      </c>
    </row>
    <row r="59" spans="2:111" x14ac:dyDescent="0.15">
      <c r="B59" s="23">
        <v>56</v>
      </c>
      <c r="C59" s="24">
        <f>'[1]资源-钻石'!L59</f>
        <v>300101.80452975549</v>
      </c>
      <c r="D59" s="24">
        <f>'[1]资源-钻石'!M59</f>
        <v>361407.65574675618</v>
      </c>
      <c r="E59" s="24">
        <f>'[1]资源-钻石'!N59</f>
        <v>488519.06989877566</v>
      </c>
      <c r="F59" s="24">
        <f>'[1]资源-钻石'!O59</f>
        <v>943298.66008732654</v>
      </c>
      <c r="G59" s="24">
        <f>'[1]资源-钻石'!P59</f>
        <v>1353041.3129432828</v>
      </c>
      <c r="I59" s="23">
        <v>56</v>
      </c>
      <c r="J59" s="24">
        <f>'[1]资源-钻石'!T59</f>
        <v>350419.92935485335</v>
      </c>
      <c r="K59" s="24">
        <f>'[1]资源-钻石'!U59</f>
        <v>482061.92229033879</v>
      </c>
      <c r="L59" s="24">
        <f>'[1]资源-钻石'!V59</f>
        <v>786258.11451937258</v>
      </c>
      <c r="M59" s="24">
        <f>'[1]资源-钻石'!W59</f>
        <v>2016033.9259713101</v>
      </c>
      <c r="N59" s="24">
        <f>'[1]资源-钻石'!X59</f>
        <v>4739299.8185684411</v>
      </c>
      <c r="P59" s="28">
        <v>56</v>
      </c>
      <c r="Q59" s="28">
        <f>'[1]功能-行军令'!N59</f>
        <v>2185.1347859033053</v>
      </c>
      <c r="R59" s="28">
        <f>'[1]功能-行军令'!O59</f>
        <v>2765.4448312300565</v>
      </c>
      <c r="S59" s="28">
        <f>'[1]功能-行军令'!P59</f>
        <v>3083.8617221732834</v>
      </c>
      <c r="T59" s="28">
        <f>'[1]功能-行军令'!Q59</f>
        <v>2565.7852656076611</v>
      </c>
      <c r="U59" s="28">
        <f>'[1]功能-行军令'!R59</f>
        <v>1425.2731652774821</v>
      </c>
      <c r="V59" s="28">
        <f>'[1]功能-行军令'!S59</f>
        <v>149.4124220901092</v>
      </c>
      <c r="W59" s="28">
        <f>'[1]功能-行军令'!T59</f>
        <v>183.7550058923598</v>
      </c>
      <c r="X59" s="28">
        <f>'[1]功能-行军令'!U59</f>
        <v>204.4209482275096</v>
      </c>
      <c r="Y59" s="28">
        <f>'[1]功能-行军令'!V59</f>
        <v>167.69104458551737</v>
      </c>
      <c r="Z59" s="28">
        <f>'[1]功能-行军令'!W59</f>
        <v>91.985654064828623</v>
      </c>
      <c r="AC59" s="30">
        <v>56</v>
      </c>
      <c r="AD59" s="41">
        <f>'[1]功能-实力'!BE60</f>
        <v>2023632</v>
      </c>
      <c r="AE59" s="41">
        <f>'[1]功能-实力'!BF60</f>
        <v>2111250</v>
      </c>
      <c r="AF59" s="41">
        <f>'[1]功能-实力'!BG60</f>
        <v>2415258</v>
      </c>
      <c r="AG59" s="41">
        <f>'[1]功能-实力'!BH60</f>
        <v>2758128</v>
      </c>
      <c r="AH59" s="41">
        <f>'[1]功能-实力'!BI60</f>
        <v>3033618</v>
      </c>
      <c r="AL59" s="37">
        <f>[3]基础状态预期!C69</f>
        <v>34</v>
      </c>
      <c r="AM59" s="37">
        <f>[3]基础状态预期!D69</f>
        <v>53.226994578658328</v>
      </c>
      <c r="AO59" s="37">
        <f>[3]基础状态预期!F69</f>
        <v>0</v>
      </c>
      <c r="AP59" s="37">
        <f>[3]基础状态预期!G69</f>
        <v>0</v>
      </c>
      <c r="AQ59" s="37">
        <f>[3]基础状态预期!H69</f>
        <v>0</v>
      </c>
      <c r="AR59" s="37">
        <f>[3]基础状态预期!I69</f>
        <v>5</v>
      </c>
      <c r="AS59" s="37">
        <f>[3]基础状态预期!J69</f>
        <v>1</v>
      </c>
      <c r="AW59" s="32">
        <v>53</v>
      </c>
      <c r="AX59" s="32">
        <f>[1]节奏总纲!BJ56</f>
        <v>2.600000000000001</v>
      </c>
      <c r="AY59" s="32">
        <f>[1]节奏总纲!BK56</f>
        <v>2.652000000000001</v>
      </c>
      <c r="AZ59" s="32">
        <f>[1]节奏总纲!BL56</f>
        <v>2.7560000000000011</v>
      </c>
      <c r="BA59" s="32">
        <f>[1]节奏总纲!BM56</f>
        <v>2.9640000000000009</v>
      </c>
      <c r="BB59" s="32">
        <f>[1]节奏总纲!BN56</f>
        <v>3.640000000000001</v>
      </c>
      <c r="BF59" s="42">
        <f>'[1]功能-行军令'!FZ57</f>
        <v>53</v>
      </c>
      <c r="BG59" s="42">
        <f>'[1]功能-行军令'!GA57*'[1]功能-行军令'!GB57</f>
        <v>215.78093512456331</v>
      </c>
      <c r="BN59" s="49">
        <v>54</v>
      </c>
      <c r="BO59" s="17">
        <f>'[1]资源-木石铜粮'!U59</f>
        <v>896350960.44434416</v>
      </c>
      <c r="BP59" s="17">
        <f>'[1]资源-木石铜粮'!V59</f>
        <v>1000992273.6306094</v>
      </c>
      <c r="BQ59" s="17">
        <f>'[1]资源-木石铜粮'!W59</f>
        <v>1110427368.096473</v>
      </c>
      <c r="BR59" s="17">
        <f>'[1]资源-木石铜粮'!X59</f>
        <v>1097778425.4886229</v>
      </c>
      <c r="BS59" s="17">
        <f>'[1]资源-木石铜粮'!Y59</f>
        <v>1039800739.526433</v>
      </c>
      <c r="BV59" s="49">
        <v>54</v>
      </c>
      <c r="BW59" s="47">
        <f>'[1]功能-城建'!EQ57+[1]养成buff汇总!H59+'[1]功能-采集'!BS58+[2]产出汇总!AY59+[1]养成buff汇总!GY59</f>
        <v>556496225.01113892</v>
      </c>
      <c r="BX59" s="47">
        <f>'[1]功能-城建'!ER57+[1]养成buff汇总!I59+'[1]功能-采集'!BT58+[2]产出汇总!AZ59+[1]养成buff汇总!GZ59</f>
        <v>434338644.66123426</v>
      </c>
      <c r="BY59" s="47">
        <f>'[1]功能-城建'!ES57+[1]养成buff汇总!J59+'[1]功能-采集'!BU58+[2]产出汇总!BA59+[1]养成buff汇总!HA59</f>
        <v>428745668.28219283</v>
      </c>
      <c r="BZ59" s="47">
        <f>'[1]功能-城建'!ET57+[1]养成buff汇总!K59+'[1]功能-采集'!BV58+[2]产出汇总!BB59+[1]养成buff汇总!HB59</f>
        <v>290904588.256405</v>
      </c>
      <c r="CA59" s="47">
        <f>'[1]功能-城建'!EU57+[1]养成buff汇总!L59+'[1]功能-采集'!BW58+[2]产出汇总!BC59+[1]养成buff汇总!HC59</f>
        <v>210896991.89761204</v>
      </c>
      <c r="CD59" s="49">
        <v>54</v>
      </c>
      <c r="CE59" s="44">
        <f>'[1]资源-铁'!T59</f>
        <v>42980467.746179</v>
      </c>
      <c r="CF59" s="44">
        <f>'[1]资源-铁'!U59</f>
        <v>70502013.151804686</v>
      </c>
      <c r="CG59" s="44">
        <f>'[1]资源-铁'!V59</f>
        <v>114831768.86716077</v>
      </c>
      <c r="CH59" s="44">
        <f>'[1]资源-铁'!W59</f>
        <v>182336343.09921283</v>
      </c>
      <c r="CI59" s="44">
        <f>'[1]资源-铁'!X59</f>
        <v>322994986.82685804</v>
      </c>
      <c r="CL59" s="49">
        <v>54</v>
      </c>
      <c r="CM59" s="44">
        <f>'[1]功能-城建'!HF57+[1]养成buff汇总!S59+'[1]功能-采集'!BX58</f>
        <v>17954469.253617834</v>
      </c>
      <c r="CN59" s="44">
        <f>'[1]功能-城建'!HG57+[1]养成buff汇总!T59+'[1]功能-采集'!BY58</f>
        <v>17439772.839453973</v>
      </c>
      <c r="CO59" s="44">
        <f>'[1]功能-城建'!HH57+[1]养成buff汇总!U59+'[1]功能-采集'!BZ58</f>
        <v>18528830.644663218</v>
      </c>
      <c r="CP59" s="44">
        <f>'[1]功能-城建'!HI57+[1]养成buff汇总!V59+'[1]功能-采集'!CA58</f>
        <v>14264951.923935428</v>
      </c>
      <c r="CQ59" s="44">
        <f>'[1]功能-城建'!HJ57+[1]养成buff汇总!W59+'[1]功能-采集'!CB58</f>
        <v>7472066.4022655217</v>
      </c>
      <c r="CT59" s="49">
        <v>54</v>
      </c>
      <c r="CU59" s="17">
        <f>'[1]资源-玩家城池建筑时间'!AJ59+CU58</f>
        <v>20390613.970169161</v>
      </c>
      <c r="CV59" s="17">
        <f>'[1]资源-玩家城池建筑时间'!AK59+CV58</f>
        <v>22439931.64988701</v>
      </c>
      <c r="CW59" s="17">
        <f>'[1]资源-玩家城池建筑时间'!AL59+CW58</f>
        <v>24855815.555106495</v>
      </c>
      <c r="CX59" s="17">
        <f>'[1]资源-玩家城池建筑时间'!AM59+CX58</f>
        <v>27749854.591648705</v>
      </c>
      <c r="CY59" s="17">
        <f>'[1]资源-玩家城池建筑时间'!AN59+CY58</f>
        <v>31264947.138509843</v>
      </c>
      <c r="DB59" s="49">
        <v>54</v>
      </c>
      <c r="DC59" s="17">
        <f>'[1]资源-士兵训练时间'!U59</f>
        <v>6138992.5629344685</v>
      </c>
      <c r="DD59" s="17">
        <f>'[1]资源-士兵训练时间'!V59</f>
        <v>9128598.4599972237</v>
      </c>
      <c r="DE59" s="17">
        <f>'[1]资源-士兵训练时间'!W59</f>
        <v>12763839.561639694</v>
      </c>
      <c r="DF59" s="17">
        <f>'[1]资源-士兵训练时间'!X59</f>
        <v>17236912.981491879</v>
      </c>
      <c r="DG59" s="17">
        <f>'[1]资源-士兵训练时间'!Y59</f>
        <v>25938277.474384207</v>
      </c>
    </row>
    <row r="60" spans="2:111" x14ac:dyDescent="0.15">
      <c r="B60" s="23">
        <v>57</v>
      </c>
      <c r="C60" s="24">
        <f>'[1]资源-钻石'!L60</f>
        <v>320716.98459803592</v>
      </c>
      <c r="D60" s="24">
        <f>'[1]资源-钻石'!M60</f>
        <v>386276.71414855041</v>
      </c>
      <c r="E60" s="24">
        <f>'[1]资源-钻石'!N60</f>
        <v>521205.28689761099</v>
      </c>
      <c r="F60" s="24">
        <f>'[1]资源-钻石'!O60</f>
        <v>1000894.3306917276</v>
      </c>
      <c r="G60" s="24">
        <f>'[1]资源-钻石'!P60</f>
        <v>1430202.2020376271</v>
      </c>
      <c r="I60" s="23">
        <v>57</v>
      </c>
      <c r="J60" s="24">
        <f>'[1]资源-钻石'!T60</f>
        <v>356341.75012190145</v>
      </c>
      <c r="K60" s="24">
        <f>'[1]资源-钻石'!U60</f>
        <v>490255.9251340917</v>
      </c>
      <c r="L60" s="24">
        <f>'[1]资源-钻石'!V60</f>
        <v>799723.51764750073</v>
      </c>
      <c r="M60" s="24">
        <f>'[1]资源-钻石'!W60</f>
        <v>2050865.869412251</v>
      </c>
      <c r="N60" s="24">
        <f>'[1]资源-钻石'!X60</f>
        <v>4821469.9563534763</v>
      </c>
      <c r="P60" s="28">
        <v>57</v>
      </c>
      <c r="Q60" s="28">
        <f>'[1]功能-行军令'!N60</f>
        <v>2345.2710548727578</v>
      </c>
      <c r="R60" s="28">
        <f>'[1]功能-行军令'!O60</f>
        <v>2968.7919553027004</v>
      </c>
      <c r="S60" s="28">
        <f>'[1]功能-行军令'!P60</f>
        <v>3304.7571323285597</v>
      </c>
      <c r="T60" s="28">
        <f>'[1]功能-行军令'!Q60</f>
        <v>2746.4653577160998</v>
      </c>
      <c r="U60" s="28">
        <f>'[1]功能-行军令'!R60</f>
        <v>1526.0474817443567</v>
      </c>
      <c r="V60" s="28">
        <f>'[1]功能-行军令'!S60</f>
        <v>160.13626896945243</v>
      </c>
      <c r="W60" s="28">
        <f>'[1]功能-行军令'!T60</f>
        <v>203.34712407264396</v>
      </c>
      <c r="X60" s="28">
        <f>'[1]功能-行军令'!U60</f>
        <v>220.89541015527629</v>
      </c>
      <c r="Y60" s="28">
        <f>'[1]功能-行军令'!V60</f>
        <v>180.68009210843866</v>
      </c>
      <c r="Z60" s="28">
        <f>'[1]功能-行军令'!W60</f>
        <v>100.77431646687455</v>
      </c>
      <c r="AC60" s="30">
        <v>57</v>
      </c>
      <c r="AD60" s="41">
        <f>'[1]功能-实力'!BE61</f>
        <v>2115984</v>
      </c>
      <c r="AE60" s="41">
        <f>'[1]功能-实力'!BF61</f>
        <v>2209884</v>
      </c>
      <c r="AF60" s="41">
        <f>'[1]功能-实力'!BG61</f>
        <v>2488284</v>
      </c>
      <c r="AG60" s="41">
        <f>'[1]功能-实力'!BH61</f>
        <v>2896602</v>
      </c>
      <c r="AH60" s="41">
        <f>'[1]功能-实力'!BI61</f>
        <v>3183102</v>
      </c>
      <c r="AL60" s="37">
        <f>[3]基础状态预期!C70</f>
        <v>51</v>
      </c>
      <c r="AM60" s="37">
        <f>[3]基础状态预期!D70</f>
        <v>59.016342740868758</v>
      </c>
      <c r="AO60" s="37">
        <f>[3]基础状态预期!F70</f>
        <v>0</v>
      </c>
      <c r="AP60" s="37">
        <f>[3]基础状态预期!G70</f>
        <v>0</v>
      </c>
      <c r="AQ60" s="37">
        <f>[3]基础状态预期!H70</f>
        <v>0</v>
      </c>
      <c r="AR60" s="37">
        <f>[3]基础状态预期!I70</f>
        <v>4</v>
      </c>
      <c r="AS60" s="37">
        <f>[3]基础状态预期!J70</f>
        <v>2</v>
      </c>
      <c r="AW60" s="32">
        <v>54</v>
      </c>
      <c r="AX60" s="32">
        <f>[1]节奏总纲!BJ57</f>
        <v>2.6333333333333342</v>
      </c>
      <c r="AY60" s="32">
        <f>[1]节奏总纲!BK57</f>
        <v>2.6860000000000008</v>
      </c>
      <c r="AZ60" s="32">
        <f>[1]节奏总纲!BL57</f>
        <v>2.7913333333333346</v>
      </c>
      <c r="BA60" s="32">
        <f>[1]节奏总纲!BM57</f>
        <v>3.0020000000000007</v>
      </c>
      <c r="BB60" s="32">
        <f>[1]节奏总纲!BN57</f>
        <v>3.6866666666666674</v>
      </c>
      <c r="BF60" s="42">
        <f>'[1]功能-行军令'!FZ58</f>
        <v>54</v>
      </c>
      <c r="BG60" s="42">
        <f>'[1]功能-行军令'!GA58*'[1]功能-行军令'!GB58</f>
        <v>220.09655382705461</v>
      </c>
      <c r="BN60" s="49">
        <v>55</v>
      </c>
      <c r="BO60" s="17">
        <f>'[1]资源-木石铜粮'!U60</f>
        <v>994061059.98643541</v>
      </c>
      <c r="BP60" s="17">
        <f>'[1]资源-木石铜粮'!V60</f>
        <v>1107838927.529248</v>
      </c>
      <c r="BQ60" s="17">
        <f>'[1]资源-木石铜粮'!W60</f>
        <v>1224951659.0030246</v>
      </c>
      <c r="BR60" s="17">
        <f>'[1]资源-木石铜粮'!X60</f>
        <v>1211707797.9123869</v>
      </c>
      <c r="BS60" s="17">
        <f>'[1]资源-木石铜粮'!Y60</f>
        <v>1146780538.4858062</v>
      </c>
      <c r="BV60" s="49">
        <v>55</v>
      </c>
      <c r="BW60" s="47">
        <f>'[1]功能-城建'!EQ58+[1]养成buff汇总!H60+'[1]功能-采集'!BS59+[2]产出汇总!AY60+[1]养成buff汇总!GY60</f>
        <v>618538895.8868295</v>
      </c>
      <c r="BX60" s="47">
        <f>'[1]功能-城建'!ER58+[1]养成buff汇总!I60+'[1]功能-采集'!BT59+[2]产出汇总!AZ60+[1]养成buff汇总!GZ60</f>
        <v>480335641.74512315</v>
      </c>
      <c r="BY60" s="47">
        <f>'[1]功能-城建'!ES58+[1]养成buff汇总!J60+'[1]功能-采集'!BU59+[2]产出汇总!BA60+[1]养成buff汇总!HA60</f>
        <v>474348300.32832789</v>
      </c>
      <c r="BZ60" s="47">
        <f>'[1]功能-城建'!ET58+[1]养成buff汇总!K60+'[1]功能-采集'!BV59+[2]产出汇总!BB60+[1]养成buff汇总!HB60</f>
        <v>320821077.63891214</v>
      </c>
      <c r="CA60" s="47">
        <f>'[1]功能-城建'!EU58+[1]养成buff汇总!L60+'[1]功能-采集'!BW59+[2]产出汇总!BC60+[1]养成buff汇总!HC60</f>
        <v>232546949.71930605</v>
      </c>
      <c r="CD60" s="49">
        <v>55</v>
      </c>
      <c r="CE60" s="44">
        <f>'[1]资源-铁'!T60</f>
        <v>56868685.885265008</v>
      </c>
      <c r="CF60" s="44">
        <f>'[1]资源-铁'!U60</f>
        <v>90523791.965741485</v>
      </c>
      <c r="CG60" s="44">
        <f>'[1]资源-铁'!V60</f>
        <v>142113300.3821643</v>
      </c>
      <c r="CH60" s="44">
        <f>'[1]资源-铁'!W60</f>
        <v>228873026.18622869</v>
      </c>
      <c r="CI60" s="44">
        <f>'[1]资源-铁'!X60</f>
        <v>391219146.6912027</v>
      </c>
      <c r="CL60" s="49">
        <v>55</v>
      </c>
      <c r="CM60" s="44">
        <f>'[1]功能-城建'!HF58+[1]养成buff汇总!S60+'[1]功能-采集'!BX59</f>
        <v>28569822.585960608</v>
      </c>
      <c r="CN60" s="44">
        <f>'[1]功能-城建'!HG58+[1]养成buff汇总!T60+'[1]功能-采集'!BY59</f>
        <v>26034023.838169269</v>
      </c>
      <c r="CO60" s="44">
        <f>'[1]功能-城建'!HH58+[1]养成buff汇总!U60+'[1]功能-采集'!BZ59</f>
        <v>26363586.886331137</v>
      </c>
      <c r="CP60" s="44">
        <f>'[1]功能-城建'!HI58+[1]养成buff汇总!V60+'[1]功能-采集'!CA59</f>
        <v>19951345.115137272</v>
      </c>
      <c r="CQ60" s="44">
        <f>'[1]功能-城建'!HJ58+[1]养成buff汇总!W60+'[1]功能-采集'!CB59</f>
        <v>9357898.1980259456</v>
      </c>
      <c r="CT60" s="49">
        <v>55</v>
      </c>
      <c r="CU60" s="17">
        <f>'[1]资源-玩家城池建筑时间'!AJ60+CU59</f>
        <v>22064553.848981943</v>
      </c>
      <c r="CV60" s="17">
        <f>'[1]资源-玩家城池建筑时间'!AK60+CV59</f>
        <v>24243714.976771645</v>
      </c>
      <c r="CW60" s="17">
        <f>'[1]资源-玩家城池建筑时间'!AL60+CW59</f>
        <v>26810089.098624803</v>
      </c>
      <c r="CX60" s="17">
        <f>'[1]资源-玩家城池建筑时间'!AM60+CX59</f>
        <v>29921085.733043741</v>
      </c>
      <c r="CY60" s="17">
        <f>'[1]资源-玩家城池建筑时间'!AN60+CY59</f>
        <v>33657619.152702764</v>
      </c>
      <c r="DB60" s="49">
        <v>55</v>
      </c>
      <c r="DC60" s="17">
        <f>'[1]资源-士兵训练时间'!U60</f>
        <v>6716862.5997682298</v>
      </c>
      <c r="DD60" s="17">
        <f>'[1]资源-士兵训练时间'!V60</f>
        <v>9939474.3626945857</v>
      </c>
      <c r="DE60" s="17">
        <f>'[1]资源-士兵训练时间'!W60</f>
        <v>13847761.49071875</v>
      </c>
      <c r="DF60" s="17">
        <f>'[1]资源-士兵训练时间'!X60</f>
        <v>18606201.142130144</v>
      </c>
      <c r="DG60" s="17">
        <f>'[1]资源-士兵训练时间'!Y60</f>
        <v>27977424.666435342</v>
      </c>
    </row>
    <row r="61" spans="2:111" x14ac:dyDescent="0.15">
      <c r="B61" s="23">
        <v>58</v>
      </c>
      <c r="C61" s="24">
        <f>'[1]资源-钻石'!L61</f>
        <v>342811.78752062574</v>
      </c>
      <c r="D61" s="24">
        <f>'[1]资源-钻石'!M61</f>
        <v>412085.10318505811</v>
      </c>
      <c r="E61" s="24">
        <f>'[1]资源-钻石'!N61</f>
        <v>556181.17917750613</v>
      </c>
      <c r="F61" s="24">
        <f>'[1]资源-钻石'!O61</f>
        <v>1063526.9312434359</v>
      </c>
      <c r="G61" s="24">
        <f>'[1]资源-钻石'!P61</f>
        <v>1510559.4194838239</v>
      </c>
      <c r="I61" s="23">
        <v>58</v>
      </c>
      <c r="J61" s="24">
        <f>'[1]资源-钻石'!T61</f>
        <v>362263.5708889495</v>
      </c>
      <c r="K61" s="24">
        <f>'[1]资源-钻石'!U61</f>
        <v>498449.92797784461</v>
      </c>
      <c r="L61" s="24">
        <f>'[1]资源-钻石'!V61</f>
        <v>813188.920775629</v>
      </c>
      <c r="M61" s="24">
        <f>'[1]资源-钻石'!W61</f>
        <v>2085697.812853192</v>
      </c>
      <c r="N61" s="24">
        <f>'[1]资源-钻石'!X61</f>
        <v>4903640.0941385105</v>
      </c>
      <c r="P61" s="28">
        <v>58</v>
      </c>
      <c r="Q61" s="28">
        <f>'[1]功能-行军令'!N61</f>
        <v>2516.9008583437885</v>
      </c>
      <c r="R61" s="28">
        <f>'[1]功能-行军令'!O61</f>
        <v>3179.8197152899115</v>
      </c>
      <c r="S61" s="28">
        <f>'[1]功能-行军令'!P61</f>
        <v>3541.126305028768</v>
      </c>
      <c r="T61" s="28">
        <f>'[1]功能-行军令'!Q61</f>
        <v>2942.9465153781307</v>
      </c>
      <c r="U61" s="28">
        <f>'[1]功能-行军令'!R61</f>
        <v>1633.2169669792843</v>
      </c>
      <c r="V61" s="28">
        <f>'[1]功能-行军令'!S61</f>
        <v>171.62980347103075</v>
      </c>
      <c r="W61" s="28">
        <f>'[1]功能-行军令'!T61</f>
        <v>211.02775998721108</v>
      </c>
      <c r="X61" s="28">
        <f>'[1]功能-行军令'!U61</f>
        <v>236.36917270020831</v>
      </c>
      <c r="Y61" s="28">
        <f>'[1]功能-行军令'!V61</f>
        <v>196.48115766203091</v>
      </c>
      <c r="Z61" s="28">
        <f>'[1]功能-行军令'!W61</f>
        <v>107.16948523492761</v>
      </c>
      <c r="AC61" s="30">
        <v>58</v>
      </c>
      <c r="AD61" s="41">
        <f>'[1]功能-实力'!BE62</f>
        <v>2211594</v>
      </c>
      <c r="AE61" s="41">
        <f>'[1]功能-实力'!BF62</f>
        <v>2310714</v>
      </c>
      <c r="AF61" s="41">
        <f>'[1]功能-实力'!BG62</f>
        <v>2563944</v>
      </c>
      <c r="AG61" s="41">
        <f>'[1]功能-实力'!BH62</f>
        <v>3040992</v>
      </c>
      <c r="AH61" s="41">
        <f>'[1]功能-实力'!BI62</f>
        <v>3336642</v>
      </c>
      <c r="AL61" s="37">
        <f>[3]基础状态预期!C71</f>
        <v>76.5</v>
      </c>
      <c r="AM61" s="37">
        <f>[3]基础状态预期!D71</f>
        <v>64.781009552500748</v>
      </c>
      <c r="AO61" s="37">
        <f>[3]基础状态预期!F71</f>
        <v>0</v>
      </c>
      <c r="AP61" s="37">
        <f>[3]基础状态预期!G71</f>
        <v>0</v>
      </c>
      <c r="AQ61" s="37">
        <f>[3]基础状态预期!H71</f>
        <v>0</v>
      </c>
      <c r="AR61" s="37">
        <f>[3]基础状态预期!I71</f>
        <v>3</v>
      </c>
      <c r="AS61" s="37">
        <f>[3]基础状态预期!J71</f>
        <v>3</v>
      </c>
      <c r="AW61" s="32">
        <v>55</v>
      </c>
      <c r="AX61" s="32">
        <f>[1]节奏总纲!BJ58</f>
        <v>2.6666666666666674</v>
      </c>
      <c r="AY61" s="32">
        <f>[1]节奏总纲!BK58</f>
        <v>2.7200000000000006</v>
      </c>
      <c r="AZ61" s="32">
        <f>[1]节奏总纲!BL58</f>
        <v>2.8266666666666675</v>
      </c>
      <c r="BA61" s="32">
        <f>[1]节奏总纲!BM58</f>
        <v>3.0400000000000005</v>
      </c>
      <c r="BB61" s="32">
        <f>[1]节奏总纲!BN58</f>
        <v>3.7333333333333343</v>
      </c>
      <c r="BF61" s="42">
        <f>'[1]功能-行军令'!FZ59</f>
        <v>55</v>
      </c>
      <c r="BG61" s="42">
        <f>'[1]功能-行军令'!GA59*'[1]功能-行军令'!GB59</f>
        <v>224.49848490359568</v>
      </c>
      <c r="BN61" s="49">
        <v>56</v>
      </c>
      <c r="BO61" s="17">
        <f>'[1]资源-木石铜粮'!U61</f>
        <v>1101253506.3795605</v>
      </c>
      <c r="BP61" s="17">
        <f>'[1]资源-木石铜粮'!V61</f>
        <v>1224470387.2511203</v>
      </c>
      <c r="BQ61" s="17">
        <f>'[1]资源-木石铜粮'!W61</f>
        <v>1351472941.4263434</v>
      </c>
      <c r="BR61" s="17">
        <f>'[1]资源-木石铜粮'!X61</f>
        <v>1336235721.6885886</v>
      </c>
      <c r="BS61" s="17">
        <f>'[1]资源-木石铜粮'!Y61</f>
        <v>1265829419.0155418</v>
      </c>
      <c r="BV61" s="49">
        <v>56</v>
      </c>
      <c r="BW61" s="47">
        <f>'[1]功能-城建'!EQ59+[1]养成buff汇总!H61+'[1]功能-采集'!BS60+[2]产出汇总!AY61+[1]养成buff汇总!GY61</f>
        <v>686375738.27039051</v>
      </c>
      <c r="BX61" s="47">
        <f>'[1]功能-城建'!ER59+[1]养成buff汇总!I61+'[1]功能-采集'!BT60+[2]产出汇总!AZ61+[1]养成buff汇总!GZ61</f>
        <v>529846209.86397898</v>
      </c>
      <c r="BY61" s="47">
        <f>'[1]功能-城建'!ES59+[1]养成buff汇总!J61+'[1]功能-采集'!BU60+[2]产出汇总!BA61+[1]养成buff汇总!HA61</f>
        <v>524560926.96317816</v>
      </c>
      <c r="BZ61" s="47">
        <f>'[1]功能-城建'!ET59+[1]养成buff汇总!K61+'[1]功能-采集'!BV60+[2]产出汇总!BB61+[1]养成buff汇总!HB61</f>
        <v>353124889.98615277</v>
      </c>
      <c r="CA61" s="47">
        <f>'[1]功能-城建'!EU59+[1]养成buff汇总!L61+'[1]功能-采集'!BW60+[2]产出汇总!BC61+[1]养成buff汇总!HC61</f>
        <v>256243138.32057554</v>
      </c>
      <c r="CD61" s="49">
        <v>56</v>
      </c>
      <c r="CE61" s="44">
        <f>'[1]资源-铁'!T61</f>
        <v>73173249.863974467</v>
      </c>
      <c r="CF61" s="44">
        <f>'[1]资源-铁'!U61</f>
        <v>113283839.37005609</v>
      </c>
      <c r="CG61" s="44">
        <f>'[1]资源-铁'!V61</f>
        <v>177777397.38256562</v>
      </c>
      <c r="CH61" s="44">
        <f>'[1]资源-铁'!W61</f>
        <v>278712293.36618984</v>
      </c>
      <c r="CI61" s="44">
        <f>'[1]资源-铁'!X61</f>
        <v>476271908.47124809</v>
      </c>
      <c r="CL61" s="49">
        <v>56</v>
      </c>
      <c r="CM61" s="44">
        <f>'[1]功能-城建'!HF59+[1]养成buff汇总!S61+'[1]功能-采集'!BX60</f>
        <v>41141714.326947764</v>
      </c>
      <c r="CN61" s="44">
        <f>'[1]功能-城建'!HG59+[1]养成buff汇总!T61+'[1]功能-采集'!BY60</f>
        <v>36050547.616002515</v>
      </c>
      <c r="CO61" s="44">
        <f>'[1]功能-城建'!HH59+[1]养成buff汇总!U61+'[1]功能-采集'!BZ60</f>
        <v>35756754.841794625</v>
      </c>
      <c r="CP61" s="44">
        <f>'[1]功能-城建'!HI59+[1]养成buff汇总!V61+'[1]功能-采集'!CA60</f>
        <v>26594067.481665537</v>
      </c>
      <c r="CQ61" s="44">
        <f>'[1]功能-城建'!HJ59+[1]养成buff汇总!W61+'[1]功能-采集'!CB60</f>
        <v>11465312.82980663</v>
      </c>
      <c r="CT61" s="49">
        <v>56</v>
      </c>
      <c r="CU61" s="17">
        <f>'[1]资源-玩家城池建筑时间'!AJ61+CU60</f>
        <v>23871530.507216837</v>
      </c>
      <c r="CV61" s="17">
        <f>'[1]资源-玩家城池建筑时间'!AK61+CV60</f>
        <v>26168438.506981064</v>
      </c>
      <c r="CW61" s="17">
        <f>'[1]资源-玩家城池建筑时间'!AL61+CW60</f>
        <v>28935474.427806027</v>
      </c>
      <c r="CX61" s="17">
        <f>'[1]资源-玩家城池建筑时间'!AM61+CX60</f>
        <v>32246403.348893151</v>
      </c>
      <c r="CY61" s="17">
        <f>'[1]资源-玩家城池建筑时间'!AN61+CY60</f>
        <v>36258345.772255257</v>
      </c>
      <c r="DB61" s="49">
        <v>56</v>
      </c>
      <c r="DC61" s="17">
        <f>'[1]资源-士兵训练时间'!U61</f>
        <v>7330748.3183237975</v>
      </c>
      <c r="DD61" s="17">
        <f>'[1]资源-士兵训练时间'!V61</f>
        <v>10793500.166289117</v>
      </c>
      <c r="DE61" s="17">
        <f>'[1]资源-士兵训练时间'!W61</f>
        <v>14987187.340830676</v>
      </c>
      <c r="DF61" s="17">
        <f>'[1]资源-士兵训练时间'!X61</f>
        <v>20072664.025976043</v>
      </c>
      <c r="DG61" s="17">
        <f>'[1]资源-士兵训练时间'!Y61</f>
        <v>30263725.739016287</v>
      </c>
    </row>
    <row r="62" spans="2:111" x14ac:dyDescent="0.15">
      <c r="B62" s="23">
        <v>59</v>
      </c>
      <c r="C62" s="24">
        <f>'[1]资源-钻石'!L62</f>
        <v>366492.41095302731</v>
      </c>
      <c r="D62" s="24">
        <f>'[1]资源-钻石'!M62</f>
        <v>440603.24315378326</v>
      </c>
      <c r="E62" s="24">
        <f>'[1]资源-钻石'!N62</f>
        <v>594081.48363885481</v>
      </c>
      <c r="F62" s="24">
        <f>'[1]资源-钻石'!O62</f>
        <v>1131569.594812294</v>
      </c>
      <c r="G62" s="24">
        <f>'[1]资源-钻石'!P62</f>
        <v>1599153.3742515731</v>
      </c>
      <c r="I62" s="23">
        <v>59</v>
      </c>
      <c r="J62" s="24">
        <f>'[1]资源-钻石'!T62</f>
        <v>368185.39165599761</v>
      </c>
      <c r="K62" s="24">
        <f>'[1]资源-钻石'!U62</f>
        <v>506643.93082159746</v>
      </c>
      <c r="L62" s="24">
        <f>'[1]资源-钻石'!V62</f>
        <v>826654.32390375715</v>
      </c>
      <c r="M62" s="24">
        <f>'[1]资源-钻石'!W62</f>
        <v>2120529.7562941331</v>
      </c>
      <c r="N62" s="24">
        <f>'[1]资源-钻石'!X62</f>
        <v>4985810.2319235457</v>
      </c>
      <c r="P62" s="28">
        <v>59</v>
      </c>
      <c r="Q62" s="28">
        <f>'[1]功能-行军令'!N62</f>
        <v>2700.8491270843624</v>
      </c>
      <c r="R62" s="28">
        <f>'[1]功能-行军令'!O62</f>
        <v>3413.0043277850505</v>
      </c>
      <c r="S62" s="28">
        <f>'[1]功能-行军令'!P62</f>
        <v>3797.2588302242589</v>
      </c>
      <c r="T62" s="28">
        <f>'[1]功能-行军令'!Q62</f>
        <v>3152.5896292338052</v>
      </c>
      <c r="U62" s="28">
        <f>'[1]功能-行军令'!R62</f>
        <v>1751.3714878690009</v>
      </c>
      <c r="V62" s="28">
        <f>'[1]功能-行军令'!S62</f>
        <v>183.94826874057389</v>
      </c>
      <c r="W62" s="28">
        <f>'[1]功能-行军令'!T62</f>
        <v>233.18461249513894</v>
      </c>
      <c r="X62" s="28">
        <f>'[1]功能-行军令'!U62</f>
        <v>256.13252519549087</v>
      </c>
      <c r="Y62" s="28">
        <f>'[1]功能-行军令'!V62</f>
        <v>209.64311385567453</v>
      </c>
      <c r="Z62" s="28">
        <f>'[1]功能-行军令'!W62</f>
        <v>118.15452088971665</v>
      </c>
      <c r="AC62" s="30">
        <v>59</v>
      </c>
      <c r="AD62" s="41">
        <f>'[1]功能-实力'!BE63</f>
        <v>2309706</v>
      </c>
      <c r="AE62" s="41">
        <f>'[1]功能-实力'!BF63</f>
        <v>2414850</v>
      </c>
      <c r="AF62" s="41">
        <f>'[1]功能-实力'!BG63</f>
        <v>2642478</v>
      </c>
      <c r="AG62" s="41">
        <f>'[1]功能-实力'!BH63</f>
        <v>3193260</v>
      </c>
      <c r="AH62" s="41">
        <f>'[1]功能-实力'!BI63</f>
        <v>3495432</v>
      </c>
      <c r="AL62" s="37">
        <f>[3]基础状态预期!C72</f>
        <v>102</v>
      </c>
      <c r="AM62" s="37">
        <f>[3]基础状态预期!D72</f>
        <v>68.923431594456531</v>
      </c>
      <c r="AO62" s="37">
        <f>[3]基础状态预期!F72</f>
        <v>0</v>
      </c>
      <c r="AP62" s="37">
        <f>[3]基础状态预期!G72</f>
        <v>0</v>
      </c>
      <c r="AQ62" s="37">
        <f>[3]基础状态预期!H72</f>
        <v>0</v>
      </c>
      <c r="AR62" s="37">
        <f>[3]基础状态预期!I72</f>
        <v>2</v>
      </c>
      <c r="AS62" s="37">
        <f>[3]基础状态预期!J72</f>
        <v>4</v>
      </c>
      <c r="AW62" s="32">
        <v>56</v>
      </c>
      <c r="AX62" s="32">
        <f>[1]节奏总纲!BJ59</f>
        <v>2.7000000000000006</v>
      </c>
      <c r="AY62" s="32">
        <f>[1]节奏总纲!BK59</f>
        <v>2.7540000000000009</v>
      </c>
      <c r="AZ62" s="32">
        <f>[1]节奏总纲!BL59</f>
        <v>2.862000000000001</v>
      </c>
      <c r="BA62" s="32">
        <f>[1]节奏总纲!BM59</f>
        <v>3.0780000000000003</v>
      </c>
      <c r="BB62" s="32">
        <f>[1]节奏总纲!BN59</f>
        <v>3.7800000000000007</v>
      </c>
      <c r="BF62" s="42">
        <f>'[1]功能-行军令'!FZ60</f>
        <v>56</v>
      </c>
      <c r="BG62" s="42">
        <f>'[1]功能-行军令'!GA60*'[1]功能-行军令'!GB60</f>
        <v>228.9884546016676</v>
      </c>
      <c r="BN62" s="49">
        <v>57</v>
      </c>
      <c r="BO62" s="17">
        <f>'[1]资源-木石铜粮'!U62</f>
        <v>1219030481.9007652</v>
      </c>
      <c r="BP62" s="17">
        <f>'[1]资源-木石铜粮'!V62</f>
        <v>1355016610.4526386</v>
      </c>
      <c r="BQ62" s="17">
        <f>'[1]资源-木石铜粮'!W62</f>
        <v>1491315767.5774095</v>
      </c>
      <c r="BR62" s="17">
        <f>'[1]资源-木石铜粮'!X62</f>
        <v>1475077553.155931</v>
      </c>
      <c r="BS62" s="17">
        <f>'[1]资源-木石铜粮'!Y62</f>
        <v>1397199733.3214409</v>
      </c>
      <c r="BV62" s="49">
        <v>57</v>
      </c>
      <c r="BW62" s="47">
        <f>'[1]功能-城建'!EQ60+[1]养成buff汇总!H62+'[1]功能-采集'!BS61+[2]产出汇总!AY62+[1]养成buff汇总!GY62</f>
        <v>760659554.09205806</v>
      </c>
      <c r="BX62" s="47">
        <f>'[1]功能-城建'!ER60+[1]养成buff汇总!I62+'[1]功能-采集'!BT61+[2]产出汇总!AZ62+[1]养成buff汇总!GZ62</f>
        <v>585407769.57969522</v>
      </c>
      <c r="BY62" s="47">
        <f>'[1]功能-城建'!ES60+[1]养成buff汇总!J62+'[1]功能-采集'!BU61+[2]产出汇总!BA62+[1]养成buff汇总!HA62</f>
        <v>579808949.37074244</v>
      </c>
      <c r="BZ62" s="47">
        <f>'[1]功能-城建'!ET60+[1]养成buff汇总!K62+'[1]功能-采集'!BV61+[2]产出汇总!BB62+[1]养成buff汇总!HB62</f>
        <v>388587914.04361266</v>
      </c>
      <c r="CA62" s="47">
        <f>'[1]功能-城建'!EU60+[1]养成buff汇总!L62+'[1]功能-采集'!BW61+[2]产出汇总!BC62+[1]养成buff汇总!HC62</f>
        <v>282458812.04765809</v>
      </c>
      <c r="CD62" s="49">
        <v>57</v>
      </c>
      <c r="CE62" s="44">
        <f>'[1]资源-铁'!T62</f>
        <v>92606432.315148383</v>
      </c>
      <c r="CF62" s="44">
        <f>'[1]资源-铁'!U62</f>
        <v>141471538.98779973</v>
      </c>
      <c r="CG62" s="44">
        <f>'[1]资源-铁'!V62</f>
        <v>220275113.94296092</v>
      </c>
      <c r="CH62" s="44">
        <f>'[1]资源-铁'!W62</f>
        <v>342199978.74811625</v>
      </c>
      <c r="CI62" s="44">
        <f>'[1]资源-铁'!X62</f>
        <v>570108262.62742138</v>
      </c>
      <c r="CL62" s="49">
        <v>57</v>
      </c>
      <c r="CM62" s="44">
        <f>'[1]功能-城建'!HF60+[1]养成buff汇总!S62+'[1]功能-采集'!BX61</f>
        <v>55999614.863967285</v>
      </c>
      <c r="CN62" s="44">
        <f>'[1]功能-城建'!HG60+[1]养成buff汇总!T62+'[1]功能-采集'!BY61</f>
        <v>48193152.732574314</v>
      </c>
      <c r="CO62" s="44">
        <f>'[1]功能-城建'!HH60+[1]养成buff汇总!U62+'[1]功能-采集'!BZ61</f>
        <v>46916334.828394309</v>
      </c>
      <c r="CP62" s="44">
        <f>'[1]功能-城建'!HI60+[1]养成buff汇总!V62+'[1]功能-采集'!CA61</f>
        <v>34518032.760845602</v>
      </c>
      <c r="CQ62" s="44">
        <f>'[1]功能-城建'!HJ60+[1]养成buff汇总!W62+'[1]功能-采集'!CB61</f>
        <v>13787719.838344442</v>
      </c>
      <c r="CT62" s="49">
        <v>57</v>
      </c>
      <c r="CU62" s="17">
        <f>'[1]资源-玩家城池建筑时间'!AJ62+CU61</f>
        <v>25825986.248527836</v>
      </c>
      <c r="CV62" s="17">
        <f>'[1]资源-玩家城池建筑时间'!AK62+CV61</f>
        <v>28310993.305307951</v>
      </c>
      <c r="CW62" s="17">
        <f>'[1]资源-玩家城池建筑时间'!AL62+CW61</f>
        <v>31246813.58561838</v>
      </c>
      <c r="CX62" s="17">
        <f>'[1]资源-玩家城池建筑时间'!AM62+CX61</f>
        <v>34786995.922091752</v>
      </c>
      <c r="CY62" s="17">
        <f>'[1]资源-玩家城池建筑时间'!AN62+CY61</f>
        <v>39110186.834809713</v>
      </c>
      <c r="DB62" s="49">
        <v>57</v>
      </c>
      <c r="DC62" s="17">
        <f>'[1]资源-士兵训练时间'!U62</f>
        <v>7981162.1084856996</v>
      </c>
      <c r="DD62" s="17">
        <f>'[1]资源-士兵训练时间'!V62</f>
        <v>11727196.954713635</v>
      </c>
      <c r="DE62" s="17">
        <f>'[1]资源-士兵训练时间'!W62</f>
        <v>16201893.475241663</v>
      </c>
      <c r="DF62" s="17">
        <f>'[1]资源-士兵训练时间'!X62</f>
        <v>21727695.587826539</v>
      </c>
      <c r="DG62" s="17">
        <f>'[1]资源-士兵训练时间'!Y62</f>
        <v>32765652.926286861</v>
      </c>
    </row>
    <row r="63" spans="2:111" x14ac:dyDescent="0.15">
      <c r="B63" s="23">
        <v>60</v>
      </c>
      <c r="C63" s="24">
        <f>'[1]资源-钻石'!L63</f>
        <v>391872.67472418997</v>
      </c>
      <c r="D63" s="24">
        <f>'[1]资源-钻石'!M63</f>
        <v>470504.28127922531</v>
      </c>
      <c r="E63" s="24">
        <f>'[1]资源-钻石'!N63</f>
        <v>634333.35718595353</v>
      </c>
      <c r="F63" s="24">
        <f>'[1]资源-钻石'!O63</f>
        <v>1208295.0903532645</v>
      </c>
      <c r="G63" s="24">
        <f>'[1]资源-钻石'!P63</f>
        <v>1697444.5964029031</v>
      </c>
      <c r="I63" s="23">
        <v>60</v>
      </c>
      <c r="J63" s="24">
        <f>'[1]资源-钻石'!T63</f>
        <v>374107.21242304571</v>
      </c>
      <c r="K63" s="24">
        <f>'[1]资源-钻石'!U63</f>
        <v>514837.93366535037</v>
      </c>
      <c r="L63" s="24">
        <f>'[1]资源-钻石'!V63</f>
        <v>840119.7270318853</v>
      </c>
      <c r="M63" s="24">
        <f>'[1]资源-钻石'!W63</f>
        <v>2155361.6997350738</v>
      </c>
      <c r="N63" s="24">
        <f>'[1]资源-钻石'!X63</f>
        <v>5067980.3697085809</v>
      </c>
      <c r="P63" s="28">
        <v>60</v>
      </c>
      <c r="Q63" s="28">
        <f>'[1]功能-行军令'!N63</f>
        <v>2898</v>
      </c>
      <c r="R63" s="28">
        <f>'[1]功能-行军令'!O63</f>
        <v>3657.4965000000002</v>
      </c>
      <c r="S63" s="28">
        <f>'[1]功能-行军令'!P63</f>
        <v>4069.2833999999998</v>
      </c>
      <c r="T63" s="28">
        <f>'[1]功能-行军令'!Q63</f>
        <v>3379.4712</v>
      </c>
      <c r="U63" s="28">
        <f>'[1]功能-行军令'!R63</f>
        <v>1882.4589000000003</v>
      </c>
      <c r="V63" s="28">
        <f>'[1]功能-行军令'!S63</f>
        <v>197.15087291563759</v>
      </c>
      <c r="W63" s="28">
        <f>'[1]功能-行军令'!T63</f>
        <v>244.49217221494973</v>
      </c>
      <c r="X63" s="28">
        <f>'[1]功能-行军令'!U63</f>
        <v>272.02456977574093</v>
      </c>
      <c r="Y63" s="28">
        <f>'[1]功能-行军令'!V63</f>
        <v>226.88157076619473</v>
      </c>
      <c r="Z63" s="28">
        <f>'[1]功能-行军令'!W63</f>
        <v>131.08741213099938</v>
      </c>
      <c r="AC63" s="30">
        <v>60</v>
      </c>
      <c r="AD63" s="41">
        <f>'[1]功能-实力'!BE64</f>
        <v>2423244</v>
      </c>
      <c r="AE63" s="41">
        <f>'[1]功能-实力'!BF64</f>
        <v>2538522</v>
      </c>
      <c r="AF63" s="41">
        <f>'[1]功能-实力'!BG64</f>
        <v>2775780</v>
      </c>
      <c r="AG63" s="41">
        <f>'[1]功能-实力'!BH64</f>
        <v>3358260</v>
      </c>
      <c r="AH63" s="41">
        <f>'[1]功能-实力'!BI64</f>
        <v>3658986</v>
      </c>
      <c r="AL63" s="37">
        <f>[3]基础状态预期!C73</f>
        <v>127.5</v>
      </c>
      <c r="AM63" s="37">
        <f>[3]基础状态预期!D73</f>
        <v>72.103942950990486</v>
      </c>
      <c r="AO63" s="37">
        <f>[3]基础状态预期!F73</f>
        <v>0</v>
      </c>
      <c r="AP63" s="37">
        <f>[3]基础状态预期!G73</f>
        <v>0</v>
      </c>
      <c r="AQ63" s="37">
        <f>[3]基础状态预期!H73</f>
        <v>0</v>
      </c>
      <c r="AR63" s="37">
        <f>[3]基础状态预期!I73</f>
        <v>1</v>
      </c>
      <c r="AS63" s="37">
        <f>[3]基础状态预期!J73</f>
        <v>5</v>
      </c>
      <c r="AW63" s="32">
        <v>57</v>
      </c>
      <c r="AX63" s="32">
        <f>[1]节奏总纲!BJ60</f>
        <v>2.7333333333333338</v>
      </c>
      <c r="AY63" s="32">
        <f>[1]节奏总纲!BK60</f>
        <v>2.7880000000000007</v>
      </c>
      <c r="AZ63" s="32">
        <f>[1]节奏总纲!BL60</f>
        <v>2.897333333333334</v>
      </c>
      <c r="BA63" s="32">
        <f>[1]节奏总纲!BM60</f>
        <v>3.1160000000000001</v>
      </c>
      <c r="BB63" s="32">
        <f>[1]节奏总纲!BN60</f>
        <v>3.8266666666666671</v>
      </c>
      <c r="BF63" s="42">
        <f>'[1]功能-行军令'!FZ61</f>
        <v>57</v>
      </c>
      <c r="BG63" s="42">
        <f>'[1]功能-行军令'!GA61*'[1]功能-行军令'!GB61</f>
        <v>233.56822369370093</v>
      </c>
      <c r="BN63" s="49">
        <v>58</v>
      </c>
      <c r="BO63" s="17">
        <f>'[1]资源-木石铜粮'!U63</f>
        <v>1349523065.8729956</v>
      </c>
      <c r="BP63" s="17">
        <f>'[1]资源-木石铜粮'!V63</f>
        <v>1497936559.2750163</v>
      </c>
      <c r="BQ63" s="17">
        <f>'[1]资源-木石铜粮'!W63</f>
        <v>1646251815.5085635</v>
      </c>
      <c r="BR63" s="17">
        <f>'[1]资源-木石铜粮'!X63</f>
        <v>1630073414.1104794</v>
      </c>
      <c r="BS63" s="17">
        <f>'[1]资源-木石铜粮'!Y63</f>
        <v>1541696688.9246857</v>
      </c>
      <c r="BV63" s="49">
        <v>58</v>
      </c>
      <c r="BW63" s="47">
        <f>'[1]功能-城建'!EQ61+[1]养成buff汇总!H63+'[1]功能-采集'!BS62+[2]产出汇总!AY63+[1]养成buff汇总!GY63</f>
        <v>846015484.21065903</v>
      </c>
      <c r="BX63" s="47">
        <f>'[1]功能-城建'!ER61+[1]养成buff汇总!I63+'[1]功能-采集'!BT62+[2]产出汇总!AZ63+[1]养成buff汇总!GZ63</f>
        <v>647931508.05095363</v>
      </c>
      <c r="BY63" s="47">
        <f>'[1]功能-城建'!ES61+[1]养成buff汇总!J63+'[1]功能-采集'!BU62+[2]产出汇总!BA63+[1]养成buff汇总!HA63</f>
        <v>643406936.36466026</v>
      </c>
      <c r="BZ63" s="47">
        <f>'[1]功能-城建'!ET61+[1]养成buff汇总!K63+'[1]功能-采集'!BV62+[2]产出汇总!BB63+[1]养成buff汇总!HB63</f>
        <v>430312959.30298603</v>
      </c>
      <c r="CA63" s="47">
        <f>'[1]功能-城建'!EU61+[1]养成buff汇总!L63+'[1]功能-采集'!BW62+[2]产出汇总!BC63+[1]养成buff汇总!HC63</f>
        <v>312993835.47213584</v>
      </c>
      <c r="CD63" s="49">
        <v>58</v>
      </c>
      <c r="CE63" s="44">
        <f>'[1]资源-铁'!T63</f>
        <v>114713385.02231847</v>
      </c>
      <c r="CF63" s="44">
        <f>'[1]资源-铁'!U63</f>
        <v>176861938.73900968</v>
      </c>
      <c r="CG63" s="44">
        <f>'[1]资源-铁'!V63</f>
        <v>269385353.556898</v>
      </c>
      <c r="CH63" s="44">
        <f>'[1]资源-铁'!W63</f>
        <v>415359244.28680521</v>
      </c>
      <c r="CI63" s="44">
        <f>'[1]资源-铁'!X63</f>
        <v>679466250.2673403</v>
      </c>
      <c r="CL63" s="49">
        <v>58</v>
      </c>
      <c r="CM63" s="44">
        <f>'[1]功能-城建'!HF61+[1]养成buff汇总!S63+'[1]功能-采集'!BX62</f>
        <v>74724138.696336746</v>
      </c>
      <c r="CN63" s="44">
        <f>'[1]功能-城建'!HG61+[1]养成buff汇总!T63+'[1]功能-采集'!BY62</f>
        <v>63347039.79385671</v>
      </c>
      <c r="CO63" s="44">
        <f>'[1]功能-城建'!HH61+[1]养成buff汇总!U63+'[1]功能-采集'!BZ62</f>
        <v>61060800.104713388</v>
      </c>
      <c r="CP63" s="44">
        <f>'[1]功能-城建'!HI61+[1]养成buff汇总!V63+'[1]功能-采集'!CA62</f>
        <v>44834308.832862347</v>
      </c>
      <c r="CQ63" s="44">
        <f>'[1]功能-城建'!HJ61+[1]养成buff汇总!W63+'[1]功能-采集'!CB62</f>
        <v>20839501.374748442</v>
      </c>
      <c r="CT63" s="49">
        <v>58</v>
      </c>
      <c r="CU63" s="17">
        <f>'[1]资源-玩家城池建筑时间'!AJ63+CU62</f>
        <v>27926690.117242984</v>
      </c>
      <c r="CV63" s="17">
        <f>'[1]资源-玩家城池建筑时间'!AK63+CV62</f>
        <v>30560277.994359117</v>
      </c>
      <c r="CW63" s="17">
        <f>'[1]资源-玩家城池建筑时间'!AL63+CW62</f>
        <v>33735139.319907196</v>
      </c>
      <c r="CX63" s="17">
        <f>'[1]资源-玩家城池建筑时间'!AM63+CX62</f>
        <v>37564569.132649131</v>
      </c>
      <c r="CY63" s="17">
        <f>'[1]资源-玩家城池建筑时间'!AN63+CY62</f>
        <v>42181298.930047207</v>
      </c>
      <c r="DB63" s="49">
        <v>58</v>
      </c>
      <c r="DC63" s="17">
        <f>'[1]资源-士兵训练时间'!U63</f>
        <v>8674217.2034033928</v>
      </c>
      <c r="DD63" s="17">
        <f>'[1]资源-士兵训练时间'!V63</f>
        <v>12672872.071441434</v>
      </c>
      <c r="DE63" s="17">
        <f>'[1]资源-士兵训练时间'!W63</f>
        <v>17528482.946263026</v>
      </c>
      <c r="DF63" s="17">
        <f>'[1]资源-士兵训练时间'!X63</f>
        <v>23559020.888242621</v>
      </c>
      <c r="DG63" s="17">
        <f>'[1]资源-士兵训练时间'!Y63</f>
        <v>35385370.917873994</v>
      </c>
    </row>
    <row r="64" spans="2:111" x14ac:dyDescent="0.15">
      <c r="B64" s="23">
        <v>61</v>
      </c>
      <c r="C64" s="24">
        <f>'[1]资源-钻石'!L64</f>
        <v>419074.56790629338</v>
      </c>
      <c r="D64" s="24">
        <f>'[1]资源-钻石'!M64</f>
        <v>503340.1624560199</v>
      </c>
      <c r="E64" s="24">
        <f>'[1]资源-钻石'!N64</f>
        <v>678236.86561571923</v>
      </c>
      <c r="F64" s="24">
        <f>'[1]资源-钻石'!O64</f>
        <v>1292565.161797734</v>
      </c>
      <c r="G64" s="24">
        <f>'[1]资源-钻石'!P64</f>
        <v>1799838.4882793115</v>
      </c>
      <c r="I64" s="23">
        <v>61</v>
      </c>
      <c r="J64" s="24">
        <f>'[1]资源-钻石'!T64</f>
        <v>380029.03319009382</v>
      </c>
      <c r="K64" s="24">
        <f>'[1]资源-钻石'!U64</f>
        <v>523031.93650910322</v>
      </c>
      <c r="L64" s="24">
        <f>'[1]资源-钻石'!V64</f>
        <v>853585.13016001345</v>
      </c>
      <c r="M64" s="24">
        <f>'[1]资源-钻石'!W64</f>
        <v>2190193.643176015</v>
      </c>
      <c r="N64" s="24">
        <f>'[1]资源-钻石'!X64</f>
        <v>5150150.5074936161</v>
      </c>
      <c r="P64" s="28">
        <v>61</v>
      </c>
      <c r="Q64" s="28">
        <f>'[1]功能-行军令'!N64</f>
        <v>3109.3010737068457</v>
      </c>
      <c r="R64" s="28">
        <f>'[1]功能-行军令'!O64</f>
        <v>3925.9860381165895</v>
      </c>
      <c r="S64" s="28">
        <f>'[1]功能-行军令'!P64</f>
        <v>4365.9859367969093</v>
      </c>
      <c r="T64" s="28">
        <f>'[1]功能-行军令'!Q64</f>
        <v>3628.6625026184524</v>
      </c>
      <c r="U64" s="28">
        <f>'[1]功能-行军令'!R64</f>
        <v>2019.01789286138</v>
      </c>
      <c r="V64" s="28">
        <f>'[1]功能-行军令'!S64</f>
        <v>211.30107370684573</v>
      </c>
      <c r="W64" s="28">
        <f>'[1]功能-行军令'!T64</f>
        <v>268.4895381165893</v>
      </c>
      <c r="X64" s="28">
        <f>'[1]功能-行军令'!U64</f>
        <v>296.7025367969095</v>
      </c>
      <c r="Y64" s="28">
        <f>'[1]功能-行军令'!V64</f>
        <v>249.19130261845248</v>
      </c>
      <c r="Z64" s="28">
        <f>'[1]功能-行军令'!W64</f>
        <v>136.55899286137969</v>
      </c>
      <c r="AC64" s="30">
        <v>61</v>
      </c>
      <c r="AD64" s="41">
        <f>'[1]功能-实力'!BE65</f>
        <v>2573310</v>
      </c>
      <c r="AE64" s="41">
        <f>'[1]功能-实力'!BF65</f>
        <v>2702682</v>
      </c>
      <c r="AF64" s="41">
        <f>'[1]功能-实力'!BG65</f>
        <v>2966166</v>
      </c>
      <c r="AG64" s="41">
        <f>'[1]功能-实力'!BH65</f>
        <v>3578868</v>
      </c>
      <c r="AH64" s="41">
        <f>'[1]功能-实力'!BI65</f>
        <v>3876786</v>
      </c>
      <c r="AL64" s="37">
        <f>[3]基础状态预期!C74</f>
        <v>153</v>
      </c>
      <c r="AM64" s="37">
        <f>[3]基础状态预期!D74</f>
        <v>74.74003809013405</v>
      </c>
      <c r="AO64" s="37">
        <f>[3]基础状态预期!F74</f>
        <v>0</v>
      </c>
      <c r="AP64" s="37">
        <f>[3]基础状态预期!G74</f>
        <v>0</v>
      </c>
      <c r="AQ64" s="37">
        <f>[3]基础状态预期!H74</f>
        <v>0</v>
      </c>
      <c r="AR64" s="37">
        <f>[3]基础状态预期!I74</f>
        <v>0.5</v>
      </c>
      <c r="AS64" s="37">
        <f>[3]基础状态预期!J74</f>
        <v>5.5</v>
      </c>
      <c r="AW64" s="32">
        <v>58</v>
      </c>
      <c r="AX64" s="32">
        <f>[1]节奏总纲!BJ61</f>
        <v>2.7666666666666671</v>
      </c>
      <c r="AY64" s="32">
        <f>[1]节奏总纲!BK61</f>
        <v>2.8220000000000005</v>
      </c>
      <c r="AZ64" s="32">
        <f>[1]节奏总纲!BL61</f>
        <v>2.9326666666666674</v>
      </c>
      <c r="BA64" s="32">
        <f>[1]节奏总纲!BM61</f>
        <v>3.1540000000000004</v>
      </c>
      <c r="BB64" s="32">
        <f>[1]节奏总纲!BN61</f>
        <v>3.8733333333333335</v>
      </c>
      <c r="BF64" s="42">
        <f>'[1]功能-行军令'!FZ62</f>
        <v>58</v>
      </c>
      <c r="BG64" s="42">
        <f>'[1]功能-行军令'!GA62*'[1]功能-行军令'!GB62</f>
        <v>238.23958816757496</v>
      </c>
      <c r="BN64" s="49">
        <v>59</v>
      </c>
      <c r="BO64" s="17">
        <f>'[1]资源-木石铜粮'!U64</f>
        <v>1495198186.9179707</v>
      </c>
      <c r="BP64" s="17">
        <f>'[1]资源-木石铜粮'!V64</f>
        <v>1658628810.5862155</v>
      </c>
      <c r="BQ64" s="17">
        <f>'[1]资源-木石铜粮'!W64</f>
        <v>1820397254.8290992</v>
      </c>
      <c r="BR64" s="17">
        <f>'[1]资源-木石铜粮'!X64</f>
        <v>1800983962.366292</v>
      </c>
      <c r="BS64" s="17">
        <f>'[1]资源-木石铜粮'!Y64</f>
        <v>1702905581.6118479</v>
      </c>
      <c r="BV64" s="49">
        <v>59</v>
      </c>
      <c r="BW64" s="47">
        <f>'[1]功能-城建'!EQ62+[1]养成buff汇总!H64+'[1]功能-采集'!BS63+[2]产出汇总!AY64+[1]养成buff汇总!GY64</f>
        <v>941149764.23178577</v>
      </c>
      <c r="BX64" s="47">
        <f>'[1]功能-城建'!ER62+[1]养成buff汇总!I64+'[1]功能-采集'!BT63+[2]产出汇总!AZ64+[1]养成buff汇总!GZ64</f>
        <v>718466939.08772743</v>
      </c>
      <c r="BY64" s="47">
        <f>'[1]功能-城建'!ES62+[1]养成buff汇总!J64+'[1]功能-采集'!BU63+[2]产出汇总!BA64+[1]养成buff汇总!HA64</f>
        <v>714819722.67265654</v>
      </c>
      <c r="BZ64" s="47">
        <f>'[1]功能-城建'!ET62+[1]养成buff汇总!K64+'[1]功能-采集'!BV63+[2]产出汇总!BB64+[1]养成buff汇总!HB64</f>
        <v>476104407.74970961</v>
      </c>
      <c r="CA64" s="47">
        <f>'[1]功能-城建'!EU62+[1]养成buff汇总!L64+'[1]功能-采集'!BW63+[2]产出汇总!BC64+[1]养成buff汇总!HC64</f>
        <v>347455959.08958048</v>
      </c>
      <c r="CD64" s="49">
        <v>59</v>
      </c>
      <c r="CE64" s="44">
        <f>'[1]资源-铁'!T64</f>
        <v>145499687.70112386</v>
      </c>
      <c r="CF64" s="44">
        <f>'[1]资源-铁'!U64</f>
        <v>216379342.01765975</v>
      </c>
      <c r="CG64" s="44">
        <f>'[1]资源-铁'!V64</f>
        <v>331241361.47950637</v>
      </c>
      <c r="CH64" s="44">
        <f>'[1]资源-铁'!W64</f>
        <v>497992826.17574489</v>
      </c>
      <c r="CI64" s="44">
        <f>'[1]资源-铁'!X64</f>
        <v>800033598.39571452</v>
      </c>
      <c r="CL64" s="49">
        <v>59</v>
      </c>
      <c r="CM64" s="44">
        <f>'[1]功能-城建'!HF62+[1]养成buff汇总!S64+'[1]功能-采集'!BX63</f>
        <v>95618265.750496611</v>
      </c>
      <c r="CN64" s="44">
        <f>'[1]功能-城建'!HG62+[1]养成buff汇总!T64+'[1]功能-采集'!BY63</f>
        <v>80311353.078857809</v>
      </c>
      <c r="CO64" s="44">
        <f>'[1]功能-城建'!HH62+[1]养成buff汇总!U64+'[1]功能-采集'!BZ63</f>
        <v>76926073.875842571</v>
      </c>
      <c r="CP64" s="44">
        <f>'[1]功能-城建'!HI62+[1]养成buff汇总!V64+'[1]功能-采集'!CA63</f>
        <v>56125617.226369888</v>
      </c>
      <c r="CQ64" s="44">
        <f>'[1]功能-城建'!HJ62+[1]养成buff汇总!W64+'[1]功能-采集'!CB63</f>
        <v>28735840.090613402</v>
      </c>
      <c r="CT64" s="49">
        <v>59</v>
      </c>
      <c r="CU64" s="17">
        <f>'[1]资源-玩家城池建筑时间'!AJ64+CU63</f>
        <v>30211276.062771253</v>
      </c>
      <c r="CV64" s="17">
        <f>'[1]资源-玩家城池建筑时间'!AK64+CV63</f>
        <v>33047677.35716778</v>
      </c>
      <c r="CW64" s="17">
        <f>'[1]资源-玩家城池建筑时间'!AL64+CW63</f>
        <v>36467348.278476104</v>
      </c>
      <c r="CX64" s="17">
        <f>'[1]资源-玩家城池建筑时间'!AM64+CX63</f>
        <v>40550104.096705891</v>
      </c>
      <c r="CY64" s="17">
        <f>'[1]资源-玩家城池建筑时间'!AN64+CY63</f>
        <v>45567204.698055305</v>
      </c>
      <c r="DB64" s="49">
        <v>59</v>
      </c>
      <c r="DC64" s="17">
        <f>'[1]资源-士兵训练时间'!U64</f>
        <v>9394604.9197389521</v>
      </c>
      <c r="DD64" s="17">
        <f>'[1]资源-士兵训练时间'!V64</f>
        <v>13720612.147127461</v>
      </c>
      <c r="DE64" s="17">
        <f>'[1]资源-士兵训练时间'!W64</f>
        <v>19029662.516985804</v>
      </c>
      <c r="DF64" s="17">
        <f>'[1]资源-士兵训练时间'!X64</f>
        <v>25495447.641643226</v>
      </c>
      <c r="DG64" s="17">
        <f>'[1]资源-士兵训练时间'!Y64</f>
        <v>38273613.998295814</v>
      </c>
    </row>
    <row r="65" spans="2:111" x14ac:dyDescent="0.15">
      <c r="B65" s="23">
        <v>62</v>
      </c>
      <c r="C65" s="24">
        <f>'[1]资源-钻石'!L65</f>
        <v>448228.83514961903</v>
      </c>
      <c r="D65" s="24">
        <f>'[1]资源-钻石'!M65</f>
        <v>538133.21862652048</v>
      </c>
      <c r="E65" s="24">
        <f>'[1]资源-钻石'!N65</f>
        <v>725779.71412694175</v>
      </c>
      <c r="F65" s="24">
        <f>'[1]资源-钻石'!O65</f>
        <v>1383710.9510380176</v>
      </c>
      <c r="G65" s="24">
        <f>'[1]资源-钻石'!P65</f>
        <v>1917383.7069167146</v>
      </c>
      <c r="I65" s="23">
        <v>62</v>
      </c>
      <c r="J65" s="24">
        <f>'[1]资源-钻石'!T65</f>
        <v>385950.85395714187</v>
      </c>
      <c r="K65" s="24">
        <f>'[1]资源-钻石'!U65</f>
        <v>531225.93935285613</v>
      </c>
      <c r="L65" s="24">
        <f>'[1]资源-钻石'!V65</f>
        <v>867050.53328814171</v>
      </c>
      <c r="M65" s="24">
        <f>'[1]资源-钻石'!W65</f>
        <v>2225025.5866169557</v>
      </c>
      <c r="N65" s="24">
        <f>'[1]资源-钻石'!X65</f>
        <v>5232320.6452786513</v>
      </c>
      <c r="P65" s="28">
        <v>62</v>
      </c>
      <c r="Q65" s="28">
        <f>'[1]功能-行军令'!N65</f>
        <v>3335.7679571112699</v>
      </c>
      <c r="R65" s="28">
        <f>'[1]功能-行军令'!O65</f>
        <v>4210.4788321605647</v>
      </c>
      <c r="S65" s="28">
        <f>'[1]功能-行军令'!P65</f>
        <v>4687.2833516127894</v>
      </c>
      <c r="T65" s="28">
        <f>'[1]功能-行军令'!Q65</f>
        <v>3898.1856863497019</v>
      </c>
      <c r="U65" s="28">
        <f>'[1]功能-行军令'!R65</f>
        <v>2175.7836567037139</v>
      </c>
      <c r="V65" s="28">
        <f>'[1]功能-行军令'!S65</f>
        <v>226.46688340442415</v>
      </c>
      <c r="W65" s="28">
        <f>'[1]功能-行军令'!T65</f>
        <v>284.49279404397521</v>
      </c>
      <c r="X65" s="28">
        <f>'[1]功能-行军令'!U65</f>
        <v>321.29741481588007</v>
      </c>
      <c r="Y65" s="28">
        <f>'[1]功能-行军令'!V65</f>
        <v>269.52318373124945</v>
      </c>
      <c r="Z65" s="28">
        <f>'[1]功能-行军令'!W65</f>
        <v>156.76576384233385</v>
      </c>
      <c r="AC65" s="30">
        <v>62</v>
      </c>
      <c r="AD65" s="41">
        <f>'[1]功能-实力'!BE66</f>
        <v>2729460</v>
      </c>
      <c r="AE65" s="41">
        <f>'[1]功能-实力'!BF66</f>
        <v>2873226</v>
      </c>
      <c r="AF65" s="41">
        <f>'[1]功能-实力'!BG66</f>
        <v>3165618</v>
      </c>
      <c r="AG65" s="41">
        <f>'[1]功能-实力'!BH66</f>
        <v>3809058</v>
      </c>
      <c r="AH65" s="41">
        <f>'[1]功能-实力'!BI66</f>
        <v>4103286</v>
      </c>
      <c r="AL65" s="37">
        <f>[3]基础状态预期!C75</f>
        <v>187</v>
      </c>
      <c r="AM65" s="37">
        <f>[3]基础状态预期!D75</f>
        <v>77.609642525433856</v>
      </c>
      <c r="AO65" s="37">
        <f>[3]基础状态预期!F75</f>
        <v>0</v>
      </c>
      <c r="AP65" s="37">
        <f>[3]基础状态预期!G75</f>
        <v>0</v>
      </c>
      <c r="AQ65" s="37">
        <f>[3]基础状态预期!H75</f>
        <v>0</v>
      </c>
      <c r="AR65" s="37">
        <f>[3]基础状态预期!I75</f>
        <v>0</v>
      </c>
      <c r="AS65" s="37">
        <f>[3]基础状态预期!J75</f>
        <v>6</v>
      </c>
      <c r="AW65" s="32">
        <v>59</v>
      </c>
      <c r="AX65" s="32">
        <f>[1]节奏总纲!BJ62</f>
        <v>2.8000000000000003</v>
      </c>
      <c r="AY65" s="32">
        <f>[1]节奏总纲!BK62</f>
        <v>2.8560000000000003</v>
      </c>
      <c r="AZ65" s="32">
        <f>[1]节奏总纲!BL62</f>
        <v>2.9680000000000004</v>
      </c>
      <c r="BA65" s="32">
        <f>[1]节奏总纲!BM62</f>
        <v>3.1920000000000002</v>
      </c>
      <c r="BB65" s="32">
        <f>[1]节奏总纲!BN62</f>
        <v>3.92</v>
      </c>
      <c r="BF65" s="42">
        <f>'[1]功能-行军令'!FZ63</f>
        <v>59</v>
      </c>
      <c r="BG65" s="42">
        <f>'[1]功能-行军令'!GA63*'[1]功能-行军令'!GB63</f>
        <v>243.00437993092646</v>
      </c>
      <c r="BN65" s="49">
        <v>60</v>
      </c>
      <c r="BO65" s="17">
        <f>'[1]资源-木石铜粮'!U65</f>
        <v>1655652429.9150648</v>
      </c>
      <c r="BP65" s="17">
        <f>'[1]资源-木石铜粮'!V65</f>
        <v>1835970697.2757952</v>
      </c>
      <c r="BQ65" s="17">
        <f>'[1]资源-木石铜粮'!W65</f>
        <v>2011030236.7145004</v>
      </c>
      <c r="BR65" s="17">
        <f>'[1]资源-木石铜粮'!X65</f>
        <v>1989857107.7186399</v>
      </c>
      <c r="BS65" s="17">
        <f>'[1]资源-木石铜粮'!Y65</f>
        <v>1882125091.9207678</v>
      </c>
      <c r="BV65" s="49">
        <v>60</v>
      </c>
      <c r="BW65" s="47">
        <f>'[1]功能-城建'!EQ63+[1]养成buff汇总!H65+'[1]功能-采集'!BS64+[2]产出汇总!AY65+[1]养成buff汇总!GY65</f>
        <v>1045636675.8410233</v>
      </c>
      <c r="BX65" s="47">
        <f>'[1]功能-城建'!ER63+[1]养成buff汇总!I65+'[1]功能-采集'!BT64+[2]产出汇总!AZ65+[1]养成buff汇总!GZ65</f>
        <v>795002882.74318528</v>
      </c>
      <c r="BY65" s="47">
        <f>'[1]功能-城建'!ES63+[1]养成buff汇总!J65+'[1]功能-采集'!BU64+[2]产出汇总!BA65+[1]养成buff汇总!HA65</f>
        <v>792759617.95735812</v>
      </c>
      <c r="BZ65" s="47">
        <f>'[1]功能-城建'!ET63+[1]养成buff汇总!K65+'[1]功能-采集'!BV64+[2]产出汇总!BB65+[1]养成buff汇总!HB65</f>
        <v>526981599.06738138</v>
      </c>
      <c r="CA65" s="47">
        <f>'[1]功能-城建'!EU63+[1]养成buff汇总!L65+'[1]功能-采集'!BW64+[2]产出汇总!BC65+[1]养成buff汇总!HC65</f>
        <v>388398700.97888702</v>
      </c>
      <c r="CD65" s="49">
        <v>60</v>
      </c>
      <c r="CE65" s="44">
        <f>'[1]资源-铁'!T65</f>
        <v>178495629.92187685</v>
      </c>
      <c r="CF65" s="44">
        <f>'[1]资源-铁'!U65</f>
        <v>268071931.86726856</v>
      </c>
      <c r="CG65" s="44">
        <f>'[1]资源-铁'!V65</f>
        <v>398061127.19034636</v>
      </c>
      <c r="CH65" s="44">
        <f>'[1]资源-铁'!W65</f>
        <v>591556283.20818591</v>
      </c>
      <c r="CI65" s="44">
        <f>'[1]资源-铁'!X65</f>
        <v>943624260.8691833</v>
      </c>
      <c r="CL65" s="49">
        <v>60</v>
      </c>
      <c r="CM65" s="44">
        <f>'[1]功能-城建'!HF63+[1]养成buff汇总!S65+'[1]功能-采集'!BX64</f>
        <v>118388157.75948207</v>
      </c>
      <c r="CN65" s="44">
        <f>'[1]功能-城建'!HG63+[1]养成buff汇总!T65+'[1]功能-采集'!BY64</f>
        <v>98774188.391808391</v>
      </c>
      <c r="CO65" s="44">
        <f>'[1]功能-城建'!HH63+[1]养成buff汇总!U65+'[1]功能-采集'!BZ64</f>
        <v>94124229.32831502</v>
      </c>
      <c r="CP65" s="44">
        <f>'[1]功能-城建'!HI63+[1]养成buff汇总!V65+'[1]功能-采集'!CA64</f>
        <v>68628289.665815294</v>
      </c>
      <c r="CQ65" s="44">
        <f>'[1]功能-城建'!HJ63+[1]养成buff汇总!W65+'[1]功能-采集'!CB64</f>
        <v>38713367.850515917</v>
      </c>
      <c r="CT65" s="49">
        <v>60</v>
      </c>
      <c r="CU65" s="17">
        <f>'[1]资源-玩家城池建筑时间'!AJ65+CU64</f>
        <v>32659834.652071793</v>
      </c>
      <c r="CV65" s="17">
        <f>'[1]资源-玩家城池建筑时间'!AK65+CV64</f>
        <v>35704374.152561076</v>
      </c>
      <c r="CW65" s="17">
        <f>'[1]资源-玩家城池建筑时间'!AL65+CW64</f>
        <v>39375257.958111197</v>
      </c>
      <c r="CX65" s="17">
        <f>'[1]资源-玩家城池建筑时间'!AM65+CX64</f>
        <v>43800930.274694555</v>
      </c>
      <c r="CY65" s="17">
        <f>'[1]资源-玩家城池建筑时间'!AN65+CY64</f>
        <v>49370398.6676393</v>
      </c>
      <c r="DB65" s="49">
        <v>60</v>
      </c>
      <c r="DC65" s="17">
        <f>'[1]资源-士兵训练时间'!U65</f>
        <v>10166697.356844511</v>
      </c>
      <c r="DD65" s="17">
        <f>'[1]资源-士兵训练时间'!V65</f>
        <v>14888364.398972215</v>
      </c>
      <c r="DE65" s="17">
        <f>'[1]资源-士兵训练时间'!W65</f>
        <v>20619852.324456006</v>
      </c>
      <c r="DF65" s="17">
        <f>'[1]资源-士兵训练时间'!X65</f>
        <v>27575210.825606577</v>
      </c>
      <c r="DG65" s="17">
        <f>'[1]资源-士兵训练时间'!Y65</f>
        <v>41509246.345052347</v>
      </c>
    </row>
    <row r="66" spans="2:111" x14ac:dyDescent="0.15">
      <c r="B66" s="23">
        <v>63</v>
      </c>
      <c r="C66" s="24">
        <f>'[1]资源-钻石'!L66</f>
        <v>479475.60510070639</v>
      </c>
      <c r="D66" s="24">
        <f>'[1]资源-钻石'!M66</f>
        <v>576047.78371276218</v>
      </c>
      <c r="E66" s="24">
        <f>'[1]资源-钻石'!N66</f>
        <v>776561.38267108193</v>
      </c>
      <c r="F66" s="24">
        <f>'[1]资源-钻石'!O66</f>
        <v>1482341.9008090557</v>
      </c>
      <c r="G66" s="24">
        <f>'[1]资源-钻石'!P66</f>
        <v>2039096.092792911</v>
      </c>
      <c r="I66" s="23">
        <v>63</v>
      </c>
      <c r="J66" s="24">
        <f>'[1]资源-钻石'!T66</f>
        <v>391872.67472418997</v>
      </c>
      <c r="K66" s="24">
        <f>'[1]资源-钻石'!U66</f>
        <v>539419.94219660899</v>
      </c>
      <c r="L66" s="24">
        <f>'[1]资源-钻石'!V66</f>
        <v>880515.93641626986</v>
      </c>
      <c r="M66" s="24">
        <f>'[1]资源-钻石'!W66</f>
        <v>2259857.5300578969</v>
      </c>
      <c r="N66" s="24">
        <f>'[1]资源-钻石'!X66</f>
        <v>5314490.7830636865</v>
      </c>
      <c r="P66" s="28">
        <v>63</v>
      </c>
      <c r="Q66" s="28">
        <f>'[1]功能-行军令'!N66</f>
        <v>3578.4891528874323</v>
      </c>
      <c r="R66" s="28">
        <f>'[1]功能-行军令'!O66</f>
        <v>4520.4953050880667</v>
      </c>
      <c r="S66" s="28">
        <f>'[1]功能-行军令'!P66</f>
        <v>5030.4689059957536</v>
      </c>
      <c r="T66" s="28">
        <f>'[1]功能-行军令'!Q66</f>
        <v>4189.8429073612688</v>
      </c>
      <c r="U66" s="28">
        <f>'[1]功能-行军令'!R66</f>
        <v>2338.1070192541943</v>
      </c>
      <c r="V66" s="28">
        <f>'[1]功能-行军令'!S66</f>
        <v>242.7211957761624</v>
      </c>
      <c r="W66" s="28">
        <f>'[1]功能-行军令'!T66</f>
        <v>310.01647292750204</v>
      </c>
      <c r="X66" s="28">
        <f>'[1]功能-行军令'!U66</f>
        <v>343.18555438296426</v>
      </c>
      <c r="Y66" s="28">
        <f>'[1]功能-行军令'!V66</f>
        <v>291.65722101156689</v>
      </c>
      <c r="Z66" s="28">
        <f>'[1]功能-行军令'!W66</f>
        <v>162.3233625504804</v>
      </c>
      <c r="AC66" s="30">
        <v>63</v>
      </c>
      <c r="AD66" s="41">
        <f>'[1]功能-实力'!BE67</f>
        <v>2890944</v>
      </c>
      <c r="AE66" s="41">
        <f>'[1]功能-实力'!BF67</f>
        <v>3051954</v>
      </c>
      <c r="AF66" s="41">
        <f>'[1]功能-实力'!BG67</f>
        <v>3373134</v>
      </c>
      <c r="AG66" s="41">
        <f>'[1]功能-实力'!BH67</f>
        <v>4049778</v>
      </c>
      <c r="AH66" s="41">
        <f>'[1]功能-实力'!BI67</f>
        <v>4338324</v>
      </c>
      <c r="AL66" s="37">
        <f>[3]基础状态预期!C76</f>
        <v>221</v>
      </c>
      <c r="AM66" s="37">
        <f>[3]基础状态预期!D76</f>
        <v>79.994335665275713</v>
      </c>
      <c r="AO66" s="37">
        <f>[3]基础状态预期!F76</f>
        <v>0</v>
      </c>
      <c r="AP66" s="37">
        <f>[3]基础状态预期!G76</f>
        <v>0</v>
      </c>
      <c r="AQ66" s="37">
        <f>[3]基础状态预期!H76</f>
        <v>0</v>
      </c>
      <c r="AR66" s="37">
        <f>[3]基础状态预期!I76</f>
        <v>0</v>
      </c>
      <c r="AS66" s="37">
        <f>[3]基础状态预期!J76</f>
        <v>6</v>
      </c>
      <c r="AW66" s="32">
        <v>60</v>
      </c>
      <c r="AX66" s="32">
        <f>[1]节奏总纲!BJ63</f>
        <v>2.8333333333333335</v>
      </c>
      <c r="AY66" s="32">
        <f>[1]节奏总纲!BK63</f>
        <v>2.89</v>
      </c>
      <c r="AZ66" s="32">
        <f>[1]节奏总纲!BL63</f>
        <v>3.0033333333333339</v>
      </c>
      <c r="BA66" s="32">
        <f>[1]节奏总纲!BM63</f>
        <v>3.23</v>
      </c>
      <c r="BB66" s="32">
        <f>[1]节奏总纲!BN63</f>
        <v>3.9666666666666668</v>
      </c>
      <c r="BF66" s="42">
        <f>'[1]功能-行军令'!FZ64</f>
        <v>60</v>
      </c>
      <c r="BG66" s="42">
        <f>'[1]功能-行军令'!GA64*'[1]功能-行军令'!GB64</f>
        <v>247.86446752954498</v>
      </c>
      <c r="BN66" s="49">
        <v>61</v>
      </c>
      <c r="BO66" s="17">
        <f>'[1]资源-木石铜粮'!U66</f>
        <v>1838468415.6420238</v>
      </c>
      <c r="BP66" s="17">
        <f>'[1]资源-木石铜粮'!V66</f>
        <v>2037589278.0831637</v>
      </c>
      <c r="BQ66" s="17">
        <f>'[1]资源-木石铜粮'!W66</f>
        <v>2227239376.1585379</v>
      </c>
      <c r="BR66" s="17">
        <f>'[1]资源-木石铜粮'!X66</f>
        <v>2203800549.8137388</v>
      </c>
      <c r="BS66" s="17">
        <f>'[1]资源-木石铜粮'!Y66</f>
        <v>2079626998.2846174</v>
      </c>
      <c r="BV66" s="49">
        <v>61</v>
      </c>
      <c r="BW66" s="47">
        <f>'[1]功能-城建'!EQ64+[1]养成buff汇总!H66+'[1]功能-采集'!BS65+[2]产出汇总!AY66+[1]养成buff汇总!GY66</f>
        <v>1162099728.8114648</v>
      </c>
      <c r="BX66" s="47">
        <f>'[1]功能-城建'!ER64+[1]养成buff汇总!I66+'[1]功能-采集'!BT65+[2]产出汇总!AZ66+[1]养成buff汇总!GZ66</f>
        <v>880765493.22069275</v>
      </c>
      <c r="BY66" s="47">
        <f>'[1]功能-城建'!ES64+[1]养成buff汇总!J66+'[1]功能-采集'!BU65+[2]产出汇总!BA66+[1]养成buff汇总!HA66</f>
        <v>881010980.98182011</v>
      </c>
      <c r="BZ66" s="47">
        <f>'[1]功能-城建'!ET64+[1]养成buff汇总!K66+'[1]功能-采集'!BV65+[2]产出汇总!BB66+[1]养成buff汇总!HB66</f>
        <v>585124543.27999568</v>
      </c>
      <c r="CA66" s="47">
        <f>'[1]功能-城建'!EU64+[1]养成buff汇总!L66+'[1]功能-采集'!BW65+[2]产出汇总!BC66+[1]养成buff汇总!HC66</f>
        <v>432233980.20703214</v>
      </c>
      <c r="CD66" s="49">
        <v>61</v>
      </c>
      <c r="CE66" s="44">
        <f>'[1]资源-铁'!T66</f>
        <v>222382319.14895332</v>
      </c>
      <c r="CF66" s="44">
        <f>'[1]资源-铁'!U66</f>
        <v>324838246.49827397</v>
      </c>
      <c r="CG66" s="44">
        <f>'[1]资源-铁'!V66</f>
        <v>477536786.19596469</v>
      </c>
      <c r="CH66" s="44">
        <f>'[1]资源-铁'!W66</f>
        <v>697706557.16821682</v>
      </c>
      <c r="CI66" s="44">
        <f>'[1]资源-铁'!X66</f>
        <v>1094292594.8384356</v>
      </c>
      <c r="CL66" s="49">
        <v>61</v>
      </c>
      <c r="CM66" s="44">
        <f>'[1]功能-城建'!HF64+[1]养成buff汇总!S66+'[1]功能-采集'!BX65</f>
        <v>143806850.04091981</v>
      </c>
      <c r="CN66" s="44">
        <f>'[1]功能-城建'!HG64+[1]养成buff汇总!T66+'[1]功能-采集'!BY65</f>
        <v>119287213.67241244</v>
      </c>
      <c r="CO66" s="44">
        <f>'[1]功能-城建'!HH64+[1]养成buff汇总!U66+'[1]功能-采集'!BZ65</f>
        <v>113611702.101385</v>
      </c>
      <c r="CP66" s="44">
        <f>'[1]功能-城建'!HI64+[1]养成buff汇总!V66+'[1]功能-采集'!CA65</f>
        <v>83337669.048433572</v>
      </c>
      <c r="CQ66" s="44">
        <f>'[1]功能-城建'!HJ64+[1]养成buff汇总!W66+'[1]功能-采集'!CB65</f>
        <v>49379483.968318589</v>
      </c>
      <c r="CT66" s="49">
        <v>61</v>
      </c>
      <c r="CU66" s="17">
        <f>'[1]资源-玩家城池建筑时间'!AJ66+CU65</f>
        <v>35329655.836140536</v>
      </c>
      <c r="CV66" s="17">
        <f>'[1]资源-玩家城池建筑时间'!AK66+CV65</f>
        <v>38621830.728160001</v>
      </c>
      <c r="CW66" s="17">
        <f>'[1]资源-玩家城池建筑时间'!AL66+CW65</f>
        <v>42583154.555974126</v>
      </c>
      <c r="CX66" s="17">
        <f>'[1]资源-玩家城池建筑时间'!AM66+CX65</f>
        <v>47391265.349334069</v>
      </c>
      <c r="CY66" s="17">
        <f>'[1]资源-玩家城池建筑时间'!AN66+CY65</f>
        <v>53337487.769934475</v>
      </c>
      <c r="DB66" s="49">
        <v>61</v>
      </c>
      <c r="DC66" s="17">
        <f>'[1]资源-士兵训练时间'!U66</f>
        <v>11042742.597899323</v>
      </c>
      <c r="DD66" s="17">
        <f>'[1]资源-士兵训练时间'!V66</f>
        <v>16170733.727576982</v>
      </c>
      <c r="DE66" s="17">
        <f>'[1]资源-士兵训练时间'!W66</f>
        <v>22330100.959959406</v>
      </c>
      <c r="DF66" s="17">
        <f>'[1]资源-士兵训练时间'!X66</f>
        <v>29869447.893443983</v>
      </c>
      <c r="DG66" s="17">
        <f>'[1]资源-士兵训练时间'!Y66</f>
        <v>44883381.773578078</v>
      </c>
    </row>
    <row r="67" spans="2:111" x14ac:dyDescent="0.15">
      <c r="B67" s="23">
        <v>64</v>
      </c>
      <c r="C67" s="24">
        <f>'[1]资源-钻石'!L67</f>
        <v>512965.0639242584</v>
      </c>
      <c r="D67" s="24">
        <f>'[1]资源-钻石'!M67</f>
        <v>616442.94664859795</v>
      </c>
      <c r="E67" s="24">
        <f>'[1]资源-钻石'!N67</f>
        <v>831572.79634860356</v>
      </c>
      <c r="F67" s="24">
        <f>'[1]资源-钻石'!O67</f>
        <v>1588251.4191976499</v>
      </c>
      <c r="G67" s="24">
        <f>'[1]资源-钻石'!P67</f>
        <v>2165898.4692700482</v>
      </c>
      <c r="I67" s="23">
        <v>64</v>
      </c>
      <c r="J67" s="24">
        <f>'[1]资源-钻石'!T67</f>
        <v>397794.49549123808</v>
      </c>
      <c r="K67" s="24">
        <f>'[1]资源-钻石'!U67</f>
        <v>547613.94504036196</v>
      </c>
      <c r="L67" s="24">
        <f>'[1]资源-钻石'!V67</f>
        <v>893981.33954439801</v>
      </c>
      <c r="M67" s="24">
        <f>'[1]资源-钻石'!W67</f>
        <v>2294689.473498838</v>
      </c>
      <c r="N67" s="24">
        <f>'[1]资源-钻石'!X67</f>
        <v>5396660.9208487216</v>
      </c>
      <c r="P67" s="28">
        <v>64</v>
      </c>
      <c r="Q67" s="28">
        <f>'[1]功能-行军令'!N67</f>
        <v>3838.631289315399</v>
      </c>
      <c r="R67" s="28">
        <f>'[1]功能-行军令'!O67</f>
        <v>4850.7949118015804</v>
      </c>
      <c r="S67" s="28">
        <f>'[1]功能-行军令'!P67</f>
        <v>5402.2393310636253</v>
      </c>
      <c r="T67" s="28">
        <f>'[1]功能-行军令'!Q67</f>
        <v>4503.0232618402342</v>
      </c>
      <c r="U67" s="28">
        <f>'[1]功能-行军令'!R67</f>
        <v>2507.2187163176109</v>
      </c>
      <c r="V67" s="28">
        <f>'[1]功能-行军令'!S67</f>
        <v>260.14213642796676</v>
      </c>
      <c r="W67" s="28">
        <f>'[1]功能-行军令'!T67</f>
        <v>330.29960671351364</v>
      </c>
      <c r="X67" s="28">
        <f>'[1]功能-行军令'!U67</f>
        <v>371.77042506787166</v>
      </c>
      <c r="Y67" s="28">
        <f>'[1]功能-行军令'!V67</f>
        <v>313.18035447896546</v>
      </c>
      <c r="Z67" s="28">
        <f>'[1]功能-行军令'!W67</f>
        <v>169.11169706341661</v>
      </c>
      <c r="AC67" s="30">
        <v>64</v>
      </c>
      <c r="AD67" s="41">
        <f>'[1]功能-实力'!BE68</f>
        <v>3059418</v>
      </c>
      <c r="AE67" s="41">
        <f>'[1]功能-实力'!BF68</f>
        <v>3236772</v>
      </c>
      <c r="AF67" s="41">
        <f>'[1]功能-实力'!BG68</f>
        <v>3590748</v>
      </c>
      <c r="AG67" s="41">
        <f>'[1]功能-实力'!BH68</f>
        <v>4300272</v>
      </c>
      <c r="AH67" s="41">
        <f>'[1]功能-实力'!BI68</f>
        <v>4580052</v>
      </c>
      <c r="AL67" s="37">
        <f>[3]基础状态预期!C77</f>
        <v>255</v>
      </c>
      <c r="AM67" s="37">
        <f>[3]基础状态预期!D77</f>
        <v>82.100546804797787</v>
      </c>
      <c r="AO67" s="37">
        <f>[3]基础状态预期!F77</f>
        <v>0</v>
      </c>
      <c r="AP67" s="37">
        <f>[3]基础状态预期!G77</f>
        <v>0</v>
      </c>
      <c r="AQ67" s="37">
        <f>[3]基础状态预期!H77</f>
        <v>0</v>
      </c>
      <c r="AR67" s="37">
        <f>[3]基础状态预期!I77</f>
        <v>0</v>
      </c>
      <c r="AS67" s="37">
        <f>[3]基础状态预期!J77</f>
        <v>6</v>
      </c>
      <c r="AW67" s="32">
        <v>61</v>
      </c>
      <c r="AX67" s="32">
        <f>[1]节奏总纲!BJ64</f>
        <v>2.8666666666666667</v>
      </c>
      <c r="AY67" s="32">
        <f>[1]节奏总纲!BK64</f>
        <v>2.9239999999999999</v>
      </c>
      <c r="AZ67" s="32">
        <f>[1]节奏总纲!BL64</f>
        <v>3.0386666666666668</v>
      </c>
      <c r="BA67" s="32">
        <f>[1]节奏总纲!BM64</f>
        <v>3.2679999999999998</v>
      </c>
      <c r="BB67" s="32">
        <f>[1]节奏总纲!BN64</f>
        <v>4.0133333333333328</v>
      </c>
      <c r="BF67" s="42">
        <f>'[1]功能-行军令'!FZ65</f>
        <v>61</v>
      </c>
      <c r="BG67" s="42">
        <f>'[1]功能-行军令'!GA65*'[1]功能-行军令'!GB65</f>
        <v>252.82175688013592</v>
      </c>
      <c r="BN67" s="49">
        <v>62</v>
      </c>
      <c r="BO67" s="17">
        <f>'[1]资源-木石铜粮'!U67</f>
        <v>2039052522.4016247</v>
      </c>
      <c r="BP67" s="17">
        <f>'[1]资源-木石铜粮'!V67</f>
        <v>2257776953.2963314</v>
      </c>
      <c r="BQ67" s="17">
        <f>'[1]资源-木石铜粮'!W67</f>
        <v>2465229562.378911</v>
      </c>
      <c r="BR67" s="17">
        <f>'[1]资源-木石铜粮'!X67</f>
        <v>2438507748.9469371</v>
      </c>
      <c r="BS67" s="17">
        <f>'[1]资源-木石铜粮'!Y67</f>
        <v>2304811877.5291648</v>
      </c>
      <c r="BV67" s="49">
        <v>62</v>
      </c>
      <c r="BW67" s="47">
        <f>'[1]功能-城建'!EQ65+[1]养成buff汇总!H67+'[1]功能-采集'!BS66+[2]产出汇总!AY67+[1]养成buff汇总!GY67</f>
        <v>1290268190.834929</v>
      </c>
      <c r="BX67" s="47">
        <f>'[1]功能-城建'!ER65+[1]养成buff汇总!I67+'[1]功能-采集'!BT66+[2]产出汇总!AZ67+[1]养成buff汇总!GZ67</f>
        <v>974615492.38850045</v>
      </c>
      <c r="BY67" s="47">
        <f>'[1]功能-城建'!ES65+[1]养成buff汇总!J67+'[1]功能-采集'!BU66+[2]产出汇总!BA67+[1]养成buff汇总!HA67</f>
        <v>979188213.48155284</v>
      </c>
      <c r="BZ67" s="47">
        <f>'[1]功能-城建'!ET65+[1]养成buff汇总!K67+'[1]功能-采集'!BV66+[2]产出汇总!BB67+[1]养成buff汇总!HB67</f>
        <v>651052382.71942472</v>
      </c>
      <c r="CA67" s="47">
        <f>'[1]功能-城建'!EU65+[1]养成buff汇总!L67+'[1]功能-采集'!BW66+[2]产出汇总!BC67+[1]养成buff汇总!HC67</f>
        <v>485808732.43936342</v>
      </c>
      <c r="CD67" s="49">
        <v>62</v>
      </c>
      <c r="CE67" s="44">
        <f>'[1]资源-铁'!T67</f>
        <v>270534603.72725469</v>
      </c>
      <c r="CF67" s="44">
        <f>'[1]资源-铁'!U67</f>
        <v>391129522.10143268</v>
      </c>
      <c r="CG67" s="44">
        <f>'[1]资源-铁'!V67</f>
        <v>563863140.07751572</v>
      </c>
      <c r="CH67" s="44">
        <f>'[1]资源-铁'!W67</f>
        <v>817909046.26855218</v>
      </c>
      <c r="CI67" s="44">
        <f>'[1]资源-铁'!X67</f>
        <v>1272866473.1135333</v>
      </c>
      <c r="CL67" s="49">
        <v>62</v>
      </c>
      <c r="CM67" s="44">
        <f>'[1]功能-城建'!HF65+[1]养成buff汇总!S67+'[1]功能-采集'!BX66</f>
        <v>171614308.13421214</v>
      </c>
      <c r="CN67" s="44">
        <f>'[1]功能-城建'!HG65+[1]养成buff汇总!T67+'[1]功能-采集'!BY66</f>
        <v>141786742.65068603</v>
      </c>
      <c r="CO67" s="44">
        <f>'[1]功能-城建'!HH65+[1]养成buff汇总!U67+'[1]功能-采集'!BZ66</f>
        <v>135230515.80671468</v>
      </c>
      <c r="CP67" s="44">
        <f>'[1]功能-城建'!HI65+[1]养成buff汇总!V67+'[1]功能-采集'!CA66</f>
        <v>100720950.41376507</v>
      </c>
      <c r="CQ67" s="44">
        <f>'[1]功能-城建'!HJ65+[1]养成buff汇总!W67+'[1]功能-采集'!CB66</f>
        <v>63073738.836153388</v>
      </c>
      <c r="CT67" s="49">
        <v>62</v>
      </c>
      <c r="CU67" s="17">
        <f>'[1]资源-玩家城池建筑时间'!AJ67+CU66</f>
        <v>38197058.565346166</v>
      </c>
      <c r="CV67" s="17">
        <f>'[1]资源-玩家城池建筑时间'!AK67+CV66</f>
        <v>41751147.735474072</v>
      </c>
      <c r="CW67" s="17">
        <f>'[1]资源-玩家城池建筑时间'!AL67+CW66</f>
        <v>46058752.984606616</v>
      </c>
      <c r="CX67" s="17">
        <f>'[1]资源-玩家城池建筑时间'!AM67+CX66</f>
        <v>51306139.289864302</v>
      </c>
      <c r="CY67" s="17">
        <f>'[1]资源-玩家城池建筑时间'!AN67+CY66</f>
        <v>57933652.850336872</v>
      </c>
      <c r="DB67" s="49">
        <v>62</v>
      </c>
      <c r="DC67" s="17">
        <f>'[1]资源-士兵训练时间'!U67</f>
        <v>11988018.701606892</v>
      </c>
      <c r="DD67" s="17">
        <f>'[1]资源-士兵训练时间'!V67</f>
        <v>17509221.816357255</v>
      </c>
      <c r="DE67" s="17">
        <f>'[1]资源-士兵训练时间'!W67</f>
        <v>24182866.491656918</v>
      </c>
      <c r="DF67" s="17">
        <f>'[1]资源-士兵训练时间'!X67</f>
        <v>32366741.473259136</v>
      </c>
      <c r="DG67" s="17">
        <f>'[1]资源-士兵训练时间'!Y67</f>
        <v>48722414.749792799</v>
      </c>
    </row>
    <row r="68" spans="2:111" x14ac:dyDescent="0.15">
      <c r="B68" s="23">
        <v>65</v>
      </c>
      <c r="C68" s="24">
        <f>'[1]资源-钻石'!L68</f>
        <v>548858.17716604332</v>
      </c>
      <c r="D68" s="24">
        <f>'[1]资源-钻石'!M68</f>
        <v>659459.10929488344</v>
      </c>
      <c r="E68" s="24">
        <f>'[1]资源-钻石'!N68</f>
        <v>891321.80587828625</v>
      </c>
      <c r="F68" s="24">
        <f>'[1]资源-钻石'!O68</f>
        <v>1700105.3750715908</v>
      </c>
      <c r="G68" s="24">
        <f>'[1]资源-钻石'!P68</f>
        <v>2293459.0339127118</v>
      </c>
      <c r="I68" s="23">
        <v>65</v>
      </c>
      <c r="J68" s="24">
        <f>'[1]资源-钻石'!T68</f>
        <v>403716.31625828613</v>
      </c>
      <c r="K68" s="24">
        <f>'[1]资源-钻石'!U68</f>
        <v>555807.94788411481</v>
      </c>
      <c r="L68" s="24">
        <f>'[1]资源-钻石'!V68</f>
        <v>907446.74267252616</v>
      </c>
      <c r="M68" s="24">
        <f>'[1]资源-钻石'!W68</f>
        <v>2329521.4169397792</v>
      </c>
      <c r="N68" s="24">
        <f>'[1]资源-钻石'!X68</f>
        <v>5478831.0586337559</v>
      </c>
      <c r="P68" s="28">
        <v>65</v>
      </c>
      <c r="Q68" s="28">
        <f>'[1]功能-行军令'!N68</f>
        <v>4117.4447276263909</v>
      </c>
      <c r="R68" s="28">
        <f>'[1]功能-行军令'!O68</f>
        <v>5202.5256778579324</v>
      </c>
      <c r="S68" s="28">
        <f>'[1]功能-行军令'!P68</f>
        <v>5806.0267123595722</v>
      </c>
      <c r="T68" s="28">
        <f>'[1]功能-行军令'!Q68</f>
        <v>4833.7816495985917</v>
      </c>
      <c r="U68" s="28">
        <f>'[1]功能-行军令'!R68</f>
        <v>2677.3415812386629</v>
      </c>
      <c r="V68" s="28">
        <f>'[1]功能-行军令'!S68</f>
        <v>278.81343831099184</v>
      </c>
      <c r="W68" s="28">
        <f>'[1]功能-行军令'!T68</f>
        <v>351.73076605635197</v>
      </c>
      <c r="X68" s="28">
        <f>'[1]功能-行军令'!U68</f>
        <v>403.78738129594694</v>
      </c>
      <c r="Y68" s="28">
        <f>'[1]功能-行军令'!V68</f>
        <v>330.75838775835746</v>
      </c>
      <c r="Z68" s="28">
        <f>'[1]功能-行军令'!W68</f>
        <v>170.12286492105204</v>
      </c>
      <c r="AC68" s="30">
        <v>65</v>
      </c>
      <c r="AD68" s="41">
        <f>'[1]功能-实力'!BE69</f>
        <v>3234480</v>
      </c>
      <c r="AE68" s="41">
        <f>'[1]功能-实力'!BF69</f>
        <v>3426240</v>
      </c>
      <c r="AF68" s="41">
        <f>'[1]功能-实力'!BG69</f>
        <v>3816222</v>
      </c>
      <c r="AG68" s="41">
        <f>'[1]功能-实力'!BH69</f>
        <v>4546866</v>
      </c>
      <c r="AH68" s="41">
        <f>'[1]功能-实力'!BI69</f>
        <v>4821690</v>
      </c>
      <c r="AL68" s="37">
        <f>[3]基础状态预期!C78</f>
        <v>289</v>
      </c>
      <c r="AM68" s="37">
        <f>[3]基础状态预期!D78</f>
        <v>83.885420957389968</v>
      </c>
      <c r="AO68" s="37">
        <f>[3]基础状态预期!F78</f>
        <v>0</v>
      </c>
      <c r="AP68" s="37">
        <f>[3]基础状态预期!G78</f>
        <v>0</v>
      </c>
      <c r="AQ68" s="37">
        <f>[3]基础状态预期!H78</f>
        <v>0</v>
      </c>
      <c r="AR68" s="37">
        <f>[3]基础状态预期!I78</f>
        <v>0</v>
      </c>
      <c r="AS68" s="37">
        <f>[3]基础状态预期!J78</f>
        <v>6</v>
      </c>
      <c r="AW68" s="32">
        <v>62</v>
      </c>
      <c r="AX68" s="32">
        <f>[1]节奏总纲!BJ65</f>
        <v>2.9</v>
      </c>
      <c r="AY68" s="32">
        <f>[1]节奏总纲!BK65</f>
        <v>2.9579999999999997</v>
      </c>
      <c r="AZ68" s="32">
        <f>[1]节奏总纲!BL65</f>
        <v>3.0739999999999998</v>
      </c>
      <c r="BA68" s="32">
        <f>[1]节奏总纲!BM65</f>
        <v>3.3059999999999996</v>
      </c>
      <c r="BB68" s="32">
        <f>[1]节奏总纲!BN65</f>
        <v>4.0599999999999996</v>
      </c>
      <c r="BF68" s="42">
        <f>'[1]功能-行军令'!FZ66</f>
        <v>62</v>
      </c>
      <c r="BG68" s="42">
        <f>'[1]功能-行军令'!GA66*'[1]功能-行军令'!GB66</f>
        <v>257.87819201773863</v>
      </c>
      <c r="BN68" s="49">
        <v>63</v>
      </c>
      <c r="BO68" s="17">
        <f>'[1]资源-木石铜粮'!U68</f>
        <v>2263597464.0421824</v>
      </c>
      <c r="BP68" s="17">
        <f>'[1]资源-木石铜粮'!V68</f>
        <v>2502539173.2682805</v>
      </c>
      <c r="BQ68" s="17">
        <f>'[1]资源-木石铜粮'!W68</f>
        <v>2726522815.4089541</v>
      </c>
      <c r="BR68" s="17">
        <f>'[1]资源-木石铜粮'!X68</f>
        <v>2698718103.5781817</v>
      </c>
      <c r="BS68" s="17">
        <f>'[1]资源-木石铜粮'!Y68</f>
        <v>2548211081.746563</v>
      </c>
      <c r="BV68" s="49">
        <v>63</v>
      </c>
      <c r="BW68" s="47">
        <f>'[1]功能-城建'!EQ66+[1]养成buff汇总!H68+'[1]功能-采集'!BS67+[2]产出汇总!AY68+[1]养成buff汇总!GY68</f>
        <v>1432797484.9068255</v>
      </c>
      <c r="BX68" s="47">
        <f>'[1]功能-城建'!ER66+[1]养成buff汇总!I68+'[1]功能-采集'!BT67+[2]产出汇总!AZ68+[1]养成buff汇总!GZ68</f>
        <v>1079016067.6398144</v>
      </c>
      <c r="BY68" s="47">
        <f>'[1]功能-城建'!ES66+[1]养成buff汇总!J68+'[1]功能-采集'!BU67+[2]产出汇总!BA68+[1]养成buff汇总!HA68</f>
        <v>1092419629.4611669</v>
      </c>
      <c r="BZ68" s="47">
        <f>'[1]功能-城建'!ET66+[1]养成buff汇总!K68+'[1]功能-采集'!BV67+[2]产出汇总!BB68+[1]养成buff汇总!HB68</f>
        <v>724854471.95839834</v>
      </c>
      <c r="CA68" s="47">
        <f>'[1]功能-城建'!EU66+[1]养成buff汇总!L68+'[1]功能-采集'!BW67+[2]产出汇总!BC68+[1]养成buff汇总!HC68</f>
        <v>543043556.94705081</v>
      </c>
      <c r="CD68" s="49">
        <v>63</v>
      </c>
      <c r="CE68" s="44">
        <f>'[1]资源-铁'!T68</f>
        <v>326854366.4458884</v>
      </c>
      <c r="CF68" s="44">
        <f>'[1]资源-铁'!U68</f>
        <v>464065535.1316433</v>
      </c>
      <c r="CG68" s="44">
        <f>'[1]资源-铁'!V68</f>
        <v>663286467.37833047</v>
      </c>
      <c r="CH68" s="44">
        <f>'[1]资源-铁'!W68</f>
        <v>949669868.59972572</v>
      </c>
      <c r="CI68" s="44">
        <f>'[1]资源-铁'!X68</f>
        <v>1459069967.6467505</v>
      </c>
      <c r="CL68" s="49">
        <v>63</v>
      </c>
      <c r="CM68" s="44">
        <f>'[1]功能-城建'!HF66+[1]养成buff汇总!S68+'[1]功能-采集'!BX67</f>
        <v>202620423.5064497</v>
      </c>
      <c r="CN68" s="44">
        <f>'[1]功能-城建'!HG66+[1]养成buff汇总!T68+'[1]功能-采集'!BY67</f>
        <v>166654972.04024011</v>
      </c>
      <c r="CO68" s="44">
        <f>'[1]功能-城建'!HH66+[1]养成buff汇总!U68+'[1]功能-采集'!BZ67</f>
        <v>162148718.87780431</v>
      </c>
      <c r="CP68" s="44">
        <f>'[1]功能-城建'!HI66+[1]养成buff汇总!V68+'[1]功能-采集'!CA67</f>
        <v>120553534.04050305</v>
      </c>
      <c r="CQ68" s="44">
        <f>'[1]功能-城建'!HJ66+[1]养成buff汇总!W68+'[1]功能-采集'!CB67</f>
        <v>77750561.279674977</v>
      </c>
      <c r="CT68" s="49">
        <v>63</v>
      </c>
      <c r="CU68" s="17">
        <f>'[1]资源-玩家城池建筑时间'!AJ68+CU67</f>
        <v>41302224.406505778</v>
      </c>
      <c r="CV68" s="17">
        <f>'[1]资源-玩家城池建筑时间'!AK68+CV67</f>
        <v>45165526.725677259</v>
      </c>
      <c r="CW68" s="17">
        <f>'[1]资源-玩家城池建筑时间'!AL68+CW67</f>
        <v>49820202.406147085</v>
      </c>
      <c r="CX68" s="17">
        <f>'[1]资源-玩家城池建筑时间'!AM68+CX67</f>
        <v>55558029.429603644</v>
      </c>
      <c r="CY68" s="17">
        <f>'[1]资源-玩家城池建筑时间'!AN68+CY67</f>
        <v>62702496.233159751</v>
      </c>
      <c r="DB68" s="49">
        <v>63</v>
      </c>
      <c r="DC68" s="17">
        <f>'[1]资源-士兵训练时间'!U68</f>
        <v>12988313.757746622</v>
      </c>
      <c r="DD68" s="17">
        <f>'[1]资源-士兵训练时间'!V68</f>
        <v>18965487.461073276</v>
      </c>
      <c r="DE68" s="17">
        <f>'[1]资源-士兵训练时间'!W68</f>
        <v>26182386.704803333</v>
      </c>
      <c r="DF68" s="17">
        <f>'[1]资源-士兵训练时间'!X68</f>
        <v>35059609.840651639</v>
      </c>
      <c r="DG68" s="17">
        <f>'[1]资源-士兵训练时间'!Y68</f>
        <v>52689589.808708966</v>
      </c>
    </row>
    <row r="69" spans="2:111" x14ac:dyDescent="0.15">
      <c r="B69" s="23">
        <v>66</v>
      </c>
      <c r="C69" s="24">
        <f>'[1]资源-钻石'!L69</f>
        <v>577759.55917045113</v>
      </c>
      <c r="D69" s="24">
        <f>'[1]资源-钻石'!M69</f>
        <v>706186.64691990032</v>
      </c>
      <c r="E69" s="24">
        <f>'[1]资源-钻石'!N69</f>
        <v>954448.81904496346</v>
      </c>
      <c r="F69" s="24">
        <f>'[1]资源-钻石'!O69</f>
        <v>1812722.0311334706</v>
      </c>
      <c r="G69" s="24">
        <f>'[1]资源-钻石'!P69</f>
        <v>2436930.254121175</v>
      </c>
      <c r="I69" s="23">
        <v>66</v>
      </c>
      <c r="J69" s="24">
        <f>'[1]资源-钻石'!T69</f>
        <v>409638.13702533423</v>
      </c>
      <c r="K69" s="24">
        <f>'[1]资源-钻石'!U69</f>
        <v>564001.95072786766</v>
      </c>
      <c r="L69" s="24">
        <f>'[1]资源-钻石'!V69</f>
        <v>920912.14580065443</v>
      </c>
      <c r="M69" s="24">
        <f>'[1]资源-钻石'!W69</f>
        <v>2364353.3603807199</v>
      </c>
      <c r="N69" s="24">
        <f>'[1]资源-钻石'!X69</f>
        <v>5561001.1964187911</v>
      </c>
      <c r="P69" s="28">
        <v>66</v>
      </c>
      <c r="Q69" s="28">
        <f>'[1]功能-行军令'!N69</f>
        <v>4416.2695718066107</v>
      </c>
      <c r="R69" s="28">
        <f>'[1]功能-行军令'!O69</f>
        <v>5584.6032876140744</v>
      </c>
      <c r="S69" s="28">
        <f>'[1]功能-行军令'!P69</f>
        <v>6232.6428443465666</v>
      </c>
      <c r="T69" s="28">
        <f>'[1]功能-行军令'!Q69</f>
        <v>5166.7953843630921</v>
      </c>
      <c r="U69" s="28">
        <f>'[1]功能-行军令'!R69</f>
        <v>2868.6839062272406</v>
      </c>
      <c r="V69" s="28">
        <f>'[1]功能-行军令'!S69</f>
        <v>298.82484418021977</v>
      </c>
      <c r="W69" s="28">
        <f>'[1]功能-行军令'!T69</f>
        <v>382.07760975614201</v>
      </c>
      <c r="X69" s="28">
        <f>'[1]功能-行军令'!U69</f>
        <v>426.61613198699433</v>
      </c>
      <c r="Y69" s="28">
        <f>'[1]功能-行军令'!V69</f>
        <v>333.01373476450044</v>
      </c>
      <c r="Z69" s="28">
        <f>'[1]功能-行军令'!W69</f>
        <v>191.34232498857773</v>
      </c>
      <c r="AC69" s="30">
        <v>66</v>
      </c>
      <c r="AD69" s="41">
        <f>'[1]功能-实力'!BE70</f>
        <v>3399810</v>
      </c>
      <c r="AE69" s="41">
        <f>'[1]功能-实力'!BF70</f>
        <v>3612804</v>
      </c>
      <c r="AF69" s="41">
        <f>'[1]功能-实力'!BG70</f>
        <v>4045740</v>
      </c>
      <c r="AG69" s="41">
        <f>'[1]功能-实力'!BH70</f>
        <v>4787148</v>
      </c>
      <c r="AH69" s="41">
        <f>'[1]功能-实力'!BI70</f>
        <v>5076030</v>
      </c>
      <c r="AL69" s="37">
        <f>[3]基础状态预期!C79</f>
        <v>340</v>
      </c>
      <c r="AM69" s="37">
        <f>[3]基础状态预期!D79</f>
        <v>86.247032860782397</v>
      </c>
      <c r="AO69" s="37">
        <f>[3]基础状态预期!F79</f>
        <v>0</v>
      </c>
      <c r="AP69" s="37">
        <f>[3]基础状态预期!G79</f>
        <v>0</v>
      </c>
      <c r="AQ69" s="37">
        <f>[3]基础状态预期!H79</f>
        <v>0</v>
      </c>
      <c r="AR69" s="37">
        <f>[3]基础状态预期!I79</f>
        <v>0</v>
      </c>
      <c r="AS69" s="37">
        <f>[3]基础状态预期!J79</f>
        <v>6</v>
      </c>
      <c r="AW69" s="32">
        <v>63</v>
      </c>
      <c r="AX69" s="32">
        <f>[1]节奏总纲!BJ66</f>
        <v>2.9333333333333331</v>
      </c>
      <c r="AY69" s="32">
        <f>[1]节奏总纲!BK66</f>
        <v>2.992</v>
      </c>
      <c r="AZ69" s="32">
        <f>[1]节奏总纲!BL66</f>
        <v>3.1093333333333333</v>
      </c>
      <c r="BA69" s="32">
        <f>[1]节奏总纲!BM66</f>
        <v>3.3439999999999994</v>
      </c>
      <c r="BB69" s="32">
        <f>[1]节奏总纲!BN66</f>
        <v>4.1066666666666665</v>
      </c>
      <c r="BF69" s="42">
        <f>'[1]功能-行军令'!FZ67</f>
        <v>63</v>
      </c>
      <c r="BG69" s="42">
        <f>'[1]功能-行军令'!GA67*'[1]功能-行军令'!GB67</f>
        <v>263.03575585809341</v>
      </c>
      <c r="BN69" s="49">
        <v>64</v>
      </c>
      <c r="BO69" s="17">
        <f>'[1]资源-木石铜粮'!U69</f>
        <v>2511257578.6019216</v>
      </c>
      <c r="BP69" s="17">
        <f>'[1]资源-木石铜粮'!V69</f>
        <v>2769647704.6888866</v>
      </c>
      <c r="BQ69" s="17">
        <f>'[1]资源-木石铜粮'!W69</f>
        <v>3013995214.5922832</v>
      </c>
      <c r="BR69" s="17">
        <f>'[1]资源-木石铜粮'!X69</f>
        <v>2985268808.5156345</v>
      </c>
      <c r="BS69" s="17">
        <f>'[1]资源-木石铜粮'!Y69</f>
        <v>2810813182.8782654</v>
      </c>
      <c r="BV69" s="49">
        <v>64</v>
      </c>
      <c r="BW69" s="47">
        <f>'[1]功能-城建'!EQ67+[1]养成buff汇总!H69+'[1]功能-采集'!BS68+[2]产出汇总!AY69+[1]养成buff汇总!GY69</f>
        <v>1590003850.3450148</v>
      </c>
      <c r="BX69" s="47">
        <f>'[1]功能-城建'!ER67+[1]养成buff汇总!I69+'[1]功能-采集'!BT68+[2]产出汇总!AZ69+[1]养成buff汇总!GZ69</f>
        <v>1196801385.7771215</v>
      </c>
      <c r="BY69" s="47">
        <f>'[1]功能-城建'!ES67+[1]养成buff汇总!J69+'[1]功能-采集'!BU68+[2]产出汇总!BA69+[1]养成buff汇总!HA69</f>
        <v>1218100738.7378929</v>
      </c>
      <c r="BZ69" s="47">
        <f>'[1]功能-城建'!ET67+[1]养成buff汇总!K69+'[1]功能-采集'!BV68+[2]产出汇总!BB69+[1]养成buff汇总!HB69</f>
        <v>808086826.56171978</v>
      </c>
      <c r="CA69" s="47">
        <f>'[1]功能-城建'!EU67+[1]养成buff汇总!L69+'[1]功能-采集'!BW68+[2]产出汇总!BC69+[1]养成buff汇总!HC69</f>
        <v>604816462.22359371</v>
      </c>
      <c r="CD69" s="49">
        <v>64</v>
      </c>
      <c r="CE69" s="44">
        <f>'[1]资源-铁'!T69</f>
        <v>388751548.80168641</v>
      </c>
      <c r="CF69" s="44">
        <f>'[1]资源-铁'!U69</f>
        <v>546796151.93069553</v>
      </c>
      <c r="CG69" s="44">
        <f>'[1]资源-铁'!V69</f>
        <v>770991037.63258743</v>
      </c>
      <c r="CH69" s="44">
        <f>'[1]资源-铁'!W69</f>
        <v>1094932160.8543243</v>
      </c>
      <c r="CI69" s="44">
        <f>'[1]资源-铁'!X69</f>
        <v>1658787526.5526431</v>
      </c>
      <c r="CL69" s="49">
        <v>64</v>
      </c>
      <c r="CM69" s="44">
        <f>'[1]功能-城建'!HF67+[1]养成buff汇总!S69+'[1]功能-采集'!BX68</f>
        <v>236726545.45897532</v>
      </c>
      <c r="CN69" s="44">
        <f>'[1]功能-城建'!HG67+[1]养成buff汇总!T69+'[1]功能-采集'!BY68</f>
        <v>196581701.53255573</v>
      </c>
      <c r="CO69" s="44">
        <f>'[1]功能-城建'!HH67+[1]养成buff汇总!U69+'[1]功能-采集'!BZ68</f>
        <v>191855750.38802391</v>
      </c>
      <c r="CP69" s="44">
        <f>'[1]功能-城建'!HI67+[1]养成buff汇总!V69+'[1]功能-采集'!CA68</f>
        <v>143904152.30118224</v>
      </c>
      <c r="CQ69" s="44">
        <f>'[1]功能-城建'!HJ67+[1]养成buff汇总!W69+'[1]功能-采集'!CB68</f>
        <v>93553953.867441669</v>
      </c>
      <c r="CT69" s="49">
        <v>64</v>
      </c>
      <c r="CU69" s="17">
        <f>'[1]资源-玩家城池建筑时间'!AJ69+CU68</f>
        <v>44640672.398937836</v>
      </c>
      <c r="CV69" s="17">
        <f>'[1]资源-玩家城池建筑时间'!AK69+CV68</f>
        <v>48842819.11694622</v>
      </c>
      <c r="CW69" s="17">
        <f>'[1]资源-玩家城池建筑时间'!AL69+CW68</f>
        <v>53894953.31701123</v>
      </c>
      <c r="CX69" s="17">
        <f>'[1]资源-玩家城池建筑时间'!AM69+CX68</f>
        <v>60158439.492642716</v>
      </c>
      <c r="CY69" s="17">
        <f>'[1]资源-玩家城池建筑时间'!AN69+CY68</f>
        <v>67716539.607707381</v>
      </c>
      <c r="DB69" s="49">
        <v>64</v>
      </c>
      <c r="DC69" s="17">
        <f>'[1]资源-士兵训练时间'!U69</f>
        <v>14056224.01287635</v>
      </c>
      <c r="DD69" s="17">
        <f>'[1]资源-士兵训练时间'!V69</f>
        <v>20530261.5805053</v>
      </c>
      <c r="DE69" s="17">
        <f>'[1]资源-士兵训练时间'!W69</f>
        <v>28348452.467419088</v>
      </c>
      <c r="DF69" s="17">
        <f>'[1]资源-士兵训练时间'!X69</f>
        <v>37929902.057934344</v>
      </c>
      <c r="DG69" s="17">
        <f>'[1]资源-士兵训练时间'!Y69</f>
        <v>56857050.598240644</v>
      </c>
    </row>
    <row r="70" spans="2:111" x14ac:dyDescent="0.15">
      <c r="B70" s="23">
        <v>67</v>
      </c>
      <c r="C70" s="24">
        <f>'[1]资源-钻石'!L70</f>
        <v>607898.08259560703</v>
      </c>
      <c r="D70" s="24">
        <f>'[1]资源-钻石'!M70</f>
        <v>756308.32860879111</v>
      </c>
      <c r="E70" s="24">
        <f>'[1]资源-钻石'!N70</f>
        <v>1019113.1862193985</v>
      </c>
      <c r="F70" s="24">
        <f>'[1]资源-钻石'!O70</f>
        <v>1933339.2051718575</v>
      </c>
      <c r="G70" s="24">
        <f>'[1]资源-钻石'!P70</f>
        <v>2587354.9898068202</v>
      </c>
      <c r="I70" s="23">
        <v>67</v>
      </c>
      <c r="J70" s="24">
        <f>'[1]资源-钻石'!T70</f>
        <v>415559.95779238234</v>
      </c>
      <c r="K70" s="24">
        <f>'[1]资源-钻石'!U70</f>
        <v>572195.95357162063</v>
      </c>
      <c r="L70" s="24">
        <f>'[1]资源-钻石'!V70</f>
        <v>934377.54892878258</v>
      </c>
      <c r="M70" s="24">
        <f>'[1]资源-钻石'!W70</f>
        <v>2399185.303821661</v>
      </c>
      <c r="N70" s="24">
        <f>'[1]资源-钻石'!X70</f>
        <v>5643171.3342038263</v>
      </c>
      <c r="P70" s="28">
        <v>67</v>
      </c>
      <c r="Q70" s="28">
        <f>'[1]功能-行军令'!N70</f>
        <v>4736.5421097455128</v>
      </c>
      <c r="R70" s="28">
        <f>'[1]功能-行军令'!O70</f>
        <v>5994.4338352951672</v>
      </c>
      <c r="S70" s="28">
        <f>'[1]功能-行军令'!P70</f>
        <v>6669.648506700737</v>
      </c>
      <c r="T70" s="28">
        <f>'[1]功能-行军令'!Q70</f>
        <v>5523.467097126364</v>
      </c>
      <c r="U70" s="28">
        <f>'[1]功能-行军令'!R70</f>
        <v>3069.2998807764393</v>
      </c>
      <c r="V70" s="28">
        <f>'[1]功能-行军令'!S70</f>
        <v>320.27253793890213</v>
      </c>
      <c r="W70" s="28">
        <f>'[1]功能-行军令'!T70</f>
        <v>409.83054768109287</v>
      </c>
      <c r="X70" s="28">
        <f>'[1]功能-行军令'!U70</f>
        <v>437.00566235417045</v>
      </c>
      <c r="Y70" s="28">
        <f>'[1]功能-行军令'!V70</f>
        <v>356.6717127632719</v>
      </c>
      <c r="Z70" s="28">
        <f>'[1]功能-行军令'!W70</f>
        <v>200.61597454919865</v>
      </c>
      <c r="AC70" s="30">
        <v>67</v>
      </c>
      <c r="AD70" s="41">
        <f>'[1]功能-实力'!BE71</f>
        <v>3569736</v>
      </c>
      <c r="AE70" s="41">
        <f>'[1]功能-实力'!BF71</f>
        <v>3806598</v>
      </c>
      <c r="AF70" s="41">
        <f>'[1]功能-实力'!BG71</f>
        <v>4278744</v>
      </c>
      <c r="AG70" s="41">
        <f>'[1]功能-实力'!BH71</f>
        <v>5038356</v>
      </c>
      <c r="AH70" s="41">
        <f>'[1]功能-实力'!BI71</f>
        <v>5346738</v>
      </c>
      <c r="AL70" s="37">
        <f>[3]基础状态预期!C80</f>
        <v>442</v>
      </c>
      <c r="AM70" s="37">
        <f>[3]基础状态预期!D80</f>
        <v>90.122782504866933</v>
      </c>
      <c r="AO70" s="37">
        <f>[3]基础状态预期!F80</f>
        <v>0</v>
      </c>
      <c r="AP70" s="37">
        <f>[3]基础状态预期!G80</f>
        <v>0</v>
      </c>
      <c r="AQ70" s="37">
        <f>[3]基础状态预期!H80</f>
        <v>0</v>
      </c>
      <c r="AR70" s="37">
        <f>[3]基础状态预期!I80</f>
        <v>0</v>
      </c>
      <c r="AS70" s="37">
        <f>[3]基础状态预期!J80</f>
        <v>6</v>
      </c>
      <c r="AW70" s="32">
        <v>64</v>
      </c>
      <c r="AX70" s="32">
        <f>[1]节奏总纲!BJ67</f>
        <v>2.9666666666666663</v>
      </c>
      <c r="AY70" s="32">
        <f>[1]节奏总纲!BK67</f>
        <v>3.0259999999999998</v>
      </c>
      <c r="AZ70" s="32">
        <f>[1]节奏总纲!BL67</f>
        <v>3.1446666666666663</v>
      </c>
      <c r="BA70" s="32">
        <f>[1]节奏总纲!BM67</f>
        <v>3.3819999999999992</v>
      </c>
      <c r="BB70" s="32">
        <f>[1]节奏总纲!BN67</f>
        <v>4.1533333333333324</v>
      </c>
      <c r="BF70" s="42">
        <f>'[1]功能-行军令'!FZ68</f>
        <v>64</v>
      </c>
      <c r="BG70" s="42">
        <f>'[1]功能-行军令'!GA68*'[1]功能-行军令'!GB68</f>
        <v>268.29647097525526</v>
      </c>
      <c r="BN70" s="49">
        <v>65</v>
      </c>
      <c r="BO70" s="17">
        <f>'[1]资源-木石铜粮'!U70</f>
        <v>2782441162.5067711</v>
      </c>
      <c r="BP70" s="17">
        <f>'[1]资源-木石铜粮'!V70</f>
        <v>3073907109.9539528</v>
      </c>
      <c r="BQ70" s="17">
        <f>'[1]资源-木石铜粮'!W70</f>
        <v>3336753837.5307121</v>
      </c>
      <c r="BR70" s="17">
        <f>'[1]资源-木石铜粮'!X70</f>
        <v>3299988118.1803002</v>
      </c>
      <c r="BS70" s="17">
        <f>'[1]资源-木石铜粮'!Y70</f>
        <v>3092517627.3013601</v>
      </c>
      <c r="BV70" s="49">
        <v>65</v>
      </c>
      <c r="BW70" s="47">
        <f>'[1]功能-城建'!EQ68+[1]养成buff汇总!H70+'[1]功能-采集'!BS69+[2]产出汇总!AY70+[1]养成buff汇总!GY70</f>
        <v>1769011501.0839663</v>
      </c>
      <c r="BX70" s="47">
        <f>'[1]功能-城建'!ER68+[1]养成buff汇总!I70+'[1]功能-采集'!BT69+[2]产出汇总!AZ70+[1]养成buff汇总!GZ70</f>
        <v>1325766001.4551134</v>
      </c>
      <c r="BY70" s="47">
        <f>'[1]功能-城建'!ES68+[1]养成buff汇总!J70+'[1]功能-采集'!BU69+[2]产出汇总!BA70+[1]养成buff汇总!HA70</f>
        <v>1365246869.5654488</v>
      </c>
      <c r="BZ70" s="47">
        <f>'[1]功能-城建'!ET68+[1]养成buff汇总!K70+'[1]功能-采集'!BV69+[2]产出汇总!BB70+[1]养成buff汇总!HB70</f>
        <v>897996381.43130851</v>
      </c>
      <c r="CA70" s="47">
        <f>'[1]功能-城建'!EU68+[1]养成buff汇总!L70+'[1]功能-采集'!BW69+[2]产出汇总!BC70+[1]养成buff汇总!HC70</f>
        <v>668597707.72767806</v>
      </c>
      <c r="CD70" s="49">
        <v>65</v>
      </c>
      <c r="CE70" s="44">
        <f>'[1]资源-铁'!T70</f>
        <v>458579404.00862575</v>
      </c>
      <c r="CF70" s="44">
        <f>'[1]资源-铁'!U70</f>
        <v>636310592.37569666</v>
      </c>
      <c r="CG70" s="44">
        <f>'[1]资源-铁'!V70</f>
        <v>892376671.0863862</v>
      </c>
      <c r="CH70" s="44">
        <f>'[1]资源-铁'!W70</f>
        <v>1249707703.5211172</v>
      </c>
      <c r="CI70" s="44">
        <f>'[1]资源-铁'!X70</f>
        <v>1861395637.5746155</v>
      </c>
      <c r="CL70" s="49">
        <v>65</v>
      </c>
      <c r="CM70" s="44">
        <f>'[1]功能-城建'!HF68+[1]养成buff汇总!S70+'[1]功能-采集'!BX69</f>
        <v>277614746.73519731</v>
      </c>
      <c r="CN70" s="44">
        <f>'[1]功能-城建'!HG68+[1]养成buff汇总!T70+'[1]功能-采集'!BY69</f>
        <v>229647313.74057341</v>
      </c>
      <c r="CO70" s="44">
        <f>'[1]功能-城建'!HH68+[1]养成buff汇总!U70+'[1]功能-采集'!BZ69</f>
        <v>228987944.45696661</v>
      </c>
      <c r="CP70" s="44">
        <f>'[1]功能-城建'!HI68+[1]养成buff汇总!V70+'[1]功能-采集'!CA69</f>
        <v>168937678.07956034</v>
      </c>
      <c r="CQ70" s="44">
        <f>'[1]功能-城建'!HJ68+[1]养成buff汇总!W70+'[1]功能-采集'!CB69</f>
        <v>109757999.46596718</v>
      </c>
      <c r="CT70" s="49">
        <v>65</v>
      </c>
      <c r="CU70" s="17">
        <f>'[1]资源-玩家城池建筑时间'!AJ70+CU69</f>
        <v>48250224.019114435</v>
      </c>
      <c r="CV70" s="17">
        <f>'[1]资源-玩家城池建筑时间'!AK70+CV69</f>
        <v>52769851.101161651</v>
      </c>
      <c r="CW70" s="17">
        <f>'[1]资源-玩家城池建筑时间'!AL70+CW69</f>
        <v>58367532.991614394</v>
      </c>
      <c r="CX70" s="17">
        <f>'[1]资源-玩家城池建筑时间'!AM70+CX69</f>
        <v>65031182.904989034</v>
      </c>
      <c r="CY70" s="17">
        <f>'[1]资源-玩家城池建筑时间'!AN70+CY69</f>
        <v>72774120.028576195</v>
      </c>
      <c r="DB70" s="49">
        <v>65</v>
      </c>
      <c r="DC70" s="17">
        <f>'[1]资源-士兵训练时间'!U70</f>
        <v>15208688.320026761</v>
      </c>
      <c r="DD70" s="17">
        <f>'[1]资源-士兵训练时间'!V70</f>
        <v>22200294.368428938</v>
      </c>
      <c r="DE70" s="17">
        <f>'[1]资源-士兵训练时间'!W70</f>
        <v>30677098.310258947</v>
      </c>
      <c r="DF70" s="17">
        <f>'[1]资源-士兵训练时间'!X70</f>
        <v>40969253.600751139</v>
      </c>
      <c r="DG70" s="17">
        <f>'[1]资源-士兵训练时间'!Y70</f>
        <v>61059613.107308619</v>
      </c>
    </row>
    <row r="71" spans="2:111" x14ac:dyDescent="0.15">
      <c r="B71" s="23">
        <v>68</v>
      </c>
      <c r="C71" s="24">
        <f>'[1]资源-钻石'!L71</f>
        <v>640199.75220271747</v>
      </c>
      <c r="D71" s="24">
        <f>'[1]资源-钻石'!M71</f>
        <v>798222.61178980873</v>
      </c>
      <c r="E71" s="24">
        <f>'[1]资源-钻石'!N71</f>
        <v>1085877.2375718905</v>
      </c>
      <c r="F71" s="24">
        <f>'[1]资源-钻石'!O71</f>
        <v>2065244.5808559358</v>
      </c>
      <c r="G71" s="24">
        <f>'[1]资源-钻石'!P71</f>
        <v>2755646.2333452306</v>
      </c>
      <c r="I71" s="23">
        <v>68</v>
      </c>
      <c r="J71" s="24">
        <f>'[1]资源-钻石'!T71</f>
        <v>421481.77855943039</v>
      </c>
      <c r="K71" s="24">
        <f>'[1]资源-钻石'!U71</f>
        <v>580389.95641537348</v>
      </c>
      <c r="L71" s="24">
        <f>'[1]资源-钻石'!V71</f>
        <v>947842.95205691073</v>
      </c>
      <c r="M71" s="24">
        <f>'[1]资源-钻石'!W71</f>
        <v>2434017.2472626022</v>
      </c>
      <c r="N71" s="24">
        <f>'[1]资源-钻石'!X71</f>
        <v>5725341.4719888614</v>
      </c>
      <c r="P71" s="28">
        <v>68</v>
      </c>
      <c r="Q71" s="28">
        <f>'[1]功能-行军令'!N71</f>
        <v>5079.8017166875779</v>
      </c>
      <c r="R71" s="28">
        <f>'[1]功能-行军令'!O71</f>
        <v>6420.7147672321553</v>
      </c>
      <c r="S71" s="28">
        <f>'[1]功能-行军令'!P71</f>
        <v>7120.8439603582265</v>
      </c>
      <c r="T71" s="28">
        <f>'[1]功能-行军令'!Q71</f>
        <v>5913.5186519153212</v>
      </c>
      <c r="U71" s="28">
        <f>'[1]功能-行军令'!R71</f>
        <v>3281.4966937441241</v>
      </c>
      <c r="V71" s="28">
        <f>'[1]功能-行军令'!S71</f>
        <v>343.25960694206515</v>
      </c>
      <c r="W71" s="28">
        <f>'[1]功能-行军令'!T71</f>
        <v>426.28093193698805</v>
      </c>
      <c r="X71" s="28">
        <f>'[1]功能-行军令'!U71</f>
        <v>451.19545365748945</v>
      </c>
      <c r="Y71" s="28">
        <f>'[1]功能-行军令'!V71</f>
        <v>390.05155478895722</v>
      </c>
      <c r="Z71" s="28">
        <f>'[1]功能-行军令'!W71</f>
        <v>212.19681296768476</v>
      </c>
      <c r="AC71" s="30">
        <v>68</v>
      </c>
      <c r="AD71" s="41">
        <f>'[1]功能-实力'!BE72</f>
        <v>3745728</v>
      </c>
      <c r="AE71" s="41">
        <f>'[1]功能-实力'!BF72</f>
        <v>4005816</v>
      </c>
      <c r="AF71" s="41">
        <f>'[1]功能-实力'!BG72</f>
        <v>4519650</v>
      </c>
      <c r="AG71" s="41">
        <f>'[1]功能-实力'!BH72</f>
        <v>5310948</v>
      </c>
      <c r="AH71" s="41">
        <f>'[1]功能-实力'!BI72</f>
        <v>5628684</v>
      </c>
      <c r="AL71" s="37">
        <f>[3]基础状态预期!C81</f>
        <v>544</v>
      </c>
      <c r="AM71" s="37">
        <f>[3]基础状态预期!D81</f>
        <v>93.149045658279036</v>
      </c>
      <c r="AO71" s="37">
        <f>[3]基础状态预期!F81</f>
        <v>0</v>
      </c>
      <c r="AP71" s="37">
        <f>[3]基础状态预期!G81</f>
        <v>0</v>
      </c>
      <c r="AQ71" s="37">
        <f>[3]基础状态预期!H81</f>
        <v>0</v>
      </c>
      <c r="AR71" s="37">
        <f>[3]基础状态预期!I81</f>
        <v>0</v>
      </c>
      <c r="AS71" s="37">
        <f>[3]基础状态预期!J81</f>
        <v>6</v>
      </c>
      <c r="AW71" s="32">
        <v>65</v>
      </c>
      <c r="AX71" s="32">
        <f>[1]节奏总纲!BJ68</f>
        <v>2.9999999999999996</v>
      </c>
      <c r="AY71" s="32">
        <f>[1]节奏总纲!BK68</f>
        <v>3.0599999999999996</v>
      </c>
      <c r="AZ71" s="32">
        <f>[1]节奏总纲!BL68</f>
        <v>3.1799999999999997</v>
      </c>
      <c r="BA71" s="32">
        <f>[1]节奏总纲!BM68</f>
        <v>3.419999999999999</v>
      </c>
      <c r="BB71" s="32">
        <f>[1]节奏总纲!BN68</f>
        <v>4.1999999999999993</v>
      </c>
      <c r="BF71" s="42">
        <f>'[1]功能-行军令'!FZ69</f>
        <v>65</v>
      </c>
      <c r="BG71" s="42">
        <f>'[1]功能-行军令'!GA69*'[1]功能-行军令'!GB69</f>
        <v>273.66240039476037</v>
      </c>
      <c r="BN71" s="49">
        <v>66</v>
      </c>
      <c r="BO71" s="17">
        <f>'[1]资源-木石铜粮'!U71</f>
        <v>3079830021.3609886</v>
      </c>
      <c r="BP71" s="17">
        <f>'[1]资源-木石铜粮'!V71</f>
        <v>3419342530.3159561</v>
      </c>
      <c r="BQ71" s="17">
        <f>'[1]资源-木石铜粮'!W71</f>
        <v>3689339827.9323311</v>
      </c>
      <c r="BR71" s="17">
        <f>'[1]资源-木石铜粮'!X71</f>
        <v>3635666916.5432529</v>
      </c>
      <c r="BS71" s="17">
        <f>'[1]资源-木石铜粮'!Y71</f>
        <v>3413820439.1108179</v>
      </c>
      <c r="BV71" s="49">
        <v>66</v>
      </c>
      <c r="BW71" s="47">
        <f>'[1]功能-城建'!EQ69+[1]养成buff汇总!H71+'[1]功能-采集'!BS70+[2]产出汇总!AY71+[1]养成buff汇总!GY71</f>
        <v>1968985971.4284937</v>
      </c>
      <c r="BX71" s="47">
        <f>'[1]功能-城建'!ER69+[1]养成buff汇总!I71+'[1]功能-采集'!BT70+[2]产出汇总!AZ71+[1]养成buff汇总!GZ71</f>
        <v>1473143903.9046695</v>
      </c>
      <c r="BY71" s="47">
        <f>'[1]功能-城建'!ES69+[1]养成buff汇总!J71+'[1]功能-采集'!BU70+[2]产出汇总!BA71+[1]养成buff汇总!HA71</f>
        <v>1525010994.9666855</v>
      </c>
      <c r="BZ71" s="47">
        <f>'[1]功能-城建'!ET69+[1]养成buff汇总!K71+'[1]功能-采集'!BV70+[2]产出汇总!BB71+[1]养成buff汇总!HB71</f>
        <v>991251353.77530003</v>
      </c>
      <c r="CA71" s="47">
        <f>'[1]功能-城建'!EU69+[1]养成buff汇总!L71+'[1]功能-采集'!BW70+[2]产出汇总!BC71+[1]养成buff汇总!HC71</f>
        <v>742611616.14734983</v>
      </c>
      <c r="CD71" s="49">
        <v>66</v>
      </c>
      <c r="CE71" s="44">
        <f>'[1]资源-铁'!T71</f>
        <v>535517338.33488941</v>
      </c>
      <c r="CF71" s="44">
        <f>'[1]资源-铁'!U71</f>
        <v>736190512.57709789</v>
      </c>
      <c r="CG71" s="44">
        <f>'[1]资源-铁'!V71</f>
        <v>1020932984.4904181</v>
      </c>
      <c r="CH71" s="44">
        <f>'[1]资源-铁'!W71</f>
        <v>1409786272.9863896</v>
      </c>
      <c r="CI71" s="44">
        <f>'[1]资源-铁'!X71</f>
        <v>2089286526.8007269</v>
      </c>
      <c r="CL71" s="49">
        <v>66</v>
      </c>
      <c r="CM71" s="44">
        <f>'[1]功能-城建'!HF69+[1]养成buff汇总!S71+'[1]功能-采集'!BX70</f>
        <v>324370415.43527412</v>
      </c>
      <c r="CN71" s="44">
        <f>'[1]功能-城建'!HG69+[1]养成buff汇总!T71+'[1]功能-采集'!BY70</f>
        <v>269232846.05783719</v>
      </c>
      <c r="CO71" s="44">
        <f>'[1]功能-城建'!HH69+[1]养成buff汇总!U71+'[1]功能-采集'!BZ70</f>
        <v>269251565.64573967</v>
      </c>
      <c r="CP71" s="44">
        <f>'[1]功能-城建'!HI69+[1]养成buff汇总!V71+'[1]功能-采集'!CA70</f>
        <v>194866256.54891166</v>
      </c>
      <c r="CQ71" s="44">
        <f>'[1]功能-城建'!HJ69+[1]养成buff汇总!W71+'[1]功能-采集'!CB70</f>
        <v>128509201.63564549</v>
      </c>
      <c r="CT71" s="49">
        <v>66</v>
      </c>
      <c r="CU71" s="17">
        <f>'[1]资源-玩家城池建筑时间'!AJ71+CU70</f>
        <v>52137789.706304088</v>
      </c>
      <c r="CV71" s="17">
        <f>'[1]资源-玩家城池建筑时间'!AK71+CV70</f>
        <v>57068091.511628866</v>
      </c>
      <c r="CW71" s="17">
        <f>'[1]资源-玩家城池建筑时间'!AL71+CW70</f>
        <v>63096256.056208193</v>
      </c>
      <c r="CX71" s="17">
        <f>'[1]资源-玩家城池建筑时间'!AM71+CX70</f>
        <v>69981263.382433787</v>
      </c>
      <c r="CY71" s="17">
        <f>'[1]资源-玩家城池建筑时间'!AN71+CY70</f>
        <v>78500893.602382481</v>
      </c>
      <c r="DB71" s="49">
        <v>66</v>
      </c>
      <c r="DC71" s="17">
        <f>'[1]资源-士兵训练时间'!U71</f>
        <v>16448625.158250149</v>
      </c>
      <c r="DD71" s="17">
        <f>'[1]资源-士兵训练时间'!V71</f>
        <v>24001179.473031037</v>
      </c>
      <c r="DE71" s="17">
        <f>'[1]资源-士兵训练时间'!W71</f>
        <v>33135722.79952576</v>
      </c>
      <c r="DF71" s="17">
        <f>'[1]资源-士兵训练时间'!X71</f>
        <v>44054180.715138726</v>
      </c>
      <c r="DG71" s="17">
        <f>'[1]资源-士兵训练时间'!Y71</f>
        <v>65756698.864653513</v>
      </c>
    </row>
    <row r="72" spans="2:111" x14ac:dyDescent="0.15">
      <c r="B72" s="23">
        <v>69</v>
      </c>
      <c r="C72" s="24">
        <f>'[1]资源-钻石'!L72</f>
        <v>674819.8244832335</v>
      </c>
      <c r="D72" s="24">
        <f>'[1]资源-钻石'!M72</f>
        <v>841251.8857125194</v>
      </c>
      <c r="E72" s="24">
        <f>'[1]资源-钻石'!N72</f>
        <v>1161869.5172810361</v>
      </c>
      <c r="F72" s="24">
        <f>'[1]资源-钻石'!O72</f>
        <v>2208839.3436855767</v>
      </c>
      <c r="G72" s="24">
        <f>'[1]资源-钻石'!P72</f>
        <v>2936483.454923064</v>
      </c>
      <c r="I72" s="23">
        <v>69</v>
      </c>
      <c r="J72" s="24">
        <f>'[1]资源-钻石'!T72</f>
        <v>427403.59932647849</v>
      </c>
      <c r="K72" s="24">
        <f>'[1]资源-钻石'!U72</f>
        <v>588583.95925912645</v>
      </c>
      <c r="L72" s="24">
        <f>'[1]资源-钻石'!V72</f>
        <v>961308.35518503899</v>
      </c>
      <c r="M72" s="24">
        <f>'[1]资源-钻石'!W72</f>
        <v>2468849.1907035429</v>
      </c>
      <c r="N72" s="24">
        <f>'[1]资源-钻石'!X72</f>
        <v>5807511.6097738966</v>
      </c>
      <c r="P72" s="28">
        <v>69</v>
      </c>
      <c r="Q72" s="28">
        <f>'[1]功能-行军令'!N72</f>
        <v>5447.6982541687212</v>
      </c>
      <c r="R72" s="28">
        <f>'[1]功能-行军令'!O72</f>
        <v>6868.2684736992569</v>
      </c>
      <c r="S72" s="28">
        <f>'[1]功能-行军令'!P72</f>
        <v>7634.4043333920454</v>
      </c>
      <c r="T72" s="28">
        <f>'[1]功能-行军令'!Q72</f>
        <v>6338.1363766348895</v>
      </c>
      <c r="U72" s="28">
        <f>'[1]功能-行军令'!R72</f>
        <v>3508.175561817156</v>
      </c>
      <c r="V72" s="28">
        <f>'[1]功能-行军令'!S72</f>
        <v>367.89653748114324</v>
      </c>
      <c r="W72" s="28">
        <f>'[1]功能-行军令'!T72</f>
        <v>447.55370646710162</v>
      </c>
      <c r="X72" s="28">
        <f>'[1]功能-行军令'!U72</f>
        <v>513.56037303381891</v>
      </c>
      <c r="Y72" s="28">
        <f>'[1]功能-行军令'!V72</f>
        <v>424.61772471956829</v>
      </c>
      <c r="Z72" s="28">
        <f>'[1]功能-行军令'!W72</f>
        <v>226.67886807303194</v>
      </c>
      <c r="AC72" s="30">
        <v>69</v>
      </c>
      <c r="AD72" s="41">
        <f>'[1]功能-实力'!BE73</f>
        <v>3927426</v>
      </c>
      <c r="AE72" s="41">
        <f>'[1]功能-实力'!BF73</f>
        <v>4210674</v>
      </c>
      <c r="AF72" s="41">
        <f>'[1]功能-实力'!BG73</f>
        <v>4777920</v>
      </c>
      <c r="AG72" s="41">
        <f>'[1]功能-实力'!BH73</f>
        <v>5586246</v>
      </c>
      <c r="AH72" s="41">
        <f>'[1]功能-实力'!BI73</f>
        <v>5921628</v>
      </c>
      <c r="AL72" s="37">
        <f>[3]基础状态预期!C82</f>
        <v>697</v>
      </c>
      <c r="AM72" s="37">
        <f>[3]基础状态预期!D82</f>
        <v>96.770480813454071</v>
      </c>
      <c r="AO72" s="37">
        <f>[3]基础状态预期!F82</f>
        <v>0</v>
      </c>
      <c r="AP72" s="37">
        <f>[3]基础状态预期!G82</f>
        <v>0</v>
      </c>
      <c r="AQ72" s="37">
        <f>[3]基础状态预期!H82</f>
        <v>0</v>
      </c>
      <c r="AR72" s="37">
        <f>[3]基础状态预期!I82</f>
        <v>0</v>
      </c>
      <c r="AS72" s="37">
        <f>[3]基础状态预期!J82</f>
        <v>6</v>
      </c>
      <c r="AW72" s="32">
        <v>66</v>
      </c>
      <c r="AX72" s="32">
        <f>[1]节奏总纲!BJ69</f>
        <v>3.0333333333333328</v>
      </c>
      <c r="AY72" s="32">
        <f>[1]节奏总纲!BK69</f>
        <v>3.0939999999999994</v>
      </c>
      <c r="AZ72" s="32">
        <f>[1]节奏总纲!BL69</f>
        <v>3.2153333333333327</v>
      </c>
      <c r="BA72" s="32">
        <f>[1]节奏总纲!BM69</f>
        <v>3.4579999999999989</v>
      </c>
      <c r="BB72" s="32">
        <f>[1]节奏总纲!BN69</f>
        <v>4.2466666666666653</v>
      </c>
      <c r="BF72" s="42">
        <f>'[1]功能-行军令'!FZ70</f>
        <v>66</v>
      </c>
      <c r="BG72" s="42">
        <f>'[1]功能-行军令'!GA70*'[1]功能-行军令'!GB70</f>
        <v>279.13564840265559</v>
      </c>
      <c r="BN72" s="49">
        <v>67</v>
      </c>
      <c r="BO72" s="17">
        <f>'[1]资源-木石铜粮'!U72</f>
        <v>3409449882.3437071</v>
      </c>
      <c r="BP72" s="17">
        <f>'[1]资源-木石铜粮'!V72</f>
        <v>3789588474.677022</v>
      </c>
      <c r="BQ72" s="17">
        <f>'[1]资源-木石铜粮'!W72</f>
        <v>4070554191.4046431</v>
      </c>
      <c r="BR72" s="17">
        <f>'[1]资源-木石铜粮'!X72</f>
        <v>4006775186.205472</v>
      </c>
      <c r="BS72" s="17">
        <f>'[1]资源-木石铜粮'!Y72</f>
        <v>3768819021.4765186</v>
      </c>
      <c r="BV72" s="49">
        <v>67</v>
      </c>
      <c r="BW72" s="47">
        <f>'[1]功能-城建'!EQ70+[1]养成buff汇总!H72+'[1]功能-采集'!BS71+[2]产出汇总!AY72+[1]养成buff汇总!GY72</f>
        <v>2194251591.8772955</v>
      </c>
      <c r="BX72" s="47">
        <f>'[1]功能-城建'!ER70+[1]养成buff汇总!I72+'[1]功能-采集'!BT71+[2]产出汇总!AZ72+[1]养成buff汇总!GZ72</f>
        <v>1636609205.6578887</v>
      </c>
      <c r="BY72" s="47">
        <f>'[1]功能-城建'!ES70+[1]养成buff汇总!J72+'[1]功能-采集'!BU71+[2]产出汇总!BA72+[1]养成buff汇总!HA72</f>
        <v>1694953613.1224306</v>
      </c>
      <c r="BZ72" s="47">
        <f>'[1]功能-城建'!ET70+[1]养成buff汇总!K72+'[1]功能-采集'!BV71+[2]产出汇总!BB72+[1]养成buff汇总!HB72</f>
        <v>1092965834.0209711</v>
      </c>
      <c r="CA72" s="47">
        <f>'[1]功能-城建'!EU70+[1]养成buff汇总!L72+'[1]功能-采集'!BW71+[2]产出汇总!BC72+[1]养成buff汇总!HC72</f>
        <v>822507558.20383692</v>
      </c>
      <c r="CD72" s="49">
        <v>67</v>
      </c>
      <c r="CE72" s="44">
        <f>'[1]资源-铁'!T72</f>
        <v>619707702.7556622</v>
      </c>
      <c r="CF72" s="44">
        <f>'[1]资源-铁'!U72</f>
        <v>844709569.23421645</v>
      </c>
      <c r="CG72" s="44">
        <f>'[1]资源-铁'!V72</f>
        <v>1156596082.9605513</v>
      </c>
      <c r="CH72" s="44">
        <f>'[1]资源-铁'!W72</f>
        <v>1581230302.267365</v>
      </c>
      <c r="CI72" s="44">
        <f>'[1]资源-铁'!X72</f>
        <v>2328231136.139174</v>
      </c>
      <c r="CL72" s="49">
        <v>67</v>
      </c>
      <c r="CM72" s="44">
        <f>'[1]功能-城建'!HF70+[1]养成buff汇总!S72+'[1]功能-采集'!BX71</f>
        <v>378986121.65754867</v>
      </c>
      <c r="CN72" s="44">
        <f>'[1]功能-城建'!HG70+[1]养成buff汇总!T72+'[1]功能-采集'!BY71</f>
        <v>313839018.84209186</v>
      </c>
      <c r="CO72" s="44">
        <f>'[1]功能-城建'!HH70+[1]养成buff汇总!U72+'[1]功能-采集'!BZ71</f>
        <v>312261556.6288231</v>
      </c>
      <c r="CP72" s="44">
        <f>'[1]功能-城建'!HI70+[1]养成buff汇总!V72+'[1]功能-采集'!CA71</f>
        <v>222916615.79791373</v>
      </c>
      <c r="CQ72" s="44">
        <f>'[1]功能-城建'!HJ70+[1]养成buff汇总!W72+'[1]功能-采集'!CB71</f>
        <v>148703097.96881855</v>
      </c>
      <c r="CT72" s="49">
        <v>67</v>
      </c>
      <c r="CU72" s="17">
        <f>'[1]资源-玩家城池建筑时间'!AJ72+CU71</f>
        <v>56328504.407329924</v>
      </c>
      <c r="CV72" s="17">
        <f>'[1]资源-玩家城池建筑时间'!AK72+CV71</f>
        <v>61695510.0934074</v>
      </c>
      <c r="CW72" s="17">
        <f>'[1]资源-玩家城池建筑时间'!AL72+CW71</f>
        <v>67989119.203932688</v>
      </c>
      <c r="CX72" s="17">
        <f>'[1]资源-玩家城池建筑时间'!AM72+CX71</f>
        <v>75284360.179555729</v>
      </c>
      <c r="CY72" s="17">
        <f>'[1]资源-玩家城池建筑时间'!AN72+CY71</f>
        <v>84534421.693212897</v>
      </c>
      <c r="DB72" s="49">
        <v>67</v>
      </c>
      <c r="DC72" s="17">
        <f>'[1]资源-士兵训练时间'!U72</f>
        <v>17770162.660383221</v>
      </c>
      <c r="DD72" s="17">
        <f>'[1]资源-士兵训练时间'!V72</f>
        <v>25925941.738334272</v>
      </c>
      <c r="DE72" s="17">
        <f>'[1]资源-士兵训练时间'!W72</f>
        <v>35677217.990268722</v>
      </c>
      <c r="DF72" s="17">
        <f>'[1]资源-士兵训练时间'!X72</f>
        <v>47357482.995264992</v>
      </c>
      <c r="DG72" s="17">
        <f>'[1]资源-士兵训练时间'!Y72</f>
        <v>70658855.649653673</v>
      </c>
    </row>
    <row r="73" spans="2:111" x14ac:dyDescent="0.15">
      <c r="B73" s="23">
        <v>70</v>
      </c>
      <c r="C73" s="24">
        <f>'[1]资源-钻石'!L73</f>
        <v>711924.69922457915</v>
      </c>
      <c r="D73" s="24">
        <f>'[1]资源-钻石'!M73</f>
        <v>889292.23496366176</v>
      </c>
      <c r="E73" s="24">
        <f>'[1]资源-钻石'!N73</f>
        <v>1245310.5921579553</v>
      </c>
      <c r="F73" s="24">
        <f>'[1]资源-钻石'!O73</f>
        <v>2361765.3469830584</v>
      </c>
      <c r="G73" s="24">
        <f>'[1]资源-钻石'!P73</f>
        <v>3136965.6977326991</v>
      </c>
      <c r="I73" s="23">
        <v>70</v>
      </c>
      <c r="J73" s="24">
        <f>'[1]资源-钻石'!T73</f>
        <v>433325.4200935266</v>
      </c>
      <c r="K73" s="24">
        <f>'[1]资源-钻石'!U73</f>
        <v>596777.9621028793</v>
      </c>
      <c r="L73" s="24">
        <f>'[1]资源-钻石'!V73</f>
        <v>974773.75831316714</v>
      </c>
      <c r="M73" s="24">
        <f>'[1]资源-钻石'!W73</f>
        <v>2503681.1341444841</v>
      </c>
      <c r="N73" s="24">
        <f>'[1]资源-钻石'!X73</f>
        <v>5889681.7475589318</v>
      </c>
      <c r="P73" s="28">
        <v>70</v>
      </c>
      <c r="Q73" s="28">
        <f>'[1]功能-行军令'!N73</f>
        <v>5842</v>
      </c>
      <c r="R73" s="28">
        <f>'[1]功能-行军令'!O73</f>
        <v>7367.9431000000004</v>
      </c>
      <c r="S73" s="28">
        <f>'[1]功能-行军令'!P73</f>
        <v>8199.691499999999</v>
      </c>
      <c r="T73" s="28">
        <f>'[1]功能-行军令'!Q73</f>
        <v>6790.3471000000009</v>
      </c>
      <c r="U73" s="28">
        <f>'[1]功能-行军令'!R73</f>
        <v>3759.4794000000002</v>
      </c>
      <c r="V73" s="28">
        <f>'[1]功能-行军令'!S73</f>
        <v>394.30174583127882</v>
      </c>
      <c r="W73" s="28">
        <f>'[1]功能-行军令'!T73</f>
        <v>499.67462630074351</v>
      </c>
      <c r="X73" s="28">
        <f>'[1]功能-行军令'!U73</f>
        <v>565.28716660795362</v>
      </c>
      <c r="Y73" s="28">
        <f>'[1]功能-行军令'!V73</f>
        <v>452.21072336511133</v>
      </c>
      <c r="Z73" s="28">
        <f>'[1]功能-行军令'!W73</f>
        <v>251.30383818284417</v>
      </c>
      <c r="AC73" s="30">
        <v>70</v>
      </c>
      <c r="AD73" s="41">
        <f>'[1]功能-实力'!BE74</f>
        <v>4110942</v>
      </c>
      <c r="AE73" s="41">
        <f>'[1]功能-实力'!BF74</f>
        <v>4423296</v>
      </c>
      <c r="AF73" s="41">
        <f>'[1]功能-实力'!BG74</f>
        <v>5025072</v>
      </c>
      <c r="AG73" s="41">
        <f>'[1]功能-实力'!BH74</f>
        <v>5853600</v>
      </c>
      <c r="AH73" s="41">
        <f>'[1]功能-实力'!BI74</f>
        <v>6228336</v>
      </c>
      <c r="AL73" s="37">
        <f>[3]基础状态预期!C83</f>
        <v>901</v>
      </c>
      <c r="AM73" s="37">
        <f>[3]基础状态预期!D83</f>
        <v>100.40175326279811</v>
      </c>
      <c r="AO73" s="37">
        <f>[3]基础状态预期!F83</f>
        <v>0</v>
      </c>
      <c r="AP73" s="37">
        <f>[3]基础状态预期!G83</f>
        <v>0</v>
      </c>
      <c r="AQ73" s="37">
        <f>[3]基础状态预期!H83</f>
        <v>0</v>
      </c>
      <c r="AR73" s="37">
        <f>[3]基础状态预期!I83</f>
        <v>0</v>
      </c>
      <c r="AS73" s="37">
        <f>[3]基础状态预期!J83</f>
        <v>6</v>
      </c>
      <c r="AW73" s="32">
        <v>67</v>
      </c>
      <c r="AX73" s="32">
        <f>[1]节奏总纲!BJ70</f>
        <v>3.066666666666666</v>
      </c>
      <c r="AY73" s="32">
        <f>[1]节奏总纲!BK70</f>
        <v>3.1279999999999992</v>
      </c>
      <c r="AZ73" s="32">
        <f>[1]节奏总纲!BL70</f>
        <v>3.2506666666666661</v>
      </c>
      <c r="BA73" s="32">
        <f>[1]节奏总纲!BM70</f>
        <v>3.4959999999999991</v>
      </c>
      <c r="BB73" s="32">
        <f>[1]节奏总纲!BN70</f>
        <v>4.2933333333333321</v>
      </c>
      <c r="BF73" s="42">
        <f>'[1]功能-行军令'!FZ71</f>
        <v>67</v>
      </c>
      <c r="BG73" s="42">
        <f>'[1]功能-行军令'!GA71*'[1]功能-行军令'!GB71</f>
        <v>284.71836137070869</v>
      </c>
      <c r="BN73" s="49">
        <v>68</v>
      </c>
      <c r="BO73" s="17">
        <f>'[1]资源-木石铜粮'!U73</f>
        <v>3774332181.2977891</v>
      </c>
      <c r="BP73" s="17">
        <f>'[1]资源-木石铜粮'!V73</f>
        <v>4189061181.4030204</v>
      </c>
      <c r="BQ73" s="17">
        <f>'[1]资源-木石铜粮'!W73</f>
        <v>4524182737.9336147</v>
      </c>
      <c r="BR73" s="17">
        <f>'[1]资源-木石铜粮'!X73</f>
        <v>4429673511.5684958</v>
      </c>
      <c r="BS73" s="17">
        <f>'[1]资源-木石铜粮'!Y73</f>
        <v>4160019966.7956896</v>
      </c>
      <c r="BV73" s="49">
        <v>68</v>
      </c>
      <c r="BW73" s="47">
        <f>'[1]功能-城建'!EQ71+[1]养成buff汇总!H73+'[1]功能-采集'!BS72+[2]产出汇总!AY73+[1]养成buff汇总!GY73</f>
        <v>2447259620.585402</v>
      </c>
      <c r="BX73" s="47">
        <f>'[1]功能-城建'!ER71+[1]养成buff汇总!I73+'[1]功能-采集'!BT72+[2]产出汇总!AZ73+[1]养成buff汇总!GZ73</f>
        <v>1811203512.1902356</v>
      </c>
      <c r="BY73" s="47">
        <f>'[1]功能-城建'!ES71+[1]养成buff汇总!J73+'[1]功能-采集'!BU72+[2]产出汇总!BA73+[1]养成buff汇总!HA73</f>
        <v>1874882525.6758349</v>
      </c>
      <c r="BZ73" s="47">
        <f>'[1]功能-城建'!ET71+[1]养成buff汇总!K73+'[1]功能-采集'!BV72+[2]产出汇总!BB73+[1]养成buff汇总!HB73</f>
        <v>1207761395.6801739</v>
      </c>
      <c r="CA73" s="47">
        <f>'[1]功能-城建'!EU71+[1]养成buff汇总!L73+'[1]功能-采集'!BW72+[2]产出汇总!BC73+[1]养成buff汇总!HC73</f>
        <v>909458686.64462757</v>
      </c>
      <c r="CD73" s="49">
        <v>68</v>
      </c>
      <c r="CE73" s="44">
        <f>'[1]资源-铁'!T73</f>
        <v>711705753.84297514</v>
      </c>
      <c r="CF73" s="44">
        <f>'[1]资源-铁'!U73</f>
        <v>959714766.65824926</v>
      </c>
      <c r="CG73" s="44">
        <f>'[1]资源-铁'!V73</f>
        <v>1297400159.0564547</v>
      </c>
      <c r="CH73" s="44">
        <f>'[1]资源-铁'!W73</f>
        <v>1768384975.2159083</v>
      </c>
      <c r="CI73" s="44">
        <f>'[1]资源-铁'!X73</f>
        <v>2580147756.836895</v>
      </c>
      <c r="CL73" s="49">
        <v>68</v>
      </c>
      <c r="CM73" s="44">
        <f>'[1]功能-城建'!HF71+[1]养成buff汇总!S73+'[1]功能-采集'!BX72</f>
        <v>442266902.84304088</v>
      </c>
      <c r="CN73" s="44">
        <f>'[1]功能-城建'!HG71+[1]养成buff汇总!T73+'[1]功能-采集'!BY72</f>
        <v>361368347.40513194</v>
      </c>
      <c r="CO73" s="44">
        <f>'[1]功能-城建'!HH71+[1]养成buff汇总!U73+'[1]功能-采集'!BZ72</f>
        <v>357694948.72116363</v>
      </c>
      <c r="CP73" s="44">
        <f>'[1]功能-城建'!HI71+[1]养成buff汇总!V73+'[1]功能-采集'!CA72</f>
        <v>254636877.19128788</v>
      </c>
      <c r="CQ73" s="44">
        <f>'[1]功能-城建'!HJ71+[1]养成buff汇总!W73+'[1]功能-采集'!CB72</f>
        <v>170629290.94894028</v>
      </c>
      <c r="CT73" s="49">
        <v>68</v>
      </c>
      <c r="CU73" s="17">
        <f>'[1]资源-玩家城池建筑时间'!AJ73+CU72</f>
        <v>60844610.320909843</v>
      </c>
      <c r="CV73" s="17">
        <f>'[1]资源-玩家城池建筑时间'!AK73+CV72</f>
        <v>66540581.250123098</v>
      </c>
      <c r="CW73" s="17">
        <f>'[1]资源-玩家城池建筑时间'!AL73+CW72</f>
        <v>73049921.855306298</v>
      </c>
      <c r="CX73" s="17">
        <f>'[1]资源-玩家城池建筑时间'!AM73+CX72</f>
        <v>81149763.016940728</v>
      </c>
      <c r="CY73" s="17">
        <f>'[1]资源-玩家城池建筑时间'!AN73+CY72</f>
        <v>90944411.618871987</v>
      </c>
      <c r="DB73" s="49">
        <v>68</v>
      </c>
      <c r="DC73" s="17">
        <f>'[1]资源-士兵训练时间'!U73</f>
        <v>19179009.206511512</v>
      </c>
      <c r="DD73" s="17">
        <f>'[1]资源-士兵训练时间'!V73</f>
        <v>27939947.946458086</v>
      </c>
      <c r="DE73" s="17">
        <f>'[1]资源-士兵训练时间'!W73</f>
        <v>38305492.990194596</v>
      </c>
      <c r="DF73" s="17">
        <f>'[1]资源-士兵训练时间'!X73</f>
        <v>50931651.029687218</v>
      </c>
      <c r="DG73" s="17">
        <f>'[1]资源-士兵训练时间'!Y73</f>
        <v>75865481.460007533</v>
      </c>
    </row>
    <row r="74" spans="2:111" x14ac:dyDescent="0.15">
      <c r="B74" s="23">
        <v>71</v>
      </c>
      <c r="C74" s="24">
        <f>'[1]资源-钻石'!L74</f>
        <v>751692.7193030864</v>
      </c>
      <c r="D74" s="24">
        <f>'[1]资源-钻石'!M74</f>
        <v>941237.12982721848</v>
      </c>
      <c r="E74" s="24">
        <f>'[1]资源-钻石'!N74</f>
        <v>1320044.3770026364</v>
      </c>
      <c r="F74" s="24">
        <f>'[1]资源-钻石'!O74</f>
        <v>2525031.7626571311</v>
      </c>
      <c r="G74" s="24">
        <f>'[1]资源-钻石'!P74</f>
        <v>3352804.1367767155</v>
      </c>
      <c r="I74" s="23">
        <v>71</v>
      </c>
      <c r="J74" s="24">
        <f>'[1]资源-钻石'!T74</f>
        <v>439247.2408605747</v>
      </c>
      <c r="K74" s="24">
        <f>'[1]资源-钻石'!U74</f>
        <v>604971.96494663227</v>
      </c>
      <c r="L74" s="24">
        <f>'[1]资源-钻石'!V74</f>
        <v>988239.16144129541</v>
      </c>
      <c r="M74" s="24">
        <f>'[1]资源-钻石'!W74</f>
        <v>2538513.0775854252</v>
      </c>
      <c r="N74" s="24">
        <f>'[1]资源-钻石'!X74</f>
        <v>5971851.885343967</v>
      </c>
      <c r="P74" s="28">
        <v>71</v>
      </c>
      <c r="Q74" s="28">
        <f>'[1]功能-行军令'!N74</f>
        <v>6264.6021474136924</v>
      </c>
      <c r="R74" s="28">
        <f>'[1]功能-行军令'!O74</f>
        <v>7908.2294703902389</v>
      </c>
      <c r="S74" s="28">
        <f>'[1]功能-行军令'!P74</f>
        <v>8789.1278632188478</v>
      </c>
      <c r="T74" s="28">
        <f>'[1]功能-行军令'!Q74</f>
        <v>7273.1349996456938</v>
      </c>
      <c r="U74" s="28">
        <f>'[1]功能-行军令'!R74</f>
        <v>4030.0321801315486</v>
      </c>
      <c r="V74" s="28">
        <f>'[1]功能-行军令'!S74</f>
        <v>422.60214741369236</v>
      </c>
      <c r="W74" s="28">
        <f>'[1]功能-行军令'!T74</f>
        <v>540.28637039023852</v>
      </c>
      <c r="X74" s="28">
        <f>'[1]功能-行军令'!U74</f>
        <v>589.43636321884878</v>
      </c>
      <c r="Y74" s="28">
        <f>'[1]功能-行军令'!V74</f>
        <v>482.78789964569296</v>
      </c>
      <c r="Z74" s="28">
        <f>'[1]功能-行军令'!W74</f>
        <v>270.55278013154839</v>
      </c>
      <c r="AC74" s="30">
        <v>71</v>
      </c>
      <c r="AD74" s="41">
        <f>'[1]功能-实力'!BE75</f>
        <v>4294998</v>
      </c>
      <c r="AE74" s="41">
        <f>'[1]功能-实力'!BF75</f>
        <v>4628988</v>
      </c>
      <c r="AF74" s="41">
        <f>'[1]功能-实力'!BG75</f>
        <v>5225820</v>
      </c>
      <c r="AG74" s="41">
        <f>'[1]功能-实力'!BH75</f>
        <v>6079794</v>
      </c>
      <c r="AH74" s="41">
        <f>'[1]功能-实力'!BI75</f>
        <v>6486738</v>
      </c>
      <c r="AL74" s="37">
        <f>[3]基础状态预期!C84</f>
        <v>1156</v>
      </c>
      <c r="AM74" s="37">
        <f>[3]基础状态预期!D84</f>
        <v>104.06236366727887</v>
      </c>
      <c r="AO74" s="37">
        <f>[3]基础状态预期!F84</f>
        <v>0</v>
      </c>
      <c r="AP74" s="37">
        <f>[3]基础状态预期!G84</f>
        <v>0</v>
      </c>
      <c r="AQ74" s="37">
        <f>[3]基础状态预期!H84</f>
        <v>0</v>
      </c>
      <c r="AR74" s="37">
        <f>[3]基础状态预期!I84</f>
        <v>0</v>
      </c>
      <c r="AS74" s="37">
        <f>[3]基础状态预期!J84</f>
        <v>6</v>
      </c>
      <c r="AW74" s="32">
        <v>68</v>
      </c>
      <c r="AX74" s="32">
        <f>[1]节奏总纲!BJ71</f>
        <v>3.0999999999999992</v>
      </c>
      <c r="AY74" s="32">
        <f>[1]节奏总纲!BK71</f>
        <v>3.161999999999999</v>
      </c>
      <c r="AZ74" s="32">
        <f>[1]节奏总纲!BL71</f>
        <v>3.2859999999999991</v>
      </c>
      <c r="BA74" s="32">
        <f>[1]节奏总纲!BM71</f>
        <v>3.5339999999999989</v>
      </c>
      <c r="BB74" s="32">
        <f>[1]节奏总纲!BN71</f>
        <v>4.339999999999999</v>
      </c>
      <c r="BF74" s="42">
        <f>'[1]功能-行军令'!FZ72</f>
        <v>68</v>
      </c>
      <c r="BG74" s="42">
        <f>'[1]功能-行军令'!GA72*'[1]功能-行军令'!GB72</f>
        <v>290.41272859812284</v>
      </c>
      <c r="BN74" s="49">
        <v>69</v>
      </c>
      <c r="BO74" s="17">
        <f>'[1]资源-木石铜粮'!U74</f>
        <v>4173398918.277977</v>
      </c>
      <c r="BP74" s="17">
        <f>'[1]资源-木石铜粮'!V74</f>
        <v>4620271191.1763849</v>
      </c>
      <c r="BQ74" s="17">
        <f>'[1]资源-木石铜粮'!W74</f>
        <v>5050100878.3532343</v>
      </c>
      <c r="BR74" s="17">
        <f>'[1]资源-木石铜粮'!X74</f>
        <v>4898731105.1847515</v>
      </c>
      <c r="BS74" s="17">
        <f>'[1]资源-木石铜粮'!Y74</f>
        <v>4589979869.8136663</v>
      </c>
      <c r="BV74" s="49">
        <v>69</v>
      </c>
      <c r="BW74" s="47">
        <f>'[1]功能-城建'!EQ72+[1]养成buff汇总!H74+'[1]功能-采集'!BS73+[2]产出汇总!AY74+[1]养成buff汇总!GY74</f>
        <v>2726156676.9854732</v>
      </c>
      <c r="BX74" s="47">
        <f>'[1]功能-城建'!ER72+[1]养成buff汇总!I74+'[1]功能-采集'!BT73+[2]产出汇总!AZ74+[1]养成buff汇总!GZ74</f>
        <v>1999015260.2421565</v>
      </c>
      <c r="BY74" s="47">
        <f>'[1]功能-城建'!ES72+[1]养成buff汇总!J74+'[1]功能-采集'!BU73+[2]产出汇总!BA74+[1]养成buff汇总!HA74</f>
        <v>2086474209.3683171</v>
      </c>
      <c r="BZ74" s="47">
        <f>'[1]功能-城建'!ET72+[1]养成buff汇总!K74+'[1]功能-采集'!BV73+[2]产出汇总!BB74+[1]养成buff汇总!HB74</f>
        <v>1334892376.1951985</v>
      </c>
      <c r="CA74" s="47">
        <f>'[1]功能-城建'!EU72+[1]养成buff汇总!L74+'[1]功能-采集'!BW73+[2]产出汇总!BC74+[1]养成buff汇总!HC74</f>
        <v>1005391849.6117172</v>
      </c>
      <c r="CD74" s="49">
        <v>69</v>
      </c>
      <c r="CE74" s="44">
        <f>'[1]资源-铁'!T74</f>
        <v>811478220.65702093</v>
      </c>
      <c r="CF74" s="44">
        <f>'[1]资源-铁'!U74</f>
        <v>1082245206.0968904</v>
      </c>
      <c r="CG74" s="44">
        <f>'[1]资源-铁'!V74</f>
        <v>1457401978.1216702</v>
      </c>
      <c r="CH74" s="44">
        <f>'[1]资源-铁'!W74</f>
        <v>1972125199.8665786</v>
      </c>
      <c r="CI74" s="44">
        <f>'[1]资源-铁'!X74</f>
        <v>2847858307.2585831</v>
      </c>
      <c r="CL74" s="49">
        <v>69</v>
      </c>
      <c r="CM74" s="44">
        <f>'[1]功能-城建'!HF72+[1]养成buff汇总!S74+'[1]功能-采集'!BX73</f>
        <v>511992928.4132936</v>
      </c>
      <c r="CN74" s="44">
        <f>'[1]功能-城建'!HG72+[1]养成buff汇总!T74+'[1]功能-采集'!BY73</f>
        <v>412321962.87645519</v>
      </c>
      <c r="CO74" s="44">
        <f>'[1]功能-城建'!HH72+[1]养成buff汇总!U74+'[1]功能-采集'!BZ73</f>
        <v>411257991.61822075</v>
      </c>
      <c r="CP74" s="44">
        <f>'[1]功能-城建'!HI72+[1]养成buff汇总!V74+'[1]功能-采集'!CA73</f>
        <v>289493834.09356868</v>
      </c>
      <c r="CQ74" s="44">
        <f>'[1]功能-城建'!HJ72+[1]养成buff汇总!W74+'[1]功能-采集'!CB73</f>
        <v>194800413.88495767</v>
      </c>
      <c r="CT74" s="49">
        <v>69</v>
      </c>
      <c r="CU74" s="17">
        <f>'[1]资源-玩家城池建筑时间'!AJ74+CU73</f>
        <v>65706939.641797997</v>
      </c>
      <c r="CV74" s="17">
        <f>'[1]资源-玩家城池建筑时间'!AK74+CV73</f>
        <v>71654192.377039939</v>
      </c>
      <c r="CW74" s="17">
        <f>'[1]资源-玩家城池建筑时间'!AL74+CW73</f>
        <v>78852643.459349558</v>
      </c>
      <c r="CX74" s="17">
        <f>'[1]资源-玩家城池建筑时间'!AM74+CX73</f>
        <v>87534954.86349462</v>
      </c>
      <c r="CY74" s="17">
        <f>'[1]资源-玩家城池建筑时间'!AN74+CY73</f>
        <v>97839844.928563535</v>
      </c>
      <c r="DB74" s="49">
        <v>69</v>
      </c>
      <c r="DC74" s="17">
        <f>'[1]资源-士兵训练时间'!U74</f>
        <v>20695195.122406989</v>
      </c>
      <c r="DD74" s="17">
        <f>'[1]资源-士兵训练时间'!V74</f>
        <v>30064508.370575067</v>
      </c>
      <c r="DE74" s="17">
        <f>'[1]资源-士兵训练时间'!W74</f>
        <v>41276556.675200082</v>
      </c>
      <c r="DF74" s="17">
        <f>'[1]资源-士兵训练时间'!X74</f>
        <v>54822560.013149478</v>
      </c>
      <c r="DG74" s="17">
        <f>'[1]资源-士兵训练时间'!Y74</f>
        <v>81464041.666494861</v>
      </c>
    </row>
    <row r="75" spans="2:111" x14ac:dyDescent="0.15">
      <c r="B75" s="23">
        <v>72</v>
      </c>
      <c r="C75" s="24">
        <f>'[1]资源-钻石'!L75</f>
        <v>794315.02788084093</v>
      </c>
      <c r="D75" s="24">
        <f>'[1]资源-钻石'!M75</f>
        <v>996302.91876021889</v>
      </c>
      <c r="E75" s="24">
        <f>'[1]资源-钻石'!N75</f>
        <v>1397748.8771784035</v>
      </c>
      <c r="F75" s="24">
        <f>'[1]资源-钻石'!O75</f>
        <v>2698283.1050050147</v>
      </c>
      <c r="G75" s="24">
        <f>'[1]资源-钻石'!P75</f>
        <v>3580452.6751650171</v>
      </c>
      <c r="I75" s="23">
        <v>72</v>
      </c>
      <c r="J75" s="24">
        <f>'[1]资源-钻石'!T75</f>
        <v>445169.06162762281</v>
      </c>
      <c r="K75" s="24">
        <f>'[1]资源-钻石'!U75</f>
        <v>613165.96779038513</v>
      </c>
      <c r="L75" s="24">
        <f>'[1]资源-钻石'!V75</f>
        <v>1001704.5645694236</v>
      </c>
      <c r="M75" s="24">
        <f>'[1]资源-钻石'!W75</f>
        <v>2573345.0210263659</v>
      </c>
      <c r="N75" s="24">
        <f>'[1]资源-钻石'!X75</f>
        <v>6054022.0231290022</v>
      </c>
      <c r="P75" s="28">
        <v>72</v>
      </c>
      <c r="Q75" s="28">
        <f>'[1]功能-行军令'!N75</f>
        <v>6717.5359142225398</v>
      </c>
      <c r="R75" s="28">
        <f>'[1]功能-行军令'!O75</f>
        <v>8480.9767117396204</v>
      </c>
      <c r="S75" s="28">
        <f>'[1]功能-行军令'!P75</f>
        <v>9401.9946955963624</v>
      </c>
      <c r="T75" s="28">
        <f>'[1]功能-行军令'!Q75</f>
        <v>7785.4488845165961</v>
      </c>
      <c r="U75" s="28">
        <f>'[1]功能-行军令'!R75</f>
        <v>4315.3888813133908</v>
      </c>
      <c r="V75" s="28">
        <f>'[1]功能-行军令'!S75</f>
        <v>452.93376680884739</v>
      </c>
      <c r="W75" s="28">
        <f>'[1]功能-行军令'!T75</f>
        <v>572.74724134938151</v>
      </c>
      <c r="X75" s="28">
        <f>'[1]功能-行军令'!U75</f>
        <v>612.86683237751458</v>
      </c>
      <c r="Y75" s="28">
        <f>'[1]功能-行军令'!V75</f>
        <v>512.31388487090226</v>
      </c>
      <c r="Z75" s="28">
        <f>'[1]功能-行军令'!W75</f>
        <v>285.35670118184225</v>
      </c>
      <c r="AC75" s="30">
        <v>72</v>
      </c>
      <c r="AD75" s="41">
        <f>'[1]功能-实力'!BE76</f>
        <v>4491774</v>
      </c>
      <c r="AE75" s="41">
        <f>'[1]功能-实力'!BF76</f>
        <v>4839234</v>
      </c>
      <c r="AF75" s="41">
        <f>'[1]功能-实力'!BG76</f>
        <v>5431314</v>
      </c>
      <c r="AG75" s="41">
        <f>'[1]功能-实力'!BH76</f>
        <v>6316806</v>
      </c>
      <c r="AH75" s="41">
        <f>'[1]功能-实力'!BI76</f>
        <v>6766836</v>
      </c>
      <c r="AL75" s="37">
        <f>[3]基础状态预期!C85</f>
        <v>1462</v>
      </c>
      <c r="AM75" s="37">
        <f>[3]基础状态预期!D85</f>
        <v>107.42257994053838</v>
      </c>
      <c r="AO75" s="37">
        <f>[3]基础状态预期!F85</f>
        <v>0</v>
      </c>
      <c r="AP75" s="37">
        <f>[3]基础状态预期!G85</f>
        <v>0</v>
      </c>
      <c r="AQ75" s="37">
        <f>[3]基础状态预期!H85</f>
        <v>0</v>
      </c>
      <c r="AR75" s="37">
        <f>[3]基础状态预期!I85</f>
        <v>0</v>
      </c>
      <c r="AS75" s="37">
        <f>[3]基础状态预期!J85</f>
        <v>6</v>
      </c>
      <c r="AW75" s="32">
        <v>69</v>
      </c>
      <c r="AX75" s="32">
        <f>[1]节奏总纲!BJ72</f>
        <v>3.1333333333333324</v>
      </c>
      <c r="AY75" s="32">
        <f>[1]节奏总纲!BK72</f>
        <v>3.1959999999999993</v>
      </c>
      <c r="AZ75" s="32">
        <f>[1]节奏总纲!BL72</f>
        <v>3.3213333333333326</v>
      </c>
      <c r="BA75" s="32">
        <f>[1]节奏总纲!BM72</f>
        <v>3.5719999999999987</v>
      </c>
      <c r="BB75" s="32">
        <f>[1]节奏总纲!BN72</f>
        <v>4.3866666666666649</v>
      </c>
      <c r="BF75" s="42">
        <f>'[1]功能-行军令'!FZ73</f>
        <v>69</v>
      </c>
      <c r="BG75" s="42">
        <f>'[1]功能-行军令'!GA73*'[1]功能-行军令'!GB73</f>
        <v>296.22098317008533</v>
      </c>
      <c r="BN75" s="49">
        <v>70</v>
      </c>
      <c r="BO75" s="17">
        <f>'[1]资源-木石铜粮'!U75</f>
        <v>4611065728.7551384</v>
      </c>
      <c r="BP75" s="17">
        <f>'[1]资源-木石铜粮'!V75</f>
        <v>5106661724.5338278</v>
      </c>
      <c r="BQ75" s="17">
        <f>'[1]资源-木石铜粮'!W75</f>
        <v>5604120571.8355894</v>
      </c>
      <c r="BR75" s="17">
        <f>'[1]资源-木石铜粮'!X75</f>
        <v>5417498430.0881214</v>
      </c>
      <c r="BS75" s="17">
        <f>'[1]资源-木石铜粮'!Y75</f>
        <v>5071708669.9984045</v>
      </c>
      <c r="BV75" s="49">
        <v>70</v>
      </c>
      <c r="BW75" s="47">
        <f>'[1]功能-城建'!EQ73+[1]养成buff汇总!H75+'[1]功能-采集'!BS74+[2]产出汇总!AY75+[1]养成buff汇总!GY75</f>
        <v>3034713023.0773592</v>
      </c>
      <c r="BX75" s="47">
        <f>'[1]功能-城建'!ER73+[1]养成buff汇总!I75+'[1]功能-采集'!BT74+[2]产出汇总!AZ75+[1]养成buff汇总!GZ75</f>
        <v>2213545492.3182926</v>
      </c>
      <c r="BY75" s="47">
        <f>'[1]功能-城建'!ES73+[1]养成buff汇总!J75+'[1]功能-采集'!BU74+[2]产出汇总!BA75+[1]养成buff汇总!HA75</f>
        <v>2326087885.8319373</v>
      </c>
      <c r="BZ75" s="47">
        <f>'[1]功能-城建'!ET73+[1]养成buff汇总!K75+'[1]功能-采集'!BV74+[2]产出汇总!BB75+[1]养成buff汇总!HB75</f>
        <v>1474240749.0745723</v>
      </c>
      <c r="CA75" s="47">
        <f>'[1]功能-城建'!EU73+[1]养成buff汇总!L75+'[1]功能-采集'!BW74+[2]产出汇总!BC75+[1]养成buff汇总!HC75</f>
        <v>1114642938.1939425</v>
      </c>
      <c r="CD75" s="49">
        <v>70</v>
      </c>
      <c r="CE75" s="44">
        <f>'[1]资源-铁'!T75</f>
        <v>920437017.94640768</v>
      </c>
      <c r="CF75" s="44">
        <f>'[1]资源-铁'!U75</f>
        <v>1218817262.4604712</v>
      </c>
      <c r="CG75" s="44">
        <f>'[1]资源-铁'!V75</f>
        <v>1633350389.8421926</v>
      </c>
      <c r="CH75" s="44">
        <f>'[1]资源-铁'!W75</f>
        <v>2187123505.2218571</v>
      </c>
      <c r="CI75" s="44">
        <f>'[1]资源-铁'!X75</f>
        <v>3142879035.1754847</v>
      </c>
      <c r="CL75" s="49">
        <v>70</v>
      </c>
      <c r="CM75" s="44">
        <f>'[1]功能-城建'!HF73+[1]养成buff汇总!S75+'[1]功能-采集'!BX74</f>
        <v>589295386.70661855</v>
      </c>
      <c r="CN75" s="44">
        <f>'[1]功能-城建'!HG73+[1]养成buff汇总!T75+'[1]功能-采集'!BY74</f>
        <v>470299475.70225453</v>
      </c>
      <c r="CO75" s="44">
        <f>'[1]功能-城建'!HH73+[1]养成buff汇总!U75+'[1]功能-采集'!BZ74</f>
        <v>471942627.8328104</v>
      </c>
      <c r="CP75" s="44">
        <f>'[1]功能-城建'!HI73+[1]养成buff汇总!V75+'[1]功能-采集'!CA74</f>
        <v>327732706.6304127</v>
      </c>
      <c r="CQ75" s="44">
        <f>'[1]功能-城建'!HJ73+[1]养成buff汇总!W75+'[1]功能-采集'!CB74</f>
        <v>222210746.93584734</v>
      </c>
      <c r="CT75" s="49">
        <v>70</v>
      </c>
      <c r="CU75" s="17">
        <f>'[1]资源-玩家城池建筑时间'!AJ75+CU74</f>
        <v>70956442.761519104</v>
      </c>
      <c r="CV75" s="17">
        <f>'[1]资源-玩家城池建筑时间'!AK75+CV74</f>
        <v>77388887.093661889</v>
      </c>
      <c r="CW75" s="17">
        <f>'[1]资源-玩家城池建筑时间'!AL75+CW74</f>
        <v>85266947.33885622</v>
      </c>
      <c r="CX75" s="17">
        <f>'[1]资源-玩家城池建筑时间'!AM75+CX74</f>
        <v>94402392.4524239</v>
      </c>
      <c r="CY75" s="17">
        <f>'[1]资源-玩家城池建筑时间'!AN75+CY74</f>
        <v>105500242.24410528</v>
      </c>
      <c r="DB75" s="49">
        <v>70</v>
      </c>
      <c r="DC75" s="17">
        <f>'[1]资源-士兵训练时间'!U75</f>
        <v>22330959.892785974</v>
      </c>
      <c r="DD75" s="17">
        <f>'[1]资源-士兵训练时间'!V75</f>
        <v>32426604.601638585</v>
      </c>
      <c r="DE75" s="17">
        <f>'[1]资源-士兵训练时间'!W75</f>
        <v>44533764.026625618</v>
      </c>
      <c r="DF75" s="17">
        <f>'[1]资源-士兵训练时间'!X75</f>
        <v>59004821.463740878</v>
      </c>
      <c r="DG75" s="17">
        <f>'[1]资源-士兵训练时间'!Y75</f>
        <v>87658071.292176664</v>
      </c>
    </row>
    <row r="76" spans="2:111" x14ac:dyDescent="0.15">
      <c r="B76" s="23">
        <v>73</v>
      </c>
      <c r="C76" s="24">
        <f>'[1]资源-钻石'!L76</f>
        <v>839996.48712651129</v>
      </c>
      <c r="D76" s="24">
        <f>'[1]资源-钻石'!M76</f>
        <v>1053209.6128367505</v>
      </c>
      <c r="E76" s="24">
        <f>'[1]资源-钻石'!N76</f>
        <v>1481544.7630140625</v>
      </c>
      <c r="F76" s="24">
        <f>'[1]资源-钻石'!O76</f>
        <v>2885272.4832077418</v>
      </c>
      <c r="G76" s="24">
        <f>'[1]资源-钻石'!P76</f>
        <v>3825377.7919211872</v>
      </c>
      <c r="I76" s="23">
        <v>73</v>
      </c>
      <c r="J76" s="24">
        <f>'[1]资源-钻石'!T76</f>
        <v>451090.88239467086</v>
      </c>
      <c r="K76" s="24">
        <f>'[1]资源-钻石'!U76</f>
        <v>621359.97063413798</v>
      </c>
      <c r="L76" s="24">
        <f>'[1]资源-钻石'!V76</f>
        <v>1015169.9676975517</v>
      </c>
      <c r="M76" s="24">
        <f>'[1]资源-钻石'!W76</f>
        <v>2608176.9644673071</v>
      </c>
      <c r="N76" s="24">
        <f>'[1]资源-钻石'!X76</f>
        <v>6136192.1609140374</v>
      </c>
      <c r="P76" s="28">
        <v>73</v>
      </c>
      <c r="Q76" s="28">
        <f>'[1]功能-行军令'!N76</f>
        <v>7202.9783057748664</v>
      </c>
      <c r="R76" s="28">
        <f>'[1]功能-行军令'!O76</f>
        <v>9072.871473954021</v>
      </c>
      <c r="S76" s="28">
        <f>'[1]功能-行军令'!P76</f>
        <v>10062.905183434286</v>
      </c>
      <c r="T76" s="28">
        <f>'[1]功能-行军令'!Q76</f>
        <v>8338.3869078438565</v>
      </c>
      <c r="U76" s="28">
        <f>'[1]功能-行军令'!R76</f>
        <v>4622.4017171915848</v>
      </c>
      <c r="V76" s="28">
        <f>'[1]功能-行军令'!S76</f>
        <v>485.44239155232663</v>
      </c>
      <c r="W76" s="28">
        <f>'[1]功能-行军令'!T76</f>
        <v>591.89476221440054</v>
      </c>
      <c r="X76" s="28">
        <f>'[1]功能-行军令'!U76</f>
        <v>660.91048783792394</v>
      </c>
      <c r="Y76" s="28">
        <f>'[1]功能-行军令'!V76</f>
        <v>552.93802332726045</v>
      </c>
      <c r="Z76" s="28">
        <f>'[1]功能-行军令'!W76</f>
        <v>307.01283587819398</v>
      </c>
      <c r="AC76" s="30">
        <v>73</v>
      </c>
      <c r="AD76" s="41">
        <f>'[1]功能-实力'!BE77</f>
        <v>4701036</v>
      </c>
      <c r="AE76" s="41">
        <f>'[1]功能-实力'!BF77</f>
        <v>5052330</v>
      </c>
      <c r="AF76" s="41">
        <f>'[1]功能-实力'!BG77</f>
        <v>5653548</v>
      </c>
      <c r="AG76" s="41">
        <f>'[1]功能-实力'!BH77</f>
        <v>6624576</v>
      </c>
      <c r="AH76" s="41">
        <f>'[1]功能-实力'!BI77</f>
        <v>7094514</v>
      </c>
      <c r="AL76" s="37">
        <f>[3]基础状态预期!C86</f>
        <v>1870</v>
      </c>
      <c r="AM76" s="37">
        <f>[3]基础状态预期!D86</f>
        <v>111.00691759243479</v>
      </c>
      <c r="AO76" s="37">
        <f>[3]基础状态预期!F86</f>
        <v>0</v>
      </c>
      <c r="AP76" s="37">
        <f>[3]基础状态预期!G86</f>
        <v>0</v>
      </c>
      <c r="AQ76" s="37">
        <f>[3]基础状态预期!H86</f>
        <v>0</v>
      </c>
      <c r="AR76" s="37">
        <f>[3]基础状态预期!I86</f>
        <v>0</v>
      </c>
      <c r="AS76" s="37">
        <f>[3]基础状态预期!J86</f>
        <v>6</v>
      </c>
      <c r="AW76" s="32">
        <v>70</v>
      </c>
      <c r="AX76" s="32">
        <f>[1]节奏总纲!BJ73</f>
        <v>3.1666666666666656</v>
      </c>
      <c r="AY76" s="32">
        <f>[1]节奏总纲!BK73</f>
        <v>3.2299999999999991</v>
      </c>
      <c r="AZ76" s="32">
        <f>[1]节奏总纲!BL73</f>
        <v>3.3566666666666656</v>
      </c>
      <c r="BA76" s="32">
        <f>[1]节奏总纲!BM73</f>
        <v>3.6099999999999985</v>
      </c>
      <c r="BB76" s="32">
        <f>[1]节奏总纲!BN73</f>
        <v>4.4333333333333318</v>
      </c>
      <c r="BF76" s="42">
        <f>'[1]功能-行军令'!FZ74</f>
        <v>70</v>
      </c>
      <c r="BG76" s="42">
        <f>'[1]功能-行军令'!GA74*'[1]功能-行军令'!GB74</f>
        <v>302.14540283348703</v>
      </c>
      <c r="BN76" s="49">
        <v>71</v>
      </c>
      <c r="BO76" s="17">
        <f>'[1]资源-木石铜粮'!U76</f>
        <v>5100437074.2235193</v>
      </c>
      <c r="BP76" s="17">
        <f>'[1]资源-木石铜粮'!V76</f>
        <v>5656606714.0056648</v>
      </c>
      <c r="BQ76" s="17">
        <f>'[1]资源-木石铜粮'!W76</f>
        <v>6203463636.4054041</v>
      </c>
      <c r="BR76" s="17">
        <f>'[1]资源-木石铜粮'!X76</f>
        <v>5995002751.7623358</v>
      </c>
      <c r="BS76" s="17">
        <f>'[1]资源-木石铜粮'!Y76</f>
        <v>5621705623.624651</v>
      </c>
      <c r="BV76" s="49">
        <v>71</v>
      </c>
      <c r="BW76" s="47">
        <f>'[1]功能-城建'!EQ74+[1]养成buff汇总!H76+'[1]功能-采集'!BS75+[2]产出汇总!AY76+[1]养成buff汇总!GY76</f>
        <v>3373964939.6052213</v>
      </c>
      <c r="BX76" s="47">
        <f>'[1]功能-城建'!ER74+[1]养成buff汇总!I76+'[1]功能-采集'!BT75+[2]产出汇总!AZ76+[1]养成buff汇总!GZ76</f>
        <v>2451539134.5204029</v>
      </c>
      <c r="BY76" s="47">
        <f>'[1]功能-城建'!ES74+[1]养成buff汇总!J76+'[1]功能-采集'!BU75+[2]产出汇总!BA76+[1]养成buff汇总!HA76</f>
        <v>2583776235.6597672</v>
      </c>
      <c r="BZ76" s="47">
        <f>'[1]功能-城建'!ET74+[1]养成buff汇总!K76+'[1]功能-采集'!BV75+[2]产出汇总!BB76+[1]养成buff汇总!HB76</f>
        <v>1625891955.9604974</v>
      </c>
      <c r="CA76" s="47">
        <f>'[1]功能-城建'!EU74+[1]养成buff汇总!L76+'[1]功能-采集'!BW75+[2]产出汇总!BC76+[1]养成buff汇总!HC76</f>
        <v>1236246633.146085</v>
      </c>
      <c r="CD76" s="49">
        <v>71</v>
      </c>
      <c r="CE76" s="44">
        <f>'[1]资源-铁'!T76</f>
        <v>1037000134.7869573</v>
      </c>
      <c r="CF76" s="44">
        <f>'[1]资源-铁'!U76</f>
        <v>1366095233.3533297</v>
      </c>
      <c r="CG76" s="44">
        <f>'[1]资源-铁'!V76</f>
        <v>1815717013.1113515</v>
      </c>
      <c r="CH76" s="44">
        <f>'[1]资源-铁'!W76</f>
        <v>2416327807.9192386</v>
      </c>
      <c r="CI76" s="44">
        <f>'[1]资源-铁'!X76</f>
        <v>3452347454.1977825</v>
      </c>
      <c r="CL76" s="49">
        <v>71</v>
      </c>
      <c r="CM76" s="44">
        <f>'[1]功能-城建'!HF74+[1]养成buff汇总!S76+'[1]功能-采集'!BX75</f>
        <v>674192458.62332678</v>
      </c>
      <c r="CN76" s="44">
        <f>'[1]功能-城建'!HG74+[1]养成buff汇总!T76+'[1]功能-采集'!BY75</f>
        <v>534534748.63333905</v>
      </c>
      <c r="CO76" s="44">
        <f>'[1]功能-城建'!HH74+[1]养成buff汇总!U76+'[1]功能-采集'!BZ75</f>
        <v>537329937.38257992</v>
      </c>
      <c r="CP76" s="44">
        <f>'[1]功能-城建'!HI74+[1]养成buff汇总!V76+'[1]功能-采集'!CA75</f>
        <v>369063841.72591072</v>
      </c>
      <c r="CQ76" s="44">
        <f>'[1]功能-城建'!HJ74+[1]养成buff汇总!W76+'[1]功能-采集'!CB75</f>
        <v>252806940.77916923</v>
      </c>
      <c r="CT76" s="49">
        <v>71</v>
      </c>
      <c r="CU76" s="17">
        <f>'[1]资源-玩家城池建筑时间'!AJ76+CU75</f>
        <v>76599201.185799435</v>
      </c>
      <c r="CV76" s="17">
        <f>'[1]资源-玩家城池建筑时间'!AK76+CV75</f>
        <v>83633884.606894433</v>
      </c>
      <c r="CW76" s="17">
        <f>'[1]资源-玩家城池建筑时间'!AL76+CW75</f>
        <v>91995337.260381028</v>
      </c>
      <c r="CX76" s="17">
        <f>'[1]资源-玩家城池建筑时间'!AM76+CX75</f>
        <v>101745449.59981617</v>
      </c>
      <c r="CY76" s="17">
        <f>'[1]资源-玩家城池建筑时间'!AN76+CY75</f>
        <v>113820458.09740917</v>
      </c>
      <c r="DB76" s="49">
        <v>71</v>
      </c>
      <c r="DC76" s="17">
        <f>'[1]资源-士兵训练时间'!U76</f>
        <v>24079350.187704924</v>
      </c>
      <c r="DD76" s="17">
        <f>'[1]资源-士兵训练时间'!V76</f>
        <v>34963590.961106136</v>
      </c>
      <c r="DE76" s="17">
        <f>'[1]资源-士兵训练时间'!W76</f>
        <v>47949220.033798382</v>
      </c>
      <c r="DF76" s="17">
        <f>'[1]资源-士兵训练时间'!X76</f>
        <v>63476318.651768029</v>
      </c>
      <c r="DG76" s="17">
        <f>'[1]资源-士兵训练时间'!Y76</f>
        <v>94268031.844821408</v>
      </c>
    </row>
    <row r="77" spans="2:111" x14ac:dyDescent="0.15">
      <c r="B77" s="23">
        <v>74</v>
      </c>
      <c r="C77" s="24">
        <f>'[1]资源-钻石'!L77</f>
        <v>888956.66287595406</v>
      </c>
      <c r="D77" s="24">
        <f>'[1]资源-钻石'!M77</f>
        <v>1116000.8022635407</v>
      </c>
      <c r="E77" s="24">
        <f>'[1]资源-钻石'!N77</f>
        <v>1575252.2715009744</v>
      </c>
      <c r="F77" s="24">
        <f>'[1]资源-钻石'!O77</f>
        <v>3091293.0351860551</v>
      </c>
      <c r="G77" s="24">
        <f>'[1]资源-钻石'!P77</f>
        <v>4095879.1191877052</v>
      </c>
      <c r="I77" s="23">
        <v>74</v>
      </c>
      <c r="J77" s="24">
        <f>'[1]资源-钻石'!T77</f>
        <v>457012.70316171896</v>
      </c>
      <c r="K77" s="24">
        <f>'[1]资源-钻石'!U77</f>
        <v>629553.97347789095</v>
      </c>
      <c r="L77" s="24">
        <f>'[1]资源-钻石'!V77</f>
        <v>1028635.37082568</v>
      </c>
      <c r="M77" s="24">
        <f>'[1]资源-钻石'!W77</f>
        <v>2643008.9079082482</v>
      </c>
      <c r="N77" s="24">
        <f>'[1]资源-钻石'!X77</f>
        <v>6218362.2986990726</v>
      </c>
      <c r="P77" s="28">
        <v>74</v>
      </c>
      <c r="Q77" s="28">
        <f>'[1]功能-行军令'!N77</f>
        <v>7723.2625786307999</v>
      </c>
      <c r="R77" s="28">
        <f>'[1]功能-行军令'!O77</f>
        <v>9725.9717240747977</v>
      </c>
      <c r="S77" s="28">
        <f>'[1]功能-行军令'!P77</f>
        <v>10801.990098290646</v>
      </c>
      <c r="T77" s="28">
        <f>'[1]功能-行军令'!Q77</f>
        <v>8947.6011737588742</v>
      </c>
      <c r="U77" s="28">
        <f>'[1]功能-行军令'!R77</f>
        <v>4961.4742496161989</v>
      </c>
      <c r="V77" s="28">
        <f>'[1]功能-行军令'!S77</f>
        <v>520.28427285593352</v>
      </c>
      <c r="W77" s="28">
        <f>'[1]功能-行军令'!T77</f>
        <v>653.10025012077676</v>
      </c>
      <c r="X77" s="28">
        <f>'[1]功能-行军令'!U77</f>
        <v>739.08491485635932</v>
      </c>
      <c r="Y77" s="28">
        <f>'[1]功能-行军令'!V77</f>
        <v>609.21426591501768</v>
      </c>
      <c r="Z77" s="28">
        <f>'[1]功能-行军令'!W77</f>
        <v>339.07253242461411</v>
      </c>
      <c r="AC77" s="30">
        <v>74</v>
      </c>
      <c r="AD77" s="41">
        <f>'[1]功能-实力'!BE78</f>
        <v>4919334</v>
      </c>
      <c r="AE77" s="41">
        <f>'[1]功能-实力'!BF78</f>
        <v>5273166</v>
      </c>
      <c r="AF77" s="41">
        <f>'[1]功能-实力'!BG78</f>
        <v>5885700</v>
      </c>
      <c r="AG77" s="41">
        <f>'[1]功能-实力'!BH78</f>
        <v>6944274</v>
      </c>
      <c r="AH77" s="41">
        <f>'[1]功能-实力'!BI78</f>
        <v>7434978</v>
      </c>
      <c r="AL77" s="37">
        <f>[3]基础状态预期!C87</f>
        <v>2380</v>
      </c>
      <c r="AM77" s="37">
        <f>[3]基础状态预期!D87</f>
        <v>114.47614359759058</v>
      </c>
      <c r="AO77" s="37">
        <f>[3]基础状态预期!F87</f>
        <v>0</v>
      </c>
      <c r="AP77" s="37">
        <f>[3]基础状态预期!G87</f>
        <v>0</v>
      </c>
      <c r="AQ77" s="37">
        <f>[3]基础状态预期!H87</f>
        <v>0</v>
      </c>
      <c r="AR77" s="37">
        <f>[3]基础状态预期!I87</f>
        <v>0</v>
      </c>
      <c r="AS77" s="37">
        <f>[3]基础状态预期!J87</f>
        <v>6</v>
      </c>
      <c r="AW77" s="32">
        <v>71</v>
      </c>
      <c r="AX77" s="32">
        <f>[1]节奏总纲!BJ74</f>
        <v>3.1999999999999988</v>
      </c>
      <c r="AY77" s="32">
        <f>[1]节奏总纲!BK74</f>
        <v>3.2639999999999989</v>
      </c>
      <c r="AZ77" s="32">
        <f>[1]节奏总纲!BL74</f>
        <v>3.391999999999999</v>
      </c>
      <c r="BA77" s="32">
        <f>[1]节奏总纲!BM74</f>
        <v>3.6479999999999984</v>
      </c>
      <c r="BB77" s="32">
        <f>[1]节奏总纲!BN74</f>
        <v>4.4799999999999978</v>
      </c>
      <c r="BF77" s="42">
        <f>'[1]功能-行军令'!FZ75</f>
        <v>71</v>
      </c>
      <c r="BG77" s="42">
        <f>'[1]功能-行军令'!GA75*'[1]功能-行军令'!GB75</f>
        <v>308.1883108901568</v>
      </c>
      <c r="BN77" s="49">
        <v>72</v>
      </c>
      <c r="BO77" s="17">
        <f>'[1]资源-木石铜粮'!U77</f>
        <v>5645115540.6661167</v>
      </c>
      <c r="BP77" s="17">
        <f>'[1]资源-木石铜粮'!V77</f>
        <v>6262011640.7422123</v>
      </c>
      <c r="BQ77" s="17">
        <f>'[1]资源-木石铜粮'!W77</f>
        <v>6850984303.3518171</v>
      </c>
      <c r="BR77" s="17">
        <f>'[1]资源-木石铜粮'!X77</f>
        <v>6638443709.1632881</v>
      </c>
      <c r="BS77" s="17">
        <f>'[1]资源-木石铜粮'!Y77</f>
        <v>6219423084.5501003</v>
      </c>
      <c r="BV77" s="49">
        <v>72</v>
      </c>
      <c r="BW77" s="47">
        <f>'[1]功能-城建'!EQ75+[1]养成buff汇总!H77+'[1]功能-采集'!BS76+[2]产出汇总!AY77+[1]养成buff汇总!GY77</f>
        <v>3749922980.2708311</v>
      </c>
      <c r="BX77" s="47">
        <f>'[1]功能-城建'!ER75+[1]养成buff汇总!I77+'[1]功能-采集'!BT76+[2]产出汇总!AZ77+[1]养成buff汇总!GZ77</f>
        <v>2709187738.2115812</v>
      </c>
      <c r="BY77" s="47">
        <f>'[1]功能-城建'!ES75+[1]养成buff汇总!J77+'[1]功能-采集'!BU76+[2]产出汇总!BA77+[1]养成buff汇总!HA77</f>
        <v>2859784081.9209499</v>
      </c>
      <c r="BZ77" s="47">
        <f>'[1]功能-城建'!ET75+[1]养成buff汇总!K77+'[1]功能-采集'!BV76+[2]产出汇总!BB77+[1]养成buff汇总!HB77</f>
        <v>1791084040.0223539</v>
      </c>
      <c r="CA77" s="47">
        <f>'[1]功能-城建'!EU75+[1]养成buff汇总!L77+'[1]功能-采集'!BW76+[2]产出汇总!BC77+[1]养成buff汇总!HC77</f>
        <v>1367454365.5566061</v>
      </c>
      <c r="CD77" s="49">
        <v>72</v>
      </c>
      <c r="CE77" s="44">
        <f>'[1]资源-铁'!T77</f>
        <v>1161240892.3374178</v>
      </c>
      <c r="CF77" s="44">
        <f>'[1]资源-铁'!U77</f>
        <v>1521654610.974854</v>
      </c>
      <c r="CG77" s="44">
        <f>'[1]资源-铁'!V77</f>
        <v>2004291875.0609603</v>
      </c>
      <c r="CH77" s="44">
        <f>'[1]资源-铁'!W77</f>
        <v>2653778398.8967342</v>
      </c>
      <c r="CI77" s="44">
        <f>'[1]资源-铁'!X77</f>
        <v>3778435769.4783301</v>
      </c>
      <c r="CL77" s="49">
        <v>72</v>
      </c>
      <c r="CM77" s="44">
        <f>'[1]功能-城建'!HF75+[1]养成buff汇总!S77+'[1]功能-采集'!BX76</f>
        <v>768645444.03061557</v>
      </c>
      <c r="CN77" s="44">
        <f>'[1]功能-城建'!HG75+[1]养成buff汇总!T77+'[1]功能-采集'!BY76</f>
        <v>603704675.57746172</v>
      </c>
      <c r="CO77" s="44">
        <f>'[1]功能-城建'!HH75+[1]养成buff汇总!U77+'[1]功能-采集'!BZ76</f>
        <v>607353155.87360978</v>
      </c>
      <c r="CP77" s="44">
        <f>'[1]功能-城建'!HI75+[1]养成buff汇总!V77+'[1]功能-采集'!CA76</f>
        <v>414037325.47087896</v>
      </c>
      <c r="CQ77" s="44">
        <f>'[1]功能-城建'!HJ75+[1]养成buff汇总!W77+'[1]功能-采集'!CB76</f>
        <v>285733263.92876154</v>
      </c>
      <c r="CT77" s="49">
        <v>72</v>
      </c>
      <c r="CU77" s="17">
        <f>'[1]资源-玩家城池建筑时间'!AJ77+CU76</f>
        <v>82699483.231398717</v>
      </c>
      <c r="CV77" s="17">
        <f>'[1]资源-玩家城池建筑时间'!AK77+CV76</f>
        <v>90274672.793246061</v>
      </c>
      <c r="CW77" s="17">
        <f>'[1]资源-玩家城池建筑时间'!AL77+CW76</f>
        <v>99029156.824202344</v>
      </c>
      <c r="CX77" s="17">
        <f>'[1]资源-玩家城池建筑时间'!AM77+CX76</f>
        <v>109597880.83585288</v>
      </c>
      <c r="CY77" s="17">
        <f>'[1]资源-玩家城池建筑时间'!AN77+CY76</f>
        <v>122599498.28496587</v>
      </c>
      <c r="DB77" s="49">
        <v>72</v>
      </c>
      <c r="DC77" s="17">
        <f>'[1]资源-士兵训练时间'!U77</f>
        <v>25937997.725890167</v>
      </c>
      <c r="DD77" s="17">
        <f>'[1]资源-士兵训练时间'!V77</f>
        <v>37660852.585380659</v>
      </c>
      <c r="DE77" s="17">
        <f>'[1]资源-士兵训练时间'!W77</f>
        <v>51518544.518297635</v>
      </c>
      <c r="DF77" s="17">
        <f>'[1]资源-士兵训练时间'!X77</f>
        <v>68185067.300743997</v>
      </c>
      <c r="DG77" s="17">
        <f>'[1]资源-士兵训练时间'!Y77</f>
        <v>101242330.51882063</v>
      </c>
    </row>
    <row r="78" spans="2:111" x14ac:dyDescent="0.15">
      <c r="B78" s="23">
        <v>75</v>
      </c>
      <c r="C78" s="24">
        <f>'[1]资源-钻石'!L78</f>
        <v>941448.03193489672</v>
      </c>
      <c r="D78" s="24">
        <f>'[1]资源-钻石'!M78</f>
        <v>1184210.7127264529</v>
      </c>
      <c r="E78" s="24">
        <f>'[1]资源-钻石'!N78</f>
        <v>1675382.6424481974</v>
      </c>
      <c r="F78" s="24">
        <f>'[1]资源-钻石'!O78</f>
        <v>3305455.272607272</v>
      </c>
      <c r="G78" s="24">
        <f>'[1]资源-钻石'!P78</f>
        <v>4390533.5246112579</v>
      </c>
      <c r="I78" s="23">
        <v>75</v>
      </c>
      <c r="J78" s="24">
        <f>'[1]资源-钻石'!T78</f>
        <v>462934.52392876701</v>
      </c>
      <c r="K78" s="24">
        <f>'[1]资源-钻石'!U78</f>
        <v>637747.9763216438</v>
      </c>
      <c r="L78" s="24">
        <f>'[1]资源-钻石'!V78</f>
        <v>1042100.7739538081</v>
      </c>
      <c r="M78" s="24">
        <f>'[1]资源-钻石'!W78</f>
        <v>2677840.8513491889</v>
      </c>
      <c r="N78" s="24">
        <f>'[1]资源-钻石'!X78</f>
        <v>6300532.4364841077</v>
      </c>
      <c r="P78" s="28">
        <v>75</v>
      </c>
      <c r="Q78" s="28">
        <f>'[1]功能-行军令'!N78</f>
        <v>8280.8894552527818</v>
      </c>
      <c r="R78" s="28">
        <f>'[1]功能-行军令'!O78</f>
        <v>10435.432876040768</v>
      </c>
      <c r="S78" s="28">
        <f>'[1]功能-行军令'!P78</f>
        <v>11591.73307493163</v>
      </c>
      <c r="T78" s="28">
        <f>'[1]功能-行军令'!Q78</f>
        <v>9601.0432537560609</v>
      </c>
      <c r="U78" s="28">
        <f>'[1]功能-行军令'!R78</f>
        <v>5330.8225868189775</v>
      </c>
      <c r="V78" s="28">
        <f>'[1]功能-行军令'!S78</f>
        <v>557.62687662198186</v>
      </c>
      <c r="W78" s="28">
        <f>'[1]功能-行军令'!T78</f>
        <v>709.4611519659702</v>
      </c>
      <c r="X78" s="28">
        <f>'[1]功能-行军令'!U78</f>
        <v>789.74297664098412</v>
      </c>
      <c r="Y78" s="28">
        <f>'[1]功能-行军令'!V78</f>
        <v>653.44207999718674</v>
      </c>
      <c r="Z78" s="28">
        <f>'[1]功能-行军令'!W78</f>
        <v>369.34833720277857</v>
      </c>
      <c r="AC78" s="30">
        <v>75</v>
      </c>
      <c r="AD78" s="41">
        <f>'[1]功能-实力'!BE79</f>
        <v>5145870</v>
      </c>
      <c r="AE78" s="41">
        <f>'[1]功能-实力'!BF79</f>
        <v>5499828</v>
      </c>
      <c r="AF78" s="41">
        <f>'[1]功能-实力'!BG79</f>
        <v>6126996</v>
      </c>
      <c r="AG78" s="41">
        <f>'[1]功能-实力'!BH79</f>
        <v>7264812</v>
      </c>
      <c r="AH78" s="41">
        <f>'[1]功能-实力'!BI79</f>
        <v>7782516</v>
      </c>
      <c r="AL78" s="37">
        <f>[3]基础状态预期!C88</f>
        <v>3043</v>
      </c>
      <c r="AM78" s="37">
        <f>[3]基础状态预期!D88</f>
        <v>118.05724034557241</v>
      </c>
      <c r="AO78" s="37">
        <f>[3]基础状态预期!F88</f>
        <v>0</v>
      </c>
      <c r="AP78" s="37">
        <f>[3]基础状态预期!G88</f>
        <v>0</v>
      </c>
      <c r="AQ78" s="37">
        <f>[3]基础状态预期!H88</f>
        <v>0</v>
      </c>
      <c r="AR78" s="37">
        <f>[3]基础状态预期!I88</f>
        <v>0</v>
      </c>
      <c r="AS78" s="37">
        <f>[3]基础状态预期!J88</f>
        <v>6</v>
      </c>
      <c r="AW78" s="32">
        <v>72</v>
      </c>
      <c r="AX78" s="32">
        <f>[1]节奏总纲!BJ75</f>
        <v>3.2333333333333321</v>
      </c>
      <c r="AY78" s="32">
        <f>[1]节奏总纲!BK75</f>
        <v>3.2979999999999987</v>
      </c>
      <c r="AZ78" s="32">
        <f>[1]节奏总纲!BL75</f>
        <v>3.427333333333332</v>
      </c>
      <c r="BA78" s="32">
        <f>[1]节奏总纲!BM75</f>
        <v>3.6859999999999982</v>
      </c>
      <c r="BB78" s="32">
        <f>[1]节奏总纲!BN75</f>
        <v>4.5266666666666646</v>
      </c>
      <c r="BF78" s="42">
        <f>'[1]功能-行军令'!FZ76</f>
        <v>72</v>
      </c>
      <c r="BG78" s="42">
        <f>'[1]功能-行军令'!GA76*'[1]功能-行军令'!GB76</f>
        <v>314.35207710795993</v>
      </c>
      <c r="BN78" s="49">
        <v>73</v>
      </c>
      <c r="BO78" s="17">
        <f>'[1]资源-木石铜粮'!U78</f>
        <v>6259605317.0523014</v>
      </c>
      <c r="BP78" s="17">
        <f>'[1]资源-木石铜粮'!V78</f>
        <v>6918634363.7049217</v>
      </c>
      <c r="BQ78" s="17">
        <f>'[1]资源-木石铜粮'!W78</f>
        <v>7567441262.4659348</v>
      </c>
      <c r="BR78" s="17">
        <f>'[1]资源-木石铜粮'!X78</f>
        <v>7419378438.9911947</v>
      </c>
      <c r="BS78" s="17">
        <f>'[1]资源-木石铜粮'!Y78</f>
        <v>6883644251.0310173</v>
      </c>
      <c r="BV78" s="49">
        <v>73</v>
      </c>
      <c r="BW78" s="47">
        <f>'[1]功能-城建'!EQ76+[1]养成buff汇总!H78+'[1]功能-采集'!BS77+[2]产出汇总!AY78+[1]养成buff汇总!GY78</f>
        <v>4162548181.9464417</v>
      </c>
      <c r="BX78" s="47">
        <f>'[1]功能-城建'!ER76+[1]养成buff汇总!I78+'[1]功能-采集'!BT77+[2]产出汇总!AZ78+[1]养成buff汇总!GZ78</f>
        <v>2982724926.2807178</v>
      </c>
      <c r="BY78" s="47">
        <f>'[1]功能-城建'!ES76+[1]养成buff汇总!J78+'[1]功能-采集'!BU77+[2]产出汇总!BA78+[1]养成buff汇总!HA78</f>
        <v>3165436701.7895284</v>
      </c>
      <c r="BZ78" s="47">
        <f>'[1]功能-城建'!ET76+[1]养成buff汇总!K78+'[1]功能-采集'!BV77+[2]产出汇总!BB78+[1]养成buff汇总!HB78</f>
        <v>1973048436.0216527</v>
      </c>
      <c r="CA78" s="47">
        <f>'[1]功能-城建'!EU76+[1]养成buff汇总!L78+'[1]功能-采集'!BW77+[2]产出汇总!BC78+[1]养成buff汇总!HC78</f>
        <v>1513568643.2824614</v>
      </c>
      <c r="CD78" s="49">
        <v>73</v>
      </c>
      <c r="CE78" s="44">
        <f>'[1]资源-铁'!T78</f>
        <v>1294131768.4882298</v>
      </c>
      <c r="CF78" s="44">
        <f>'[1]资源-铁'!U78</f>
        <v>1680842218.2072778</v>
      </c>
      <c r="CG78" s="44">
        <f>'[1]资源-铁'!V78</f>
        <v>2205264798.9149895</v>
      </c>
      <c r="CH78" s="44">
        <f>'[1]资源-铁'!W78</f>
        <v>2907467294.8886209</v>
      </c>
      <c r="CI78" s="44">
        <f>'[1]资源-铁'!X78</f>
        <v>4120120231.5383902</v>
      </c>
      <c r="CL78" s="49">
        <v>73</v>
      </c>
      <c r="CM78" s="44">
        <f>'[1]功能-城建'!HF76+[1]养成buff汇总!S78+'[1]功能-采集'!BX77</f>
        <v>872084241.74064136</v>
      </c>
      <c r="CN78" s="44">
        <f>'[1]功能-城建'!HG76+[1]养成buff汇总!T78+'[1]功能-采集'!BY77</f>
        <v>677096592.98946834</v>
      </c>
      <c r="CO78" s="44">
        <f>'[1]功能-城建'!HH76+[1]养成buff汇总!U78+'[1]功能-采集'!BZ77</f>
        <v>684775632.09264183</v>
      </c>
      <c r="CP78" s="44">
        <f>'[1]功能-城建'!HI76+[1]养成buff汇总!V78+'[1]功能-采集'!CA77</f>
        <v>463341542.90702558</v>
      </c>
      <c r="CQ78" s="44">
        <f>'[1]功能-城建'!HJ76+[1]养成buff汇总!W78+'[1]功能-采集'!CB77</f>
        <v>322571206.07129407</v>
      </c>
      <c r="CT78" s="49">
        <v>73</v>
      </c>
      <c r="CU78" s="17">
        <f>'[1]资源-玩家城池建筑时间'!AJ78+CU77</f>
        <v>89246550.080368474</v>
      </c>
      <c r="CV78" s="17">
        <f>'[1]资源-玩家城池建筑时间'!AK78+CV77</f>
        <v>97194535.129310012</v>
      </c>
      <c r="CW78" s="17">
        <f>'[1]资源-玩家城池建筑时间'!AL78+CW77</f>
        <v>106642636.5935294</v>
      </c>
      <c r="CX78" s="17">
        <f>'[1]资源-玩家城池建筑时间'!AM78+CX77</f>
        <v>118100036.50644903</v>
      </c>
      <c r="CY78" s="17">
        <f>'[1]资源-玩家城池建筑时间'!AN78+CY77</f>
        <v>132148879.53813401</v>
      </c>
      <c r="DB78" s="49">
        <v>73</v>
      </c>
      <c r="DC78" s="17">
        <f>'[1]资源-士兵训练时间'!U78</f>
        <v>27932605.798734087</v>
      </c>
      <c r="DD78" s="17">
        <f>'[1]资源-士兵训练时间'!V78</f>
        <v>40470049.931587107</v>
      </c>
      <c r="DE78" s="17">
        <f>'[1]资源-士兵训练时间'!W78</f>
        <v>55353526.054244243</v>
      </c>
      <c r="DF78" s="17">
        <f>'[1]资源-士兵训练时间'!X78</f>
        <v>73250943.708214477</v>
      </c>
      <c r="DG78" s="17">
        <f>'[1]资源-士兵训练时间'!Y78</f>
        <v>108823560.1123995</v>
      </c>
    </row>
    <row r="79" spans="2:111" x14ac:dyDescent="0.15">
      <c r="B79" s="23">
        <v>76</v>
      </c>
      <c r="C79" s="24">
        <f>'[1]资源-钻石'!L79</f>
        <v>1009213.390021723</v>
      </c>
      <c r="D79" s="24">
        <f>'[1]资源-钻石'!M79</f>
        <v>1256496.4642528559</v>
      </c>
      <c r="E79" s="24">
        <f>'[1]资源-钻石'!N79</f>
        <v>1780785.9251231649</v>
      </c>
      <c r="F79" s="24">
        <f>'[1]资源-钻石'!O79</f>
        <v>3528677.5587473363</v>
      </c>
      <c r="G79" s="24">
        <f>'[1]资源-钻石'!P79</f>
        <v>4711738.3270615991</v>
      </c>
      <c r="I79" s="23">
        <v>76</v>
      </c>
      <c r="J79" s="24">
        <f>'[1]资源-钻石'!T79</f>
        <v>468856.34469581506</v>
      </c>
      <c r="K79" s="24">
        <f>'[1]资源-钻石'!U79</f>
        <v>645941.97916539665</v>
      </c>
      <c r="L79" s="24">
        <f>'[1]资源-钻石'!V79</f>
        <v>1055566.1770819363</v>
      </c>
      <c r="M79" s="24">
        <f>'[1]资源-钻石'!W79</f>
        <v>2712672.7947901301</v>
      </c>
      <c r="N79" s="24">
        <f>'[1]资源-钻石'!X79</f>
        <v>6382702.5742691429</v>
      </c>
      <c r="P79" s="28">
        <v>76</v>
      </c>
      <c r="Q79" s="28">
        <f>'[1]功能-行军令'!N79</f>
        <v>8878.5391436132213</v>
      </c>
      <c r="R79" s="28">
        <f>'[1]功能-行军令'!O79</f>
        <v>11187.287440877531</v>
      </c>
      <c r="S79" s="28">
        <f>'[1]功能-行军令'!P79</f>
        <v>12423.064282636185</v>
      </c>
      <c r="T79" s="28">
        <f>'[1]功能-行军令'!Q79</f>
        <v>10303.911398432119</v>
      </c>
      <c r="U79" s="28">
        <f>'[1]功能-行军令'!R79</f>
        <v>5733.4517601925972</v>
      </c>
      <c r="V79" s="28">
        <f>'[1]功能-行军令'!S79</f>
        <v>597.64968836043954</v>
      </c>
      <c r="W79" s="28">
        <f>'[1]功能-行军令'!T79</f>
        <v>751.85456483676353</v>
      </c>
      <c r="X79" s="28">
        <f>'[1]功能-行军令'!U79</f>
        <v>831.33120770455571</v>
      </c>
      <c r="Y79" s="28">
        <f>'[1]功能-行军令'!V79</f>
        <v>702.86814467605836</v>
      </c>
      <c r="Z79" s="28">
        <f>'[1]功能-行军令'!W79</f>
        <v>402.62917337361978</v>
      </c>
      <c r="AC79" s="30">
        <v>76</v>
      </c>
      <c r="AD79" s="41">
        <f>'[1]功能-实力'!BE80</f>
        <v>5381352</v>
      </c>
      <c r="AE79" s="41">
        <f>'[1]功能-实力'!BF80</f>
        <v>5730588</v>
      </c>
      <c r="AF79" s="41">
        <f>'[1]功能-实力'!BG80</f>
        <v>6405114</v>
      </c>
      <c r="AG79" s="41">
        <f>'[1]功能-实力'!BH80</f>
        <v>7598814</v>
      </c>
      <c r="AH79" s="41">
        <f>'[1]功能-实力'!BI80</f>
        <v>8178930</v>
      </c>
      <c r="AL79" s="37">
        <f>[3]基础状态预期!C89</f>
        <v>3859</v>
      </c>
      <c r="AM79" s="37">
        <f>[3]基础状态预期!D89</f>
        <v>121.49411884885473</v>
      </c>
      <c r="AO79" s="37">
        <f>[3]基础状态预期!F89</f>
        <v>0</v>
      </c>
      <c r="AP79" s="37">
        <f>[3]基础状态预期!G89</f>
        <v>0</v>
      </c>
      <c r="AQ79" s="37">
        <f>[3]基础状态预期!H89</f>
        <v>0</v>
      </c>
      <c r="AR79" s="37">
        <f>[3]基础状态预期!I89</f>
        <v>0</v>
      </c>
      <c r="AS79" s="37">
        <f>[3]基础状态预期!J89</f>
        <v>6</v>
      </c>
      <c r="AW79" s="32">
        <v>73</v>
      </c>
      <c r="AX79" s="32">
        <f>[1]节奏总纲!BJ76</f>
        <v>3.2666666666666653</v>
      </c>
      <c r="AY79" s="32">
        <f>[1]节奏总纲!BK76</f>
        <v>3.3319999999999985</v>
      </c>
      <c r="AZ79" s="32">
        <f>[1]节奏总纲!BL76</f>
        <v>3.4626666666666654</v>
      </c>
      <c r="BA79" s="32">
        <f>[1]节奏总纲!BM76</f>
        <v>3.723999999999998</v>
      </c>
      <c r="BB79" s="32">
        <f>[1]节奏总纲!BN76</f>
        <v>4.5733333333333315</v>
      </c>
      <c r="BF79" s="42">
        <f>'[1]功能-行军令'!FZ77</f>
        <v>73</v>
      </c>
      <c r="BG79" s="42">
        <f>'[1]功能-行军令'!GA77*'[1]功能-行军令'!GB77</f>
        <v>320.63911865011914</v>
      </c>
      <c r="BN79" s="49">
        <v>74</v>
      </c>
      <c r="BO79" s="17">
        <f>'[1]资源-木石铜粮'!U79</f>
        <v>6932763183.3082762</v>
      </c>
      <c r="BP79" s="17">
        <f>'[1]资源-木石铜粮'!V79</f>
        <v>7656373502.1062737</v>
      </c>
      <c r="BQ79" s="17">
        <f>'[1]资源-木石铜粮'!W79</f>
        <v>8384626456.3302917</v>
      </c>
      <c r="BR79" s="17">
        <f>'[1]资源-木石铜粮'!X79</f>
        <v>8251375849.5262384</v>
      </c>
      <c r="BS79" s="17">
        <f>'[1]资源-木石铜粮'!Y79</f>
        <v>7622034391.6186237</v>
      </c>
      <c r="BV79" s="49">
        <v>74</v>
      </c>
      <c r="BW79" s="47">
        <f>'[1]功能-城建'!EQ77+[1]养成buff汇总!H79+'[1]功能-采集'!BS78+[2]产出汇总!AY79+[1]养成buff汇总!GY79</f>
        <v>4620531819.0616388</v>
      </c>
      <c r="BX79" s="47">
        <f>'[1]功能-城建'!ER77+[1]养成buff汇总!I79+'[1]功能-采集'!BT78+[2]产出汇总!AZ79+[1]养成buff汇总!GZ79</f>
        <v>3290079266.4674978</v>
      </c>
      <c r="BY79" s="47">
        <f>'[1]功能-城建'!ES77+[1]养成buff汇总!J79+'[1]功能-采集'!BU78+[2]产出汇总!BA79+[1]养成buff汇总!HA79</f>
        <v>3518042645.9985156</v>
      </c>
      <c r="BZ79" s="47">
        <f>'[1]功能-城建'!ET77+[1]养成buff汇总!K79+'[1]功能-采集'!BV78+[2]产出汇总!BB79+[1]养成buff汇总!HB79</f>
        <v>2178234523.6048503</v>
      </c>
      <c r="CA79" s="47">
        <f>'[1]功能-城建'!EU77+[1]养成buff汇总!L79+'[1]功能-采集'!BW78+[2]产出汇总!BC79+[1]养成buff汇总!HC79</f>
        <v>1678585670.6141453</v>
      </c>
      <c r="CD79" s="49">
        <v>74</v>
      </c>
      <c r="CE79" s="44">
        <f>'[1]资源-铁'!T79</f>
        <v>1434451608.6101322</v>
      </c>
      <c r="CF79" s="44">
        <f>'[1]资源-铁'!U79</f>
        <v>1855824326.0972719</v>
      </c>
      <c r="CG79" s="44">
        <f>'[1]资源-铁'!V79</f>
        <v>2424836531.3126822</v>
      </c>
      <c r="CH79" s="44">
        <f>'[1]资源-铁'!W79</f>
        <v>3182376207.8504629</v>
      </c>
      <c r="CI79" s="44">
        <f>'[1]资源-铁'!X79</f>
        <v>4497484961.2880354</v>
      </c>
      <c r="CL79" s="49">
        <v>74</v>
      </c>
      <c r="CM79" s="44">
        <f>'[1]功能-城建'!HF77+[1]养成buff汇总!S79+'[1]功能-采集'!BX78</f>
        <v>987241785.8094182</v>
      </c>
      <c r="CN79" s="44">
        <f>'[1]功能-城建'!HG77+[1]养成buff汇总!T79+'[1]功能-采集'!BY78</f>
        <v>758961374.62341785</v>
      </c>
      <c r="CO79" s="44">
        <f>'[1]功能-城建'!HH77+[1]养成buff汇总!U79+'[1]功能-采集'!BZ78</f>
        <v>774211739.37391877</v>
      </c>
      <c r="CP79" s="44">
        <f>'[1]功能-城建'!HI77+[1]养成buff汇总!V79+'[1]功能-采集'!CA78</f>
        <v>518783643.45630848</v>
      </c>
      <c r="CQ79" s="44">
        <f>'[1]功能-城建'!HJ77+[1]养成buff汇总!W79+'[1]功能-采集'!CB78</f>
        <v>364062074.51867157</v>
      </c>
      <c r="CT79" s="49">
        <v>74</v>
      </c>
      <c r="CU79" s="17">
        <f>'[1]资源-玩家城池建筑时间'!AJ79+CU78</f>
        <v>96334173.166870758</v>
      </c>
      <c r="CV79" s="17">
        <f>'[1]资源-玩家城池建筑时间'!AK79+CV78</f>
        <v>104838671.01359175</v>
      </c>
      <c r="CW79" s="17">
        <f>'[1]资源-玩家城池建筑时间'!AL79+CW78</f>
        <v>115217979.75422212</v>
      </c>
      <c r="CX79" s="17">
        <f>'[1]资源-玩家城池建筑时间'!AM79+CX78</f>
        <v>127526763.8407779</v>
      </c>
      <c r="CY79" s="17">
        <f>'[1]资源-玩家城池建筑时间'!AN79+CY78</f>
        <v>142695451.23223898</v>
      </c>
      <c r="DB79" s="49">
        <v>74</v>
      </c>
      <c r="DC79" s="17">
        <f>'[1]资源-士兵训练时间'!U79</f>
        <v>30090582.106486648</v>
      </c>
      <c r="DD79" s="17">
        <f>'[1]资源-士兵训练时间'!V79</f>
        <v>43566244.40283455</v>
      </c>
      <c r="DE79" s="17">
        <f>'[1]资源-士兵训练时间'!W79</f>
        <v>59611429.411032043</v>
      </c>
      <c r="DF79" s="17">
        <f>'[1]资源-士兵训练时间'!X79</f>
        <v>78865555.624152049</v>
      </c>
      <c r="DG79" s="17">
        <f>'[1]资源-士兵训练时间'!Y79</f>
        <v>117196456.67170522</v>
      </c>
    </row>
    <row r="80" spans="2:111" x14ac:dyDescent="0.15">
      <c r="B80" s="23">
        <v>77</v>
      </c>
      <c r="C80" s="24">
        <f>'[1]资源-钻石'!L80</f>
        <v>1081842.5024984526</v>
      </c>
      <c r="D80" s="24">
        <f>'[1]资源-钻石'!M80</f>
        <v>1334761.1999339606</v>
      </c>
      <c r="E80" s="24">
        <f>'[1]资源-钻石'!N80</f>
        <v>1896332.2624535654</v>
      </c>
      <c r="F80" s="24">
        <f>'[1]资源-钻石'!O80</f>
        <v>3770180.9717393937</v>
      </c>
      <c r="G80" s="24">
        <f>'[1]资源-钻石'!P80</f>
        <v>5029825.7915080674</v>
      </c>
      <c r="I80" s="23">
        <v>77</v>
      </c>
      <c r="J80" s="24">
        <f>'[1]资源-钻石'!T80</f>
        <v>474778.16546286317</v>
      </c>
      <c r="K80" s="24">
        <f>'[1]资源-钻石'!U80</f>
        <v>654135.98200914951</v>
      </c>
      <c r="L80" s="24">
        <f>'[1]资源-钻石'!V80</f>
        <v>1069031.5802100645</v>
      </c>
      <c r="M80" s="24">
        <f>'[1]资源-钻石'!W80</f>
        <v>2747504.7382310713</v>
      </c>
      <c r="N80" s="24">
        <f>'[1]资源-钻石'!X80</f>
        <v>6464872.7120541781</v>
      </c>
      <c r="P80" s="28">
        <v>77</v>
      </c>
      <c r="Q80" s="28">
        <f>'[1]功能-行军令'!N80</f>
        <v>9519.0842194910274</v>
      </c>
      <c r="R80" s="28">
        <f>'[1]功能-行军令'!O80</f>
        <v>12001.33028535274</v>
      </c>
      <c r="S80" s="28">
        <f>'[1]功能-行军令'!P80</f>
        <v>13334.39525564707</v>
      </c>
      <c r="T80" s="28">
        <f>'[1]功能-行军令'!Q80</f>
        <v>11064.341993234622</v>
      </c>
      <c r="U80" s="28">
        <f>'[1]功能-行军令'!R80</f>
        <v>6132.1733605347736</v>
      </c>
      <c r="V80" s="28">
        <f>'[1]功能-行军令'!S80</f>
        <v>640.54507587780608</v>
      </c>
      <c r="W80" s="28">
        <f>'[1]功能-行军令'!T80</f>
        <v>814.04284447520877</v>
      </c>
      <c r="X80" s="28">
        <f>'[1]功能-行军令'!U80</f>
        <v>911.33097301088492</v>
      </c>
      <c r="Y80" s="28">
        <f>'[1]功能-行军令'!V80</f>
        <v>760.43059480250304</v>
      </c>
      <c r="Z80" s="28">
        <f>'[1]功能-行军令'!W80</f>
        <v>398.72160034217632</v>
      </c>
      <c r="AC80" s="30">
        <v>77</v>
      </c>
      <c r="AD80" s="41">
        <f>'[1]功能-实力'!BE81</f>
        <v>5625438</v>
      </c>
      <c r="AE80" s="41">
        <f>'[1]功能-实力'!BF81</f>
        <v>5966448</v>
      </c>
      <c r="AF80" s="41">
        <f>'[1]功能-实力'!BG81</f>
        <v>6693978</v>
      </c>
      <c r="AG80" s="41">
        <f>'[1]功能-实力'!BH81</f>
        <v>7943772</v>
      </c>
      <c r="AH80" s="41">
        <f>'[1]功能-实力'!BI81</f>
        <v>8584446</v>
      </c>
      <c r="AL80" s="37">
        <f>[3]基础状态预期!C90</f>
        <v>4930</v>
      </c>
      <c r="AM80" s="37">
        <f>[3]基础状态预期!D90</f>
        <v>125.03100311549058</v>
      </c>
      <c r="AO80" s="37">
        <f>[3]基础状态预期!F90</f>
        <v>0</v>
      </c>
      <c r="AP80" s="37">
        <f>[3]基础状态预期!G90</f>
        <v>0</v>
      </c>
      <c r="AQ80" s="37">
        <f>[3]基础状态预期!H90</f>
        <v>0</v>
      </c>
      <c r="AR80" s="37">
        <f>[3]基础状态预期!I90</f>
        <v>0</v>
      </c>
      <c r="AS80" s="37">
        <f>[3]基础状态预期!J90</f>
        <v>6</v>
      </c>
      <c r="AW80" s="32">
        <v>74</v>
      </c>
      <c r="AX80" s="32">
        <f>[1]节奏总纲!BJ77</f>
        <v>3.2999999999999985</v>
      </c>
      <c r="AY80" s="32">
        <f>[1]节奏总纲!BK77</f>
        <v>3.3659999999999983</v>
      </c>
      <c r="AZ80" s="32">
        <f>[1]节奏总纲!BL77</f>
        <v>3.4979999999999984</v>
      </c>
      <c r="BA80" s="32">
        <f>[1]节奏总纲!BM77</f>
        <v>3.7619999999999978</v>
      </c>
      <c r="BB80" s="32">
        <f>[1]节奏总纲!BN77</f>
        <v>4.6199999999999974</v>
      </c>
      <c r="BF80" s="42">
        <f>'[1]功能-行军令'!FZ78</f>
        <v>74</v>
      </c>
      <c r="BG80" s="42">
        <f>'[1]功能-行军令'!GA78*'[1]功能-行军令'!GB78</f>
        <v>327.0519010231215</v>
      </c>
      <c r="BN80" s="49">
        <v>75</v>
      </c>
      <c r="BO80" s="17">
        <f>'[1]资源-木石铜粮'!U80</f>
        <v>7664422648.1257782</v>
      </c>
      <c r="BP80" s="17">
        <f>'[1]资源-木石铜粮'!V80</f>
        <v>8534776659.6390953</v>
      </c>
      <c r="BQ80" s="17">
        <f>'[1]资源-木石铜粮'!W80</f>
        <v>9281907696.2272663</v>
      </c>
      <c r="BR80" s="17">
        <f>'[1]资源-木石铜粮'!X80</f>
        <v>9147775475.5392075</v>
      </c>
      <c r="BS80" s="17">
        <f>'[1]资源-木石铜粮'!Y80</f>
        <v>8441989543.0874376</v>
      </c>
      <c r="BV80" s="49">
        <v>75</v>
      </c>
      <c r="BW80" s="47">
        <f>'[1]功能-城建'!EQ78+[1]养成buff汇总!H80+'[1]功能-采集'!BS79+[2]产出汇总!AY80+[1]养成buff汇总!GY80</f>
        <v>5122075257.6720591</v>
      </c>
      <c r="BX80" s="47">
        <f>'[1]功能-城建'!ER78+[1]养成buff汇总!I80+'[1]功能-采集'!BT79+[2]产出汇总!AZ80+[1]养成buff汇总!GZ80</f>
        <v>3633420017.4601784</v>
      </c>
      <c r="BY80" s="47">
        <f>'[1]功能-城建'!ES78+[1]养成buff汇总!J80+'[1]功能-采集'!BU79+[2]产出汇总!BA80+[1]养成buff汇总!HA80</f>
        <v>3904319771.3576097</v>
      </c>
      <c r="BZ80" s="47">
        <f>'[1]功能-城建'!ET78+[1]养成buff汇总!K80+'[1]功能-采集'!BV79+[2]产出汇总!BB80+[1]养成buff汇总!HB80</f>
        <v>2403093200.9886165</v>
      </c>
      <c r="CA80" s="47">
        <f>'[1]功能-城建'!EU78+[1]养成buff汇总!L80+'[1]功能-采集'!BW79+[2]产出汇总!BC80+[1]养成buff汇总!HC80</f>
        <v>1864910754.1353035</v>
      </c>
      <c r="CD80" s="49">
        <v>75</v>
      </c>
      <c r="CE80" s="44">
        <f>'[1]资源-铁'!T80</f>
        <v>1584842689.5201228</v>
      </c>
      <c r="CF80" s="44">
        <f>'[1]资源-铁'!U80</f>
        <v>2039684364.4313865</v>
      </c>
      <c r="CG80" s="44">
        <f>'[1]资源-铁'!V80</f>
        <v>2657800618.9607358</v>
      </c>
      <c r="CH80" s="44">
        <f>'[1]资源-铁'!W80</f>
        <v>3473260630.1891079</v>
      </c>
      <c r="CI80" s="44">
        <f>'[1]资源-铁'!X80</f>
        <v>4913776979.7301998</v>
      </c>
      <c r="CL80" s="49">
        <v>75</v>
      </c>
      <c r="CM80" s="44">
        <f>'[1]功能-城建'!HF78+[1]养成buff汇总!S80+'[1]功能-采集'!BX79</f>
        <v>1112753361.986618</v>
      </c>
      <c r="CN80" s="44">
        <f>'[1]功能-城建'!HG78+[1]养成buff汇总!T80+'[1]功能-采集'!BY79</f>
        <v>850471989.97871399</v>
      </c>
      <c r="CO80" s="44">
        <f>'[1]功能-城建'!HH78+[1]养成buff汇总!U80+'[1]功能-采集'!BZ79</f>
        <v>871973021.12031627</v>
      </c>
      <c r="CP80" s="44">
        <f>'[1]功能-城建'!HI78+[1]养成buff汇总!V80+'[1]功能-采集'!CA79</f>
        <v>579315262.17193341</v>
      </c>
      <c r="CQ80" s="44">
        <f>'[1]功能-城建'!HJ78+[1]养成buff汇总!W80+'[1]功能-采集'!CB79</f>
        <v>411016188.89279878</v>
      </c>
      <c r="CT80" s="49">
        <v>75</v>
      </c>
      <c r="CU80" s="17">
        <f>'[1]资源-玩家城池建筑时间'!AJ80+CU79</f>
        <v>103930499.50344348</v>
      </c>
      <c r="CV80" s="17">
        <f>'[1]资源-玩家城池建筑时间'!AK80+CV79</f>
        <v>113223875.20726809</v>
      </c>
      <c r="CW80" s="17">
        <f>'[1]资源-玩家城池建筑时间'!AL80+CW79</f>
        <v>124405060.61813837</v>
      </c>
      <c r="CX80" s="17">
        <f>'[1]资源-玩家城池建筑时间'!AM80+CX79</f>
        <v>137689152.54173762</v>
      </c>
      <c r="CY80" s="17">
        <f>'[1]资源-玩家城池建筑时间'!AN80+CY79</f>
        <v>154297328.27864194</v>
      </c>
      <c r="DB80" s="49">
        <v>75</v>
      </c>
      <c r="DC80" s="17">
        <f>'[1]资源-士兵训练时间'!U80</f>
        <v>32403443.845917895</v>
      </c>
      <c r="DD80" s="17">
        <f>'[1]资源-士兵训练时间'!V80</f>
        <v>46897039.536236212</v>
      </c>
      <c r="DE80" s="17">
        <f>'[1]资源-士兵训练时间'!W80</f>
        <v>64172351.176645994</v>
      </c>
      <c r="DF80" s="17">
        <f>'[1]资源-士兵训练时间'!X80</f>
        <v>84916476.614630401</v>
      </c>
      <c r="DG80" s="17">
        <f>'[1]资源-士兵训练时间'!Y80</f>
        <v>126227002.82527895</v>
      </c>
    </row>
    <row r="81" spans="2:111" x14ac:dyDescent="0.15">
      <c r="B81" s="23">
        <v>78</v>
      </c>
      <c r="C81" s="24">
        <f>'[1]资源-钻石'!L81</f>
        <v>1159684.457858575</v>
      </c>
      <c r="D81" s="24">
        <f>'[1]资源-钻石'!M81</f>
        <v>1429727.8412123467</v>
      </c>
      <c r="E81" s="24">
        <f>'[1]资源-钻石'!N81</f>
        <v>2019798.2220409464</v>
      </c>
      <c r="F81" s="24">
        <f>'[1]资源-钻石'!O81</f>
        <v>4023604.4278371525</v>
      </c>
      <c r="G81" s="24">
        <f>'[1]资源-钻石'!P81</f>
        <v>5368057.8978680167</v>
      </c>
      <c r="I81" s="23">
        <v>78</v>
      </c>
      <c r="J81" s="24">
        <f>'[1]资源-钻石'!T81</f>
        <v>480699.98622991121</v>
      </c>
      <c r="K81" s="24">
        <f>'[1]资源-钻石'!U81</f>
        <v>662329.98485290236</v>
      </c>
      <c r="L81" s="24">
        <f>'[1]资源-钻石'!V81</f>
        <v>1082496.9833381928</v>
      </c>
      <c r="M81" s="24">
        <f>'[1]资源-钻石'!W81</f>
        <v>2782336.681672012</v>
      </c>
      <c r="N81" s="24">
        <f>'[1]资源-钻石'!X81</f>
        <v>6547042.8498392124</v>
      </c>
      <c r="P81" s="28">
        <v>78</v>
      </c>
      <c r="Q81" s="28">
        <f>'[1]功能-行军令'!N81</f>
        <v>10205.603433375156</v>
      </c>
      <c r="R81" s="28">
        <f>'[1]功能-行军令'!O81</f>
        <v>12866.869831288672</v>
      </c>
      <c r="S81" s="28">
        <f>'[1]功能-行军令'!P81</f>
        <v>14308.189455308708</v>
      </c>
      <c r="T81" s="28">
        <f>'[1]功能-行军令'!Q81</f>
        <v>11862.30566202825</v>
      </c>
      <c r="U81" s="28">
        <f>'[1]功能-行军令'!R81</f>
        <v>6556.1462038834607</v>
      </c>
      <c r="V81" s="28">
        <f>'[1]功能-行军令'!S81</f>
        <v>686.51921388412848</v>
      </c>
      <c r="W81" s="28">
        <f>'[1]功能-行军令'!T81</f>
        <v>865.53954593593153</v>
      </c>
      <c r="X81" s="28">
        <f>'[1]功能-行军令'!U81</f>
        <v>973.79419966163732</v>
      </c>
      <c r="Y81" s="28">
        <f>'[1]功能-行军令'!V81</f>
        <v>797.96366879362722</v>
      </c>
      <c r="Z81" s="28">
        <f>'[1]功能-行军令'!W81</f>
        <v>423.97284334868709</v>
      </c>
      <c r="AC81" s="30">
        <v>78</v>
      </c>
      <c r="AD81" s="41">
        <f>'[1]功能-实力'!BE82</f>
        <v>5876520</v>
      </c>
      <c r="AE81" s="41">
        <f>'[1]功能-实力'!BF82</f>
        <v>6239286</v>
      </c>
      <c r="AF81" s="41">
        <f>'[1]功能-实力'!BG82</f>
        <v>6990510</v>
      </c>
      <c r="AG81" s="41">
        <f>'[1]功能-实力'!BH82</f>
        <v>8317368</v>
      </c>
      <c r="AH81" s="41">
        <f>'[1]功能-实力'!BI82</f>
        <v>9030252</v>
      </c>
      <c r="AL81" s="37">
        <f>[3]基础状态预期!C91</f>
        <v>6307</v>
      </c>
      <c r="AM81" s="37">
        <f>[3]基础状态预期!D91</f>
        <v>128.62542789463421</v>
      </c>
      <c r="AO81" s="37">
        <f>[3]基础状态预期!F91</f>
        <v>0</v>
      </c>
      <c r="AP81" s="37">
        <f>[3]基础状态预期!G91</f>
        <v>0</v>
      </c>
      <c r="AQ81" s="37">
        <f>[3]基础状态预期!H91</f>
        <v>0</v>
      </c>
      <c r="AR81" s="37">
        <f>[3]基础状态预期!I91</f>
        <v>0</v>
      </c>
      <c r="AS81" s="37">
        <f>[3]基础状态预期!J91</f>
        <v>6</v>
      </c>
      <c r="AW81" s="32">
        <v>75</v>
      </c>
      <c r="AX81" s="32">
        <f>[1]节奏总纲!BJ78</f>
        <v>3.3333333333333317</v>
      </c>
      <c r="AY81" s="32">
        <f>[1]节奏总纲!BK78</f>
        <v>3.3999999999999986</v>
      </c>
      <c r="AZ81" s="32">
        <f>[1]节奏总纲!BL78</f>
        <v>3.5333333333333319</v>
      </c>
      <c r="BA81" s="32">
        <f>[1]节奏总纲!BM78</f>
        <v>3.7999999999999976</v>
      </c>
      <c r="BB81" s="32">
        <f>[1]节奏总纲!BN78</f>
        <v>4.6666666666666643</v>
      </c>
      <c r="BF81" s="42">
        <f>'[1]功能-行军令'!FZ79</f>
        <v>75</v>
      </c>
      <c r="BG81" s="42">
        <f>'[1]功能-行军令'!GA79*'[1]功能-行军令'!GB79</f>
        <v>333.59293904358395</v>
      </c>
      <c r="BN81" s="49">
        <v>76</v>
      </c>
      <c r="BO81" s="17">
        <f>'[1]资源-木石铜粮'!U81</f>
        <v>8483542907.8173771</v>
      </c>
      <c r="BP81" s="17">
        <f>'[1]资源-木石铜粮'!V81</f>
        <v>9477789027.2782192</v>
      </c>
      <c r="BQ81" s="17">
        <f>'[1]资源-木石铜粮'!W81</f>
        <v>10269748159.052099</v>
      </c>
      <c r="BR81" s="17">
        <f>'[1]资源-木石铜粮'!X81</f>
        <v>10132443578.548597</v>
      </c>
      <c r="BS81" s="17">
        <f>'[1]资源-木石铜粮'!Y81</f>
        <v>9349093985.1015644</v>
      </c>
      <c r="BV81" s="49">
        <v>76</v>
      </c>
      <c r="BW81" s="47">
        <f>'[1]功能-城建'!EQ79+[1]养成buff汇总!H81+'[1]功能-采集'!BS80+[2]产出汇总!AY81+[1]养成buff汇总!GY81</f>
        <v>5680110283.5753593</v>
      </c>
      <c r="BX81" s="47">
        <f>'[1]功能-城建'!ER79+[1]养成buff汇总!I81+'[1]功能-采集'!BT80+[2]产出汇总!AZ81+[1]养成buff汇总!GZ81</f>
        <v>4003226058.5250573</v>
      </c>
      <c r="BY81" s="47">
        <f>'[1]功能-城建'!ES79+[1]养成buff汇总!J81+'[1]功能-采集'!BU80+[2]产出汇总!BA81+[1]养成buff汇总!HA81</f>
        <v>4324295269.5203838</v>
      </c>
      <c r="BZ81" s="47">
        <f>'[1]功能-城建'!ET79+[1]养成buff汇总!K81+'[1]功能-采集'!BV80+[2]产出汇总!BB81+[1]养成buff汇总!HB81</f>
        <v>2650372416.9440055</v>
      </c>
      <c r="CA81" s="47">
        <f>'[1]功能-城建'!EU79+[1]养成buff汇总!L81+'[1]功能-采集'!BW80+[2]产出汇总!BC81+[1]养成buff汇总!HC81</f>
        <v>2073086310.6593742</v>
      </c>
      <c r="CD81" s="49">
        <v>76</v>
      </c>
      <c r="CE81" s="44">
        <f>'[1]资源-铁'!T81</f>
        <v>1739689662.4220865</v>
      </c>
      <c r="CF81" s="44">
        <f>'[1]资源-铁'!U81</f>
        <v>2234530845.7778339</v>
      </c>
      <c r="CG81" s="44">
        <f>'[1]资源-铁'!V81</f>
        <v>2897153604.4861164</v>
      </c>
      <c r="CH81" s="44">
        <f>'[1]资源-铁'!W81</f>
        <v>3788442818.1009626</v>
      </c>
      <c r="CI81" s="44">
        <f>'[1]资源-铁'!X81</f>
        <v>5368110088.2896557</v>
      </c>
      <c r="CL81" s="49">
        <v>76</v>
      </c>
      <c r="CM81" s="44">
        <f>'[1]功能-城建'!HF79+[1]养成buff汇总!S81+'[1]功能-采集'!BX80</f>
        <v>1253164462.5371261</v>
      </c>
      <c r="CN81" s="44">
        <f>'[1]功能-城建'!HG79+[1]养成buff汇总!T81+'[1]功能-采集'!BY80</f>
        <v>948260755.70257831</v>
      </c>
      <c r="CO81" s="44">
        <f>'[1]功能-城建'!HH79+[1]养成buff汇总!U81+'[1]功能-采集'!BZ80</f>
        <v>978517403.06741548</v>
      </c>
      <c r="CP81" s="44">
        <f>'[1]功能-城建'!HI79+[1]养成buff汇总!V81+'[1]功能-采集'!CA80</f>
        <v>645589835.92224622</v>
      </c>
      <c r="CQ81" s="44">
        <f>'[1]功能-城建'!HJ79+[1]养成buff汇总!W81+'[1]功能-采集'!CB80</f>
        <v>463331991.6896174</v>
      </c>
      <c r="CT81" s="49">
        <v>76</v>
      </c>
      <c r="CU81" s="17">
        <f>'[1]资源-玩家城池建筑时间'!AJ81+CU80</f>
        <v>112160099.66259903</v>
      </c>
      <c r="CV81" s="17">
        <f>'[1]资源-玩家城池建筑时间'!AK81+CV80</f>
        <v>122110132.09763317</v>
      </c>
      <c r="CW81" s="17">
        <f>'[1]资源-玩家城池建筑时间'!AL81+CW80</f>
        <v>134160961.08917022</v>
      </c>
      <c r="CX81" s="17">
        <f>'[1]资源-玩家城池建筑时间'!AM81+CX80</f>
        <v>148673691.73356965</v>
      </c>
      <c r="CY81" s="17">
        <f>'[1]资源-玩家城池建筑时间'!AN81+CY80</f>
        <v>166956128.14842397</v>
      </c>
      <c r="DB81" s="49">
        <v>76</v>
      </c>
      <c r="DC81" s="17">
        <f>'[1]资源-士兵训练时间'!U81</f>
        <v>34855862.646457054</v>
      </c>
      <c r="DD81" s="17">
        <f>'[1]资源-士兵训练时间'!V81</f>
        <v>50426864.275257632</v>
      </c>
      <c r="DE81" s="17">
        <f>'[1]资源-士兵训练时间'!W81</f>
        <v>69013091.600172058</v>
      </c>
      <c r="DF81" s="17">
        <f>'[1]资源-士兵训练时间'!X81</f>
        <v>91393326.130278051</v>
      </c>
      <c r="DG81" s="17">
        <f>'[1]资源-士兵训练时间'!Y81</f>
        <v>136062145.36962917</v>
      </c>
    </row>
    <row r="82" spans="2:111" x14ac:dyDescent="0.15">
      <c r="B82" s="23">
        <v>79</v>
      </c>
      <c r="C82" s="24">
        <f>'[1]资源-钻石'!L82</f>
        <v>1243113.3998854891</v>
      </c>
      <c r="D82" s="24">
        <f>'[1]资源-钻石'!M82</f>
        <v>1533837.741228085</v>
      </c>
      <c r="E82" s="24">
        <f>'[1]资源-钻石'!N82</f>
        <v>2152511.4222807288</v>
      </c>
      <c r="F82" s="24">
        <f>'[1]资源-钻石'!O82</f>
        <v>4283545.9889123105</v>
      </c>
      <c r="G82" s="24">
        <f>'[1]资源-钻石'!P82</f>
        <v>5735373.3025539983</v>
      </c>
      <c r="I82" s="23">
        <v>79</v>
      </c>
      <c r="J82" s="24">
        <f>'[1]资源-钻石'!T82</f>
        <v>486621.80699695932</v>
      </c>
      <c r="K82" s="24">
        <f>'[1]资源-钻石'!U82</f>
        <v>670523.98769665533</v>
      </c>
      <c r="L82" s="24">
        <f>'[1]资源-钻石'!V82</f>
        <v>1095962.3864663208</v>
      </c>
      <c r="M82" s="24">
        <f>'[1]资源-钻石'!W82</f>
        <v>2817168.6251129531</v>
      </c>
      <c r="N82" s="24">
        <f>'[1]资源-钻石'!X82</f>
        <v>6629212.9876242476</v>
      </c>
      <c r="P82" s="28">
        <v>79</v>
      </c>
      <c r="Q82" s="28">
        <f>'[1]功能-行军令'!N82</f>
        <v>10941.396508337442</v>
      </c>
      <c r="R82" s="28">
        <f>'[1]功能-行军令'!O82</f>
        <v>13807.281252895182</v>
      </c>
      <c r="S82" s="28">
        <f>'[1]功能-行军令'!P82</f>
        <v>15354.918003354933</v>
      </c>
      <c r="T82" s="28">
        <f>'[1]功能-行军令'!Q82</f>
        <v>12680.793125428094</v>
      </c>
      <c r="U82" s="28">
        <f>'[1]功能-行军令'!R82</f>
        <v>7016.5748669292998</v>
      </c>
      <c r="V82" s="28">
        <f>'[1]功能-行军令'!S82</f>
        <v>735.79307496228648</v>
      </c>
      <c r="W82" s="28">
        <f>'[1]功能-行军令'!T82</f>
        <v>940.41142160650998</v>
      </c>
      <c r="X82" s="28">
        <f>'[1]功能-行军令'!U82</f>
        <v>1046.7285480462251</v>
      </c>
      <c r="Y82" s="28">
        <f>'[1]功能-行军令'!V82</f>
        <v>818.48746339984427</v>
      </c>
      <c r="Z82" s="28">
        <f>'[1]功能-行军令'!W82</f>
        <v>460.42866304583913</v>
      </c>
      <c r="AC82" s="30">
        <v>79</v>
      </c>
      <c r="AD82" s="41">
        <f>'[1]功能-实力'!BE83</f>
        <v>6140574</v>
      </c>
      <c r="AE82" s="41">
        <f>'[1]功能-实力'!BF83</f>
        <v>6566802</v>
      </c>
      <c r="AF82" s="41">
        <f>'[1]功能-实力'!BG83</f>
        <v>7297266</v>
      </c>
      <c r="AG82" s="41">
        <f>'[1]功能-实力'!BH83</f>
        <v>8707854</v>
      </c>
      <c r="AH82" s="41">
        <f>'[1]功能-实力'!BI83</f>
        <v>9500718</v>
      </c>
      <c r="AL82" s="37">
        <f>[3]基础状态预期!C92</f>
        <v>8041</v>
      </c>
      <c r="AM82" s="37">
        <f>[3]基础状态预期!D92</f>
        <v>132.09902390525281</v>
      </c>
      <c r="AO82" s="37">
        <f>[3]基础状态预期!F92</f>
        <v>0</v>
      </c>
      <c r="AP82" s="37">
        <f>[3]基础状态预期!G92</f>
        <v>0</v>
      </c>
      <c r="AQ82" s="37">
        <f>[3]基础状态预期!H92</f>
        <v>0</v>
      </c>
      <c r="AR82" s="37">
        <f>[3]基础状态预期!I92</f>
        <v>0</v>
      </c>
      <c r="AS82" s="37">
        <f>[3]基础状态预期!J92</f>
        <v>6</v>
      </c>
      <c r="AW82" s="32">
        <v>76</v>
      </c>
      <c r="AX82" s="32">
        <f>[1]节奏总纲!BJ79</f>
        <v>3.3666666666666649</v>
      </c>
      <c r="AY82" s="32">
        <f>[1]节奏总纲!BK79</f>
        <v>3.4339999999999984</v>
      </c>
      <c r="AZ82" s="32">
        <f>[1]节奏总纲!BL79</f>
        <v>3.5686666666666649</v>
      </c>
      <c r="BA82" s="32">
        <f>[1]节奏总纲!BM79</f>
        <v>3.8379999999999979</v>
      </c>
      <c r="BB82" s="32">
        <f>[1]节奏总纲!BN79</f>
        <v>4.7133333333333303</v>
      </c>
      <c r="BF82" s="42">
        <f>'[1]功能-行军令'!FZ80</f>
        <v>76</v>
      </c>
      <c r="BG82" s="42">
        <f>'[1]功能-行军令'!GA80*'[1]功能-行军令'!GB80</f>
        <v>340.26479782445563</v>
      </c>
      <c r="BN82" s="49">
        <v>77</v>
      </c>
      <c r="BO82" s="17">
        <f>'[1]资源-木石铜粮'!U82</f>
        <v>9381661295.5495014</v>
      </c>
      <c r="BP82" s="17">
        <f>'[1]资源-木石铜粮'!V82</f>
        <v>10498429513.391914</v>
      </c>
      <c r="BQ82" s="17">
        <f>'[1]资源-木石铜粮'!W82</f>
        <v>11368265305.919285</v>
      </c>
      <c r="BR82" s="17">
        <f>'[1]资源-木石铜粮'!X82</f>
        <v>11218039050.1999</v>
      </c>
      <c r="BS82" s="17">
        <f>'[1]资源-木石铜粮'!Y82</f>
        <v>10301057492.932119</v>
      </c>
      <c r="BV82" s="49">
        <v>77</v>
      </c>
      <c r="BW82" s="47">
        <f>'[1]功能-城建'!EQ80+[1]养成buff汇总!H82+'[1]功能-采集'!BS81+[2]产出汇总!AY82+[1]养成buff汇总!GY82</f>
        <v>6292441694.8828449</v>
      </c>
      <c r="BX82" s="47">
        <f>'[1]功能-城建'!ER80+[1]养成buff汇总!I82+'[1]功能-采集'!BT81+[2]产出汇总!AZ82+[1]养成buff汇总!GZ82</f>
        <v>4414950359.2454348</v>
      </c>
      <c r="BY82" s="47">
        <f>'[1]功能-城建'!ES80+[1]养成buff汇总!J82+'[1]功能-采集'!BU81+[2]产出汇总!BA82+[1]养成buff汇总!HA82</f>
        <v>4795470088.4045057</v>
      </c>
      <c r="BZ82" s="47">
        <f>'[1]功能-城建'!ET80+[1]养成buff汇总!K82+'[1]功能-采集'!BV81+[2]产出汇总!BB82+[1]养成buff汇总!HB82</f>
        <v>2924316776.5524025</v>
      </c>
      <c r="CA82" s="47">
        <f>'[1]功能-城建'!EU80+[1]养成buff汇总!L82+'[1]功能-采集'!BW81+[2]产出汇总!BC82+[1]养成buff汇总!HC82</f>
        <v>2286409277.7591009</v>
      </c>
      <c r="CD82" s="49">
        <v>77</v>
      </c>
      <c r="CE82" s="44">
        <f>'[1]资源-铁'!T82</f>
        <v>1905562907.4712739</v>
      </c>
      <c r="CF82" s="44">
        <f>'[1]资源-铁'!U82</f>
        <v>2438582112.8038769</v>
      </c>
      <c r="CG82" s="44">
        <f>'[1]资源-铁'!V82</f>
        <v>3160037948.6465158</v>
      </c>
      <c r="CH82" s="44">
        <f>'[1]资源-铁'!W82</f>
        <v>4132440735.1552801</v>
      </c>
      <c r="CI82" s="44">
        <f>'[1]资源-铁'!X82</f>
        <v>5791573673.0508509</v>
      </c>
      <c r="CL82" s="49">
        <v>77</v>
      </c>
      <c r="CM82" s="44">
        <f>'[1]功能-城建'!HF80+[1]养成buff汇总!S82+'[1]功能-采集'!BX81</f>
        <v>1406788153.6942551</v>
      </c>
      <c r="CN82" s="44">
        <f>'[1]功能-城建'!HG80+[1]养成buff汇总!T82+'[1]功能-采集'!BY81</f>
        <v>1057324238.8000684</v>
      </c>
      <c r="CO82" s="44">
        <f>'[1]功能-城建'!HH80+[1]养成buff汇总!U82+'[1]功能-采集'!BZ81</f>
        <v>1097742058.9190657</v>
      </c>
      <c r="CP82" s="44">
        <f>'[1]功能-城建'!HI80+[1]养成buff汇总!V82+'[1]功能-采集'!CA81</f>
        <v>718694662.16493201</v>
      </c>
      <c r="CQ82" s="44">
        <f>'[1]功能-城建'!HJ80+[1]养成buff汇总!W82+'[1]功能-采集'!CB81</f>
        <v>521038228.79002953</v>
      </c>
      <c r="CT82" s="49">
        <v>77</v>
      </c>
      <c r="CU82" s="17">
        <f>'[1]资源-玩家城池建筑时间'!AJ82+CU81</f>
        <v>120981584.21770851</v>
      </c>
      <c r="CV82" s="17">
        <f>'[1]资源-玩家城池建筑时间'!AK82+CV81</f>
        <v>131839388.25072843</v>
      </c>
      <c r="CW82" s="17">
        <f>'[1]资源-玩家城池建筑时间'!AL82+CW81</f>
        <v>144868466.32830811</v>
      </c>
      <c r="CX82" s="17">
        <f>'[1]资源-玩家城池建筑时间'!AM82+CX81</f>
        <v>160627791.6238074</v>
      </c>
      <c r="CY82" s="17">
        <f>'[1]资源-玩家城池建筑时间'!AN82+CY81</f>
        <v>179610288.40773961</v>
      </c>
      <c r="DB82" s="49">
        <v>77</v>
      </c>
      <c r="DC82" s="17">
        <f>'[1]资源-士兵训练时间'!U82</f>
        <v>37483934.409547985</v>
      </c>
      <c r="DD82" s="17">
        <f>'[1]资源-士兵训练时间'!V82</f>
        <v>54288927.881549403</v>
      </c>
      <c r="DE82" s="17">
        <f>'[1]资源-士兵训练时间'!W82</f>
        <v>74313332.479094282</v>
      </c>
      <c r="DF82" s="17">
        <f>'[1]资源-士兵训练时间'!X82</f>
        <v>98359050.228492707</v>
      </c>
      <c r="DG82" s="17">
        <f>'[1]资源-士兵训练时间'!Y82</f>
        <v>146038905.52732724</v>
      </c>
    </row>
    <row r="83" spans="2:111" x14ac:dyDescent="0.15">
      <c r="B83" s="23">
        <v>80</v>
      </c>
      <c r="C83" s="24">
        <f>'[1]资源-钻石'!L83</f>
        <v>1332530.3259574147</v>
      </c>
      <c r="D83" s="24">
        <f>'[1]资源-钻石'!M83</f>
        <v>1645143.8379859456</v>
      </c>
      <c r="E83" s="24">
        <f>'[1]资源-钻石'!N83</f>
        <v>2286717.4131431552</v>
      </c>
      <c r="F83" s="24">
        <f>'[1]资源-钻石'!O83</f>
        <v>4560465.6020843238</v>
      </c>
      <c r="G83" s="24">
        <f>'[1]资源-钻石'!P83</f>
        <v>6117868.2201879751</v>
      </c>
      <c r="I83" s="23">
        <v>80</v>
      </c>
      <c r="J83" s="24">
        <f>'[1]资源-钻石'!T83</f>
        <v>492543.62776400743</v>
      </c>
      <c r="K83" s="24">
        <f>'[1]资源-钻石'!U83</f>
        <v>678717.99054040818</v>
      </c>
      <c r="L83" s="24">
        <f>'[1]资源-钻石'!V83</f>
        <v>1109427.7895944491</v>
      </c>
      <c r="M83" s="24">
        <f>'[1]资源-钻石'!W83</f>
        <v>2852000.5685538943</v>
      </c>
      <c r="N83" s="24">
        <f>'[1]资源-钻石'!X83</f>
        <v>6711383.1254092827</v>
      </c>
      <c r="P83" s="28">
        <v>80</v>
      </c>
      <c r="Q83" s="28">
        <f>'[1]功能-行军令'!N83</f>
        <v>11730</v>
      </c>
      <c r="R83" s="28">
        <f>'[1]功能-行军令'!O83</f>
        <v>14812.695</v>
      </c>
      <c r="S83" s="28">
        <f>'[1]功能-行军令'!P83</f>
        <v>16410.576000000001</v>
      </c>
      <c r="T83" s="28">
        <f>'[1]功能-行军令'!Q83</f>
        <v>13552.740000000002</v>
      </c>
      <c r="U83" s="28">
        <f>'[1]功能-行军令'!R83</f>
        <v>7496.0309999999999</v>
      </c>
      <c r="V83" s="28">
        <f>'[1]功能-行军令'!S83</f>
        <v>788.60349166255764</v>
      </c>
      <c r="W83" s="28">
        <f>'[1]功能-行军令'!T83</f>
        <v>1005.413747104818</v>
      </c>
      <c r="X83" s="28">
        <f>'[1]功能-行军令'!U83</f>
        <v>1055.6579966450681</v>
      </c>
      <c r="Y83" s="28">
        <f>'[1]功能-行军令'!V83</f>
        <v>871.94687457190776</v>
      </c>
      <c r="Z83" s="28">
        <f>'[1]功能-行军令'!W83</f>
        <v>479.45613307070016</v>
      </c>
      <c r="AC83" s="30">
        <v>80</v>
      </c>
      <c r="AD83" s="41">
        <f>'[1]功能-实力'!BE84</f>
        <v>6411906</v>
      </c>
      <c r="AE83" s="41">
        <f>'[1]功能-实力'!BF84</f>
        <v>6907062</v>
      </c>
      <c r="AF83" s="41">
        <f>'[1]功能-实力'!BG84</f>
        <v>7609500</v>
      </c>
      <c r="AG83" s="41">
        <f>'[1]功能-实力'!BH84</f>
        <v>9125886</v>
      </c>
      <c r="AH83" s="41">
        <f>'[1]功能-实力'!BI84</f>
        <v>10005600</v>
      </c>
      <c r="AL83" s="37">
        <f>[3]基础状态预期!C93</f>
        <v>10234</v>
      </c>
      <c r="AM83" s="37">
        <f>[3]基础状态预期!D93</f>
        <v>135.61521761503846</v>
      </c>
      <c r="AO83" s="37">
        <f>[3]基础状态预期!F93</f>
        <v>0</v>
      </c>
      <c r="AP83" s="37">
        <f>[3]基础状态预期!G93</f>
        <v>0</v>
      </c>
      <c r="AQ83" s="37">
        <f>[3]基础状态预期!H93</f>
        <v>0</v>
      </c>
      <c r="AR83" s="37">
        <f>[3]基础状态预期!I93</f>
        <v>0</v>
      </c>
      <c r="AS83" s="37">
        <f>[3]基础状态预期!J93</f>
        <v>6</v>
      </c>
      <c r="AW83" s="32">
        <v>77</v>
      </c>
      <c r="AX83" s="32">
        <f>[1]节奏总纲!BJ80</f>
        <v>3.3999999999999981</v>
      </c>
      <c r="AY83" s="32">
        <f>[1]节奏总纲!BK80</f>
        <v>3.4679999999999982</v>
      </c>
      <c r="AZ83" s="32">
        <f>[1]节奏总纲!BL80</f>
        <v>3.6039999999999983</v>
      </c>
      <c r="BA83" s="32">
        <f>[1]节奏总纲!BM80</f>
        <v>3.8759999999999977</v>
      </c>
      <c r="BB83" s="32">
        <f>[1]节奏总纲!BN80</f>
        <v>4.7599999999999971</v>
      </c>
      <c r="BF83" s="42">
        <f>'[1]功能-行军令'!FZ81</f>
        <v>77</v>
      </c>
      <c r="BG83" s="42">
        <f>'[1]功能-行军令'!GA81*'[1]功能-行军令'!GB81</f>
        <v>347.07009378094472</v>
      </c>
      <c r="BN83" s="49">
        <v>78</v>
      </c>
      <c r="BO83" s="17">
        <f>'[1]资源-木石铜粮'!U83</f>
        <v>10378998382.774837</v>
      </c>
      <c r="BP83" s="17">
        <f>'[1]资源-木石铜粮'!V83</f>
        <v>11614304011.37682</v>
      </c>
      <c r="BQ83" s="17">
        <f>'[1]资源-木石铜粮'!W83</f>
        <v>12803363820.630222</v>
      </c>
      <c r="BR83" s="17">
        <f>'[1]资源-木石铜粮'!X83</f>
        <v>12396542637.396919</v>
      </c>
      <c r="BS83" s="17">
        <f>'[1]资源-木石铜粮'!Y83</f>
        <v>11339262916.967611</v>
      </c>
      <c r="BV83" s="49">
        <v>78</v>
      </c>
      <c r="BW83" s="47">
        <f>'[1]功能-城建'!EQ81+[1]养成buff汇总!H83+'[1]功能-采集'!BS82+[2]产出汇总!AY83+[1]养成buff汇总!GY83</f>
        <v>6972185054.4034262</v>
      </c>
      <c r="BX83" s="47">
        <f>'[1]功能-城建'!ER81+[1]养成buff汇总!I83+'[1]功能-采集'!BT82+[2]产出汇总!AZ83+[1]养成buff汇总!GZ83</f>
        <v>4860173121.3364429</v>
      </c>
      <c r="BY83" s="47">
        <f>'[1]功能-城建'!ES81+[1]养成buff汇总!J83+'[1]功能-采集'!BU82+[2]产出汇总!BA83+[1]养成buff汇总!HA83</f>
        <v>5317089904.6907988</v>
      </c>
      <c r="BZ83" s="47">
        <f>'[1]功能-城建'!ET81+[1]养成buff汇总!K83+'[1]功能-采集'!BV82+[2]产出汇总!BB83+[1]养成buff汇总!HB83</f>
        <v>3217828039.1360502</v>
      </c>
      <c r="CA83" s="47">
        <f>'[1]功能-城建'!EU81+[1]养成buff汇总!L83+'[1]功能-采集'!BW82+[2]产出汇总!BC83+[1]养成buff汇总!HC83</f>
        <v>2518854311.2881188</v>
      </c>
      <c r="CD83" s="49">
        <v>78</v>
      </c>
      <c r="CE83" s="44">
        <f>'[1]资源-铁'!T83</f>
        <v>2077545437.2048326</v>
      </c>
      <c r="CF83" s="44">
        <f>'[1]资源-铁'!U83</f>
        <v>2655406427.2585268</v>
      </c>
      <c r="CG83" s="44">
        <f>'[1]资源-铁'!V83</f>
        <v>3445220873.5270252</v>
      </c>
      <c r="CH83" s="44">
        <f>'[1]资源-铁'!W83</f>
        <v>4485361189.9127903</v>
      </c>
      <c r="CI83" s="44">
        <f>'[1]资源-铁'!X83</f>
        <v>6237241044.3522129</v>
      </c>
      <c r="CL83" s="49">
        <v>78</v>
      </c>
      <c r="CM83" s="44">
        <f>'[1]功能-城建'!HF81+[1]养成buff汇总!S83+'[1]功能-采集'!BX82</f>
        <v>1578331055.3103707</v>
      </c>
      <c r="CN83" s="44">
        <f>'[1]功能-城建'!HG81+[1]养成buff汇总!T83+'[1]功能-采集'!BY82</f>
        <v>1174364631.659349</v>
      </c>
      <c r="CO83" s="44">
        <f>'[1]功能-城建'!HH81+[1]养成buff汇总!U83+'[1]功能-采集'!BZ82</f>
        <v>1230170634.9886022</v>
      </c>
      <c r="CP83" s="44">
        <f>'[1]功能-城建'!HI81+[1]养成buff汇总!V83+'[1]功能-采集'!CA82</f>
        <v>799228090.12149584</v>
      </c>
      <c r="CQ83" s="44">
        <f>'[1]功能-城建'!HJ81+[1]养成buff汇总!W83+'[1]功能-采集'!CB82</f>
        <v>584450999.79654253</v>
      </c>
      <c r="CT83" s="49">
        <v>78</v>
      </c>
      <c r="CU83" s="17">
        <f>'[1]资源-玩家城池建筑时间'!AJ83+CU82</f>
        <v>130529401.2231482</v>
      </c>
      <c r="CV83" s="17">
        <f>'[1]资源-玩家城池建筑时间'!AK83+CV82</f>
        <v>142186235.68389335</v>
      </c>
      <c r="CW83" s="17">
        <f>'[1]资源-玩家城池建筑时间'!AL83+CW82</f>
        <v>156419718.24994737</v>
      </c>
      <c r="CX83" s="17">
        <f>'[1]资源-玩家城池建筑时间'!AM83+CX82</f>
        <v>173220759.13026732</v>
      </c>
      <c r="CY83" s="17">
        <f>'[1]资源-玩家城池建筑时间'!AN83+CY82</f>
        <v>193086458.73665795</v>
      </c>
      <c r="DB83" s="49">
        <v>78</v>
      </c>
      <c r="DC83" s="17">
        <f>'[1]资源-士兵训练时间'!U83</f>
        <v>40326697.642266326</v>
      </c>
      <c r="DD83" s="17">
        <f>'[1]资源-士兵训练时间'!V83</f>
        <v>58396095.86871776</v>
      </c>
      <c r="DE83" s="17">
        <f>'[1]资源-士兵训练时间'!W83</f>
        <v>79922484.333124742</v>
      </c>
      <c r="DF83" s="17">
        <f>'[1]资源-士兵训练时间'!X83</f>
        <v>105742045.51423967</v>
      </c>
      <c r="DG83" s="17">
        <f>'[1]资源-士兵训练时间'!Y83</f>
        <v>156688841.41605622</v>
      </c>
    </row>
    <row r="84" spans="2:111" x14ac:dyDescent="0.15">
      <c r="B84" s="23">
        <v>81</v>
      </c>
      <c r="C84" s="24">
        <f>'[1]资源-钻石'!L84</f>
        <v>1428365.0144228733</v>
      </c>
      <c r="D84" s="24">
        <f>'[1]资源-钻石'!M84</f>
        <v>1758437.7156595697</v>
      </c>
      <c r="E84" s="24">
        <f>'[1]资源-钻石'!N84</f>
        <v>2442313.0144507852</v>
      </c>
      <c r="F84" s="24">
        <f>'[1]资源-钻石'!O84</f>
        <v>4860766.5127215898</v>
      </c>
      <c r="G84" s="24">
        <f>'[1]资源-钻石'!P84</f>
        <v>6535285.7020988502</v>
      </c>
      <c r="I84" s="23">
        <v>81</v>
      </c>
      <c r="J84" s="24">
        <f>'[1]资源-钻石'!T84</f>
        <v>498465.44853105553</v>
      </c>
      <c r="K84" s="24">
        <f>'[1]资源-钻石'!U84</f>
        <v>686911.99338416103</v>
      </c>
      <c r="L84" s="24">
        <f>'[1]资源-钻石'!V84</f>
        <v>1122893.1927225771</v>
      </c>
      <c r="M84" s="24">
        <f>'[1]资源-钻石'!W84</f>
        <v>2886832.511994835</v>
      </c>
      <c r="N84" s="24">
        <f>'[1]资源-钻石'!X84</f>
        <v>6793553.2631943179</v>
      </c>
      <c r="P84" s="28">
        <v>81</v>
      </c>
      <c r="Q84" s="28">
        <f>'[1]功能-行军令'!N84</f>
        <v>12575.204294827385</v>
      </c>
      <c r="R84" s="28">
        <f>'[1]功能-行军令'!O84</f>
        <v>15836.064118078692</v>
      </c>
      <c r="S84" s="28">
        <f>'[1]功能-行军令'!P84</f>
        <v>17533.333974271412</v>
      </c>
      <c r="T84" s="28">
        <f>'[1]功能-行军令'!Q84</f>
        <v>14498.308417714825</v>
      </c>
      <c r="U84" s="28">
        <f>'[1]功能-行军令'!R84</f>
        <v>8019.2624536127059</v>
      </c>
      <c r="V84" s="28">
        <f>'[1]功能-行军令'!S84</f>
        <v>845.20429482738473</v>
      </c>
      <c r="W84" s="28">
        <f>'[1]功能-行军令'!T84</f>
        <v>1023.3691180786918</v>
      </c>
      <c r="X84" s="28">
        <f>'[1]功能-行军令'!U84</f>
        <v>1122.7579742714115</v>
      </c>
      <c r="Y84" s="28">
        <f>'[1]功能-行军令'!V84</f>
        <v>945.56841771482323</v>
      </c>
      <c r="Z84" s="28">
        <f>'[1]功能-行军令'!W84</f>
        <v>523.23145361270599</v>
      </c>
      <c r="AC84" s="30">
        <v>81</v>
      </c>
      <c r="AD84" s="41">
        <f>'[1]功能-实力'!BE85</f>
        <v>6692328</v>
      </c>
      <c r="AE84" s="41">
        <f>'[1]功能-实力'!BF85</f>
        <v>7241904</v>
      </c>
      <c r="AF84" s="41">
        <f>'[1]功能-实力'!BG85</f>
        <v>7928604</v>
      </c>
      <c r="AG84" s="41">
        <f>'[1]功能-实力'!BH85</f>
        <v>9654414</v>
      </c>
      <c r="AH84" s="41">
        <f>'[1]功能-实力'!BI85</f>
        <v>10628376</v>
      </c>
      <c r="AL84" s="37">
        <f>[3]基础状态预期!C94</f>
        <v>13039</v>
      </c>
      <c r="AM84" s="37">
        <f>[3]基础状态预期!D94</f>
        <v>139.08794136138388</v>
      </c>
      <c r="AO84" s="37">
        <f>[3]基础状态预期!F94</f>
        <v>0</v>
      </c>
      <c r="AP84" s="37">
        <f>[3]基础状态预期!G94</f>
        <v>0</v>
      </c>
      <c r="AQ84" s="37">
        <f>[3]基础状态预期!H94</f>
        <v>0</v>
      </c>
      <c r="AR84" s="37">
        <f>[3]基础状态预期!I94</f>
        <v>0</v>
      </c>
      <c r="AS84" s="37">
        <f>[3]基础状态预期!J94</f>
        <v>6</v>
      </c>
      <c r="AW84" s="32">
        <v>78</v>
      </c>
      <c r="AX84" s="32">
        <f>[1]节奏总纲!BJ81</f>
        <v>3.4333333333333313</v>
      </c>
      <c r="AY84" s="32">
        <f>[1]节奏总纲!BK81</f>
        <v>3.501999999999998</v>
      </c>
      <c r="AZ84" s="32">
        <f>[1]节奏总纲!BL81</f>
        <v>3.6393333333333313</v>
      </c>
      <c r="BA84" s="32">
        <f>[1]节奏总纲!BM81</f>
        <v>3.9139999999999975</v>
      </c>
      <c r="BB84" s="32">
        <f>[1]节奏总纲!BN81</f>
        <v>4.806666666666664</v>
      </c>
      <c r="BF84" s="42">
        <f>'[1]功能-行军令'!FZ82</f>
        <v>78</v>
      </c>
      <c r="BG84" s="42">
        <f>'[1]功能-行军令'!GA82*'[1]功能-行军令'!GB82</f>
        <v>354.01149565656362</v>
      </c>
      <c r="BN84" s="49">
        <v>79</v>
      </c>
      <c r="BO84" s="17">
        <f>'[1]资源-木石铜粮'!U84</f>
        <v>11968757307.381092</v>
      </c>
      <c r="BP84" s="17">
        <f>'[1]资源-木石铜粮'!V84</f>
        <v>12853439765.888039</v>
      </c>
      <c r="BQ84" s="17">
        <f>'[1]资源-木石铜粮'!W84</f>
        <v>14240986015.663986</v>
      </c>
      <c r="BR84" s="17">
        <f>'[1]资源-木石铜粮'!X84</f>
        <v>13657407189.72311</v>
      </c>
      <c r="BS84" s="17">
        <f>'[1]资源-木石铜粮'!Y84</f>
        <v>12490755103.092842</v>
      </c>
      <c r="BV84" s="49">
        <v>79</v>
      </c>
      <c r="BW84" s="47">
        <f>'[1]功能-城建'!EQ82+[1]养成buff汇总!H84+'[1]功能-采集'!BS83+[2]产出汇总!AY84+[1]养成buff汇总!GY84</f>
        <v>7719329029.6284895</v>
      </c>
      <c r="BX84" s="47">
        <f>'[1]功能-城建'!ER82+[1]养成buff汇总!I84+'[1]功能-采集'!BT83+[2]产出汇总!AZ84+[1]养成buff汇总!GZ84</f>
        <v>5357514231.3643885</v>
      </c>
      <c r="BY84" s="47">
        <f>'[1]功能-城建'!ES82+[1]养成buff汇总!J84+'[1]功能-采集'!BU83+[2]产出汇总!BA84+[1]养成buff汇总!HA84</f>
        <v>5890584978.9928627</v>
      </c>
      <c r="BZ84" s="47">
        <f>'[1]功能-城建'!ET82+[1]养成buff汇总!K84+'[1]功能-采集'!BV83+[2]产出汇总!BB84+[1]养成buff汇总!HB84</f>
        <v>3526198892.4650393</v>
      </c>
      <c r="CA84" s="47">
        <f>'[1]功能-城建'!EU82+[1]养成buff汇总!L84+'[1]功能-采集'!BW83+[2]产出汇总!BC84+[1]养成buff汇总!HC84</f>
        <v>2779224470.9170961</v>
      </c>
      <c r="CD84" s="49">
        <v>79</v>
      </c>
      <c r="CE84" s="44">
        <f>'[1]资源-铁'!T84</f>
        <v>2260879217.4265919</v>
      </c>
      <c r="CF84" s="44">
        <f>'[1]资源-铁'!U84</f>
        <v>2894930000.2220135</v>
      </c>
      <c r="CG84" s="44">
        <f>'[1]资源-铁'!V84</f>
        <v>3751592950.6248531</v>
      </c>
      <c r="CH84" s="44">
        <f>'[1]资源-铁'!W84</f>
        <v>4832325641.7869835</v>
      </c>
      <c r="CI84" s="44">
        <f>'[1]资源-铁'!X84</f>
        <v>6706305920.5616045</v>
      </c>
      <c r="CL84" s="49">
        <v>79</v>
      </c>
      <c r="CM84" s="44">
        <f>'[1]功能-城建'!HF82+[1]养成buff汇总!S84+'[1]功能-采集'!BX83</f>
        <v>1766822836.3228812</v>
      </c>
      <c r="CN84" s="44">
        <f>'[1]功能-城建'!HG82+[1]养成buff汇总!T84+'[1]功能-采集'!BY83</f>
        <v>1305050618.1926589</v>
      </c>
      <c r="CO84" s="44">
        <f>'[1]功能-城建'!HH82+[1]养成buff汇总!U84+'[1]功能-采集'!BZ83</f>
        <v>1375680005.9278214</v>
      </c>
      <c r="CP84" s="44">
        <f>'[1]功能-城建'!HI82+[1]养成buff汇总!V84+'[1]功能-采集'!CA83</f>
        <v>888410883.20204508</v>
      </c>
      <c r="CQ84" s="44">
        <f>'[1]功能-城建'!HJ82+[1]养成buff汇总!W84+'[1]功能-采集'!CB83</f>
        <v>659399885.31073833</v>
      </c>
      <c r="CT84" s="49">
        <v>79</v>
      </c>
      <c r="CU84" s="17">
        <f>'[1]资源-玩家城池建筑时间'!AJ84+CU83</f>
        <v>140778455.28948638</v>
      </c>
      <c r="CV84" s="17">
        <f>'[1]资源-玩家城池建筑时间'!AK84+CV83</f>
        <v>153533552.65939295</v>
      </c>
      <c r="CW84" s="17">
        <f>'[1]资源-玩家城池建筑时间'!AL84+CW83</f>
        <v>168837373.7118057</v>
      </c>
      <c r="CX84" s="17">
        <f>'[1]资源-玩家城池建筑时间'!AM84+CX83</f>
        <v>186228757.92299795</v>
      </c>
      <c r="CY84" s="17">
        <f>'[1]资源-玩家城池建筑时间'!AN84+CY83</f>
        <v>207832839.09896287</v>
      </c>
      <c r="DB84" s="49">
        <v>79</v>
      </c>
      <c r="DC84" s="17">
        <f>'[1]资源-士兵训练时间'!U84</f>
        <v>43377959.41779241</v>
      </c>
      <c r="DD84" s="17">
        <f>'[1]资源-士兵训练时间'!V84</f>
        <v>62816797.058179118</v>
      </c>
      <c r="DE84" s="17">
        <f>'[1]资源-士兵训练时间'!W84</f>
        <v>85953310.058330789</v>
      </c>
      <c r="DF84" s="17">
        <f>'[1]资源-士兵训练时间'!X84</f>
        <v>113452007.79220781</v>
      </c>
      <c r="DG84" s="17">
        <f>'[1]资源-士兵训练时间'!Y84</f>
        <v>168268803.87175897</v>
      </c>
    </row>
    <row r="85" spans="2:111" x14ac:dyDescent="0.15">
      <c r="B85" s="23">
        <v>82</v>
      </c>
      <c r="C85" s="24">
        <f>'[1]资源-钻石'!L85</f>
        <v>1531078.0903105841</v>
      </c>
      <c r="D85" s="24">
        <f>'[1]资源-钻石'!M85</f>
        <v>1882989.2932667858</v>
      </c>
      <c r="E85" s="24">
        <f>'[1]资源-钻石'!N85</f>
        <v>2615130.648725315</v>
      </c>
      <c r="F85" s="24">
        <f>'[1]资源-钻石'!O85</f>
        <v>5189579.2092402494</v>
      </c>
      <c r="G85" s="24">
        <f>'[1]资源-钻石'!P85</f>
        <v>6976871.9812119817</v>
      </c>
      <c r="I85" s="23">
        <v>82</v>
      </c>
      <c r="J85" s="24">
        <f>'[1]资源-钻石'!T85</f>
        <v>504387.26929810358</v>
      </c>
      <c r="K85" s="24">
        <f>'[1]资源-钻石'!U85</f>
        <v>695105.996227914</v>
      </c>
      <c r="L85" s="24">
        <f>'[1]资源-钻石'!V85</f>
        <v>1136358.5958507054</v>
      </c>
      <c r="M85" s="24">
        <f>'[1]资源-钻石'!W85</f>
        <v>2921664.4554357762</v>
      </c>
      <c r="N85" s="24">
        <f>'[1]资源-钻石'!X85</f>
        <v>6875723.4009793531</v>
      </c>
      <c r="P85" s="28">
        <v>82</v>
      </c>
      <c r="Q85" s="28">
        <f>'[1]功能-行军令'!N85</f>
        <v>13481.07182844507</v>
      </c>
      <c r="R85" s="28">
        <f>'[1]功能-行军令'!O85</f>
        <v>16961.1226009245</v>
      </c>
      <c r="S85" s="28">
        <f>'[1]功能-行军令'!P85</f>
        <v>18780.363937495276</v>
      </c>
      <c r="T85" s="28">
        <f>'[1]功能-行军令'!Q85</f>
        <v>15533.652934359494</v>
      </c>
      <c r="U85" s="28">
        <f>'[1]功能-行军令'!R85</f>
        <v>8572.7894157755472</v>
      </c>
      <c r="V85" s="28">
        <f>'[1]功能-行军令'!S85</f>
        <v>905.86753361768569</v>
      </c>
      <c r="W85" s="28">
        <f>'[1]功能-行军令'!T85</f>
        <v>1125.0584828458086</v>
      </c>
      <c r="X85" s="28">
        <f>'[1]功能-行军令'!U85</f>
        <v>1247.0299632238639</v>
      </c>
      <c r="Y85" s="28">
        <f>'[1]功能-行军令'!V85</f>
        <v>1035.3445166446691</v>
      </c>
      <c r="Z85" s="28">
        <f>'[1]功能-行军令'!W85</f>
        <v>553.5269621628413</v>
      </c>
      <c r="AC85" s="30">
        <v>82</v>
      </c>
      <c r="AD85" s="41">
        <f>'[1]功能-实力'!BE86</f>
        <v>6999150</v>
      </c>
      <c r="AE85" s="41">
        <f>'[1]功能-实力'!BF86</f>
        <v>7590702</v>
      </c>
      <c r="AF85" s="41">
        <f>'[1]功能-实力'!BG86</f>
        <v>8255814</v>
      </c>
      <c r="AG85" s="41">
        <f>'[1]功能-实力'!BH86</f>
        <v>10197942</v>
      </c>
      <c r="AH85" s="41">
        <f>'[1]功能-实力'!BI86</f>
        <v>11253450</v>
      </c>
      <c r="AL85" s="37">
        <f>[3]基础状态预期!C95</f>
        <v>16609</v>
      </c>
      <c r="AM85" s="37">
        <f>[3]基础状态预期!D95</f>
        <v>142.60670974426387</v>
      </c>
      <c r="AO85" s="37">
        <f>[3]基础状态预期!F95</f>
        <v>0</v>
      </c>
      <c r="AP85" s="37">
        <f>[3]基础状态预期!G95</f>
        <v>0</v>
      </c>
      <c r="AQ85" s="37">
        <f>[3]基础状态预期!H95</f>
        <v>0</v>
      </c>
      <c r="AR85" s="37">
        <f>[3]基础状态预期!I95</f>
        <v>0</v>
      </c>
      <c r="AS85" s="37">
        <f>[3]基础状态预期!J95</f>
        <v>6</v>
      </c>
      <c r="AW85" s="32">
        <v>79</v>
      </c>
      <c r="AX85" s="32">
        <f>[1]节奏总纲!BJ82</f>
        <v>3.4666666666666646</v>
      </c>
      <c r="AY85" s="32">
        <f>[1]节奏总纲!BK82</f>
        <v>3.5359999999999978</v>
      </c>
      <c r="AZ85" s="32">
        <f>[1]节奏总纲!BL82</f>
        <v>3.6746666666666647</v>
      </c>
      <c r="BA85" s="32">
        <f>[1]节奏总纲!BM82</f>
        <v>3.9519999999999973</v>
      </c>
      <c r="BB85" s="32">
        <f>[1]节奏总纲!BN82</f>
        <v>4.8533333333333299</v>
      </c>
      <c r="BF85" s="42">
        <f>'[1]功能-行军令'!FZ83</f>
        <v>79</v>
      </c>
      <c r="BG85" s="42">
        <f>'[1]功能-行军令'!GA83*'[1]功能-行军令'!GB83</f>
        <v>361.09172556969492</v>
      </c>
      <c r="BN85" s="49">
        <v>80</v>
      </c>
      <c r="BO85" s="17">
        <f>'[1]资源-木石铜粮'!U85</f>
        <v>13839788338.568573</v>
      </c>
      <c r="BP85" s="17">
        <f>'[1]资源-木石铜粮'!V85</f>
        <v>14217565917.305134</v>
      </c>
      <c r="BQ85" s="17">
        <f>'[1]资源-木石铜粮'!W85</f>
        <v>15692617873.628969</v>
      </c>
      <c r="BR85" s="17">
        <f>'[1]资源-木石铜粮'!X85</f>
        <v>15039976519.018215</v>
      </c>
      <c r="BS85" s="17">
        <f>'[1]资源-木石铜粮'!Y85</f>
        <v>13739238469.557308</v>
      </c>
      <c r="BV85" s="49">
        <v>80</v>
      </c>
      <c r="BW85" s="47">
        <f>'[1]功能-城建'!EQ83+[1]养成buff汇总!H85+'[1]功能-采集'!BS84+[2]产出汇总!AY85+[1]养成buff汇总!GY85</f>
        <v>8576203907.6953421</v>
      </c>
      <c r="BX85" s="47">
        <f>'[1]功能-城建'!ER83+[1]养成buff汇总!I85+'[1]功能-采集'!BT84+[2]产出汇总!AZ85+[1]养成buff汇总!GZ85</f>
        <v>5923940076.1403675</v>
      </c>
      <c r="BY85" s="47">
        <f>'[1]功能-城建'!ES83+[1]养成buff汇总!J85+'[1]功能-采集'!BU84+[2]产出汇总!BA85+[1]养成buff汇总!HA85</f>
        <v>6509331773.6847363</v>
      </c>
      <c r="BZ85" s="47">
        <f>'[1]功能-城建'!ET83+[1]养成buff汇总!K85+'[1]功能-采集'!BV84+[2]产出汇总!BB85+[1]养成buff汇总!HB85</f>
        <v>3876385906.087945</v>
      </c>
      <c r="CA85" s="47">
        <f>'[1]功能-城建'!EU83+[1]养成buff汇总!L85+'[1]功能-采集'!BW84+[2]产出汇总!BC85+[1]养成buff汇总!HC85</f>
        <v>3066974479.6480789</v>
      </c>
      <c r="CD85" s="49">
        <v>80</v>
      </c>
      <c r="CE85" s="44">
        <f>'[1]资源-铁'!T85</f>
        <v>2460714260.2169504</v>
      </c>
      <c r="CF85" s="44">
        <f>'[1]资源-铁'!U85</f>
        <v>3151652098.207283</v>
      </c>
      <c r="CG85" s="44">
        <f>'[1]资源-铁'!V85</f>
        <v>4042008968.8826694</v>
      </c>
      <c r="CH85" s="44">
        <f>'[1]资源-铁'!W85</f>
        <v>5199792393.1211395</v>
      </c>
      <c r="CI85" s="44">
        <f>'[1]资源-铁'!X85</f>
        <v>7186748996.5436821</v>
      </c>
      <c r="CL85" s="49">
        <v>80</v>
      </c>
      <c r="CM85" s="44">
        <f>'[1]功能-城建'!HF83+[1]养成buff汇总!S85+'[1]功能-采集'!BX84</f>
        <v>1976803233.2724028</v>
      </c>
      <c r="CN85" s="44">
        <f>'[1]功能-城建'!HG83+[1]养成buff汇总!T85+'[1]功能-采集'!BY84</f>
        <v>1446439615.908047</v>
      </c>
      <c r="CO85" s="44">
        <f>'[1]功能-城建'!HH83+[1]养成buff汇总!U85+'[1]功能-采集'!BZ84</f>
        <v>1543287426.9759669</v>
      </c>
      <c r="CP85" s="44">
        <f>'[1]功能-城建'!HI83+[1]养成buff汇总!V85+'[1]功能-采集'!CA84</f>
        <v>985707096.0481689</v>
      </c>
      <c r="CQ85" s="44">
        <f>'[1]功能-城建'!HJ83+[1]养成buff汇总!W85+'[1]功能-采集'!CB84</f>
        <v>741548947.22996736</v>
      </c>
      <c r="CT85" s="49">
        <v>80</v>
      </c>
      <c r="CU85" s="17">
        <f>'[1]资源-玩家城池建筑时间'!AJ85+CU84</f>
        <v>151850559.34822467</v>
      </c>
      <c r="CV85" s="17">
        <f>'[1]资源-玩家城池建筑时间'!AK85+CV84</f>
        <v>165682385.15594929</v>
      </c>
      <c r="CW85" s="17">
        <f>'[1]资源-玩家城池建筑时间'!AL85+CW84</f>
        <v>181497156.99651298</v>
      </c>
      <c r="CX85" s="17">
        <f>'[1]资源-玩家城池建筑时间'!AM85+CX84</f>
        <v>200109723.97222081</v>
      </c>
      <c r="CY85" s="17">
        <f>'[1]资源-玩家城池建筑时间'!AN85+CY84</f>
        <v>223248408.98838341</v>
      </c>
      <c r="DB85" s="49">
        <v>80</v>
      </c>
      <c r="DC85" s="17">
        <f>'[1]资源-士兵训练时间'!U85</f>
        <v>46622252.758358493</v>
      </c>
      <c r="DD85" s="17">
        <f>'[1]资源-士兵训练时间'!V85</f>
        <v>67536261.011325687</v>
      </c>
      <c r="DE85" s="17">
        <f>'[1]资源-士兵训练时间'!W85</f>
        <v>92206286.472279727</v>
      </c>
      <c r="DF85" s="17">
        <f>'[1]资源-士兵训练时间'!X85</f>
        <v>121667789.25614685</v>
      </c>
      <c r="DG85" s="17">
        <f>'[1]资源-士兵训练时间'!Y85</f>
        <v>180334974.9274075</v>
      </c>
    </row>
    <row r="86" spans="2:111" x14ac:dyDescent="0.15">
      <c r="B86" s="23">
        <v>83</v>
      </c>
      <c r="C86" s="24">
        <f>'[1]资源-钻石'!L86</f>
        <v>1641163.2393025132</v>
      </c>
      <c r="D86" s="24">
        <f>'[1]资源-钻石'!M86</f>
        <v>2019384.1326050612</v>
      </c>
      <c r="E86" s="24">
        <f>'[1]资源-钻石'!N86</f>
        <v>2806531.0574916052</v>
      </c>
      <c r="F86" s="24">
        <f>'[1]资源-钻石'!O86</f>
        <v>5541784.102400858</v>
      </c>
      <c r="G86" s="24">
        <f>'[1]资源-钻石'!P86</f>
        <v>7466831.2249361221</v>
      </c>
      <c r="I86" s="23">
        <v>83</v>
      </c>
      <c r="J86" s="24">
        <f>'[1]资源-钻石'!T86</f>
        <v>510309.09006515169</v>
      </c>
      <c r="K86" s="24">
        <f>'[1]资源-钻石'!U86</f>
        <v>703299.99907166685</v>
      </c>
      <c r="L86" s="24">
        <f>'[1]资源-钻石'!V86</f>
        <v>1149823.9989788334</v>
      </c>
      <c r="M86" s="24">
        <f>'[1]资源-钻石'!W86</f>
        <v>2956496.3988767168</v>
      </c>
      <c r="N86" s="24">
        <f>'[1]资源-钻石'!X86</f>
        <v>6957893.5387643883</v>
      </c>
      <c r="P86" s="28">
        <v>83</v>
      </c>
      <c r="Q86" s="28">
        <f>'[1]功能-行军令'!N86</f>
        <v>14451.956611549746</v>
      </c>
      <c r="R86" s="28">
        <f>'[1]功能-行军令'!O86</f>
        <v>18193.159753419211</v>
      </c>
      <c r="S86" s="28">
        <f>'[1]功能-行军令'!P86</f>
        <v>20161.484826615306</v>
      </c>
      <c r="T86" s="28">
        <f>'[1]功能-行军令'!Q86</f>
        <v>16642.653312781815</v>
      </c>
      <c r="U86" s="28">
        <f>'[1]功能-行军令'!R86</f>
        <v>9186.9517314772656</v>
      </c>
      <c r="V86" s="28">
        <f>'[1]功能-行军令'!S86</f>
        <v>970.88478310467508</v>
      </c>
      <c r="W86" s="28">
        <f>'[1]功能-行军令'!T86</f>
        <v>1232.0371524947113</v>
      </c>
      <c r="X86" s="28">
        <f>'[1]功能-行军令'!U86</f>
        <v>1381.1208891200295</v>
      </c>
      <c r="Y86" s="28">
        <f>'[1]功能-行军令'!V86</f>
        <v>1109.0003784223209</v>
      </c>
      <c r="Z86" s="28">
        <f>'[1]功能-行军令'!W86</f>
        <v>614.1623157017184</v>
      </c>
      <c r="AC86" s="30">
        <v>83</v>
      </c>
      <c r="AD86" s="41">
        <f>'[1]功能-实力'!BE87</f>
        <v>7329186</v>
      </c>
      <c r="AE86" s="41">
        <f>'[1]功能-实力'!BF87</f>
        <v>7901970</v>
      </c>
      <c r="AF86" s="41">
        <f>'[1]功能-实力'!BG87</f>
        <v>8592318</v>
      </c>
      <c r="AG86" s="41">
        <f>'[1]功能-实力'!BH87</f>
        <v>10690320</v>
      </c>
      <c r="AH86" s="41">
        <f>'[1]功能-实力'!BI87</f>
        <v>11750520</v>
      </c>
      <c r="AL86" s="37">
        <f>[3]基础状态预期!C96</f>
        <v>21148</v>
      </c>
      <c r="AM86" s="37">
        <f>[3]基础状态预期!D96</f>
        <v>146.07830147206653</v>
      </c>
      <c r="AO86" s="37">
        <f>[3]基础状态预期!F96</f>
        <v>0</v>
      </c>
      <c r="AP86" s="37">
        <f>[3]基础状态预期!G96</f>
        <v>0</v>
      </c>
      <c r="AQ86" s="37">
        <f>[3]基础状态预期!H96</f>
        <v>0</v>
      </c>
      <c r="AR86" s="37">
        <f>[3]基础状态预期!I96</f>
        <v>0</v>
      </c>
      <c r="AS86" s="37">
        <f>[3]基础状态预期!J96</f>
        <v>6</v>
      </c>
      <c r="AW86" s="40">
        <v>80</v>
      </c>
      <c r="AX86" s="32">
        <f>[1]节奏总纲!BJ83</f>
        <v>3.4999999999999978</v>
      </c>
      <c r="AY86" s="32">
        <f>[1]节奏总纲!BK83</f>
        <v>3.5699999999999976</v>
      </c>
      <c r="AZ86" s="32">
        <f>[1]节奏总纲!BL83</f>
        <v>3.7099999999999977</v>
      </c>
      <c r="BA86" s="32">
        <f>[1]节奏总纲!BM83</f>
        <v>3.9899999999999971</v>
      </c>
      <c r="BB86" s="32">
        <f>[1]节奏总纲!BN83</f>
        <v>4.8999999999999968</v>
      </c>
      <c r="BF86" s="42">
        <f>'[1]功能-行军令'!FZ84</f>
        <v>80</v>
      </c>
      <c r="BG86" s="42">
        <f>'[1]功能-行军令'!GA84*'[1]功能-行军令'!GB84</f>
        <v>368.31356008108878</v>
      </c>
      <c r="BN86" s="49">
        <v>81</v>
      </c>
      <c r="BO86" s="17">
        <f>'[1]资源-木石铜粮'!U86</f>
        <v>15894627528.947956</v>
      </c>
      <c r="BP86" s="17">
        <f>'[1]资源-木石铜粮'!V86</f>
        <v>16347352839.105719</v>
      </c>
      <c r="BQ86" s="17">
        <f>'[1]资源-木石铜粮'!W86</f>
        <v>17278609134.94421</v>
      </c>
      <c r="BR86" s="17">
        <f>'[1]资源-木石铜粮'!X86</f>
        <v>16594123576.328705</v>
      </c>
      <c r="BS86" s="17">
        <f>'[1]资源-木石铜粮'!Y86</f>
        <v>15157485599.074478</v>
      </c>
      <c r="BV86" s="49">
        <v>81</v>
      </c>
      <c r="BW86" s="47">
        <f>'[1]功能-城建'!EQ84+[1]养成buff汇总!H86+'[1]功能-采集'!BS85+[2]产出汇总!AY86+[1]养成buff汇总!GY86</f>
        <v>9515020458.3762264</v>
      </c>
      <c r="BX86" s="47">
        <f>'[1]功能-城建'!ER84+[1]养成buff汇总!I86+'[1]功能-采集'!BT85+[2]产出汇总!AZ86+[1]养成buff汇总!GZ86</f>
        <v>6514941405.3566694</v>
      </c>
      <c r="BY86" s="47">
        <f>'[1]功能-城建'!ES84+[1]养成buff汇总!J86+'[1]功能-采集'!BU85+[2]产出汇总!BA86+[1]养成buff汇总!HA86</f>
        <v>7178606379.0278511</v>
      </c>
      <c r="BZ86" s="47">
        <f>'[1]功能-城建'!ET84+[1]养成buff汇总!K86+'[1]功能-采集'!BV85+[2]产出汇总!BB86+[1]养成buff汇总!HB86</f>
        <v>4265758835.3341017</v>
      </c>
      <c r="CA86" s="47">
        <f>'[1]功能-城建'!EU84+[1]养成buff汇总!L86+'[1]功能-采集'!BW85+[2]产出汇总!BC86+[1]养成buff汇总!HC86</f>
        <v>3388432960.1264811</v>
      </c>
      <c r="CD86" s="49">
        <v>81</v>
      </c>
      <c r="CE86" s="44">
        <f>'[1]资源-铁'!T86</f>
        <v>2676173812.2562828</v>
      </c>
      <c r="CF86" s="44">
        <f>'[1]资源-铁'!U86</f>
        <v>3402015230.275897</v>
      </c>
      <c r="CG86" s="44">
        <f>'[1]资源-铁'!V86</f>
        <v>4350884477.230423</v>
      </c>
      <c r="CH86" s="44">
        <f>'[1]资源-铁'!W86</f>
        <v>5584591642.8429832</v>
      </c>
      <c r="CI86" s="44">
        <f>'[1]资源-铁'!X86</f>
        <v>7697945198.0437889</v>
      </c>
      <c r="CL86" s="49">
        <v>81</v>
      </c>
      <c r="CM86" s="44">
        <f>'[1]功能-城建'!HF84+[1]养成buff汇总!S86+'[1]功能-采集'!BX85</f>
        <v>2208905044.8072853</v>
      </c>
      <c r="CN86" s="44">
        <f>'[1]功能-城建'!HG84+[1]养成buff汇总!T86+'[1]功能-采集'!BY85</f>
        <v>1604727326.1890392</v>
      </c>
      <c r="CO86" s="44">
        <f>'[1]功能-城建'!HH84+[1]养成buff汇总!U86+'[1]功能-采集'!BZ85</f>
        <v>1725513676.7268515</v>
      </c>
      <c r="CP86" s="44">
        <f>'[1]功能-城建'!HI84+[1]养成buff汇总!V86+'[1]功能-采集'!CA85</f>
        <v>1101759520.1236668</v>
      </c>
      <c r="CQ86" s="44">
        <f>'[1]功能-城建'!HJ84+[1]养成buff汇总!W86+'[1]功能-采集'!CB85</f>
        <v>834079704.86212218</v>
      </c>
      <c r="CT86" s="49">
        <v>81</v>
      </c>
      <c r="CU86" s="17">
        <f>'[1]资源-玩家城池建筑时间'!AJ86+CU85</f>
        <v>163750872.18607444</v>
      </c>
      <c r="CV86" s="17">
        <f>'[1]资源-玩家城池建筑时间'!AK86+CV85</f>
        <v>178150546.48617321</v>
      </c>
      <c r="CW86" s="17">
        <f>'[1]资源-玩家城池建筑时间'!AL86+CW85</f>
        <v>194961624.35301048</v>
      </c>
      <c r="CX86" s="17">
        <f>'[1]资源-玩家城池建筑时间'!AM86+CX85</f>
        <v>215310776.81427744</v>
      </c>
      <c r="CY86" s="17">
        <f>'[1]资源-玩家城池建筑时间'!AN86+CY85</f>
        <v>240170556.76978144</v>
      </c>
      <c r="DB86" s="49">
        <v>81</v>
      </c>
      <c r="DC86" s="17">
        <f>'[1]资源-士兵训练时间'!U86</f>
        <v>50089443.792063944</v>
      </c>
      <c r="DD86" s="17">
        <f>'[1]资源-士兵训练时间'!V86</f>
        <v>72442650.990632743</v>
      </c>
      <c r="DE86" s="17">
        <f>'[1]资源-士兵训练时间'!W86</f>
        <v>98856716.018594891</v>
      </c>
      <c r="DF86" s="17">
        <f>'[1]资源-士兵训练时间'!X86</f>
        <v>130591486.45647308</v>
      </c>
      <c r="DG86" s="17">
        <f>'[1]资源-士兵训练时间'!Y86</f>
        <v>192686544.37218499</v>
      </c>
    </row>
    <row r="87" spans="2:111" x14ac:dyDescent="0.15">
      <c r="B87" s="23">
        <v>84</v>
      </c>
      <c r="C87" s="24">
        <f>'[1]资源-钻石'!L87</f>
        <v>1759149.5806114119</v>
      </c>
      <c r="D87" s="24">
        <f>'[1]资源-钻石'!M87</f>
        <v>2165652.6621934753</v>
      </c>
      <c r="E87" s="24">
        <f>'[1]资源-钻石'!N87</f>
        <v>3004734.6410850612</v>
      </c>
      <c r="F87" s="24">
        <f>'[1]资源-钻石'!O87</f>
        <v>5914638.4453591183</v>
      </c>
      <c r="G87" s="24">
        <f>'[1]资源-钻石'!P87</f>
        <v>7984127.7716038879</v>
      </c>
      <c r="I87" s="23">
        <v>84</v>
      </c>
      <c r="J87" s="24">
        <f>'[1]资源-钻石'!T87</f>
        <v>516230.91083219979</v>
      </c>
      <c r="K87" s="24">
        <f>'[1]资源-钻石'!U87</f>
        <v>711494.00191541971</v>
      </c>
      <c r="L87" s="24">
        <f>'[1]资源-钻石'!V87</f>
        <v>1163285.917268909</v>
      </c>
      <c r="M87" s="24">
        <f>'[1]资源-钻石'!W87</f>
        <v>2991328.342317658</v>
      </c>
      <c r="N87" s="24">
        <f>'[1]资源-钻石'!X87</f>
        <v>7040063.6765494235</v>
      </c>
      <c r="P87" s="28">
        <v>84</v>
      </c>
      <c r="Q87" s="28">
        <f>'[1]功能-行军令'!N87</f>
        <v>15492.5251572616</v>
      </c>
      <c r="R87" s="28">
        <f>'[1]功能-行军令'!O87</f>
        <v>19514.384688086713</v>
      </c>
      <c r="S87" s="28">
        <f>'[1]功能-行军令'!P87</f>
        <v>21591.696555857881</v>
      </c>
      <c r="T87" s="28">
        <f>'[1]功能-行军令'!Q87</f>
        <v>17816.673366070961</v>
      </c>
      <c r="U87" s="28">
        <f>'[1]功能-行军令'!R87</f>
        <v>9851.8988239177452</v>
      </c>
      <c r="V87" s="28">
        <f>'[1]功能-行军令'!S87</f>
        <v>1040.5685457118543</v>
      </c>
      <c r="W87" s="28">
        <f>'[1]功能-行军令'!T87</f>
        <v>1321.2249346675017</v>
      </c>
      <c r="X87" s="28">
        <f>'[1]功能-行军令'!U87</f>
        <v>1430.2117292425755</v>
      </c>
      <c r="Y87" s="28">
        <f>'[1]功能-行军令'!V87</f>
        <v>1174.0200532891467</v>
      </c>
      <c r="Z87" s="28">
        <f>'[1]功能-行军令'!W87</f>
        <v>664.94709244047954</v>
      </c>
      <c r="AC87" s="30">
        <v>84</v>
      </c>
      <c r="AD87" s="41">
        <f>'[1]功能-实力'!BE88</f>
        <v>7676808</v>
      </c>
      <c r="AE87" s="41">
        <f>'[1]功能-实力'!BF88</f>
        <v>8215896</v>
      </c>
      <c r="AF87" s="41">
        <f>'[1]功能-实力'!BG88</f>
        <v>8935326</v>
      </c>
      <c r="AG87" s="41">
        <f>'[1]功能-实力'!BH88</f>
        <v>11169828</v>
      </c>
      <c r="AH87" s="41">
        <f>'[1]功能-实力'!BI88</f>
        <v>12248010</v>
      </c>
      <c r="AL87" s="37">
        <f>[3]基础状态预期!C97</f>
        <v>26962</v>
      </c>
      <c r="AM87" s="37">
        <f>[3]基础状态预期!D97</f>
        <v>149.61701338734093</v>
      </c>
      <c r="AO87" s="37">
        <f>[3]基础状态预期!F97</f>
        <v>0</v>
      </c>
      <c r="AP87" s="37">
        <f>[3]基础状态预期!G97</f>
        <v>0</v>
      </c>
      <c r="AQ87" s="37">
        <f>[3]基础状态预期!H97</f>
        <v>0</v>
      </c>
      <c r="AR87" s="37">
        <f>[3]基础状态预期!I97</f>
        <v>0</v>
      </c>
      <c r="AS87" s="37">
        <f>[3]基础状态预期!J97</f>
        <v>6</v>
      </c>
      <c r="AW87" s="32">
        <v>81</v>
      </c>
      <c r="AX87" s="32">
        <f>[1]节奏总纲!BJ84</f>
        <v>3.4999999999999978</v>
      </c>
      <c r="AY87" s="32">
        <f>[1]节奏总纲!BK84</f>
        <v>3.5699999999999976</v>
      </c>
      <c r="AZ87" s="32">
        <f>[1]节奏总纲!BL84</f>
        <v>3.7099999999999977</v>
      </c>
      <c r="BA87" s="32">
        <f>[1]节奏总纲!BM84</f>
        <v>3.9899999999999971</v>
      </c>
      <c r="BB87" s="32">
        <f>[1]节奏总纲!BN84</f>
        <v>4.8999999999999968</v>
      </c>
      <c r="BF87" s="42">
        <f>'[1]功能-行军令'!FZ85</f>
        <v>81</v>
      </c>
      <c r="BG87" s="42">
        <f>'[1]功能-行军令'!GA85*'[1]功能-行军令'!GB85</f>
        <v>375.67983128271061</v>
      </c>
      <c r="BN87" s="49">
        <v>82</v>
      </c>
      <c r="BO87" s="17">
        <f>'[1]资源-木石铜粮'!U87</f>
        <v>18131141059.349968</v>
      </c>
      <c r="BP87" s="17">
        <f>'[1]资源-木石铜粮'!V87</f>
        <v>18955420473.102924</v>
      </c>
      <c r="BQ87" s="17">
        <f>'[1]资源-木石铜粮'!W87</f>
        <v>19059010014.128902</v>
      </c>
      <c r="BR87" s="17">
        <f>'[1]资源-木石铜粮'!X87</f>
        <v>18313860658.446373</v>
      </c>
      <c r="BS87" s="17">
        <f>'[1]资源-木石铜粮'!Y87</f>
        <v>16709282695.619137</v>
      </c>
      <c r="BV87" s="49">
        <v>82</v>
      </c>
      <c r="BW87" s="47">
        <f>'[1]功能-城建'!EQ85+[1]养成buff汇总!H87+'[1]功能-采集'!BS86+[2]产出汇总!AY87+[1]养成buff汇总!GY87</f>
        <v>10548613048.833216</v>
      </c>
      <c r="BX87" s="47">
        <f>'[1]功能-城建'!ER85+[1]养成buff汇总!I87+'[1]功能-采集'!BT86+[2]产出汇总!AZ87+[1]养成buff汇总!GZ87</f>
        <v>7176112789.4103851</v>
      </c>
      <c r="BY87" s="47">
        <f>'[1]功能-城建'!ES85+[1]养成buff汇总!J87+'[1]功能-采集'!BU86+[2]产出汇总!BA87+[1]养成buff汇总!HA87</f>
        <v>7943595251.5988283</v>
      </c>
      <c r="BZ87" s="47">
        <f>'[1]功能-城建'!ET85+[1]养成buff汇总!K87+'[1]功能-采集'!BV86+[2]产出汇总!BB87+[1]养成buff汇总!HB87</f>
        <v>4697058644.2219543</v>
      </c>
      <c r="CA87" s="47">
        <f>'[1]功能-城建'!EU85+[1]养成buff汇总!L87+'[1]功能-采集'!BW86+[2]产出汇总!BC87+[1]养成buff汇总!HC87</f>
        <v>3737097252.4479709</v>
      </c>
      <c r="CD87" s="49">
        <v>82</v>
      </c>
      <c r="CE87" s="44">
        <f>'[1]资源-铁'!T87</f>
        <v>2900550820.5476146</v>
      </c>
      <c r="CF87" s="44">
        <f>'[1]资源-铁'!U87</f>
        <v>3673334366.5940571</v>
      </c>
      <c r="CG87" s="44">
        <f>'[1]资源-铁'!V87</f>
        <v>4683820848.7409067</v>
      </c>
      <c r="CH87" s="44">
        <f>'[1]资源-铁'!W87</f>
        <v>6005925293.3167515</v>
      </c>
      <c r="CI87" s="44">
        <f>'[1]资源-铁'!X87</f>
        <v>8222014760.8006039</v>
      </c>
      <c r="CL87" s="49">
        <v>82</v>
      </c>
      <c r="CM87" s="44">
        <f>'[1]功能-城建'!HF85+[1]养成buff汇总!S87+'[1]功能-采集'!BX86</f>
        <v>2482730701.0856814</v>
      </c>
      <c r="CN87" s="44">
        <f>'[1]功能-城建'!HG85+[1]养成buff汇总!T87+'[1]功能-采集'!BY86</f>
        <v>1785231151.9587867</v>
      </c>
      <c r="CO87" s="44">
        <f>'[1]功能-城建'!HH85+[1]养成buff汇总!U87+'[1]功能-采集'!BZ86</f>
        <v>1951011795.3934693</v>
      </c>
      <c r="CP87" s="44">
        <f>'[1]功能-城建'!HI85+[1]养成buff汇总!V87+'[1]功能-采集'!CA86</f>
        <v>1230119473.7135134</v>
      </c>
      <c r="CQ87" s="44">
        <f>'[1]功能-城建'!HJ85+[1]养成buff汇总!W87+'[1]功能-采集'!CB86</f>
        <v>935365761.41951513</v>
      </c>
      <c r="CT87" s="49">
        <v>82</v>
      </c>
      <c r="CU87" s="17">
        <f>'[1]资源-玩家城池建筑时间'!AJ87+CU86</f>
        <v>176590742.65930369</v>
      </c>
      <c r="CV87" s="17">
        <f>'[1]资源-玩家城池建筑时间'!AK87+CV86</f>
        <v>191894319.72486264</v>
      </c>
      <c r="CW87" s="17">
        <f>'[1]资源-玩家城池建筑时间'!AL87+CW86</f>
        <v>210053171.97133651</v>
      </c>
      <c r="CX87" s="17">
        <f>'[1]资源-玩家城池建筑时间'!AM87+CX86</f>
        <v>231955079.23851058</v>
      </c>
      <c r="CY87" s="17">
        <f>'[1]资源-玩家城池建筑时间'!AN87+CY86</f>
        <v>258198922.67395872</v>
      </c>
      <c r="DB87" s="49">
        <v>82</v>
      </c>
      <c r="DC87" s="17">
        <f>'[1]资源-士兵训练时间'!U87</f>
        <v>53869733.100664929</v>
      </c>
      <c r="DD87" s="17">
        <f>'[1]资源-士兵训练时间'!V87</f>
        <v>77873359.429631084</v>
      </c>
      <c r="DE87" s="17">
        <f>'[1]资源-士兵训练时间'!W87</f>
        <v>106254197.9201908</v>
      </c>
      <c r="DF87" s="17">
        <f>'[1]资源-士兵训练时间'!X87</f>
        <v>140362435.64583313</v>
      </c>
      <c r="DG87" s="17">
        <f>'[1]资源-士兵训练时间'!Y87</f>
        <v>204712095.64902887</v>
      </c>
    </row>
    <row r="88" spans="2:111" x14ac:dyDescent="0.15">
      <c r="B88" s="23">
        <v>85</v>
      </c>
      <c r="C88" s="24">
        <f>'[1]资源-钻石'!L88</f>
        <v>1877135.9219203107</v>
      </c>
      <c r="D88" s="24">
        <f>'[1]资源-钻石'!M88</f>
        <v>2317421.4650490712</v>
      </c>
      <c r="E88" s="24">
        <f>'[1]资源-钻石'!N88</f>
        <v>3214672.7773491256</v>
      </c>
      <c r="F88" s="24">
        <f>'[1]资源-钻石'!O88</f>
        <v>6333269.0463450383</v>
      </c>
      <c r="G88" s="24">
        <f>'[1]资源-钻石'!P88</f>
        <v>8533848.5498131793</v>
      </c>
      <c r="I88" s="23">
        <v>85</v>
      </c>
      <c r="J88" s="24">
        <f>'[1]资源-钻石'!T88</f>
        <v>522152.73159924784</v>
      </c>
      <c r="K88" s="24">
        <f>'[1]资源-钻石'!U88</f>
        <v>719688.00475917268</v>
      </c>
      <c r="L88" s="24">
        <f>'[1]资源-钻石'!V88</f>
        <v>1176718.2721185032</v>
      </c>
      <c r="M88" s="24">
        <f>'[1]资源-钻石'!W88</f>
        <v>3026160.2857585992</v>
      </c>
      <c r="N88" s="24">
        <f>'[1]资源-钻石'!X88</f>
        <v>7122233.8143344587</v>
      </c>
      <c r="P88" s="28">
        <v>85</v>
      </c>
      <c r="Q88" s="28">
        <f>'[1]功能-行军令'!N88</f>
        <v>16607.778910505567</v>
      </c>
      <c r="R88" s="28">
        <f>'[1]功能-行军令'!O88</f>
        <v>20885.292888242257</v>
      </c>
      <c r="S88" s="28">
        <f>'[1]功能-行军令'!P88</f>
        <v>23106.583317522378</v>
      </c>
      <c r="T88" s="28">
        <f>'[1]功能-行军令'!Q88</f>
        <v>19114.109371304035</v>
      </c>
      <c r="U88" s="28">
        <f>'[1]功能-行军令'!R88</f>
        <v>10561.103232393669</v>
      </c>
      <c r="V88" s="28">
        <f>'[1]功能-行军令'!S88</f>
        <v>1115.2537532439674</v>
      </c>
      <c r="W88" s="28">
        <f>'[1]功能-行军令'!T88</f>
        <v>1370.9082001555435</v>
      </c>
      <c r="X88" s="28">
        <f>'[1]功能-行军令'!U88</f>
        <v>1514.8867616644966</v>
      </c>
      <c r="Y88" s="28">
        <f>'[1]功能-行军令'!V88</f>
        <v>1297.436005233074</v>
      </c>
      <c r="Z88" s="28">
        <f>'[1]功能-行军令'!W88</f>
        <v>709.20440847592363</v>
      </c>
      <c r="AC88" s="30">
        <v>85</v>
      </c>
      <c r="AD88" s="41">
        <f>'[1]功能-实力'!BE89</f>
        <v>7984044</v>
      </c>
      <c r="AE88" s="41">
        <f>'[1]功能-实力'!BF89</f>
        <v>8523672</v>
      </c>
      <c r="AF88" s="41">
        <f>'[1]功能-实力'!BG89</f>
        <v>9298392</v>
      </c>
      <c r="AG88" s="41">
        <f>'[1]功能-实力'!BH89</f>
        <v>11567976</v>
      </c>
      <c r="AH88" s="41">
        <f>'[1]功能-实力'!BI89</f>
        <v>12730410</v>
      </c>
      <c r="AL88" s="37">
        <f>[3]基础状态预期!C98</f>
        <v>34357</v>
      </c>
      <c r="AM88" s="37">
        <f>[3]基础状态预期!D98</f>
        <v>153.01012120353457</v>
      </c>
      <c r="AO88" s="37">
        <f>[3]基础状态预期!F98</f>
        <v>0</v>
      </c>
      <c r="AP88" s="37">
        <f>[3]基础状态预期!G98</f>
        <v>0</v>
      </c>
      <c r="AQ88" s="37">
        <f>[3]基础状态预期!H98</f>
        <v>0</v>
      </c>
      <c r="AR88" s="37">
        <f>[3]基础状态预期!I98</f>
        <v>0</v>
      </c>
      <c r="AS88" s="37">
        <f>[3]基础状态预期!J98</f>
        <v>6</v>
      </c>
      <c r="AW88" s="32">
        <v>82</v>
      </c>
      <c r="AX88" s="32">
        <f>[1]节奏总纲!BJ85</f>
        <v>3.4999999999999978</v>
      </c>
      <c r="AY88" s="32">
        <f>[1]节奏总纲!BK85</f>
        <v>3.5699999999999976</v>
      </c>
      <c r="AZ88" s="32">
        <f>[1]节奏总纲!BL85</f>
        <v>3.7099999999999977</v>
      </c>
      <c r="BA88" s="32">
        <f>[1]节奏总纲!BM85</f>
        <v>3.9899999999999971</v>
      </c>
      <c r="BB88" s="32">
        <f>[1]节奏总纲!BN85</f>
        <v>4.8999999999999968</v>
      </c>
      <c r="BF88" s="42">
        <f>'[1]功能-行军令'!FZ86</f>
        <v>82</v>
      </c>
      <c r="BG88" s="42">
        <f>'[1]功能-行军令'!GA86*'[1]功能-行军令'!GB86</f>
        <v>383.19342790836481</v>
      </c>
      <c r="BN88" s="49">
        <v>83</v>
      </c>
      <c r="BO88" s="17">
        <f>'[1]资源-木石铜粮'!U88</f>
        <v>20562525235.866047</v>
      </c>
      <c r="BP88" s="17">
        <f>'[1]资源-木石铜粮'!V88</f>
        <v>21841204677.165714</v>
      </c>
      <c r="BQ88" s="17">
        <f>'[1]资源-木石铜粮'!W88</f>
        <v>21045620371.990337</v>
      </c>
      <c r="BR88" s="17">
        <f>'[1]资源-木石铜粮'!X88</f>
        <v>20437491179.046459</v>
      </c>
      <c r="BS88" s="17">
        <f>'[1]资源-木石铜粮'!Y88</f>
        <v>18386538103.119843</v>
      </c>
      <c r="BV88" s="49">
        <v>83</v>
      </c>
      <c r="BW88" s="47">
        <f>'[1]功能-城建'!EQ86+[1]养成buff汇总!H88+'[1]功能-采集'!BS87+[2]产出汇总!AY88+[1]养成buff汇总!GY88</f>
        <v>11682232469.023746</v>
      </c>
      <c r="BX88" s="47">
        <f>'[1]功能-城建'!ER86+[1]养成buff汇总!I88+'[1]功能-采集'!BT87+[2]产出汇总!AZ88+[1]养成buff汇总!GZ88</f>
        <v>7915901590.4970093</v>
      </c>
      <c r="BY88" s="47">
        <f>'[1]功能-城建'!ES86+[1]养成buff汇总!J88+'[1]功能-采集'!BU87+[2]产出汇总!BA88+[1]养成buff汇总!HA88</f>
        <v>8806214051.9278049</v>
      </c>
      <c r="BZ88" s="47">
        <f>'[1]功能-城建'!ET86+[1]养成buff汇总!K88+'[1]功能-采集'!BV87+[2]产出汇总!BB88+[1]养成buff汇总!HB88</f>
        <v>5169055738.7309265</v>
      </c>
      <c r="CA88" s="47">
        <f>'[1]功能-城建'!EU86+[1]养成buff汇总!L88+'[1]功能-采集'!BW87+[2]产出汇总!BC88+[1]养成buff汇总!HC88</f>
        <v>4131382672.6531353</v>
      </c>
      <c r="CD88" s="49">
        <v>83</v>
      </c>
      <c r="CE88" s="44">
        <f>'[1]资源-铁'!T88</f>
        <v>3136550058.9784422</v>
      </c>
      <c r="CF88" s="44">
        <f>'[1]资源-铁'!U88</f>
        <v>3964986959.3407526</v>
      </c>
      <c r="CG88" s="44">
        <f>'[1]资源-铁'!V88</f>
        <v>5049623287.1045198</v>
      </c>
      <c r="CH88" s="44">
        <f>'[1]资源-铁'!W88</f>
        <v>6435420897.0337791</v>
      </c>
      <c r="CI88" s="44">
        <f>'[1]资源-铁'!X88</f>
        <v>9080138249.7358551</v>
      </c>
      <c r="CL88" s="49">
        <v>83</v>
      </c>
      <c r="CM88" s="44">
        <f>'[1]功能-城建'!HF86+[1]养成buff汇总!S88+'[1]功能-采集'!BX87</f>
        <v>2796582339.2123218</v>
      </c>
      <c r="CN88" s="44">
        <f>'[1]功能-城建'!HG86+[1]养成buff汇总!T88+'[1]功能-采集'!BY87</f>
        <v>1997644848.5250599</v>
      </c>
      <c r="CO88" s="44">
        <f>'[1]功能-城建'!HH86+[1]养成buff汇总!U88+'[1]功能-采集'!BZ87</f>
        <v>2212258073.7335768</v>
      </c>
      <c r="CP88" s="44">
        <f>'[1]功能-城建'!HI86+[1]养成buff汇总!V88+'[1]功能-采集'!CA87</f>
        <v>1371773934.3562117</v>
      </c>
      <c r="CQ88" s="44">
        <f>'[1]功能-城建'!HJ86+[1]养成buff汇总!W88+'[1]功能-采集'!CB87</f>
        <v>1050932268.0034077</v>
      </c>
      <c r="CT88" s="49">
        <v>83</v>
      </c>
      <c r="CU88" s="17">
        <f>'[1]资源-玩家城池建筑时间'!AJ88+CU87</f>
        <v>190410662.8443048</v>
      </c>
      <c r="CV88" s="17">
        <f>'[1]资源-玩家城池建筑时间'!AK88+CV87</f>
        <v>207047436.44566247</v>
      </c>
      <c r="CW88" s="17">
        <f>'[1]资源-玩家城池建筑时间'!AL88+CW87</f>
        <v>226807112.81835747</v>
      </c>
      <c r="CX88" s="17">
        <f>'[1]资源-玩家城池建筑时间'!AM88+CX87</f>
        <v>250008783.89599133</v>
      </c>
      <c r="CY88" s="17">
        <f>'[1]资源-玩家城池建筑时间'!AN88+CY87</f>
        <v>278270731.99108791</v>
      </c>
      <c r="DB88" s="49">
        <v>83</v>
      </c>
      <c r="DC88" s="17">
        <f>'[1]资源-士兵训练时间'!U88</f>
        <v>57965330.932763204</v>
      </c>
      <c r="DD88" s="17">
        <f>'[1]资源-士兵训练时间'!V88</f>
        <v>83827024.303062081</v>
      </c>
      <c r="DE88" s="17">
        <f>'[1]资源-士兵训练时间'!W88</f>
        <v>114450291.12200244</v>
      </c>
      <c r="DF88" s="17">
        <f>'[1]资源-士兵训练时间'!X88</f>
        <v>149436739.74496478</v>
      </c>
      <c r="DG88" s="17">
        <f>'[1]资源-士兵训练时间'!Y88</f>
        <v>219193257.96378937</v>
      </c>
    </row>
    <row r="89" spans="2:111" x14ac:dyDescent="0.15">
      <c r="B89" s="23">
        <v>86</v>
      </c>
      <c r="C89" s="24">
        <f>'[1]资源-钻石'!L89</f>
        <v>1995122.2632292095</v>
      </c>
      <c r="D89" s="24">
        <f>'[1]资源-钻石'!M89</f>
        <v>2482683.3510021539</v>
      </c>
      <c r="E89" s="24">
        <f>'[1]资源-钻石'!N89</f>
        <v>3445629.6016683071</v>
      </c>
      <c r="F89" s="24">
        <f>'[1]资源-钻石'!O89</f>
        <v>6801679.5233639833</v>
      </c>
      <c r="G89" s="24">
        <f>'[1]资源-钻石'!P89</f>
        <v>9045777.0500555821</v>
      </c>
      <c r="I89" s="23">
        <v>86</v>
      </c>
      <c r="J89" s="24">
        <f>'[1]资源-钻石'!T89</f>
        <v>528074.55236629595</v>
      </c>
      <c r="K89" s="24">
        <f>'[1]资源-钻石'!U89</f>
        <v>727882.00760292553</v>
      </c>
      <c r="L89" s="24">
        <f>'[1]资源-钻石'!V89</f>
        <v>1190150.6269680972</v>
      </c>
      <c r="M89" s="24">
        <f>'[1]资源-钻石'!W89</f>
        <v>3060992.2291995399</v>
      </c>
      <c r="N89" s="24">
        <f>'[1]资源-钻石'!X89</f>
        <v>7204403.9521194939</v>
      </c>
      <c r="P89" s="28">
        <v>86</v>
      </c>
      <c r="Q89" s="28">
        <f>'[1]功能-行军令'!N89</f>
        <v>17803.078287226446</v>
      </c>
      <c r="R89" s="28">
        <f>'[1]功能-行军令'!O89</f>
        <v>22378.082383602617</v>
      </c>
      <c r="S89" s="28">
        <f>'[1]功能-行军令'!P89</f>
        <v>24773.138246052011</v>
      </c>
      <c r="T89" s="28">
        <f>'[1]功能-行军令'!Q89</f>
        <v>20537.631112144427</v>
      </c>
      <c r="U89" s="28">
        <f>'[1]功能-行军令'!R89</f>
        <v>11221.551160847546</v>
      </c>
      <c r="V89" s="28">
        <f>'[1]功能-行军令'!S89</f>
        <v>1195.2993767208791</v>
      </c>
      <c r="W89" s="28">
        <f>'[1]功能-行军令'!T89</f>
        <v>1492.7894953603609</v>
      </c>
      <c r="X89" s="28">
        <f>'[1]功能-行军令'!U89</f>
        <v>1666.5549285296329</v>
      </c>
      <c r="Y89" s="28">
        <f>'[1]功能-行军令'!V89</f>
        <v>1423.5217408403914</v>
      </c>
      <c r="Z89" s="28">
        <f>'[1]功能-行军令'!W89</f>
        <v>660.44792845387747</v>
      </c>
      <c r="AC89" s="30">
        <v>86</v>
      </c>
      <c r="AD89" s="41">
        <f>'[1]功能-实力'!BE90</f>
        <v>8304828</v>
      </c>
      <c r="AE89" s="41">
        <f>'[1]功能-实力'!BF90</f>
        <v>8847678</v>
      </c>
      <c r="AF89" s="41">
        <f>'[1]功能-实力'!BG90</f>
        <v>9687600</v>
      </c>
      <c r="AG89" s="41">
        <f>'[1]功能-实力'!BH90</f>
        <v>12031170</v>
      </c>
      <c r="AH89" s="41">
        <f>'[1]功能-实力'!BI90</f>
        <v>13064172</v>
      </c>
      <c r="AL89" s="37">
        <f>[3]基础状态预期!C99</f>
        <v>43792</v>
      </c>
      <c r="AM89" s="37">
        <f>[3]基础状态预期!D99</f>
        <v>154.95970315183646</v>
      </c>
      <c r="AO89" s="37">
        <f>[3]基础状态预期!F99</f>
        <v>0</v>
      </c>
      <c r="AP89" s="37">
        <f>[3]基础状态预期!G99</f>
        <v>0</v>
      </c>
      <c r="AQ89" s="37">
        <f>[3]基础状态预期!H99</f>
        <v>0</v>
      </c>
      <c r="AR89" s="37">
        <f>[3]基础状态预期!I99</f>
        <v>0</v>
      </c>
      <c r="AS89" s="37">
        <f>[3]基础状态预期!J99</f>
        <v>6</v>
      </c>
      <c r="AW89" s="32">
        <v>83</v>
      </c>
      <c r="AX89" s="32">
        <f>[1]节奏总纲!BJ86</f>
        <v>3.4999999999999978</v>
      </c>
      <c r="AY89" s="32">
        <f>[1]节奏总纲!BK86</f>
        <v>3.5699999999999976</v>
      </c>
      <c r="AZ89" s="32">
        <f>[1]节奏总纲!BL86</f>
        <v>3.7099999999999977</v>
      </c>
      <c r="BA89" s="32">
        <f>[1]节奏总纲!BM86</f>
        <v>3.9899999999999971</v>
      </c>
      <c r="BB89" s="32">
        <f>[1]节奏总纲!BN86</f>
        <v>4.8999999999999968</v>
      </c>
      <c r="BF89" s="42">
        <f>'[1]功能-行军令'!FZ87</f>
        <v>83</v>
      </c>
      <c r="BG89" s="42">
        <f>'[1]功能-行军令'!GA87*'[1]功能-行军令'!GB87</f>
        <v>390.85729646653215</v>
      </c>
      <c r="BN89" s="49">
        <v>84</v>
      </c>
      <c r="BO89" s="17">
        <f>'[1]资源-木石铜粮'!U89</f>
        <v>22759096382.280724</v>
      </c>
      <c r="BP89" s="17">
        <f>'[1]资源-木石铜粮'!V89</f>
        <v>24984860708.314537</v>
      </c>
      <c r="BQ89" s="17">
        <f>'[1]资源-木石铜粮'!W89</f>
        <v>24125544852.863281</v>
      </c>
      <c r="BR89" s="17">
        <f>'[1]资源-木石铜粮'!X89</f>
        <v>22529617130.207104</v>
      </c>
      <c r="BS89" s="17">
        <f>'[1]资源-木石铜粮'!Y89</f>
        <v>20178195457.338657</v>
      </c>
      <c r="BV89" s="49">
        <v>84</v>
      </c>
      <c r="BW89" s="47">
        <f>'[1]功能-城建'!EQ87+[1]养成buff汇总!H89+'[1]功能-采集'!BS88+[2]产出汇总!AY89+[1]养成buff汇总!GY89</f>
        <v>12963236443.268738</v>
      </c>
      <c r="BX89" s="47">
        <f>'[1]功能-城建'!ER87+[1]养成buff汇总!I89+'[1]功能-采集'!BT88+[2]产出汇总!AZ89+[1]养成buff汇总!GZ89</f>
        <v>8753982452.9413185</v>
      </c>
      <c r="BY89" s="47">
        <f>'[1]功能-城建'!ES87+[1]养成buff汇总!J89+'[1]功能-采集'!BU88+[2]产出汇总!BA89+[1]养成buff汇总!HA89</f>
        <v>9748616033.8314323</v>
      </c>
      <c r="BZ89" s="47">
        <f>'[1]功能-城建'!ET87+[1]养成buff汇总!K89+'[1]功能-采集'!BV88+[2]产出汇总!BB89+[1]养成buff汇总!HB89</f>
        <v>5696061908.8831673</v>
      </c>
      <c r="CA89" s="47">
        <f>'[1]功能-城建'!EU87+[1]养成buff汇总!L89+'[1]功能-采集'!BW88+[2]产出汇总!BC89+[1]养成buff汇总!HC89</f>
        <v>4584435131.8136454</v>
      </c>
      <c r="CD89" s="49">
        <v>84</v>
      </c>
      <c r="CE89" s="44">
        <f>'[1]资源-铁'!T89</f>
        <v>3386980910.7690077</v>
      </c>
      <c r="CF89" s="44">
        <f>'[1]资源-铁'!U89</f>
        <v>4273682260.877182</v>
      </c>
      <c r="CG89" s="44">
        <f>'[1]资源-铁'!V89</f>
        <v>5416289943.5866508</v>
      </c>
      <c r="CH89" s="44">
        <f>'[1]资源-铁'!W89</f>
        <v>6889445680.5613985</v>
      </c>
      <c r="CI89" s="44">
        <f>'[1]资源-铁'!X89</f>
        <v>10816651111.402668</v>
      </c>
      <c r="CL89" s="49">
        <v>84</v>
      </c>
      <c r="CM89" s="44">
        <f>'[1]功能-城建'!HF87+[1]养成buff汇总!S89+'[1]功能-采集'!BX88</f>
        <v>3195636893.2829885</v>
      </c>
      <c r="CN89" s="44">
        <f>'[1]功能-城建'!HG87+[1]养成buff汇总!T89+'[1]功能-采集'!BY88</f>
        <v>2270336545.8457499</v>
      </c>
      <c r="CO89" s="44">
        <f>'[1]功能-城建'!HH87+[1]养成buff汇总!U89+'[1]功能-采集'!BZ88</f>
        <v>2521697964.2309508</v>
      </c>
      <c r="CP89" s="44">
        <f>'[1]功能-城建'!HI87+[1]养成buff汇总!V89+'[1]功能-采集'!CA88</f>
        <v>1545039686.6164038</v>
      </c>
      <c r="CQ89" s="44">
        <f>'[1]功能-城建'!HJ87+[1]养成buff汇总!W89+'[1]功能-采集'!CB88</f>
        <v>1194924030.1560125</v>
      </c>
      <c r="CT89" s="49">
        <v>84</v>
      </c>
      <c r="CU89" s="17">
        <f>'[1]资源-玩家城池建筑时间'!AJ89+CU88</f>
        <v>205305099.0226458</v>
      </c>
      <c r="CV89" s="17">
        <f>'[1]资源-玩家城池建筑时间'!AK89+CV88</f>
        <v>223373816.35310858</v>
      </c>
      <c r="CW89" s="17">
        <f>'[1]资源-玩家城池建筑时间'!AL89+CW88</f>
        <v>244308746.04892087</v>
      </c>
      <c r="CX89" s="17">
        <f>'[1]资源-玩家城池建筑时间'!AM89+CX88</f>
        <v>269127692.7715736</v>
      </c>
      <c r="CY89" s="17">
        <f>'[1]资源-玩家城池建筑时间'!AN89+CY88</f>
        <v>300202344.95885932</v>
      </c>
      <c r="DB89" s="49">
        <v>84</v>
      </c>
      <c r="DC89" s="17">
        <f>'[1]资源-士兵训练时间'!U89</f>
        <v>62358853.269880563</v>
      </c>
      <c r="DD89" s="17">
        <f>'[1]资源-士兵训练时间'!V89</f>
        <v>90216567.281228051</v>
      </c>
      <c r="DE89" s="17">
        <f>'[1]资源-士兵训练时间'!W89</f>
        <v>122154288.44366252</v>
      </c>
      <c r="DF89" s="17">
        <f>'[1]资源-士兵训练时间'!X89</f>
        <v>159001475.96104693</v>
      </c>
      <c r="DG89" s="17">
        <f>'[1]资源-士兵训练时间'!Y89</f>
        <v>238194127.49038085</v>
      </c>
    </row>
    <row r="90" spans="2:111" x14ac:dyDescent="0.15">
      <c r="B90" s="23">
        <v>87</v>
      </c>
      <c r="C90" s="24">
        <f>'[1]资源-钻石'!L90</f>
        <v>2113108.6045381082</v>
      </c>
      <c r="D90" s="24">
        <f>'[1]资源-钻石'!M90</f>
        <v>2662801.0742084105</v>
      </c>
      <c r="E90" s="24">
        <f>'[1]资源-钻石'!N90</f>
        <v>3699999.8127449341</v>
      </c>
      <c r="F90" s="24">
        <f>'[1]资源-钻石'!O90</f>
        <v>7248601.1694080774</v>
      </c>
      <c r="G90" s="24">
        <f>'[1]资源-钻石'!P90</f>
        <v>9588875.4494811352</v>
      </c>
      <c r="I90" s="23">
        <v>87</v>
      </c>
      <c r="J90" s="24">
        <f>'[1]资源-钻石'!T90</f>
        <v>533996.37313334399</v>
      </c>
      <c r="K90" s="24">
        <f>'[1]资源-钻石'!U90</f>
        <v>736076.01044667838</v>
      </c>
      <c r="L90" s="24">
        <f>'[1]资源-钻石'!V90</f>
        <v>1203582.9818176914</v>
      </c>
      <c r="M90" s="24">
        <f>'[1]资源-钻石'!W90</f>
        <v>3095684.430681475</v>
      </c>
      <c r="N90" s="24">
        <f>'[1]资源-钻石'!X90</f>
        <v>7286574.089904529</v>
      </c>
      <c r="P90" s="28">
        <v>87</v>
      </c>
      <c r="Q90" s="28">
        <f>'[1]功能-行军令'!N90</f>
        <v>19084.16843898204</v>
      </c>
      <c r="R90" s="28">
        <f>'[1]功能-行军令'!O90</f>
        <v>24005.062758296252</v>
      </c>
      <c r="S90" s="28">
        <f>'[1]功能-行军令'!P90</f>
        <v>26608.641181245723</v>
      </c>
      <c r="T90" s="28">
        <f>'[1]功能-行军令'!Q90</f>
        <v>21895.847272561801</v>
      </c>
      <c r="U90" s="28">
        <f>'[1]功能-行军令'!R90</f>
        <v>11922.21192241363</v>
      </c>
      <c r="V90" s="28">
        <f>'[1]功能-行军令'!S90</f>
        <v>1281.090151755594</v>
      </c>
      <c r="W90" s="28">
        <f>'[1]功能-行军令'!T90</f>
        <v>1626.9803746936341</v>
      </c>
      <c r="X90" s="28">
        <f>'[1]功能-行军令'!U90</f>
        <v>1835.5029351937119</v>
      </c>
      <c r="Y90" s="28">
        <f>'[1]功能-行军令'!V90</f>
        <v>1358.2161604173743</v>
      </c>
      <c r="Z90" s="28">
        <f>'[1]功能-行军令'!W90</f>
        <v>700.66076156608324</v>
      </c>
      <c r="AC90" s="30">
        <v>87</v>
      </c>
      <c r="AD90" s="41">
        <f>'[1]功能-实力'!BE91</f>
        <v>8605908</v>
      </c>
      <c r="AE90" s="41">
        <f>'[1]功能-实力'!BF91</f>
        <v>9193686</v>
      </c>
      <c r="AF90" s="41">
        <f>'[1]功能-实力'!BG91</f>
        <v>10148370</v>
      </c>
      <c r="AG90" s="41">
        <f>'[1]功能-实力'!BH91</f>
        <v>12495780</v>
      </c>
      <c r="AH90" s="41">
        <f>'[1]功能-实力'!BI91</f>
        <v>13402776</v>
      </c>
      <c r="AL90" s="37">
        <f>[3]基础状态预期!C100</f>
        <v>55675</v>
      </c>
      <c r="AM90" s="37">
        <f>[3]基础状态预期!D100</f>
        <v>157.63974470288184</v>
      </c>
      <c r="AO90" s="37">
        <f>[3]基础状态预期!F100</f>
        <v>0</v>
      </c>
      <c r="AP90" s="37">
        <f>[3]基础状态预期!G100</f>
        <v>0</v>
      </c>
      <c r="AQ90" s="37">
        <f>[3]基础状态预期!H100</f>
        <v>0</v>
      </c>
      <c r="AR90" s="37">
        <f>[3]基础状态预期!I100</f>
        <v>0</v>
      </c>
      <c r="AS90" s="37">
        <f>[3]基础状态预期!J100</f>
        <v>6</v>
      </c>
      <c r="AW90" s="32">
        <v>84</v>
      </c>
      <c r="AX90" s="32">
        <f>[1]节奏总纲!BJ87</f>
        <v>3.4999999999999978</v>
      </c>
      <c r="AY90" s="32">
        <f>[1]节奏总纲!BK87</f>
        <v>3.5699999999999976</v>
      </c>
      <c r="AZ90" s="32">
        <f>[1]节奏总纲!BL87</f>
        <v>3.7099999999999977</v>
      </c>
      <c r="BA90" s="32">
        <f>[1]节奏总纲!BM87</f>
        <v>3.9899999999999971</v>
      </c>
      <c r="BB90" s="32">
        <f>[1]节奏总纲!BN87</f>
        <v>4.8999999999999968</v>
      </c>
      <c r="BF90" s="42">
        <f>'[1]功能-行军令'!FZ88</f>
        <v>84</v>
      </c>
      <c r="BG90" s="42">
        <f>'[1]功能-行军令'!GA88*'[1]功能-行军令'!GB88</f>
        <v>398.6744423958628</v>
      </c>
      <c r="BN90" s="49">
        <v>85</v>
      </c>
      <c r="BO90" s="17">
        <f>'[1]资源-木石铜粮'!U90</f>
        <v>24712547828.12141</v>
      </c>
      <c r="BP90" s="17">
        <f>'[1]资源-木石铜粮'!V90</f>
        <v>28324319027.70665</v>
      </c>
      <c r="BQ90" s="17">
        <f>'[1]资源-木石铜粮'!W90</f>
        <v>27728681509.46582</v>
      </c>
      <c r="BR90" s="17">
        <f>'[1]资源-木石铜粮'!X90</f>
        <v>24786922534.499321</v>
      </c>
      <c r="BS90" s="17">
        <f>'[1]资源-木石铜粮'!Y90</f>
        <v>22108980915.866058</v>
      </c>
      <c r="BV90" s="49">
        <v>85</v>
      </c>
      <c r="BW90" s="47">
        <f>'[1]功能-城建'!EQ88+[1]养成buff汇总!H90+'[1]功能-采集'!BS89+[2]产出汇总!AY90+[1]养成buff汇总!GY90</f>
        <v>14360098114.163179</v>
      </c>
      <c r="BX90" s="47">
        <f>'[1]功能-城建'!ER88+[1]养成buff汇总!I90+'[1]功能-采集'!BT89+[2]产出汇总!AZ90+[1]养成buff汇总!GZ90</f>
        <v>9636807217.4725914</v>
      </c>
      <c r="BY90" s="47">
        <f>'[1]功能-城建'!ES88+[1]养成buff汇总!J90+'[1]功能-采集'!BU89+[2]产出汇总!BA90+[1]养成buff汇总!HA90</f>
        <v>10765625725.212439</v>
      </c>
      <c r="BZ90" s="47">
        <f>'[1]功能-城建'!ET88+[1]养成buff汇总!K90+'[1]功能-采集'!BV89+[2]产出汇总!BB90+[1]养成buff汇总!HB90</f>
        <v>6289544966.7598534</v>
      </c>
      <c r="CA90" s="47">
        <f>'[1]功能-城建'!EU88+[1]养成buff汇总!L90+'[1]功能-采集'!BW89+[2]产出汇总!BC90+[1]养成buff汇总!HC90</f>
        <v>5075263031.7882948</v>
      </c>
      <c r="CD90" s="49">
        <v>85</v>
      </c>
      <c r="CE90" s="44">
        <f>'[1]资源-铁'!T90</f>
        <v>3652514666.7263412</v>
      </c>
      <c r="CF90" s="44">
        <f>'[1]资源-铁'!U90</f>
        <v>4587644705.7782478</v>
      </c>
      <c r="CG90" s="44">
        <f>'[1]资源-铁'!V90</f>
        <v>5798476698.2432346</v>
      </c>
      <c r="CH90" s="44">
        <f>'[1]资源-铁'!W90</f>
        <v>8056137143.7089396</v>
      </c>
      <c r="CI90" s="44">
        <f>'[1]资源-铁'!X90</f>
        <v>12631113870.72471</v>
      </c>
      <c r="CL90" s="49">
        <v>85</v>
      </c>
      <c r="CM90" s="44">
        <f>'[1]功能-城建'!HF88+[1]养成buff汇总!S90+'[1]功能-采集'!BX89</f>
        <v>3650425961.2813148</v>
      </c>
      <c r="CN90" s="44">
        <f>'[1]功能-城建'!HG88+[1]养成buff汇总!T90+'[1]功能-采集'!BY89</f>
        <v>2557922254.3928676</v>
      </c>
      <c r="CO90" s="44">
        <f>'[1]功能-城建'!HH88+[1]养成buff汇总!U90+'[1]功能-采集'!BZ89</f>
        <v>2858640354.8281794</v>
      </c>
      <c r="CP90" s="44">
        <f>'[1]功能-城建'!HI88+[1]养成buff汇总!V90+'[1]功能-采集'!CA89</f>
        <v>1740931824.9770703</v>
      </c>
      <c r="CQ90" s="44">
        <f>'[1]功能-城建'!HJ88+[1]养成buff汇总!W90+'[1]功能-采集'!CB89</f>
        <v>1351750645.8872783</v>
      </c>
      <c r="CT90" s="49">
        <v>85</v>
      </c>
      <c r="CU90" s="17">
        <f>'[1]资源-玩家城池建筑时间'!AJ90+CU89</f>
        <v>221363185.35030109</v>
      </c>
      <c r="CV90" s="17">
        <f>'[1]资源-玩家城池建筑时间'!AK90+CV89</f>
        <v>240416390.88922694</v>
      </c>
      <c r="CW90" s="17">
        <f>'[1]资源-玩家城池建筑时间'!AL90+CW89</f>
        <v>262924144.30367842</v>
      </c>
      <c r="CX90" s="17">
        <f>'[1]资源-玩家城池建筑时间'!AM90+CX89</f>
        <v>290477650.16768867</v>
      </c>
      <c r="CY90" s="17">
        <f>'[1]资源-玩家城池建筑时间'!AN90+CY89</f>
        <v>323637958.97519481</v>
      </c>
      <c r="DB90" s="49">
        <v>85</v>
      </c>
      <c r="DC90" s="17">
        <f>'[1]资源-士兵训练时间'!U90</f>
        <v>67072260.344166704</v>
      </c>
      <c r="DD90" s="17">
        <f>'[1]资源-士兵训练时间'!V90</f>
        <v>96425262.168565199</v>
      </c>
      <c r="DE90" s="17">
        <f>'[1]资源-士兵训练时间'!W90</f>
        <v>129914989.94876908</v>
      </c>
      <c r="DF90" s="17">
        <f>'[1]资源-士兵训练时间'!X90</f>
        <v>172326715.0644781</v>
      </c>
      <c r="DG90" s="17">
        <f>'[1]资源-士兵训练时间'!Y90</f>
        <v>258047769.59534779</v>
      </c>
    </row>
    <row r="91" spans="2:111" x14ac:dyDescent="0.15">
      <c r="B91" s="23">
        <v>88</v>
      </c>
      <c r="C91" s="24">
        <f>'[1]资源-钻石'!L91</f>
        <v>2231094.945847007</v>
      </c>
      <c r="D91" s="24">
        <f>'[1]资源-钻石'!M91</f>
        <v>2842918.797414667</v>
      </c>
      <c r="E91" s="24">
        <f>'[1]资源-钻石'!N91</f>
        <v>3958573.4056051886</v>
      </c>
      <c r="F91" s="24">
        <f>'[1]资源-钻石'!O91</f>
        <v>7703658.8929779101</v>
      </c>
      <c r="G91" s="24">
        <f>'[1]资源-钻石'!P91</f>
        <v>10182734.739316646</v>
      </c>
      <c r="I91" s="23">
        <v>88</v>
      </c>
      <c r="J91" s="24">
        <f>'[1]资源-钻石'!T91</f>
        <v>539918.19390039204</v>
      </c>
      <c r="K91" s="24">
        <f>'[1]资源-钻石'!U91</f>
        <v>744270.01329043135</v>
      </c>
      <c r="L91" s="24">
        <f>'[1]资源-钻石'!V91</f>
        <v>1217015.3366672853</v>
      </c>
      <c r="M91" s="24">
        <f>'[1]资源-钻石'!W91</f>
        <v>3129442.1440728139</v>
      </c>
      <c r="N91" s="24">
        <f>'[1]资源-钻石'!X91</f>
        <v>7368744.2276895642</v>
      </c>
      <c r="P91" s="28">
        <v>88</v>
      </c>
      <c r="Q91" s="28">
        <f>'[1]功能-行军令'!N91</f>
        <v>20457.206866750312</v>
      </c>
      <c r="R91" s="28">
        <f>'[1]功能-行军令'!O91</f>
        <v>25779.816315968015</v>
      </c>
      <c r="S91" s="28">
        <f>'[1]功能-行军令'!P91</f>
        <v>28474.475182207443</v>
      </c>
      <c r="T91" s="28">
        <f>'[1]功能-行军令'!Q91</f>
        <v>23278.789359941271</v>
      </c>
      <c r="U91" s="28">
        <f>'[1]功能-行军令'!R91</f>
        <v>12688.360198157678</v>
      </c>
      <c r="V91" s="28">
        <f>'[1]功能-行军令'!S91</f>
        <v>1373.0384277682715</v>
      </c>
      <c r="W91" s="28">
        <f>'[1]功能-行军令'!T91</f>
        <v>1774.7535576717637</v>
      </c>
      <c r="X91" s="28">
        <f>'[1]功能-行军令'!U91</f>
        <v>1865.8340009617204</v>
      </c>
      <c r="Y91" s="28">
        <f>'[1]功能-行军令'!V91</f>
        <v>1382.9420873794697</v>
      </c>
      <c r="Z91" s="28">
        <f>'[1]功能-行军令'!W91</f>
        <v>766.14827574404808</v>
      </c>
      <c r="AC91" s="30">
        <v>88</v>
      </c>
      <c r="AD91" s="41">
        <f>'[1]功能-实力'!BE92</f>
        <v>8891514</v>
      </c>
      <c r="AE91" s="41">
        <f>'[1]功能-实力'!BF92</f>
        <v>9552546</v>
      </c>
      <c r="AF91" s="41">
        <f>'[1]功能-实力'!BG92</f>
        <v>10663446</v>
      </c>
      <c r="AG91" s="41">
        <f>'[1]功能-实力'!BH92</f>
        <v>12971736</v>
      </c>
      <c r="AH91" s="41">
        <f>'[1]功能-实力'!BI92</f>
        <v>13728552</v>
      </c>
      <c r="AW91" s="32">
        <v>85</v>
      </c>
      <c r="AX91" s="32">
        <f>[1]节奏总纲!BJ88</f>
        <v>3.4999999999999978</v>
      </c>
      <c r="AY91" s="32">
        <f>[1]节奏总纲!BK88</f>
        <v>3.5699999999999976</v>
      </c>
      <c r="AZ91" s="32">
        <f>[1]节奏总纲!BL88</f>
        <v>3.7099999999999977</v>
      </c>
      <c r="BA91" s="32">
        <f>[1]节奏总纲!BM88</f>
        <v>3.9899999999999971</v>
      </c>
      <c r="BB91" s="32">
        <f>[1]节奏总纲!BN88</f>
        <v>4.8999999999999968</v>
      </c>
      <c r="BF91" s="42">
        <f>'[1]功能-行军令'!FZ89</f>
        <v>85</v>
      </c>
      <c r="BG91" s="42">
        <f>'[1]功能-行军令'!GA89*'[1]功能-行军令'!GB89</f>
        <v>406.64793124378002</v>
      </c>
      <c r="BN91" s="49">
        <v>86</v>
      </c>
      <c r="BO91" s="17">
        <f>'[1]资源-木石铜粮'!U91</f>
        <v>26847019835.464085</v>
      </c>
      <c r="BP91" s="17">
        <f>'[1]资源-木石铜粮'!V91</f>
        <v>31475722917.888252</v>
      </c>
      <c r="BQ91" s="17">
        <f>'[1]资源-木石铜粮'!W91</f>
        <v>31698230632.480289</v>
      </c>
      <c r="BR91" s="17">
        <f>'[1]资源-木石铜粮'!X91</f>
        <v>27263927461.542118</v>
      </c>
      <c r="BS91" s="17">
        <f>'[1]资源-木石铜粮'!Y91</f>
        <v>24031584369.164356</v>
      </c>
      <c r="BV91" s="49">
        <v>86</v>
      </c>
      <c r="BW91" s="47">
        <f>'[1]功能-城建'!EQ89+[1]养成buff汇总!H91+'[1]功能-采集'!BS90+[2]产出汇总!AY91+[1]养成buff汇总!GY91</f>
        <v>15878594029.835777</v>
      </c>
      <c r="BX91" s="47">
        <f>'[1]功能-城建'!ER89+[1]养成buff汇总!I91+'[1]功能-采集'!BT90+[2]产出汇总!AZ91+[1]养成buff汇总!GZ91</f>
        <v>10613300364.11198</v>
      </c>
      <c r="BY91" s="47">
        <f>'[1]功能-城建'!ES89+[1]养成buff汇总!J91+'[1]功能-采集'!BU90+[2]产出汇总!BA91+[1]养成buff汇总!HA91</f>
        <v>11908373274.137478</v>
      </c>
      <c r="BZ91" s="47">
        <f>'[1]功能-城建'!ET89+[1]养成buff汇总!K91+'[1]功能-采集'!BV90+[2]产出汇总!BB91+[1]养成buff汇总!HB91</f>
        <v>6948143202.4468269</v>
      </c>
      <c r="CA91" s="47">
        <f>'[1]功能-城建'!EU89+[1]养成buff汇总!L91+'[1]功能-采集'!BW90+[2]产出汇总!BC91+[1]养成buff汇总!HC91</f>
        <v>5543421249.6591539</v>
      </c>
      <c r="CD91" s="49">
        <v>86</v>
      </c>
      <c r="CE91" s="44">
        <f>'[1]资源-铁'!T91</f>
        <v>3933636414.7553272</v>
      </c>
      <c r="CF91" s="44">
        <f>'[1]资源-铁'!U91</f>
        <v>4921561622.9560165</v>
      </c>
      <c r="CG91" s="44">
        <f>'[1]资源-铁'!V91</f>
        <v>6554560931.1267757</v>
      </c>
      <c r="CH91" s="44">
        <f>'[1]资源-铁'!W91</f>
        <v>9489163017.1669273</v>
      </c>
      <c r="CI91" s="44">
        <f>'[1]资源-铁'!X91</f>
        <v>14120345170.555117</v>
      </c>
      <c r="CL91" s="49">
        <v>86</v>
      </c>
      <c r="CM91" s="44">
        <f>'[1]功能-城建'!HF89+[1]养成buff汇总!S91+'[1]功能-采集'!BX90</f>
        <v>4144582280.6734238</v>
      </c>
      <c r="CN91" s="44">
        <f>'[1]功能-城建'!HG89+[1]养成buff汇总!T91+'[1]功能-采集'!BY90</f>
        <v>2876434757.8785501</v>
      </c>
      <c r="CO91" s="44">
        <f>'[1]功能-城建'!HH89+[1]养成buff汇总!U91+'[1]功能-采集'!BZ90</f>
        <v>3241114676.3885527</v>
      </c>
      <c r="CP91" s="44">
        <f>'[1]功能-城建'!HI89+[1]养成buff汇总!V91+'[1]功能-采集'!CA90</f>
        <v>1957908085.7091858</v>
      </c>
      <c r="CQ91" s="44">
        <f>'[1]功能-城建'!HJ89+[1]养成buff汇总!W91+'[1]功能-采集'!CB90</f>
        <v>1502512931.1801178</v>
      </c>
      <c r="CT91" s="49">
        <v>86</v>
      </c>
      <c r="CU91" s="17">
        <f>'[1]资源-玩家城池建筑时间'!AJ91+CU90</f>
        <v>238653460.83530903</v>
      </c>
      <c r="CV91" s="17">
        <f>'[1]资源-玩家城池建筑时间'!AK91+CV90</f>
        <v>259102487.28150609</v>
      </c>
      <c r="CW91" s="17">
        <f>'[1]资源-玩家城池建筑时间'!AL91+CW90</f>
        <v>283537711.96934354</v>
      </c>
      <c r="CX91" s="17">
        <f>'[1]资源-玩家城池建筑时间'!AM91+CX90</f>
        <v>313953298.25025719</v>
      </c>
      <c r="CY91" s="17">
        <f>'[1]资源-玩家城池建筑时间'!AN91+CY90</f>
        <v>345698373.71427244</v>
      </c>
      <c r="DB91" s="49">
        <v>86</v>
      </c>
      <c r="DC91" s="17">
        <f>'[1]资源-士兵训练时间'!U91</f>
        <v>71877970.599945113</v>
      </c>
      <c r="DD91" s="17">
        <f>'[1]资源-士兵训练时间'!V91</f>
        <v>102657402.43917432</v>
      </c>
      <c r="DE91" s="17">
        <f>'[1]资源-士兵训练时间'!W91</f>
        <v>139847753.82754752</v>
      </c>
      <c r="DF91" s="17">
        <f>'[1]资源-士兵训练时间'!X91</f>
        <v>187580645.32457381</v>
      </c>
      <c r="DG91" s="17">
        <f>'[1]资源-士兵训练时间'!Y91</f>
        <v>274341935.74671733</v>
      </c>
    </row>
    <row r="92" spans="2:111" x14ac:dyDescent="0.15">
      <c r="B92" s="23">
        <v>89</v>
      </c>
      <c r="C92" s="24">
        <f>'[1]资源-钻石'!L92</f>
        <v>2349081.2871559057</v>
      </c>
      <c r="D92" s="24">
        <f>'[1]资源-钻石'!M92</f>
        <v>3023036.5206209235</v>
      </c>
      <c r="E92" s="24">
        <f>'[1]资源-钻石'!N92</f>
        <v>4206964.7238689139</v>
      </c>
      <c r="F92" s="24">
        <f>'[1]资源-钻石'!O92</f>
        <v>8188429.3223854573</v>
      </c>
      <c r="G92" s="24">
        <f>'[1]资源-钻石'!P92</f>
        <v>10776038.075708006</v>
      </c>
      <c r="I92" s="23">
        <v>89</v>
      </c>
      <c r="J92" s="24">
        <f>'[1]资源-钻石'!T92</f>
        <v>545840.01466744009</v>
      </c>
      <c r="K92" s="24">
        <f>'[1]资源-钻石'!U92</f>
        <v>752464.0161341842</v>
      </c>
      <c r="L92" s="24">
        <f>'[1]资源-钻石'!V92</f>
        <v>1230447.6915168795</v>
      </c>
      <c r="M92" s="24">
        <f>'[1]资源-钻石'!W92</f>
        <v>3163199.8574641529</v>
      </c>
      <c r="N92" s="24">
        <f>'[1]资源-钻石'!X92</f>
        <v>7450914.3654745985</v>
      </c>
      <c r="P92" s="28">
        <v>89</v>
      </c>
      <c r="Q92" s="28">
        <f>'[1]功能-行军令'!N92</f>
        <v>21928.793016674885</v>
      </c>
      <c r="R92" s="28">
        <f>'[1]功能-行军令'!O92</f>
        <v>27589.567920062011</v>
      </c>
      <c r="S92" s="28">
        <f>'[1]功能-行军令'!P92</f>
        <v>30266.835190952177</v>
      </c>
      <c r="T92" s="28">
        <f>'[1]功能-行军令'!Q92</f>
        <v>24752.029774993443</v>
      </c>
      <c r="U92" s="28">
        <f>'[1]功能-行军令'!R92</f>
        <v>13453.791228621709</v>
      </c>
      <c r="V92" s="28">
        <f>'[1]功能-行军令'!S92</f>
        <v>1471.586149924573</v>
      </c>
      <c r="W92" s="28">
        <f>'[1]功能-行军令'!T92</f>
        <v>1809.7516040939954</v>
      </c>
      <c r="X92" s="28">
        <f>'[1]功能-行军令'!U92</f>
        <v>1792.3600087447339</v>
      </c>
      <c r="Y92" s="28">
        <f>'[1]功能-行军令'!V92</f>
        <v>1473.2404150521725</v>
      </c>
      <c r="Z92" s="28">
        <f>'[1]功能-行军令'!W92</f>
        <v>765.43103046403121</v>
      </c>
      <c r="AC92" s="30">
        <v>89</v>
      </c>
      <c r="AD92" s="41">
        <f>'[1]功能-实力'!BE93</f>
        <v>9183096</v>
      </c>
      <c r="AE92" s="41">
        <f>'[1]功能-实力'!BF93</f>
        <v>9921552</v>
      </c>
      <c r="AF92" s="41">
        <f>'[1]功能-实力'!BG93</f>
        <v>11195946</v>
      </c>
      <c r="AG92" s="41">
        <f>'[1]功能-实力'!BH93</f>
        <v>13452906</v>
      </c>
      <c r="AH92" s="41">
        <f>'[1]功能-实力'!BI93</f>
        <v>14060946</v>
      </c>
      <c r="AW92" s="32">
        <v>86</v>
      </c>
      <c r="AX92" s="32">
        <f>[1]节奏总纲!BJ89</f>
        <v>3.4999999999999978</v>
      </c>
      <c r="AY92" s="32">
        <f>[1]节奏总纲!BK89</f>
        <v>3.5699999999999976</v>
      </c>
      <c r="AZ92" s="32">
        <f>[1]节奏总纲!BL89</f>
        <v>3.7099999999999977</v>
      </c>
      <c r="BA92" s="32">
        <f>[1]节奏总纲!BM89</f>
        <v>3.9899999999999971</v>
      </c>
      <c r="BB92" s="32">
        <f>[1]节奏总纲!BN89</f>
        <v>4.8999999999999968</v>
      </c>
      <c r="BF92" s="42">
        <f>'[1]功能-行军令'!FZ90</f>
        <v>86</v>
      </c>
      <c r="BG92" s="42">
        <f>'[1]功能-行军令'!GA90*'[1]功能-行军令'!GB90</f>
        <v>414.78088986865561</v>
      </c>
      <c r="BN92" s="49">
        <v>87</v>
      </c>
      <c r="BO92" s="17">
        <f>'[1]资源-木石铜粮'!U92</f>
        <v>29185989942.904839</v>
      </c>
      <c r="BP92" s="17">
        <f>'[1]资源-木石铜粮'!V92</f>
        <v>34103290238.148262</v>
      </c>
      <c r="BQ92" s="17">
        <f>'[1]资源-木石铜粮'!W92</f>
        <v>36081684103.724579</v>
      </c>
      <c r="BR92" s="17">
        <f>'[1]资源-木石铜粮'!X92</f>
        <v>29767886833.395584</v>
      </c>
      <c r="BS92" s="17">
        <f>'[1]资源-木石铜粮'!Y92</f>
        <v>26111350666.329502</v>
      </c>
      <c r="BV92" s="49">
        <v>87</v>
      </c>
      <c r="BW92" s="47">
        <f>'[1]功能-城建'!EQ90+[1]养成buff汇总!H92+'[1]功能-采集'!BS91+[2]产出汇总!AY92+[1]养成buff汇总!GY92</f>
        <v>17535422628.152088</v>
      </c>
      <c r="BX92" s="47">
        <f>'[1]功能-城建'!ER90+[1]养成buff汇总!I92+'[1]功能-采集'!BT91+[2]产出汇总!AZ92+[1]养成buff汇总!GZ92</f>
        <v>11691469424.117622</v>
      </c>
      <c r="BY92" s="47">
        <f>'[1]功能-城建'!ES90+[1]养成buff汇总!J92+'[1]功能-采集'!BU91+[2]产出汇总!BA92+[1]养成buff汇总!HA92</f>
        <v>13192074387.465139</v>
      </c>
      <c r="BZ92" s="47">
        <f>'[1]功能-城建'!ET90+[1]养成buff汇总!K92+'[1]功能-采集'!BV91+[2]产出汇总!BB92+[1]养成buff汇总!HB92</f>
        <v>7588066271.9468632</v>
      </c>
      <c r="CA92" s="47">
        <f>'[1]功能-城建'!EU90+[1]养成buff汇总!L92+'[1]功能-采集'!BW91+[2]产出汇总!BC92+[1]养成buff汇总!HC92</f>
        <v>6046580897.6803455</v>
      </c>
      <c r="CD92" s="49">
        <v>87</v>
      </c>
      <c r="CE92" s="44">
        <f>'[1]资源-铁'!T92</f>
        <v>4228210978.2591758</v>
      </c>
      <c r="CF92" s="44">
        <f>'[1]资源-铁'!U92</f>
        <v>5453137676.2752371</v>
      </c>
      <c r="CG92" s="44">
        <f>'[1]资源-铁'!V92</f>
        <v>7730896866.3440447</v>
      </c>
      <c r="CH92" s="44">
        <f>'[1]资源-铁'!W92</f>
        <v>10721090813.293793</v>
      </c>
      <c r="CI92" s="44">
        <f>'[1]资源-铁'!X92</f>
        <v>15700251612.430023</v>
      </c>
      <c r="CL92" s="49">
        <v>87</v>
      </c>
      <c r="CM92" s="44">
        <f>'[1]功能-城建'!HF90+[1]养成buff汇总!S92+'[1]功能-采集'!BX91</f>
        <v>4684673689.9419899</v>
      </c>
      <c r="CN92" s="44">
        <f>'[1]功能-城建'!HG90+[1]养成buff汇总!T92+'[1]功能-采集'!BY91</f>
        <v>3227914928.3868713</v>
      </c>
      <c r="CO92" s="44">
        <f>'[1]功能-城建'!HH90+[1]养成buff汇总!U92+'[1]功能-采集'!BZ91</f>
        <v>3675464167.0566988</v>
      </c>
      <c r="CP92" s="44">
        <f>'[1]功能-城建'!HI90+[1]养成buff汇总!V92+'[1]功能-采集'!CA91</f>
        <v>2169129783.4264178</v>
      </c>
      <c r="CQ92" s="44">
        <f>'[1]功能-城建'!HJ90+[1]养成buff汇总!W92+'[1]功能-采集'!CB91</f>
        <v>1665074127.2944608</v>
      </c>
      <c r="CT92" s="49">
        <v>87</v>
      </c>
      <c r="CU92" s="17">
        <f>'[1]资源-玩家城池建筑时间'!AJ92+CU91</f>
        <v>257339044.37392443</v>
      </c>
      <c r="CV92" s="17">
        <f>'[1]资源-玩家城池建筑时间'!AK92+CV91</f>
        <v>279552914.11654049</v>
      </c>
      <c r="CW92" s="17">
        <f>'[1]资源-玩家城池建筑时间'!AL92+CW91</f>
        <v>306378608.30923653</v>
      </c>
      <c r="CX92" s="17">
        <f>'[1]资源-玩家城池建筑时间'!AM92+CX91</f>
        <v>336558612.02238768</v>
      </c>
      <c r="CY92" s="17">
        <f>'[1]资源-玩家城池建筑时间'!AN92+CY91</f>
        <v>369101985.6049639</v>
      </c>
      <c r="DB92" s="49">
        <v>87</v>
      </c>
      <c r="DC92" s="17">
        <f>'[1]资源-士兵训练时间'!U92</f>
        <v>76551947.518645704</v>
      </c>
      <c r="DD92" s="17">
        <f>'[1]资源-士兵训练时间'!V92</f>
        <v>110152050.40281008</v>
      </c>
      <c r="DE92" s="17">
        <f>'[1]资源-士兵训练时间'!W92</f>
        <v>152215656.6085259</v>
      </c>
      <c r="DF92" s="17">
        <f>'[1]资源-士兵训练时间'!X92</f>
        <v>200693373.98422694</v>
      </c>
      <c r="DG92" s="17">
        <f>'[1]资源-士兵训练时间'!Y92</f>
        <v>291628208.24881989</v>
      </c>
    </row>
    <row r="93" spans="2:111" x14ac:dyDescent="0.15">
      <c r="B93" s="23">
        <v>90</v>
      </c>
      <c r="C93" s="24">
        <f>'[1]资源-钻石'!L93</f>
        <v>2467067.6284648045</v>
      </c>
      <c r="D93" s="24">
        <f>'[1]资源-钻石'!M93</f>
        <v>3203154.24382718</v>
      </c>
      <c r="E93" s="24">
        <f>'[1]资源-钻石'!N93</f>
        <v>4478360.5793042984</v>
      </c>
      <c r="F93" s="24">
        <f>'[1]资源-钻石'!O93</f>
        <v>8682436.2671601642</v>
      </c>
      <c r="G93" s="24">
        <f>'[1]资源-钻石'!P93</f>
        <v>11403695.445851861</v>
      </c>
      <c r="I93" s="23">
        <v>90</v>
      </c>
      <c r="J93" s="24">
        <f>'[1]资源-钻石'!T93</f>
        <v>551039.65088142827</v>
      </c>
      <c r="K93" s="24">
        <f>'[1]资源-钻石'!U93</f>
        <v>759805.38932020345</v>
      </c>
      <c r="L93" s="24">
        <f>'[1]资源-钻石'!V93</f>
        <v>1243880.0463664737</v>
      </c>
      <c r="M93" s="24">
        <f>'[1]资源-钻石'!W93</f>
        <v>3196957.5708554918</v>
      </c>
      <c r="N93" s="24">
        <f>'[1]资源-钻石'!X93</f>
        <v>7531438.7448455254</v>
      </c>
      <c r="P93" s="28">
        <v>90</v>
      </c>
      <c r="Q93" s="28">
        <f>'[1]功能-行军令'!N93</f>
        <v>23506</v>
      </c>
      <c r="R93" s="28">
        <f>'[1]功能-行军令'!O93</f>
        <v>29354.803800000002</v>
      </c>
      <c r="S93" s="28">
        <f>'[1]功能-行军令'!P93</f>
        <v>32225.192999999999</v>
      </c>
      <c r="T93" s="28">
        <f>'[1]功能-行军令'!Q93</f>
        <v>26253.340400000001</v>
      </c>
      <c r="U93" s="28">
        <f>'[1]功能-行军令'!R93</f>
        <v>14263.543000000001</v>
      </c>
      <c r="V93" s="28">
        <f>'[1]功能-行军令'!S93</f>
        <v>1577.2069833251153</v>
      </c>
      <c r="W93" s="28">
        <f>'[1]功能-行军令'!T93</f>
        <v>1765.2358799379908</v>
      </c>
      <c r="X93" s="28">
        <f>'[1]功能-行军令'!U93</f>
        <v>1958.3578090478222</v>
      </c>
      <c r="Y93" s="28">
        <f>'[1]功能-行军令'!V93</f>
        <v>1501.3106250065575</v>
      </c>
      <c r="Z93" s="28">
        <f>'[1]功能-行军令'!W93</f>
        <v>809.75177137829269</v>
      </c>
      <c r="AC93" s="30">
        <v>90</v>
      </c>
      <c r="AD93" s="41">
        <f>'[1]功能-实力'!BE94</f>
        <v>9484284</v>
      </c>
      <c r="AE93" s="41">
        <f>'[1]功能-实力'!BF94</f>
        <v>10297536</v>
      </c>
      <c r="AF93" s="41">
        <f>'[1]功能-实力'!BG94</f>
        <v>11749446</v>
      </c>
      <c r="AG93" s="41">
        <f>'[1]功能-实力'!BH94</f>
        <v>13943256</v>
      </c>
      <c r="AH93" s="41">
        <f>'[1]功能-实力'!BI94</f>
        <v>14405262</v>
      </c>
      <c r="AW93" s="32">
        <v>87</v>
      </c>
      <c r="AX93" s="32">
        <f>[1]节奏总纲!BJ90</f>
        <v>3.4999999999999978</v>
      </c>
      <c r="AY93" s="32">
        <f>[1]节奏总纲!BK90</f>
        <v>3.5699999999999976</v>
      </c>
      <c r="AZ93" s="32">
        <f>[1]节奏总纲!BL90</f>
        <v>3.7099999999999977</v>
      </c>
      <c r="BA93" s="32">
        <f>[1]节奏总纲!BM90</f>
        <v>3.9899999999999971</v>
      </c>
      <c r="BB93" s="32">
        <f>[1]节奏总纲!BN90</f>
        <v>4.8999999999999968</v>
      </c>
      <c r="BF93" s="42">
        <f>'[1]功能-行军令'!FZ91</f>
        <v>87</v>
      </c>
      <c r="BG93" s="42">
        <f>'[1]功能-行军令'!GA91*'[1]功能-行军令'!GB91</f>
        <v>423.07650766602876</v>
      </c>
      <c r="BN93" s="49">
        <v>88</v>
      </c>
      <c r="BO93" s="17">
        <f>'[1]资源-木石铜粮'!U93</f>
        <v>31730453249.474506</v>
      </c>
      <c r="BP93" s="17">
        <f>'[1]资源-木石铜粮'!V93</f>
        <v>36976527301.93576</v>
      </c>
      <c r="BQ93" s="17">
        <f>'[1]资源-木石铜粮'!W93</f>
        <v>40641852531.271103</v>
      </c>
      <c r="BR93" s="17">
        <f>'[1]资源-木石铜粮'!X93</f>
        <v>32504759148.071491</v>
      </c>
      <c r="BS93" s="17">
        <f>'[1]资源-木石铜粮'!Y93</f>
        <v>28342826465.968338</v>
      </c>
      <c r="BV93" s="49">
        <v>88</v>
      </c>
      <c r="BW93" s="47">
        <f>'[1]功能-城建'!EQ91+[1]养成buff汇总!H93+'[1]功能-采集'!BS92+[2]产出汇总!AY93+[1]养成buff汇总!GY93</f>
        <v>19332562950.979603</v>
      </c>
      <c r="BX93" s="47">
        <f>'[1]功能-城建'!ER91+[1]养成buff汇总!I93+'[1]功能-采集'!BT92+[2]产出汇总!AZ93+[1]养成buff汇总!GZ93</f>
        <v>12887391447.956995</v>
      </c>
      <c r="BY93" s="47">
        <f>'[1]功能-城建'!ES91+[1]养成buff汇总!J93+'[1]功能-采集'!BU92+[2]产出汇总!BA93+[1]养成buff汇总!HA93</f>
        <v>14521820993.291256</v>
      </c>
      <c r="BZ93" s="47">
        <f>'[1]功能-城建'!ET91+[1]养成buff汇总!K93+'[1]功能-采集'!BV92+[2]产出汇总!BB93+[1]养成buff汇总!HB93</f>
        <v>8247897749.6003571</v>
      </c>
      <c r="CA93" s="47">
        <f>'[1]功能-城建'!EU91+[1]养成buff汇总!L93+'[1]功能-采集'!BW92+[2]产出汇总!BC93+[1]养成buff汇总!HC93</f>
        <v>6608271883.1643286</v>
      </c>
      <c r="CD93" s="49">
        <v>88</v>
      </c>
      <c r="CE93" s="44">
        <f>'[1]资源-铁'!T93</f>
        <v>4628602761.4055567</v>
      </c>
      <c r="CF93" s="44">
        <f>'[1]资源-铁'!U93</f>
        <v>6407764496.3116379</v>
      </c>
      <c r="CG93" s="44">
        <f>'[1]资源-铁'!V93</f>
        <v>8859979825.5767288</v>
      </c>
      <c r="CH93" s="44">
        <f>'[1]资源-铁'!W93</f>
        <v>11923160776.335571</v>
      </c>
      <c r="CI93" s="44">
        <f>'[1]资源-铁'!X93</f>
        <v>17782019880.248558</v>
      </c>
      <c r="CL93" s="49">
        <v>88</v>
      </c>
      <c r="CM93" s="44">
        <f>'[1]功能-城建'!HF91+[1]养成buff汇总!S93+'[1]功能-采集'!BX92</f>
        <v>5269658320.5243626</v>
      </c>
      <c r="CN93" s="44">
        <f>'[1]功能-城建'!HG91+[1]养成buff汇总!T93+'[1]功能-采集'!BY92</f>
        <v>3618711752.375123</v>
      </c>
      <c r="CO93" s="44">
        <f>'[1]功能-城建'!HH91+[1]养成buff汇总!U93+'[1]功能-采集'!BZ92</f>
        <v>4129971060.8835697</v>
      </c>
      <c r="CP93" s="44">
        <f>'[1]功能-城建'!HI91+[1]养成buff汇总!V93+'[1]功能-采集'!CA92</f>
        <v>2386654872.1847529</v>
      </c>
      <c r="CQ93" s="44">
        <f>'[1]功能-城建'!HJ91+[1]养成buff汇总!W93+'[1]功能-采集'!CB92</f>
        <v>1848245183.9659724</v>
      </c>
      <c r="CT93" s="49">
        <v>88</v>
      </c>
      <c r="CU93" s="17">
        <f>'[1]资源-玩家城池建筑时间'!AJ93+CU92</f>
        <v>277423714.18049288</v>
      </c>
      <c r="CV93" s="17">
        <f>'[1]资源-玩家城池建筑时间'!AK93+CV92</f>
        <v>302049880.94405264</v>
      </c>
      <c r="CW93" s="17">
        <f>'[1]资源-玩家城池建筑时间'!AL93+CW92</f>
        <v>329717619.84208751</v>
      </c>
      <c r="CX93" s="17">
        <f>'[1]资源-玩家城池建筑时间'!AM93+CX92</f>
        <v>359655267.10550481</v>
      </c>
      <c r="CY93" s="17">
        <f>'[1]资源-玩家城池建筑时间'!AN93+CY92</f>
        <v>392397471.02070022</v>
      </c>
      <c r="DB93" s="49">
        <v>88</v>
      </c>
      <c r="DC93" s="17">
        <f>'[1]资源-士兵训练时间'!U93</f>
        <v>81922285.497335479</v>
      </c>
      <c r="DD93" s="17">
        <f>'[1]资源-士兵训练时间'!V93</f>
        <v>119897387.69427542</v>
      </c>
      <c r="DE93" s="17">
        <f>'[1]资源-士兵训练时间'!W93</f>
        <v>164086438.66679761</v>
      </c>
      <c r="DF93" s="17">
        <f>'[1]资源-士兵训练时间'!X93</f>
        <v>213488036.04916552</v>
      </c>
      <c r="DG93" s="17">
        <f>'[1]资源-士兵训练时间'!Y93</f>
        <v>331843368.14908558</v>
      </c>
    </row>
    <row r="94" spans="2:111" x14ac:dyDescent="0.15">
      <c r="B94" s="23">
        <v>91</v>
      </c>
      <c r="C94" s="24">
        <f>'[1]资源-钻石'!L94</f>
        <v>2585053.9697737033</v>
      </c>
      <c r="D94" s="24">
        <f>'[1]资源-钻石'!M94</f>
        <v>3383271.9670334365</v>
      </c>
      <c r="E94" s="24">
        <f>'[1]资源-钻石'!N94</f>
        <v>4749756.4347396828</v>
      </c>
      <c r="F94" s="24">
        <f>'[1]资源-钻石'!O94</f>
        <v>9283256.323322054</v>
      </c>
      <c r="G94" s="24">
        <f>'[1]资源-钻石'!P94</f>
        <v>12155045.008619722</v>
      </c>
      <c r="I94" s="23">
        <v>91</v>
      </c>
      <c r="J94" s="24">
        <f>'[1]资源-钻石'!T94</f>
        <v>555488.62357595086</v>
      </c>
      <c r="K94" s="24">
        <f>'[1]资源-钻石'!U94</f>
        <v>766393.19741278607</v>
      </c>
      <c r="L94" s="24">
        <f>'[1]资源-钻石'!V94</f>
        <v>1255619.5793942716</v>
      </c>
      <c r="M94" s="24">
        <f>'[1]资源-钻石'!W94</f>
        <v>3230715.2842468307</v>
      </c>
      <c r="N94" s="24">
        <f>'[1]资源-钻石'!X94</f>
        <v>7611567.74294555</v>
      </c>
      <c r="P94" s="28">
        <v>91</v>
      </c>
      <c r="Q94" s="28">
        <f>'[1]功能-行军令'!N94</f>
        <v>25196.408589654777</v>
      </c>
      <c r="R94" s="28">
        <f>'[1]功能-行军令'!O94</f>
        <v>31465.822794773703</v>
      </c>
      <c r="S94" s="28">
        <f>'[1]功能-行军令'!P94</f>
        <v>34437.958287128611</v>
      </c>
      <c r="T94" s="28">
        <f>'[1]功能-行军令'!Q94</f>
        <v>28079.261155920252</v>
      </c>
      <c r="U94" s="28">
        <f>'[1]功能-行军令'!R94</f>
        <v>15232.872236484771</v>
      </c>
      <c r="V94" s="28">
        <f>'[1]功能-行军令'!S94</f>
        <v>1690.4085896547767</v>
      </c>
      <c r="W94" s="28">
        <f>'[1]功能-行军令'!T94</f>
        <v>2111.0189947737017</v>
      </c>
      <c r="X94" s="28">
        <f>'[1]功能-行军令'!U94</f>
        <v>2212.7652871286118</v>
      </c>
      <c r="Y94" s="28">
        <f>'[1]功能-行军令'!V94</f>
        <v>1825.9207559202514</v>
      </c>
      <c r="Z94" s="28">
        <f>'[1]功能-行军令'!W94</f>
        <v>969.32923648476935</v>
      </c>
      <c r="AC94" s="30">
        <v>91</v>
      </c>
      <c r="AD94" s="41">
        <f>'[1]功能-实力'!BE95</f>
        <v>9779802</v>
      </c>
      <c r="AE94" s="41">
        <f>'[1]功能-实力'!BF95</f>
        <v>10733574</v>
      </c>
      <c r="AF94" s="41">
        <f>'[1]功能-实力'!BG95</f>
        <v>12190122</v>
      </c>
      <c r="AG94" s="41">
        <f>'[1]功能-实力'!BH95</f>
        <v>14297868</v>
      </c>
      <c r="AH94" s="41">
        <f>'[1]功能-实力'!BI95</f>
        <v>14819658</v>
      </c>
      <c r="AL94" s="66" t="s">
        <v>176</v>
      </c>
      <c r="AM94" s="66"/>
      <c r="AO94" s="17"/>
      <c r="AP94" s="17"/>
      <c r="AQ94" s="17"/>
      <c r="AR94" s="17"/>
      <c r="AS94" s="17"/>
      <c r="AW94" s="32">
        <v>88</v>
      </c>
      <c r="AX94" s="32">
        <f>[1]节奏总纲!BJ91</f>
        <v>3.4999999999999978</v>
      </c>
      <c r="AY94" s="32">
        <f>[1]节奏总纲!BK91</f>
        <v>3.5699999999999976</v>
      </c>
      <c r="AZ94" s="32">
        <f>[1]节奏总纲!BL91</f>
        <v>3.7099999999999977</v>
      </c>
      <c r="BA94" s="32">
        <f>[1]节奏总纲!BM91</f>
        <v>3.9899999999999971</v>
      </c>
      <c r="BB94" s="32">
        <f>[1]节奏总纲!BN91</f>
        <v>4.8999999999999968</v>
      </c>
      <c r="BF94" s="42">
        <f>'[1]功能-行军令'!FZ92</f>
        <v>88</v>
      </c>
      <c r="BG94" s="42">
        <f>'[1]功能-行军令'!GA92*'[1]功能-行军令'!GB92</f>
        <v>431.53803781934931</v>
      </c>
      <c r="BN94" s="49">
        <v>89</v>
      </c>
      <c r="BO94" s="17">
        <f>'[1]资源-木石铜粮'!U94</f>
        <v>34487873779.307961</v>
      </c>
      <c r="BP94" s="17">
        <f>'[1]资源-木石铜粮'!V94</f>
        <v>40025015059.194397</v>
      </c>
      <c r="BQ94" s="17">
        <f>'[1]资源-木石铜粮'!W94</f>
        <v>44615247865.778198</v>
      </c>
      <c r="BR94" s="17">
        <f>'[1]资源-木石铜粮'!X94</f>
        <v>36730340187.803452</v>
      </c>
      <c r="BS94" s="17">
        <f>'[1]资源-木石铜粮'!Y94</f>
        <v>30689461205.717617</v>
      </c>
      <c r="BV94" s="49">
        <v>89</v>
      </c>
      <c r="BW94" s="47">
        <f>'[1]功能-城建'!EQ92+[1]养成buff汇总!H94+'[1]功能-采集'!BS93+[2]产出汇总!AY94+[1]养成buff汇总!GY94</f>
        <v>21295614444.159416</v>
      </c>
      <c r="BX94" s="47">
        <f>'[1]功能-城建'!ER92+[1]养成buff汇总!I94+'[1]功能-采集'!BT93+[2]产出汇总!AZ94+[1]养成buff汇总!GZ94</f>
        <v>14121277645.604227</v>
      </c>
      <c r="BY94" s="47">
        <f>'[1]功能-城建'!ES92+[1]养成buff汇总!J94+'[1]功能-采集'!BU93+[2]产出汇总!BA94+[1]养成buff汇总!HA94</f>
        <v>15826428496.864424</v>
      </c>
      <c r="BZ94" s="47">
        <f>'[1]功能-城建'!ET92+[1]养成buff汇总!K94+'[1]功能-采集'!BV93+[2]产出汇总!BB94+[1]养成buff汇总!HB94</f>
        <v>8959702185.0339165</v>
      </c>
      <c r="CA94" s="47">
        <f>'[1]功能-城建'!EU92+[1]养成buff汇总!L94+'[1]功能-采集'!BW93+[2]产出汇总!BC94+[1]养成buff汇总!HC94</f>
        <v>7178243945.6645374</v>
      </c>
      <c r="CD94" s="49">
        <v>89</v>
      </c>
      <c r="CE94" s="44">
        <f>'[1]资源-铁'!T94</f>
        <v>5364145178.169178</v>
      </c>
      <c r="CF94" s="44">
        <f>'[1]资源-铁'!U94</f>
        <v>7352959752.9750929</v>
      </c>
      <c r="CG94" s="44">
        <f>'[1]资源-铁'!V94</f>
        <v>9851813250.8116684</v>
      </c>
      <c r="CH94" s="44">
        <f>'[1]资源-铁'!W94</f>
        <v>13322365244.084209</v>
      </c>
      <c r="CI94" s="44">
        <f>'[1]资源-铁'!X94</f>
        <v>19982839981.26712</v>
      </c>
      <c r="CL94" s="49">
        <v>89</v>
      </c>
      <c r="CM94" s="44">
        <f>'[1]功能-城建'!HF92+[1]养成buff汇总!S94+'[1]功能-采集'!BX93</f>
        <v>5910283684.3104219</v>
      </c>
      <c r="CN94" s="44">
        <f>'[1]功能-城建'!HG92+[1]养成buff汇总!T94+'[1]功能-采集'!BY93</f>
        <v>4021242357.9721861</v>
      </c>
      <c r="CO94" s="44">
        <f>'[1]功能-城建'!HH92+[1]养成buff汇总!U94+'[1]功能-采集'!BZ93</f>
        <v>4580635070.8905659</v>
      </c>
      <c r="CP94" s="44">
        <f>'[1]功能-城建'!HI92+[1]养成buff汇总!V94+'[1]功能-采集'!CA93</f>
        <v>2621315833.7529554</v>
      </c>
      <c r="CQ94" s="44">
        <f>'[1]功能-城建'!HJ92+[1]养成buff汇总!W94+'[1]功能-采集'!CB93</f>
        <v>2035166735.4981933</v>
      </c>
      <c r="CT94" s="49">
        <v>89</v>
      </c>
      <c r="CU94" s="17">
        <f>'[1]资源-玩家城池建筑时间'!AJ94+CU93</f>
        <v>299159660.97102028</v>
      </c>
      <c r="CV94" s="17">
        <f>'[1]资源-玩家城池建筑时间'!AK94+CV93</f>
        <v>325052545.88053143</v>
      </c>
      <c r="CW94" s="17">
        <f>'[1]资源-玩家城池建筑时间'!AL94+CW93</f>
        <v>352305470.81107163</v>
      </c>
      <c r="CX94" s="17">
        <f>'[1]资源-玩家城池建筑时间'!AM94+CX93</f>
        <v>383220315.79707217</v>
      </c>
      <c r="CY94" s="17">
        <f>'[1]资源-玩家城池建筑时间'!AN94+CY93</f>
        <v>414886937.45349354</v>
      </c>
      <c r="DB94" s="49">
        <v>89</v>
      </c>
      <c r="DC94" s="17">
        <f>'[1]资源-士兵训练时间'!U94</f>
        <v>88984041.903669789</v>
      </c>
      <c r="DD94" s="17">
        <f>'[1]资源-士兵训练时间'!V94</f>
        <v>129546302.76541674</v>
      </c>
      <c r="DE94" s="17">
        <f>'[1]资源-士兵训练时间'!W94</f>
        <v>174513775.39879477</v>
      </c>
      <c r="DF94" s="17">
        <f>'[1]资源-士兵训练时间'!X94</f>
        <v>234357905.55775818</v>
      </c>
      <c r="DG94" s="17">
        <f>'[1]资源-士兵训练时间'!Y94</f>
        <v>379301933.60351419</v>
      </c>
    </row>
    <row r="95" spans="2:111" x14ac:dyDescent="0.15">
      <c r="B95" s="23">
        <v>92</v>
      </c>
      <c r="C95" s="24">
        <f>'[1]资源-钻石'!L95</f>
        <v>2703040.311082602</v>
      </c>
      <c r="D95" s="24">
        <f>'[1]资源-钻石'!M95</f>
        <v>3563389.690239693</v>
      </c>
      <c r="E95" s="24">
        <f>'[1]资源-钻石'!N95</f>
        <v>5021152.2901750673</v>
      </c>
      <c r="F95" s="24">
        <f>'[1]资源-钻石'!O95</f>
        <v>9925728.2905510161</v>
      </c>
      <c r="G95" s="24">
        <f>'[1]资源-钻石'!P95</f>
        <v>12933733.657171423</v>
      </c>
      <c r="I95" s="23">
        <v>92</v>
      </c>
      <c r="J95" s="24">
        <f>'[1]资源-钻石'!T95</f>
        <v>559937.59627047344</v>
      </c>
      <c r="K95" s="24">
        <f>'[1]资源-钻石'!U95</f>
        <v>772981.00550536881</v>
      </c>
      <c r="L95" s="24">
        <f>'[1]资源-钻石'!V95</f>
        <v>1267157.3379128124</v>
      </c>
      <c r="M95" s="24">
        <f>'[1]资源-钻石'!W95</f>
        <v>3264472.9976381697</v>
      </c>
      <c r="N95" s="24">
        <f>'[1]资源-钻石'!X95</f>
        <v>7691696.7410455737</v>
      </c>
      <c r="P95" s="28">
        <v>92</v>
      </c>
      <c r="Q95" s="28">
        <f>'[1]功能-行军令'!N95</f>
        <v>27008.143656890144</v>
      </c>
      <c r="R95" s="28">
        <f>'[1]功能-行军令'!O95</f>
        <v>33653.614830379513</v>
      </c>
      <c r="S95" s="28">
        <f>'[1]功能-行军令'!P95</f>
        <v>36866.116091655043</v>
      </c>
      <c r="T95" s="28">
        <f>'[1]功能-行军令'!Q95</f>
        <v>30031.764052634771</v>
      </c>
      <c r="U95" s="28">
        <f>'[1]功能-行军令'!R95</f>
        <v>16237.472106589683</v>
      </c>
      <c r="V95" s="28">
        <f>'[1]功能-行军令'!S95</f>
        <v>1811.7350672353678</v>
      </c>
      <c r="W95" s="28">
        <f>'[1]功能-行军令'!T95</f>
        <v>2187.7920356058094</v>
      </c>
      <c r="X95" s="28">
        <f>'[1]功能-行军令'!U95</f>
        <v>2428.1578045264323</v>
      </c>
      <c r="Y95" s="28">
        <f>'[1]功能-行军令'!V95</f>
        <v>1952.502896714519</v>
      </c>
      <c r="Z95" s="28">
        <f>'[1]功能-行军令'!W95</f>
        <v>1004.599870104912</v>
      </c>
      <c r="AC95" s="30">
        <v>92</v>
      </c>
      <c r="AD95" s="41">
        <f>'[1]功能-实力'!BE96</f>
        <v>10083486</v>
      </c>
      <c r="AE95" s="41">
        <f>'[1]功能-实力'!BF96</f>
        <v>11167860</v>
      </c>
      <c r="AF95" s="41">
        <f>'[1]功能-实力'!BG96</f>
        <v>12573990</v>
      </c>
      <c r="AG95" s="41">
        <f>'[1]功能-实力'!BH96</f>
        <v>14673240</v>
      </c>
      <c r="AH95" s="41">
        <f>'[1]功能-实力'!BI96</f>
        <v>15248718</v>
      </c>
      <c r="AL95" s="66"/>
      <c r="AM95" s="66"/>
      <c r="AO95" s="66" t="s">
        <v>172</v>
      </c>
      <c r="AP95" s="66"/>
      <c r="AQ95" s="66"/>
      <c r="AR95" s="66"/>
      <c r="AS95" s="66"/>
      <c r="AW95" s="32">
        <v>89</v>
      </c>
      <c r="AX95" s="32">
        <f>[1]节奏总纲!BJ92</f>
        <v>3.4999999999999978</v>
      </c>
      <c r="AY95" s="32">
        <f>[1]节奏总纲!BK92</f>
        <v>3.5699999999999976</v>
      </c>
      <c r="AZ95" s="32">
        <f>[1]节奏总纲!BL92</f>
        <v>3.7099999999999977</v>
      </c>
      <c r="BA95" s="32">
        <f>[1]节奏总纲!BM92</f>
        <v>3.9899999999999971</v>
      </c>
      <c r="BB95" s="32">
        <f>[1]节奏总纲!BN92</f>
        <v>4.8999999999999968</v>
      </c>
      <c r="BF95" s="42">
        <f>'[1]功能-行军令'!FZ93</f>
        <v>89</v>
      </c>
      <c r="BG95" s="42">
        <f>'[1]功能-行军令'!GA93*'[1]功能-行军令'!GB93</f>
        <v>440.16879857573633</v>
      </c>
      <c r="BN95" s="49">
        <v>90</v>
      </c>
      <c r="BO95" s="17">
        <f>'[1]资源-木石铜粮'!U95</f>
        <v>37485022710.558479</v>
      </c>
      <c r="BP95" s="17">
        <f>'[1]资源-木石铜粮'!V95</f>
        <v>43151269759.096672</v>
      </c>
      <c r="BQ95" s="17">
        <f>'[1]资源-木石铜粮'!W95</f>
        <v>47958950736.110115</v>
      </c>
      <c r="BR95" s="17">
        <f>'[1]资源-木石铜粮'!X95</f>
        <v>41131685196.998344</v>
      </c>
      <c r="BS95" s="17">
        <f>'[1]资源-木石铜粮'!Y95</f>
        <v>33252402308.699463</v>
      </c>
      <c r="BV95" s="49">
        <v>90</v>
      </c>
      <c r="BW95" s="47">
        <f>'[1]功能-城建'!EQ93+[1]养成buff汇总!H95+'[1]功能-采集'!BS94+[2]产出汇总!AY95+[1]养成buff汇总!GY95</f>
        <v>23421111336.768066</v>
      </c>
      <c r="BX95" s="47">
        <f>'[1]功能-城建'!ER93+[1]养成buff汇总!I95+'[1]功能-采集'!BT94+[2]产出汇总!AZ95+[1]养成buff汇总!GZ95</f>
        <v>15347346017.931992</v>
      </c>
      <c r="BY95" s="47">
        <f>'[1]功能-城建'!ES93+[1]养成buff汇总!J95+'[1]功能-采集'!BU94+[2]产出汇总!BA95+[1]养成buff汇总!HA95</f>
        <v>17262719225.27956</v>
      </c>
      <c r="BZ95" s="47">
        <f>'[1]功能-城建'!ET93+[1]养成buff汇总!K95+'[1]功能-采集'!BV94+[2]产出汇总!BB95+[1]养成buff汇总!HB95</f>
        <v>9696221909.1020012</v>
      </c>
      <c r="CA95" s="47">
        <f>'[1]功能-城建'!EU93+[1]养成buff汇总!L95+'[1]功能-采集'!BW94+[2]产出汇总!BC95+[1]养成buff汇总!HC95</f>
        <v>7791093269.0569897</v>
      </c>
      <c r="CD95" s="49">
        <v>90</v>
      </c>
      <c r="CE95" s="44">
        <f>'[1]资源-铁'!T95</f>
        <v>6141659274.1244392</v>
      </c>
      <c r="CF95" s="44">
        <f>'[1]资源-铁'!U95</f>
        <v>8172818029.3031731</v>
      </c>
      <c r="CG95" s="44">
        <f>'[1]资源-铁'!V95</f>
        <v>10947706522.775585</v>
      </c>
      <c r="CH95" s="44">
        <f>'[1]资源-铁'!W95</f>
        <v>14971751256.541138</v>
      </c>
      <c r="CI95" s="44">
        <f>'[1]资源-铁'!X95</f>
        <v>22409307031.391739</v>
      </c>
      <c r="CL95" s="49">
        <v>90</v>
      </c>
      <c r="CM95" s="44">
        <f>'[1]功能-城建'!HF93+[1]养成buff汇总!S95+'[1]功能-采集'!BX94</f>
        <v>6602264005.0559921</v>
      </c>
      <c r="CN95" s="44">
        <f>'[1]功能-城建'!HG93+[1]养成buff汇总!T95+'[1]功能-采集'!BY94</f>
        <v>4422234298.3678713</v>
      </c>
      <c r="CO95" s="44">
        <f>'[1]功能-城建'!HH93+[1]养成buff汇总!U95+'[1]功能-采集'!BZ94</f>
        <v>5079063145.7634106</v>
      </c>
      <c r="CP95" s="44">
        <f>'[1]功能-城建'!HI93+[1]养成buff汇总!V95+'[1]功能-采集'!CA94</f>
        <v>2864752495.6355667</v>
      </c>
      <c r="CQ95" s="44">
        <f>'[1]功能-城建'!HJ93+[1]养成buff汇总!W95+'[1]功能-采集'!CB94</f>
        <v>2237338575.946631</v>
      </c>
      <c r="CT95" s="49">
        <v>90</v>
      </c>
      <c r="CU95" s="17">
        <f>'[1]资源-玩家城池建筑时间'!AJ95+CU94</f>
        <v>322485475.05685627</v>
      </c>
      <c r="CV95" s="17">
        <f>'[1]资源-玩家城池建筑时间'!AK95+CV94</f>
        <v>347713608.32938945</v>
      </c>
      <c r="CW95" s="17">
        <f>'[1]资源-玩家城池建筑时间'!AL95+CW94</f>
        <v>376821276.36928356</v>
      </c>
      <c r="CX95" s="17">
        <f>'[1]资源-玩家城池建筑时间'!AM95+CX94</f>
        <v>405275650.34877712</v>
      </c>
      <c r="CY95" s="17">
        <f>'[1]资源-玩家城池建筑时间'!AN95+CY94</f>
        <v>437999549.27422726</v>
      </c>
      <c r="DB95" s="49">
        <v>90</v>
      </c>
      <c r="DC95" s="17">
        <f>'[1]资源-士兵训练时间'!U95</f>
        <v>96448697.629160464</v>
      </c>
      <c r="DD95" s="17">
        <f>'[1]资源-士兵训练时间'!V95</f>
        <v>137915209.72105479</v>
      </c>
      <c r="DE95" s="17">
        <f>'[1]资源-士兵训练时间'!W95</f>
        <v>186858491.49733549</v>
      </c>
      <c r="DF95" s="17">
        <f>'[1]资源-士兵训练时间'!X95</f>
        <v>269264732.10151058</v>
      </c>
      <c r="DG95" s="17">
        <f>'[1]资源-士兵训练时间'!Y95</f>
        <v>427766859.78982282</v>
      </c>
    </row>
    <row r="96" spans="2:111" x14ac:dyDescent="0.15">
      <c r="B96" s="23">
        <v>93</v>
      </c>
      <c r="C96" s="24">
        <f>'[1]资源-钻石'!L96</f>
        <v>2821026.6523915008</v>
      </c>
      <c r="D96" s="24">
        <f>'[1]资源-钻石'!M96</f>
        <v>3743507.4134459496</v>
      </c>
      <c r="E96" s="24">
        <f>'[1]资源-钻石'!N96</f>
        <v>5292548.1456104517</v>
      </c>
      <c r="F96" s="24">
        <f>'[1]资源-钻石'!O96</f>
        <v>10602071.32398789</v>
      </c>
      <c r="G96" s="24">
        <f>'[1]资源-钻石'!P96</f>
        <v>13788370.444803586</v>
      </c>
      <c r="I96" s="23">
        <v>93</v>
      </c>
      <c r="J96" s="24">
        <f>'[1]资源-钻石'!T96</f>
        <v>564386.56896499591</v>
      </c>
      <c r="K96" s="24">
        <f>'[1]资源-钻石'!U96</f>
        <v>779568.81359795155</v>
      </c>
      <c r="L96" s="24">
        <f>'[1]资源-钻石'!V96</f>
        <v>1278695.0964313531</v>
      </c>
      <c r="M96" s="24">
        <f>'[1]资源-钻石'!W96</f>
        <v>3298230.7110295086</v>
      </c>
      <c r="N96" s="24">
        <f>'[1]资源-钻石'!X96</f>
        <v>7771825.7391455984</v>
      </c>
      <c r="P96" s="28">
        <v>93</v>
      </c>
      <c r="Q96" s="28">
        <f>'[1]功能-行军令'!N96</f>
        <v>28949.913223099466</v>
      </c>
      <c r="R96" s="28">
        <f>'[1]功能-行军令'!O96</f>
        <v>36068.948623035481</v>
      </c>
      <c r="S96" s="28">
        <f>'[1]功能-行军令'!P96</f>
        <v>39465.088117074862</v>
      </c>
      <c r="T96" s="28">
        <f>'[1]功能-行军令'!Q96</f>
        <v>32087.20273216796</v>
      </c>
      <c r="U96" s="28">
        <f>'[1]功能-行军令'!R96</f>
        <v>17340.054001727131</v>
      </c>
      <c r="V96" s="28">
        <f>'[1]功能-行军令'!S96</f>
        <v>1941.7695662093211</v>
      </c>
      <c r="W96" s="28">
        <f>'[1]功能-行军令'!T96</f>
        <v>2415.3337926559689</v>
      </c>
      <c r="X96" s="28">
        <f>'[1]功能-行军令'!U96</f>
        <v>2598.9720254198182</v>
      </c>
      <c r="Y96" s="28">
        <f>'[1]功能-行军令'!V96</f>
        <v>2055.4386795331884</v>
      </c>
      <c r="Z96" s="28">
        <f>'[1]功能-行军令'!W96</f>
        <v>1102.5818951374476</v>
      </c>
      <c r="AC96" s="30">
        <v>93</v>
      </c>
      <c r="AD96" s="41">
        <f>'[1]功能-实力'!BE97</f>
        <v>10376352</v>
      </c>
      <c r="AE96" s="41">
        <f>'[1]功能-实力'!BF97</f>
        <v>11623938</v>
      </c>
      <c r="AF96" s="41">
        <f>'[1]功能-实力'!BG97</f>
        <v>12977526</v>
      </c>
      <c r="AG96" s="41">
        <f>'[1]功能-实力'!BH97</f>
        <v>15059670</v>
      </c>
      <c r="AH96" s="41">
        <f>'[1]功能-实力'!BI97</f>
        <v>15686502</v>
      </c>
      <c r="AL96" s="37" t="s">
        <v>173</v>
      </c>
      <c r="AM96" s="37" t="s">
        <v>174</v>
      </c>
      <c r="AO96" s="37" t="s">
        <v>25</v>
      </c>
      <c r="AP96" s="37" t="s">
        <v>1</v>
      </c>
      <c r="AQ96" s="37" t="s">
        <v>2</v>
      </c>
      <c r="AR96" s="37" t="s">
        <v>0</v>
      </c>
      <c r="AS96" s="37" t="s">
        <v>169</v>
      </c>
      <c r="AW96" s="32">
        <v>90</v>
      </c>
      <c r="AX96" s="32">
        <f>[1]节奏总纲!BJ93</f>
        <v>3.4999999999999978</v>
      </c>
      <c r="AY96" s="32">
        <f>[1]节奏总纲!BK93</f>
        <v>3.5699999999999976</v>
      </c>
      <c r="AZ96" s="32">
        <f>[1]节奏总纲!BL93</f>
        <v>3.7099999999999977</v>
      </c>
      <c r="BA96" s="32">
        <f>[1]节奏总纲!BM93</f>
        <v>3.9899999999999971</v>
      </c>
      <c r="BB96" s="32">
        <f>[1]节奏总纲!BN93</f>
        <v>4.8999999999999968</v>
      </c>
      <c r="BF96" s="42">
        <f>'[1]功能-行军令'!FZ94</f>
        <v>90</v>
      </c>
      <c r="BG96" s="42">
        <f>'[1]功能-行军令'!GA94*'[1]功能-行军令'!GB94</f>
        <v>448.97217454725109</v>
      </c>
      <c r="BN96" s="49">
        <v>91</v>
      </c>
      <c r="BO96" s="17">
        <f>'[1]资源-木石铜粮'!U96</f>
        <v>40783407131.578819</v>
      </c>
      <c r="BP96" s="17">
        <f>'[1]资源-木石铜粮'!V96</f>
        <v>46835193806.688774</v>
      </c>
      <c r="BQ96" s="17">
        <f>'[1]资源-木石铜粮'!W96</f>
        <v>51752030759.014015</v>
      </c>
      <c r="BR96" s="17">
        <f>'[1]资源-木石铜粮'!X96</f>
        <v>46423955529.794998</v>
      </c>
      <c r="BS96" s="17">
        <f>'[1]资源-木石铜粮'!Y96</f>
        <v>36338322389.530327</v>
      </c>
      <c r="BV96" s="49">
        <v>91</v>
      </c>
      <c r="BW96" s="47">
        <f>'[1]功能-城建'!EQ94+[1]养成buff汇总!H96+'[1]功能-采集'!BS95+[2]产出汇总!AY96+[1]养成buff汇总!GY96</f>
        <v>25924588437.928844</v>
      </c>
      <c r="BX96" s="47">
        <f>'[1]功能-城建'!ER94+[1]养成buff汇总!I96+'[1]功能-采集'!BT95+[2]产出汇总!AZ96+[1]养成buff汇总!GZ96</f>
        <v>16931031945.911663</v>
      </c>
      <c r="BY96" s="47">
        <f>'[1]功能-城建'!ES94+[1]养成buff汇总!J96+'[1]功能-采集'!BU95+[2]产出汇总!BA96+[1]养成buff汇总!HA96</f>
        <v>19055816670.722164</v>
      </c>
      <c r="BZ96" s="47">
        <f>'[1]功能-城建'!ET94+[1]养成buff汇总!K96+'[1]功能-采集'!BV95+[2]产出汇总!BB96+[1]养成buff汇总!HB96</f>
        <v>10669151656.347799</v>
      </c>
      <c r="CA96" s="47">
        <f>'[1]功能-城建'!EU94+[1]养成buff汇总!L96+'[1]功能-采集'!BW95+[2]产出汇总!BC96+[1]养成buff汇总!HC96</f>
        <v>8607463113.1795006</v>
      </c>
      <c r="CD96" s="49">
        <v>91</v>
      </c>
      <c r="CE96" s="44">
        <f>'[1]资源-铁'!T96</f>
        <v>6871218661.4310112</v>
      </c>
      <c r="CF96" s="44">
        <f>'[1]资源-铁'!U96</f>
        <v>9151674278.0440407</v>
      </c>
      <c r="CG96" s="44">
        <f>'[1]资源-铁'!V96</f>
        <v>12492637457.535376</v>
      </c>
      <c r="CH96" s="44">
        <f>'[1]资源-铁'!W96</f>
        <v>16977763939.397148</v>
      </c>
      <c r="CI96" s="44">
        <f>'[1]资源-铁'!X96</f>
        <v>25626283139.810043</v>
      </c>
      <c r="CL96" s="49">
        <v>91</v>
      </c>
      <c r="CM96" s="44">
        <f>'[1]功能-城建'!HF94+[1]养成buff汇总!S96+'[1]功能-采集'!BX95</f>
        <v>7410748903.1791182</v>
      </c>
      <c r="CN96" s="44">
        <f>'[1]功能-城建'!HG94+[1]养成buff汇总!T96+'[1]功能-采集'!BY95</f>
        <v>4937816632.6610565</v>
      </c>
      <c r="CO96" s="44">
        <f>'[1]功能-城建'!HH94+[1]养成buff汇总!U96+'[1]功能-采集'!BZ95</f>
        <v>5693476678.3543758</v>
      </c>
      <c r="CP96" s="44">
        <f>'[1]功能-城建'!HI94+[1]养成buff汇总!V96+'[1]功能-采集'!CA95</f>
        <v>3184023740.1250525</v>
      </c>
      <c r="CQ96" s="44">
        <f>'[1]功能-城建'!HJ94+[1]养成buff汇总!W96+'[1]功能-采集'!CB95</f>
        <v>2506187261.8478985</v>
      </c>
      <c r="CT96" s="49">
        <v>91</v>
      </c>
      <c r="CU96" s="17">
        <f>'[1]资源-玩家城池建筑时间'!AJ96+CU95</f>
        <v>347771244.29768199</v>
      </c>
      <c r="CV96" s="17">
        <f>'[1]资源-玩家城池建筑时间'!AK96+CV95</f>
        <v>374813631.51324439</v>
      </c>
      <c r="CW96" s="17">
        <f>'[1]资源-玩家城池建筑时间'!AL96+CW95</f>
        <v>401350455.50209904</v>
      </c>
      <c r="CX96" s="17">
        <f>'[1]资源-玩家城池建筑时间'!AM96+CX95</f>
        <v>432099741.55678225</v>
      </c>
      <c r="CY96" s="17">
        <f>'[1]资源-玩家城池建筑时间'!AN96+CY95</f>
        <v>463507474.70879906</v>
      </c>
      <c r="DB96" s="49">
        <v>91</v>
      </c>
      <c r="DC96" s="17">
        <f>'[1]资源-士兵训练时间'!U96</f>
        <v>103452371.34996837</v>
      </c>
      <c r="DD96" s="17">
        <f>'[1]资源-士兵训练时间'!V96</f>
        <v>147923459.46808928</v>
      </c>
      <c r="DE96" s="17">
        <f>'[1]资源-士兵训练时间'!W96</f>
        <v>219210294.30958045</v>
      </c>
      <c r="DF96" s="17">
        <f>'[1]资源-士兵训练时间'!X96</f>
        <v>311719037.05873215</v>
      </c>
      <c r="DG96" s="17">
        <f>'[1]资源-士兵训练时间'!Y96</f>
        <v>480244198.86950856</v>
      </c>
    </row>
    <row r="97" spans="2:111" x14ac:dyDescent="0.15">
      <c r="B97" s="23">
        <v>94</v>
      </c>
      <c r="C97" s="24">
        <f>'[1]资源-钻石'!L97</f>
        <v>2939012.9937003995</v>
      </c>
      <c r="D97" s="24">
        <f>'[1]资源-钻石'!M97</f>
        <v>3923625.1366522061</v>
      </c>
      <c r="E97" s="24">
        <f>'[1]资源-钻石'!N97</f>
        <v>5563944.0010458361</v>
      </c>
      <c r="F97" s="24">
        <f>'[1]资源-钻石'!O97</f>
        <v>11319927.925257117</v>
      </c>
      <c r="G97" s="24">
        <f>'[1]资源-钻石'!P97</f>
        <v>14689958.208127284</v>
      </c>
      <c r="I97" s="23">
        <v>94</v>
      </c>
      <c r="J97" s="24">
        <f>'[1]资源-钻石'!T97</f>
        <v>568835.54165951849</v>
      </c>
      <c r="K97" s="24">
        <f>'[1]资源-钻石'!U97</f>
        <v>786156.62169053417</v>
      </c>
      <c r="L97" s="24">
        <f>'[1]资源-钻石'!V97</f>
        <v>1290232.8549498941</v>
      </c>
      <c r="M97" s="24">
        <f>'[1]资源-钻石'!W97</f>
        <v>3331166.1404448836</v>
      </c>
      <c r="N97" s="24">
        <f>'[1]资源-钻石'!X97</f>
        <v>7851954.7372456221</v>
      </c>
      <c r="P97" s="28">
        <v>94</v>
      </c>
      <c r="Q97" s="28">
        <f>'[1]功能-行军令'!N97</f>
        <v>31031.050314523203</v>
      </c>
      <c r="R97" s="28">
        <f>'[1]功能-行军令'!O97</f>
        <v>38612.138282776315</v>
      </c>
      <c r="S97" s="28">
        <f>'[1]功能-行军令'!P97</f>
        <v>42228.469902908837</v>
      </c>
      <c r="T97" s="28">
        <f>'[1]功能-行军令'!Q97</f>
        <v>34268.803120818542</v>
      </c>
      <c r="U97" s="28">
        <f>'[1]功能-行军令'!R97</f>
        <v>18503.208173304902</v>
      </c>
      <c r="V97" s="28">
        <f>'[1]功能-行军令'!S97</f>
        <v>2081.1370914237377</v>
      </c>
      <c r="W97" s="28">
        <f>'[1]功能-行军令'!T97</f>
        <v>2543.189659740834</v>
      </c>
      <c r="X97" s="28">
        <f>'[1]功能-行军令'!U97</f>
        <v>2763.3817858339753</v>
      </c>
      <c r="Y97" s="28">
        <f>'[1]功能-行军令'!V97</f>
        <v>2181.6003886505823</v>
      </c>
      <c r="Z97" s="28">
        <f>'[1]功能-行军令'!W97</f>
        <v>1163.1541715777712</v>
      </c>
      <c r="AC97" s="30">
        <v>94</v>
      </c>
      <c r="AD97" s="41">
        <f>'[1]功能-实力'!BE98</f>
        <v>10684974</v>
      </c>
      <c r="AE97" s="41">
        <f>'[1]功能-实力'!BF98</f>
        <v>12020370</v>
      </c>
      <c r="AF97" s="41">
        <f>'[1]功能-实力'!BG98</f>
        <v>13390194</v>
      </c>
      <c r="AG97" s="41">
        <f>'[1]功能-实力'!BH98</f>
        <v>15453516</v>
      </c>
      <c r="AH97" s="41">
        <f>'[1]功能-实力'!BI98</f>
        <v>16118148</v>
      </c>
      <c r="AL97" s="37">
        <f>[3]基础状态预期!C107</f>
        <v>0.7</v>
      </c>
      <c r="AM97" s="37">
        <f>[3]基础状态预期!D107</f>
        <v>10.099965341977441</v>
      </c>
      <c r="AO97" s="37">
        <f>[3]基础状态预期!F107</f>
        <v>0</v>
      </c>
      <c r="AP97" s="37">
        <f>[3]基础状态预期!G107</f>
        <v>0</v>
      </c>
      <c r="AQ97" s="37">
        <f>[3]基础状态预期!H107</f>
        <v>2</v>
      </c>
      <c r="AR97" s="37">
        <f>[3]基础状态预期!I107</f>
        <v>4</v>
      </c>
      <c r="AS97" s="37">
        <f>[3]基础状态预期!J107</f>
        <v>0</v>
      </c>
      <c r="AW97" s="32">
        <v>91</v>
      </c>
      <c r="AX97" s="32">
        <f>[1]节奏总纲!BJ94</f>
        <v>3.4999999999999978</v>
      </c>
      <c r="AY97" s="32">
        <f>[1]节奏总纲!BK94</f>
        <v>3.5699999999999976</v>
      </c>
      <c r="AZ97" s="32">
        <f>[1]节奏总纲!BL94</f>
        <v>3.7099999999999977</v>
      </c>
      <c r="BA97" s="32">
        <f>[1]节奏总纲!BM94</f>
        <v>3.9899999999999971</v>
      </c>
      <c r="BB97" s="32">
        <f>[1]节奏总纲!BN94</f>
        <v>4.8999999999999968</v>
      </c>
      <c r="BF97" s="42">
        <f>'[1]功能-行军令'!FZ95</f>
        <v>91</v>
      </c>
      <c r="BG97" s="42">
        <f>'[1]功能-行军令'!GA95*'[1]功能-行军令'!GB95</f>
        <v>457.9516180381961</v>
      </c>
      <c r="BN97" s="49">
        <v>92</v>
      </c>
      <c r="BO97" s="17">
        <f>'[1]资源-木石铜粮'!U97</f>
        <v>44365944105.964981</v>
      </c>
      <c r="BP97" s="17">
        <f>'[1]资源-木石铜粮'!V97</f>
        <v>50736792854.294327</v>
      </c>
      <c r="BQ97" s="17">
        <f>'[1]资源-木石铜粮'!W97</f>
        <v>55969370776.696541</v>
      </c>
      <c r="BR97" s="17">
        <f>'[1]资源-木石铜粮'!X97</f>
        <v>52274681801.787071</v>
      </c>
      <c r="BS97" s="17">
        <f>'[1]资源-木石铜粮'!Y97</f>
        <v>39823906883.892746</v>
      </c>
      <c r="BV97" s="49">
        <v>92</v>
      </c>
      <c r="BW97" s="47">
        <f>'[1]功能-城建'!EQ95+[1]养成buff汇总!H97+'[1]功能-采集'!BS96+[2]产出汇总!AY97+[1]养成buff汇总!GY97</f>
        <v>28817872071.076614</v>
      </c>
      <c r="BX97" s="47">
        <f>'[1]功能-城建'!ER95+[1]养成buff汇总!I97+'[1]功能-采集'!BT96+[2]产出汇总!AZ97+[1]养成buff汇总!GZ97</f>
        <v>18717223097.6339</v>
      </c>
      <c r="BY97" s="47">
        <f>'[1]功能-城建'!ES95+[1]养成buff汇总!J97+'[1]功能-采集'!BU96+[2]产出汇总!BA97+[1]养成buff汇总!HA97</f>
        <v>21174540118.16637</v>
      </c>
      <c r="BZ97" s="47">
        <f>'[1]功能-城建'!ET95+[1]养成buff汇总!K97+'[1]功能-采集'!BV96+[2]产出汇总!BB97+[1]养成buff汇总!HB97</f>
        <v>11802964080.862316</v>
      </c>
      <c r="CA97" s="47">
        <f>'[1]功能-城建'!EU95+[1]养成buff汇总!L97+'[1]功能-采集'!BW96+[2]产出汇总!BC97+[1]养成buff汇总!HC97</f>
        <v>9541339833.086174</v>
      </c>
      <c r="CD97" s="49">
        <v>92</v>
      </c>
      <c r="CE97" s="44">
        <f>'[1]资源-铁'!T97</f>
        <v>7653141052.0904226</v>
      </c>
      <c r="CF97" s="44">
        <f>'[1]资源-铁'!U97</f>
        <v>10413658272.186987</v>
      </c>
      <c r="CG97" s="44">
        <f>'[1]资源-铁'!V97</f>
        <v>14184339226.328045</v>
      </c>
      <c r="CH97" s="44">
        <f>'[1]资源-铁'!W97</f>
        <v>19531061766.445683</v>
      </c>
      <c r="CI97" s="44">
        <f>'[1]资源-铁'!X97</f>
        <v>29022330298.468193</v>
      </c>
      <c r="CL97" s="49">
        <v>92</v>
      </c>
      <c r="CM97" s="44">
        <f>'[1]功能-城建'!HF95+[1]养成buff汇总!S97+'[1]功能-采集'!BX96</f>
        <v>8334377978.1299562</v>
      </c>
      <c r="CN97" s="44">
        <f>'[1]功能-城建'!HG95+[1]养成buff汇总!T97+'[1]功能-采集'!BY96</f>
        <v>5518615021.6627636</v>
      </c>
      <c r="CO97" s="44">
        <f>'[1]功能-城建'!HH95+[1]养成buff汇总!U97+'[1]功能-采集'!BZ96</f>
        <v>6412457883.0128527</v>
      </c>
      <c r="CP97" s="44">
        <f>'[1]功能-城建'!HI95+[1]养成buff汇总!V97+'[1]功能-采集'!CA96</f>
        <v>3556361469.5021605</v>
      </c>
      <c r="CQ97" s="44">
        <f>'[1]功能-城建'!HJ95+[1]养成buff汇总!W97+'[1]功能-采集'!CB96</f>
        <v>2809873709.7008667</v>
      </c>
      <c r="CT97" s="49">
        <v>92</v>
      </c>
      <c r="CU97" s="17">
        <f>'[1]资源-玩家城池建筑时间'!AJ97+CU96</f>
        <v>374871860.74981517</v>
      </c>
      <c r="CV97" s="17">
        <f>'[1]资源-玩家城池建筑时间'!AK97+CV96</f>
        <v>399615854.52266169</v>
      </c>
      <c r="CW97" s="17">
        <f>'[1]资源-玩家城池建筑时间'!AL97+CW96</f>
        <v>428267326.48540235</v>
      </c>
      <c r="CX97" s="17">
        <f>'[1]资源-玩家城池建筑时间'!AM97+CX96</f>
        <v>457797371.37893969</v>
      </c>
      <c r="CY97" s="17">
        <f>'[1]资源-玩家城池建筑时间'!AN97+CY96</f>
        <v>489943547.8341136</v>
      </c>
      <c r="DB97" s="49">
        <v>92</v>
      </c>
      <c r="DC97" s="17">
        <f>'[1]资源-士兵训练时间'!U97</f>
        <v>110958722.98419303</v>
      </c>
      <c r="DD97" s="17">
        <f>'[1]资源-士兵训练时间'!V97</f>
        <v>173538008.07508636</v>
      </c>
      <c r="DE97" s="17">
        <f>'[1]资源-士兵训练时间'!W97</f>
        <v>254711250.03497952</v>
      </c>
      <c r="DF97" s="17">
        <f>'[1]资源-士兵训练时间'!X97</f>
        <v>351372621.92825896</v>
      </c>
      <c r="DG97" s="17">
        <f>'[1]资源-士兵训练时间'!Y97</f>
        <v>534631011.97553444</v>
      </c>
    </row>
    <row r="98" spans="2:111" x14ac:dyDescent="0.15">
      <c r="B98" s="23">
        <v>95</v>
      </c>
      <c r="C98" s="24">
        <f>'[1]资源-钻石'!L98</f>
        <v>3056999.3350092983</v>
      </c>
      <c r="D98" s="24">
        <f>'[1]资源-钻石'!M98</f>
        <v>4103742.8598584626</v>
      </c>
      <c r="E98" s="24">
        <f>'[1]资源-钻石'!N98</f>
        <v>5835339.8564812206</v>
      </c>
      <c r="F98" s="24">
        <f>'[1]资源-钻石'!O98</f>
        <v>12088795.734130435</v>
      </c>
      <c r="G98" s="24">
        <f>'[1]资源-钻石'!P98</f>
        <v>15760651.57770581</v>
      </c>
      <c r="I98" s="23">
        <v>95</v>
      </c>
      <c r="J98" s="24">
        <f>'[1]资源-钻石'!T98</f>
        <v>573284.51435404108</v>
      </c>
      <c r="K98" s="24">
        <f>'[1]资源-钻石'!U98</f>
        <v>792744.42978311691</v>
      </c>
      <c r="L98" s="24">
        <f>'[1]资源-钻石'!V98</f>
        <v>1301770.6134684349</v>
      </c>
      <c r="M98" s="24">
        <f>'[1]资源-钻石'!W98</f>
        <v>3363877.6748152785</v>
      </c>
      <c r="N98" s="24">
        <f>'[1]资源-钻石'!X98</f>
        <v>7932083.7353456467</v>
      </c>
      <c r="P98" s="28">
        <v>95</v>
      </c>
      <c r="Q98" s="28">
        <f>'[1]功能-行军令'!N98</f>
        <v>33261.557821011134</v>
      </c>
      <c r="R98" s="28">
        <f>'[1]功能-行军令'!O98</f>
        <v>41416.641029113518</v>
      </c>
      <c r="S98" s="28">
        <f>'[1]功能-行军令'!P98</f>
        <v>45132.246268658033</v>
      </c>
      <c r="T98" s="28">
        <f>'[1]功能-行军令'!Q98</f>
        <v>36605.428998038653</v>
      </c>
      <c r="U98" s="28">
        <f>'[1]功能-行军令'!R98</f>
        <v>19863.00694562952</v>
      </c>
      <c r="V98" s="28">
        <f>'[1]功能-行军令'!S98</f>
        <v>2230.5075064879311</v>
      </c>
      <c r="W98" s="28">
        <f>'[1]功能-行军令'!T98</f>
        <v>2804.5027463372026</v>
      </c>
      <c r="X98" s="28">
        <f>'[1]功能-行军令'!U98</f>
        <v>2903.776365749196</v>
      </c>
      <c r="Y98" s="28">
        <f>'[1]功能-行军令'!V98</f>
        <v>2336.6258772201109</v>
      </c>
      <c r="Z98" s="28">
        <f>'[1]功能-行军令'!W98</f>
        <v>1359.7987723246188</v>
      </c>
      <c r="AC98" s="30">
        <v>95</v>
      </c>
      <c r="AD98" s="41">
        <f>'[1]功能-实力'!BE99</f>
        <v>11006538</v>
      </c>
      <c r="AE98" s="41">
        <f>'[1]功能-实力'!BF99</f>
        <v>12426246</v>
      </c>
      <c r="AF98" s="41">
        <f>'[1]功能-实力'!BG99</f>
        <v>13807236</v>
      </c>
      <c r="AG98" s="41">
        <f>'[1]功能-实力'!BH99</f>
        <v>15851568</v>
      </c>
      <c r="AH98" s="41">
        <f>'[1]功能-实力'!BI99</f>
        <v>16540098</v>
      </c>
      <c r="AL98" s="37">
        <f>[3]基础状态预期!C108</f>
        <v>2.0999999999999996</v>
      </c>
      <c r="AM98" s="37">
        <f>[3]基础状态预期!D108</f>
        <v>19.800198258084681</v>
      </c>
      <c r="AO98" s="37">
        <f>[3]基础状态预期!F108</f>
        <v>0</v>
      </c>
      <c r="AP98" s="37">
        <f>[3]基础状态预期!G108</f>
        <v>0</v>
      </c>
      <c r="AQ98" s="37">
        <f>[3]基础状态预期!H108</f>
        <v>0</v>
      </c>
      <c r="AR98" s="37">
        <f>[3]基础状态预期!I108</f>
        <v>6</v>
      </c>
      <c r="AS98" s="37">
        <f>[3]基础状态预期!J108</f>
        <v>0</v>
      </c>
      <c r="AW98" s="32">
        <v>92</v>
      </c>
      <c r="AX98" s="32">
        <f>[1]节奏总纲!BJ95</f>
        <v>3.4999999999999978</v>
      </c>
      <c r="AY98" s="32">
        <f>[1]节奏总纲!BK95</f>
        <v>3.5699999999999976</v>
      </c>
      <c r="AZ98" s="32">
        <f>[1]节奏总纲!BL95</f>
        <v>3.7099999999999977</v>
      </c>
      <c r="BA98" s="32">
        <f>[1]节奏总纲!BM95</f>
        <v>3.9899999999999971</v>
      </c>
      <c r="BB98" s="32">
        <f>[1]节奏总纲!BN95</f>
        <v>4.8999999999999968</v>
      </c>
      <c r="BF98" s="42">
        <f>'[1]功能-行军令'!FZ96</f>
        <v>92</v>
      </c>
      <c r="BG98" s="42">
        <f>'[1]功能-行军令'!GA96*'[1]功能-行军令'!GB96</f>
        <v>467.11065039896005</v>
      </c>
      <c r="BN98" s="49">
        <v>93</v>
      </c>
      <c r="BO98" s="17">
        <f>'[1]资源-木石铜粮'!U98</f>
        <v>47600235230.542084</v>
      </c>
      <c r="BP98" s="17">
        <f>'[1]资源-木石铜粮'!V98</f>
        <v>54472595563.688095</v>
      </c>
      <c r="BQ98" s="17">
        <f>'[1]资源-木石铜粮'!W98</f>
        <v>60062224726.783875</v>
      </c>
      <c r="BR98" s="17">
        <f>'[1]资源-木石铜粮'!X98</f>
        <v>57957511300.409966</v>
      </c>
      <c r="BS98" s="17">
        <f>'[1]资源-木石铜粮'!Y98</f>
        <v>42768650155.108871</v>
      </c>
      <c r="BV98" s="49">
        <v>93</v>
      </c>
      <c r="BW98" s="47">
        <f>'[1]功能-城建'!EQ96+[1]养成buff汇总!H98+'[1]功能-采集'!BS97+[2]产出汇总!AY98+[1]养成buff汇总!GY98</f>
        <v>32173579586.323879</v>
      </c>
      <c r="BX98" s="47">
        <f>'[1]功能-城建'!ER96+[1]养成buff汇总!I98+'[1]功能-采集'!BT97+[2]产出汇总!AZ98+[1]养成buff汇总!GZ98</f>
        <v>20821035857.307941</v>
      </c>
      <c r="BY98" s="47">
        <f>'[1]功能-城建'!ES96+[1]养成buff汇总!J98+'[1]功能-采集'!BU97+[2]产出汇总!BA98+[1]养成buff汇总!HA98</f>
        <v>23631551554.088112</v>
      </c>
      <c r="BZ98" s="47">
        <f>'[1]功能-城建'!ET96+[1]养成buff汇总!K98+'[1]功能-采集'!BV97+[2]产出汇总!BB98+[1]养成buff汇总!HB98</f>
        <v>13095694602.707481</v>
      </c>
      <c r="CA98" s="47">
        <f>'[1]功能-城建'!EU96+[1]养成buff汇总!L98+'[1]功能-采集'!BW97+[2]产出汇总!BC98+[1]养成buff汇总!HC98</f>
        <v>10650730636.875975</v>
      </c>
      <c r="CD98" s="49">
        <v>93</v>
      </c>
      <c r="CE98" s="44">
        <f>'[1]资源-铁'!T98</f>
        <v>8674589277.7710323</v>
      </c>
      <c r="CF98" s="44">
        <f>'[1]资源-铁'!U98</f>
        <v>11811939185.290947</v>
      </c>
      <c r="CG98" s="44">
        <f>'[1]资源-铁'!V98</f>
        <v>16319129110.784897</v>
      </c>
      <c r="CH98" s="44">
        <f>'[1]资源-铁'!W98</f>
        <v>22259929310.146461</v>
      </c>
      <c r="CI98" s="44">
        <f>'[1]资源-铁'!X98</f>
        <v>32208537818.182587</v>
      </c>
      <c r="CL98" s="49">
        <v>93</v>
      </c>
      <c r="CM98" s="44">
        <f>'[1]功能-城建'!HF96+[1]养成buff汇总!S98+'[1]功能-采集'!BX97</f>
        <v>9402100719.1647491</v>
      </c>
      <c r="CN98" s="44">
        <f>'[1]功能-城建'!HG96+[1]养成buff汇总!T98+'[1]功能-采集'!BY97</f>
        <v>6201158915.7796192</v>
      </c>
      <c r="CO98" s="44">
        <f>'[1]功能-城建'!HH96+[1]养成buff汇总!U98+'[1]功能-采集'!BZ97</f>
        <v>7241563443.8596554</v>
      </c>
      <c r="CP98" s="44">
        <f>'[1]功能-城建'!HI96+[1]养成buff汇总!V98+'[1]功能-采集'!CA97</f>
        <v>3974963512.3159785</v>
      </c>
      <c r="CQ98" s="44">
        <f>'[1]功能-城建'!HJ96+[1]养成buff汇总!W98+'[1]功能-采集'!CB97</f>
        <v>3176112612.3220978</v>
      </c>
      <c r="CT98" s="49">
        <v>93</v>
      </c>
      <c r="CU98" s="17">
        <f>'[1]资源-玩家城池建筑时间'!AJ98+CU97</f>
        <v>400511630.62382913</v>
      </c>
      <c r="CV98" s="17">
        <f>'[1]资源-玩家城池建筑时间'!AK98+CV97</f>
        <v>426890095.64272082</v>
      </c>
      <c r="CW98" s="17">
        <f>'[1]资源-玩家城池建筑时间'!AL98+CW97</f>
        <v>454478427.86173564</v>
      </c>
      <c r="CX98" s="17">
        <f>'[1]资源-玩家城池建筑时间'!AM98+CX97</f>
        <v>484841833.98227686</v>
      </c>
      <c r="CY98" s="17">
        <f>'[1]资源-玩家城池建筑时间'!AN98+CY97</f>
        <v>516487927.14413172</v>
      </c>
      <c r="DB98" s="49">
        <v>93</v>
      </c>
      <c r="DC98" s="17">
        <f>'[1]资源-士兵训练时间'!U98</f>
        <v>130862375.39838228</v>
      </c>
      <c r="DD98" s="17">
        <f>'[1]资源-士兵训练时间'!V98</f>
        <v>202315844.16302377</v>
      </c>
      <c r="DE98" s="17">
        <f>'[1]资源-士兵训练时间'!W98</f>
        <v>288542988.63885307</v>
      </c>
      <c r="DF98" s="17">
        <f>'[1]资源-士兵训练时间'!X98</f>
        <v>393101459.43908072</v>
      </c>
      <c r="DG98" s="17">
        <f>'[1]资源-士兵训练时间'!Y98</f>
        <v>586978107.1754607</v>
      </c>
    </row>
    <row r="99" spans="2:111" x14ac:dyDescent="0.15">
      <c r="B99" s="23">
        <v>96</v>
      </c>
      <c r="C99" s="24">
        <f>'[1]资源-钻石'!L99</f>
        <v>3174985.676318197</v>
      </c>
      <c r="D99" s="24">
        <f>'[1]资源-钻石'!M99</f>
        <v>4283860.5830647191</v>
      </c>
      <c r="E99" s="24">
        <f>'[1]资源-钻石'!N99</f>
        <v>6106735.711916605</v>
      </c>
      <c r="F99" s="24">
        <f>'[1]资源-钻石'!O99</f>
        <v>12857663.543003753</v>
      </c>
      <c r="G99" s="24">
        <f>'[1]资源-钻石'!P99</f>
        <v>16897801.595727477</v>
      </c>
      <c r="I99" s="23">
        <v>96</v>
      </c>
      <c r="J99" s="24">
        <f>'[1]资源-钻石'!T99</f>
        <v>577733.48704856366</v>
      </c>
      <c r="K99" s="24">
        <f>'[1]资源-钻石'!U99</f>
        <v>799307.61089725071</v>
      </c>
      <c r="L99" s="24">
        <f>'[1]资源-钻石'!V99</f>
        <v>1313308.3719869757</v>
      </c>
      <c r="M99" s="24">
        <f>'[1]资源-钻石'!W99</f>
        <v>3396589.2091856734</v>
      </c>
      <c r="N99" s="24">
        <f>'[1]资源-钻石'!X99</f>
        <v>8012110.63010424</v>
      </c>
      <c r="P99" s="28">
        <v>96</v>
      </c>
      <c r="Q99" s="28">
        <f>'[1]功能-行军令'!N99</f>
        <v>35652.156574452893</v>
      </c>
      <c r="R99" s="28">
        <f>'[1]功能-行军令'!O99</f>
        <v>44289.511542119748</v>
      </c>
      <c r="S99" s="28">
        <f>'[1]功能-行军令'!P99</f>
        <v>48227.912273273716</v>
      </c>
      <c r="T99" s="28">
        <f>'[1]功能-行军令'!Q99</f>
        <v>39212.411931853043</v>
      </c>
      <c r="U99" s="28">
        <f>'[1]功能-行军令'!R99</f>
        <v>21306.581320463309</v>
      </c>
      <c r="V99" s="28">
        <f>'[1]功能-行军令'!S99</f>
        <v>2390.5987534417582</v>
      </c>
      <c r="W99" s="28">
        <f>'[1]功能-行军令'!T99</f>
        <v>2872.8705130062299</v>
      </c>
      <c r="X99" s="28">
        <f>'[1]功能-行军令'!U99</f>
        <v>3095.6660046156831</v>
      </c>
      <c r="Y99" s="28">
        <f>'[1]功能-行军令'!V99</f>
        <v>2606.98293381439</v>
      </c>
      <c r="Z99" s="28">
        <f>'[1]功能-行军令'!W99</f>
        <v>1443.5743748337882</v>
      </c>
      <c r="AC99" s="30">
        <v>96</v>
      </c>
      <c r="AD99" s="41">
        <f>'[1]功能-实力'!BE100</f>
        <v>11339124</v>
      </c>
      <c r="AE99" s="41">
        <f>'[1]功能-实力'!BF100</f>
        <v>12842724</v>
      </c>
      <c r="AF99" s="41">
        <f>'[1]功能-实力'!BG100</f>
        <v>14261046</v>
      </c>
      <c r="AG99" s="41">
        <f>'[1]功能-实力'!BH100</f>
        <v>16255500</v>
      </c>
      <c r="AH99" s="41">
        <f>'[1]功能-实力'!BI100</f>
        <v>16973328</v>
      </c>
      <c r="AL99" s="37">
        <f>[3]基础状态预期!C109</f>
        <v>4.1999999999999993</v>
      </c>
      <c r="AM99" s="37">
        <f>[3]基础状态预期!D109</f>
        <v>27.769105021676069</v>
      </c>
      <c r="AO99" s="37">
        <f>[3]基础状态预期!F109</f>
        <v>0</v>
      </c>
      <c r="AP99" s="37">
        <f>[3]基础状态预期!G109</f>
        <v>0</v>
      </c>
      <c r="AQ99" s="37">
        <f>[3]基础状态预期!H109</f>
        <v>0</v>
      </c>
      <c r="AR99" s="37">
        <f>[3]基础状态预期!I109</f>
        <v>6</v>
      </c>
      <c r="AS99" s="37">
        <f>[3]基础状态预期!J109</f>
        <v>0</v>
      </c>
      <c r="AW99" s="32">
        <v>93</v>
      </c>
      <c r="AX99" s="32">
        <f>[1]节奏总纲!BJ96</f>
        <v>3.4999999999999978</v>
      </c>
      <c r="AY99" s="32">
        <f>[1]节奏总纲!BK96</f>
        <v>3.5699999999999976</v>
      </c>
      <c r="AZ99" s="32">
        <f>[1]节奏总纲!BL96</f>
        <v>3.7099999999999977</v>
      </c>
      <c r="BA99" s="32">
        <f>[1]节奏总纲!BM96</f>
        <v>3.9899999999999971</v>
      </c>
      <c r="BB99" s="32">
        <f>[1]节奏总纲!BN96</f>
        <v>4.8999999999999968</v>
      </c>
      <c r="BF99" s="42">
        <f>'[1]功能-行军令'!FZ97</f>
        <v>93</v>
      </c>
      <c r="BG99" s="42">
        <f>'[1]功能-行军令'!GA97*'[1]功能-行军令'!GB97</f>
        <v>476.45286340693923</v>
      </c>
      <c r="BN99" s="49">
        <v>94</v>
      </c>
      <c r="BO99" s="17">
        <f>'[1]资源-木石铜粮'!U99</f>
        <v>55673928953.203178</v>
      </c>
      <c r="BP99" s="17">
        <f>'[1]资源-木石铜粮'!V99</f>
        <v>63133378090.29007</v>
      </c>
      <c r="BQ99" s="17">
        <f>'[1]资源-木石铜粮'!W99</f>
        <v>69076433491.789307</v>
      </c>
      <c r="BR99" s="17">
        <f>'[1]资源-木石铜粮'!X99</f>
        <v>67758716764.624573</v>
      </c>
      <c r="BS99" s="17">
        <f>'[1]资源-木石铜粮'!Y99</f>
        <v>50410785758.947182</v>
      </c>
      <c r="BV99" s="49">
        <v>94</v>
      </c>
      <c r="BW99" s="47">
        <f>'[1]功能-城建'!EQ97+[1]养成buff汇总!H99+'[1]功能-采集'!BS98+[2]产出汇总!AY99+[1]养成buff汇总!GY99</f>
        <v>36011669232.340607</v>
      </c>
      <c r="BX99" s="47">
        <f>'[1]功能-城建'!ER97+[1]养成buff汇总!I99+'[1]功能-采集'!BT98+[2]产出汇总!AZ99+[1]养成buff汇总!GZ99</f>
        <v>23206473191.165581</v>
      </c>
      <c r="BY99" s="47">
        <f>'[1]功能-城建'!ES97+[1]养成buff汇总!J99+'[1]功能-采集'!BU98+[2]产出汇总!BA99+[1]养成buff汇总!HA99</f>
        <v>26430516065.063248</v>
      </c>
      <c r="BZ99" s="47">
        <f>'[1]功能-城建'!ET97+[1]养成buff汇总!K99+'[1]功能-采集'!BV98+[2]产出汇总!BB99+[1]养成buff汇总!HB99</f>
        <v>14550505399.770752</v>
      </c>
      <c r="CA99" s="47">
        <f>'[1]功能-城建'!EU97+[1]养成buff汇总!L99+'[1]功能-采集'!BW98+[2]产出汇总!BC99+[1]养成buff汇总!HC99</f>
        <v>11916804104.571451</v>
      </c>
      <c r="CD99" s="49">
        <v>94</v>
      </c>
      <c r="CE99" s="44">
        <f>'[1]资源-铁'!T99</f>
        <v>9774567739.9763985</v>
      </c>
      <c r="CF99" s="44">
        <f>'[1]资源-铁'!U99</f>
        <v>13587263485.690632</v>
      </c>
      <c r="CG99" s="44">
        <f>'[1]资源-铁'!V99</f>
        <v>18650744287.057289</v>
      </c>
      <c r="CH99" s="44">
        <f>'[1]资源-铁'!W99</f>
        <v>24802988780.954865</v>
      </c>
      <c r="CI99" s="44">
        <f>'[1]资源-铁'!X99</f>
        <v>35570911755.768196</v>
      </c>
      <c r="CL99" s="49">
        <v>94</v>
      </c>
      <c r="CM99" s="44">
        <f>'[1]功能-城建'!HF97+[1]养成buff汇总!S99+'[1]功能-采集'!BX98</f>
        <v>10612298023.339138</v>
      </c>
      <c r="CN99" s="44">
        <f>'[1]功能-城建'!HG97+[1]养成buff汇总!T99+'[1]功能-采集'!BY98</f>
        <v>6972619346.7294502</v>
      </c>
      <c r="CO99" s="44">
        <f>'[1]功能-城建'!HH97+[1]养成buff汇总!U99+'[1]功能-采集'!BZ98</f>
        <v>8176600249.9706621</v>
      </c>
      <c r="CP99" s="44">
        <f>'[1]功能-城建'!HI97+[1]养成buff汇总!V99+'[1]功能-采集'!CA98</f>
        <v>4452512000.2351427</v>
      </c>
      <c r="CQ99" s="44">
        <f>'[1]功能-城建'!HJ97+[1]养成buff汇总!W99+'[1]功能-采集'!CB98</f>
        <v>3593275187.7523322</v>
      </c>
      <c r="CT99" s="49">
        <v>94</v>
      </c>
      <c r="CU99" s="17">
        <f>'[1]资源-玩家城池建筑时间'!AJ99+CU98</f>
        <v>427894765.50426978</v>
      </c>
      <c r="CV99" s="17">
        <f>'[1]资源-玩家城池建筑时间'!AK99+CV98</f>
        <v>453162181.57875079</v>
      </c>
      <c r="CW99" s="17">
        <f>'[1]资源-玩家城池建筑时间'!AL99+CW98</f>
        <v>481914333.16675311</v>
      </c>
      <c r="CX99" s="17">
        <f>'[1]资源-玩家城池建筑时间'!AM99+CX98</f>
        <v>511551333.62337887</v>
      </c>
      <c r="CY99" s="17">
        <f>'[1]资源-玩家城池建筑时间'!AN99+CY98</f>
        <v>544408915.1482203</v>
      </c>
      <c r="DB99" s="49">
        <v>94</v>
      </c>
      <c r="DC99" s="17">
        <f>'[1]资源-士兵训练时间'!U99</f>
        <v>152531925.16773331</v>
      </c>
      <c r="DD99" s="17">
        <f>'[1]资源-士兵训练时间'!V99</f>
        <v>229480437.16282988</v>
      </c>
      <c r="DE99" s="17">
        <f>'[1]资源-士兵训练时间'!W99</f>
        <v>323820340.70494342</v>
      </c>
      <c r="DF99" s="17">
        <f>'[1]资源-士兵训练时间'!X99</f>
        <v>432942978.9813115</v>
      </c>
      <c r="DG99" s="17">
        <f>'[1]资源-士兵训练时间'!Y99</f>
        <v>641958204.51969218</v>
      </c>
    </row>
    <row r="100" spans="2:111" x14ac:dyDescent="0.15">
      <c r="B100" s="23">
        <v>97</v>
      </c>
      <c r="C100" s="24">
        <f>'[1]资源-钻石'!L100</f>
        <v>3292972.0176270958</v>
      </c>
      <c r="D100" s="24">
        <f>'[1]资源-钻石'!M100</f>
        <v>4463978.3062709756</v>
      </c>
      <c r="E100" s="24">
        <f>'[1]资源-钻石'!N100</f>
        <v>6378131.5673519894</v>
      </c>
      <c r="F100" s="24">
        <f>'[1]资源-钻石'!O100</f>
        <v>13626531.351877071</v>
      </c>
      <c r="G100" s="24">
        <f>'[1]资源-钻石'!P100</f>
        <v>18232060.269002654</v>
      </c>
      <c r="I100" s="23">
        <v>97</v>
      </c>
      <c r="J100" s="24">
        <f>'[1]资源-钻石'!T100</f>
        <v>582062.9177731541</v>
      </c>
      <c r="K100" s="24">
        <f>'[1]资源-钻石'!U100</f>
        <v>805749.20955046953</v>
      </c>
      <c r="L100" s="24">
        <f>'[1]资源-钻石'!V100</f>
        <v>1324846.1305055164</v>
      </c>
      <c r="M100" s="24">
        <f>'[1]资源-钻石'!W100</f>
        <v>3429300.7435560683</v>
      </c>
      <c r="N100" s="24">
        <f>'[1]资源-钻石'!X100</f>
        <v>8091948.3179116743</v>
      </c>
      <c r="P100" s="28">
        <v>97</v>
      </c>
      <c r="Q100" s="28">
        <f>'[1]功能-行军令'!N100</f>
        <v>38214.336877964088</v>
      </c>
      <c r="R100" s="28">
        <f>'[1]功能-行军令'!O100</f>
        <v>47416.764571404769</v>
      </c>
      <c r="S100" s="28">
        <f>'[1]功能-行军令'!P100</f>
        <v>51807.259580101301</v>
      </c>
      <c r="T100" s="28">
        <f>'[1]功能-行军令'!Q100</f>
        <v>42210.144246427553</v>
      </c>
      <c r="U100" s="28">
        <f>'[1]功能-行军令'!R100</f>
        <v>23000.378620392712</v>
      </c>
      <c r="V100" s="28">
        <f>'[1]功能-行军令'!S100</f>
        <v>2562.1803035111952</v>
      </c>
      <c r="W100" s="28">
        <f>'[1]功能-行军令'!T100</f>
        <v>3127.2530292850206</v>
      </c>
      <c r="X100" s="28">
        <f>'[1]功能-行军令'!U100</f>
        <v>3579.3473068275853</v>
      </c>
      <c r="Y100" s="28">
        <f>'[1]功能-行军令'!V100</f>
        <v>2997.7323145745104</v>
      </c>
      <c r="Z100" s="28">
        <f>'[1]功能-行军令'!W100</f>
        <v>1693.7972999294034</v>
      </c>
      <c r="AC100" s="30">
        <v>97</v>
      </c>
      <c r="AD100" s="41">
        <f>'[1]功能-实力'!BE101</f>
        <v>11685486</v>
      </c>
      <c r="AE100" s="41">
        <f>'[1]功能-实力'!BF101</f>
        <v>13256052</v>
      </c>
      <c r="AF100" s="41">
        <f>'[1]功能-实力'!BG101</f>
        <v>14724228</v>
      </c>
      <c r="AG100" s="41">
        <f>'[1]功能-实力'!BH101</f>
        <v>16672020</v>
      </c>
      <c r="AH100" s="41">
        <f>'[1]功能-实力'!BI101</f>
        <v>17420298</v>
      </c>
      <c r="AL100" s="37">
        <f>[3]基础状态预期!C110</f>
        <v>7</v>
      </c>
      <c r="AM100" s="37">
        <f>[3]基础状态预期!D110</f>
        <v>34.192155176139416</v>
      </c>
      <c r="AO100" s="37">
        <f>[3]基础状态预期!F110</f>
        <v>0</v>
      </c>
      <c r="AP100" s="37">
        <f>[3]基础状态预期!G110</f>
        <v>0</v>
      </c>
      <c r="AQ100" s="37">
        <f>[3]基础状态预期!H110</f>
        <v>0</v>
      </c>
      <c r="AR100" s="37">
        <f>[3]基础状态预期!I110</f>
        <v>6</v>
      </c>
      <c r="AS100" s="37">
        <f>[3]基础状态预期!J110</f>
        <v>0</v>
      </c>
      <c r="AW100" s="32">
        <v>94</v>
      </c>
      <c r="AX100" s="32">
        <f>[1]节奏总纲!BJ97</f>
        <v>3.4999999999999978</v>
      </c>
      <c r="AY100" s="32">
        <f>[1]节奏总纲!BK97</f>
        <v>3.5699999999999976</v>
      </c>
      <c r="AZ100" s="32">
        <f>[1]节奏总纲!BL97</f>
        <v>3.7099999999999977</v>
      </c>
      <c r="BA100" s="32">
        <f>[1]节奏总纲!BM97</f>
        <v>3.9899999999999971</v>
      </c>
      <c r="BB100" s="32">
        <f>[1]节奏总纲!BN97</f>
        <v>4.8999999999999968</v>
      </c>
      <c r="BF100" s="42">
        <f>'[1]功能-行军令'!FZ98</f>
        <v>94</v>
      </c>
      <c r="BG100" s="42">
        <f>'[1]功能-行军令'!GA98*'[1]功能-行军令'!GB98</f>
        <v>485.98192067507802</v>
      </c>
      <c r="BN100" s="49">
        <v>95</v>
      </c>
      <c r="BO100" s="17">
        <f>'[1]资源-木石铜粮'!U100</f>
        <v>60715419538.259399</v>
      </c>
      <c r="BP100" s="17">
        <f>'[1]资源-木石铜粮'!V100</f>
        <v>68857634663.251541</v>
      </c>
      <c r="BQ100" s="17">
        <f>'[1]资源-木石铜粮'!W100</f>
        <v>74954967224.501114</v>
      </c>
      <c r="BR100" s="17">
        <f>'[1]资源-木石铜粮'!X100</f>
        <v>73186901690.778137</v>
      </c>
      <c r="BS100" s="17">
        <f>'[1]资源-木石铜粮'!Y100</f>
        <v>54954211254.720978</v>
      </c>
      <c r="BV100" s="49">
        <v>95</v>
      </c>
      <c r="BW100" s="47">
        <f>'[1]功能-城建'!EQ98+[1]养成buff汇总!H100+'[1]功能-采集'!BS99+[2]产出汇总!AY100+[1]养成buff汇总!GY100</f>
        <v>40418308522.927505</v>
      </c>
      <c r="BX100" s="47">
        <f>'[1]功能-城建'!ER98+[1]养成buff汇总!I100+'[1]功能-采集'!BT99+[2]产出汇总!AZ100+[1]养成buff汇总!GZ100</f>
        <v>25995582236.574013</v>
      </c>
      <c r="BY100" s="47">
        <f>'[1]功能-城建'!ES98+[1]养成buff汇总!J100+'[1]功能-采集'!BU99+[2]产出汇总!BA100+[1]养成buff汇总!HA100</f>
        <v>29575122703.388042</v>
      </c>
      <c r="BZ100" s="47">
        <f>'[1]功能-城建'!ET98+[1]养成buff汇总!K100+'[1]功能-采集'!BV99+[2]产出汇总!BB100+[1]养成buff汇总!HB100</f>
        <v>16219525713.298206</v>
      </c>
      <c r="CA100" s="47">
        <f>'[1]功能-城建'!EU98+[1]养成buff汇总!L100+'[1]功能-采集'!BW99+[2]产出汇总!BC100+[1]养成buff汇总!HC100</f>
        <v>13516766236.689716</v>
      </c>
      <c r="CD100" s="49">
        <v>95</v>
      </c>
      <c r="CE100" s="44">
        <f>'[1]资源-铁'!T100</f>
        <v>11280112826.912476</v>
      </c>
      <c r="CF100" s="44">
        <f>'[1]资源-铁'!U100</f>
        <v>15611599910.438904</v>
      </c>
      <c r="CG100" s="44">
        <f>'[1]资源-铁'!V100</f>
        <v>20880721419.452782</v>
      </c>
      <c r="CH100" s="44">
        <f>'[1]资源-铁'!W100</f>
        <v>27478450684.588783</v>
      </c>
      <c r="CI100" s="44">
        <f>'[1]资源-铁'!X100</f>
        <v>39361479641.395966</v>
      </c>
      <c r="CL100" s="49">
        <v>95</v>
      </c>
      <c r="CM100" s="44">
        <f>'[1]功能-城建'!HF98+[1]养成buff汇总!S100+'[1]功能-采集'!BX99</f>
        <v>11997099506.041971</v>
      </c>
      <c r="CN100" s="44">
        <f>'[1]功能-城建'!HG98+[1]养成buff汇总!T100+'[1]功能-采集'!BY99</f>
        <v>7874172841.7757397</v>
      </c>
      <c r="CO100" s="44">
        <f>'[1]功能-城建'!HH98+[1]养成buff汇总!U100+'[1]功能-采集'!BZ99</f>
        <v>9223321071.2626247</v>
      </c>
      <c r="CP100" s="44">
        <f>'[1]功能-城建'!HI98+[1]养成buff汇总!V100+'[1]功能-采集'!CA99</f>
        <v>4995678232.8040667</v>
      </c>
      <c r="CQ100" s="44">
        <f>'[1]功能-城建'!HJ98+[1]养成buff汇总!W100+'[1]功能-采集'!CB99</f>
        <v>4123810819.5231957</v>
      </c>
      <c r="CT100" s="49">
        <v>95</v>
      </c>
      <c r="CU100" s="17">
        <f>'[1]资源-玩家城池建筑时间'!AJ100+CU99</f>
        <v>454626706.8493048</v>
      </c>
      <c r="CV100" s="17">
        <f>'[1]资源-玩家城池建筑时间'!AK100+CV99</f>
        <v>481525832.19884843</v>
      </c>
      <c r="CW100" s="17">
        <f>'[1]资源-玩家城池建筑时间'!AL100+CW99</f>
        <v>508995222.24695075</v>
      </c>
      <c r="CX100" s="17">
        <f>'[1]资源-玩家城池建筑时间'!AM100+CX99</f>
        <v>539596155.48882818</v>
      </c>
      <c r="CY100" s="17">
        <f>'[1]资源-玩家城池建筑时间'!AN100+CY99</f>
        <v>575725820.5397383</v>
      </c>
      <c r="DB100" s="49">
        <v>95</v>
      </c>
      <c r="DC100" s="17">
        <f>'[1]资源-士兵训练时间'!U100</f>
        <v>173240188.31604743</v>
      </c>
      <c r="DD100" s="17">
        <f>'[1]资源-士兵训练时间'!V100</f>
        <v>258656641.92606115</v>
      </c>
      <c r="DE100" s="17">
        <f>'[1]资源-士兵训练时间'!W100</f>
        <v>357639991.15446919</v>
      </c>
      <c r="DF100" s="17">
        <f>'[1]资源-士兵训练时间'!X100</f>
        <v>474360935.85854256</v>
      </c>
      <c r="DG100" s="17">
        <f>'[1]资源-士兵训练时间'!Y100</f>
        <v>709188088.10154557</v>
      </c>
    </row>
    <row r="101" spans="2:111" x14ac:dyDescent="0.15">
      <c r="B101" s="23">
        <v>98</v>
      </c>
      <c r="C101" s="24">
        <f>'[1]资源-钻石'!L101</f>
        <v>3410958.3589359946</v>
      </c>
      <c r="D101" s="24">
        <f>'[1]资源-钻石'!M101</f>
        <v>4644096.0294772321</v>
      </c>
      <c r="E101" s="24">
        <f>'[1]资源-钻石'!N101</f>
        <v>6649527.4227873739</v>
      </c>
      <c r="F101" s="24">
        <f>'[1]资源-钻石'!O101</f>
        <v>14395399.160750389</v>
      </c>
      <c r="G101" s="24">
        <f>'[1]资源-钻石'!P101</f>
        <v>19649623.037590444</v>
      </c>
      <c r="I101" s="23">
        <v>98</v>
      </c>
      <c r="J101" s="24">
        <f>'[1]资源-钻石'!T101</f>
        <v>586391.64382153493</v>
      </c>
      <c r="K101" s="24">
        <f>'[1]资源-钻石'!U101</f>
        <v>812190.80820368847</v>
      </c>
      <c r="L101" s="24">
        <f>'[1]资源-钻石'!V101</f>
        <v>1336383.8890240574</v>
      </c>
      <c r="M101" s="24">
        <f>'[1]资源-钻石'!W101</f>
        <v>3462012.2779264632</v>
      </c>
      <c r="N101" s="24">
        <f>'[1]资源-钻石'!X101</f>
        <v>8171786.0057191085</v>
      </c>
      <c r="P101" s="28">
        <v>98</v>
      </c>
      <c r="Q101" s="28">
        <f>'[1]功能-行军令'!N101</f>
        <v>40960.413733500631</v>
      </c>
      <c r="R101" s="28">
        <f>'[1]功能-行军令'!O101</f>
        <v>50943.446048509235</v>
      </c>
      <c r="S101" s="28">
        <f>'[1]功能-行军令'!P101</f>
        <v>55781.316132324064</v>
      </c>
      <c r="T101" s="28">
        <f>'[1]功能-行军令'!Q101</f>
        <v>45518.506382640116</v>
      </c>
      <c r="U101" s="28">
        <f>'[1]功能-行军令'!R101</f>
        <v>24799.927716836362</v>
      </c>
      <c r="V101" s="28">
        <f>'[1]功能-行军令'!S101</f>
        <v>2746.076855536543</v>
      </c>
      <c r="W101" s="28">
        <f>'[1]功能-行军令'!T101</f>
        <v>3526.6814771044665</v>
      </c>
      <c r="X101" s="28">
        <f>'[1]功能-行军令'!U101</f>
        <v>3974.0565522227625</v>
      </c>
      <c r="Y101" s="28">
        <f>'[1]功能-行军令'!V101</f>
        <v>3308.3621362125632</v>
      </c>
      <c r="Z101" s="28">
        <f>'[1]功能-行军令'!W101</f>
        <v>1799.5490964436503</v>
      </c>
      <c r="AC101" s="30">
        <v>98</v>
      </c>
      <c r="AD101" s="41">
        <f>'[1]功能-实力'!BE102</f>
        <v>12064284</v>
      </c>
      <c r="AE101" s="41">
        <f>'[1]功能-实力'!BF102</f>
        <v>13616292</v>
      </c>
      <c r="AF101" s="41">
        <f>'[1]功能-实力'!BG102</f>
        <v>15188856</v>
      </c>
      <c r="AG101" s="41">
        <f>'[1]功能-实力'!BH102</f>
        <v>17066520</v>
      </c>
      <c r="AH101" s="41">
        <f>'[1]功能-实力'!BI102</f>
        <v>17874732</v>
      </c>
      <c r="AL101" s="37">
        <f>[3]基础状态预期!C111</f>
        <v>10.5</v>
      </c>
      <c r="AM101" s="37">
        <f>[3]基础状态预期!D111</f>
        <v>39.631851677253941</v>
      </c>
      <c r="AO101" s="37">
        <f>[3]基础状态预期!F111</f>
        <v>0</v>
      </c>
      <c r="AP101" s="37">
        <f>[3]基础状态预期!G111</f>
        <v>0</v>
      </c>
      <c r="AQ101" s="37">
        <f>[3]基础状态预期!H111</f>
        <v>0</v>
      </c>
      <c r="AR101" s="37">
        <f>[3]基础状态预期!I111</f>
        <v>6</v>
      </c>
      <c r="AS101" s="37">
        <f>[3]基础状态预期!J111</f>
        <v>0</v>
      </c>
      <c r="AW101" s="32">
        <v>95</v>
      </c>
      <c r="AX101" s="32">
        <f>[1]节奏总纲!BJ98</f>
        <v>3.4999999999999978</v>
      </c>
      <c r="AY101" s="32">
        <f>[1]节奏总纲!BK98</f>
        <v>3.5699999999999976</v>
      </c>
      <c r="AZ101" s="32">
        <f>[1]节奏总纲!BL98</f>
        <v>3.7099999999999977</v>
      </c>
      <c r="BA101" s="32">
        <f>[1]节奏总纲!BM98</f>
        <v>3.9899999999999971</v>
      </c>
      <c r="BB101" s="32">
        <f>[1]节奏总纲!BN98</f>
        <v>4.8999999999999968</v>
      </c>
      <c r="BF101" s="42">
        <f>'[1]功能-行军令'!FZ99</f>
        <v>95</v>
      </c>
      <c r="BG101" s="42">
        <f>'[1]功能-行军令'!GA99*'[1]功能-行军令'!GB99</f>
        <v>495.70155908857953</v>
      </c>
      <c r="BN101" s="49">
        <v>96</v>
      </c>
      <c r="BO101" s="17">
        <f>'[1]资源-木石铜粮'!U101</f>
        <v>66254225141.57756</v>
      </c>
      <c r="BP101" s="17">
        <f>'[1]资源-木石铜粮'!V101</f>
        <v>74928362976.674072</v>
      </c>
      <c r="BQ101" s="17">
        <f>'[1]资源-木石铜粮'!W101</f>
        <v>81350873176.864426</v>
      </c>
      <c r="BR101" s="17">
        <f>'[1]资源-木石铜粮'!X101</f>
        <v>79185659408.672073</v>
      </c>
      <c r="BS101" s="17">
        <f>'[1]资源-木石铜粮'!Y101</f>
        <v>59844815452.383186</v>
      </c>
      <c r="BV101" s="49">
        <v>96</v>
      </c>
      <c r="BW101" s="47">
        <f>'[1]功能-城建'!EQ99+[1]养成buff汇总!H101+'[1]功能-采集'!BS100+[2]产出汇总!AY101+[1]养成buff汇总!GY101</f>
        <v>45426400561.338615</v>
      </c>
      <c r="BX101" s="47">
        <f>'[1]功能-城建'!ER99+[1]养成buff汇总!I101+'[1]功能-采集'!BT100+[2]产出汇总!AZ101+[1]养成buff汇总!GZ101</f>
        <v>29028293078.305031</v>
      </c>
      <c r="BY101" s="47">
        <f>'[1]功能-城建'!ES99+[1]养成buff汇总!J101+'[1]功能-采集'!BU100+[2]产出汇总!BA101+[1]养成buff汇总!HA101</f>
        <v>33128699122.010082</v>
      </c>
      <c r="BZ101" s="47">
        <f>'[1]功能-城建'!ET99+[1]养成buff汇总!K101+'[1]功能-采集'!BV100+[2]产出汇总!BB101+[1]养成buff汇总!HB101</f>
        <v>18192142841.836193</v>
      </c>
      <c r="CA101" s="47">
        <f>'[1]功能-城建'!EU99+[1]养成buff汇总!L101+'[1]功能-采集'!BW100+[2]产出汇总!BC101+[1]养成buff汇总!HC101</f>
        <v>15341428789.439617</v>
      </c>
      <c r="CD101" s="49">
        <v>96</v>
      </c>
      <c r="CE101" s="44">
        <f>'[1]资源-铁'!T101</f>
        <v>12953438097.771175</v>
      </c>
      <c r="CF101" s="44">
        <f>'[1]资源-铁'!U101</f>
        <v>17501797710.541161</v>
      </c>
      <c r="CG101" s="44">
        <f>'[1]资源-铁'!V101</f>
        <v>23142997708.824646</v>
      </c>
      <c r="CH101" s="44">
        <f>'[1]资源-铁'!W101</f>
        <v>30352033577.07016</v>
      </c>
      <c r="CI101" s="44">
        <f>'[1]资源-铁'!X101</f>
        <v>43348894781.621536</v>
      </c>
      <c r="CL101" s="49">
        <v>96</v>
      </c>
      <c r="CM101" s="44">
        <f>'[1]功能-城建'!HF99+[1]养成buff汇总!S101+'[1]功能-采集'!BX100</f>
        <v>13560668769.080223</v>
      </c>
      <c r="CN101" s="44">
        <f>'[1]功能-城建'!HG99+[1]养成buff汇总!T101+'[1]功能-采集'!BY100</f>
        <v>8855892259.4545708</v>
      </c>
      <c r="CO101" s="44">
        <f>'[1]功能-城建'!HH99+[1]养成buff汇总!U101+'[1]功能-采集'!BZ100</f>
        <v>10401811763.270309</v>
      </c>
      <c r="CP101" s="44">
        <f>'[1]功能-城建'!HI99+[1]养成buff汇总!V101+'[1]功能-采集'!CA100</f>
        <v>5639840651.3308239</v>
      </c>
      <c r="CQ101" s="44">
        <f>'[1]功能-城建'!HJ99+[1]养成buff汇总!W101+'[1]功能-采集'!CB100</f>
        <v>4731091674.8917255</v>
      </c>
      <c r="CT101" s="49">
        <v>96</v>
      </c>
      <c r="CU101" s="17">
        <f>'[1]资源-玩家城池建筑时间'!AJ101+CU100</f>
        <v>482798851.15061593</v>
      </c>
      <c r="CV101" s="17">
        <f>'[1]资源-玩家城池建筑时间'!AK101+CV100</f>
        <v>508846350.04809606</v>
      </c>
      <c r="CW101" s="17">
        <f>'[1]资源-玩家城池建筑时间'!AL101+CW100</f>
        <v>537031617.57013321</v>
      </c>
      <c r="CX101" s="17">
        <f>'[1]资源-玩家城池建筑时间'!AM101+CX100</f>
        <v>569897843.81424737</v>
      </c>
      <c r="CY101" s="17">
        <f>'[1]资源-玩家城池建筑时间'!AN101+CY100</f>
        <v>608487057.92978442</v>
      </c>
      <c r="DB101" s="49">
        <v>96</v>
      </c>
      <c r="DC101" s="17">
        <f>'[1]资源-士兵训练时间'!U101</f>
        <v>194974597.48370779</v>
      </c>
      <c r="DD101" s="17">
        <f>'[1]资源-士兵训练时间'!V101</f>
        <v>285965418.4545114</v>
      </c>
      <c r="DE101" s="17">
        <f>'[1]资源-士兵训练时间'!W101</f>
        <v>392144584.61262804</v>
      </c>
      <c r="DF101" s="17">
        <f>'[1]资源-士兵训练时间'!X101</f>
        <v>522224302.51817822</v>
      </c>
      <c r="DG101" s="17">
        <f>'[1]资源-士兵训练时间'!Y101</f>
        <v>781642080.42934012</v>
      </c>
    </row>
    <row r="102" spans="2:111" x14ac:dyDescent="0.15">
      <c r="B102" s="23">
        <v>99</v>
      </c>
      <c r="C102" s="24">
        <f>'[1]资源-钻石'!L102</f>
        <v>3528944.7002448933</v>
      </c>
      <c r="D102" s="24">
        <f>'[1]资源-钻石'!M102</f>
        <v>4824213.7526834887</v>
      </c>
      <c r="E102" s="24">
        <f>'[1]资源-钻石'!N102</f>
        <v>6920923.2782227583</v>
      </c>
      <c r="F102" s="24">
        <f>'[1]资源-钻石'!O102</f>
        <v>15164266.969623707</v>
      </c>
      <c r="G102" s="24">
        <f>'[1]资源-钻石'!P102</f>
        <v>21014623.300405931</v>
      </c>
      <c r="I102" s="23">
        <v>99</v>
      </c>
      <c r="J102" s="24">
        <f>'[1]资源-钻石'!T102</f>
        <v>590720.36986991577</v>
      </c>
      <c r="K102" s="24">
        <f>'[1]资源-钻石'!U102</f>
        <v>818632.40685690742</v>
      </c>
      <c r="L102" s="24">
        <f>'[1]资源-钻石'!V102</f>
        <v>1347921.6475425982</v>
      </c>
      <c r="M102" s="24">
        <f>'[1]资源-钻石'!W102</f>
        <v>3494723.8122968581</v>
      </c>
      <c r="N102" s="24">
        <f>'[1]资源-钻石'!X102</f>
        <v>8251623.6935265437</v>
      </c>
      <c r="P102" s="28">
        <v>99</v>
      </c>
      <c r="Q102" s="28">
        <f>'[1]功能-行军令'!N102</f>
        <v>43903.586033349777</v>
      </c>
      <c r="R102" s="28">
        <f>'[1]功能-行军令'!O102</f>
        <v>54706.25426201216</v>
      </c>
      <c r="S102" s="28">
        <f>'[1]功能-行军令'!P102</f>
        <v>59937.080210150787</v>
      </c>
      <c r="T102" s="28">
        <f>'[1]功能-行军令'!Q102</f>
        <v>48966.146715886673</v>
      </c>
      <c r="U102" s="28">
        <f>'[1]功能-行军令'!R102</f>
        <v>26532.750448941599</v>
      </c>
      <c r="V102" s="28">
        <f>'[1]功能-行军令'!S102</f>
        <v>2943.1722998491459</v>
      </c>
      <c r="W102" s="28">
        <f>'[1]功能-行军令'!T102</f>
        <v>3762.8082135029254</v>
      </c>
      <c r="X102" s="28">
        <f>'[1]功能-行军令'!U102</f>
        <v>4155.7640778267232</v>
      </c>
      <c r="Y102" s="28">
        <f>'[1]功能-行军令'!V102</f>
        <v>3447.6403332465561</v>
      </c>
      <c r="Z102" s="28">
        <f>'[1]功能-行军令'!W102</f>
        <v>1732.8227321052364</v>
      </c>
      <c r="AC102" s="30">
        <v>99</v>
      </c>
      <c r="AD102" s="41">
        <f>'[1]功能-实力'!BE103</f>
        <v>12448368</v>
      </c>
      <c r="AE102" s="41">
        <f>'[1]功能-实力'!BF103</f>
        <v>13979232</v>
      </c>
      <c r="AF102" s="41">
        <f>'[1]功能-实力'!BG103</f>
        <v>15662292</v>
      </c>
      <c r="AG102" s="41">
        <f>'[1]功能-实力'!BH103</f>
        <v>17464908</v>
      </c>
      <c r="AH102" s="41">
        <f>'[1]功能-实力'!BI103</f>
        <v>18330306</v>
      </c>
      <c r="AL102" s="37">
        <f>[3]基础状态预期!C112</f>
        <v>14</v>
      </c>
      <c r="AM102" s="37">
        <f>[3]基础状态预期!D112</f>
        <v>43.484929789964411</v>
      </c>
      <c r="AO102" s="37">
        <f>[3]基础状态预期!F112</f>
        <v>0</v>
      </c>
      <c r="AP102" s="37">
        <f>[3]基础状态预期!G112</f>
        <v>0</v>
      </c>
      <c r="AQ102" s="37">
        <f>[3]基础状态预期!H112</f>
        <v>0</v>
      </c>
      <c r="AR102" s="37">
        <f>[3]基础状态预期!I112</f>
        <v>6</v>
      </c>
      <c r="AS102" s="37">
        <f>[3]基础状态预期!J112</f>
        <v>0</v>
      </c>
      <c r="AW102" s="32">
        <v>96</v>
      </c>
      <c r="AX102" s="32">
        <f>[1]节奏总纲!BJ99</f>
        <v>3.4999999999999978</v>
      </c>
      <c r="AY102" s="32">
        <f>[1]节奏总纲!BK99</f>
        <v>3.5699999999999976</v>
      </c>
      <c r="AZ102" s="32">
        <f>[1]节奏总纲!BL99</f>
        <v>3.7099999999999977</v>
      </c>
      <c r="BA102" s="32">
        <f>[1]节奏总纲!BM99</f>
        <v>3.9899999999999971</v>
      </c>
      <c r="BB102" s="32">
        <f>[1]节奏总纲!BN99</f>
        <v>4.8999999999999968</v>
      </c>
      <c r="BF102" s="42">
        <f>'[1]功能-行军令'!FZ100</f>
        <v>96</v>
      </c>
      <c r="BG102" s="42">
        <f>'[1]功能-行军令'!GA100*'[1]功能-行军令'!GB100</f>
        <v>505.61559027035111</v>
      </c>
      <c r="BN102" s="49">
        <v>97</v>
      </c>
      <c r="BO102" s="17">
        <f>'[1]资源-木石铜粮'!U102</f>
        <v>72292790489.097992</v>
      </c>
      <c r="BP102" s="17">
        <f>'[1]资源-木石铜粮'!V102</f>
        <v>81645006887.736847</v>
      </c>
      <c r="BQ102" s="17">
        <f>'[1]资源-木石铜粮'!W102</f>
        <v>88684959089.181259</v>
      </c>
      <c r="BR102" s="17">
        <f>'[1]资源-木石铜粮'!X102</f>
        <v>86006188892.400314</v>
      </c>
      <c r="BS102" s="17">
        <f>'[1]资源-木石铜粮'!Y102</f>
        <v>65827079030.683258</v>
      </c>
      <c r="BV102" s="49">
        <v>97</v>
      </c>
      <c r="BW102" s="47">
        <f>'[1]功能-城建'!EQ100+[1]养成buff汇总!H102+'[1]功能-采集'!BS101+[2]产出汇总!AY102+[1]养成buff汇总!GY102</f>
        <v>51125741620.900558</v>
      </c>
      <c r="BX102" s="47">
        <f>'[1]功能-城建'!ER100+[1]养成buff汇总!I102+'[1]功能-采集'!BT101+[2]产出汇总!AZ102+[1]养成buff汇总!GZ102</f>
        <v>32516585517.706787</v>
      </c>
      <c r="BY102" s="47">
        <f>'[1]功能-城建'!ES100+[1]养成buff汇总!J102+'[1]功能-采集'!BU101+[2]产出汇总!BA102+[1]养成buff汇总!HA102</f>
        <v>37491515770.413261</v>
      </c>
      <c r="BZ102" s="47">
        <f>'[1]功能-城建'!ET100+[1]养成buff汇总!K102+'[1]功能-采集'!BV101+[2]产出汇总!BB102+[1]养成buff汇总!HB102</f>
        <v>20599775722.479877</v>
      </c>
      <c r="CA102" s="47">
        <f>'[1]功能-城建'!EU100+[1]养成buff汇总!L102+'[1]功能-采集'!BW101+[2]产出汇总!BC102+[1]养成buff汇总!HC102</f>
        <v>17633612708.206673</v>
      </c>
      <c r="CD102" s="49">
        <v>97</v>
      </c>
      <c r="CE102" s="44">
        <f>'[1]资源-铁'!T102</f>
        <v>14579786616.63862</v>
      </c>
      <c r="CF102" s="44">
        <f>'[1]资源-铁'!U102</f>
        <v>19469014595.123573</v>
      </c>
      <c r="CG102" s="44">
        <f>'[1]资源-铁'!V102</f>
        <v>25698608569.895172</v>
      </c>
      <c r="CH102" s="44">
        <f>'[1]资源-铁'!W102</f>
        <v>33597460766.664013</v>
      </c>
      <c r="CI102" s="44">
        <f>'[1]资源-铁'!X102</f>
        <v>47977856925.743164</v>
      </c>
      <c r="CL102" s="49">
        <v>97</v>
      </c>
      <c r="CM102" s="44">
        <f>'[1]功能-城建'!HF100+[1]养成buff汇总!S102+'[1]功能-采集'!BX101</f>
        <v>15334770145.231453</v>
      </c>
      <c r="CN102" s="44">
        <f>'[1]功能-城建'!HG100+[1]养成buff汇总!T102+'[1]功能-采集'!BY101</f>
        <v>9983047986.9009724</v>
      </c>
      <c r="CO102" s="44">
        <f>'[1]功能-城建'!HH100+[1]养成buff汇总!U102+'[1]功能-采集'!BZ101</f>
        <v>11840434487.220587</v>
      </c>
      <c r="CP102" s="44">
        <f>'[1]功能-城建'!HI100+[1]养成buff汇总!V102+'[1]功能-采集'!CA101</f>
        <v>6423055541.9526176</v>
      </c>
      <c r="CQ102" s="44">
        <f>'[1]功能-城建'!HJ100+[1]养成buff汇总!W102+'[1]功能-采集'!CB101</f>
        <v>5500068734.9250908</v>
      </c>
      <c r="CT102" s="49">
        <v>97</v>
      </c>
      <c r="CU102" s="17">
        <f>'[1]资源-玩家城池建筑时间'!AJ102+CU101</f>
        <v>511046647.38501644</v>
      </c>
      <c r="CV102" s="17">
        <f>'[1]资源-玩家城池建筑时间'!AK102+CV101</f>
        <v>537697222.58160639</v>
      </c>
      <c r="CW102" s="17">
        <f>'[1]资源-玩家城池建筑时间'!AL102+CW101</f>
        <v>568538957.73298681</v>
      </c>
      <c r="CX102" s="17">
        <f>'[1]资源-玩家城池建筑时间'!AM102+CX101</f>
        <v>603913902.04501772</v>
      </c>
      <c r="CY102" s="17">
        <f>'[1]资源-玩家城池建筑时间'!AN102+CY101</f>
        <v>647998338.43904865</v>
      </c>
      <c r="DB102" s="49">
        <v>97</v>
      </c>
      <c r="DC102" s="17">
        <f>'[1]资源-士兵训练时间'!U102</f>
        <v>216098816.89966351</v>
      </c>
      <c r="DD102" s="17">
        <f>'[1]资源-士兵训练时间'!V102</f>
        <v>314370999.59164977</v>
      </c>
      <c r="DE102" s="17">
        <f>'[1]资源-士兵训练时间'!W102</f>
        <v>433308618.18896371</v>
      </c>
      <c r="DF102" s="17">
        <f>'[1]资源-士兵训练时间'!X102</f>
        <v>578646146.25223541</v>
      </c>
      <c r="DG102" s="17">
        <f>'[1]资源-士兵训练时间'!Y102</f>
        <v>868104171.83932805</v>
      </c>
    </row>
    <row r="103" spans="2:111" x14ac:dyDescent="0.15">
      <c r="B103" s="23">
        <v>100</v>
      </c>
      <c r="C103" s="24">
        <f>'[1]资源-钻石'!L103</f>
        <v>3646931.0415537921</v>
      </c>
      <c r="D103" s="24">
        <f>'[1]资源-钻石'!M103</f>
        <v>5004331.4758897452</v>
      </c>
      <c r="E103" s="24">
        <f>'[1]资源-钻石'!N103</f>
        <v>7192319.1336581428</v>
      </c>
      <c r="F103" s="24">
        <f>'[1]资源-钻石'!O103</f>
        <v>15933134.778497025</v>
      </c>
      <c r="G103" s="24">
        <f>'[1]资源-钻石'!P103</f>
        <v>22408407.470282592</v>
      </c>
      <c r="I103" s="23">
        <v>100</v>
      </c>
      <c r="J103" s="24">
        <f>'[1]资源-钻石'!T103</f>
        <v>595049.0959182966</v>
      </c>
      <c r="K103" s="24">
        <f>'[1]资源-钻石'!U103</f>
        <v>825074.00551012636</v>
      </c>
      <c r="L103" s="24">
        <f>'[1]资源-钻石'!V103</f>
        <v>1359459.406061139</v>
      </c>
      <c r="M103" s="24">
        <f>'[1]资源-钻石'!W103</f>
        <v>3527435.3466672534</v>
      </c>
      <c r="N103" s="24">
        <f>'[1]资源-钻石'!X103</f>
        <v>8331461.3813339779</v>
      </c>
      <c r="P103" s="28">
        <v>100</v>
      </c>
      <c r="Q103" s="28">
        <f>'[1]功能-行军令'!N103</f>
        <v>47058</v>
      </c>
      <c r="R103" s="28">
        <f>'[1]功能-行军令'!O103</f>
        <v>58650.533700000007</v>
      </c>
      <c r="S103" s="28">
        <f>'[1]功能-行军令'!P103</f>
        <v>64308.644399999997</v>
      </c>
      <c r="T103" s="28">
        <f>'[1]功能-行军令'!Q103</f>
        <v>52347.319199999998</v>
      </c>
      <c r="U103" s="28">
        <f>'[1]功能-行军令'!R103</f>
        <v>28302.113400000002</v>
      </c>
      <c r="V103" s="28">
        <f>'[1]功能-行军令'!S103</f>
        <v>3154.4139666502233</v>
      </c>
      <c r="W103" s="28">
        <f>'[1]功能-行军令'!T103</f>
        <v>3944.2794379878469</v>
      </c>
      <c r="X103" s="28">
        <f>'[1]功能-行军令'!U103</f>
        <v>4371.5641898492104</v>
      </c>
      <c r="Y103" s="28">
        <f>'[1]功能-行军令'!V103</f>
        <v>3381.1724841133255</v>
      </c>
      <c r="Z103" s="28">
        <f>'[1]功能-行军令'!W103</f>
        <v>1769.3629510584033</v>
      </c>
      <c r="AC103" s="30">
        <v>100</v>
      </c>
      <c r="AD103" s="41">
        <f>'[1]功能-实力'!BE104</f>
        <v>12843162</v>
      </c>
      <c r="AE103" s="41">
        <f>'[1]功能-实力'!BF104</f>
        <v>14349324</v>
      </c>
      <c r="AF103" s="41">
        <f>'[1]功能-实力'!BG104</f>
        <v>16144818</v>
      </c>
      <c r="AG103" s="41">
        <f>'[1]功能-实力'!BH104</f>
        <v>17864352</v>
      </c>
      <c r="AH103" s="41">
        <f>'[1]功能-实力'!BI104</f>
        <v>18795072</v>
      </c>
      <c r="AL103" s="37">
        <f>[3]基础状态预期!C113</f>
        <v>21</v>
      </c>
      <c r="AM103" s="37">
        <f>[3]基础状态预期!D113</f>
        <v>49.18886033229559</v>
      </c>
      <c r="AO103" s="37">
        <f>[3]基础状态预期!F113</f>
        <v>0</v>
      </c>
      <c r="AP103" s="37">
        <f>[3]基础状态预期!G113</f>
        <v>0</v>
      </c>
      <c r="AQ103" s="37">
        <f>[3]基础状态预期!H113</f>
        <v>0</v>
      </c>
      <c r="AR103" s="37">
        <f>[3]基础状态预期!I113</f>
        <v>6</v>
      </c>
      <c r="AS103" s="37">
        <f>[3]基础状态预期!J113</f>
        <v>0</v>
      </c>
      <c r="AW103" s="32">
        <v>97</v>
      </c>
      <c r="AX103" s="32">
        <f>[1]节奏总纲!BJ100</f>
        <v>3.4999999999999978</v>
      </c>
      <c r="AY103" s="32">
        <f>[1]节奏总纲!BK100</f>
        <v>3.5699999999999976</v>
      </c>
      <c r="AZ103" s="32">
        <f>[1]节奏总纲!BL100</f>
        <v>3.7099999999999977</v>
      </c>
      <c r="BA103" s="32">
        <f>[1]节奏总纲!BM100</f>
        <v>3.9899999999999971</v>
      </c>
      <c r="BB103" s="32">
        <f>[1]节奏总纲!BN100</f>
        <v>4.8999999999999968</v>
      </c>
      <c r="BF103" s="42">
        <f>'[1]功能-行军令'!FZ101</f>
        <v>97</v>
      </c>
      <c r="BG103" s="42">
        <f>'[1]功能-行军令'!GA101*'[1]功能-行军令'!GB101</f>
        <v>515.72790207575815</v>
      </c>
      <c r="BN103" s="49">
        <v>98</v>
      </c>
      <c r="BO103" s="17">
        <f>'[1]资源-木石铜粮'!U103</f>
        <v>78894790701.199432</v>
      </c>
      <c r="BP103" s="17">
        <f>'[1]资源-木石铜粮'!V103</f>
        <v>89208493049.255341</v>
      </c>
      <c r="BQ103" s="17">
        <f>'[1]资源-木石铜粮'!W103</f>
        <v>96882424694.75032</v>
      </c>
      <c r="BR103" s="17">
        <f>'[1]资源-木石铜粮'!X103</f>
        <v>93910427293.575775</v>
      </c>
      <c r="BS103" s="17">
        <f>'[1]资源-木石铜粮'!Y103</f>
        <v>74107671698.225662</v>
      </c>
      <c r="BV103" s="49">
        <v>98</v>
      </c>
      <c r="BW103" s="47">
        <f>'[1]功能-城建'!EQ101+[1]养成buff汇总!H103+'[1]功能-采集'!BS102+[2]产出汇总!AY103+[1]养成buff汇总!GY103</f>
        <v>57567444093.138199</v>
      </c>
      <c r="BX103" s="47">
        <f>'[1]功能-城建'!ER101+[1]养成buff汇总!I103+'[1]功能-采集'!BT102+[2]产出汇总!AZ103+[1]养成buff汇总!GZ103</f>
        <v>36667282843.040985</v>
      </c>
      <c r="BY103" s="47">
        <f>'[1]功能-城建'!ES101+[1]养成buff汇总!J103+'[1]功能-采集'!BU102+[2]产出汇总!BA103+[1]养成buff汇总!HA103</f>
        <v>42616114024.72718</v>
      </c>
      <c r="BZ103" s="47">
        <f>'[1]功能-城建'!ET101+[1]养成buff汇总!K103+'[1]功能-采集'!BV102+[2]产出汇总!BB103+[1]养成buff汇总!HB103</f>
        <v>23412672807.085289</v>
      </c>
      <c r="CA103" s="47">
        <f>'[1]功能-城建'!EU101+[1]养成buff汇总!L103+'[1]功能-采集'!BW102+[2]产出汇总!BC103+[1]养成buff汇总!HC103</f>
        <v>20238463130.99736</v>
      </c>
      <c r="CD103" s="49">
        <v>98</v>
      </c>
      <c r="CE103" s="44">
        <f>'[1]资源-铁'!T103</f>
        <v>16258029011.927694</v>
      </c>
      <c r="CF103" s="44">
        <f>'[1]资源-铁'!U103</f>
        <v>21621662579.438023</v>
      </c>
      <c r="CG103" s="44">
        <f>'[1]资源-铁'!V103</f>
        <v>28468027002.699944</v>
      </c>
      <c r="CH103" s="44">
        <f>'[1]资源-铁'!W103</f>
        <v>37171318807.879906</v>
      </c>
      <c r="CI103" s="44">
        <f>'[1]资源-铁'!X103</f>
        <v>52936946403.821365</v>
      </c>
      <c r="CL103" s="49">
        <v>98</v>
      </c>
      <c r="CM103" s="44">
        <f>'[1]功能-城建'!HF101+[1]养成buff汇总!S103+'[1]功能-采集'!BX102</f>
        <v>17330278741.264805</v>
      </c>
      <c r="CN103" s="44">
        <f>'[1]功能-城建'!HG101+[1]养成buff汇总!T103+'[1]功能-采集'!BY102</f>
        <v>11323426581.464314</v>
      </c>
      <c r="CO103" s="44">
        <f>'[1]功能-城建'!HH101+[1]养成buff汇总!U103+'[1]功能-采集'!BZ102</f>
        <v>13521525407.085945</v>
      </c>
      <c r="CP103" s="44">
        <f>'[1]功能-城建'!HI101+[1]养成buff汇总!V103+'[1]功能-采集'!CA102</f>
        <v>7335618821.9915905</v>
      </c>
      <c r="CQ103" s="44">
        <f>'[1]功能-城建'!HJ101+[1]养成buff汇总!W103+'[1]功能-采集'!CB102</f>
        <v>6375698445.6223431</v>
      </c>
      <c r="CT103" s="49">
        <v>98</v>
      </c>
      <c r="CU103" s="17">
        <f>'[1]资源-玩家城池建筑时间'!AJ103+CU102</f>
        <v>540566594.55884767</v>
      </c>
      <c r="CV103" s="17">
        <f>'[1]资源-玩家城池建筑时间'!AK103+CV102</f>
        <v>569280666.50650632</v>
      </c>
      <c r="CW103" s="17">
        <f>'[1]资源-玩家城池建筑时间'!AL103+CW102</f>
        <v>602566435.04658461</v>
      </c>
      <c r="CX103" s="17">
        <f>'[1]资源-玩家城池建筑时间'!AM103+CX102</f>
        <v>642303370.72092569</v>
      </c>
      <c r="CY103" s="17">
        <f>'[1]资源-玩家城池建筑时间'!AN103+CY102</f>
        <v>690500591.52300715</v>
      </c>
      <c r="DB103" s="49">
        <v>98</v>
      </c>
      <c r="DC103" s="17">
        <f>'[1]资源-士兵训练时间'!U103</f>
        <v>237897063.7369909</v>
      </c>
      <c r="DD103" s="17">
        <f>'[1]资源-士兵训练时间'!V103</f>
        <v>347467067.50657904</v>
      </c>
      <c r="DE103" s="17">
        <f>'[1]资源-士兵训练时间'!W103</f>
        <v>480342605.16229093</v>
      </c>
      <c r="DF103" s="17">
        <f>'[1]资源-士兵训练时间'!X103</f>
        <v>641775461.72820902</v>
      </c>
      <c r="DG103" s="17">
        <f>'[1]资源-士兵训练时间'!Y103</f>
        <v>960673455.97219694</v>
      </c>
    </row>
    <row r="104" spans="2:111" x14ac:dyDescent="0.15">
      <c r="B104" s="23">
        <v>101</v>
      </c>
      <c r="C104" s="24">
        <f>'[1]资源-钻石'!L104</f>
        <v>3764917.3828626908</v>
      </c>
      <c r="D104" s="24">
        <f>'[1]资源-钻石'!M104</f>
        <v>5184449.1990960017</v>
      </c>
      <c r="E104" s="24">
        <f>'[1]资源-钻石'!N104</f>
        <v>7463714.9890935272</v>
      </c>
      <c r="F104" s="24">
        <f>'[1]资源-钻石'!O104</f>
        <v>16702002.587370344</v>
      </c>
      <c r="G104" s="24">
        <f>'[1]资源-钻石'!P104</f>
        <v>23921158.347683363</v>
      </c>
      <c r="I104" s="23">
        <v>101</v>
      </c>
      <c r="J104" s="24">
        <f>'[1]资源-钻石'!T104</f>
        <v>599377.82196667744</v>
      </c>
      <c r="K104" s="24">
        <f>'[1]资源-钻石'!U104</f>
        <v>831515.6041633453</v>
      </c>
      <c r="L104" s="24">
        <f>'[1]资源-钻石'!V104</f>
        <v>1370997.1645796797</v>
      </c>
      <c r="M104" s="24">
        <f>'[1]资源-钻石'!W104</f>
        <v>3560146.8810376478</v>
      </c>
      <c r="N104" s="24">
        <f>'[1]资源-钻石'!X104</f>
        <v>8411299.0691414122</v>
      </c>
      <c r="P104" s="28">
        <v>101</v>
      </c>
      <c r="Q104" s="28">
        <f>'[1]功能-行军令'!N104</f>
        <v>50438.81717930951</v>
      </c>
      <c r="R104" s="28">
        <f>'[1]功能-行军令'!O104</f>
        <v>62922.972679201433</v>
      </c>
      <c r="S104" s="28">
        <f>'[1]功能-行军令'!P104</f>
        <v>68819.051108257583</v>
      </c>
      <c r="T104" s="28">
        <f>'[1]功能-行军令'!Q104</f>
        <v>55825.792503662335</v>
      </c>
      <c r="U104" s="28">
        <f>'[1]功能-行军令'!R104</f>
        <v>30222.500655432003</v>
      </c>
      <c r="V104" s="28">
        <f>'[1]功能-行军令'!S104</f>
        <v>3380.8171793095098</v>
      </c>
      <c r="W104" s="28">
        <f>'[1]功能-行军令'!T104</f>
        <v>4272.4389792014263</v>
      </c>
      <c r="X104" s="28">
        <f>'[1]功能-行军令'!U104</f>
        <v>4510.4067082575857</v>
      </c>
      <c r="Y104" s="28">
        <f>'[1]功能-行军令'!V104</f>
        <v>3478.4733036623365</v>
      </c>
      <c r="Z104" s="28">
        <f>'[1]功能-行军令'!W104</f>
        <v>1920.3872554320005</v>
      </c>
      <c r="AC104" s="30">
        <v>101</v>
      </c>
      <c r="AD104" s="41">
        <f>'[1]功能-实力'!BE105</f>
        <v>13263228</v>
      </c>
      <c r="AE104" s="41">
        <f>'[1]功能-实力'!BF105</f>
        <v>14751444</v>
      </c>
      <c r="AF104" s="41">
        <f>'[1]功能-实力'!BG105</f>
        <v>16589382</v>
      </c>
      <c r="AG104" s="41">
        <f>'[1]功能-实力'!BH105</f>
        <v>18288918</v>
      </c>
      <c r="AH104" s="41">
        <f>'[1]功能-实力'!BI105</f>
        <v>19236954</v>
      </c>
      <c r="AL104" s="37">
        <f>[3]基础状态预期!C114</f>
        <v>28</v>
      </c>
      <c r="AM104" s="37">
        <f>[3]基础状态预期!D114</f>
        <v>53.212684955585161</v>
      </c>
      <c r="AO104" s="37">
        <f>[3]基础状态预期!F114</f>
        <v>0</v>
      </c>
      <c r="AP104" s="37">
        <f>[3]基础状态预期!G114</f>
        <v>0</v>
      </c>
      <c r="AQ104" s="37">
        <f>[3]基础状态预期!H114</f>
        <v>0</v>
      </c>
      <c r="AR104" s="37">
        <f>[3]基础状态预期!I114</f>
        <v>5</v>
      </c>
      <c r="AS104" s="37">
        <f>[3]基础状态预期!J114</f>
        <v>1</v>
      </c>
      <c r="AW104" s="32">
        <v>98</v>
      </c>
      <c r="AX104" s="32">
        <f>[1]节奏总纲!BJ101</f>
        <v>3.4999999999999978</v>
      </c>
      <c r="AY104" s="32">
        <f>[1]节奏总纲!BK101</f>
        <v>3.5699999999999976</v>
      </c>
      <c r="AZ104" s="32">
        <f>[1]节奏总纲!BL101</f>
        <v>3.7099999999999977</v>
      </c>
      <c r="BA104" s="32">
        <f>[1]节奏总纲!BM101</f>
        <v>3.9899999999999971</v>
      </c>
      <c r="BB104" s="32">
        <f>[1]节奏总纲!BN101</f>
        <v>4.8999999999999968</v>
      </c>
      <c r="BF104" s="42">
        <f>'[1]功能-行军令'!FZ102</f>
        <v>98</v>
      </c>
      <c r="BG104" s="42">
        <f>'[1]功能-行军令'!GA102*'[1]功能-行军令'!GB102</f>
        <v>526.04246011727332</v>
      </c>
      <c r="BN104" s="49">
        <v>99</v>
      </c>
      <c r="BO104" s="17">
        <f>'[1]资源-木石铜粮'!U104</f>
        <v>86178301940.686539</v>
      </c>
      <c r="BP104" s="17">
        <f>'[1]资源-木石铜粮'!V104</f>
        <v>97546234986.104279</v>
      </c>
      <c r="BQ104" s="17">
        <f>'[1]资源-木石铜粮'!W104</f>
        <v>106063097549.10861</v>
      </c>
      <c r="BR104" s="17">
        <f>'[1]资源-木石铜粮'!X104</f>
        <v>102795357388.67102</v>
      </c>
      <c r="BS104" s="17">
        <f>'[1]资源-木石铜粮'!Y104</f>
        <v>82574772800.095932</v>
      </c>
      <c r="BV104" s="49">
        <v>99</v>
      </c>
      <c r="BW104" s="47">
        <f>'[1]功能-城建'!EQ102+[1]养成buff汇总!H104+'[1]功能-采集'!BS103+[2]产出汇总!AY104+[1]养成buff汇总!GY104</f>
        <v>64955898742.159843</v>
      </c>
      <c r="BX104" s="47">
        <f>'[1]功能-城建'!ER102+[1]养成buff汇总!I104+'[1]功能-采集'!BT103+[2]产出汇总!AZ104+[1]养成buff汇总!GZ104</f>
        <v>41428924315.838821</v>
      </c>
      <c r="BY104" s="47">
        <f>'[1]功能-城建'!ES102+[1]养成buff汇总!J104+'[1]功能-采集'!BU103+[2]产出汇总!BA104+[1]养成buff汇总!HA104</f>
        <v>48352908746.057678</v>
      </c>
      <c r="BZ104" s="47">
        <f>'[1]功能-城建'!ET102+[1]养成buff汇总!K104+'[1]功能-采集'!BV103+[2]产出汇总!BB104+[1]养成buff汇总!HB104</f>
        <v>26575285798.902058</v>
      </c>
      <c r="CA104" s="47">
        <f>'[1]功能-城建'!EU102+[1]养成buff汇总!L104+'[1]功能-采集'!BW103+[2]产出汇总!BC104+[1]养成buff汇总!HC104</f>
        <v>22937632497.260216</v>
      </c>
      <c r="CD104" s="49">
        <v>99</v>
      </c>
      <c r="CE104" s="44">
        <f>'[1]资源-铁'!T104</f>
        <v>17985726387.332497</v>
      </c>
      <c r="CF104" s="44">
        <f>'[1]资源-铁'!U104</f>
        <v>23860669032.948704</v>
      </c>
      <c r="CG104" s="44">
        <f>'[1]资源-铁'!V104</f>
        <v>31358408433.594658</v>
      </c>
      <c r="CH104" s="44">
        <f>'[1]资源-铁'!W104</f>
        <v>40907236850.397385</v>
      </c>
      <c r="CI104" s="44">
        <f>'[1]资源-铁'!X104</f>
        <v>58053534986.897369</v>
      </c>
      <c r="CL104" s="49">
        <v>99</v>
      </c>
      <c r="CM104" s="44">
        <f>'[1]功能-城建'!HF102+[1]养成buff汇总!S104+'[1]功能-采集'!BX103</f>
        <v>19578832543.800793</v>
      </c>
      <c r="CN104" s="44">
        <f>'[1]功能-城建'!HG102+[1]养成buff汇总!T104+'[1]功能-采集'!BY103</f>
        <v>12826267777.575306</v>
      </c>
      <c r="CO104" s="44">
        <f>'[1]功能-城建'!HH102+[1]养成buff汇总!U104+'[1]功能-采集'!BZ103</f>
        <v>15367286798.386992</v>
      </c>
      <c r="CP104" s="44">
        <f>'[1]功能-城建'!HI102+[1]养成buff汇总!V104+'[1]功能-采集'!CA103</f>
        <v>8335712863.2330933</v>
      </c>
      <c r="CQ104" s="44">
        <f>'[1]功能-城建'!HJ102+[1]养成buff汇总!W104+'[1]功能-采集'!CB103</f>
        <v>7279332967.1891861</v>
      </c>
      <c r="CT104" s="49">
        <v>99</v>
      </c>
      <c r="CU104" s="17">
        <f>'[1]资源-玩家城池建筑时间'!AJ104+CU103</f>
        <v>571145252.35684562</v>
      </c>
      <c r="CV104" s="17">
        <f>'[1]资源-玩家城池建筑时间'!AK104+CV103</f>
        <v>602100445.06662822</v>
      </c>
      <c r="CW104" s="17">
        <f>'[1]资源-玩家城池建筑时间'!AL104+CW103</f>
        <v>638863851.99645913</v>
      </c>
      <c r="CX104" s="17">
        <f>'[1]资源-玩家城池建筑时间'!AM104+CX103</f>
        <v>683017036.79308021</v>
      </c>
      <c r="CY104" s="17">
        <f>'[1]资源-玩家城池建筑时间'!AN104+CY103</f>
        <v>737764554.89968395</v>
      </c>
      <c r="DB104" s="49">
        <v>99</v>
      </c>
      <c r="DC104" s="17">
        <f>'[1]资源-士兵训练时间'!U104</f>
        <v>262146678.67824993</v>
      </c>
      <c r="DD104" s="17">
        <f>'[1]资源-士兵训练时间'!V104</f>
        <v>383758797.81706899</v>
      </c>
      <c r="DE104" s="17">
        <f>'[1]资源-士兵训练时间'!W104</f>
        <v>530130871.42446637</v>
      </c>
      <c r="DF104" s="17">
        <f>'[1]资源-士兵训练时间'!X104</f>
        <v>708280787.60962331</v>
      </c>
      <c r="DG104" s="17">
        <f>'[1]资源-士兵训练时间'!Y104</f>
        <v>1056626278.7581617</v>
      </c>
    </row>
    <row r="105" spans="2:111" x14ac:dyDescent="0.15">
      <c r="B105" s="23">
        <v>102</v>
      </c>
      <c r="C105" s="24">
        <f>'[1]资源-钻石'!L105</f>
        <v>3882903.7241715896</v>
      </c>
      <c r="D105" s="24">
        <f>'[1]资源-钻石'!M105</f>
        <v>5364566.9223022582</v>
      </c>
      <c r="E105" s="24">
        <f>'[1]资源-钻石'!N105</f>
        <v>7735110.8445289116</v>
      </c>
      <c r="F105" s="24">
        <f>'[1]资源-钻石'!O105</f>
        <v>17470870.396243662</v>
      </c>
      <c r="G105" s="24">
        <f>'[1]资源-钻石'!P105</f>
        <v>25555158.958562665</v>
      </c>
      <c r="I105" s="23">
        <v>102</v>
      </c>
      <c r="J105" s="24">
        <f>'[1]资源-钻石'!T105</f>
        <v>603706.54801505827</v>
      </c>
      <c r="K105" s="24">
        <f>'[1]资源-钻石'!U105</f>
        <v>837957.20281656412</v>
      </c>
      <c r="L105" s="24">
        <f>'[1]资源-钻石'!V105</f>
        <v>1382534.9230982205</v>
      </c>
      <c r="M105" s="24">
        <f>'[1]资源-钻石'!W105</f>
        <v>3592858.4154080427</v>
      </c>
      <c r="N105" s="24">
        <f>'[1]资源-钻石'!X105</f>
        <v>8491136.7569488473</v>
      </c>
      <c r="P105" s="28">
        <v>102</v>
      </c>
      <c r="Q105" s="28">
        <f>'[1]功能-行军令'!N105</f>
        <v>54062.287313780289</v>
      </c>
      <c r="R105" s="28">
        <f>'[1]功能-行军令'!O105</f>
        <v>67285.805264019393</v>
      </c>
      <c r="S105" s="28">
        <f>'[1]功能-行军令'!P105</f>
        <v>73367.224953261932</v>
      </c>
      <c r="T105" s="28">
        <f>'[1]功能-行军令'!Q105</f>
        <v>59533.625843357957</v>
      </c>
      <c r="U105" s="28">
        <f>'[1]功能-行军令'!R105</f>
        <v>32296.810441252339</v>
      </c>
      <c r="V105" s="28">
        <f>'[1]功能-行军令'!S105</f>
        <v>3623.4701344707792</v>
      </c>
      <c r="W105" s="28">
        <f>'[1]功能-行军令'!T105</f>
        <v>4362.8325848179593</v>
      </c>
      <c r="X105" s="28">
        <f>'[1]功能-行军令'!U105</f>
        <v>4548.1738450043485</v>
      </c>
      <c r="Y105" s="28">
        <f>'[1]功能-行军令'!V105</f>
        <v>3707.8333396956223</v>
      </c>
      <c r="Z105" s="28">
        <f>'[1]功能-行军令'!W105</f>
        <v>2074.3097858203364</v>
      </c>
      <c r="AC105" s="30">
        <v>102</v>
      </c>
      <c r="AD105" s="41">
        <f>'[1]功能-实力'!BE106</f>
        <v>13705470</v>
      </c>
      <c r="AE105" s="41">
        <f>'[1]功能-实力'!BF106</f>
        <v>15161844</v>
      </c>
      <c r="AF105" s="41">
        <f>'[1]功能-实力'!BG106</f>
        <v>17035026</v>
      </c>
      <c r="AG105" s="41">
        <f>'[1]功能-实力'!BH106</f>
        <v>18724368</v>
      </c>
      <c r="AH105" s="41">
        <f>'[1]功能-实力'!BI106</f>
        <v>19688388</v>
      </c>
      <c r="AL105" s="37">
        <f>[3]基础状态预期!C115</f>
        <v>42</v>
      </c>
      <c r="AM105" s="37">
        <f>[3]基础状态预期!D115</f>
        <v>59.09095196730258</v>
      </c>
      <c r="AO105" s="37">
        <f>[3]基础状态预期!F115</f>
        <v>0</v>
      </c>
      <c r="AP105" s="37">
        <f>[3]基础状态预期!G115</f>
        <v>0</v>
      </c>
      <c r="AQ105" s="37">
        <f>[3]基础状态预期!H115</f>
        <v>0</v>
      </c>
      <c r="AR105" s="37">
        <f>[3]基础状态预期!I115</f>
        <v>4</v>
      </c>
      <c r="AS105" s="37">
        <f>[3]基础状态预期!J115</f>
        <v>2</v>
      </c>
      <c r="AW105" s="32">
        <v>99</v>
      </c>
      <c r="AX105" s="32">
        <f>[1]节奏总纲!BJ102</f>
        <v>3.4999999999999978</v>
      </c>
      <c r="AY105" s="32">
        <f>[1]节奏总纲!BK102</f>
        <v>3.5699999999999976</v>
      </c>
      <c r="AZ105" s="32">
        <f>[1]节奏总纲!BL102</f>
        <v>3.7099999999999977</v>
      </c>
      <c r="BA105" s="32">
        <f>[1]节奏总纲!BM102</f>
        <v>3.9899999999999971</v>
      </c>
      <c r="BB105" s="32">
        <f>[1]节奏总纲!BN102</f>
        <v>4.8999999999999968</v>
      </c>
      <c r="BF105" s="42">
        <f>'[1]功能-行军令'!FZ103</f>
        <v>99</v>
      </c>
      <c r="BG105" s="42">
        <f>'[1]功能-行军令'!GA103*'[1]功能-行军令'!GB103</f>
        <v>536.56330931961872</v>
      </c>
      <c r="BN105" s="49">
        <v>100</v>
      </c>
      <c r="BO105" s="17">
        <f>'[1]资源-木石铜粮'!U105</f>
        <v>94127254722.617172</v>
      </c>
      <c r="BP105" s="17">
        <f>'[1]资源-木石铜粮'!V105</f>
        <v>106760284653.15785</v>
      </c>
      <c r="BQ105" s="17">
        <f>'[1]资源-木石铜粮'!W105</f>
        <v>116263436075.29268</v>
      </c>
      <c r="BR105" s="17">
        <f>'[1]资源-木石铜粮'!X105</f>
        <v>111863903731.40376</v>
      </c>
      <c r="BS105" s="17">
        <f>'[1]资源-木石铜粮'!Y105</f>
        <v>91396135882.839279</v>
      </c>
      <c r="BV105" s="49">
        <v>100</v>
      </c>
      <c r="BW105" s="47">
        <f>'[1]功能-城建'!EQ103+[1]养成buff汇总!H105+'[1]功能-采集'!BS104+[2]产出汇总!AY105+[1]养成buff汇总!GY105</f>
        <v>73265455911.401276</v>
      </c>
      <c r="BX105" s="47">
        <f>'[1]功能-城建'!ER103+[1]养成buff汇总!I105+'[1]功能-采集'!BT104+[2]产出汇总!AZ105+[1]养成buff汇总!GZ105</f>
        <v>46667972333.123497</v>
      </c>
      <c r="BY105" s="47">
        <f>'[1]功能-城建'!ES103+[1]养成buff汇总!J105+'[1]功能-采集'!BU104+[2]产出汇总!BA105+[1]养成buff汇总!HA105</f>
        <v>54693720184.881577</v>
      </c>
      <c r="BZ105" s="47">
        <f>'[1]功能-城建'!ET103+[1]养成buff汇总!K105+'[1]功能-采集'!BV104+[2]产出汇总!BB105+[1]养成buff汇总!HB105</f>
        <v>29821303510.55888</v>
      </c>
      <c r="CA105" s="47">
        <f>'[1]功能-城建'!EU103+[1]养成buff汇总!L105+'[1]功能-采集'!BW104+[2]产出汇总!BC105+[1]养成buff汇总!HC105</f>
        <v>25850261749.687279</v>
      </c>
      <c r="CD105" s="49">
        <v>100</v>
      </c>
      <c r="CE105" s="44">
        <f>'[1]资源-铁'!T105</f>
        <v>19789574774.325409</v>
      </c>
      <c r="CF105" s="44">
        <f>'[1]资源-铁'!U105</f>
        <v>26204213875.036018</v>
      </c>
      <c r="CG105" s="44">
        <f>'[1]资源-铁'!V105</f>
        <v>34384965071.186768</v>
      </c>
      <c r="CH105" s="44">
        <f>'[1]资源-铁'!W105</f>
        <v>44727600906.060867</v>
      </c>
      <c r="CI105" s="44">
        <f>'[1]资源-铁'!X105</f>
        <v>63410021924.325027</v>
      </c>
      <c r="CL105" s="49">
        <v>100</v>
      </c>
      <c r="CM105" s="44">
        <f>'[1]功能-城建'!HF103+[1]养成buff汇总!S105+'[1]功能-采集'!BX104</f>
        <v>22100165415.472328</v>
      </c>
      <c r="CN105" s="44">
        <f>'[1]功能-城建'!HG103+[1]养成buff汇总!T105+'[1]功能-采集'!BY104</f>
        <v>14477786845.361858</v>
      </c>
      <c r="CO105" s="44">
        <f>'[1]功能-城建'!HH103+[1]养成buff汇总!U105+'[1]功能-采集'!BZ104</f>
        <v>17401560070.653534</v>
      </c>
      <c r="CP105" s="44">
        <f>'[1]功能-城建'!HI103+[1]养成buff汇总!V105+'[1]功能-采集'!CA104</f>
        <v>9365393476.3329086</v>
      </c>
      <c r="CQ105" s="44">
        <f>'[1]功能-城建'!HJ103+[1]养成buff汇总!W105+'[1]功能-采集'!CB104</f>
        <v>8261784419.7970543</v>
      </c>
      <c r="CT105" s="49">
        <v>100</v>
      </c>
      <c r="CU105" s="17">
        <f>'[1]资源-玩家城池建筑时间'!AJ105+CU104</f>
        <v>603204196.00551057</v>
      </c>
      <c r="CV105" s="17">
        <f>'[1]资源-玩家城池建筑时间'!AK105+CV104</f>
        <v>637150101.52865028</v>
      </c>
      <c r="CW105" s="17">
        <f>'[1]资源-玩家城池建筑时间'!AL105+CW104</f>
        <v>677818536.43205678</v>
      </c>
      <c r="CX105" s="17">
        <f>'[1]资源-玩家城池建筑时间'!AM105+CX104</f>
        <v>727435952.36321867</v>
      </c>
      <c r="CY105" s="17">
        <f>'[1]资源-玩家城池建筑时间'!AN105+CY104</f>
        <v>788657098.43871951</v>
      </c>
      <c r="DB105" s="49">
        <v>100</v>
      </c>
      <c r="DC105" s="17">
        <f>'[1]资源-士兵训练时间'!U105</f>
        <v>288734484.59850919</v>
      </c>
      <c r="DD105" s="17">
        <f>'[1]资源-士兵训练时间'!V105</f>
        <v>422238435.44193959</v>
      </c>
      <c r="DE105" s="17">
        <f>'[1]资源-士兵训练时间'!W105</f>
        <v>583157578.68957615</v>
      </c>
      <c r="DF105" s="17">
        <f>'[1]资源-士兵训练时间'!X105</f>
        <v>777125722.17394066</v>
      </c>
      <c r="DG105" s="17">
        <f>'[1]资源-士兵训练时间'!Y105</f>
        <v>1157433013.3695431</v>
      </c>
    </row>
    <row r="106" spans="2:111" x14ac:dyDescent="0.15">
      <c r="B106" s="23">
        <v>103</v>
      </c>
      <c r="C106" s="24">
        <f>'[1]资源-钻石'!L106</f>
        <v>4000890.0654804884</v>
      </c>
      <c r="D106" s="24">
        <f>'[1]资源-钻石'!M106</f>
        <v>5544684.6455085147</v>
      </c>
      <c r="E106" s="24">
        <f>'[1]资源-钻石'!N106</f>
        <v>8006506.6999642961</v>
      </c>
      <c r="F106" s="24">
        <f>'[1]资源-钻石'!O106</f>
        <v>18239738.20511698</v>
      </c>
      <c r="G106" s="24">
        <f>'[1]资源-钻石'!P106</f>
        <v>27362276.985131558</v>
      </c>
      <c r="I106" s="23">
        <v>103</v>
      </c>
      <c r="J106" s="24">
        <f>'[1]资源-钻石'!T106</f>
        <v>608035.27406343911</v>
      </c>
      <c r="K106" s="24">
        <f>'[1]资源-钻石'!U106</f>
        <v>844398.80146978307</v>
      </c>
      <c r="L106" s="24">
        <f>'[1]资源-钻石'!V106</f>
        <v>1394072.6816167615</v>
      </c>
      <c r="M106" s="24">
        <f>'[1]资源-钻石'!W106</f>
        <v>3625569.9497784376</v>
      </c>
      <c r="N106" s="24">
        <f>'[1]资源-钻石'!X106</f>
        <v>8570974.4447562806</v>
      </c>
      <c r="P106" s="28">
        <v>103</v>
      </c>
      <c r="Q106" s="28">
        <f>'[1]功能-行军令'!N106</f>
        <v>57945.826446198938</v>
      </c>
      <c r="R106" s="28">
        <f>'[1]功能-行军令'!O106</f>
        <v>71916.691171565428</v>
      </c>
      <c r="S106" s="28">
        <f>'[1]功能-行军令'!P106</f>
        <v>78396.798136881436</v>
      </c>
      <c r="T106" s="28">
        <f>'[1]功能-行军令'!Q106</f>
        <v>63758.296715504403</v>
      </c>
      <c r="U106" s="28">
        <f>'[1]功能-行军令'!R106</f>
        <v>34590.887066246381</v>
      </c>
      <c r="V106" s="28">
        <f>'[1]功能-行军令'!S106</f>
        <v>3883.5391324186494</v>
      </c>
      <c r="W106" s="28">
        <f>'[1]功能-行军令'!T106</f>
        <v>4630.885907546035</v>
      </c>
      <c r="X106" s="28">
        <f>'[1]功能-行军令'!U106</f>
        <v>5029.5731836195046</v>
      </c>
      <c r="Y106" s="28">
        <f>'[1]功能-行军令'!V106</f>
        <v>4224.6708721464456</v>
      </c>
      <c r="Z106" s="28">
        <f>'[1]功能-行军令'!W106</f>
        <v>2294.0766249940425</v>
      </c>
      <c r="AC106" s="30">
        <v>103</v>
      </c>
      <c r="AD106" s="41">
        <f>'[1]功能-实力'!BE107</f>
        <v>14160942</v>
      </c>
      <c r="AE106" s="41">
        <f>'[1]功能-实力'!BF107</f>
        <v>15579978</v>
      </c>
      <c r="AF106" s="41">
        <f>'[1]功能-实力'!BG107</f>
        <v>17494524</v>
      </c>
      <c r="AG106" s="41">
        <f>'[1]功能-实力'!BH107</f>
        <v>19170630</v>
      </c>
      <c r="AH106" s="41">
        <f>'[1]功能-实力'!BI107</f>
        <v>20154132</v>
      </c>
      <c r="AL106" s="37">
        <f>[3]基础状态预期!C116</f>
        <v>62.999999999999993</v>
      </c>
      <c r="AM106" s="37">
        <f>[3]基础状态预期!D116</f>
        <v>64.819145630244321</v>
      </c>
      <c r="AO106" s="37">
        <f>[3]基础状态预期!F116</f>
        <v>0</v>
      </c>
      <c r="AP106" s="37">
        <f>[3]基础状态预期!G116</f>
        <v>0</v>
      </c>
      <c r="AQ106" s="37">
        <f>[3]基础状态预期!H116</f>
        <v>0</v>
      </c>
      <c r="AR106" s="37">
        <f>[3]基础状态预期!I116</f>
        <v>3</v>
      </c>
      <c r="AS106" s="37">
        <f>[3]基础状态预期!J116</f>
        <v>3</v>
      </c>
      <c r="AW106" s="32">
        <v>100</v>
      </c>
      <c r="AX106" s="32">
        <f>[1]节奏总纲!BJ103</f>
        <v>3.4999999999999978</v>
      </c>
      <c r="AY106" s="32">
        <f>[1]节奏总纲!BK103</f>
        <v>3.5699999999999976</v>
      </c>
      <c r="AZ106" s="32">
        <f>[1]节奏总纲!BL103</f>
        <v>3.7099999999999977</v>
      </c>
      <c r="BA106" s="32">
        <f>[1]节奏总纲!BM103</f>
        <v>3.9899999999999971</v>
      </c>
      <c r="BB106" s="32">
        <f>[1]节奏总纲!BN103</f>
        <v>4.8999999999999968</v>
      </c>
      <c r="BF106" s="42">
        <f>'[1]功能-行军令'!FZ104</f>
        <v>100</v>
      </c>
      <c r="BG106" s="42">
        <f>'[1]功能-行军令'!GA104*'[1]功能-行军令'!GB104</f>
        <v>547.29457550601114</v>
      </c>
      <c r="BN106" s="49">
        <v>101</v>
      </c>
      <c r="BO106" s="17">
        <f>'[1]资源-木石铜粮'!U106</f>
        <v>102299421292.82635</v>
      </c>
      <c r="BP106" s="17">
        <f>'[1]资源-木石铜粮'!V106</f>
        <v>116113133154.2265</v>
      </c>
      <c r="BQ106" s="17">
        <f>'[1]资源-木石铜粮'!W106</f>
        <v>124909884376.00237</v>
      </c>
      <c r="BR106" s="17">
        <f>'[1]资源-木石铜粮'!X106</f>
        <v>119650439814.21637</v>
      </c>
      <c r="BS106" s="17">
        <f>'[1]资源-木石铜粮'!Y106</f>
        <v>99688150352.880096</v>
      </c>
      <c r="BV106" s="49">
        <v>101</v>
      </c>
      <c r="BW106" s="47">
        <f>'[1]功能-城建'!EQ104+[1]养成buff汇总!H106+'[1]功能-采集'!BS105+[2]产出汇总!AY106+[1]养成buff汇总!GY106</f>
        <v>82212682363.396896</v>
      </c>
      <c r="BX106" s="47">
        <f>'[1]功能-城建'!ER104+[1]养成buff汇总!I106+'[1]功能-采集'!BT105+[2]产出汇总!AZ106+[1]养成buff汇总!GZ106</f>
        <v>52377899271.618034</v>
      </c>
      <c r="BY106" s="47">
        <f>'[1]功能-城建'!ES104+[1]养成buff汇总!J106+'[1]功能-采集'!BU105+[2]产出汇总!BA106+[1]养成buff汇总!HA106</f>
        <v>61257904710.348557</v>
      </c>
      <c r="BZ106" s="47">
        <f>'[1]功能-城建'!ET104+[1]养成buff汇总!K106+'[1]功能-采集'!BV105+[2]产出汇总!BB106+[1]养成buff汇总!HB106</f>
        <v>33165393160.876884</v>
      </c>
      <c r="CA106" s="47">
        <f>'[1]功能-城建'!EU104+[1]养成buff汇总!L106+'[1]功能-采集'!BW105+[2]产出汇总!BC106+[1]养成buff汇总!HC106</f>
        <v>29033277462.221771</v>
      </c>
      <c r="CD106" s="49">
        <v>101</v>
      </c>
      <c r="CE106" s="44">
        <f>'[1]资源-铁'!T106</f>
        <v>21716426752.621571</v>
      </c>
      <c r="CF106" s="44">
        <f>'[1]资源-铁'!U106</f>
        <v>28737970798.46003</v>
      </c>
      <c r="CG106" s="44">
        <f>'[1]资源-铁'!V106</f>
        <v>37615356587.967262</v>
      </c>
      <c r="CH106" s="44">
        <f>'[1]资源-铁'!W106</f>
        <v>48812626011.010681</v>
      </c>
      <c r="CI106" s="44">
        <f>'[1]资源-铁'!X106</f>
        <v>69396047439.191589</v>
      </c>
      <c r="CL106" s="49">
        <v>101</v>
      </c>
      <c r="CM106" s="44">
        <f>'[1]功能-城建'!HF104+[1]养成buff汇总!S106+'[1]功能-采集'!BX105</f>
        <v>24817111899.401028</v>
      </c>
      <c r="CN106" s="44">
        <f>'[1]功能-城建'!HG104+[1]养成buff汇总!T106+'[1]功能-采集'!BY105</f>
        <v>16276577107.664192</v>
      </c>
      <c r="CO106" s="44">
        <f>'[1]功能-城建'!HH104+[1]养成buff汇总!U106+'[1]功能-采集'!BZ105</f>
        <v>19509116033.910294</v>
      </c>
      <c r="CP106" s="44">
        <f>'[1]功能-城建'!HI104+[1]养成buff汇总!V106+'[1]功能-采集'!CA105</f>
        <v>10429582684.375593</v>
      </c>
      <c r="CQ106" s="44">
        <f>'[1]功能-城建'!HJ104+[1]养成buff汇总!W106+'[1]功能-采集'!CB105</f>
        <v>9340069712.1681404</v>
      </c>
      <c r="CT106" s="49">
        <v>101</v>
      </c>
      <c r="CU106" s="17">
        <f>'[1]资源-玩家城池建筑时间'!AJ106+CU105</f>
        <v>638254369.5251503</v>
      </c>
      <c r="CV106" s="17">
        <f>'[1]资源-玩家城池建筑时间'!AK106+CV105</f>
        <v>675931775.63171351</v>
      </c>
      <c r="CW106" s="17">
        <f>'[1]资源-玩家城池建筑时间'!AL106+CW105</f>
        <v>721425517.16492355</v>
      </c>
      <c r="CX106" s="17">
        <f>'[1]资源-玩家城池建筑时间'!AM106+CX105</f>
        <v>777461967.07945096</v>
      </c>
      <c r="CY106" s="17">
        <f>'[1]资源-玩家城池建筑时间'!AN106+CY105</f>
        <v>844016157.20877647</v>
      </c>
      <c r="DB106" s="49">
        <v>101</v>
      </c>
      <c r="DC106" s="17">
        <f>'[1]资源-士兵训练时间'!U106</f>
        <v>317580731.39687341</v>
      </c>
      <c r="DD106" s="17">
        <f>'[1]资源-士兵训练时间'!V106</f>
        <v>464471394.27006519</v>
      </c>
      <c r="DE106" s="17">
        <f>'[1]资源-士兵训练时间'!W106</f>
        <v>640163939.43192387</v>
      </c>
      <c r="DF106" s="17">
        <f>'[1]资源-士兵训练时间'!X106</f>
        <v>851443473.43689704</v>
      </c>
      <c r="DG106" s="17">
        <f>'[1]资源-士兵训练时间'!Y106</f>
        <v>1269657577.6740968</v>
      </c>
    </row>
    <row r="107" spans="2:111" x14ac:dyDescent="0.15">
      <c r="B107" s="23">
        <v>104</v>
      </c>
      <c r="C107" s="24">
        <f>'[1]资源-钻石'!L107</f>
        <v>4118876.4067893871</v>
      </c>
      <c r="D107" s="24">
        <f>'[1]资源-钻石'!M107</f>
        <v>5724802.3687147712</v>
      </c>
      <c r="E107" s="24">
        <f>'[1]资源-钻石'!N107</f>
        <v>8277902.5553996805</v>
      </c>
      <c r="F107" s="24">
        <f>'[1]资源-钻石'!O107</f>
        <v>19008606.013990298</v>
      </c>
      <c r="G107" s="24">
        <f>'[1]资源-钻石'!P107</f>
        <v>29169395.011700451</v>
      </c>
      <c r="I107" s="23">
        <v>104</v>
      </c>
      <c r="J107" s="24">
        <f>'[1]资源-钻石'!T107</f>
        <v>612364.00011181994</v>
      </c>
      <c r="K107" s="24">
        <f>'[1]资源-钻石'!U107</f>
        <v>850840.40012300201</v>
      </c>
      <c r="L107" s="24">
        <f>'[1]资源-钻石'!V107</f>
        <v>1405610.4401353023</v>
      </c>
      <c r="M107" s="24">
        <f>'[1]资源-钻石'!W107</f>
        <v>3658281.4841488325</v>
      </c>
      <c r="N107" s="24">
        <f>'[1]资源-钻石'!X107</f>
        <v>8650812.1325637158</v>
      </c>
      <c r="P107" s="28">
        <v>104</v>
      </c>
      <c r="Q107" s="28">
        <f>'[1]功能-行军令'!N107</f>
        <v>62108.100629046407</v>
      </c>
      <c r="R107" s="28">
        <f>'[1]功能-行军令'!O107</f>
        <v>77100.591068068024</v>
      </c>
      <c r="S107" s="28">
        <f>'[1]功能-行军令'!P107</f>
        <v>84212.373642924023</v>
      </c>
      <c r="T107" s="28">
        <f>'[1]功能-行军令'!Q107</f>
        <v>68504.96495861806</v>
      </c>
      <c r="U107" s="28">
        <f>'[1]功能-行军令'!R107</f>
        <v>37131.192943465336</v>
      </c>
      <c r="V107" s="28">
        <f>'[1]功能-行军令'!S107</f>
        <v>4162.2741828474682</v>
      </c>
      <c r="W107" s="28">
        <f>'[1]功能-行军令'!T107</f>
        <v>5183.8998965025967</v>
      </c>
      <c r="X107" s="28">
        <f>'[1]功能-行军令'!U107</f>
        <v>5815.5755060425872</v>
      </c>
      <c r="Y107" s="28">
        <f>'[1]功能-行军令'!V107</f>
        <v>4746.6682431136578</v>
      </c>
      <c r="Z107" s="28">
        <f>'[1]功能-行军令'!W107</f>
        <v>2540.3058772189543</v>
      </c>
      <c r="AC107" s="30">
        <v>104</v>
      </c>
      <c r="AD107" s="41">
        <f>'[1]功能-实力'!BE108</f>
        <v>14628066</v>
      </c>
      <c r="AE107" s="41">
        <f>'[1]功能-实力'!BF108</f>
        <v>16012410</v>
      </c>
      <c r="AF107" s="41">
        <f>'[1]功能-实力'!BG108</f>
        <v>17965056</v>
      </c>
      <c r="AG107" s="41">
        <f>'[1]功能-实力'!BH108</f>
        <v>19635048</v>
      </c>
      <c r="AH107" s="41">
        <f>'[1]功能-实力'!BI108</f>
        <v>20629434</v>
      </c>
      <c r="AL107" s="37">
        <f>[3]基础状态预期!C117</f>
        <v>84</v>
      </c>
      <c r="AM107" s="37">
        <f>[3]基础状态预期!D117</f>
        <v>69.01697485309198</v>
      </c>
      <c r="AO107" s="37">
        <f>[3]基础状态预期!F117</f>
        <v>0</v>
      </c>
      <c r="AP107" s="37">
        <f>[3]基础状态预期!G117</f>
        <v>0</v>
      </c>
      <c r="AQ107" s="37">
        <f>[3]基础状态预期!H117</f>
        <v>0</v>
      </c>
      <c r="AR107" s="37">
        <f>[3]基础状态预期!I117</f>
        <v>2</v>
      </c>
      <c r="AS107" s="37">
        <f>[3]基础状态预期!J117</f>
        <v>4</v>
      </c>
      <c r="AW107" s="32">
        <v>101</v>
      </c>
      <c r="AX107" s="32">
        <f>[1]节奏总纲!BJ104</f>
        <v>3.4999999999999978</v>
      </c>
      <c r="AY107" s="32">
        <f>[1]节奏总纲!BK104</f>
        <v>3.5699999999999976</v>
      </c>
      <c r="AZ107" s="32">
        <f>[1]节奏总纲!BL104</f>
        <v>3.7099999999999977</v>
      </c>
      <c r="BA107" s="32">
        <f>[1]节奏总纲!BM104</f>
        <v>3.9899999999999971</v>
      </c>
      <c r="BB107" s="32">
        <f>[1]节奏总纲!BN104</f>
        <v>4.8999999999999968</v>
      </c>
      <c r="BF107" s="42">
        <f>'[1]功能-行军令'!FZ105</f>
        <v>101</v>
      </c>
      <c r="BG107" s="42">
        <f>'[1]功能-行军令'!GA105*'[1]功能-行军令'!GB105</f>
        <v>558.24046701613133</v>
      </c>
      <c r="BN107" s="49">
        <v>102</v>
      </c>
      <c r="BO107" s="17">
        <f>'[1]资源-木石铜粮'!U107</f>
        <v>112012900645.04565</v>
      </c>
      <c r="BP107" s="17">
        <f>'[1]资源-木石铜粮'!V107</f>
        <v>126879363412.44</v>
      </c>
      <c r="BQ107" s="17">
        <f>'[1]资源-木石铜粮'!W107</f>
        <v>135976943990.84056</v>
      </c>
      <c r="BR107" s="17">
        <f>'[1]资源-木石铜粮'!X107</f>
        <v>129782448763.46002</v>
      </c>
      <c r="BS107" s="17">
        <f>'[1]资源-木石铜粮'!Y107</f>
        <v>109703780500.01167</v>
      </c>
      <c r="BV107" s="49">
        <v>102</v>
      </c>
      <c r="BW107" s="47">
        <f>'[1]功能-城建'!EQ105+[1]养成buff汇总!H107+'[1]功能-采集'!BS106+[2]产出汇总!AY107+[1]养成buff汇总!GY107</f>
        <v>91847173099.348404</v>
      </c>
      <c r="BX107" s="47">
        <f>'[1]功能-城建'!ER105+[1]养成buff汇总!I107+'[1]功能-采集'!BT106+[2]产出汇总!AZ107+[1]养成buff汇总!GZ107</f>
        <v>58211063069.431534</v>
      </c>
      <c r="BY107" s="47">
        <f>'[1]功能-城建'!ES105+[1]养成buff汇总!J107+'[1]功能-采集'!BU106+[2]产出汇总!BA107+[1]养成buff汇总!HA107</f>
        <v>67905096216.423714</v>
      </c>
      <c r="BZ107" s="47">
        <f>'[1]功能-城建'!ET105+[1]养成buff汇总!K107+'[1]功能-采集'!BV106+[2]产出汇总!BB107+[1]养成buff汇总!HB107</f>
        <v>36746577013.62336</v>
      </c>
      <c r="CA107" s="47">
        <f>'[1]功能-城建'!EU105+[1]养成buff汇总!L107+'[1]功能-采集'!BW106+[2]产出汇总!BC107+[1]养成buff汇总!HC107</f>
        <v>32480951208.408638</v>
      </c>
      <c r="CD107" s="49">
        <v>102</v>
      </c>
      <c r="CE107" s="44">
        <f>'[1]资源-铁'!T107</f>
        <v>23774465210.718216</v>
      </c>
      <c r="CF107" s="44">
        <f>'[1]资源-铁'!U107</f>
        <v>31376066677.655807</v>
      </c>
      <c r="CG107" s="44">
        <f>'[1]资源-铁'!V107</f>
        <v>41041376822.080444</v>
      </c>
      <c r="CH107" s="44">
        <f>'[1]资源-铁'!W107</f>
        <v>53235879079.111465</v>
      </c>
      <c r="CI107" s="44">
        <f>'[1]资源-铁'!X107</f>
        <v>76018922853.573654</v>
      </c>
      <c r="CL107" s="49">
        <v>102</v>
      </c>
      <c r="CM107" s="44">
        <f>'[1]功能-城建'!HF105+[1]养成buff汇总!S107+'[1]功能-采集'!BX106</f>
        <v>27745174523.042854</v>
      </c>
      <c r="CN107" s="44">
        <f>'[1]功能-城建'!HG105+[1]养成buff汇总!T107+'[1]功能-采集'!BY106</f>
        <v>18119668559.634342</v>
      </c>
      <c r="CO107" s="44">
        <f>'[1]功能-城建'!HH105+[1]养成buff汇总!U107+'[1]功能-采集'!BZ106</f>
        <v>21647995485.864738</v>
      </c>
      <c r="CP107" s="44">
        <f>'[1]功能-城建'!HI105+[1]养成buff汇总!V107+'[1]功能-采集'!CA106</f>
        <v>11566605717.178005</v>
      </c>
      <c r="CQ107" s="44">
        <f>'[1]功能-城建'!HJ105+[1]养成buff汇总!W107+'[1]功能-采集'!CB106</f>
        <v>10510205373.165184</v>
      </c>
      <c r="CT107" s="49">
        <v>102</v>
      </c>
      <c r="CU107" s="17">
        <f>'[1]资源-玩家城池建筑时间'!AJ107+CU106</f>
        <v>676579384.03593481</v>
      </c>
      <c r="CV107" s="17">
        <f>'[1]资源-玩家城池建筑时间'!AK107+CV106</f>
        <v>718409584.13604236</v>
      </c>
      <c r="CW107" s="17">
        <f>'[1]资源-玩家城池建筑时间'!AL107+CW106</f>
        <v>770782529.31806779</v>
      </c>
      <c r="CX107" s="17">
        <f>'[1]资源-玩家城池建筑时间'!AM107+CX106</f>
        <v>830848097.38487446</v>
      </c>
      <c r="CY107" s="17">
        <f>'[1]资源-玩家城池建筑时间'!AN107+CY106</f>
        <v>903957720.98102319</v>
      </c>
      <c r="DB107" s="49">
        <v>102</v>
      </c>
      <c r="DC107" s="17">
        <f>'[1]资源-士兵训练时间'!U107</f>
        <v>348882476.30646384</v>
      </c>
      <c r="DD107" s="17">
        <f>'[1]资源-士兵训练时间'!V107</f>
        <v>509144207.49336243</v>
      </c>
      <c r="DE107" s="17">
        <f>'[1]资源-士兵训练时间'!W107</f>
        <v>701267183.63208377</v>
      </c>
      <c r="DF107" s="17">
        <f>'[1]资源-士兵训练时间'!X107</f>
        <v>931721115.16189766</v>
      </c>
      <c r="DG107" s="17">
        <f>'[1]资源-士兵训练时间'!Y107</f>
        <v>1394214003.8372035</v>
      </c>
    </row>
    <row r="108" spans="2:111" x14ac:dyDescent="0.15">
      <c r="B108" s="23">
        <v>105</v>
      </c>
      <c r="C108" s="24">
        <f>'[1]资源-钻石'!L108</f>
        <v>4236862.7480982859</v>
      </c>
      <c r="D108" s="24">
        <f>'[1]资源-钻石'!M108</f>
        <v>5904920.0919210277</v>
      </c>
      <c r="E108" s="24">
        <f>'[1]资源-钻石'!N108</f>
        <v>8549298.4108350649</v>
      </c>
      <c r="F108" s="24">
        <f>'[1]资源-钻石'!O108</f>
        <v>19777473.822863616</v>
      </c>
      <c r="G108" s="24">
        <f>'[1]资源-钻石'!P108</f>
        <v>30976513.038269345</v>
      </c>
      <c r="I108" s="23">
        <v>105</v>
      </c>
      <c r="J108" s="24">
        <f>'[1]资源-钻石'!T108</f>
        <v>616692.72616020078</v>
      </c>
      <c r="K108" s="24">
        <f>'[1]资源-钻石'!U108</f>
        <v>857281.99877622095</v>
      </c>
      <c r="L108" s="24">
        <f>'[1]资源-钻石'!V108</f>
        <v>1417148.198653843</v>
      </c>
      <c r="M108" s="24">
        <f>'[1]资源-钻石'!W108</f>
        <v>3690993.0185192274</v>
      </c>
      <c r="N108" s="24">
        <f>'[1]资源-钻石'!X108</f>
        <v>8730649.8203711491</v>
      </c>
      <c r="P108" s="28">
        <v>105</v>
      </c>
      <c r="Q108" s="28">
        <f>'[1]功能-行军令'!N108</f>
        <v>66569.115642022269</v>
      </c>
      <c r="R108" s="28">
        <f>'[1]功能-行军令'!O108</f>
        <v>82735.42537568738</v>
      </c>
      <c r="S108" s="28">
        <f>'[1]功能-行军令'!P108</f>
        <v>90379.585867954564</v>
      </c>
      <c r="T108" s="28">
        <f>'[1]功能-行军令'!Q108</f>
        <v>73499.973588638299</v>
      </c>
      <c r="U108" s="28">
        <f>'[1]功能-行军令'!R108</f>
        <v>39798.201071114236</v>
      </c>
      <c r="V108" s="28">
        <f>'[1]功能-行军令'!S108</f>
        <v>4461.0150129758622</v>
      </c>
      <c r="W108" s="28">
        <f>'[1]功能-行军令'!T108</f>
        <v>5634.834307619356</v>
      </c>
      <c r="X108" s="28">
        <f>'[1]功能-行军令'!U108</f>
        <v>6167.2122250305401</v>
      </c>
      <c r="Y108" s="28">
        <f>'[1]功能-行军令'!V108</f>
        <v>4995.0086300202383</v>
      </c>
      <c r="Z108" s="28">
        <f>'[1]功能-行军令'!W108</f>
        <v>2667.0081276489</v>
      </c>
      <c r="AC108" s="30">
        <v>105</v>
      </c>
      <c r="AD108" s="41">
        <f>'[1]功能-实力'!BE109</f>
        <v>15058512</v>
      </c>
      <c r="AE108" s="41">
        <f>'[1]功能-实力'!BF109</f>
        <v>16450986</v>
      </c>
      <c r="AF108" s="41">
        <f>'[1]功能-实力'!BG109</f>
        <v>18447882</v>
      </c>
      <c r="AG108" s="41">
        <f>'[1]功能-实力'!BH109</f>
        <v>20102502</v>
      </c>
      <c r="AH108" s="41">
        <f>'[1]功能-实力'!BI109</f>
        <v>21114114</v>
      </c>
      <c r="AL108" s="37">
        <f>[3]基础状态预期!C118</f>
        <v>105</v>
      </c>
      <c r="AM108" s="37">
        <f>[3]基础状态预期!D118</f>
        <v>72.23150684883845</v>
      </c>
      <c r="AO108" s="37">
        <f>[3]基础状态预期!F118</f>
        <v>0</v>
      </c>
      <c r="AP108" s="37">
        <f>[3]基础状态预期!G118</f>
        <v>0</v>
      </c>
      <c r="AQ108" s="37">
        <f>[3]基础状态预期!H118</f>
        <v>0</v>
      </c>
      <c r="AR108" s="37">
        <f>[3]基础状态预期!I118</f>
        <v>1</v>
      </c>
      <c r="AS108" s="37">
        <f>[3]基础状态预期!J118</f>
        <v>5</v>
      </c>
      <c r="AW108" s="32">
        <v>102</v>
      </c>
      <c r="AX108" s="32">
        <f>[1]节奏总纲!BJ105</f>
        <v>3.4999999999999978</v>
      </c>
      <c r="AY108" s="32">
        <f>[1]节奏总纲!BK105</f>
        <v>3.5699999999999976</v>
      </c>
      <c r="AZ108" s="32">
        <f>[1]节奏总纲!BL105</f>
        <v>3.7099999999999977</v>
      </c>
      <c r="BA108" s="32">
        <f>[1]节奏总纲!BM105</f>
        <v>3.9899999999999971</v>
      </c>
      <c r="BB108" s="32">
        <f>[1]节奏总纲!BN105</f>
        <v>4.8999999999999968</v>
      </c>
      <c r="BF108" s="42">
        <f>'[1]功能-行军令'!FZ106</f>
        <v>102</v>
      </c>
      <c r="BG108" s="42">
        <f>'[1]功能-行军令'!GA106*'[1]功能-行军令'!GB106</f>
        <v>569.40527635645401</v>
      </c>
      <c r="BN108" s="49">
        <v>103</v>
      </c>
      <c r="BO108" s="17">
        <f>'[1]资源-木石铜粮'!U108</f>
        <v>122602181559.17287</v>
      </c>
      <c r="BP108" s="17">
        <f>'[1]资源-木石铜粮'!V108</f>
        <v>138517513193.11755</v>
      </c>
      <c r="BQ108" s="17">
        <f>'[1]资源-木石铜粮'!W108</f>
        <v>148323959070.10504</v>
      </c>
      <c r="BR108" s="17">
        <f>'[1]资源-木石铜粮'!X108</f>
        <v>141153087856.61157</v>
      </c>
      <c r="BS108" s="17">
        <f>'[1]资源-木石铜粮'!Y108</f>
        <v>119922604396.25964</v>
      </c>
      <c r="BV108" s="49">
        <v>103</v>
      </c>
      <c r="BW108" s="47">
        <f>'[1]功能-城建'!EQ106+[1]养成buff汇总!H108+'[1]功能-采集'!BS107+[2]产出汇总!AY108+[1]养成buff汇总!GY108</f>
        <v>102211919554.99725</v>
      </c>
      <c r="BX108" s="47">
        <f>'[1]功能-城建'!ER106+[1]养成buff汇总!I108+'[1]功能-采集'!BT107+[2]产出汇总!AZ108+[1]养成buff汇总!GZ108</f>
        <v>64444961844.250931</v>
      </c>
      <c r="BY108" s="47">
        <f>'[1]功能-城建'!ES106+[1]养成buff汇总!J108+'[1]功能-采集'!BU107+[2]产出汇总!BA108+[1]养成buff汇总!HA108</f>
        <v>75259463140.737778</v>
      </c>
      <c r="BZ108" s="47">
        <f>'[1]功能-城建'!ET106+[1]养成buff汇总!K108+'[1]功能-采集'!BV107+[2]产出汇总!BB108+[1]养成buff汇总!HB108</f>
        <v>40854580897.83065</v>
      </c>
      <c r="CA108" s="47">
        <f>'[1]功能-城建'!EU106+[1]养成buff汇总!L108+'[1]功能-采集'!BW107+[2]产出汇总!BC108+[1]养成buff汇总!HC108</f>
        <v>36310845027.304634</v>
      </c>
      <c r="CD108" s="49">
        <v>103</v>
      </c>
      <c r="CE108" s="44">
        <f>'[1]资源-铁'!T108</f>
        <v>26030923529.232086</v>
      </c>
      <c r="CF108" s="44">
        <f>'[1]资源-铁'!U108</f>
        <v>34331985933.04351</v>
      </c>
      <c r="CG108" s="44">
        <f>'[1]资源-铁'!V108</f>
        <v>44842400668.687309</v>
      </c>
      <c r="CH108" s="44">
        <f>'[1]资源-铁'!W108</f>
        <v>58457402915.504662</v>
      </c>
      <c r="CI108" s="44">
        <f>'[1]资源-铁'!X108</f>
        <v>83664271544.118439</v>
      </c>
      <c r="CL108" s="49">
        <v>103</v>
      </c>
      <c r="CM108" s="44">
        <f>'[1]功能-城建'!HF106+[1]养成buff汇总!S108+'[1]功能-采集'!BX107</f>
        <v>30896112333.910431</v>
      </c>
      <c r="CN108" s="44">
        <f>'[1]功能-城建'!HG106+[1]养成buff汇总!T108+'[1]功能-采集'!BY107</f>
        <v>20089254033.482746</v>
      </c>
      <c r="CO108" s="44">
        <f>'[1]功能-城建'!HH106+[1]养成buff汇总!U108+'[1]功能-采集'!BZ107</f>
        <v>24016806136.94841</v>
      </c>
      <c r="CP108" s="44">
        <f>'[1]功能-城建'!HI106+[1]养成buff汇总!V108+'[1]功能-采集'!CA107</f>
        <v>12871327953.127712</v>
      </c>
      <c r="CQ108" s="44">
        <f>'[1]功能-城建'!HJ106+[1]养成buff汇总!W108+'[1]功能-采集'!CB107</f>
        <v>11807539322.299095</v>
      </c>
      <c r="CT108" s="49">
        <v>103</v>
      </c>
      <c r="CU108" s="17">
        <f>'[1]资源-玩家城池建筑时间'!AJ108+CU107</f>
        <v>720992797.07399774</v>
      </c>
      <c r="CV108" s="17">
        <f>'[1]资源-玩家城池建筑时间'!AK108+CV107</f>
        <v>769601777.73037529</v>
      </c>
      <c r="CW108" s="17">
        <f>'[1]资源-玩家城池建筑时间'!AL108+CW107</f>
        <v>825400015.74205494</v>
      </c>
      <c r="CX108" s="17">
        <f>'[1]资源-玩家城池建筑时间'!AM108+CX107</f>
        <v>891888492.66010869</v>
      </c>
      <c r="CY108" s="17">
        <f>'[1]资源-玩家城池建筑时间'!AN108+CY107</f>
        <v>970335394.76248753</v>
      </c>
      <c r="DB108" s="49">
        <v>103</v>
      </c>
      <c r="DC108" s="17">
        <f>'[1]资源-士兵训练时间'!U108</f>
        <v>383776943.05163318</v>
      </c>
      <c r="DD108" s="17">
        <f>'[1]资源-士兵训练时间'!V108</f>
        <v>559844344.63506532</v>
      </c>
      <c r="DE108" s="17">
        <f>'[1]资源-士兵训练时间'!W108</f>
        <v>769358688.35713971</v>
      </c>
      <c r="DF108" s="17">
        <f>'[1]资源-士兵训练时间'!X108</f>
        <v>1026850934.2130994</v>
      </c>
      <c r="DG108" s="17">
        <f>'[1]资源-士兵训练时间'!Y108</f>
        <v>1534143696.0852463</v>
      </c>
    </row>
    <row r="109" spans="2:111" x14ac:dyDescent="0.15">
      <c r="B109" s="23">
        <v>106</v>
      </c>
      <c r="C109" s="24">
        <f>'[1]资源-钻石'!L109</f>
        <v>4354849.0894071851</v>
      </c>
      <c r="D109" s="24">
        <f>'[1]资源-钻石'!M109</f>
        <v>6085037.8151272843</v>
      </c>
      <c r="E109" s="24">
        <f>'[1]资源-钻石'!N109</f>
        <v>8820694.2662704494</v>
      </c>
      <c r="F109" s="24">
        <f>'[1]资源-钻石'!O109</f>
        <v>20546341.631736934</v>
      </c>
      <c r="G109" s="24">
        <f>'[1]资源-钻石'!P109</f>
        <v>32783631.064838238</v>
      </c>
      <c r="I109" s="23">
        <v>106</v>
      </c>
      <c r="J109" s="24">
        <f>'[1]资源-钻石'!T109</f>
        <v>621021.45220858161</v>
      </c>
      <c r="K109" s="24">
        <f>'[1]资源-钻石'!U109</f>
        <v>863723.59742943989</v>
      </c>
      <c r="L109" s="24">
        <f>'[1]资源-钻石'!V109</f>
        <v>1428685.9571723838</v>
      </c>
      <c r="M109" s="24">
        <f>'[1]资源-钻石'!W109</f>
        <v>3723704.5528896223</v>
      </c>
      <c r="N109" s="24">
        <f>'[1]资源-钻石'!X109</f>
        <v>8810487.5081785843</v>
      </c>
      <c r="P109" s="28">
        <v>106</v>
      </c>
      <c r="Q109" s="28">
        <f>'[1]功能-行军令'!N109</f>
        <v>71350.313148905741</v>
      </c>
      <c r="R109" s="28">
        <f>'[1]功能-行军令'!O109</f>
        <v>88740.090666434582</v>
      </c>
      <c r="S109" s="28">
        <f>'[1]功能-行军令'!P109</f>
        <v>96885.039131134996</v>
      </c>
      <c r="T109" s="28">
        <f>'[1]功能-行军令'!Q109</f>
        <v>78731.037716030813</v>
      </c>
      <c r="U109" s="28">
        <f>'[1]功能-行军令'!R109</f>
        <v>42496.866948993898</v>
      </c>
      <c r="V109" s="28">
        <f>'[1]功能-行军令'!S109</f>
        <v>4781.1975068834727</v>
      </c>
      <c r="W109" s="28">
        <f>'[1]功能-行军令'!T109</f>
        <v>6004.6652907472017</v>
      </c>
      <c r="X109" s="28">
        <f>'[1]功能-行军令'!U109</f>
        <v>6505.4532631804323</v>
      </c>
      <c r="Y109" s="28">
        <f>'[1]功能-行军令'!V109</f>
        <v>5231.0641273925139</v>
      </c>
      <c r="Z109" s="28">
        <f>'[1]功能-行军令'!W109</f>
        <v>2698.6658778796627</v>
      </c>
      <c r="AC109" s="30">
        <v>106</v>
      </c>
      <c r="AD109" s="41">
        <f>'[1]功能-实力'!BE110</f>
        <v>15491814</v>
      </c>
      <c r="AE109" s="41">
        <f>'[1]功能-实力'!BF110</f>
        <v>16914774</v>
      </c>
      <c r="AF109" s="41">
        <f>'[1]功能-实力'!BG110</f>
        <v>18839430</v>
      </c>
      <c r="AG109" s="41">
        <f>'[1]功能-实力'!BH110</f>
        <v>20582442</v>
      </c>
      <c r="AH109" s="41">
        <f>'[1]功能-实力'!BI110</f>
        <v>21599826</v>
      </c>
      <c r="AL109" s="37">
        <f>[3]基础状态预期!C119</f>
        <v>125.99999999999999</v>
      </c>
      <c r="AM109" s="37">
        <f>[3]基础状态预期!D119</f>
        <v>74.840792411391348</v>
      </c>
      <c r="AO109" s="37">
        <f>[3]基础状态预期!F119</f>
        <v>0</v>
      </c>
      <c r="AP109" s="37">
        <f>[3]基础状态预期!G119</f>
        <v>0</v>
      </c>
      <c r="AQ109" s="37">
        <f>[3]基础状态预期!H119</f>
        <v>0</v>
      </c>
      <c r="AR109" s="37">
        <f>[3]基础状态预期!I119</f>
        <v>0.5</v>
      </c>
      <c r="AS109" s="37">
        <f>[3]基础状态预期!J119</f>
        <v>5.5</v>
      </c>
      <c r="AW109" s="32">
        <v>103</v>
      </c>
      <c r="AX109" s="32">
        <f>[1]节奏总纲!BJ106</f>
        <v>3.4999999999999978</v>
      </c>
      <c r="AY109" s="32">
        <f>[1]节奏总纲!BK106</f>
        <v>3.5699999999999976</v>
      </c>
      <c r="AZ109" s="32">
        <f>[1]节奏总纲!BL106</f>
        <v>3.7099999999999977</v>
      </c>
      <c r="BA109" s="32">
        <f>[1]节奏总纲!BM106</f>
        <v>3.9899999999999971</v>
      </c>
      <c r="BB109" s="32">
        <f>[1]节奏总纲!BN106</f>
        <v>4.8999999999999968</v>
      </c>
      <c r="BF109" s="42">
        <f>'[1]功能-行军令'!FZ107</f>
        <v>103</v>
      </c>
      <c r="BG109" s="42">
        <f>'[1]功能-行军令'!GA107*'[1]功能-行军令'!GB107</f>
        <v>580.79338188358304</v>
      </c>
      <c r="BN109" s="49">
        <v>104</v>
      </c>
      <c r="BO109" s="17">
        <f>'[1]资源-木石铜粮'!U109</f>
        <v>134122511477.45378</v>
      </c>
      <c r="BP109" s="17">
        <f>'[1]资源-木石铜粮'!V109</f>
        <v>151625002669.36188</v>
      </c>
      <c r="BQ109" s="17">
        <f>'[1]资源-木石铜粮'!W109</f>
        <v>162466624041.31631</v>
      </c>
      <c r="BR109" s="17">
        <f>'[1]资源-木石铜粮'!X109</f>
        <v>154067172649.70129</v>
      </c>
      <c r="BS109" s="17">
        <f>'[1]资源-木石铜粮'!Y109</f>
        <v>130607819883.97771</v>
      </c>
      <c r="BV109" s="49">
        <v>104</v>
      </c>
      <c r="BW109" s="47">
        <f>'[1]功能-城建'!EQ107+[1]养成buff汇总!H109+'[1]功能-采集'!BS108+[2]产出汇总!AY109+[1]养成buff汇总!GY109</f>
        <v>113381642027.46089</v>
      </c>
      <c r="BX109" s="47">
        <f>'[1]功能-城建'!ER107+[1]养成buff汇总!I109+'[1]功能-采集'!BT108+[2]产出汇总!AZ109+[1]养成buff汇总!GZ109</f>
        <v>71429316069.839188</v>
      </c>
      <c r="BY109" s="47">
        <f>'[1]功能-城建'!ES107+[1]养成buff汇总!J109+'[1]功能-采集'!BU108+[2]产出汇总!BA109+[1]养成buff汇总!HA109</f>
        <v>83849957563.737686</v>
      </c>
      <c r="BZ109" s="47">
        <f>'[1]功能-城建'!ET107+[1]养成buff汇总!K109+'[1]功能-采集'!BV108+[2]产出汇总!BB109+[1]养成buff汇总!HB109</f>
        <v>45488638196.028961</v>
      </c>
      <c r="CA109" s="47">
        <f>'[1]功能-城建'!EU107+[1]养成buff汇总!L109+'[1]功能-采集'!BW108+[2]产出汇总!BC109+[1]养成buff汇总!HC109</f>
        <v>40581117040.148071</v>
      </c>
      <c r="CD109" s="49">
        <v>104</v>
      </c>
      <c r="CE109" s="44">
        <f>'[1]资源-铁'!T109</f>
        <v>28540683999.879192</v>
      </c>
      <c r="CF109" s="44">
        <f>'[1]资源-铁'!U109</f>
        <v>37652328333.421417</v>
      </c>
      <c r="CG109" s="44">
        <f>'[1]资源-铁'!V109</f>
        <v>49435709573.819145</v>
      </c>
      <c r="CH109" s="44">
        <f>'[1]资源-铁'!W109</f>
        <v>64454009395.996216</v>
      </c>
      <c r="CI109" s="44">
        <f>'[1]资源-铁'!X109</f>
        <v>93096998640.465302</v>
      </c>
      <c r="CL109" s="49">
        <v>104</v>
      </c>
      <c r="CM109" s="44">
        <f>'[1]功能-城建'!HF107+[1]养成buff汇总!S109+'[1]功能-采集'!BX108</f>
        <v>34296115102.259453</v>
      </c>
      <c r="CN109" s="44">
        <f>'[1]功能-城建'!HG107+[1]养成buff汇总!T109+'[1]功能-采集'!BY108</f>
        <v>22297672582.365013</v>
      </c>
      <c r="CO109" s="44">
        <f>'[1]功能-城建'!HH107+[1]养成buff汇总!U109+'[1]功能-采集'!BZ108</f>
        <v>26780379759.650299</v>
      </c>
      <c r="CP109" s="44">
        <f>'[1]功能-城建'!HI107+[1]养成buff汇总!V109+'[1]功能-采集'!CA108</f>
        <v>14339042021.298359</v>
      </c>
      <c r="CQ109" s="44">
        <f>'[1]功能-城建'!HJ107+[1]养成buff汇总!W109+'[1]功能-采集'!CB108</f>
        <v>13253238936.938602</v>
      </c>
      <c r="CT109" s="49">
        <v>104</v>
      </c>
      <c r="CU109" s="17">
        <f>'[1]资源-玩家城池建筑时间'!AJ109+CU108</f>
        <v>774606684.91882515</v>
      </c>
      <c r="CV109" s="17">
        <f>'[1]资源-玩家城池建筑时间'!AK109+CV108</f>
        <v>826950762.87258434</v>
      </c>
      <c r="CW109" s="17">
        <f>'[1]资源-玩家城池建筑时间'!AL109+CW108</f>
        <v>888804756.17239439</v>
      </c>
      <c r="CX109" s="17">
        <f>'[1]资源-玩家城池建筑时间'!AM109+CX108</f>
        <v>960511678.25266445</v>
      </c>
      <c r="CY109" s="17">
        <f>'[1]资源-玩家城池建筑时间'!AN109+CY108</f>
        <v>1044079208.3788691</v>
      </c>
      <c r="DB109" s="49">
        <v>104</v>
      </c>
      <c r="DC109" s="17">
        <f>'[1]资源-士兵训练时间'!U109</f>
        <v>423600858.70525259</v>
      </c>
      <c r="DD109" s="17">
        <f>'[1]资源-士兵训练时间'!V109</f>
        <v>617098149.22897422</v>
      </c>
      <c r="DE109" s="17">
        <f>'[1]资源-士兵训练时间'!W109</f>
        <v>851704177.99736702</v>
      </c>
      <c r="DF109" s="17">
        <f>'[1]资源-士兵训练时间'!X109</f>
        <v>1134511924.3973477</v>
      </c>
      <c r="DG109" s="17">
        <f>'[1]资源-士兵训练时间'!Y109</f>
        <v>1695246226.4274132</v>
      </c>
    </row>
    <row r="110" spans="2:111" x14ac:dyDescent="0.15">
      <c r="B110" s="23">
        <v>107</v>
      </c>
      <c r="C110" s="24">
        <f>'[1]资源-钻石'!L110</f>
        <v>4472835.4307160843</v>
      </c>
      <c r="D110" s="24">
        <f>'[1]资源-钻石'!M110</f>
        <v>6265155.5383335408</v>
      </c>
      <c r="E110" s="24">
        <f>'[1]资源-钻石'!N110</f>
        <v>9092090.1217058338</v>
      </c>
      <c r="F110" s="24">
        <f>'[1]资源-钻石'!O110</f>
        <v>21315209.440610252</v>
      </c>
      <c r="G110" s="24">
        <f>'[1]资源-钻石'!P110</f>
        <v>34590749.091407135</v>
      </c>
      <c r="I110" s="23">
        <v>107</v>
      </c>
      <c r="J110" s="24">
        <f>'[1]资源-钻石'!T110</f>
        <v>625350.17825696245</v>
      </c>
      <c r="K110" s="24">
        <f>'[1]资源-钻石'!U110</f>
        <v>870165.19608265883</v>
      </c>
      <c r="L110" s="24">
        <f>'[1]资源-钻石'!V110</f>
        <v>1440223.7156909248</v>
      </c>
      <c r="M110" s="24">
        <f>'[1]资源-钻石'!W110</f>
        <v>3756416.0872600172</v>
      </c>
      <c r="N110" s="24">
        <f>'[1]资源-钻石'!X110</f>
        <v>8890325.1959860194</v>
      </c>
      <c r="P110" s="28">
        <v>107</v>
      </c>
      <c r="Q110" s="28">
        <f>'[1]功能-行军令'!N110</f>
        <v>76474.673755928176</v>
      </c>
      <c r="R110" s="28">
        <f>'[1]功能-行军令'!O110</f>
        <v>95068.825682519018</v>
      </c>
      <c r="S110" s="28">
        <f>'[1]功能-行军令'!P110</f>
        <v>103888.68305664834</v>
      </c>
      <c r="T110" s="28">
        <f>'[1]功能-行军令'!Q110</f>
        <v>84060.13014606238</v>
      </c>
      <c r="U110" s="28">
        <f>'[1]功能-行军令'!R110</f>
        <v>45343.496562797547</v>
      </c>
      <c r="V110" s="28">
        <f>'[1]功能-行军令'!S110</f>
        <v>5124.3606070224341</v>
      </c>
      <c r="W110" s="28">
        <f>'[1]功能-行军令'!T110</f>
        <v>6328.7350160844362</v>
      </c>
      <c r="X110" s="28">
        <f>'[1]功能-行军令'!U110</f>
        <v>7003.6439255133446</v>
      </c>
      <c r="Y110" s="28">
        <f>'[1]功能-行军令'!V110</f>
        <v>5329.0924300315673</v>
      </c>
      <c r="Z110" s="28">
        <f>'[1]功能-行军令'!W110</f>
        <v>2846.6296138036487</v>
      </c>
      <c r="AC110" s="30">
        <v>107</v>
      </c>
      <c r="AD110" s="41">
        <f>'[1]功能-实力'!BE111</f>
        <v>15938442</v>
      </c>
      <c r="AE110" s="41">
        <f>'[1]功能-实力'!BF111</f>
        <v>17384778</v>
      </c>
      <c r="AF110" s="41">
        <f>'[1]功能-实力'!BG111</f>
        <v>19242456</v>
      </c>
      <c r="AG110" s="41">
        <f>'[1]功能-实力'!BH111</f>
        <v>21061524</v>
      </c>
      <c r="AH110" s="41">
        <f>'[1]功能-实力'!BI111</f>
        <v>22099596</v>
      </c>
      <c r="AL110" s="37">
        <f>[3]基础状态预期!C120</f>
        <v>154</v>
      </c>
      <c r="AM110" s="37">
        <f>[3]基础状态预期!D120</f>
        <v>77.697893604818219</v>
      </c>
      <c r="AO110" s="37">
        <f>[3]基础状态预期!F120</f>
        <v>0</v>
      </c>
      <c r="AP110" s="37">
        <f>[3]基础状态预期!G120</f>
        <v>0</v>
      </c>
      <c r="AQ110" s="37">
        <f>[3]基础状态预期!H120</f>
        <v>0</v>
      </c>
      <c r="AR110" s="37">
        <f>[3]基础状态预期!I120</f>
        <v>0</v>
      </c>
      <c r="AS110" s="37">
        <f>[3]基础状态预期!J120</f>
        <v>6</v>
      </c>
      <c r="AW110" s="32">
        <v>104</v>
      </c>
      <c r="AX110" s="32">
        <f>[1]节奏总纲!BJ107</f>
        <v>3.4999999999999978</v>
      </c>
      <c r="AY110" s="32">
        <f>[1]节奏总纲!BK107</f>
        <v>3.5699999999999976</v>
      </c>
      <c r="AZ110" s="32">
        <f>[1]节奏总纲!BL107</f>
        <v>3.7099999999999977</v>
      </c>
      <c r="BA110" s="32">
        <f>[1]节奏总纲!BM107</f>
        <v>3.9899999999999971</v>
      </c>
      <c r="BB110" s="32">
        <f>[1]节奏总纲!BN107</f>
        <v>4.8999999999999968</v>
      </c>
      <c r="BF110" s="42">
        <f>'[1]功能-行军令'!FZ108</f>
        <v>104</v>
      </c>
      <c r="BG110" s="42">
        <f>'[1]功能-行军令'!GA108*'[1]功能-行军令'!GB108</f>
        <v>592.40924952125476</v>
      </c>
      <c r="BN110" s="49">
        <v>105</v>
      </c>
      <c r="BO110" s="17">
        <f>'[1]资源-木石铜粮'!U110</f>
        <v>146775297534.33771</v>
      </c>
      <c r="BP110" s="17">
        <f>'[1]资源-木石铜粮'!V110</f>
        <v>166089183081.11359</v>
      </c>
      <c r="BQ110" s="17">
        <f>'[1]资源-木石铜粮'!W110</f>
        <v>177956069427.83243</v>
      </c>
      <c r="BR110" s="17">
        <f>'[1]资源-木石铜粮'!X110</f>
        <v>168663636609.62256</v>
      </c>
      <c r="BS110" s="17">
        <f>'[1]资源-木石铜粮'!Y110</f>
        <v>142021663786.85938</v>
      </c>
      <c r="BV110" s="49">
        <v>105</v>
      </c>
      <c r="BW110" s="47">
        <f>'[1]功能-城建'!EQ108+[1]养成buff汇总!H110+'[1]功能-采集'!BS109+[2]产出汇总!AY110+[1]养成buff汇总!GY110</f>
        <v>125789194228.22183</v>
      </c>
      <c r="BX110" s="47">
        <f>'[1]功能-城建'!ER108+[1]养成buff汇总!I110+'[1]功能-采集'!BT109+[2]产出汇总!AZ110+[1]养成buff汇总!GZ110</f>
        <v>79458233996.100571</v>
      </c>
      <c r="BY110" s="47">
        <f>'[1]功能-城建'!ES108+[1]养成buff汇总!J110+'[1]功能-采集'!BU109+[2]产出汇总!BA110+[1]养成buff汇总!HA110</f>
        <v>93276683477.247574</v>
      </c>
      <c r="BZ110" s="47">
        <f>'[1]功能-城建'!ET108+[1]养成buff汇总!K110+'[1]功能-采集'!BV109+[2]产出汇总!BB110+[1]养成buff汇总!HB110</f>
        <v>50664527380.28701</v>
      </c>
      <c r="CA110" s="47">
        <f>'[1]功能-城建'!EU108+[1]养成buff汇总!L110+'[1]功能-采集'!BW109+[2]产出汇总!BC110+[1]养成buff汇总!HC110</f>
        <v>45232708674.982285</v>
      </c>
      <c r="CD110" s="49">
        <v>105</v>
      </c>
      <c r="CE110" s="44">
        <f>'[1]资源-铁'!T110</f>
        <v>31247417107.437553</v>
      </c>
      <c r="CF110" s="44">
        <f>'[1]资源-铁'!U110</f>
        <v>41394138762.55764</v>
      </c>
      <c r="CG110" s="44">
        <f>'[1]资源-铁'!V110</f>
        <v>54351524641.38195</v>
      </c>
      <c r="CH110" s="44">
        <f>'[1]资源-铁'!W110</f>
        <v>71691628122.754181</v>
      </c>
      <c r="CI110" s="44">
        <f>'[1]资源-铁'!X110</f>
        <v>102908553542.97806</v>
      </c>
      <c r="CL110" s="49">
        <v>105</v>
      </c>
      <c r="CM110" s="44">
        <f>'[1]功能-城建'!HF108+[1]养成buff汇总!S110+'[1]功能-采集'!BX109</f>
        <v>38199487773.718575</v>
      </c>
      <c r="CN110" s="44">
        <f>'[1]功能-城建'!HG108+[1]养成buff汇总!T110+'[1]功能-采集'!BY109</f>
        <v>24939688531.56012</v>
      </c>
      <c r="CO110" s="44">
        <f>'[1]功能-城建'!HH108+[1]养成buff汇总!U110+'[1]功能-采集'!BZ109</f>
        <v>29903344728.146152</v>
      </c>
      <c r="CP110" s="44">
        <f>'[1]功能-城建'!HI108+[1]养成buff汇总!V110+'[1]功能-采集'!CA109</f>
        <v>16043207487.067089</v>
      </c>
      <c r="CQ110" s="44">
        <f>'[1]功能-城建'!HJ108+[1]养成buff汇总!W110+'[1]功能-采集'!CB109</f>
        <v>14868976552.273268</v>
      </c>
      <c r="CT110" s="49">
        <v>105</v>
      </c>
      <c r="CU110" s="17">
        <f>'[1]资源-玩家城池建筑时间'!AJ110+CU109</f>
        <v>832136147.12991953</v>
      </c>
      <c r="CV110" s="17">
        <f>'[1]资源-玩家城池建筑时间'!AK110+CV109</f>
        <v>889531119.44742572</v>
      </c>
      <c r="CW110" s="17">
        <f>'[1]资源-玩家城池建筑时间'!AL110+CW109</f>
        <v>956063638.45232189</v>
      </c>
      <c r="CX110" s="17">
        <f>'[1]资源-玩家城池建筑时间'!AM110+CX109</f>
        <v>1033012983.8489196</v>
      </c>
      <c r="CY110" s="17">
        <f>'[1]资源-玩家城池建筑时间'!AN110+CY109</f>
        <v>1121567993.4260411</v>
      </c>
      <c r="DB110" s="49">
        <v>105</v>
      </c>
      <c r="DC110" s="17">
        <f>'[1]资源-士兵训练时间'!U110</f>
        <v>466864253.07327467</v>
      </c>
      <c r="DD110" s="17">
        <f>'[1]资源-士兵训练时间'!V110</f>
        <v>682118020.85421312</v>
      </c>
      <c r="DE110" s="17">
        <f>'[1]资源-士兵训练时间'!W110</f>
        <v>939353293.64904296</v>
      </c>
      <c r="DF110" s="17">
        <f>'[1]资源-士兵训练时间'!X110</f>
        <v>1253303012.2039943</v>
      </c>
      <c r="DG110" s="17">
        <f>'[1]资源-士兵训练时间'!Y110</f>
        <v>1865034346.9190714</v>
      </c>
    </row>
    <row r="111" spans="2:111" x14ac:dyDescent="0.15">
      <c r="B111" s="23">
        <v>108</v>
      </c>
      <c r="C111" s="24">
        <f>'[1]资源-钻石'!L111</f>
        <v>4590821.7720249835</v>
      </c>
      <c r="D111" s="24">
        <f>'[1]资源-钻石'!M111</f>
        <v>6445273.2615397973</v>
      </c>
      <c r="E111" s="24">
        <f>'[1]资源-钻石'!N111</f>
        <v>9363485.9771412183</v>
      </c>
      <c r="F111" s="24">
        <f>'[1]资源-钻石'!O111</f>
        <v>22084077.24948357</v>
      </c>
      <c r="G111" s="24">
        <f>'[1]资源-钻石'!P111</f>
        <v>36397867.117976032</v>
      </c>
      <c r="I111" s="23">
        <v>108</v>
      </c>
      <c r="J111" s="24">
        <f>'[1]资源-钻石'!T111</f>
        <v>629678.90430534328</v>
      </c>
      <c r="K111" s="24">
        <f>'[1]资源-钻石'!U111</f>
        <v>876606.79473587766</v>
      </c>
      <c r="L111" s="24">
        <f>'[1]资源-钻石'!V111</f>
        <v>1451761.4742094656</v>
      </c>
      <c r="M111" s="24">
        <f>'[1]资源-钻石'!W111</f>
        <v>3789127.6216304121</v>
      </c>
      <c r="N111" s="24">
        <f>'[1]资源-钻石'!X111</f>
        <v>8970162.8837934528</v>
      </c>
      <c r="P111" s="28">
        <v>108</v>
      </c>
      <c r="Q111" s="28">
        <f>'[1]功能-行军令'!N111</f>
        <v>81966.827467001276</v>
      </c>
      <c r="R111" s="28">
        <f>'[1]功能-行军令'!O111</f>
        <v>101896.34881058118</v>
      </c>
      <c r="S111" s="28">
        <f>'[1]功能-行军令'!P111</f>
        <v>110846.94818122237</v>
      </c>
      <c r="T111" s="28">
        <f>'[1]功能-行军令'!Q111</f>
        <v>89785.037297310293</v>
      </c>
      <c r="U111" s="28">
        <f>'[1]功能-行军令'!R111</f>
        <v>48526.500125529114</v>
      </c>
      <c r="V111" s="28">
        <f>'[1]功能-行军令'!S111</f>
        <v>5492.1537110731006</v>
      </c>
      <c r="W111" s="28">
        <f>'[1]功能-行军令'!T111</f>
        <v>6827.5231280621665</v>
      </c>
      <c r="X111" s="28">
        <f>'[1]功能-行军令'!U111</f>
        <v>6958.2651245740271</v>
      </c>
      <c r="Y111" s="28">
        <f>'[1]功能-行军令'!V111</f>
        <v>5724.9071512479131</v>
      </c>
      <c r="Z111" s="28">
        <f>'[1]功能-行军令'!W111</f>
        <v>3183.0035627315665</v>
      </c>
      <c r="AC111" s="30">
        <v>108</v>
      </c>
      <c r="AD111" s="41">
        <f>'[1]功能-实力'!BE112</f>
        <v>16353174</v>
      </c>
      <c r="AE111" s="41">
        <f>'[1]功能-实力'!BF112</f>
        <v>17862312</v>
      </c>
      <c r="AF111" s="41">
        <f>'[1]功能-实力'!BG112</f>
        <v>19638852</v>
      </c>
      <c r="AG111" s="41">
        <f>'[1]功能-实力'!BH112</f>
        <v>21554562</v>
      </c>
      <c r="AH111" s="41">
        <f>'[1]功能-实力'!BI112</f>
        <v>22606326</v>
      </c>
      <c r="AL111" s="37">
        <f>[3]基础状态预期!C121</f>
        <v>182</v>
      </c>
      <c r="AM111" s="37">
        <f>[3]基础状态预期!D121</f>
        <v>80.134867890916794</v>
      </c>
      <c r="AO111" s="37">
        <f>[3]基础状态预期!F121</f>
        <v>0</v>
      </c>
      <c r="AP111" s="37">
        <f>[3]基础状态预期!G121</f>
        <v>0</v>
      </c>
      <c r="AQ111" s="37">
        <f>[3]基础状态预期!H121</f>
        <v>0</v>
      </c>
      <c r="AR111" s="37">
        <f>[3]基础状态预期!I121</f>
        <v>0</v>
      </c>
      <c r="AS111" s="37">
        <f>[3]基础状态预期!J121</f>
        <v>6</v>
      </c>
      <c r="AW111" s="32">
        <v>105</v>
      </c>
      <c r="AX111" s="32">
        <f>[1]节奏总纲!BJ108</f>
        <v>3.4999999999999978</v>
      </c>
      <c r="AY111" s="32">
        <f>[1]节奏总纲!BK108</f>
        <v>3.5699999999999976</v>
      </c>
      <c r="AZ111" s="32">
        <f>[1]节奏总纲!BL108</f>
        <v>3.7099999999999977</v>
      </c>
      <c r="BA111" s="32">
        <f>[1]节奏总纲!BM108</f>
        <v>3.9899999999999971</v>
      </c>
      <c r="BB111" s="32">
        <f>[1]节奏总纲!BN108</f>
        <v>4.8999999999999968</v>
      </c>
      <c r="BF111" s="42">
        <f>'[1]功能-行军令'!FZ109</f>
        <v>105</v>
      </c>
      <c r="BG111" s="42">
        <f>'[1]功能-行军令'!GA109*'[1]功能-行军令'!GB109</f>
        <v>604.25743451167989</v>
      </c>
      <c r="BN111" s="49">
        <v>106</v>
      </c>
      <c r="BO111" s="17">
        <f>'[1]资源-木石铜粮'!U111</f>
        <v>160546486962.6756</v>
      </c>
      <c r="BP111" s="17">
        <f>'[1]资源-木石铜粮'!V111</f>
        <v>181934640133.99918</v>
      </c>
      <c r="BQ111" s="17">
        <f>'[1]资源-木石铜粮'!W111</f>
        <v>195245906462.22522</v>
      </c>
      <c r="BR111" s="17">
        <f>'[1]资源-木石铜粮'!X111</f>
        <v>184296431800.01898</v>
      </c>
      <c r="BS111" s="17">
        <f>'[1]资源-木石铜粮'!Y111</f>
        <v>153809264492.94366</v>
      </c>
      <c r="BV111" s="49">
        <v>106</v>
      </c>
      <c r="BW111" s="47">
        <f>'[1]功能-城建'!EQ109+[1]养成buff汇总!H111+'[1]功能-采集'!BS110+[2]产出汇总!AY111+[1]养成buff汇总!GY111</f>
        <v>139168075330.45868</v>
      </c>
      <c r="BX111" s="47">
        <f>'[1]功能-城建'!ER109+[1]养成buff汇总!I111+'[1]功能-采集'!BT110+[2]产出汇总!AZ111+[1]养成buff汇总!GZ111</f>
        <v>88017418009.257217</v>
      </c>
      <c r="BY111" s="47">
        <f>'[1]功能-城建'!ES109+[1]养成buff汇总!J111+'[1]功能-采集'!BU110+[2]产出汇总!BA111+[1]养成buff汇总!HA111</f>
        <v>103286179451.69926</v>
      </c>
      <c r="BZ111" s="47">
        <f>'[1]功能-城建'!ET109+[1]养成buff汇总!K111+'[1]功能-采集'!BV110+[2]产出汇总!BB111+[1]养成buff汇总!HB111</f>
        <v>56057326440.672592</v>
      </c>
      <c r="CA111" s="47">
        <f>'[1]功能-城建'!EU109+[1]养成buff汇总!L111+'[1]功能-采集'!BW110+[2]产出汇总!BC111+[1]养成buff汇总!HC111</f>
        <v>49964017588.242874</v>
      </c>
      <c r="CD111" s="49">
        <v>106</v>
      </c>
      <c r="CE111" s="44">
        <f>'[1]资源-铁'!T111</f>
        <v>34201879059.48584</v>
      </c>
      <c r="CF111" s="44">
        <f>'[1]资源-铁'!U111</f>
        <v>45420208761.809616</v>
      </c>
      <c r="CG111" s="44">
        <f>'[1]资源-铁'!V111</f>
        <v>60321726305.81459</v>
      </c>
      <c r="CH111" s="44">
        <f>'[1]资源-铁'!W111</f>
        <v>79171572165.55835</v>
      </c>
      <c r="CI111" s="44">
        <f>'[1]资源-铁'!X111</f>
        <v>112758218161.6313</v>
      </c>
      <c r="CL111" s="49">
        <v>106</v>
      </c>
      <c r="CM111" s="44">
        <f>'[1]功能-城建'!HF109+[1]养成buff汇总!S111+'[1]功能-采集'!BX110</f>
        <v>42416688574.100822</v>
      </c>
      <c r="CN111" s="44">
        <f>'[1]功能-城建'!HG109+[1]养成buff汇总!T111+'[1]功能-采集'!BY110</f>
        <v>27757082575.328606</v>
      </c>
      <c r="CO111" s="44">
        <f>'[1]功能-城建'!HH109+[1]养成buff汇总!U111+'[1]功能-采集'!BZ110</f>
        <v>33229589657.331974</v>
      </c>
      <c r="CP111" s="44">
        <f>'[1]功能-城建'!HI109+[1]养成buff汇总!V111+'[1]功能-采集'!CA110</f>
        <v>17828237767.958733</v>
      </c>
      <c r="CQ111" s="44">
        <f>'[1]功能-城建'!HJ109+[1]养成buff汇总!W111+'[1]功能-采集'!CB110</f>
        <v>16515654487.040813</v>
      </c>
      <c r="CT111" s="49">
        <v>106</v>
      </c>
      <c r="CU111" s="17">
        <f>'[1]资源-玩家城池建筑时间'!AJ111+CU110</f>
        <v>894009054.76918507</v>
      </c>
      <c r="CV111" s="17">
        <f>'[1]资源-玩家城池建筑时间'!AK111+CV110</f>
        <v>956240012.4540714</v>
      </c>
      <c r="CW111" s="17">
        <f>'[1]资源-玩家城池建筑时间'!AL111+CW110</f>
        <v>1027314762.3075526</v>
      </c>
      <c r="CX111" s="17">
        <f>'[1]资源-玩家城池建筑时间'!AM111+CX110</f>
        <v>1108947656.0120323</v>
      </c>
      <c r="CY111" s="17">
        <f>'[1]资源-玩家城池建筑时间'!AN111+CY110</f>
        <v>1200281822.9190395</v>
      </c>
      <c r="DB111" s="49">
        <v>106</v>
      </c>
      <c r="DC111" s="17">
        <f>'[1]资源-士兵训练时间'!U111</f>
        <v>515077886.69536191</v>
      </c>
      <c r="DD111" s="17">
        <f>'[1]资源-士兵训练时间'!V111</f>
        <v>751675290.38804579</v>
      </c>
      <c r="DE111" s="17">
        <f>'[1]资源-士兵训练时间'!W111</f>
        <v>1036638880.9061793</v>
      </c>
      <c r="DF111" s="17">
        <f>'[1]资源-士兵训练时间'!X111</f>
        <v>1377759602.4576485</v>
      </c>
      <c r="DG111" s="17">
        <f>'[1]资源-士兵训练时间'!Y111</f>
        <v>2039806457.6817255</v>
      </c>
    </row>
    <row r="112" spans="2:111" x14ac:dyDescent="0.15">
      <c r="B112" s="25">
        <v>109</v>
      </c>
      <c r="C112" s="24">
        <f>'[1]资源-钻石'!L112</f>
        <v>4708808.1133338828</v>
      </c>
      <c r="D112" s="24">
        <f>'[1]资源-钻石'!M112</f>
        <v>6625390.9847460538</v>
      </c>
      <c r="E112" s="24">
        <f>'[1]资源-钻石'!N112</f>
        <v>9634881.8325766027</v>
      </c>
      <c r="F112" s="24">
        <f>'[1]资源-钻石'!O112</f>
        <v>22852945.058356889</v>
      </c>
      <c r="G112" s="24">
        <f>'[1]资源-钻石'!P112</f>
        <v>38204985.144544929</v>
      </c>
      <c r="I112" s="25">
        <v>109</v>
      </c>
      <c r="J112" s="24">
        <f>'[1]资源-钻石'!T112</f>
        <v>634007.63035372412</v>
      </c>
      <c r="K112" s="24">
        <f>'[1]资源-钻石'!U112</f>
        <v>883048.3933890966</v>
      </c>
      <c r="L112" s="24">
        <f>'[1]资源-钻石'!V112</f>
        <v>1463299.2327280063</v>
      </c>
      <c r="M112" s="24">
        <f>'[1]资源-钻石'!W112</f>
        <v>3821839.156000807</v>
      </c>
      <c r="N112" s="24">
        <f>'[1]资源-钻石'!X112</f>
        <v>9050000.5716008879</v>
      </c>
      <c r="P112" s="28">
        <v>109</v>
      </c>
      <c r="Q112" s="28">
        <f>'[1]功能-行军令'!N112</f>
        <v>87853.172066699568</v>
      </c>
      <c r="R112" s="28">
        <f>'[1]功能-行军令'!O112</f>
        <v>108855.61876018409</v>
      </c>
      <c r="S112" s="28">
        <f>'[1]功能-行军令'!P112</f>
        <v>118442.30968422769</v>
      </c>
      <c r="T112" s="28">
        <f>'[1]功能-行军令'!Q112</f>
        <v>95977.107675832609</v>
      </c>
      <c r="U112" s="28">
        <f>'[1]功能-行军令'!R112</f>
        <v>51972.026743092792</v>
      </c>
      <c r="V112" s="28">
        <f>'[1]功能-行军令'!S112</f>
        <v>5886.3445996982919</v>
      </c>
      <c r="W112" s="28">
        <f>'[1]功能-行军令'!T112</f>
        <v>6959.269949602909</v>
      </c>
      <c r="X112" s="28">
        <f>'[1]功能-行军令'!U112</f>
        <v>7595.3615030053188</v>
      </c>
      <c r="Y112" s="28">
        <f>'[1]功能-行军令'!V112</f>
        <v>6192.0703785223159</v>
      </c>
      <c r="Z112" s="28">
        <f>'[1]功能-行军令'!W112</f>
        <v>3445.5266175636789</v>
      </c>
      <c r="AC112" s="30">
        <v>109</v>
      </c>
      <c r="AD112" s="41">
        <f>'[1]功能-实力'!BE113</f>
        <v>16742262</v>
      </c>
      <c r="AE112" s="41">
        <f>'[1]功能-实力'!BF113</f>
        <v>18336984</v>
      </c>
      <c r="AF112" s="41">
        <f>'[1]功能-实力'!BG113</f>
        <v>20046696</v>
      </c>
      <c r="AG112" s="41">
        <f>'[1]功能-实力'!BH113</f>
        <v>22054158</v>
      </c>
      <c r="AH112" s="41">
        <f>'[1]功能-实力'!BI113</f>
        <v>23127342</v>
      </c>
      <c r="AL112" s="37">
        <f>[3]基础状态预期!C122</f>
        <v>210</v>
      </c>
      <c r="AM112" s="37">
        <f>[3]基础状态预期!D122</f>
        <v>82.238672852681816</v>
      </c>
      <c r="AO112" s="37">
        <f>[3]基础状态预期!F122</f>
        <v>0</v>
      </c>
      <c r="AP112" s="37">
        <f>[3]基础状态预期!G122</f>
        <v>0</v>
      </c>
      <c r="AQ112" s="37">
        <f>[3]基础状态预期!H122</f>
        <v>0</v>
      </c>
      <c r="AR112" s="37">
        <f>[3]基础状态预期!I122</f>
        <v>0</v>
      </c>
      <c r="AS112" s="37">
        <f>[3]基础状态预期!J122</f>
        <v>6</v>
      </c>
      <c r="AW112" s="32">
        <v>106</v>
      </c>
      <c r="AX112" s="32">
        <f>[1]节奏总纲!BJ109</f>
        <v>3.4999999999999978</v>
      </c>
      <c r="AY112" s="32">
        <f>[1]节奏总纲!BK109</f>
        <v>3.5699999999999976</v>
      </c>
      <c r="AZ112" s="32">
        <f>[1]节奏总纲!BL109</f>
        <v>3.7099999999999977</v>
      </c>
      <c r="BA112" s="32">
        <f>[1]节奏总纲!BM109</f>
        <v>3.9899999999999971</v>
      </c>
      <c r="BB112" s="32">
        <f>[1]节奏总纲!BN109</f>
        <v>4.8999999999999968</v>
      </c>
      <c r="BF112" s="42">
        <f>'[1]功能-行军令'!FZ110</f>
        <v>106</v>
      </c>
      <c r="BG112" s="42">
        <f>'[1]功能-行军令'!GA110*'[1]功能-行军令'!GB110</f>
        <v>616.34258320191338</v>
      </c>
      <c r="BN112" s="49">
        <v>107</v>
      </c>
      <c r="BO112" s="17">
        <f>'[1]资源-木石铜粮'!U112</f>
        <v>175665334460.11053</v>
      </c>
      <c r="BP112" s="17">
        <f>'[1]资源-木石铜粮'!V112</f>
        <v>199521035512.7775</v>
      </c>
      <c r="BQ112" s="17">
        <f>'[1]资源-木石铜粮'!W112</f>
        <v>214261629348.59302</v>
      </c>
      <c r="BR112" s="17">
        <f>'[1]资源-木石铜粮'!X112</f>
        <v>200615148372.8273</v>
      </c>
      <c r="BS112" s="17">
        <f>'[1]资源-木石铜粮'!Y112</f>
        <v>166496862048.65884</v>
      </c>
      <c r="BV112" s="49">
        <v>107</v>
      </c>
      <c r="BW112" s="47">
        <f>'[1]功能-城建'!EQ110+[1]养成buff汇总!H112+'[1]功能-采集'!BS111+[2]产出汇总!AY112+[1]养成buff汇总!GY112</f>
        <v>153535500126.8685</v>
      </c>
      <c r="BX112" s="47">
        <f>'[1]功能-城建'!ER110+[1]养成buff汇总!I112+'[1]功能-采集'!BT111+[2]产出汇总!AZ112+[1]养成buff汇总!GZ112</f>
        <v>97100944073.14653</v>
      </c>
      <c r="BY112" s="47">
        <f>'[1]功能-城建'!ES110+[1]养成buff汇总!J112+'[1]功能-采集'!BU111+[2]产出汇总!BA112+[1]养成buff汇总!HA112</f>
        <v>114094010981.3584</v>
      </c>
      <c r="BZ112" s="47">
        <f>'[1]功能-城建'!ET110+[1]养成buff汇总!K112+'[1]功能-采集'!BV111+[2]产出汇总!BB112+[1]养成buff汇总!HB112</f>
        <v>61602528805.331184</v>
      </c>
      <c r="CA112" s="47">
        <f>'[1]功能-城建'!EU110+[1]养成buff汇总!L112+'[1]功能-采集'!BW111+[2]产出汇总!BC112+[1]养成buff汇总!HC112</f>
        <v>54953544619.165298</v>
      </c>
      <c r="CD112" s="49">
        <v>107</v>
      </c>
      <c r="CE112" s="44">
        <f>'[1]资源-铁'!T112</f>
        <v>37449350607.944717</v>
      </c>
      <c r="CF112" s="44">
        <f>'[1]资源-铁'!U112</f>
        <v>50345414306.347076</v>
      </c>
      <c r="CG112" s="44">
        <f>'[1]资源-铁'!V112</f>
        <v>66781031569.105675</v>
      </c>
      <c r="CH112" s="44">
        <f>'[1]资源-铁'!W112</f>
        <v>86723399495.1521</v>
      </c>
      <c r="CI112" s="44">
        <f>'[1]资源-铁'!X112</f>
        <v>123120963579.1635</v>
      </c>
      <c r="CL112" s="49">
        <v>107</v>
      </c>
      <c r="CM112" s="44">
        <f>'[1]功能-城建'!HF110+[1]养成buff汇总!S112+'[1]功能-采集'!BX111</f>
        <v>46942928078.531158</v>
      </c>
      <c r="CN112" s="44">
        <f>'[1]功能-城建'!HG110+[1]养成buff汇总!T112+'[1]功能-采集'!BY111</f>
        <v>30754441990.271656</v>
      </c>
      <c r="CO112" s="44">
        <f>'[1]功能-城建'!HH110+[1]养成buff汇总!U112+'[1]功能-采集'!BZ111</f>
        <v>36810559983.398514</v>
      </c>
      <c r="CP112" s="44">
        <f>'[1]功能-城建'!HI110+[1]养成buff汇总!V112+'[1]功能-采集'!CA111</f>
        <v>19663488001.495842</v>
      </c>
      <c r="CQ112" s="44">
        <f>'[1]功能-城建'!HJ110+[1]养成buff汇总!W112+'[1]功能-采集'!CB111</f>
        <v>18252617262.58429</v>
      </c>
      <c r="CT112" s="49">
        <v>107</v>
      </c>
      <c r="CU112" s="17">
        <f>'[1]资源-玩家城池建筑时间'!AJ112+CU111</f>
        <v>960362798.1336329</v>
      </c>
      <c r="CV112" s="17">
        <f>'[1]资源-玩家城池建筑时间'!AK112+CV111</f>
        <v>1026848827.4549906</v>
      </c>
      <c r="CW112" s="17">
        <f>'[1]资源-玩家城池建筑时间'!AL112+CW111</f>
        <v>1104022330.6485667</v>
      </c>
      <c r="CX112" s="17">
        <f>'[1]资源-玩家城池建筑时间'!AM112+CX111</f>
        <v>1186666294.011693</v>
      </c>
      <c r="CY112" s="17">
        <f>'[1]资源-玩家城池建筑时间'!AN112+CY111</f>
        <v>1283311411.6826217</v>
      </c>
      <c r="DB112" s="49">
        <v>107</v>
      </c>
      <c r="DC112" s="17">
        <f>'[1]资源-士兵训练时间'!U112</f>
        <v>567133994.52411211</v>
      </c>
      <c r="DD112" s="17">
        <f>'[1]资源-士兵训练时间'!V112</f>
        <v>828802158.41445827</v>
      </c>
      <c r="DE112" s="17">
        <f>'[1]资源-士兵训练时间'!W112</f>
        <v>1141374644.068105</v>
      </c>
      <c r="DF112" s="17">
        <f>'[1]资源-士兵训练时间'!X112</f>
        <v>1507181431.7882326</v>
      </c>
      <c r="DG112" s="17">
        <f>'[1]资源-士兵训练时间'!Y112</f>
        <v>2224161056.8345618</v>
      </c>
    </row>
    <row r="113" spans="2:111" x14ac:dyDescent="0.15">
      <c r="B113" s="25">
        <v>110</v>
      </c>
      <c r="C113" s="24">
        <f>'[1]资源-钻石'!L113</f>
        <v>4826794.454642782</v>
      </c>
      <c r="D113" s="24">
        <f>'[1]资源-钻石'!M113</f>
        <v>6805508.7079523103</v>
      </c>
      <c r="E113" s="24">
        <f>'[1]资源-钻石'!N113</f>
        <v>9906277.6880119871</v>
      </c>
      <c r="F113" s="24">
        <f>'[1]资源-钻石'!O113</f>
        <v>23621812.867230207</v>
      </c>
      <c r="G113" s="24">
        <f>'[1]资源-钻石'!P113</f>
        <v>40012103.171113826</v>
      </c>
      <c r="I113" s="25">
        <v>110</v>
      </c>
      <c r="J113" s="24">
        <f>'[1]资源-钻石'!T113</f>
        <v>638336.35640210495</v>
      </c>
      <c r="K113" s="24">
        <f>'[1]资源-钻石'!U113</f>
        <v>889489.99204231554</v>
      </c>
      <c r="L113" s="24">
        <f>'[1]资源-钻石'!V113</f>
        <v>1474836.9912465471</v>
      </c>
      <c r="M113" s="24">
        <f>'[1]资源-钻石'!W113</f>
        <v>3854550.6903712018</v>
      </c>
      <c r="N113" s="24">
        <f>'[1]资源-钻石'!X113</f>
        <v>9129838.2594083212</v>
      </c>
      <c r="P113" s="28">
        <v>110</v>
      </c>
      <c r="Q113" s="28">
        <f>'[1]功能-行军令'!N113</f>
        <v>94162</v>
      </c>
      <c r="R113" s="28">
        <f>'[1]功能-行军令'!O113</f>
        <v>116672.65430000001</v>
      </c>
      <c r="S113" s="28">
        <f>'[1]功能-行军令'!P113</f>
        <v>127152.68019999999</v>
      </c>
      <c r="T113" s="28">
        <f>'[1]功能-行军令'!Q113</f>
        <v>103143.41720000001</v>
      </c>
      <c r="U113" s="28">
        <f>'[1]功能-行军令'!R113</f>
        <v>55830.696799999991</v>
      </c>
      <c r="V113" s="28">
        <f>'[1]功能-行军令'!S113</f>
        <v>6308.8279333004321</v>
      </c>
      <c r="W113" s="28">
        <f>'[1]功能-行军令'!T113</f>
        <v>7817.0355398159154</v>
      </c>
      <c r="X113" s="28">
        <f>'[1]功能-行军令'!U113</f>
        <v>8710.3705157723016</v>
      </c>
      <c r="Y113" s="28">
        <f>'[1]功能-行军令'!V113</f>
        <v>7166.3095241674018</v>
      </c>
      <c r="Z113" s="28">
        <f>'[1]功能-行军令'!W113</f>
        <v>3858.6700569071982</v>
      </c>
      <c r="AC113" s="30">
        <v>110</v>
      </c>
      <c r="AD113" s="41">
        <f>'[1]功能-实力'!BE114</f>
        <v>17130984</v>
      </c>
      <c r="AE113" s="41">
        <f>'[1]功能-实力'!BF114</f>
        <v>18824820</v>
      </c>
      <c r="AF113" s="41">
        <f>'[1]功能-实力'!BG114</f>
        <v>20464044</v>
      </c>
      <c r="AG113" s="41">
        <f>'[1]功能-实力'!BH114</f>
        <v>22572726</v>
      </c>
      <c r="AH113" s="41">
        <f>'[1]功能-实力'!BI114</f>
        <v>23696766</v>
      </c>
      <c r="AL113" s="37">
        <f>[3]基础状态预期!C123</f>
        <v>237.99999999999997</v>
      </c>
      <c r="AM113" s="37">
        <f>[3]基础状态预期!D123</f>
        <v>84.043767921022209</v>
      </c>
      <c r="AO113" s="37">
        <f>[3]基础状态预期!F123</f>
        <v>0</v>
      </c>
      <c r="AP113" s="37">
        <f>[3]基础状态预期!G123</f>
        <v>0</v>
      </c>
      <c r="AQ113" s="37">
        <f>[3]基础状态预期!H123</f>
        <v>0</v>
      </c>
      <c r="AR113" s="37">
        <f>[3]基础状态预期!I123</f>
        <v>0</v>
      </c>
      <c r="AS113" s="37">
        <f>[3]基础状态预期!J123</f>
        <v>6</v>
      </c>
      <c r="AW113" s="32">
        <v>107</v>
      </c>
      <c r="AX113" s="32">
        <f>[1]节奏总纲!BJ110</f>
        <v>3.4999999999999978</v>
      </c>
      <c r="AY113" s="32">
        <f>[1]节奏总纲!BK110</f>
        <v>3.5699999999999976</v>
      </c>
      <c r="AZ113" s="32">
        <f>[1]节奏总纲!BL110</f>
        <v>3.7099999999999977</v>
      </c>
      <c r="BA113" s="32">
        <f>[1]节奏总纲!BM110</f>
        <v>3.9899999999999971</v>
      </c>
      <c r="BB113" s="32">
        <f>[1]节奏总纲!BN110</f>
        <v>4.8999999999999968</v>
      </c>
      <c r="BF113" s="42">
        <f>'[1]功能-行军令'!FZ111</f>
        <v>107</v>
      </c>
      <c r="BG113" s="42">
        <f>'[1]功能-行军令'!GA111*'[1]功能-行军令'!GB111</f>
        <v>628.66943486595164</v>
      </c>
      <c r="BN113" s="49">
        <v>108</v>
      </c>
      <c r="BO113" s="17">
        <f>'[1]资源-木石铜粮'!U113</f>
        <v>192638096399.82437</v>
      </c>
      <c r="BP113" s="17">
        <f>'[1]资源-木石铜粮'!V113</f>
        <v>218927449127.9819</v>
      </c>
      <c r="BQ113" s="17">
        <f>'[1]资源-木石铜粮'!W113</f>
        <v>233828338074.22116</v>
      </c>
      <c r="BR113" s="17">
        <f>'[1]资源-木石铜粮'!X113</f>
        <v>218496508249.4487</v>
      </c>
      <c r="BS113" s="17">
        <f>'[1]资源-木石铜粮'!Y113</f>
        <v>180368719818.56845</v>
      </c>
      <c r="BV113" s="49">
        <v>108</v>
      </c>
      <c r="BW113" s="47">
        <f>'[1]功能-城建'!EQ111+[1]养成buff汇总!H113+'[1]功能-采集'!BS112+[2]产出汇总!AY113+[1]养成buff汇总!GY113</f>
        <v>169039182165.90872</v>
      </c>
      <c r="BX113" s="47">
        <f>'[1]功能-城建'!ER111+[1]养成buff汇总!I113+'[1]功能-采集'!BT112+[2]产出汇总!AZ113+[1]养成buff汇总!GZ113</f>
        <v>106931581250.73064</v>
      </c>
      <c r="BY113" s="47">
        <f>'[1]功能-城建'!ES111+[1]养成buff汇总!J113+'[1]功能-采集'!BU112+[2]产出汇总!BA113+[1]养成buff汇总!HA113</f>
        <v>124866900977.93335</v>
      </c>
      <c r="BZ113" s="47">
        <f>'[1]功能-城建'!ET111+[1]养成buff汇总!K113+'[1]功能-采集'!BV112+[2]产出汇总!BB113+[1]养成buff汇总!HB113</f>
        <v>67534314606.891785</v>
      </c>
      <c r="CA113" s="47">
        <f>'[1]功能-城建'!EU111+[1]养成buff汇总!L113+'[1]功能-采集'!BW112+[2]产出汇总!BC113+[1]养成buff汇总!HC113</f>
        <v>60565011941.092575</v>
      </c>
      <c r="CD113" s="49">
        <v>108</v>
      </c>
      <c r="CE113" s="44">
        <f>'[1]资源-铁'!T113</f>
        <v>41502112536.222099</v>
      </c>
      <c r="CF113" s="44">
        <f>'[1]资源-铁'!U113</f>
        <v>55676352800.56041</v>
      </c>
      <c r="CG113" s="44">
        <f>'[1]资源-铁'!V113</f>
        <v>73035251811.235397</v>
      </c>
      <c r="CH113" s="44">
        <f>'[1]资源-铁'!W113</f>
        <v>94761806420.991531</v>
      </c>
      <c r="CI113" s="44">
        <f>'[1]资源-铁'!X113</f>
        <v>137388300920.32748</v>
      </c>
      <c r="CL113" s="49">
        <v>108</v>
      </c>
      <c r="CM113" s="44">
        <f>'[1]功能-城建'!HF111+[1]养成buff汇总!S113+'[1]功能-采集'!BX112</f>
        <v>51838952813.350677</v>
      </c>
      <c r="CN113" s="44">
        <f>'[1]功能-城建'!HG111+[1]养成buff汇总!T113+'[1]功能-采集'!BY112</f>
        <v>33988033012.273369</v>
      </c>
      <c r="CO113" s="44">
        <f>'[1]功能-城建'!HH111+[1]养成buff汇总!U113+'[1]功能-采集'!BZ112</f>
        <v>40403333187.809898</v>
      </c>
      <c r="CP113" s="44">
        <f>'[1]功能-城建'!HI111+[1]养成buff汇总!V113+'[1]功能-采集'!CA112</f>
        <v>21635050199.797539</v>
      </c>
      <c r="CQ113" s="44">
        <f>'[1]功能-城建'!HJ111+[1]养成buff汇总!W113+'[1]功能-采集'!CB112</f>
        <v>20210787252.36528</v>
      </c>
      <c r="CT113" s="49">
        <v>108</v>
      </c>
      <c r="CU113" s="17">
        <f>'[1]资源-玩家城池建筑时间'!AJ113+CU112</f>
        <v>1031761719.7379335</v>
      </c>
      <c r="CV113" s="17">
        <f>'[1]资源-玩家城池建筑时间'!AK113+CV112</f>
        <v>1103022551.9415789</v>
      </c>
      <c r="CW113" s="17">
        <f>'[1]资源-玩家城池建筑时间'!AL113+CW112</f>
        <v>1180579318.9557335</v>
      </c>
      <c r="CX113" s="17">
        <f>'[1]资源-玩家城池建筑时间'!AM113+CX112</f>
        <v>1270157431.0695035</v>
      </c>
      <c r="CY113" s="17">
        <f>'[1]资源-玩家城池建筑时间'!AN113+CY112</f>
        <v>1376559277.2342134</v>
      </c>
      <c r="DB113" s="49">
        <v>108</v>
      </c>
      <c r="DC113" s="17">
        <f>'[1]资源-士兵训练时间'!U113</f>
        <v>625626427.83854353</v>
      </c>
      <c r="DD113" s="17">
        <f>'[1]资源-士兵训练时间'!V113</f>
        <v>912007644.80423689</v>
      </c>
      <c r="DE113" s="17">
        <f>'[1]资源-士兵训练时间'!W113</f>
        <v>1247537523.8673551</v>
      </c>
      <c r="DF113" s="17">
        <f>'[1]资源-士兵训练时间'!X113</f>
        <v>1646215979.6010685</v>
      </c>
      <c r="DG113" s="17">
        <f>'[1]资源-士兵训练时间'!Y113</f>
        <v>2466905984.2664728</v>
      </c>
    </row>
    <row r="114" spans="2:111" x14ac:dyDescent="0.15">
      <c r="B114" s="34">
        <v>111</v>
      </c>
      <c r="C114" s="35">
        <f>'[1]资源-钻石'!L114</f>
        <v>4944780.7959516812</v>
      </c>
      <c r="D114" s="35">
        <f>'[1]资源-钻石'!M114</f>
        <v>6985626.4311585668</v>
      </c>
      <c r="E114" s="35">
        <f>'[1]资源-钻石'!N114</f>
        <v>10177673.543447372</v>
      </c>
      <c r="F114" s="35">
        <f>'[1]资源-钻石'!O114</f>
        <v>24390680.676103525</v>
      </c>
      <c r="G114" s="35">
        <f>'[1]资源-钻石'!P114</f>
        <v>41819221.197682723</v>
      </c>
      <c r="I114" s="23">
        <v>111</v>
      </c>
      <c r="J114" s="24">
        <f>'[1]资源-钻石'!T114</f>
        <v>642665.08245048579</v>
      </c>
      <c r="K114" s="24">
        <f>'[1]资源-钻石'!U114</f>
        <v>895931.59069553448</v>
      </c>
      <c r="L114" s="24">
        <f>'[1]资源-钻石'!V114</f>
        <v>1486374.7497650879</v>
      </c>
      <c r="M114" s="24">
        <f>'[1]资源-钻石'!W114</f>
        <v>3887262.2247415967</v>
      </c>
      <c r="N114" s="24">
        <f>'[1]资源-钻石'!X114</f>
        <v>9209675.9472157564</v>
      </c>
      <c r="P114" s="28">
        <v>111</v>
      </c>
      <c r="Q114" s="28">
        <f>'[1]功能-行军令'!N114</f>
        <v>100923.63435861902</v>
      </c>
      <c r="R114" s="28">
        <f>'[1]功能-行军令'!O114</f>
        <v>125227.14250820011</v>
      </c>
      <c r="S114" s="28">
        <f>'[1]功能-行军令'!P114</f>
        <v>136542.87591185258</v>
      </c>
      <c r="T114" s="28">
        <f>'[1]功能-行军令'!Q114</f>
        <v>110888.96565471216</v>
      </c>
      <c r="U114" s="28">
        <f>'[1]功能-行军令'!R114</f>
        <v>60065.79798455775</v>
      </c>
      <c r="V114" s="28">
        <f>'[1]功能-行军令'!S114</f>
        <v>6761.6343586190196</v>
      </c>
      <c r="W114" s="28">
        <f>'[1]功能-行军令'!T114</f>
        <v>8554.4882082000986</v>
      </c>
      <c r="X114" s="28">
        <f>'[1]功能-行军令'!U114</f>
        <v>9390.1957118525897</v>
      </c>
      <c r="Y114" s="28">
        <f>'[1]功能-行军令'!V114</f>
        <v>7745.548454712145</v>
      </c>
      <c r="Z114" s="28">
        <f>'[1]功能-行军令'!W114</f>
        <v>4235.1011845577596</v>
      </c>
      <c r="AC114" s="30">
        <v>111</v>
      </c>
      <c r="AD114" s="41">
        <f>'[1]功能-实力'!BE115</f>
        <v>17658294</v>
      </c>
      <c r="AE114" s="41">
        <f>'[1]功能-实力'!BF115</f>
        <v>19422426</v>
      </c>
      <c r="AF114" s="41">
        <f>'[1]功能-实力'!BG115</f>
        <v>20996040</v>
      </c>
      <c r="AG114" s="41">
        <f>'[1]功能-实力'!BH115</f>
        <v>23055282</v>
      </c>
      <c r="AH114" s="41">
        <f>'[1]功能-实力'!BI115</f>
        <v>24205428</v>
      </c>
      <c r="AL114" s="37">
        <f>[3]基础状态预期!C124</f>
        <v>280</v>
      </c>
      <c r="AM114" s="37">
        <f>[3]基础状态预期!D124</f>
        <v>86.385105215793828</v>
      </c>
      <c r="AO114" s="37">
        <f>[3]基础状态预期!F124</f>
        <v>0</v>
      </c>
      <c r="AP114" s="37">
        <f>[3]基础状态预期!G124</f>
        <v>0</v>
      </c>
      <c r="AQ114" s="37">
        <f>[3]基础状态预期!H124</f>
        <v>0</v>
      </c>
      <c r="AR114" s="37">
        <f>[3]基础状态预期!I124</f>
        <v>0</v>
      </c>
      <c r="AS114" s="37">
        <f>[3]基础状态预期!J124</f>
        <v>6</v>
      </c>
      <c r="AW114" s="32">
        <v>108</v>
      </c>
      <c r="AX114" s="32">
        <f>[1]节奏总纲!BJ111</f>
        <v>3.4999999999999978</v>
      </c>
      <c r="AY114" s="32">
        <f>[1]节奏总纲!BK111</f>
        <v>3.5699999999999976</v>
      </c>
      <c r="AZ114" s="32">
        <f>[1]节奏总纲!BL111</f>
        <v>3.7099999999999977</v>
      </c>
      <c r="BA114" s="32">
        <f>[1]节奏总纲!BM111</f>
        <v>3.9899999999999971</v>
      </c>
      <c r="BB114" s="32">
        <f>[1]节奏总纲!BN111</f>
        <v>4.8999999999999968</v>
      </c>
      <c r="BF114" s="42">
        <f>'[1]功能-行军令'!FZ112</f>
        <v>108</v>
      </c>
      <c r="BG114" s="42">
        <f>'[1]功能-行军令'!GA112*'[1]功能-行军令'!GB112</f>
        <v>641.24282356327069</v>
      </c>
      <c r="BN114" s="49">
        <v>109</v>
      </c>
      <c r="BO114" s="17">
        <f>'[1]资源-木石铜粮'!U114</f>
        <v>211187739374.38107</v>
      </c>
      <c r="BP114" s="17">
        <f>'[1]资源-木石铜粮'!V114</f>
        <v>239265334240.85468</v>
      </c>
      <c r="BQ114" s="17">
        <f>'[1]资源-木石铜粮'!W114</f>
        <v>255573505420.96851</v>
      </c>
      <c r="BR114" s="17">
        <f>'[1]资源-木石铜粮'!X114</f>
        <v>238002075255.07318</v>
      </c>
      <c r="BS114" s="17">
        <f>'[1]资源-木石铜粮'!Y114</f>
        <v>195491959739.25366</v>
      </c>
      <c r="BV114" s="49">
        <v>109</v>
      </c>
      <c r="BW114" s="47">
        <f>'[1]功能-城建'!EQ112+[1]养成buff汇总!H114+'[1]功能-采集'!BS113+[2]产出汇总!AY114+[1]养成buff汇总!GY114</f>
        <v>185674986230.67404</v>
      </c>
      <c r="BX114" s="47">
        <f>'[1]功能-城建'!ER112+[1]养成buff汇总!I114+'[1]功能-采集'!BT113+[2]产出汇总!AZ114+[1]养成buff汇总!GZ114</f>
        <v>116987616602.05905</v>
      </c>
      <c r="BY114" s="47">
        <f>'[1]功能-城建'!ES112+[1]养成buff汇总!J114+'[1]功能-采集'!BU113+[2]产出汇总!BA114+[1]养成buff汇总!HA114</f>
        <v>136640202664.39752</v>
      </c>
      <c r="BZ114" s="47">
        <f>'[1]功能-城建'!ET112+[1]养成buff汇总!K114+'[1]功能-采集'!BV113+[2]产出汇总!BB114+[1]养成buff汇总!HB114</f>
        <v>74002834619.867706</v>
      </c>
      <c r="CA114" s="47">
        <f>'[1]功能-城建'!EU112+[1]养成buff汇总!L114+'[1]功能-采集'!BW113+[2]产出汇总!BC114+[1]养成buff汇总!HC114</f>
        <v>66639523970.377014</v>
      </c>
      <c r="CD114" s="49">
        <v>109</v>
      </c>
      <c r="CE114" s="44">
        <f>'[1]资源-铁'!T114</f>
        <v>45844337184.489563</v>
      </c>
      <c r="CF114" s="44">
        <f>'[1]资源-铁'!U114</f>
        <v>60967404153.12619</v>
      </c>
      <c r="CG114" s="44">
        <f>'[1]资源-铁'!V114</f>
        <v>79860142111.142181</v>
      </c>
      <c r="CH114" s="44">
        <f>'[1]资源-铁'!W114</f>
        <v>105113956695.99542</v>
      </c>
      <c r="CI114" s="44">
        <f>'[1]资源-铁'!X114</f>
        <v>152979493332.88254</v>
      </c>
      <c r="CL114" s="49">
        <v>109</v>
      </c>
      <c r="CM114" s="44">
        <f>'[1]功能-城建'!HF112+[1]养成buff汇总!S114+'[1]功能-采集'!BX113</f>
        <v>57086985012.120018</v>
      </c>
      <c r="CN114" s="44">
        <f>'[1]功能-城建'!HG112+[1]养成buff汇总!T114+'[1]功能-采集'!BY113</f>
        <v>37315119826.42955</v>
      </c>
      <c r="CO114" s="44">
        <f>'[1]功能-城建'!HH112+[1]养成buff汇总!U114+'[1]功能-采集'!BZ113</f>
        <v>44326860735.492157</v>
      </c>
      <c r="CP114" s="44">
        <f>'[1]功能-城建'!HI112+[1]养成buff汇总!V114+'[1]功能-采集'!CA113</f>
        <v>23783281907.646904</v>
      </c>
      <c r="CQ114" s="44">
        <f>'[1]功能-城建'!HJ112+[1]养成buff汇总!W114+'[1]功能-采集'!CB113</f>
        <v>22331531186.984112</v>
      </c>
      <c r="CT114" s="49">
        <v>109</v>
      </c>
      <c r="CU114" s="17">
        <f>'[1]资源-玩家城池建筑时间'!AJ114+CU113</f>
        <v>1108289149.3585761</v>
      </c>
      <c r="CV114" s="17">
        <f>'[1]资源-玩家城池建筑时间'!AK114+CV113</f>
        <v>1181014652.048039</v>
      </c>
      <c r="CW114" s="17">
        <f>'[1]资源-玩家城池建筑时间'!AL114+CW113</f>
        <v>1264163665.3136382</v>
      </c>
      <c r="CX114" s="17">
        <f>'[1]资源-玩家城池建筑时间'!AM114+CX113</f>
        <v>1360795575.9036789</v>
      </c>
      <c r="CY114" s="17">
        <f>'[1]资源-玩家城池建筑时间'!AN114+CY113</f>
        <v>1477525217.099148</v>
      </c>
      <c r="DB114" s="49">
        <v>109</v>
      </c>
      <c r="DC114" s="17">
        <f>'[1]资源-士兵训练时间'!U114</f>
        <v>688331508.45176208</v>
      </c>
      <c r="DD114" s="17">
        <f>'[1]资源-士兵训练时间'!V114</f>
        <v>998513314.62096691</v>
      </c>
      <c r="DE114" s="17">
        <f>'[1]资源-士兵训练时间'!W114</f>
        <v>1363528995.2341113</v>
      </c>
      <c r="DF114" s="17">
        <f>'[1]资源-士兵训练时间'!X114</f>
        <v>1819122845.0681858</v>
      </c>
      <c r="DG114" s="17">
        <f>'[1]资源-士兵训练时间'!Y114</f>
        <v>2732128226.7749667</v>
      </c>
    </row>
    <row r="115" spans="2:111" x14ac:dyDescent="0.15">
      <c r="B115" s="34">
        <v>112</v>
      </c>
      <c r="C115" s="35">
        <f>'[1]资源-钻石'!L115</f>
        <v>5062767.1372605804</v>
      </c>
      <c r="D115" s="35">
        <f>'[1]资源-钻石'!M115</f>
        <v>7165744.1543648234</v>
      </c>
      <c r="E115" s="35">
        <f>'[1]资源-钻石'!N115</f>
        <v>10449069.398882756</v>
      </c>
      <c r="F115" s="35">
        <f>'[1]资源-钻石'!O115</f>
        <v>25159548.484976843</v>
      </c>
      <c r="G115" s="35">
        <f>'[1]资源-钻石'!P115</f>
        <v>43626339.22425162</v>
      </c>
      <c r="I115" s="23">
        <v>112</v>
      </c>
      <c r="J115" s="24">
        <f>'[1]资源-钻石'!T115</f>
        <v>646993.80849886662</v>
      </c>
      <c r="K115" s="24">
        <f>'[1]资源-钻石'!U115</f>
        <v>902373.18934875343</v>
      </c>
      <c r="L115" s="24">
        <f>'[1]资源-钻石'!V115</f>
        <v>1497912.5082836288</v>
      </c>
      <c r="M115" s="24">
        <f>'[1]资源-钻石'!W115</f>
        <v>3919973.7591119916</v>
      </c>
      <c r="N115" s="24">
        <f>'[1]资源-钻石'!X115</f>
        <v>9289513.6350231897</v>
      </c>
      <c r="P115" s="28">
        <v>112</v>
      </c>
      <c r="Q115" s="28">
        <f>'[1]功能-行军令'!N115</f>
        <v>108170.57462756058</v>
      </c>
      <c r="R115" s="28">
        <f>'[1]功能-行军令'!O115</f>
        <v>134313.75644108024</v>
      </c>
      <c r="S115" s="28">
        <f>'[1]功能-行军令'!P115</f>
        <v>146454.49252248529</v>
      </c>
      <c r="T115" s="28">
        <f>'[1]功能-行军令'!Q115</f>
        <v>118996.80307381767</v>
      </c>
      <c r="U115" s="28">
        <f>'[1]功能-行军令'!R115</f>
        <v>64185.126836071002</v>
      </c>
      <c r="V115" s="28">
        <f>'[1]功能-行军令'!S115</f>
        <v>7246.9402689415583</v>
      </c>
      <c r="W115" s="28">
        <f>'[1]功能-行军令'!T115</f>
        <v>9086.6139328801364</v>
      </c>
      <c r="X115" s="28">
        <f>'[1]功能-行军令'!U115</f>
        <v>9911.6166106327146</v>
      </c>
      <c r="Y115" s="28">
        <f>'[1]功能-行军令'!V115</f>
        <v>8107.8374191055191</v>
      </c>
      <c r="Z115" s="28">
        <f>'[1]功能-行军令'!W115</f>
        <v>4119.3288515132517</v>
      </c>
      <c r="AC115" s="30">
        <v>112</v>
      </c>
      <c r="AD115" s="41">
        <f>'[1]功能-实力'!BE116</f>
        <v>18196086</v>
      </c>
      <c r="AE115" s="41">
        <f>'[1]功能-实力'!BF116</f>
        <v>20033226</v>
      </c>
      <c r="AF115" s="41">
        <f>'[1]功能-实力'!BG116</f>
        <v>21566178</v>
      </c>
      <c r="AG115" s="41">
        <f>'[1]功能-实力'!BH116</f>
        <v>23558766</v>
      </c>
      <c r="AH115" s="41">
        <f>'[1]功能-实力'!BI116</f>
        <v>24711348</v>
      </c>
      <c r="AL115" s="37">
        <f>[3]基础状态预期!C125</f>
        <v>364</v>
      </c>
      <c r="AM115" s="37">
        <f>[3]基础状态预期!D125</f>
        <v>90.406191748048585</v>
      </c>
      <c r="AO115" s="37">
        <f>[3]基础状态预期!F125</f>
        <v>0</v>
      </c>
      <c r="AP115" s="37">
        <f>[3]基础状态预期!G125</f>
        <v>0</v>
      </c>
      <c r="AQ115" s="37">
        <f>[3]基础状态预期!H125</f>
        <v>0</v>
      </c>
      <c r="AR115" s="37">
        <f>[3]基础状态预期!I125</f>
        <v>0</v>
      </c>
      <c r="AS115" s="37">
        <f>[3]基础状态预期!J125</f>
        <v>6</v>
      </c>
      <c r="AW115" s="32">
        <v>109</v>
      </c>
      <c r="AX115" s="32">
        <f>[1]节奏总纲!BJ112</f>
        <v>3.4999999999999978</v>
      </c>
      <c r="AY115" s="32">
        <f>[1]节奏总纲!BK112</f>
        <v>3.5699999999999976</v>
      </c>
      <c r="AZ115" s="32">
        <f>[1]节奏总纲!BL112</f>
        <v>3.7099999999999977</v>
      </c>
      <c r="BA115" s="32">
        <f>[1]节奏总纲!BM112</f>
        <v>3.9899999999999971</v>
      </c>
      <c r="BB115" s="32">
        <f>[1]节奏总纲!BN112</f>
        <v>4.8999999999999968</v>
      </c>
      <c r="BF115" s="42">
        <f>'[1]功能-行军令'!FZ113</f>
        <v>109</v>
      </c>
      <c r="BG115" s="42">
        <f>'[1]功能-行军令'!GA113*'[1]功能-行军令'!GB113</f>
        <v>654.06768003453612</v>
      </c>
      <c r="BN115" s="49">
        <v>110</v>
      </c>
      <c r="BO115" s="17">
        <f>'[1]资源-木石铜粮'!U115</f>
        <v>231379177157.16406</v>
      </c>
      <c r="BP115" s="17">
        <f>'[1]资源-木石铜粮'!V115</f>
        <v>262400079699.4223</v>
      </c>
      <c r="BQ115" s="17">
        <f>'[1]资源-木石铜粮'!W115</f>
        <v>280533190187.41626</v>
      </c>
      <c r="BR115" s="17">
        <f>'[1]资源-木石铜粮'!X115</f>
        <v>260528759455.85992</v>
      </c>
      <c r="BS115" s="17">
        <f>'[1]资源-木石铜粮'!Y115</f>
        <v>213362371684.85577</v>
      </c>
      <c r="BV115" s="49">
        <v>110</v>
      </c>
      <c r="BW115" s="47">
        <f>'[1]功能-城建'!EQ113+[1]养成buff汇总!H115+'[1]功能-采集'!BS114+[2]产出汇总!AY115+[1]养成buff汇总!GY115</f>
        <v>203639556461.32092</v>
      </c>
      <c r="BX115" s="47">
        <f>'[1]功能-城建'!ER113+[1]养成buff汇总!I115+'[1]功能-采集'!BT114+[2]产出汇总!AZ115+[1]养成buff汇总!GZ115</f>
        <v>128309418095.9321</v>
      </c>
      <c r="BY115" s="47">
        <f>'[1]功能-城建'!ES113+[1]养成buff汇总!J115+'[1]功能-采集'!BU114+[2]产出汇总!BA115+[1]养成buff汇总!HA115</f>
        <v>150245368223.54132</v>
      </c>
      <c r="BZ115" s="47">
        <f>'[1]功能-城建'!ET113+[1]养成buff汇总!K115+'[1]功能-采集'!BV114+[2]产出汇总!BB115+[1]养成buff汇总!HB115</f>
        <v>81520855831.620392</v>
      </c>
      <c r="CA115" s="47">
        <f>'[1]功能-城建'!EU113+[1]养成buff汇总!L115+'[1]功能-采集'!BW114+[2]产出汇总!BC115+[1]养成buff汇总!HC115</f>
        <v>73503528331.275055</v>
      </c>
      <c r="CD115" s="49">
        <v>110</v>
      </c>
      <c r="CE115" s="44">
        <f>'[1]资源-铁'!T115</f>
        <v>50359947798.755989</v>
      </c>
      <c r="CF115" s="44">
        <f>'[1]资源-铁'!U115</f>
        <v>66911418336.203423</v>
      </c>
      <c r="CG115" s="44">
        <f>'[1]资源-铁'!V115</f>
        <v>89050750756.744675</v>
      </c>
      <c r="CH115" s="44">
        <f>'[1]资源-铁'!W115</f>
        <v>117599960726.03542</v>
      </c>
      <c r="CI115" s="44">
        <f>'[1]资源-铁'!X115</f>
        <v>173212815898.55295</v>
      </c>
      <c r="CL115" s="49">
        <v>110</v>
      </c>
      <c r="CM115" s="44">
        <f>'[1]功能-城建'!HF113+[1]养成buff汇总!S115+'[1]功能-采集'!BX114</f>
        <v>62770466312.521568</v>
      </c>
      <c r="CN115" s="44">
        <f>'[1]功能-城建'!HG113+[1]养成buff汇总!T115+'[1]功能-采集'!BY114</f>
        <v>41054401102.594681</v>
      </c>
      <c r="CO115" s="44">
        <f>'[1]功能-城建'!HH113+[1]养成buff汇总!U115+'[1]功能-采集'!BZ114</f>
        <v>48860492103.120651</v>
      </c>
      <c r="CP115" s="44">
        <f>'[1]功能-城建'!HI113+[1]养成buff汇总!V115+'[1]功能-采集'!CA114</f>
        <v>26274239827.988773</v>
      </c>
      <c r="CQ115" s="44">
        <f>'[1]功能-城建'!HJ113+[1]养成buff汇总!W115+'[1]功能-采集'!CB114</f>
        <v>24723113081.742691</v>
      </c>
      <c r="CT115" s="49">
        <v>110</v>
      </c>
      <c r="CU115" s="17">
        <f>'[1]资源-玩家城池建筑时间'!AJ115+CU114</f>
        <v>1190695369.7033434</v>
      </c>
      <c r="CV115" s="17">
        <f>'[1]资源-玩家城池建筑时间'!AK115+CV114</f>
        <v>1268643366.6071558</v>
      </c>
      <c r="CW115" s="17">
        <f>'[1]资源-玩家城池建筑时间'!AL115+CW114</f>
        <v>1360350212.6031168</v>
      </c>
      <c r="CX115" s="17">
        <f>'[1]资源-玩家城池建筑时间'!AM115+CX114</f>
        <v>1465794500.1294069</v>
      </c>
      <c r="CY115" s="17">
        <f>'[1]资源-玩家城池建筑时间'!AN115+CY114</f>
        <v>1591012026.323025</v>
      </c>
      <c r="DB115" s="49">
        <v>110</v>
      </c>
      <c r="DC115" s="17">
        <f>'[1]资源-士兵训练时间'!U115</f>
        <v>756945447.5257169</v>
      </c>
      <c r="DD115" s="17">
        <f>'[1]资源-士兵训练时间'!V115</f>
        <v>1095796444.5713224</v>
      </c>
      <c r="DE115" s="17">
        <f>'[1]资源-士兵训练时间'!W115</f>
        <v>1515204515.483849</v>
      </c>
      <c r="DF115" s="17">
        <f>'[1]资源-士兵训练时间'!X115</f>
        <v>2025985056.5826344</v>
      </c>
      <c r="DG115" s="17">
        <f>'[1]资源-士兵训练时间'!Y115</f>
        <v>3053068056.2731848</v>
      </c>
    </row>
    <row r="116" spans="2:111" x14ac:dyDescent="0.15">
      <c r="B116" s="34">
        <v>113</v>
      </c>
      <c r="C116" s="35">
        <f>'[1]资源-钻石'!L116</f>
        <v>5180753.4785694797</v>
      </c>
      <c r="D116" s="35">
        <f>'[1]资源-钻石'!M116</f>
        <v>7345861.8775710799</v>
      </c>
      <c r="E116" s="35">
        <f>'[1]资源-钻石'!N116</f>
        <v>10720465.25431814</v>
      </c>
      <c r="F116" s="35">
        <f>'[1]资源-钻石'!O116</f>
        <v>25928416.293850161</v>
      </c>
      <c r="G116" s="35">
        <f>'[1]资源-钻石'!P116</f>
        <v>45433457.250820518</v>
      </c>
      <c r="I116" s="23">
        <v>113</v>
      </c>
      <c r="J116" s="24">
        <f>'[1]资源-钻石'!T116</f>
        <v>651322.53454724746</v>
      </c>
      <c r="K116" s="24">
        <f>'[1]资源-钻石'!U116</f>
        <v>908814.78800197237</v>
      </c>
      <c r="L116" s="24">
        <f>'[1]资源-钻石'!V116</f>
        <v>1509450.2668021696</v>
      </c>
      <c r="M116" s="24">
        <f>'[1]资源-钻石'!W116</f>
        <v>3952685.2934823865</v>
      </c>
      <c r="N116" s="24">
        <f>'[1]资源-钻石'!X116</f>
        <v>9369351.3228306249</v>
      </c>
      <c r="P116" s="28">
        <v>113</v>
      </c>
      <c r="Q116" s="28">
        <f>'[1]功能-行军令'!N116</f>
        <v>115937.65289239788</v>
      </c>
      <c r="R116" s="28">
        <f>'[1]功能-行军令'!O116</f>
        <v>144025.56561258808</v>
      </c>
      <c r="S116" s="28">
        <f>'[1]功能-行军令'!P116</f>
        <v>157131.05708019441</v>
      </c>
      <c r="T116" s="28">
        <f>'[1]功能-行军令'!Q116</f>
        <v>127281.6481511673</v>
      </c>
      <c r="U116" s="28">
        <f>'[1]功能-行军令'!R116</f>
        <v>68560.235114671188</v>
      </c>
      <c r="V116" s="28">
        <f>'[1]功能-行军令'!S116</f>
        <v>7767.0782648372988</v>
      </c>
      <c r="W116" s="28">
        <f>'[1]功能-行军令'!T116</f>
        <v>9711.8091715078335</v>
      </c>
      <c r="X116" s="28">
        <f>'[1]功能-行军令'!U116</f>
        <v>10676.56455770912</v>
      </c>
      <c r="Y116" s="28">
        <f>'[1]功能-行军令'!V116</f>
        <v>8284.8450773496297</v>
      </c>
      <c r="Z116" s="28">
        <f>'[1]功能-行军令'!W116</f>
        <v>4375.1082786001862</v>
      </c>
      <c r="AC116" s="30">
        <v>113</v>
      </c>
      <c r="AD116" s="41">
        <f>'[1]功能-实力'!BE117</f>
        <v>18751116</v>
      </c>
      <c r="AE116" s="41">
        <f>'[1]功能-实力'!BF117</f>
        <v>20685948</v>
      </c>
      <c r="AF116" s="41">
        <f>'[1]功能-实力'!BG117</f>
        <v>22164612</v>
      </c>
      <c r="AG116" s="41">
        <f>'[1]功能-实力'!BH117</f>
        <v>24065364</v>
      </c>
      <c r="AH116" s="41">
        <f>'[1]功能-实力'!BI117</f>
        <v>25228014</v>
      </c>
      <c r="AL116" s="37">
        <f>[3]基础状态预期!C126</f>
        <v>448</v>
      </c>
      <c r="AM116" s="37">
        <f>[3]基础状态预期!D126</f>
        <v>93.471491811086082</v>
      </c>
      <c r="AO116" s="37">
        <f>[3]基础状态预期!F126</f>
        <v>0</v>
      </c>
      <c r="AP116" s="37">
        <f>[3]基础状态预期!G126</f>
        <v>0</v>
      </c>
      <c r="AQ116" s="37">
        <f>[3]基础状态预期!H126</f>
        <v>0</v>
      </c>
      <c r="AR116" s="37">
        <f>[3]基础状态预期!I126</f>
        <v>0</v>
      </c>
      <c r="AS116" s="37">
        <f>[3]基础状态预期!J126</f>
        <v>6</v>
      </c>
      <c r="AW116" s="32">
        <v>110</v>
      </c>
      <c r="AX116" s="32">
        <f>[1]节奏总纲!BJ113</f>
        <v>3.4999999999999978</v>
      </c>
      <c r="AY116" s="32">
        <f>[1]节奏总纲!BK113</f>
        <v>3.5699999999999976</v>
      </c>
      <c r="AZ116" s="32">
        <f>[1]节奏总纲!BL113</f>
        <v>3.7099999999999977</v>
      </c>
      <c r="BA116" s="32">
        <f>[1]节奏总纲!BM113</f>
        <v>3.9899999999999971</v>
      </c>
      <c r="BB116" s="32">
        <f>[1]节奏总纲!BN113</f>
        <v>4.8999999999999968</v>
      </c>
      <c r="BF116" s="42">
        <f>'[1]功能-行军令'!FZ114</f>
        <v>110</v>
      </c>
      <c r="BG116" s="42">
        <f>'[1]功能-行军令'!GA114*'[1]功能-行军令'!GB114</f>
        <v>667.14903363522683</v>
      </c>
      <c r="BN116" s="49">
        <v>111</v>
      </c>
      <c r="BO116" s="17">
        <f>'[1]资源-木石铜粮'!U116</f>
        <v>253486193003.8515</v>
      </c>
      <c r="BP116" s="17">
        <f>'[1]资源-木石铜粮'!V116</f>
        <v>287961579945.7345</v>
      </c>
      <c r="BQ116" s="17">
        <f>'[1]资源-木石铜粮'!W116</f>
        <v>307972924868.86932</v>
      </c>
      <c r="BR116" s="17">
        <f>'[1]资源-木石铜粮'!X116</f>
        <v>285985298200.2951</v>
      </c>
      <c r="BS116" s="17">
        <f>'[1]资源-木石铜粮'!Y116</f>
        <v>233351545575.34824</v>
      </c>
      <c r="BV116" s="49">
        <v>111</v>
      </c>
      <c r="BW116" s="47">
        <f>'[1]功能-城建'!EQ114+[1]养成buff汇总!H116+'[1]功能-采集'!BS115+[2]产出汇总!AY116+[1]养成buff汇总!GY116</f>
        <v>222914398224.19214</v>
      </c>
      <c r="BX116" s="47">
        <f>'[1]功能-城建'!ER114+[1]养成buff汇总!I116+'[1]功能-采集'!BT115+[2]产出汇总!AZ116+[1]养成buff汇总!GZ116</f>
        <v>140800927963.59421</v>
      </c>
      <c r="BY116" s="47">
        <f>'[1]功能-城建'!ES114+[1]养成buff汇总!J116+'[1]功能-采集'!BU115+[2]产出汇总!BA116+[1]养成buff汇总!HA116</f>
        <v>164979272600.89163</v>
      </c>
      <c r="BZ116" s="47">
        <f>'[1]功能-城建'!ET114+[1]养成buff汇总!K116+'[1]功能-采集'!BV115+[2]产出汇总!BB116+[1]养成buff汇总!HB116</f>
        <v>89716683203.390747</v>
      </c>
      <c r="CA116" s="47">
        <f>'[1]功能-城建'!EU114+[1]养成buff汇总!L116+'[1]功能-采集'!BW115+[2]产出汇总!BC116+[1]养成buff汇总!HC116</f>
        <v>81059053779.582291</v>
      </c>
      <c r="CD116" s="49">
        <v>111</v>
      </c>
      <c r="CE116" s="44">
        <f>'[1]资源-铁'!T116</f>
        <v>55199659422.273903</v>
      </c>
      <c r="CF116" s="44">
        <f>'[1]资源-铁'!U116</f>
        <v>74543749967.194977</v>
      </c>
      <c r="CG116" s="44">
        <f>'[1]资源-铁'!V116</f>
        <v>99477786114.881134</v>
      </c>
      <c r="CH116" s="44">
        <f>'[1]资源-铁'!W116</f>
        <v>132964392849.75226</v>
      </c>
      <c r="CI116" s="44">
        <f>'[1]资源-铁'!X116</f>
        <v>196204508274.15366</v>
      </c>
      <c r="CL116" s="49">
        <v>111</v>
      </c>
      <c r="CM116" s="44">
        <f>'[1]功能-城建'!HF114+[1]养成buff汇总!S116+'[1]功能-采集'!BX115</f>
        <v>68861870745.113144</v>
      </c>
      <c r="CN116" s="44">
        <f>'[1]功能-城建'!HG114+[1]养成buff汇总!T116+'[1]功能-采集'!BY115</f>
        <v>45178491796.229858</v>
      </c>
      <c r="CO116" s="44">
        <f>'[1]功能-城建'!HH114+[1]养成buff汇总!U116+'[1]功能-采集'!BZ115</f>
        <v>53760641566.126862</v>
      </c>
      <c r="CP116" s="44">
        <f>'[1]功能-城建'!HI114+[1]养成buff汇总!V116+'[1]功能-采集'!CA115</f>
        <v>28984005908.748642</v>
      </c>
      <c r="CQ116" s="44">
        <f>'[1]功能-城建'!HJ114+[1]养成buff汇总!W116+'[1]功能-采集'!CB115</f>
        <v>27352394023.995724</v>
      </c>
      <c r="CT116" s="49">
        <v>111</v>
      </c>
      <c r="CU116" s="17">
        <f>'[1]资源-玩家城池建筑时间'!AJ116+CU115</f>
        <v>1279016169.8167822</v>
      </c>
      <c r="CV116" s="17">
        <f>'[1]资源-玩家城池建筑时间'!AK116+CV115</f>
        <v>1364891858.7513876</v>
      </c>
      <c r="CW116" s="17">
        <f>'[1]资源-玩家城池建筑时间'!AL116+CW115</f>
        <v>1464167219.727495</v>
      </c>
      <c r="CX116" s="17">
        <f>'[1]资源-玩家城池建筑时间'!AM116+CX115</f>
        <v>1579643117.5520861</v>
      </c>
      <c r="CY116" s="17">
        <f>'[1]资源-玩家城池建筑时间'!AN116+CY115</f>
        <v>1715679911.0018768</v>
      </c>
      <c r="DB116" s="49">
        <v>111</v>
      </c>
      <c r="DC116" s="17">
        <f>'[1]资源-士兵训练时间'!U116</f>
        <v>830484046.58526289</v>
      </c>
      <c r="DD116" s="17">
        <f>'[1]资源-士兵训练时间'!V116</f>
        <v>1218128720.9065256</v>
      </c>
      <c r="DE116" s="17">
        <f>'[1]资源-士兵训练时间'!W116</f>
        <v>1685649243.4094353</v>
      </c>
      <c r="DF116" s="17">
        <f>'[1]资源-士兵训练时间'!X116</f>
        <v>2265274993.5510945</v>
      </c>
      <c r="DG116" s="17">
        <f>'[1]资源-士兵训练时间'!Y116</f>
        <v>3411661323.4376278</v>
      </c>
    </row>
    <row r="117" spans="2:111" x14ac:dyDescent="0.15">
      <c r="B117" s="34">
        <v>114</v>
      </c>
      <c r="C117" s="35">
        <f>'[1]资源-钻石'!L117</f>
        <v>5298739.8198783789</v>
      </c>
      <c r="D117" s="35">
        <f>'[1]资源-钻石'!M117</f>
        <v>7525979.6007773364</v>
      </c>
      <c r="E117" s="35">
        <f>'[1]资源-钻石'!N117</f>
        <v>10991861.109753525</v>
      </c>
      <c r="F117" s="35">
        <f>'[1]资源-钻石'!O117</f>
        <v>26697284.102723479</v>
      </c>
      <c r="G117" s="35">
        <f>'[1]资源-钻石'!P117</f>
        <v>47240575.277389415</v>
      </c>
      <c r="I117" s="23">
        <v>114</v>
      </c>
      <c r="J117" s="24">
        <f>'[1]资源-钻石'!T117</f>
        <v>655651.26059562829</v>
      </c>
      <c r="K117" s="24">
        <f>'[1]资源-钻石'!U117</f>
        <v>915256.38665519119</v>
      </c>
      <c r="L117" s="24">
        <f>'[1]资源-钻石'!V117</f>
        <v>1520988.0253207104</v>
      </c>
      <c r="M117" s="24">
        <f>'[1]资源-钻石'!W117</f>
        <v>3985396.8278527814</v>
      </c>
      <c r="N117" s="24">
        <f>'[1]资源-钻石'!X117</f>
        <v>9449189.0106380582</v>
      </c>
      <c r="P117" s="28">
        <v>114</v>
      </c>
      <c r="Q117" s="28">
        <f>'[1]功能-行军令'!N117</f>
        <v>124262.20125809284</v>
      </c>
      <c r="R117" s="28">
        <f>'[1]功能-行军令'!O117</f>
        <v>154403.07871412375</v>
      </c>
      <c r="S117" s="28">
        <f>'[1]功能-行军令'!P117</f>
        <v>168020.05489024971</v>
      </c>
      <c r="T117" s="28">
        <f>'[1]功能-行军令'!Q117</f>
        <v>135892.06275496984</v>
      </c>
      <c r="U117" s="28">
        <f>'[1]功能-行军令'!R117</f>
        <v>73232.577635356385</v>
      </c>
      <c r="V117" s="28">
        <f>'[1]功能-行军令'!S117</f>
        <v>8324.5483656949655</v>
      </c>
      <c r="W117" s="28">
        <f>'[1]功能-行军令'!T117</f>
        <v>10377.513101535675</v>
      </c>
      <c r="X117" s="28">
        <f>'[1]功能-行军令'!U117</f>
        <v>10888.997810055298</v>
      </c>
      <c r="Y117" s="28">
        <f>'[1]功能-行军令'!V117</f>
        <v>8610.4146038025356</v>
      </c>
      <c r="Z117" s="28">
        <f>'[1]功能-行军令'!W117</f>
        <v>4672.3425206851971</v>
      </c>
      <c r="AC117" s="30">
        <v>114</v>
      </c>
      <c r="AD117" s="41">
        <f>'[1]功能-实力'!BE118</f>
        <v>19348452</v>
      </c>
      <c r="AE117" s="41">
        <f>'[1]功能-实力'!BF118</f>
        <v>21369714</v>
      </c>
      <c r="AF117" s="41">
        <f>'[1]功能-实力'!BG118</f>
        <v>22772442</v>
      </c>
      <c r="AG117" s="41">
        <f>'[1]功能-实力'!BH118</f>
        <v>24579846</v>
      </c>
      <c r="AH117" s="41">
        <f>'[1]功能-实力'!BI118</f>
        <v>25752846</v>
      </c>
      <c r="AL117" s="37">
        <f>[3]基础状态预期!C127</f>
        <v>574</v>
      </c>
      <c r="AM117" s="37">
        <f>[3]基础状态预期!D127</f>
        <v>97.107381566993553</v>
      </c>
      <c r="AO117" s="37">
        <f>[3]基础状态预期!F127</f>
        <v>0</v>
      </c>
      <c r="AP117" s="37">
        <f>[3]基础状态预期!G127</f>
        <v>0</v>
      </c>
      <c r="AQ117" s="37">
        <f>[3]基础状态预期!H127</f>
        <v>0</v>
      </c>
      <c r="AR117" s="37">
        <f>[3]基础状态预期!I127</f>
        <v>0</v>
      </c>
      <c r="AS117" s="37">
        <f>[3]基础状态预期!J127</f>
        <v>6</v>
      </c>
      <c r="AW117" s="32">
        <v>111</v>
      </c>
      <c r="AX117" s="32">
        <f>[1]节奏总纲!BJ114</f>
        <v>3.4999999999999978</v>
      </c>
      <c r="AY117" s="32">
        <f>[1]节奏总纲!BK114</f>
        <v>3.5699999999999976</v>
      </c>
      <c r="AZ117" s="32">
        <f>[1]节奏总纲!BL114</f>
        <v>3.7099999999999977</v>
      </c>
      <c r="BA117" s="32">
        <f>[1]节奏总纲!BM114</f>
        <v>3.9899999999999971</v>
      </c>
      <c r="BB117" s="32">
        <f>[1]节奏总纲!BN114</f>
        <v>4.8999999999999968</v>
      </c>
      <c r="BF117" s="42">
        <f>'[1]功能-行军令'!FZ115</f>
        <v>111</v>
      </c>
      <c r="BG117" s="42">
        <f>'[1]功能-行军令'!GA115*'[1]功能-行军令'!GB115</f>
        <v>680.49201430793141</v>
      </c>
      <c r="BN117" s="49">
        <v>112</v>
      </c>
      <c r="BO117" s="17">
        <f>'[1]资源-木石铜粮'!U117</f>
        <v>277598125387.92651</v>
      </c>
      <c r="BP117" s="17">
        <f>'[1]资源-木石铜粮'!V117</f>
        <v>315870686117.42267</v>
      </c>
      <c r="BQ117" s="17">
        <f>'[1]资源-木石铜粮'!W117</f>
        <v>338334914803.91284</v>
      </c>
      <c r="BR117" s="17">
        <f>'[1]资源-木石铜粮'!X117</f>
        <v>313701115344.08307</v>
      </c>
      <c r="BS117" s="17">
        <f>'[1]资源-木石铜粮'!Y117</f>
        <v>253358980714.75009</v>
      </c>
      <c r="BV117" s="49">
        <v>112</v>
      </c>
      <c r="BW117" s="47">
        <f>'[1]功能-城建'!EQ115+[1]养成buff汇总!H117+'[1]功能-采集'!BS116+[2]产出汇总!AY117+[1]养成buff汇总!GY117</f>
        <v>243715175314.87372</v>
      </c>
      <c r="BX117" s="47">
        <f>'[1]功能-城建'!ER115+[1]养成buff汇总!I117+'[1]功能-采集'!BT116+[2]产出汇总!AZ117+[1]养成buff汇总!GZ117</f>
        <v>154090856773.03955</v>
      </c>
      <c r="BY117" s="47">
        <f>'[1]功能-城建'!ES115+[1]养成buff汇总!J117+'[1]功能-采集'!BU116+[2]产出汇总!BA117+[1]养成buff汇总!HA117</f>
        <v>180585293016.95245</v>
      </c>
      <c r="BZ117" s="47">
        <f>'[1]功能-城建'!ET115+[1]养成buff汇总!K117+'[1]功能-采集'!BV116+[2]产出汇总!BB117+[1]养成buff汇总!HB117</f>
        <v>98293046486.852463</v>
      </c>
      <c r="CA117" s="47">
        <f>'[1]功能-城建'!EU115+[1]养成buff汇总!L117+'[1]功能-采集'!BW116+[2]产出汇总!BC117+[1]养成buff汇总!HC117</f>
        <v>88415569106.370499</v>
      </c>
      <c r="CD117" s="49">
        <v>112</v>
      </c>
      <c r="CE117" s="44">
        <f>'[1]资源-铁'!T117</f>
        <v>61269693663.555885</v>
      </c>
      <c r="CF117" s="44">
        <f>'[1]资源-铁'!U117</f>
        <v>82949024500.779266</v>
      </c>
      <c r="CG117" s="44">
        <f>'[1]资源-铁'!V117</f>
        <v>111882132020.89915</v>
      </c>
      <c r="CH117" s="44">
        <f>'[1]资源-铁'!W117</f>
        <v>149799689936.59778</v>
      </c>
      <c r="CI117" s="44">
        <f>'[1]资源-铁'!X117</f>
        <v>219173577990.20007</v>
      </c>
      <c r="CL117" s="49">
        <v>112</v>
      </c>
      <c r="CM117" s="44">
        <f>'[1]功能-城建'!HF115+[1]养成buff汇总!S117+'[1]功能-采集'!BX116</f>
        <v>75451732878.924103</v>
      </c>
      <c r="CN117" s="44">
        <f>'[1]功能-城建'!HG115+[1]养成buff汇总!T117+'[1]功能-采集'!BY116</f>
        <v>49568139155.919495</v>
      </c>
      <c r="CO117" s="44">
        <f>'[1]功能-城建'!HH115+[1]养成buff汇总!U117+'[1]功能-采集'!BZ116</f>
        <v>58968248862.118271</v>
      </c>
      <c r="CP117" s="44">
        <f>'[1]功能-城建'!HI115+[1]养成buff汇总!V117+'[1]功能-采集'!CA116</f>
        <v>31828254973.350056</v>
      </c>
      <c r="CQ117" s="44">
        <f>'[1]功能-城建'!HJ115+[1]养成buff汇总!W117+'[1]功能-采集'!CB116</f>
        <v>29926495345.684486</v>
      </c>
      <c r="CT117" s="49">
        <v>112</v>
      </c>
      <c r="CU117" s="17">
        <f>'[1]资源-玩家城池建筑时间'!AJ117+CU116</f>
        <v>1374071558.8077919</v>
      </c>
      <c r="CV117" s="17">
        <f>'[1]资源-玩家城池建筑时间'!AK117+CV116</f>
        <v>1467226763.6059868</v>
      </c>
      <c r="CW117" s="17">
        <f>'[1]资源-玩家城池建筑时间'!AL117+CW116</f>
        <v>1574086667.502821</v>
      </c>
      <c r="CX117" s="17">
        <f>'[1]资源-玩家城池建筑时间'!AM117+CX116</f>
        <v>1698977567.4638746</v>
      </c>
      <c r="CY117" s="17">
        <f>'[1]资源-玩家城池建筑时间'!AN117+CY116</f>
        <v>1837360857.8979657</v>
      </c>
      <c r="DB117" s="49">
        <v>112</v>
      </c>
      <c r="DC117" s="17">
        <f>'[1]资源-士兵训练时间'!U117</f>
        <v>922639171.68164027</v>
      </c>
      <c r="DD117" s="17">
        <f>'[1]资源-士兵训练时间'!V117</f>
        <v>1352537874.0760903</v>
      </c>
      <c r="DE117" s="17">
        <f>'[1]资源-士兵训练时间'!W117</f>
        <v>1877740093.2271807</v>
      </c>
      <c r="DF117" s="17">
        <f>'[1]资源-士兵训练时间'!X117</f>
        <v>2522714171.1871872</v>
      </c>
      <c r="DG117" s="17">
        <f>'[1]资源-士兵训练时间'!Y117</f>
        <v>3757707084.4085469</v>
      </c>
    </row>
    <row r="118" spans="2:111" x14ac:dyDescent="0.15">
      <c r="B118" s="34">
        <v>115</v>
      </c>
      <c r="C118" s="35">
        <f>'[1]资源-钻石'!L118</f>
        <v>5416726.1611872781</v>
      </c>
      <c r="D118" s="35">
        <f>'[1]资源-钻石'!M118</f>
        <v>7706097.3239835929</v>
      </c>
      <c r="E118" s="35">
        <f>'[1]资源-钻石'!N118</f>
        <v>11263256.965188909</v>
      </c>
      <c r="F118" s="35">
        <f>'[1]资源-钻石'!O118</f>
        <v>27466151.911596797</v>
      </c>
      <c r="G118" s="35">
        <f>'[1]资源-钻石'!P118</f>
        <v>49047693.303958312</v>
      </c>
      <c r="I118" s="25">
        <v>115</v>
      </c>
      <c r="J118" s="24">
        <f>'[1]资源-钻石'!T118</f>
        <v>659979.98664400913</v>
      </c>
      <c r="K118" s="24">
        <f>'[1]资源-钻石'!U118</f>
        <v>921697.98530841013</v>
      </c>
      <c r="L118" s="24">
        <f>'[1]资源-钻石'!V118</f>
        <v>1532525.7838392511</v>
      </c>
      <c r="M118" s="24">
        <f>'[1]资源-钻石'!W118</f>
        <v>4018108.3622231763</v>
      </c>
      <c r="N118" s="24">
        <f>'[1]资源-钻石'!X118</f>
        <v>9529026.6984454934</v>
      </c>
      <c r="P118" s="28">
        <v>115</v>
      </c>
      <c r="Q118" s="28">
        <f>'[1]功能-行军令'!N118</f>
        <v>133184.23128404454</v>
      </c>
      <c r="R118" s="28">
        <f>'[1]功能-行军令'!O118</f>
        <v>165023.65895812085</v>
      </c>
      <c r="S118" s="28">
        <f>'[1]功能-行军令'!P118</f>
        <v>179267.13343207428</v>
      </c>
      <c r="T118" s="28">
        <f>'[1]功能-行军令'!Q118</f>
        <v>144933.39673079786</v>
      </c>
      <c r="U118" s="28">
        <f>'[1]功能-行军令'!R118</f>
        <v>78162.640500292429</v>
      </c>
      <c r="V118" s="28">
        <f>'[1]功能-行军令'!S118</f>
        <v>8922.0300259516953</v>
      </c>
      <c r="W118" s="28">
        <f>'[1]功能-行军令'!T118</f>
        <v>10620.580243997101</v>
      </c>
      <c r="X118" s="28">
        <f>'[1]功能-行军令'!U118</f>
        <v>11247.078541824565</v>
      </c>
      <c r="Y118" s="28">
        <f>'[1]功能-行军令'!V118</f>
        <v>9041.3339758280199</v>
      </c>
      <c r="Z118" s="28">
        <f>'[1]功能-行军令'!W118</f>
        <v>4930.0628649360442</v>
      </c>
      <c r="AC118" s="30">
        <v>115</v>
      </c>
      <c r="AD118" s="41">
        <f>'[1]功能-实力'!BE119</f>
        <v>19973094</v>
      </c>
      <c r="AE118" s="41">
        <f>'[1]功能-实力'!BF119</f>
        <v>22067700</v>
      </c>
      <c r="AF118" s="41">
        <f>'[1]功能-实力'!BG119</f>
        <v>23392620</v>
      </c>
      <c r="AG118" s="41">
        <f>'[1]功能-实力'!BH119</f>
        <v>25103322</v>
      </c>
      <c r="AH118" s="41">
        <f>'[1]功能-实力'!BI119</f>
        <v>26286414</v>
      </c>
      <c r="AL118" s="37">
        <f>[3]基础状态预期!C128</f>
        <v>742</v>
      </c>
      <c r="AM118" s="37">
        <f>[3]基础状态预期!D128</f>
        <v>100.71243145193914</v>
      </c>
      <c r="AO118" s="37">
        <f>[3]基础状态预期!F128</f>
        <v>0</v>
      </c>
      <c r="AP118" s="37">
        <f>[3]基础状态预期!G128</f>
        <v>0</v>
      </c>
      <c r="AQ118" s="37">
        <f>[3]基础状态预期!H128</f>
        <v>0</v>
      </c>
      <c r="AR118" s="37">
        <f>[3]基础状态预期!I128</f>
        <v>0</v>
      </c>
      <c r="AS118" s="37">
        <f>[3]基础状态预期!J128</f>
        <v>6</v>
      </c>
      <c r="AW118" s="32">
        <v>112</v>
      </c>
      <c r="AX118" s="32">
        <f>[1]节奏总纲!BJ115</f>
        <v>3.4999999999999978</v>
      </c>
      <c r="AY118" s="32">
        <f>[1]节奏总纲!BK115</f>
        <v>3.5699999999999976</v>
      </c>
      <c r="AZ118" s="32">
        <f>[1]节奏总纲!BL115</f>
        <v>3.7099999999999977</v>
      </c>
      <c r="BA118" s="32">
        <f>[1]节奏总纲!BM115</f>
        <v>3.9899999999999971</v>
      </c>
      <c r="BB118" s="32">
        <f>[1]节奏总纲!BN115</f>
        <v>4.8999999999999968</v>
      </c>
      <c r="BF118" s="42">
        <f>'[1]功能-行军令'!FZ116</f>
        <v>112</v>
      </c>
      <c r="BG118" s="42">
        <f>'[1]功能-行军令'!GA116*'[1]功能-行军令'!GB116</f>
        <v>694.10185459409013</v>
      </c>
      <c r="BN118" s="49">
        <v>113</v>
      </c>
      <c r="BO118" s="17">
        <f>'[1]资源-木石铜粮'!U118</f>
        <v>304017334604.63354</v>
      </c>
      <c r="BP118" s="17">
        <f>'[1]资源-木石铜粮'!V118</f>
        <v>346948315387.06183</v>
      </c>
      <c r="BQ118" s="17">
        <f>'[1]资源-木石铜粮'!W118</f>
        <v>372064307850.77325</v>
      </c>
      <c r="BR118" s="17">
        <f>'[1]资源-木石铜粮'!X118</f>
        <v>342740171352.1864</v>
      </c>
      <c r="BS118" s="17">
        <f>'[1]资源-木石铜粮'!Y118</f>
        <v>274783751476.04565</v>
      </c>
      <c r="BV118" s="49">
        <v>113</v>
      </c>
      <c r="BW118" s="47">
        <f>'[1]功能-城建'!EQ116+[1]养成buff汇总!H118+'[1]功能-采集'!BS117+[2]产出汇总!AY118+[1]养成buff汇总!GY118</f>
        <v>266047619657.22186</v>
      </c>
      <c r="BX118" s="47">
        <f>'[1]功能-城建'!ER116+[1]养成buff汇总!I118+'[1]功能-采集'!BT117+[2]产出汇总!AZ118+[1]养成buff汇总!GZ118</f>
        <v>168380928871.97803</v>
      </c>
      <c r="BY118" s="47">
        <f>'[1]功能-城建'!ES116+[1]养成buff汇总!J118+'[1]功能-采集'!BU117+[2]产出汇总!BA118+[1]养成buff汇总!HA118</f>
        <v>197463162107.54068</v>
      </c>
      <c r="BZ118" s="47">
        <f>'[1]功能-城建'!ET116+[1]养成buff汇总!K118+'[1]功能-采集'!BV117+[2]产出汇总!BB118+[1]养成buff汇总!HB118</f>
        <v>107097544219.44989</v>
      </c>
      <c r="CA118" s="47">
        <f>'[1]功能-城建'!EU116+[1]养成buff汇总!L118+'[1]功能-采集'!BW117+[2]产出汇总!BC118+[1]养成buff汇总!HC118</f>
        <v>96227193506.821304</v>
      </c>
      <c r="CD118" s="49">
        <v>113</v>
      </c>
      <c r="CE118" s="44">
        <f>'[1]资源-铁'!T118</f>
        <v>67883624750.636948</v>
      </c>
      <c r="CF118" s="44">
        <f>'[1]资源-铁'!U118</f>
        <v>93170340529.311523</v>
      </c>
      <c r="CG118" s="44">
        <f>'[1]资源-铁'!V118</f>
        <v>126000504987.92169</v>
      </c>
      <c r="CH118" s="44">
        <f>'[1]资源-铁'!W118</f>
        <v>167434388475.75293</v>
      </c>
      <c r="CI118" s="44">
        <f>'[1]资源-铁'!X118</f>
        <v>243745104536.34418</v>
      </c>
      <c r="CL118" s="49">
        <v>113</v>
      </c>
      <c r="CM118" s="44">
        <f>'[1]功能-城建'!HF116+[1]养成buff汇总!S118+'[1]功能-采集'!BX117</f>
        <v>82522080799.907761</v>
      </c>
      <c r="CN118" s="44">
        <f>'[1]功能-城建'!HG116+[1]养成buff汇总!T118+'[1]功能-采集'!BY117</f>
        <v>54292242097.68084</v>
      </c>
      <c r="CO118" s="44">
        <f>'[1]功能-城建'!HH116+[1]养成buff汇总!U118+'[1]功能-采集'!BZ117</f>
        <v>64595915707.73175</v>
      </c>
      <c r="CP118" s="44">
        <f>'[1]功能-城建'!HI116+[1]养成buff汇总!V118+'[1]功能-采集'!CA117</f>
        <v>34751233536.984482</v>
      </c>
      <c r="CQ118" s="44">
        <f>'[1]功能-城建'!HJ116+[1]养成buff汇总!W118+'[1]功能-采集'!CB117</f>
        <v>32665991178.018955</v>
      </c>
      <c r="CT118" s="49">
        <v>113</v>
      </c>
      <c r="CU118" s="17">
        <f>'[1]资源-玩家城池建筑时间'!AJ118+CU117</f>
        <v>1475997880.8225653</v>
      </c>
      <c r="CV118" s="17">
        <f>'[1]资源-玩家城池建筑时间'!AK118+CV117</f>
        <v>1576953368.2800059</v>
      </c>
      <c r="CW118" s="17">
        <f>'[1]资源-玩家城池建筑时间'!AL118+CW117</f>
        <v>1692662698.0441961</v>
      </c>
      <c r="CX118" s="17">
        <f>'[1]资源-玩家城池建筑时间'!AM118+CX117</f>
        <v>1821265235.9432428</v>
      </c>
      <c r="CY118" s="17">
        <f>'[1]资源-玩家城池建筑时间'!AN118+CY117</f>
        <v>1966737546.7104111</v>
      </c>
      <c r="DB118" s="49">
        <v>113</v>
      </c>
      <c r="DC118" s="17">
        <f>'[1]资源-士兵训练时间'!U118</f>
        <v>1023043554.5788485</v>
      </c>
      <c r="DD118" s="17">
        <f>'[1]资源-士兵训练时间'!V118</f>
        <v>1506314947.1255503</v>
      </c>
      <c r="DE118" s="17">
        <f>'[1]资源-士兵训练时间'!W118</f>
        <v>2090909298.2952936</v>
      </c>
      <c r="DF118" s="17">
        <f>'[1]资源-士兵训练时间'!X118</f>
        <v>2784072370.8491874</v>
      </c>
      <c r="DG118" s="17">
        <f>'[1]资源-士兵训练时间'!Y118</f>
        <v>4124325231.7657781</v>
      </c>
    </row>
    <row r="119" spans="2:111" x14ac:dyDescent="0.15">
      <c r="B119" s="34">
        <v>116</v>
      </c>
      <c r="C119" s="35">
        <f>'[1]资源-钻石'!L119</f>
        <v>5534712.5024961773</v>
      </c>
      <c r="D119" s="35">
        <f>'[1]资源-钻石'!M119</f>
        <v>7886215.0471898494</v>
      </c>
      <c r="E119" s="35">
        <f>'[1]资源-钻石'!N119</f>
        <v>11534652.820624294</v>
      </c>
      <c r="F119" s="35">
        <f>'[1]资源-钻石'!O119</f>
        <v>28235019.720470116</v>
      </c>
      <c r="G119" s="35">
        <f>'[1]资源-钻石'!P119</f>
        <v>50854811.330527209</v>
      </c>
      <c r="I119" s="25">
        <v>116</v>
      </c>
      <c r="J119" s="24">
        <f>'[1]资源-钻石'!T119</f>
        <v>664308.71269238996</v>
      </c>
      <c r="K119" s="24">
        <f>'[1]资源-钻石'!U119</f>
        <v>928139.58396162908</v>
      </c>
      <c r="L119" s="24">
        <f>'[1]资源-钻石'!V119</f>
        <v>1544063.5423577921</v>
      </c>
      <c r="M119" s="24">
        <f>'[1]资源-钻石'!W119</f>
        <v>4050819.8965935712</v>
      </c>
      <c r="N119" s="24">
        <f>'[1]资源-钻石'!X119</f>
        <v>9608864.3862529285</v>
      </c>
      <c r="P119" s="28">
        <v>116</v>
      </c>
      <c r="Q119" s="28">
        <f>'[1]功能-行军令'!N119</f>
        <v>142746.62629781148</v>
      </c>
      <c r="R119" s="28">
        <f>'[1]功能-行军令'!O119</f>
        <v>176664.15566242993</v>
      </c>
      <c r="S119" s="28">
        <f>'[1]功能-行军令'!P119</f>
        <v>191912.2882198116</v>
      </c>
      <c r="T119" s="28">
        <f>'[1]功能-行军令'!Q119</f>
        <v>155435.24978192279</v>
      </c>
      <c r="U119" s="28">
        <f>'[1]功能-行军令'!R119</f>
        <v>83774.581467904514</v>
      </c>
      <c r="V119" s="28">
        <f>'[1]功能-行军令'!S119</f>
        <v>9562.3950137669453</v>
      </c>
      <c r="W119" s="28">
        <f>'[1]功能-行军令'!T119</f>
        <v>11640.496704309073</v>
      </c>
      <c r="X119" s="28">
        <f>'[1]功能-行军令'!U119</f>
        <v>12645.154787737323</v>
      </c>
      <c r="Y119" s="28">
        <f>'[1]功能-行军令'!V119</f>
        <v>10501.853051124926</v>
      </c>
      <c r="Z119" s="28">
        <f>'[1]功能-行军令'!W119</f>
        <v>5611.9409676120849</v>
      </c>
      <c r="AC119" s="30">
        <v>116</v>
      </c>
      <c r="AD119" s="41">
        <f>'[1]功能-实力'!BE120</f>
        <v>20613396</v>
      </c>
      <c r="AE119" s="41">
        <f>'[1]功能-实力'!BF120</f>
        <v>22681608</v>
      </c>
      <c r="AF119" s="41">
        <f>'[1]功能-实力'!BG120</f>
        <v>24032700</v>
      </c>
      <c r="AG119" s="41">
        <f>'[1]功能-实力'!BH120</f>
        <v>25641894</v>
      </c>
      <c r="AH119" s="41">
        <f>'[1]功能-实力'!BI120</f>
        <v>26837736</v>
      </c>
      <c r="AL119" s="37">
        <f>[3]基础状态预期!C129</f>
        <v>951.99999999999989</v>
      </c>
      <c r="AM119" s="37">
        <f>[3]基础状态预期!D129</f>
        <v>104.39233713204413</v>
      </c>
      <c r="AO119" s="37">
        <f>[3]基础状态预期!F129</f>
        <v>0</v>
      </c>
      <c r="AP119" s="37">
        <f>[3]基础状态预期!G129</f>
        <v>0</v>
      </c>
      <c r="AQ119" s="37">
        <f>[3]基础状态预期!H129</f>
        <v>0</v>
      </c>
      <c r="AR119" s="37">
        <f>[3]基础状态预期!I129</f>
        <v>0</v>
      </c>
      <c r="AS119" s="37">
        <f>[3]基础状态预期!J129</f>
        <v>6</v>
      </c>
      <c r="AW119" s="32">
        <v>113</v>
      </c>
      <c r="AX119" s="32">
        <f>[1]节奏总纲!BJ116</f>
        <v>3.4999999999999978</v>
      </c>
      <c r="AY119" s="32">
        <f>[1]节奏总纲!BK116</f>
        <v>3.5699999999999976</v>
      </c>
      <c r="AZ119" s="32">
        <f>[1]节奏总纲!BL116</f>
        <v>3.7099999999999977</v>
      </c>
      <c r="BA119" s="32">
        <f>[1]节奏总纲!BM116</f>
        <v>3.9899999999999971</v>
      </c>
      <c r="BB119" s="32">
        <f>[1]节奏总纲!BN116</f>
        <v>4.8999999999999968</v>
      </c>
      <c r="BF119" s="42">
        <f>'[1]功能-行军令'!FZ117</f>
        <v>113</v>
      </c>
      <c r="BG119" s="42">
        <f>'[1]功能-行军令'!GA117*'[1]功能-行军令'!GB117</f>
        <v>707.98389168597191</v>
      </c>
      <c r="BN119" s="49">
        <v>114</v>
      </c>
      <c r="BO119" s="17">
        <f>'[1]资源-木石铜粮'!U119</f>
        <v>333573620721.8501</v>
      </c>
      <c r="BP119" s="17">
        <f>'[1]资源-木石铜粮'!V119</f>
        <v>381276531794.87225</v>
      </c>
      <c r="BQ119" s="17">
        <f>'[1]资源-木石铜粮'!W119</f>
        <v>407522946080.28748</v>
      </c>
      <c r="BR119" s="17">
        <f>'[1]资源-木石铜粮'!X119</f>
        <v>373646119552.51404</v>
      </c>
      <c r="BS119" s="17">
        <f>'[1]资源-木石铜粮'!Y119</f>
        <v>297930986617.93481</v>
      </c>
      <c r="BV119" s="49">
        <v>114</v>
      </c>
      <c r="BW119" s="47">
        <f>'[1]功能-城建'!EQ117+[1]养成buff汇总!H119+'[1]功能-采集'!BS118+[2]产出汇总!AY119+[1]养成buff汇总!GY119</f>
        <v>290129297271.06787</v>
      </c>
      <c r="BX119" s="47">
        <f>'[1]功能-城建'!ER117+[1]养成buff汇总!I119+'[1]功能-采集'!BT118+[2]产出汇总!AZ119+[1]养成buff汇总!GZ119</f>
        <v>183707727098.8793</v>
      </c>
      <c r="BY119" s="47">
        <f>'[1]功能-城建'!ES117+[1]养成buff汇总!J119+'[1]功能-采集'!BU118+[2]产出汇总!BA119+[1]养成buff汇总!HA119</f>
        <v>214721740873.65402</v>
      </c>
      <c r="BZ119" s="47">
        <f>'[1]功能-城建'!ET117+[1]养成buff汇总!K119+'[1]功能-采集'!BV118+[2]产出汇总!BB119+[1]养成buff汇总!HB119</f>
        <v>116242281716.48392</v>
      </c>
      <c r="CA119" s="47">
        <f>'[1]功能-城建'!EU117+[1]养成buff汇总!L119+'[1]功能-采集'!BW118+[2]产出汇总!BC119+[1]养成buff汇总!HC119</f>
        <v>104616273123.60223</v>
      </c>
      <c r="CD119" s="49">
        <v>114</v>
      </c>
      <c r="CE119" s="44">
        <f>'[1]资源-铁'!T119</f>
        <v>76075236780.330933</v>
      </c>
      <c r="CF119" s="44">
        <f>'[1]资源-铁'!U119</f>
        <v>104652232374.88809</v>
      </c>
      <c r="CG119" s="44">
        <f>'[1]资源-铁'!V119</f>
        <v>140666433466.86526</v>
      </c>
      <c r="CH119" s="44">
        <f>'[1]资源-铁'!W119</f>
        <v>185958492437.30334</v>
      </c>
      <c r="CI119" s="44">
        <f>'[1]资源-铁'!X119</f>
        <v>270275587796.74725</v>
      </c>
      <c r="CL119" s="49">
        <v>114</v>
      </c>
      <c r="CM119" s="44">
        <f>'[1]功能-城建'!HF117+[1]养成buff汇总!S119+'[1]功能-采集'!BX118</f>
        <v>90161410095.396362</v>
      </c>
      <c r="CN119" s="44">
        <f>'[1]功能-城建'!HG117+[1]养成buff汇总!T119+'[1]功能-采集'!BY118</f>
        <v>59354689885.477562</v>
      </c>
      <c r="CO119" s="44">
        <f>'[1]功能-城建'!HH117+[1]养成buff汇总!U119+'[1]功能-采集'!BZ118</f>
        <v>70368268022.176804</v>
      </c>
      <c r="CP119" s="44">
        <f>'[1]功能-城建'!HI117+[1]养成buff汇总!V119+'[1]功能-采集'!CA118</f>
        <v>37799423746.596329</v>
      </c>
      <c r="CQ119" s="44">
        <f>'[1]功能-城建'!HJ117+[1]养成buff汇总!W119+'[1]功能-采集'!CB118</f>
        <v>35605161094.927071</v>
      </c>
      <c r="CT119" s="49">
        <v>114</v>
      </c>
      <c r="CU119" s="17">
        <f>'[1]资源-玩家城池建筑时间'!AJ119+CU118</f>
        <v>1585629756.5007672</v>
      </c>
      <c r="CV119" s="17">
        <f>'[1]资源-玩家城池建筑时间'!AK119+CV118</f>
        <v>1694358348.7680349</v>
      </c>
      <c r="CW119" s="17">
        <f>'[1]资源-玩家城池建筑时间'!AL119+CW118</f>
        <v>1813912617.05949</v>
      </c>
      <c r="CX119" s="17">
        <f>'[1]资源-玩家城池建筑时间'!AM119+CX118</f>
        <v>1948574877.1915634</v>
      </c>
      <c r="CY119" s="17">
        <f>'[1]资源-玩家城池建筑时间'!AN119+CY118</f>
        <v>2105246395.5697391</v>
      </c>
      <c r="DB119" s="49">
        <v>114</v>
      </c>
      <c r="DC119" s="17">
        <f>'[1]资源-士兵训练时间'!U119</f>
        <v>1139094959.0125289</v>
      </c>
      <c r="DD119" s="17">
        <f>'[1]资源-士兵训练时间'!V119</f>
        <v>1675166113.7392797</v>
      </c>
      <c r="DE119" s="17">
        <f>'[1]资源-士兵训练时间'!W119</f>
        <v>2307038239.8310709</v>
      </c>
      <c r="DF119" s="17">
        <f>'[1]资源-士兵训练时间'!X119</f>
        <v>3054642895.8231764</v>
      </c>
      <c r="DG119" s="17">
        <f>'[1]资源-士兵训练时间'!Y119</f>
        <v>4510253012.2730551</v>
      </c>
    </row>
    <row r="120" spans="2:111" x14ac:dyDescent="0.15">
      <c r="B120" s="34">
        <v>117</v>
      </c>
      <c r="C120" s="35">
        <f>'[1]资源-钻石'!L120</f>
        <v>5652698.8438050766</v>
      </c>
      <c r="D120" s="35">
        <f>'[1]资源-钻石'!M120</f>
        <v>8066332.7703961059</v>
      </c>
      <c r="E120" s="35">
        <f>'[1]资源-钻石'!N120</f>
        <v>11806048.676059678</v>
      </c>
      <c r="F120" s="35">
        <f>'[1]资源-钻石'!O120</f>
        <v>29003887.529343434</v>
      </c>
      <c r="G120" s="35">
        <f>'[1]资源-钻石'!P120</f>
        <v>52661929.357096106</v>
      </c>
      <c r="I120" s="23">
        <v>117</v>
      </c>
      <c r="J120" s="24">
        <f>'[1]资源-钻石'!T120</f>
        <v>668637.4387407708</v>
      </c>
      <c r="K120" s="24">
        <f>'[1]资源-钻石'!U120</f>
        <v>934581.18261484802</v>
      </c>
      <c r="L120" s="24">
        <f>'[1]资源-钻石'!V120</f>
        <v>1555601.3008763329</v>
      </c>
      <c r="M120" s="24">
        <f>'[1]资源-钻石'!W120</f>
        <v>4083531.4309639661</v>
      </c>
      <c r="N120" s="24">
        <f>'[1]资源-钻石'!X120</f>
        <v>9688702.0740603618</v>
      </c>
      <c r="P120" s="28">
        <v>117</v>
      </c>
      <c r="Q120" s="28">
        <f>'[1]功能-行军令'!N120</f>
        <v>152995.34751185621</v>
      </c>
      <c r="R120" s="28">
        <f>'[1]功能-行军令'!O120</f>
        <v>189392.60808634528</v>
      </c>
      <c r="S120" s="28">
        <f>'[1]功能-行军令'!P120</f>
        <v>205902.80167436381</v>
      </c>
      <c r="T120" s="28">
        <f>'[1]功能-行军令'!Q120</f>
        <v>166663.48622055128</v>
      </c>
      <c r="U120" s="28">
        <f>'[1]功能-行军令'!R120</f>
        <v>89926.341485908968</v>
      </c>
      <c r="V120" s="28">
        <f>'[1]功能-行军令'!S120</f>
        <v>10248.721214044723</v>
      </c>
      <c r="W120" s="28">
        <f>'[1]功能-行军令'!T120</f>
        <v>12728.452423915354</v>
      </c>
      <c r="X120" s="28">
        <f>'[1]功能-行军令'!U120</f>
        <v>13990.513454552216</v>
      </c>
      <c r="Y120" s="28">
        <f>'[1]功能-行军令'!V120</f>
        <v>11228.23643862849</v>
      </c>
      <c r="Z120" s="28">
        <f>'[1]功能-行军令'!W120</f>
        <v>6151.7600180044537</v>
      </c>
      <c r="AC120" s="30">
        <v>117</v>
      </c>
      <c r="AD120" s="41">
        <f>'[1]功能-实力'!BE121</f>
        <v>21272670</v>
      </c>
      <c r="AE120" s="41">
        <f>'[1]功能-实力'!BF121</f>
        <v>23312586</v>
      </c>
      <c r="AF120" s="41">
        <f>'[1]功能-实力'!BG121</f>
        <v>24689052</v>
      </c>
      <c r="AG120" s="41">
        <f>'[1]功能-实力'!BH121</f>
        <v>26194782</v>
      </c>
      <c r="AH120" s="41">
        <f>'[1]功能-实力'!BI121</f>
        <v>27398208</v>
      </c>
      <c r="AL120" s="37">
        <f>[3]基础状态预期!C130</f>
        <v>1204</v>
      </c>
      <c r="AM120" s="37">
        <f>[3]基础状态预期!D130</f>
        <v>107.81562240612369</v>
      </c>
      <c r="AO120" s="37">
        <f>[3]基础状态预期!F130</f>
        <v>0</v>
      </c>
      <c r="AP120" s="37">
        <f>[3]基础状态预期!G130</f>
        <v>0</v>
      </c>
      <c r="AQ120" s="37">
        <f>[3]基础状态预期!H130</f>
        <v>0</v>
      </c>
      <c r="AR120" s="37">
        <f>[3]基础状态预期!I130</f>
        <v>0</v>
      </c>
      <c r="AS120" s="37">
        <f>[3]基础状态预期!J130</f>
        <v>6</v>
      </c>
      <c r="AW120" s="32">
        <v>114</v>
      </c>
      <c r="AX120" s="32">
        <f>[1]节奏总纲!BJ117</f>
        <v>3.4999999999999978</v>
      </c>
      <c r="AY120" s="32">
        <f>[1]节奏总纲!BK117</f>
        <v>3.5699999999999976</v>
      </c>
      <c r="AZ120" s="32">
        <f>[1]节奏总纲!BL117</f>
        <v>3.7099999999999977</v>
      </c>
      <c r="BA120" s="32">
        <f>[1]节奏总纲!BM117</f>
        <v>3.9899999999999971</v>
      </c>
      <c r="BB120" s="32">
        <f>[1]节奏总纲!BN117</f>
        <v>4.8999999999999968</v>
      </c>
      <c r="BF120" s="42">
        <f>'[1]功能-行军令'!FZ118</f>
        <v>114</v>
      </c>
      <c r="BG120" s="42">
        <f>'[1]功能-行军令'!GA118*'[1]功能-行军令'!GB118</f>
        <v>722.14356951969137</v>
      </c>
      <c r="BN120" s="49">
        <v>115</v>
      </c>
      <c r="BO120" s="17">
        <f>'[1]资源-木石铜粮'!U120</f>
        <v>366124907755.62726</v>
      </c>
      <c r="BP120" s="17">
        <f>'[1]资源-木石铜粮'!V120</f>
        <v>417425030787.15161</v>
      </c>
      <c r="BQ120" s="17">
        <f>'[1]资源-木石铜粮'!W120</f>
        <v>445167202667.45667</v>
      </c>
      <c r="BR120" s="17">
        <f>'[1]资源-木石铜粮'!X120</f>
        <v>406896996786.78864</v>
      </c>
      <c r="BS120" s="17">
        <f>'[1]资源-木石铜粮'!Y120</f>
        <v>322658098090.61969</v>
      </c>
      <c r="BV120" s="49">
        <v>115</v>
      </c>
      <c r="BW120" s="47">
        <f>'[1]功能-城建'!EQ118+[1]养成buff汇总!H120+'[1]功能-采集'!BS119+[2]产出汇总!AY120+[1]养成buff汇总!GY120</f>
        <v>316002476817.35291</v>
      </c>
      <c r="BX120" s="47">
        <f>'[1]功能-城建'!ER118+[1]养成buff汇总!I120+'[1]功能-采集'!BT119+[2]产出汇总!AZ120+[1]养成buff汇总!GZ120</f>
        <v>199402903228.19135</v>
      </c>
      <c r="BY120" s="47">
        <f>'[1]功能-城建'!ES118+[1]养成buff汇总!J120+'[1]功能-采集'!BU119+[2]产出汇总!BA120+[1]养成buff汇总!HA120</f>
        <v>232591895113.45016</v>
      </c>
      <c r="BZ120" s="47">
        <f>'[1]功能-城建'!ET118+[1]养成buff汇总!K120+'[1]功能-采集'!BV119+[2]产出汇总!BB120+[1]养成buff汇总!HB120</f>
        <v>125912845638.13551</v>
      </c>
      <c r="CA120" s="47">
        <f>'[1]功能-城建'!EU118+[1]养成buff汇总!L120+'[1]功能-采集'!BW119+[2]产出汇总!BC120+[1]养成buff汇总!HC120</f>
        <v>113505149579.17525</v>
      </c>
      <c r="CD120" s="49">
        <v>115</v>
      </c>
      <c r="CE120" s="44">
        <f>'[1]资源-铁'!T120</f>
        <v>85179440805.520935</v>
      </c>
      <c r="CF120" s="44">
        <f>'[1]资源-铁'!U120</f>
        <v>116573819535.71936</v>
      </c>
      <c r="CG120" s="44">
        <f>'[1]资源-铁'!V120</f>
        <v>156036449822.62634</v>
      </c>
      <c r="CH120" s="44">
        <f>'[1]资源-铁'!W120</f>
        <v>205570625995.49014</v>
      </c>
      <c r="CI120" s="44">
        <f>'[1]资源-铁'!X120</f>
        <v>298457526333.28198</v>
      </c>
      <c r="CL120" s="49">
        <v>115</v>
      </c>
      <c r="CM120" s="44">
        <f>'[1]功能-城建'!HF118+[1]养成buff汇总!S120+'[1]功能-采集'!BX119</f>
        <v>98367147811.055649</v>
      </c>
      <c r="CN120" s="44">
        <f>'[1]功能-城建'!HG118+[1]养成buff汇总!T120+'[1]功能-采集'!BY119</f>
        <v>64564985006.80526</v>
      </c>
      <c r="CO120" s="44">
        <f>'[1]功能-城建'!HH118+[1]养成buff汇总!U120+'[1]功能-采集'!BZ119</f>
        <v>76355903649.767944</v>
      </c>
      <c r="CP120" s="44">
        <f>'[1]功能-城建'!HI118+[1]养成buff汇总!V120+'[1]功能-采集'!CA119</f>
        <v>41011596108.182137</v>
      </c>
      <c r="CQ120" s="44">
        <f>'[1]功能-城建'!HJ118+[1]养成buff汇总!W120+'[1]功能-采集'!CB119</f>
        <v>38718393407.621765</v>
      </c>
      <c r="CT120" s="49">
        <v>115</v>
      </c>
      <c r="CU120" s="17">
        <f>'[1]资源-玩家城池建筑时间'!AJ120+CU119</f>
        <v>1703245069.5468118</v>
      </c>
      <c r="CV120" s="17">
        <f>'[1]资源-玩家城池建筑时间'!AK120+CV119</f>
        <v>1814831982.9479856</v>
      </c>
      <c r="CW120" s="17">
        <f>'[1]资源-玩家城池建筑时间'!AL120+CW119</f>
        <v>1939394645.8537219</v>
      </c>
      <c r="CX120" s="17">
        <f>'[1]资源-玩家城池建筑时间'!AM120+CX119</f>
        <v>2082495479.1585808</v>
      </c>
      <c r="CY120" s="17">
        <f>'[1]资源-玩家城池建筑时间'!AN120+CY119</f>
        <v>2251696955.7842078</v>
      </c>
      <c r="DB120" s="49">
        <v>115</v>
      </c>
      <c r="DC120" s="17">
        <f>'[1]资源-士兵训练时间'!U120</f>
        <v>1265960208.2777965</v>
      </c>
      <c r="DD120" s="17">
        <f>'[1]资源-士兵训练时间'!V120</f>
        <v>1846933207.5906014</v>
      </c>
      <c r="DE120" s="17">
        <f>'[1]资源-士兵训练时间'!W120</f>
        <v>2529276831.1947889</v>
      </c>
      <c r="DF120" s="17">
        <f>'[1]资源-士兵训练时间'!X120</f>
        <v>3335818850.1270852</v>
      </c>
      <c r="DG120" s="17">
        <f>'[1]资源-士兵训练时间'!Y120</f>
        <v>4912538398.2410583</v>
      </c>
    </row>
    <row r="121" spans="2:111" x14ac:dyDescent="0.15">
      <c r="B121" s="34">
        <v>118</v>
      </c>
      <c r="C121" s="35">
        <f>'[1]资源-钻石'!L121</f>
        <v>5770685.1851139758</v>
      </c>
      <c r="D121" s="35">
        <f>'[1]资源-钻石'!M121</f>
        <v>8246450.4936023625</v>
      </c>
      <c r="E121" s="35">
        <f>'[1]资源-钻石'!N121</f>
        <v>12077444.531495063</v>
      </c>
      <c r="F121" s="35">
        <f>'[1]资源-钻石'!O121</f>
        <v>29772755.338216752</v>
      </c>
      <c r="G121" s="35">
        <f>'[1]资源-钻石'!P121</f>
        <v>54469047.383665003</v>
      </c>
      <c r="I121" s="23">
        <v>118</v>
      </c>
      <c r="J121" s="24">
        <f>'[1]资源-钻石'!T121</f>
        <v>672966.16478915163</v>
      </c>
      <c r="K121" s="24">
        <f>'[1]资源-钻石'!U121</f>
        <v>941022.78126806696</v>
      </c>
      <c r="L121" s="24">
        <f>'[1]资源-钻石'!V121</f>
        <v>1567139.0593948737</v>
      </c>
      <c r="M121" s="24">
        <f>'[1]资源-钻石'!W121</f>
        <v>4116242.965334361</v>
      </c>
      <c r="N121" s="24">
        <f>'[1]资源-钻石'!X121</f>
        <v>9768539.761867797</v>
      </c>
      <c r="P121" s="28">
        <v>118</v>
      </c>
      <c r="Q121" s="28">
        <f>'[1]功能-行军令'!N121</f>
        <v>163979.6549340027</v>
      </c>
      <c r="R121" s="28">
        <f>'[1]功能-行军令'!O121</f>
        <v>203037.82635172849</v>
      </c>
      <c r="S121" s="28">
        <f>'[1]功能-行军令'!P121</f>
        <v>220782.92035816269</v>
      </c>
      <c r="T121" s="28">
        <f>'[1]功能-行军令'!Q121</f>
        <v>178959.55288973456</v>
      </c>
      <c r="U121" s="28">
        <f>'[1]功能-行军令'!R121</f>
        <v>96419.324146172134</v>
      </c>
      <c r="V121" s="28">
        <f>'[1]功能-行军令'!S121</f>
        <v>10984.307422146492</v>
      </c>
      <c r="W121" s="28">
        <f>'[1]功能-行军令'!T121</f>
        <v>13645.218265383213</v>
      </c>
      <c r="X121" s="28">
        <f>'[1]功能-行军令'!U121</f>
        <v>14880.118683798879</v>
      </c>
      <c r="Y121" s="28">
        <f>'[1]功能-行军令'!V121</f>
        <v>12296.066669183288</v>
      </c>
      <c r="Z121" s="28">
        <f>'[1]功能-行军令'!W121</f>
        <v>6492.9826602631656</v>
      </c>
      <c r="AC121" s="30">
        <v>118</v>
      </c>
      <c r="AD121" s="41">
        <f>'[1]功能-实力'!BE122</f>
        <v>21949416</v>
      </c>
      <c r="AE121" s="41">
        <f>'[1]功能-实力'!BF122</f>
        <v>23957664</v>
      </c>
      <c r="AF121" s="41">
        <f>'[1]功能-实力'!BG122</f>
        <v>25364244</v>
      </c>
      <c r="AG121" s="41">
        <f>'[1]功能-实力'!BH122</f>
        <v>26756274</v>
      </c>
      <c r="AH121" s="41">
        <f>'[1]功能-实力'!BI122</f>
        <v>27970260</v>
      </c>
      <c r="AL121" s="37">
        <f>[3]基础状态预期!C131</f>
        <v>1540</v>
      </c>
      <c r="AM121" s="37">
        <f>[3]基础状态预期!D131</f>
        <v>111.36292001894914</v>
      </c>
      <c r="AO121" s="37">
        <f>[3]基础状态预期!F131</f>
        <v>0</v>
      </c>
      <c r="AP121" s="37">
        <f>[3]基础状态预期!G131</f>
        <v>0</v>
      </c>
      <c r="AQ121" s="37">
        <f>[3]基础状态预期!H131</f>
        <v>0</v>
      </c>
      <c r="AR121" s="37">
        <f>[3]基础状态预期!I131</f>
        <v>0</v>
      </c>
      <c r="AS121" s="37">
        <f>[3]基础状态预期!J131</f>
        <v>6</v>
      </c>
      <c r="AW121" s="32">
        <v>115</v>
      </c>
      <c r="AX121" s="32">
        <f>[1]节奏总纲!BJ118</f>
        <v>3.4999999999999978</v>
      </c>
      <c r="AY121" s="32">
        <f>[1]节奏总纲!BK118</f>
        <v>3.5699999999999976</v>
      </c>
      <c r="AZ121" s="32">
        <f>[1]节奏总纲!BL118</f>
        <v>3.7099999999999977</v>
      </c>
      <c r="BA121" s="32">
        <f>[1]节奏总纲!BM118</f>
        <v>3.9899999999999971</v>
      </c>
      <c r="BB121" s="32">
        <f>[1]节奏总纲!BN118</f>
        <v>4.8999999999999968</v>
      </c>
      <c r="BF121" s="42">
        <f>'[1]功能-行军令'!FZ119</f>
        <v>115</v>
      </c>
      <c r="BG121" s="42">
        <f>'[1]功能-行军令'!GA119*'[1]功能-行军令'!GB119</f>
        <v>736.58644091008523</v>
      </c>
      <c r="BN121" s="49">
        <v>116</v>
      </c>
      <c r="BO121" s="17">
        <f>'[1]资源-木石铜粮'!U121</f>
        <v>401602715907.81805</v>
      </c>
      <c r="BP121" s="17">
        <f>'[1]资源-木石铜粮'!V121</f>
        <v>457625345755.29022</v>
      </c>
      <c r="BQ121" s="17">
        <f>'[1]资源-木石铜粮'!W121</f>
        <v>487879526608.23187</v>
      </c>
      <c r="BR121" s="17">
        <f>'[1]资源-木石铜粮'!X121</f>
        <v>445107641913.86493</v>
      </c>
      <c r="BS121" s="17">
        <f>'[1]资源-木石铜粮'!Y121</f>
        <v>351121151324.8233</v>
      </c>
      <c r="BV121" s="49">
        <v>116</v>
      </c>
      <c r="BW121" s="47">
        <f>'[1]功能-城建'!EQ119+[1]养成buff汇总!H121+'[1]功能-采集'!BS120+[2]产出汇总!AY121+[1]养成buff汇总!GY121</f>
        <v>343880846987.6087</v>
      </c>
      <c r="BX121" s="47">
        <f>'[1]功能-城建'!ER119+[1]养成buff汇总!I121+'[1]功能-采集'!BT120+[2]产出汇总!AZ121+[1]养成buff汇总!GZ121</f>
        <v>216698894028.71906</v>
      </c>
      <c r="BY121" s="47">
        <f>'[1]功能-城建'!ES119+[1]养成buff汇总!J121+'[1]功能-采集'!BU120+[2]产出汇总!BA121+[1]养成buff汇总!HA121</f>
        <v>252789050321.99927</v>
      </c>
      <c r="BZ121" s="47">
        <f>'[1]功能-城建'!ET119+[1]养成buff汇总!K121+'[1]功能-采集'!BV120+[2]产出汇总!BB121+[1]养成buff汇总!HB121</f>
        <v>137196464970.26556</v>
      </c>
      <c r="CA121" s="47">
        <f>'[1]功能-城建'!EU119+[1]养成buff汇总!L121+'[1]功能-采集'!BW120+[2]产出汇总!BC121+[1]养成buff汇总!HC121</f>
        <v>123660561964.70616</v>
      </c>
      <c r="CD121" s="49">
        <v>116</v>
      </c>
      <c r="CE121" s="44">
        <f>'[1]资源-铁'!T121</f>
        <v>95097683541.052933</v>
      </c>
      <c r="CF121" s="44">
        <f>'[1]资源-铁'!U121</f>
        <v>129848281004.38699</v>
      </c>
      <c r="CG121" s="44">
        <f>'[1]资源-铁'!V121</f>
        <v>173428211383.29596</v>
      </c>
      <c r="CH121" s="44">
        <f>'[1]资源-铁'!W121</f>
        <v>228482476103.63818</v>
      </c>
      <c r="CI121" s="44">
        <f>'[1]资源-铁'!X121</f>
        <v>330560371415.31396</v>
      </c>
      <c r="CL121" s="49">
        <v>116</v>
      </c>
      <c r="CM121" s="44">
        <f>'[1]功能-城建'!HF119+[1]养成buff汇总!S121+'[1]功能-采集'!BX120</f>
        <v>107222338299.64702</v>
      </c>
      <c r="CN121" s="44">
        <f>'[1]功能-城建'!HG119+[1]养成buff汇总!T121+'[1]功能-采集'!BY120</f>
        <v>70298718460.029572</v>
      </c>
      <c r="CO121" s="44">
        <f>'[1]功能-城建'!HH119+[1]养成buff汇总!U121+'[1]功能-采集'!BZ120</f>
        <v>83111860558.648697</v>
      </c>
      <c r="CP121" s="44">
        <f>'[1]功能-城建'!HI119+[1]养成buff汇总!V121+'[1]功能-采集'!CA120</f>
        <v>44763084828.537216</v>
      </c>
      <c r="CQ121" s="44">
        <f>'[1]功能-城建'!HJ119+[1]养成buff汇总!W121+'[1]功能-采集'!CB120</f>
        <v>42272528256.802933</v>
      </c>
      <c r="CT121" s="49">
        <v>116</v>
      </c>
      <c r="CU121" s="17">
        <f>'[1]资源-玩家城池建筑时间'!AJ121+CU120</f>
        <v>1829688233.7398291</v>
      </c>
      <c r="CV121" s="17">
        <f>'[1]资源-玩家城池建筑时间'!AK121+CV120</f>
        <v>1947126294.0170705</v>
      </c>
      <c r="CW121" s="17">
        <f>'[1]资源-玩家城池建筑时间'!AL121+CW120</f>
        <v>2080706290.5628934</v>
      </c>
      <c r="CX121" s="17">
        <f>'[1]资源-玩家城池建筑时间'!AM121+CX120</f>
        <v>2238477492.4474945</v>
      </c>
      <c r="CY121" s="17">
        <f>'[1]资源-玩家城池建筑时间'!AN121+CY120</f>
        <v>2418664694.4075255</v>
      </c>
      <c r="DB121" s="49">
        <v>116</v>
      </c>
      <c r="DC121" s="17">
        <f>'[1]资源-士兵训练时间'!U121</f>
        <v>1400986862.3463509</v>
      </c>
      <c r="DD121" s="17">
        <f>'[1]资源-士兵训练时间'!V121</f>
        <v>2034376152.9745286</v>
      </c>
      <c r="DE121" s="17">
        <f>'[1]资源-士兵训练时间'!W121</f>
        <v>2776777337.814373</v>
      </c>
      <c r="DF121" s="17">
        <f>'[1]资源-士兵训练时间'!X121</f>
        <v>3657169367.6401501</v>
      </c>
      <c r="DG121" s="17">
        <f>'[1]资源-士兵训练时间'!Y121</f>
        <v>5414268682.6312637</v>
      </c>
    </row>
    <row r="122" spans="2:111" x14ac:dyDescent="0.15">
      <c r="B122" s="34">
        <v>119</v>
      </c>
      <c r="C122" s="35">
        <f>'[1]资源-钻石'!L122</f>
        <v>5888671.526422875</v>
      </c>
      <c r="D122" s="35">
        <f>'[1]资源-钻石'!M122</f>
        <v>8426568.216808619</v>
      </c>
      <c r="E122" s="35">
        <f>'[1]资源-钻石'!N122</f>
        <v>12348840.386930447</v>
      </c>
      <c r="F122" s="35">
        <f>'[1]资源-钻石'!O122</f>
        <v>30541623.14709007</v>
      </c>
      <c r="G122" s="35">
        <f>'[1]资源-钻石'!P122</f>
        <v>56276165.4102339</v>
      </c>
      <c r="I122" s="23">
        <v>119</v>
      </c>
      <c r="J122" s="24">
        <f>'[1]资源-钻石'!T122</f>
        <v>677294.89083753247</v>
      </c>
      <c r="K122" s="24">
        <f>'[1]资源-钻石'!U122</f>
        <v>947464.3799212859</v>
      </c>
      <c r="L122" s="24">
        <f>'[1]资源-钻石'!V122</f>
        <v>1578676.8179134144</v>
      </c>
      <c r="M122" s="24">
        <f>'[1]资源-钻石'!W122</f>
        <v>4148954.4997047558</v>
      </c>
      <c r="N122" s="24">
        <f>'[1]资源-钻石'!X122</f>
        <v>9848377.4496752303</v>
      </c>
      <c r="P122" s="28">
        <v>119</v>
      </c>
      <c r="Q122" s="28">
        <f>'[1]功能-行军令'!N122</f>
        <v>175752.34413339914</v>
      </c>
      <c r="R122" s="28">
        <f>'[1]功能-行军令'!O122</f>
        <v>217768.23442036819</v>
      </c>
      <c r="S122" s="28">
        <f>'[1]功能-行军令'!P122</f>
        <v>237016.17266548204</v>
      </c>
      <c r="T122" s="28">
        <f>'[1]功能-行军令'!Q122</f>
        <v>191925.76256711851</v>
      </c>
      <c r="U122" s="28">
        <f>'[1]功能-行军令'!R122</f>
        <v>103026.78827162522</v>
      </c>
      <c r="V122" s="28">
        <f>'[1]功能-行军令'!S122</f>
        <v>11772.689199396438</v>
      </c>
      <c r="W122" s="28">
        <f>'[1]功能-行军令'!T122</f>
        <v>14730.408068639692</v>
      </c>
      <c r="X122" s="28">
        <f>'[1]功能-行军令'!U122</f>
        <v>16233.252307319344</v>
      </c>
      <c r="Y122" s="28">
        <f>'[1]功能-行军令'!V122</f>
        <v>12966.209677383944</v>
      </c>
      <c r="Z122" s="28">
        <f>'[1]功能-行军令'!W122</f>
        <v>6607.464125453087</v>
      </c>
      <c r="AC122" s="30">
        <v>119</v>
      </c>
      <c r="AD122" s="41">
        <f>'[1]功能-实力'!BE123</f>
        <v>22644828</v>
      </c>
      <c r="AE122" s="41">
        <f>'[1]功能-实力'!BF123</f>
        <v>24620730</v>
      </c>
      <c r="AF122" s="41">
        <f>'[1]功能-实力'!BG123</f>
        <v>26051490</v>
      </c>
      <c r="AG122" s="41">
        <f>'[1]功能-实力'!BH123</f>
        <v>27330594</v>
      </c>
      <c r="AH122" s="41">
        <f>'[1]功能-实力'!BI123</f>
        <v>28543752</v>
      </c>
      <c r="AL122" s="37">
        <f>[3]基础状态预期!C132</f>
        <v>1959.9999999999998</v>
      </c>
      <c r="AM122" s="37">
        <f>[3]基础状态预期!D132</f>
        <v>114.91934497223426</v>
      </c>
      <c r="AO122" s="37">
        <f>[3]基础状态预期!F132</f>
        <v>0</v>
      </c>
      <c r="AP122" s="37">
        <f>[3]基础状态预期!G132</f>
        <v>0</v>
      </c>
      <c r="AQ122" s="37">
        <f>[3]基础状态预期!H132</f>
        <v>0</v>
      </c>
      <c r="AR122" s="37">
        <f>[3]基础状态预期!I132</f>
        <v>0</v>
      </c>
      <c r="AS122" s="37">
        <f>[3]基础状态预期!J132</f>
        <v>6</v>
      </c>
      <c r="AW122" s="32">
        <v>116</v>
      </c>
      <c r="AX122" s="32">
        <f>[1]节奏总纲!BJ119</f>
        <v>3.4999999999999978</v>
      </c>
      <c r="AY122" s="32">
        <f>[1]节奏总纲!BK119</f>
        <v>3.5699999999999976</v>
      </c>
      <c r="AZ122" s="32">
        <f>[1]节奏总纲!BL119</f>
        <v>3.7099999999999977</v>
      </c>
      <c r="BA122" s="32">
        <f>[1]节奏总纲!BM119</f>
        <v>3.9899999999999971</v>
      </c>
      <c r="BB122" s="32">
        <f>[1]节奏总纲!BN119</f>
        <v>4.8999999999999968</v>
      </c>
      <c r="BF122" s="42">
        <f>'[1]功能-行军令'!FZ120</f>
        <v>116</v>
      </c>
      <c r="BG122" s="42">
        <f>'[1]功能-行军令'!GA120*'[1]功能-行军令'!GB120</f>
        <v>751.31816972828699</v>
      </c>
      <c r="BN122" s="49">
        <v>117</v>
      </c>
      <c r="BO122" s="17">
        <f>'[1]资源-木石铜粮'!U122</f>
        <v>440360971522.32092</v>
      </c>
      <c r="BP122" s="17">
        <f>'[1]资源-木石铜粮'!V122</f>
        <v>502247226967.73956</v>
      </c>
      <c r="BQ122" s="17">
        <f>'[1]资源-木石铜粮'!W122</f>
        <v>535547617525.13049</v>
      </c>
      <c r="BR122" s="17">
        <f>'[1]资源-木石铜粮'!X122</f>
        <v>487305011053.18823</v>
      </c>
      <c r="BS122" s="17">
        <f>'[1]资源-木石铜粮'!Y122</f>
        <v>383786131657.39917</v>
      </c>
      <c r="BV122" s="49">
        <v>117</v>
      </c>
      <c r="BW122" s="47">
        <f>'[1]功能-城建'!EQ120+[1]养成buff汇总!H122+'[1]功能-采集'!BS121+[2]产出汇总!AY122+[1]养成buff汇总!GY122</f>
        <v>373853969150.76013</v>
      </c>
      <c r="BX122" s="47">
        <f>'[1]功能-城建'!ER120+[1]养成buff汇总!I122+'[1]功能-采集'!BT121+[2]产出汇总!AZ122+[1]养成buff汇总!GZ122</f>
        <v>235727559317.31473</v>
      </c>
      <c r="BY122" s="47">
        <f>'[1]功能-城建'!ES120+[1]养成buff汇总!J122+'[1]功能-采集'!BU121+[2]产出汇总!BA122+[1]养成buff汇总!HA122</f>
        <v>275245367339.06854</v>
      </c>
      <c r="BZ122" s="47">
        <f>'[1]功能-城建'!ET120+[1]养成buff汇总!K122+'[1]功能-采集'!BV121+[2]产出汇总!BB122+[1]养成buff汇总!HB122</f>
        <v>149338885156.91974</v>
      </c>
      <c r="CA122" s="47">
        <f>'[1]功能-城建'!EU120+[1]养成buff汇总!L122+'[1]功能-采集'!BW121+[2]产出汇总!BC122+[1]养成buff汇总!HC122</f>
        <v>134851612693.85445</v>
      </c>
      <c r="CD122" s="49">
        <v>117</v>
      </c>
      <c r="CE122" s="44">
        <f>'[1]资源-铁'!T122</f>
        <v>105811934279.2916</v>
      </c>
      <c r="CF122" s="44">
        <f>'[1]资源-铁'!U122</f>
        <v>144437618916.6568</v>
      </c>
      <c r="CG122" s="44">
        <f>'[1]资源-铁'!V122</f>
        <v>192774335974.41446</v>
      </c>
      <c r="CH122" s="44">
        <f>'[1]资源-铁'!W122</f>
        <v>253105821937.69037</v>
      </c>
      <c r="CI122" s="44">
        <f>'[1]资源-铁'!X122</f>
        <v>365914722434.13281</v>
      </c>
      <c r="CL122" s="49">
        <v>117</v>
      </c>
      <c r="CM122" s="44">
        <f>'[1]功能-城建'!HF120+[1]养成buff汇总!S122+'[1]功能-采集'!BX121</f>
        <v>116744793117.02231</v>
      </c>
      <c r="CN122" s="44">
        <f>'[1]功能-城建'!HG120+[1]养成buff汇总!T122+'[1]功能-采集'!BY121</f>
        <v>76594277085.787842</v>
      </c>
      <c r="CO122" s="44">
        <f>'[1]功能-城建'!HH120+[1]养成buff汇总!U122+'[1]功能-采集'!BZ121</f>
        <v>90633725843.961182</v>
      </c>
      <c r="CP122" s="44">
        <f>'[1]功能-城建'!HI120+[1]养成buff汇总!V122+'[1]功能-采集'!CA121</f>
        <v>48783641760.067902</v>
      </c>
      <c r="CQ122" s="44">
        <f>'[1]功能-城建'!HJ120+[1]养成buff汇总!W122+'[1]功能-采集'!CB121</f>
        <v>46189990477.695251</v>
      </c>
      <c r="CT122" s="49">
        <v>117</v>
      </c>
      <c r="CU122" s="17">
        <f>'[1]资源-玩家城池建筑时间'!AJ122+CU121</f>
        <v>1965408997.3360662</v>
      </c>
      <c r="CV122" s="17">
        <f>'[1]资源-玩家城池建筑时间'!AK122+CV121</f>
        <v>2092068166.5025775</v>
      </c>
      <c r="CW122" s="17">
        <f>'[1]资源-玩家城池建筑时间'!AL122+CW121</f>
        <v>2237506562.4155564</v>
      </c>
      <c r="CX122" s="17">
        <f>'[1]资源-玩家城池建筑时间'!AM122+CX121</f>
        <v>2405450093.7553902</v>
      </c>
      <c r="CY122" s="17">
        <f>'[1]资源-玩家城池建筑时间'!AN122+CY121</f>
        <v>2602237437.2498031</v>
      </c>
      <c r="DB122" s="49">
        <v>117</v>
      </c>
      <c r="DC122" s="17">
        <f>'[1]资源-士兵训练时间'!U122</f>
        <v>1545210182.3401499</v>
      </c>
      <c r="DD122" s="17">
        <f>'[1]资源-士兵训练时间'!V122</f>
        <v>2237026852.031776</v>
      </c>
      <c r="DE122" s="17">
        <f>'[1]资源-士兵训练时间'!W122</f>
        <v>3045974233.4670839</v>
      </c>
      <c r="DF122" s="17">
        <f>'[1]资源-士兵训练时间'!X122</f>
        <v>4026087576.1522756</v>
      </c>
      <c r="DG122" s="17">
        <f>'[1]资源-士兵训练时间'!Y122</f>
        <v>6055395398.6053028</v>
      </c>
    </row>
    <row r="123" spans="2:111" x14ac:dyDescent="0.15">
      <c r="B123" s="34">
        <v>120</v>
      </c>
      <c r="C123" s="35">
        <f>'[1]资源-钻石'!L123</f>
        <v>6006657.8677317742</v>
      </c>
      <c r="D123" s="35">
        <f>'[1]资源-钻石'!M123</f>
        <v>8606685.9400148764</v>
      </c>
      <c r="E123" s="35">
        <f>'[1]资源-钻石'!N123</f>
        <v>12620236.242365832</v>
      </c>
      <c r="F123" s="35">
        <f>'[1]资源-钻石'!O123</f>
        <v>31310490.955963388</v>
      </c>
      <c r="G123" s="35">
        <f>'[1]资源-钻石'!P123</f>
        <v>58083283.436802797</v>
      </c>
      <c r="I123" s="23">
        <v>120</v>
      </c>
      <c r="J123" s="24">
        <f>'[1]资源-钻石'!T123</f>
        <v>681623.6168859133</v>
      </c>
      <c r="K123" s="24">
        <f>'[1]资源-钻石'!U123</f>
        <v>953905.97857450473</v>
      </c>
      <c r="L123" s="24">
        <f>'[1]资源-钻石'!V123</f>
        <v>1590214.5764319552</v>
      </c>
      <c r="M123" s="24">
        <f>'[1]资源-钻石'!W123</f>
        <v>4181666.0340751507</v>
      </c>
      <c r="N123" s="24">
        <f>'[1]资源-钻石'!X123</f>
        <v>9928215.1374826655</v>
      </c>
      <c r="P123" s="28">
        <v>120</v>
      </c>
      <c r="Q123" s="28">
        <f>'[1]功能-行军令'!N123</f>
        <v>188370</v>
      </c>
      <c r="R123" s="28">
        <f>'[1]功能-行军令'!O123</f>
        <v>233566.92449999999</v>
      </c>
      <c r="S123" s="28">
        <f>'[1]功能-行军令'!P123</f>
        <v>254069.361</v>
      </c>
      <c r="T123" s="28">
        <f>'[1]功能-行军令'!Q123</f>
        <v>204818.796</v>
      </c>
      <c r="U123" s="28">
        <f>'[1]功能-行军令'!R123</f>
        <v>110001.52799999999</v>
      </c>
      <c r="V123" s="28">
        <f>'[1]功能-行军令'!S123</f>
        <v>12617.655866600864</v>
      </c>
      <c r="W123" s="28">
        <f>'[1]功能-行军令'!T123</f>
        <v>15798.690079631808</v>
      </c>
      <c r="X123" s="28">
        <f>'[1]功能-行军令'!U123</f>
        <v>17053.188334517967</v>
      </c>
      <c r="Y123" s="28">
        <f>'[1]功能-行军令'!V123</f>
        <v>12893.033432881493</v>
      </c>
      <c r="Z123" s="28">
        <f>'[1]功能-行军令'!W123</f>
        <v>6974.7397283747705</v>
      </c>
      <c r="AC123" s="30">
        <v>120</v>
      </c>
      <c r="AD123" s="41">
        <f>'[1]功能-实力'!BE124</f>
        <v>23359674</v>
      </c>
      <c r="AE123" s="41">
        <f>'[1]功能-实力'!BF124</f>
        <v>25297284</v>
      </c>
      <c r="AF123" s="41">
        <f>'[1]功能-实力'!BG124</f>
        <v>26755542</v>
      </c>
      <c r="AG123" s="41">
        <f>'[1]功能-实力'!BH124</f>
        <v>27904368</v>
      </c>
      <c r="AH123" s="41">
        <f>'[1]功能-实力'!BI124</f>
        <v>29131704</v>
      </c>
      <c r="AL123" s="37">
        <f>[3]基础状态预期!C133</f>
        <v>2506</v>
      </c>
      <c r="AM123" s="37">
        <f>[3]基础状态预期!D133</f>
        <v>118.44741987029688</v>
      </c>
      <c r="AO123" s="37">
        <f>[3]基础状态预期!F133</f>
        <v>0</v>
      </c>
      <c r="AP123" s="37">
        <f>[3]基础状态预期!G133</f>
        <v>0</v>
      </c>
      <c r="AQ123" s="37">
        <f>[3]基础状态预期!H133</f>
        <v>0</v>
      </c>
      <c r="AR123" s="37">
        <f>[3]基础状态预期!I133</f>
        <v>0</v>
      </c>
      <c r="AS123" s="37">
        <f>[3]基础状态预期!J133</f>
        <v>6</v>
      </c>
      <c r="AW123" s="32">
        <v>117</v>
      </c>
      <c r="AX123" s="32">
        <f>[1]节奏总纲!BJ120</f>
        <v>3.4999999999999978</v>
      </c>
      <c r="AY123" s="32">
        <f>[1]节奏总纲!BK120</f>
        <v>3.5699999999999976</v>
      </c>
      <c r="AZ123" s="32">
        <f>[1]节奏总纲!BL120</f>
        <v>3.7099999999999977</v>
      </c>
      <c r="BA123" s="32">
        <f>[1]节奏总纲!BM120</f>
        <v>3.9899999999999971</v>
      </c>
      <c r="BB123" s="32">
        <f>[1]节奏总纲!BN120</f>
        <v>4.8999999999999968</v>
      </c>
      <c r="BF123" s="42">
        <f>'[1]功能-行军令'!FZ121</f>
        <v>117</v>
      </c>
      <c r="BG123" s="42">
        <f>'[1]功能-行军令'!GA121*'[1]功能-行军令'!GB121</f>
        <v>766.34453312285268</v>
      </c>
      <c r="BN123" s="49">
        <v>118</v>
      </c>
      <c r="BO123" s="17">
        <f>'[1]资源-木石铜粮'!U123</f>
        <v>482664868014.2674</v>
      </c>
      <c r="BP123" s="17">
        <f>'[1]资源-木石铜粮'!V123</f>
        <v>550992688776.7417</v>
      </c>
      <c r="BQ123" s="17">
        <f>'[1]资源-木石铜粮'!W123</f>
        <v>587927460225.98999</v>
      </c>
      <c r="BR123" s="17">
        <f>'[1]资源-木石铜粮'!X123</f>
        <v>535279454442.41974</v>
      </c>
      <c r="BS123" s="17">
        <f>'[1]资源-木石铜粮'!Y123</f>
        <v>418736975432.31323</v>
      </c>
      <c r="BV123" s="49">
        <v>118</v>
      </c>
      <c r="BW123" s="47">
        <f>'[1]功能-城建'!EQ121+[1]养成buff汇总!H123+'[1]功能-采集'!BS122+[2]产出汇总!AY123+[1]养成buff汇总!GY123</f>
        <v>406125674208.13531</v>
      </c>
      <c r="BX123" s="47">
        <f>'[1]功能-城建'!ER121+[1]养成buff汇总!I123+'[1]功能-采集'!BT122+[2]产出汇总!AZ123+[1]养成buff汇总!GZ123</f>
        <v>256222310036.35809</v>
      </c>
      <c r="BY123" s="47">
        <f>'[1]功能-城建'!ES121+[1]养成buff汇总!J123+'[1]功能-采集'!BU122+[2]产出汇总!BA123+[1]养成buff汇总!HA123</f>
        <v>299240157622.26917</v>
      </c>
      <c r="BZ123" s="47">
        <f>'[1]功能-城建'!ET121+[1]养成buff汇总!K123+'[1]功能-采集'!BV122+[2]产出汇总!BB123+[1]养成buff汇总!HB123</f>
        <v>162682296175.28317</v>
      </c>
      <c r="CA123" s="47">
        <f>'[1]功能-城建'!EU121+[1]养成buff汇总!L123+'[1]功能-采集'!BW122+[2]产出汇总!BC123+[1]养成buff汇总!HC123</f>
        <v>146678076640.08578</v>
      </c>
      <c r="CD123" s="49">
        <v>118</v>
      </c>
      <c r="CE123" s="44">
        <f>'[1]资源-铁'!T123</f>
        <v>117291509166.53574</v>
      </c>
      <c r="CF123" s="44">
        <f>'[1]资源-铁'!U123</f>
        <v>160126115674.12546</v>
      </c>
      <c r="CG123" s="44">
        <f>'[1]资源-铁'!V123</f>
        <v>213453714594.88345</v>
      </c>
      <c r="CH123" s="44">
        <f>'[1]资源-铁'!W123</f>
        <v>280198003619.40411</v>
      </c>
      <c r="CI123" s="44">
        <f>'[1]资源-铁'!X123</f>
        <v>402578002280.48804</v>
      </c>
      <c r="CL123" s="49">
        <v>118</v>
      </c>
      <c r="CM123" s="44">
        <f>'[1]功能-城建'!HF121+[1]养成buff汇总!S123+'[1]功能-采集'!BX122</f>
        <v>127008518936.43167</v>
      </c>
      <c r="CN123" s="44">
        <f>'[1]功能-城建'!HG121+[1]养成buff汇总!T123+'[1]功能-采集'!BY122</f>
        <v>83380138578.019852</v>
      </c>
      <c r="CO123" s="44">
        <f>'[1]功能-城建'!HH121+[1]养成buff汇总!U123+'[1]功能-采集'!BZ122</f>
        <v>98654278196.662872</v>
      </c>
      <c r="CP123" s="44">
        <f>'[1]功能-城建'!HI121+[1]养成buff汇总!V123+'[1]功能-采集'!CA122</f>
        <v>53215527591.696289</v>
      </c>
      <c r="CQ123" s="44">
        <f>'[1]功能-城建'!HJ121+[1]养成buff汇总!W123+'[1]功能-采集'!CB122</f>
        <v>50333666335.920067</v>
      </c>
      <c r="CT123" s="49">
        <v>118</v>
      </c>
      <c r="CU123" s="17">
        <f>'[1]资源-玩家城池建筑时间'!AJ123+CU122</f>
        <v>2111240679.4154801</v>
      </c>
      <c r="CV123" s="17">
        <f>'[1]资源-玩家城池建筑时间'!AK123+CV122</f>
        <v>2247851681.1472335</v>
      </c>
      <c r="CW123" s="17">
        <f>'[1]资源-玩家城池建筑时间'!AL123+CW122</f>
        <v>2404474524.9532304</v>
      </c>
      <c r="CX123" s="17">
        <f>'[1]资源-玩家城池建筑时间'!AM123+CX122</f>
        <v>2588911629.8058238</v>
      </c>
      <c r="CY123" s="17">
        <f>'[1]资源-玩家城池建筑时间'!AN123+CY122</f>
        <v>2796299120.8007555</v>
      </c>
      <c r="DB123" s="49">
        <v>118</v>
      </c>
      <c r="DC123" s="17">
        <f>'[1]资源-士兵训练时间'!U123</f>
        <v>1697519521.7144358</v>
      </c>
      <c r="DD123" s="17">
        <f>'[1]资源-士兵训练时间'!V123</f>
        <v>2450987902.1790128</v>
      </c>
      <c r="DE123" s="17">
        <f>'[1]资源-士兵训练时间'!W123</f>
        <v>3352943499.9660234</v>
      </c>
      <c r="DF123" s="17">
        <f>'[1]资源-士兵训练时间'!X123</f>
        <v>4506641321.3369293</v>
      </c>
      <c r="DG123" s="17">
        <f>'[1]资源-士兵训练时间'!Y123</f>
        <v>6757175329.8948421</v>
      </c>
    </row>
    <row r="124" spans="2:111" x14ac:dyDescent="0.15">
      <c r="B124" s="34">
        <v>121</v>
      </c>
      <c r="C124" s="35">
        <f>'[1]资源-钻石'!L124</f>
        <v>6124644.2090406734</v>
      </c>
      <c r="D124" s="35">
        <f>'[1]资源-钻石'!M124</f>
        <v>8786803.6632211339</v>
      </c>
      <c r="E124" s="35">
        <f>'[1]资源-钻石'!N124</f>
        <v>12891632.097801216</v>
      </c>
      <c r="F124" s="35">
        <f>'[1]资源-钻石'!O124</f>
        <v>32079358.764836706</v>
      </c>
      <c r="G124" s="35">
        <f>'[1]资源-钻石'!P124</f>
        <v>59890401.463371694</v>
      </c>
      <c r="I124" s="25">
        <v>121</v>
      </c>
      <c r="J124" s="24">
        <f>'[1]资源-钻石'!T124</f>
        <v>685952.34293429414</v>
      </c>
      <c r="K124" s="24">
        <f>'[1]资源-钻石'!U124</f>
        <v>960347.57722772367</v>
      </c>
      <c r="L124" s="24">
        <f>'[1]资源-钻石'!V124</f>
        <v>1601752.334950496</v>
      </c>
      <c r="M124" s="24">
        <f>'[1]资源-钻石'!W124</f>
        <v>4214377.5684455456</v>
      </c>
      <c r="N124" s="24">
        <f>'[1]资源-钻石'!X124</f>
        <v>10008052.825290099</v>
      </c>
      <c r="P124" s="28">
        <v>121</v>
      </c>
      <c r="Q124" s="28">
        <f>'[1]功能-行军令'!N124</f>
        <v>201893.26871723824</v>
      </c>
      <c r="R124" s="28">
        <f>'[1]功能-行军令'!O124</f>
        <v>250011.4570271202</v>
      </c>
      <c r="S124" s="28">
        <f>'[1]功能-行军令'!P124</f>
        <v>271071.11944637942</v>
      </c>
      <c r="T124" s="28">
        <f>'[1]功能-行军令'!Q124</f>
        <v>218573.6027989744</v>
      </c>
      <c r="U124" s="28">
        <f>'[1]功能-行军令'!R124</f>
        <v>117763.02694753431</v>
      </c>
      <c r="V124" s="28">
        <f>'[1]功能-行军令'!S124</f>
        <v>13523.268717238243</v>
      </c>
      <c r="W124" s="28">
        <f>'[1]功能-行军令'!T124</f>
        <v>16444.532527120202</v>
      </c>
      <c r="X124" s="28">
        <f>'[1]功能-行军令'!U124</f>
        <v>17001.758446379419</v>
      </c>
      <c r="Y124" s="28">
        <f>'[1]功能-行军令'!V124</f>
        <v>13754.806798974401</v>
      </c>
      <c r="Z124" s="28">
        <f>'[1]功能-行军令'!W124</f>
        <v>7761.4989475343173</v>
      </c>
      <c r="AC124" s="30">
        <v>121</v>
      </c>
      <c r="AD124" s="41">
        <f>'[1]功能-实力'!BE125</f>
        <v>23975724</v>
      </c>
      <c r="AE124" s="41">
        <f>'[1]功能-实力'!BF125</f>
        <v>25886328</v>
      </c>
      <c r="AF124" s="41">
        <f>'[1]功能-实力'!BG125</f>
        <v>27327390</v>
      </c>
      <c r="AG124" s="41">
        <f>'[1]功能-实力'!BH125</f>
        <v>28510464</v>
      </c>
      <c r="AH124" s="41">
        <f>'[1]功能-实力'!BI125</f>
        <v>29718780</v>
      </c>
      <c r="AL124" s="37">
        <f>[3]基础状态预期!C134</f>
        <v>3178</v>
      </c>
      <c r="AM124" s="37">
        <f>[3]基础状态预期!D134</f>
        <v>121.97211685892326</v>
      </c>
      <c r="AO124" s="37">
        <f>[3]基础状态预期!F134</f>
        <v>0</v>
      </c>
      <c r="AP124" s="37">
        <f>[3]基础状态预期!G134</f>
        <v>0</v>
      </c>
      <c r="AQ124" s="37">
        <f>[3]基础状态预期!H134</f>
        <v>0</v>
      </c>
      <c r="AR124" s="37">
        <f>[3]基础状态预期!I134</f>
        <v>0</v>
      </c>
      <c r="AS124" s="37">
        <f>[3]基础状态预期!J134</f>
        <v>6</v>
      </c>
      <c r="AW124" s="32">
        <v>118</v>
      </c>
      <c r="AX124" s="32">
        <f>[1]节奏总纲!BJ121</f>
        <v>3.4999999999999978</v>
      </c>
      <c r="AY124" s="32">
        <f>[1]节奏总纲!BK121</f>
        <v>3.5699999999999976</v>
      </c>
      <c r="AZ124" s="32">
        <f>[1]节奏总纲!BL121</f>
        <v>3.7099999999999977</v>
      </c>
      <c r="BA124" s="32">
        <f>[1]节奏总纲!BM121</f>
        <v>3.9899999999999971</v>
      </c>
      <c r="BB124" s="32">
        <f>[1]节奏总纲!BN121</f>
        <v>4.8999999999999968</v>
      </c>
      <c r="BF124" s="42">
        <f>'[1]功能-行军令'!FZ122</f>
        <v>118</v>
      </c>
      <c r="BG124" s="42">
        <f>'[1]功能-行军令'!GA122*'[1]功能-行军令'!GB122</f>
        <v>781.6714237853098</v>
      </c>
      <c r="BN124" s="49">
        <v>119</v>
      </c>
      <c r="BO124" s="17">
        <f>'[1]资源-木石铜粮'!U124</f>
        <v>528867880557.54456</v>
      </c>
      <c r="BP124" s="17">
        <f>'[1]资源-木石铜粮'!V124</f>
        <v>605097901524.80371</v>
      </c>
      <c r="BQ124" s="17">
        <f>'[1]资源-木石铜粮'!W124</f>
        <v>647044159843.72913</v>
      </c>
      <c r="BR124" s="17">
        <f>'[1]资源-木石铜粮'!X124</f>
        <v>586939671409.16504</v>
      </c>
      <c r="BS124" s="17">
        <f>'[1]资源-木石铜粮'!Y124</f>
        <v>454718965698.16632</v>
      </c>
      <c r="BV124" s="49">
        <v>119</v>
      </c>
      <c r="BW124" s="47">
        <f>'[1]功能-城建'!EQ122+[1]养成buff汇总!H124+'[1]功能-采集'!BS123+[2]产出汇总!AY124+[1]养成buff汇总!GY124</f>
        <v>440845962938.89362</v>
      </c>
      <c r="BX124" s="47">
        <f>'[1]功能-城建'!ER122+[1]养成buff汇总!I124+'[1]功能-采集'!BT123+[2]产出汇总!AZ124+[1]养成buff汇总!GZ124</f>
        <v>278394277719.38904</v>
      </c>
      <c r="BY124" s="47">
        <f>'[1]功能-城建'!ES122+[1]养成buff汇总!J124+'[1]功能-采集'!BU123+[2]产出汇总!BA124+[1]养成buff汇总!HA124</f>
        <v>325511195203.29645</v>
      </c>
      <c r="BZ124" s="47">
        <f>'[1]功能-城建'!ET122+[1]养成buff汇总!K124+'[1]功能-采集'!BV123+[2]产出汇总!BB124+[1]养成buff汇总!HB124</f>
        <v>176760855040.96957</v>
      </c>
      <c r="CA124" s="47">
        <f>'[1]功能-城建'!EU122+[1]养成buff汇总!L124+'[1]功能-采集'!BW123+[2]产出汇总!BC124+[1]养成buff汇总!HC124</f>
        <v>158729165127.4209</v>
      </c>
      <c r="CD124" s="49">
        <v>119</v>
      </c>
      <c r="CE124" s="44">
        <f>'[1]资源-铁'!T124</f>
        <v>129591902606.61771</v>
      </c>
      <c r="CF124" s="44">
        <f>'[1]资源-铁'!U124</f>
        <v>177135388842.19537</v>
      </c>
      <c r="CG124" s="44">
        <f>'[1]资源-铁'!V124</f>
        <v>236133376052.28168</v>
      </c>
      <c r="CH124" s="44">
        <f>'[1]资源-铁'!W124</f>
        <v>308361378962.30774</v>
      </c>
      <c r="CI124" s="44">
        <f>'[1]资源-铁'!X124</f>
        <v>437958024924.65808</v>
      </c>
      <c r="CL124" s="49">
        <v>119</v>
      </c>
      <c r="CM124" s="44">
        <f>'[1]功能-城建'!HF122+[1]养成buff汇总!S124+'[1]功能-采集'!BX123</f>
        <v>138057839475.39706</v>
      </c>
      <c r="CN124" s="44">
        <f>'[1]功能-城建'!HG122+[1]养成buff汇总!T124+'[1]功能-采集'!BY123</f>
        <v>90728564682.123337</v>
      </c>
      <c r="CO124" s="44">
        <f>'[1]功能-城建'!HH122+[1]养成buff汇总!U124+'[1]功能-采集'!BZ123</f>
        <v>107467445249.95251</v>
      </c>
      <c r="CP124" s="44">
        <f>'[1]功能-城建'!HI122+[1]养成buff汇总!V124+'[1]功能-采集'!CA123</f>
        <v>57896780497.371704</v>
      </c>
      <c r="CQ124" s="44">
        <f>'[1]功能-城建'!HJ122+[1]养成buff汇总!W124+'[1]功能-采集'!CB123</f>
        <v>54576502332.792389</v>
      </c>
      <c r="CT124" s="49">
        <v>119</v>
      </c>
      <c r="CU124" s="17">
        <f>'[1]资源-玩家城池建筑时间'!AJ124+CU123</f>
        <v>2267852178.8406096</v>
      </c>
      <c r="CV124" s="17">
        <f>'[1]资源-玩家城池建筑时间'!AK124+CV123</f>
        <v>2416275247.2899427</v>
      </c>
      <c r="CW124" s="17">
        <f>'[1]资源-玩家城池建筑时间'!AL124+CW123</f>
        <v>2587237798.4804134</v>
      </c>
      <c r="CX124" s="17">
        <f>'[1]资源-玩家城池建筑时间'!AM124+CX123</f>
        <v>2782595031.767097</v>
      </c>
      <c r="CY124" s="17">
        <f>'[1]资源-玩家城池建筑时间'!AN124+CY123</f>
        <v>2994679430.9748926</v>
      </c>
      <c r="DB124" s="49">
        <v>119</v>
      </c>
      <c r="DC124" s="17">
        <f>'[1]资源-士兵训练时间'!U124</f>
        <v>1858843206.8227475</v>
      </c>
      <c r="DD124" s="17">
        <f>'[1]资源-士兵训练时间'!V124</f>
        <v>2702961776.3700676</v>
      </c>
      <c r="DE124" s="17">
        <f>'[1]资源-士兵训练时间'!W124</f>
        <v>3751880780.7100344</v>
      </c>
      <c r="DF124" s="17">
        <f>'[1]资源-士兵训练时间'!X124</f>
        <v>5027078192.5735035</v>
      </c>
      <c r="DG124" s="17">
        <f>'[1]资源-士兵训练时间'!Y124</f>
        <v>7544733189.6374283</v>
      </c>
    </row>
    <row r="125" spans="2:111" x14ac:dyDescent="0.15">
      <c r="B125" s="34">
        <v>122</v>
      </c>
      <c r="C125" s="35">
        <f>'[1]资源-钻石'!L125</f>
        <v>6242630.5503495727</v>
      </c>
      <c r="D125" s="35">
        <f>'[1]资源-钻石'!M125</f>
        <v>8966921.3864273913</v>
      </c>
      <c r="E125" s="35">
        <f>'[1]资源-钻石'!N125</f>
        <v>13163027.9532366</v>
      </c>
      <c r="F125" s="35">
        <f>'[1]资源-钻石'!O125</f>
        <v>32848226.573710024</v>
      </c>
      <c r="G125" s="35">
        <f>'[1]资源-钻石'!P125</f>
        <v>61697519.489940591</v>
      </c>
      <c r="I125" s="25">
        <v>122</v>
      </c>
      <c r="J125" s="24">
        <f>'[1]资源-钻石'!T125</f>
        <v>690281.06898267497</v>
      </c>
      <c r="K125" s="24">
        <f>'[1]资源-钻石'!U125</f>
        <v>966789.17588094261</v>
      </c>
      <c r="L125" s="24">
        <f>'[1]资源-钻石'!V125</f>
        <v>1613290.093469037</v>
      </c>
      <c r="M125" s="24">
        <f>'[1]资源-钻石'!W125</f>
        <v>4247089.10281594</v>
      </c>
      <c r="N125" s="24">
        <f>'[1]资源-钻石'!X125</f>
        <v>10087890.513097534</v>
      </c>
      <c r="P125" s="28">
        <v>122</v>
      </c>
      <c r="Q125" s="28">
        <f>'[1]功能-行军令'!N125</f>
        <v>216387.14925512118</v>
      </c>
      <c r="R125" s="28">
        <f>'[1]功能-行军令'!O125</f>
        <v>267297.87099954294</v>
      </c>
      <c r="S125" s="28">
        <f>'[1]功能-行军令'!P125</f>
        <v>289717.93169660447</v>
      </c>
      <c r="T125" s="28">
        <f>'[1]功能-行军令'!Q125</f>
        <v>233925.79810909499</v>
      </c>
      <c r="U125" s="28">
        <f>'[1]功能-行军令'!R125</f>
        <v>126071.85722449567</v>
      </c>
      <c r="V125" s="28">
        <f>'[1]功能-行军令'!S125</f>
        <v>14493.880537882942</v>
      </c>
      <c r="W125" s="28">
        <f>'[1]功能-行军令'!T125</f>
        <v>17286.413972422743</v>
      </c>
      <c r="X125" s="28">
        <f>'[1]功能-行军令'!U125</f>
        <v>18646.812250225048</v>
      </c>
      <c r="Y125" s="28">
        <f>'[1]功能-行军令'!V125</f>
        <v>15352.195310120587</v>
      </c>
      <c r="Z125" s="28">
        <f>'[1]功能-行军令'!W125</f>
        <v>8308.8302769613656</v>
      </c>
      <c r="AC125" s="30">
        <v>122</v>
      </c>
      <c r="AD125" s="41">
        <f>'[1]功能-实力'!BE126</f>
        <v>24605196</v>
      </c>
      <c r="AE125" s="41">
        <f>'[1]功能-实力'!BF126</f>
        <v>26481660</v>
      </c>
      <c r="AF125" s="41">
        <f>'[1]功能-实力'!BG126</f>
        <v>27918888</v>
      </c>
      <c r="AG125" s="41">
        <f>'[1]功能-实力'!BH126</f>
        <v>29126982</v>
      </c>
      <c r="AH125" s="41">
        <f>'[1]功能-实力'!BI126</f>
        <v>30322224</v>
      </c>
      <c r="AL125" s="37">
        <f>[3]基础状态预期!C135</f>
        <v>4059.9999999999995</v>
      </c>
      <c r="AM125" s="37">
        <f>[3]基础状态预期!D135</f>
        <v>125.41953077529134</v>
      </c>
      <c r="AO125" s="37">
        <f>[3]基础状态预期!F135</f>
        <v>0</v>
      </c>
      <c r="AP125" s="37">
        <f>[3]基础状态预期!G135</f>
        <v>0</v>
      </c>
      <c r="AQ125" s="37">
        <f>[3]基础状态预期!H135</f>
        <v>0</v>
      </c>
      <c r="AR125" s="37">
        <f>[3]基础状态预期!I135</f>
        <v>0</v>
      </c>
      <c r="AS125" s="37">
        <f>[3]基础状态预期!J135</f>
        <v>6</v>
      </c>
      <c r="AW125" s="32">
        <v>119</v>
      </c>
      <c r="AX125" s="32">
        <f>[1]节奏总纲!BJ122</f>
        <v>3.4999999999999978</v>
      </c>
      <c r="AY125" s="32">
        <f>[1]节奏总纲!BK122</f>
        <v>3.5699999999999976</v>
      </c>
      <c r="AZ125" s="32">
        <f>[1]节奏总纲!BL122</f>
        <v>3.7099999999999977</v>
      </c>
      <c r="BA125" s="32">
        <f>[1]节奏总纲!BM122</f>
        <v>3.9899999999999971</v>
      </c>
      <c r="BB125" s="32">
        <f>[1]节奏总纲!BN122</f>
        <v>4.8999999999999968</v>
      </c>
      <c r="BF125" s="42">
        <f>'[1]功能-行军令'!FZ123</f>
        <v>119</v>
      </c>
      <c r="BG125" s="42">
        <f>'[1]功能-行军令'!GA123*'[1]功能-行军令'!GB123</f>
        <v>797.30485226101598</v>
      </c>
      <c r="BN125" s="49">
        <v>120</v>
      </c>
      <c r="BO125" s="17">
        <f>'[1]资源-木石铜粮'!U125</f>
        <v>579967766337.57996</v>
      </c>
      <c r="BP125" s="17">
        <f>'[1]资源-木石铜粮'!V125</f>
        <v>665242573898.20386</v>
      </c>
      <c r="BQ125" s="17">
        <f>'[1]资源-木石铜粮'!W125</f>
        <v>710745699710.21008</v>
      </c>
      <c r="BR125" s="17">
        <f>'[1]资源-木石铜粮'!X125</f>
        <v>639760528561.66626</v>
      </c>
      <c r="BS125" s="17">
        <f>'[1]资源-木石铜粮'!Y125</f>
        <v>493642600692.06915</v>
      </c>
      <c r="BV125" s="49">
        <v>120</v>
      </c>
      <c r="BW125" s="47">
        <f>'[1]功能-城建'!EQ123+[1]养成buff汇总!H125+'[1]功能-采集'!BS124+[2]产出汇总!AY125+[1]养成buff汇总!GY125</f>
        <v>478201135342.81464</v>
      </c>
      <c r="BX125" s="47">
        <f>'[1]功能-城建'!ER123+[1]养成buff汇总!I125+'[1]功能-采集'!BT124+[2]产出汇总!AZ125+[1]养成buff汇总!GZ125</f>
        <v>302296122257.15674</v>
      </c>
      <c r="BY125" s="47">
        <f>'[1]功能-城建'!ES123+[1]养成buff汇总!J125+'[1]功能-采集'!BU124+[2]产出汇总!BA125+[1]养成buff汇总!HA125</f>
        <v>353165390286.96167</v>
      </c>
      <c r="BZ125" s="47">
        <f>'[1]功能-城建'!ET123+[1]养成buff汇总!K125+'[1]功能-采集'!BV124+[2]产出汇总!BB125+[1]养成buff汇总!HB125</f>
        <v>190794046092.06161</v>
      </c>
      <c r="CA125" s="47">
        <f>'[1]功能-城建'!EU123+[1]养成buff汇总!L125+'[1]功能-采集'!BW124+[2]产出汇总!BC125+[1]养成buff汇总!HC125</f>
        <v>171490019753.20291</v>
      </c>
      <c r="CD125" s="49">
        <v>120</v>
      </c>
      <c r="CE125" s="44">
        <f>'[1]资源-铁'!T125</f>
        <v>142942774304.40747</v>
      </c>
      <c r="CF125" s="44">
        <f>'[1]资源-铁'!U125</f>
        <v>195575679579.37894</v>
      </c>
      <c r="CG125" s="44">
        <f>'[1]资源-铁'!V125</f>
        <v>259691200761.77185</v>
      </c>
      <c r="CH125" s="44">
        <f>'[1]资源-铁'!W125</f>
        <v>334817076511.80652</v>
      </c>
      <c r="CI125" s="44">
        <f>'[1]资源-铁'!X125</f>
        <v>476510590919.27771</v>
      </c>
      <c r="CL125" s="49">
        <v>120</v>
      </c>
      <c r="CM125" s="44">
        <f>'[1]功能-城建'!HF123+[1]养成buff汇总!S125+'[1]功能-采集'!BX124</f>
        <v>149953191314.93878</v>
      </c>
      <c r="CN125" s="44">
        <f>'[1]功能-城建'!HG123+[1]养成buff汇总!T125+'[1]功能-采集'!BY124</f>
        <v>98660235071.211578</v>
      </c>
      <c r="CO125" s="44">
        <f>'[1]功能-城建'!HH123+[1]养成buff汇总!U125+'[1]功能-采集'!BZ124</f>
        <v>116741317205.31442</v>
      </c>
      <c r="CP125" s="44">
        <f>'[1]功能-城建'!HI123+[1]养成buff汇总!V125+'[1]功能-采集'!CA124</f>
        <v>62585213036.491829</v>
      </c>
      <c r="CQ125" s="44">
        <f>'[1]功能-城建'!HJ123+[1]养成buff汇总!W125+'[1]功能-采集'!CB124</f>
        <v>59056901442.3778</v>
      </c>
      <c r="CT125" s="49">
        <v>120</v>
      </c>
      <c r="CU125" s="17">
        <f>'[1]资源-玩家城池建筑时间'!AJ125+CU124</f>
        <v>2436044463.3039112</v>
      </c>
      <c r="CV125" s="17">
        <f>'[1]资源-玩家城池建筑时间'!AK125+CV124</f>
        <v>2597464453.4166198</v>
      </c>
      <c r="CW125" s="17">
        <f>'[1]资源-玩家城池建筑时间'!AL125+CW124</f>
        <v>2779436233.1282072</v>
      </c>
      <c r="CX125" s="17">
        <f>'[1]资源-玩家城池建筑时间'!AM125+CX124</f>
        <v>2976143110.3444557</v>
      </c>
      <c r="CY125" s="17">
        <f>'[1]资源-玩家城池建筑时间'!AN125+CY124</f>
        <v>3204154840.1321216</v>
      </c>
      <c r="DB125" s="49">
        <v>120</v>
      </c>
      <c r="DC125" s="17">
        <f>'[1]资源-士兵训练时间'!U125</f>
        <v>2053112783.4214711</v>
      </c>
      <c r="DD125" s="17">
        <f>'[1]资源-士兵训练时间'!V125</f>
        <v>3019362890.4334636</v>
      </c>
      <c r="DE125" s="17">
        <f>'[1]资源-士兵训练时间'!W125</f>
        <v>4181394177.1617761</v>
      </c>
      <c r="DF125" s="17">
        <f>'[1]资源-士兵训练时间'!X125</f>
        <v>5603358836.5089016</v>
      </c>
      <c r="DG125" s="17">
        <f>'[1]资源-士兵训练时间'!Y125</f>
        <v>8373261343.8585653</v>
      </c>
    </row>
    <row r="126" spans="2:111" x14ac:dyDescent="0.15">
      <c r="B126" s="34">
        <v>123</v>
      </c>
      <c r="C126" s="35">
        <f>'[1]资源-钻石'!L126</f>
        <v>6360616.8916584719</v>
      </c>
      <c r="D126" s="35">
        <f>'[1]资源-钻石'!M126</f>
        <v>9147039.1096336488</v>
      </c>
      <c r="E126" s="35">
        <f>'[1]资源-钻石'!N126</f>
        <v>13434423.808671985</v>
      </c>
      <c r="F126" s="35">
        <f>'[1]资源-钻石'!O126</f>
        <v>33617094.382583342</v>
      </c>
      <c r="G126" s="35">
        <f>'[1]资源-钻石'!P126</f>
        <v>63504637.516509488</v>
      </c>
      <c r="I126" s="23">
        <v>123</v>
      </c>
      <c r="J126" s="24">
        <f>'[1]资源-钻石'!T126</f>
        <v>694609.79503105581</v>
      </c>
      <c r="K126" s="24">
        <f>'[1]资源-钻石'!U126</f>
        <v>973230.77453416155</v>
      </c>
      <c r="L126" s="24">
        <f>'[1]资源-钻石'!V126</f>
        <v>1624827.8519875777</v>
      </c>
      <c r="M126" s="24">
        <f>'[1]资源-钻石'!W126</f>
        <v>4279800.6371863354</v>
      </c>
      <c r="N126" s="24">
        <f>'[1]资源-钻石'!X126</f>
        <v>10167728.200904969</v>
      </c>
      <c r="P126" s="28">
        <v>123</v>
      </c>
      <c r="Q126" s="28">
        <f>'[1]功能-行军令'!N126</f>
        <v>231921.30578479578</v>
      </c>
      <c r="R126" s="28">
        <f>'[1]功能-行军令'!O126</f>
        <v>286486.84309168946</v>
      </c>
      <c r="S126" s="28">
        <f>'[1]功能-行军令'!P126</f>
        <v>311204.61252083164</v>
      </c>
      <c r="T126" s="28">
        <f>'[1]功能-行军令'!Q126</f>
        <v>251601.8452876425</v>
      </c>
      <c r="U126" s="28">
        <f>'[1]功能-行军令'!R126</f>
        <v>135589.76636657064</v>
      </c>
      <c r="V126" s="28">
        <f>'[1]功能-行军令'!S126</f>
        <v>15534.156529674598</v>
      </c>
      <c r="W126" s="28">
        <f>'[1]功能-行军令'!T126</f>
        <v>19188.97209214652</v>
      </c>
      <c r="X126" s="28">
        <f>'[1]功能-行军令'!U126</f>
        <v>21486.680824227165</v>
      </c>
      <c r="Y126" s="28">
        <f>'[1]功能-行军令'!V126</f>
        <v>17676.047178547509</v>
      </c>
      <c r="Z126" s="28">
        <f>'[1]功能-行军令'!W126</f>
        <v>9517.909142074961</v>
      </c>
      <c r="AC126" s="30">
        <v>123</v>
      </c>
      <c r="AD126" s="41">
        <f>'[1]功能-实力'!BE127</f>
        <v>25244196</v>
      </c>
      <c r="AE126" s="41">
        <f>'[1]功能-实力'!BF127</f>
        <v>27096972</v>
      </c>
      <c r="AF126" s="41">
        <f>'[1]功能-实力'!BG127</f>
        <v>28511814</v>
      </c>
      <c r="AG126" s="41">
        <f>'[1]功能-实力'!BH127</f>
        <v>29767956</v>
      </c>
      <c r="AH126" s="41">
        <f>'[1]功能-实力'!BI127</f>
        <v>30938262</v>
      </c>
      <c r="AL126" s="37">
        <f>[3]基础状态预期!C136</f>
        <v>5194</v>
      </c>
      <c r="AM126" s="37">
        <f>[3]基础状态预期!D136</f>
        <v>129.09045404756728</v>
      </c>
      <c r="AO126" s="37">
        <f>[3]基础状态预期!F136</f>
        <v>0</v>
      </c>
      <c r="AP126" s="37">
        <f>[3]基础状态预期!G136</f>
        <v>0</v>
      </c>
      <c r="AQ126" s="37">
        <f>[3]基础状态预期!H136</f>
        <v>0</v>
      </c>
      <c r="AR126" s="37">
        <f>[3]基础状态预期!I136</f>
        <v>0</v>
      </c>
      <c r="AS126" s="37">
        <f>[3]基础状态预期!J136</f>
        <v>6</v>
      </c>
      <c r="AW126" s="32">
        <v>120</v>
      </c>
      <c r="AX126" s="32">
        <f>[1]节奏总纲!BJ123</f>
        <v>3.4999999999999978</v>
      </c>
      <c r="AY126" s="32">
        <f>[1]节奏总纲!BK123</f>
        <v>3.5699999999999976</v>
      </c>
      <c r="AZ126" s="32">
        <f>[1]节奏总纲!BL123</f>
        <v>3.7099999999999977</v>
      </c>
      <c r="BA126" s="32">
        <f>[1]节奏总纲!BM123</f>
        <v>3.9899999999999971</v>
      </c>
      <c r="BB126" s="32">
        <f>[1]节奏总纲!BN123</f>
        <v>4.8999999999999968</v>
      </c>
      <c r="BF126" s="42">
        <f>'[1]功能-行军令'!FZ124</f>
        <v>120</v>
      </c>
      <c r="BG126" s="42">
        <f>'[1]功能-行军令'!GA124*'[1]功能-行军令'!GB124</f>
        <v>813.25094930623629</v>
      </c>
      <c r="BN126" s="49">
        <v>121</v>
      </c>
      <c r="BO126" s="17">
        <f>'[1]资源-木石铜粮'!U126</f>
        <v>636629175738.30811</v>
      </c>
      <c r="BP126" s="17">
        <f>'[1]资源-木石铜粮'!V126</f>
        <v>729678264754.75464</v>
      </c>
      <c r="BQ126" s="17">
        <f>'[1]资源-木石铜粮'!W126</f>
        <v>776248673386.85242</v>
      </c>
      <c r="BR126" s="17">
        <f>'[1]资源-木石铜粮'!X126</f>
        <v>697385770139.8717</v>
      </c>
      <c r="BS126" s="17">
        <f>'[1]资源-木石铜粮'!Y126</f>
        <v>536058239361.51563</v>
      </c>
      <c r="BV126" s="49">
        <v>121</v>
      </c>
      <c r="BW126" s="47">
        <f>'[1]功能-城建'!EQ124+[1]养成buff汇总!H126+'[1]功能-采集'!BS125+[2]产出汇总!AY126+[1]养成buff汇总!GY126</f>
        <v>518417642211.11682</v>
      </c>
      <c r="BX126" s="47">
        <f>'[1]功能-城建'!ER124+[1]养成buff汇总!I126+'[1]功能-采集'!BT125+[2]产出汇总!AZ126+[1]养成buff汇总!GZ126</f>
        <v>327239283067.69183</v>
      </c>
      <c r="BY126" s="47">
        <f>'[1]功能-城建'!ES124+[1]养成buff汇总!J126+'[1]功能-采集'!BU125+[2]产出汇总!BA126+[1]养成buff汇总!HA126</f>
        <v>380839887700.13812</v>
      </c>
      <c r="BZ126" s="47">
        <f>'[1]功能-城建'!ET124+[1]养成buff汇总!K126+'[1]功能-采集'!BV125+[2]产出汇总!BB126+[1]养成buff汇总!HB126</f>
        <v>205781084984.62347</v>
      </c>
      <c r="CA126" s="47">
        <f>'[1]功能-城建'!EU124+[1]养成buff汇总!L126+'[1]功能-采集'!BW125+[2]产出汇总!BC126+[1]养成buff汇总!HC126</f>
        <v>185738814178.08441</v>
      </c>
      <c r="CD126" s="49">
        <v>121</v>
      </c>
      <c r="CE126" s="44">
        <f>'[1]资源-铁'!T126</f>
        <v>157475245618.78119</v>
      </c>
      <c r="CF126" s="44">
        <f>'[1]资源-铁'!U126</f>
        <v>214498360354.64172</v>
      </c>
      <c r="CG126" s="44">
        <f>'[1]资源-铁'!V126</f>
        <v>281836284162.57153</v>
      </c>
      <c r="CH126" s="44">
        <f>'[1]资源-铁'!W126</f>
        <v>363034838711.89001</v>
      </c>
      <c r="CI126" s="44">
        <f>'[1]资源-铁'!X126</f>
        <v>543802416452.22955</v>
      </c>
      <c r="CL126" s="49">
        <v>121</v>
      </c>
      <c r="CM126" s="44">
        <f>'[1]功能-城建'!HF124+[1]养成buff汇总!S126+'[1]功能-采集'!BX125</f>
        <v>162772909507.32379</v>
      </c>
      <c r="CN126" s="44">
        <f>'[1]功能-城建'!HG124+[1]养成buff汇总!T126+'[1]功能-采集'!BY125</f>
        <v>106932707094.70744</v>
      </c>
      <c r="CO126" s="44">
        <f>'[1]功能-城建'!HH124+[1]养成buff汇总!U126+'[1]功能-采集'!BZ125</f>
        <v>126061275745.93207</v>
      </c>
      <c r="CP126" s="44">
        <f>'[1]功能-城建'!HI124+[1]养成buff汇总!V126+'[1]功能-采集'!CA125</f>
        <v>67587021501.608765</v>
      </c>
      <c r="CQ126" s="44">
        <f>'[1]功能-城建'!HJ124+[1]养成buff汇总!W126+'[1]功能-采集'!CB125</f>
        <v>64082099395.477142</v>
      </c>
      <c r="CT126" s="49">
        <v>121</v>
      </c>
      <c r="CU126" s="17">
        <f>'[1]资源-玩家城池建筑时间'!AJ126+CU125</f>
        <v>2616761825.2813058</v>
      </c>
      <c r="CV126" s="17">
        <f>'[1]资源-玩家城池建筑时间'!AK126+CV125</f>
        <v>2786306303.2956114</v>
      </c>
      <c r="CW126" s="17">
        <f>'[1]资源-玩家城池建筑时间'!AL126+CW125</f>
        <v>2972025540.1089373</v>
      </c>
      <c r="CX126" s="17">
        <f>'[1]资源-玩家城池建筑时间'!AM126+CX125</f>
        <v>3182627987.7011499</v>
      </c>
      <c r="CY126" s="17">
        <f>'[1]资源-玩家城池建筑时间'!AN126+CY125</f>
        <v>3438815583.7285471</v>
      </c>
      <c r="DB126" s="49">
        <v>121</v>
      </c>
      <c r="DC126" s="17">
        <f>'[1]资源-士兵训练时间'!U126</f>
        <v>2289795651.633842</v>
      </c>
      <c r="DD126" s="17">
        <f>'[1]资源-士兵训练时间'!V126</f>
        <v>3358752223.717792</v>
      </c>
      <c r="DE126" s="17">
        <f>'[1]资源-士兵训练时间'!W126</f>
        <v>4659249131.2456512</v>
      </c>
      <c r="DF126" s="17">
        <f>'[1]资源-士兵训练时间'!X126</f>
        <v>6218158213.2874069</v>
      </c>
      <c r="DG126" s="17">
        <f>'[1]资源-士兵训练时间'!Y126</f>
        <v>9231158779.8152046</v>
      </c>
    </row>
    <row r="127" spans="2:111" x14ac:dyDescent="0.15">
      <c r="B127" s="34">
        <v>124</v>
      </c>
      <c r="C127" s="35">
        <f>'[1]资源-钻石'!L127</f>
        <v>6478603.2329673711</v>
      </c>
      <c r="D127" s="35">
        <f>'[1]资源-钻石'!M127</f>
        <v>9327156.8328399062</v>
      </c>
      <c r="E127" s="35">
        <f>'[1]资源-钻石'!N127</f>
        <v>13705819.664107369</v>
      </c>
      <c r="F127" s="35">
        <f>'[1]资源-钻石'!O127</f>
        <v>34385962.191456661</v>
      </c>
      <c r="G127" s="35">
        <f>'[1]资源-钻石'!P127</f>
        <v>65311755.543078385</v>
      </c>
      <c r="I127" s="23">
        <v>124</v>
      </c>
      <c r="J127" s="24">
        <f>'[1]资源-钻石'!T127</f>
        <v>698938.52107943664</v>
      </c>
      <c r="K127" s="24">
        <f>'[1]资源-钻石'!U127</f>
        <v>979672.37318738038</v>
      </c>
      <c r="L127" s="24">
        <f>'[1]资源-钻石'!V127</f>
        <v>1636365.6105061185</v>
      </c>
      <c r="M127" s="24">
        <f>'[1]资源-钻石'!W127</f>
        <v>4312512.1715567298</v>
      </c>
      <c r="N127" s="24">
        <f>'[1]资源-钻石'!X127</f>
        <v>10247565.888712402</v>
      </c>
      <c r="P127" s="28">
        <v>124</v>
      </c>
      <c r="Q127" s="28">
        <f>'[1]功能-行军令'!N127</f>
        <v>248570.40251618548</v>
      </c>
      <c r="R127" s="28">
        <f>'[1]功能-行军令'!O127</f>
        <v>307632.35126535187</v>
      </c>
      <c r="S127" s="28">
        <f>'[1]功能-行军令'!P127</f>
        <v>334086.18616791681</v>
      </c>
      <c r="T127" s="28">
        <f>'[1]功能-行军令'!Q127</f>
        <v>270276.00236025098</v>
      </c>
      <c r="U127" s="28">
        <f>'[1]功能-行军令'!R127</f>
        <v>145824.36700656047</v>
      </c>
      <c r="V127" s="28">
        <f>'[1]功能-行军令'!S127</f>
        <v>16649.096731389698</v>
      </c>
      <c r="W127" s="28">
        <f>'[1]功能-行军令'!T127</f>
        <v>21145.508173662412</v>
      </c>
      <c r="X127" s="28">
        <f>'[1]功能-行军令'!U127</f>
        <v>22881.57364708517</v>
      </c>
      <c r="Y127" s="28">
        <f>'[1]功能-行军令'!V127</f>
        <v>18674.157072608476</v>
      </c>
      <c r="Z127" s="28">
        <f>'[1]功能-行军令'!W127</f>
        <v>10234.600639989832</v>
      </c>
      <c r="AC127" s="30">
        <v>124</v>
      </c>
      <c r="AD127" s="41">
        <f>'[1]功能-实力'!BE128</f>
        <v>25900800</v>
      </c>
      <c r="AE127" s="41">
        <f>'[1]功能-实力'!BF128</f>
        <v>27722100</v>
      </c>
      <c r="AF127" s="41">
        <f>'[1]功能-实力'!BG128</f>
        <v>29121066</v>
      </c>
      <c r="AG127" s="41">
        <f>'[1]功能-实力'!BH128</f>
        <v>30416202</v>
      </c>
      <c r="AH127" s="41">
        <f>'[1]功能-实力'!BI128</f>
        <v>31568400</v>
      </c>
      <c r="AL127" s="37">
        <f>[3]基础状态预期!C137</f>
        <v>6622</v>
      </c>
      <c r="AM127" s="37">
        <f>[3]基础状态预期!D137</f>
        <v>132.53488795708068</v>
      </c>
      <c r="AO127" s="37">
        <f>[3]基础状态预期!F137</f>
        <v>0</v>
      </c>
      <c r="AP127" s="37">
        <f>[3]基础状态预期!G137</f>
        <v>0</v>
      </c>
      <c r="AQ127" s="37">
        <f>[3]基础状态预期!H137</f>
        <v>0</v>
      </c>
      <c r="AR127" s="37">
        <f>[3]基础状态预期!I137</f>
        <v>0</v>
      </c>
      <c r="AS127" s="37">
        <f>[3]基础状态预期!J137</f>
        <v>6</v>
      </c>
      <c r="AW127" s="32">
        <v>121</v>
      </c>
      <c r="AX127" s="32">
        <f>[1]节奏总纲!BJ124</f>
        <v>3.4999999999999978</v>
      </c>
      <c r="AY127" s="32">
        <f>[1]节奏总纲!BK124</f>
        <v>3.5699999999999976</v>
      </c>
      <c r="AZ127" s="32">
        <f>[1]节奏总纲!BL124</f>
        <v>3.7099999999999977</v>
      </c>
      <c r="BA127" s="32">
        <f>[1]节奏总纲!BM124</f>
        <v>3.9899999999999971</v>
      </c>
      <c r="BB127" s="32">
        <f>[1]节奏总纲!BN124</f>
        <v>4.8999999999999968</v>
      </c>
      <c r="BF127" s="42">
        <f>'[1]功能-行军令'!FZ125</f>
        <v>121</v>
      </c>
      <c r="BG127" s="42">
        <f>'[1]功能-行军令'!GA125*'[1]功能-行军令'!GB125</f>
        <v>829.51596829236098</v>
      </c>
      <c r="BN127" s="49">
        <v>122</v>
      </c>
      <c r="BO127" s="17">
        <f>'[1]资源-木石铜粮'!U127</f>
        <v>698455807910.43237</v>
      </c>
      <c r="BP127" s="17">
        <f>'[1]资源-木石铜粮'!V127</f>
        <v>798688333406.32385</v>
      </c>
      <c r="BQ127" s="17">
        <f>'[1]资源-木石铜粮'!W127</f>
        <v>849304611114.59094</v>
      </c>
      <c r="BR127" s="17">
        <f>'[1]资源-木石铜粮'!X127</f>
        <v>761611593119.98376</v>
      </c>
      <c r="BS127" s="17">
        <f>'[1]资源-木石铜粮'!Y127</f>
        <v>582400479129.24976</v>
      </c>
      <c r="BV127" s="49">
        <v>122</v>
      </c>
      <c r="BW127" s="47">
        <f>'[1]功能-城建'!EQ125+[1]养成buff汇总!H127+'[1]功能-采集'!BS126+[2]产出汇总!AY127+[1]养成buff汇总!GY127</f>
        <v>561654515728.06677</v>
      </c>
      <c r="BX127" s="47">
        <f>'[1]功能-城建'!ER125+[1]养成buff汇总!I127+'[1]功能-采集'!BT126+[2]产出汇总!AZ127+[1]养成buff汇总!GZ127</f>
        <v>353559916946.38019</v>
      </c>
      <c r="BY127" s="47">
        <f>'[1]功能-城建'!ES125+[1]养成buff汇总!J127+'[1]功能-采集'!BU126+[2]产出汇总!BA127+[1]养成buff汇总!HA127</f>
        <v>411284963535.33502</v>
      </c>
      <c r="BZ127" s="47">
        <f>'[1]功能-城建'!ET125+[1]养成buff汇总!K127+'[1]功能-采集'!BV126+[2]产出汇总!BB127+[1]养成buff汇总!HB127</f>
        <v>222661073911.43182</v>
      </c>
      <c r="CA127" s="47">
        <f>'[1]功能-城建'!EU125+[1]养成buff汇总!L127+'[1]功能-采集'!BW126+[2]产出汇总!BC127+[1]养成buff汇总!HC127</f>
        <v>201053367556.19839</v>
      </c>
      <c r="CD127" s="49">
        <v>122</v>
      </c>
      <c r="CE127" s="44">
        <f>'[1]资源-铁'!T127</f>
        <v>172687511293.96454</v>
      </c>
      <c r="CF127" s="44">
        <f>'[1]资源-铁'!U127</f>
        <v>233294388451.97028</v>
      </c>
      <c r="CG127" s="44">
        <f>'[1]资源-铁'!V127</f>
        <v>306194523200.578</v>
      </c>
      <c r="CH127" s="44">
        <f>'[1]资源-铁'!W127</f>
        <v>412658143549.4812</v>
      </c>
      <c r="CI127" s="44">
        <f>'[1]资源-铁'!X127</f>
        <v>616017910632.64331</v>
      </c>
      <c r="CL127" s="49">
        <v>122</v>
      </c>
      <c r="CM127" s="44">
        <f>'[1]功能-城建'!HF125+[1]养成buff汇总!S127+'[1]功能-采集'!BX126</f>
        <v>176558180133.74573</v>
      </c>
      <c r="CN127" s="44">
        <f>'[1]功能-城建'!HG125+[1]养成buff汇总!T127+'[1]功能-采集'!BY126</f>
        <v>115693206442.57042</v>
      </c>
      <c r="CO127" s="44">
        <f>'[1]功能-城建'!HH125+[1]养成buff汇总!U127+'[1]功能-采集'!BZ126</f>
        <v>136283013552.34042</v>
      </c>
      <c r="CP127" s="44">
        <f>'[1]功能-城建'!HI125+[1]养成buff汇总!V127+'[1]功能-采集'!CA126</f>
        <v>73216471809.131348</v>
      </c>
      <c r="CQ127" s="44">
        <f>'[1]功能-城建'!HJ125+[1]养成buff汇总!W127+'[1]功能-采集'!CB126</f>
        <v>69461668108.000183</v>
      </c>
      <c r="CT127" s="49">
        <v>122</v>
      </c>
      <c r="CU127" s="17">
        <f>'[1]资源-玩家城池建筑时间'!AJ127+CU126</f>
        <v>2810845172.8618832</v>
      </c>
      <c r="CV127" s="17">
        <f>'[1]资源-玩家城池建筑时间'!AK127+CV126</f>
        <v>2985773319.4142942</v>
      </c>
      <c r="CW127" s="17">
        <f>'[1]资源-玩家城池建筑时间'!AL127+CW126</f>
        <v>3183249376.748929</v>
      </c>
      <c r="CX127" s="17">
        <f>'[1]资源-玩家城池建筑时间'!AM127+CX126</f>
        <v>3414624559.8541994</v>
      </c>
      <c r="CY127" s="17">
        <f>'[1]资源-玩家城池建筑时间'!AN127+CY126</f>
        <v>3690024313.432447</v>
      </c>
      <c r="DB127" s="49">
        <v>122</v>
      </c>
      <c r="DC127" s="17">
        <f>'[1]资源-士兵训练时间'!U127</f>
        <v>2555595854.5378089</v>
      </c>
      <c r="DD127" s="17">
        <f>'[1]资源-士兵训练时间'!V127</f>
        <v>3754688232.099308</v>
      </c>
      <c r="DE127" s="17">
        <f>'[1]资源-士兵训练时间'!W127</f>
        <v>5183340309.210804</v>
      </c>
      <c r="DF127" s="17">
        <f>'[1]资源-士兵训练时间'!X127</f>
        <v>6857039017.131815</v>
      </c>
      <c r="DG127" s="17">
        <f>'[1]资源-士兵训练时间'!Y127</f>
        <v>10149554084.457809</v>
      </c>
    </row>
    <row r="128" spans="2:111" x14ac:dyDescent="0.15">
      <c r="B128" s="34">
        <v>125</v>
      </c>
      <c r="C128" s="35">
        <f>'[1]资源-钻石'!L128</f>
        <v>6596589.5742762703</v>
      </c>
      <c r="D128" s="35">
        <f>'[1]资源-钻石'!M128</f>
        <v>9507274.5560461637</v>
      </c>
      <c r="E128" s="35">
        <f>'[1]资源-钻石'!N128</f>
        <v>13977215.519542754</v>
      </c>
      <c r="F128" s="35">
        <f>'[1]资源-钻石'!O128</f>
        <v>35154830.000329979</v>
      </c>
      <c r="G128" s="35">
        <f>'[1]资源-钻石'!P128</f>
        <v>67118873.569647282</v>
      </c>
      <c r="I128" s="23">
        <v>125</v>
      </c>
      <c r="J128" s="24">
        <f>'[1]资源-钻石'!T128</f>
        <v>703267.24712781748</v>
      </c>
      <c r="K128" s="24">
        <f>'[1]资源-钻石'!U128</f>
        <v>986113.97184059932</v>
      </c>
      <c r="L128" s="24">
        <f>'[1]资源-钻石'!V128</f>
        <v>1647903.3690246593</v>
      </c>
      <c r="M128" s="24">
        <f>'[1]资源-钻石'!W128</f>
        <v>4345223.7059271252</v>
      </c>
      <c r="N128" s="24">
        <f>'[1]资源-钻石'!X128</f>
        <v>10327403.576519838</v>
      </c>
      <c r="P128" s="28">
        <v>125</v>
      </c>
      <c r="Q128" s="28">
        <f>'[1]功能-行军令'!N128</f>
        <v>266414.46256808913</v>
      </c>
      <c r="R128" s="28">
        <f>'[1]功能-行军令'!O128</f>
        <v>329561.0609773529</v>
      </c>
      <c r="S128" s="28">
        <f>'[1]功能-行军令'!P128</f>
        <v>358543.47953351011</v>
      </c>
      <c r="T128" s="28">
        <f>'[1]功能-行军令'!Q128</f>
        <v>290095.8124810165</v>
      </c>
      <c r="U128" s="28">
        <f>'[1]功能-行军令'!R128</f>
        <v>155517.12587662143</v>
      </c>
      <c r="V128" s="28">
        <f>'[1]功能-行军令'!S128</f>
        <v>17844.060051903652</v>
      </c>
      <c r="W128" s="28">
        <f>'[1]功能-行军令'!T128</f>
        <v>21928.709712001029</v>
      </c>
      <c r="X128" s="28">
        <f>'[1]功能-行军令'!U128</f>
        <v>24457.293365593301</v>
      </c>
      <c r="Y128" s="28">
        <f>'[1]功能-行军令'!V128</f>
        <v>19819.810120765527</v>
      </c>
      <c r="Z128" s="28">
        <f>'[1]功能-行军令'!W128</f>
        <v>9692.7588700609631</v>
      </c>
      <c r="AC128" s="30">
        <v>125</v>
      </c>
      <c r="AD128" s="41">
        <f>'[1]功能-实力'!BE129</f>
        <v>26568306</v>
      </c>
      <c r="AE128" s="41">
        <f>'[1]功能-实力'!BF129</f>
        <v>28363206</v>
      </c>
      <c r="AF128" s="41">
        <f>'[1]功能-实力'!BG129</f>
        <v>29737512</v>
      </c>
      <c r="AG128" s="41">
        <f>'[1]功能-实力'!BH129</f>
        <v>31077858</v>
      </c>
      <c r="AH128" s="41">
        <f>'[1]功能-实力'!BI129</f>
        <v>32189670</v>
      </c>
      <c r="AL128" s="37">
        <f>[3]基础状态预期!C138</f>
        <v>8428</v>
      </c>
      <c r="AM128" s="37">
        <f>[3]基础状态预期!D138</f>
        <v>136.07141427598387</v>
      </c>
      <c r="AO128" s="37">
        <f>[3]基础状态预期!F138</f>
        <v>0</v>
      </c>
      <c r="AP128" s="37">
        <f>[3]基础状态预期!G138</f>
        <v>0</v>
      </c>
      <c r="AQ128" s="37">
        <f>[3]基础状态预期!H138</f>
        <v>0</v>
      </c>
      <c r="AR128" s="37">
        <f>[3]基础状态预期!I138</f>
        <v>0</v>
      </c>
      <c r="AS128" s="37">
        <f>[3]基础状态预期!J138</f>
        <v>6</v>
      </c>
      <c r="AW128" s="32">
        <v>122</v>
      </c>
      <c r="AX128" s="32">
        <f>[1]节奏总纲!BJ125</f>
        <v>3.4999999999999978</v>
      </c>
      <c r="AY128" s="32">
        <f>[1]节奏总纲!BK125</f>
        <v>3.5699999999999976</v>
      </c>
      <c r="AZ128" s="32">
        <f>[1]节奏总纲!BL125</f>
        <v>3.7099999999999977</v>
      </c>
      <c r="BA128" s="32">
        <f>[1]节奏总纲!BM125</f>
        <v>3.9899999999999971</v>
      </c>
      <c r="BB128" s="32">
        <f>[1]节奏总纲!BN125</f>
        <v>4.8999999999999968</v>
      </c>
      <c r="BF128" s="42">
        <f>'[1]功能-行军令'!FZ126</f>
        <v>122</v>
      </c>
      <c r="BG128" s="42">
        <f>'[1]功能-行军令'!GA126*'[1]功能-行军令'!GB126</f>
        <v>846.1062876582082</v>
      </c>
      <c r="BN128" s="49">
        <v>123</v>
      </c>
      <c r="BO128" s="17">
        <f>'[1]资源-木石铜粮'!U128</f>
        <v>765767572776.36951</v>
      </c>
      <c r="BP128" s="17">
        <f>'[1]资源-木石铜粮'!V128</f>
        <v>876337712623.27759</v>
      </c>
      <c r="BQ128" s="17">
        <f>'[1]资源-木石铜粮'!W128</f>
        <v>933227115947.64844</v>
      </c>
      <c r="BR128" s="17">
        <f>'[1]资源-木石铜粮'!X128</f>
        <v>835719744917.63513</v>
      </c>
      <c r="BS128" s="17">
        <f>'[1]资源-木石铜粮'!Y128</f>
        <v>637445029622.25793</v>
      </c>
      <c r="BV128" s="49">
        <v>123</v>
      </c>
      <c r="BW128" s="47">
        <f>'[1]功能-城建'!EQ126+[1]养成buff汇总!H128+'[1]功能-采集'!BS127+[2]产出汇总!AY128+[1]养成buff汇总!GY128</f>
        <v>608234092223.25745</v>
      </c>
      <c r="BX128" s="47">
        <f>'[1]功能-城建'!ER126+[1]养成buff汇总!I128+'[1]功能-采集'!BT127+[2]产出汇总!AZ128+[1]养成buff汇总!GZ128</f>
        <v>382843458722.11401</v>
      </c>
      <c r="BY128" s="47">
        <f>'[1]功能-城建'!ES126+[1]养成buff汇总!J128+'[1]功能-采集'!BU127+[2]产出汇总!BA128+[1]养成buff汇总!HA128</f>
        <v>446584964102.80774</v>
      </c>
      <c r="BZ128" s="47">
        <f>'[1]功能-城建'!ET126+[1]养成buff汇总!K128+'[1]功能-采集'!BV127+[2]产出汇总!BB128+[1]养成buff汇总!HB128</f>
        <v>242181222321.84592</v>
      </c>
      <c r="CA128" s="47">
        <f>'[1]功能-城建'!EU126+[1]养成buff汇总!L128+'[1]功能-采集'!BW127+[2]产出汇总!BC128+[1]养成buff汇总!HC128</f>
        <v>218672568538.12018</v>
      </c>
      <c r="CD128" s="49">
        <v>123</v>
      </c>
      <c r="CE128" s="44">
        <f>'[1]资源-铁'!T128</f>
        <v>188211134761.70166</v>
      </c>
      <c r="CF128" s="44">
        <f>'[1]资源-铁'!U128</f>
        <v>254880255502.23251</v>
      </c>
      <c r="CG128" s="44">
        <f>'[1]资源-铁'!V128</f>
        <v>350168862897.88458</v>
      </c>
      <c r="CH128" s="44">
        <f>'[1]资源-铁'!W128</f>
        <v>470974657180.61719</v>
      </c>
      <c r="CI128" s="44">
        <f>'[1]资源-铁'!X128</f>
        <v>721492499505.82617</v>
      </c>
      <c r="CL128" s="49">
        <v>123</v>
      </c>
      <c r="CM128" s="44">
        <f>'[1]功能-城建'!HF126+[1]养成buff汇总!S128+'[1]功能-采集'!BX127</f>
        <v>191430492672.15192</v>
      </c>
      <c r="CN128" s="44">
        <f>'[1]功能-城建'!HG126+[1]养成buff汇总!T128+'[1]功能-采集'!BY127</f>
        <v>125423166003.94995</v>
      </c>
      <c r="CO128" s="44">
        <f>'[1]功能-城建'!HH126+[1]养成buff汇总!U128+'[1]功能-采集'!BZ127</f>
        <v>148169522757.83215</v>
      </c>
      <c r="CP128" s="44">
        <f>'[1]功能-城建'!HI126+[1]养成buff汇总!V128+'[1]功能-采集'!CA127</f>
        <v>79700935880.605286</v>
      </c>
      <c r="CQ128" s="44">
        <f>'[1]功能-城建'!HJ126+[1]养成buff汇总!W128+'[1]功能-采集'!CB127</f>
        <v>75670017794.302399</v>
      </c>
      <c r="CT128" s="49">
        <v>123</v>
      </c>
      <c r="CU128" s="17">
        <f>'[1]资源-玩家城池建筑时间'!AJ128+CU127</f>
        <v>3019707838.6687241</v>
      </c>
      <c r="CV128" s="17">
        <f>'[1]资源-玩家城池建筑时间'!AK128+CV127</f>
        <v>3207283752.8803077</v>
      </c>
      <c r="CW128" s="17">
        <f>'[1]资源-玩家城池建筑时间'!AL128+CW127</f>
        <v>3428269001.2071609</v>
      </c>
      <c r="CX128" s="17">
        <f>'[1]资源-玩家城池建筑时间'!AM128+CX127</f>
        <v>3681832891.8273144</v>
      </c>
      <c r="CY128" s="17">
        <f>'[1]资源-玩家城池建筑时间'!AN128+CY127</f>
        <v>3978946736.741302</v>
      </c>
      <c r="DB128" s="49">
        <v>123</v>
      </c>
      <c r="DC128" s="17">
        <f>'[1]资源-士兵训练时间'!U128</f>
        <v>2866535421.6726036</v>
      </c>
      <c r="DD128" s="17">
        <f>'[1]资源-士兵训练时间'!V128</f>
        <v>4192350176.1438808</v>
      </c>
      <c r="DE128" s="17">
        <f>'[1]资源-士兵训练时间'!W128</f>
        <v>5745375921.1180754</v>
      </c>
      <c r="DF128" s="17">
        <f>'[1]资源-士兵训练时间'!X128</f>
        <v>7589705267.6282101</v>
      </c>
      <c r="DG128" s="17">
        <f>'[1]资源-士兵训练时间'!Y128</f>
        <v>11128217396.330374</v>
      </c>
    </row>
    <row r="129" spans="2:111" x14ac:dyDescent="0.15">
      <c r="B129" s="34">
        <v>126</v>
      </c>
      <c r="C129" s="35">
        <f>'[1]资源-钻石'!L129</f>
        <v>6714575.9155851696</v>
      </c>
      <c r="D129" s="35">
        <f>'[1]资源-钻石'!M129</f>
        <v>9687392.2792524211</v>
      </c>
      <c r="E129" s="35">
        <f>'[1]资源-钻石'!N129</f>
        <v>14248611.374978138</v>
      </c>
      <c r="F129" s="35">
        <f>'[1]资源-钻石'!O129</f>
        <v>35923697.809203297</v>
      </c>
      <c r="G129" s="35">
        <f>'[1]资源-钻石'!P129</f>
        <v>68925991.596216172</v>
      </c>
      <c r="I129" s="23">
        <v>126</v>
      </c>
      <c r="J129" s="24">
        <f>'[1]资源-钻石'!T129</f>
        <v>707595.97317619831</v>
      </c>
      <c r="K129" s="24">
        <f>'[1]资源-钻石'!U129</f>
        <v>992555.57049381826</v>
      </c>
      <c r="L129" s="24">
        <f>'[1]资源-钻石'!V129</f>
        <v>1659441.1275432</v>
      </c>
      <c r="M129" s="24">
        <f>'[1]资源-钻石'!W129</f>
        <v>4377935.2402975196</v>
      </c>
      <c r="N129" s="24">
        <f>'[1]资源-钻石'!X129</f>
        <v>10407241.264327271</v>
      </c>
      <c r="P129" s="28">
        <v>126</v>
      </c>
      <c r="Q129" s="28">
        <f>'[1]功能-行军令'!N129</f>
        <v>285539.25259562297</v>
      </c>
      <c r="R129" s="28">
        <f>'[1]功能-行军令'!O129</f>
        <v>353717.95652788441</v>
      </c>
      <c r="S129" s="28">
        <f>'[1]功能-行军令'!P129</f>
        <v>384564.26539578498</v>
      </c>
      <c r="T129" s="28">
        <f>'[1]功能-行军令'!Q129</f>
        <v>309705.805165303</v>
      </c>
      <c r="U129" s="28">
        <f>'[1]功能-行军令'!R129</f>
        <v>165849.88823261682</v>
      </c>
      <c r="V129" s="28">
        <f>'[1]功能-行军令'!S129</f>
        <v>19124.790027533832</v>
      </c>
      <c r="W129" s="28">
        <f>'[1]功能-行军令'!T129</f>
        <v>24156.89555053151</v>
      </c>
      <c r="X129" s="28">
        <f>'[1]功能-行军令'!U129</f>
        <v>26020.785862274875</v>
      </c>
      <c r="Y129" s="28">
        <f>'[1]功能-行军令'!V129</f>
        <v>19609.992684286495</v>
      </c>
      <c r="Z129" s="28">
        <f>'[1]功能-行军令'!W129</f>
        <v>10332.762355995394</v>
      </c>
      <c r="AC129" s="30">
        <v>126</v>
      </c>
      <c r="AD129" s="41">
        <f>'[1]功能-实力'!BE130</f>
        <v>27246984</v>
      </c>
      <c r="AE129" s="41">
        <f>'[1]功能-实力'!BF130</f>
        <v>28961670</v>
      </c>
      <c r="AF129" s="41">
        <f>'[1]功能-实力'!BG130</f>
        <v>30314010</v>
      </c>
      <c r="AG129" s="41">
        <f>'[1]功能-实力'!BH130</f>
        <v>31684560</v>
      </c>
      <c r="AH129" s="41">
        <f>'[1]功能-实力'!BI130</f>
        <v>32771388</v>
      </c>
      <c r="AL129" s="37">
        <f>[3]基础状态预期!C139</f>
        <v>10738</v>
      </c>
      <c r="AM129" s="37">
        <f>[3]基础状态预期!D139</f>
        <v>139.56936219880694</v>
      </c>
      <c r="AO129" s="37">
        <f>[3]基础状态预期!F139</f>
        <v>0</v>
      </c>
      <c r="AP129" s="37">
        <f>[3]基础状态预期!G139</f>
        <v>0</v>
      </c>
      <c r="AQ129" s="37">
        <f>[3]基础状态预期!H139</f>
        <v>0</v>
      </c>
      <c r="AR129" s="37">
        <f>[3]基础状态预期!I139</f>
        <v>0</v>
      </c>
      <c r="AS129" s="37">
        <f>[3]基础状态预期!J139</f>
        <v>6</v>
      </c>
      <c r="AW129" s="32">
        <v>123</v>
      </c>
      <c r="AX129" s="32">
        <f>[1]节奏总纲!BJ126</f>
        <v>3.4999999999999978</v>
      </c>
      <c r="AY129" s="32">
        <f>[1]节奏总纲!BK126</f>
        <v>3.5699999999999976</v>
      </c>
      <c r="AZ129" s="32">
        <f>[1]节奏总纲!BL126</f>
        <v>3.7099999999999977</v>
      </c>
      <c r="BA129" s="32">
        <f>[1]节奏总纲!BM126</f>
        <v>3.9899999999999971</v>
      </c>
      <c r="BB129" s="32">
        <f>[1]节奏总纲!BN126</f>
        <v>4.8999999999999968</v>
      </c>
      <c r="BF129" s="42">
        <f>'[1]功能-行军令'!FZ127</f>
        <v>123</v>
      </c>
      <c r="BG129" s="42">
        <f>'[1]功能-行军令'!GA127*'[1]功能-行军令'!GB127</f>
        <v>863.02841341137253</v>
      </c>
      <c r="BN129" s="49">
        <v>124</v>
      </c>
      <c r="BO129" s="17">
        <f>'[1]资源-木石铜粮'!U129</f>
        <v>839840566401.55664</v>
      </c>
      <c r="BP129" s="17">
        <f>'[1]资源-木石铜粮'!V129</f>
        <v>963179312717.02112</v>
      </c>
      <c r="BQ129" s="17">
        <f>'[1]资源-木石铜粮'!W129</f>
        <v>1025277147682.3647</v>
      </c>
      <c r="BR129" s="17">
        <f>'[1]资源-木石铜粮'!X129</f>
        <v>918679413064.35291</v>
      </c>
      <c r="BS129" s="17">
        <f>'[1]资源-木石铜粮'!Y129</f>
        <v>698902023089.48157</v>
      </c>
      <c r="BV129" s="49">
        <v>124</v>
      </c>
      <c r="BW129" s="47">
        <f>'[1]功能-城建'!EQ127+[1]养成buff汇总!H129+'[1]功能-采集'!BS128+[2]产出汇总!AY129+[1]养成buff汇总!GY129</f>
        <v>659111258050.03235</v>
      </c>
      <c r="BX129" s="47">
        <f>'[1]功能-城建'!ER127+[1]养成buff汇总!I129+'[1]功能-采集'!BT128+[2]产出汇总!AZ129+[1]养成buff汇总!GZ129</f>
        <v>416208364138.64575</v>
      </c>
      <c r="BY129" s="47">
        <f>'[1]功能-城建'!ES127+[1]养成buff汇总!J129+'[1]功能-采集'!BU128+[2]产出汇总!BA129+[1]养成buff汇总!HA129</f>
        <v>484935544098.5246</v>
      </c>
      <c r="BZ129" s="47">
        <f>'[1]功能-城建'!ET127+[1]养成buff汇总!K129+'[1]功能-采集'!BV128+[2]产出汇总!BB129+[1]养成buff汇总!HB129</f>
        <v>263360365348.56967</v>
      </c>
      <c r="CA129" s="47">
        <f>'[1]功能-城建'!EU127+[1]养成buff汇总!L129+'[1]功能-采集'!BW128+[2]产出汇总!BC129+[1]养成buff汇总!HC129</f>
        <v>237976082423.18384</v>
      </c>
      <c r="CD129" s="49">
        <v>124</v>
      </c>
      <c r="CE129" s="44">
        <f>'[1]资源-铁'!T129</f>
        <v>206837116774.37</v>
      </c>
      <c r="CF129" s="44">
        <f>'[1]资源-铁'!U129</f>
        <v>291277718379.1601</v>
      </c>
      <c r="CG129" s="44">
        <f>'[1]资源-铁'!V129</f>
        <v>397887735714.68469</v>
      </c>
      <c r="CH129" s="44">
        <f>'[1]资源-铁'!W129</f>
        <v>549039457552.57471</v>
      </c>
      <c r="CI129" s="44">
        <f>'[1]资源-铁'!X129</f>
        <v>837810890601.69495</v>
      </c>
      <c r="CL129" s="49">
        <v>124</v>
      </c>
      <c r="CM129" s="44">
        <f>'[1]功能-城建'!HF127+[1]养成buff汇总!S129+'[1]功能-采集'!BX128</f>
        <v>207404713108.62402</v>
      </c>
      <c r="CN129" s="44">
        <f>'[1]功能-城建'!HG127+[1]养成buff汇总!T129+'[1]功能-采集'!BY128</f>
        <v>136239609172.32796</v>
      </c>
      <c r="CO129" s="44">
        <f>'[1]功能-城建'!HH127+[1]养成buff汇总!U129+'[1]功能-采集'!BZ128</f>
        <v>160833193051.94177</v>
      </c>
      <c r="CP129" s="44">
        <f>'[1]功能-城建'!HI127+[1]养成buff汇总!V129+'[1]功能-采集'!CA128</f>
        <v>86604069023.021729</v>
      </c>
      <c r="CQ129" s="44">
        <f>'[1]功能-城建'!HJ127+[1]养成buff汇总!W129+'[1]功能-采集'!CB128</f>
        <v>82350921969.406418</v>
      </c>
      <c r="CT129" s="49">
        <v>124</v>
      </c>
      <c r="CU129" s="17">
        <f>'[1]资源-玩家城池建筑时间'!AJ129+CU128</f>
        <v>3243905909.6439834</v>
      </c>
      <c r="CV129" s="17">
        <f>'[1]资源-玩家城池建筑时间'!AK129+CV128</f>
        <v>3452989546.4474998</v>
      </c>
      <c r="CW129" s="17">
        <f>'[1]资源-玩家城池建筑时间'!AL129+CW128</f>
        <v>3689277895.216063</v>
      </c>
      <c r="CX129" s="17">
        <f>'[1]资源-玩家城池建筑时间'!AM129+CX128</f>
        <v>3965227464.5734243</v>
      </c>
      <c r="CY129" s="17">
        <f>'[1]资源-玩家城池建筑时间'!AN129+CY128</f>
        <v>4289752606.5216331</v>
      </c>
      <c r="DB129" s="49">
        <v>124</v>
      </c>
      <c r="DC129" s="17">
        <f>'[1]资源-士兵训练时间'!U129</f>
        <v>3194470307.3009005</v>
      </c>
      <c r="DD129" s="17">
        <f>'[1]资源-士兵训练时间'!V129</f>
        <v>4641488722.0088577</v>
      </c>
      <c r="DE129" s="17">
        <f>'[1]资源-士兵训练时间'!W129</f>
        <v>6341765781.380599</v>
      </c>
      <c r="DF129" s="17">
        <f>'[1]资源-士兵训练时间'!X129</f>
        <v>8311592019.6569242</v>
      </c>
      <c r="DG129" s="17">
        <f>'[1]资源-士兵训练时间'!Y129</f>
        <v>12172478653.350876</v>
      </c>
    </row>
    <row r="130" spans="2:111" x14ac:dyDescent="0.15">
      <c r="B130" s="34">
        <v>127</v>
      </c>
      <c r="C130" s="35">
        <f>'[1]资源-钻石'!L130</f>
        <v>6832562.2568940688</v>
      </c>
      <c r="D130" s="35">
        <f>'[1]资源-钻石'!M130</f>
        <v>9867510.0024586786</v>
      </c>
      <c r="E130" s="35">
        <f>'[1]资源-钻石'!N130</f>
        <v>14520007.230413523</v>
      </c>
      <c r="F130" s="35">
        <f>'[1]资源-钻石'!O130</f>
        <v>36692565.618076615</v>
      </c>
      <c r="G130" s="35">
        <f>'[1]资源-钻石'!P130</f>
        <v>70733109.622785062</v>
      </c>
      <c r="I130" s="25">
        <v>127</v>
      </c>
      <c r="J130" s="24">
        <f>'[1]资源-钻石'!T130</f>
        <v>711924.69922457915</v>
      </c>
      <c r="K130" s="24">
        <f>'[1]资源-钻石'!U130</f>
        <v>998997.1691470372</v>
      </c>
      <c r="L130" s="24">
        <f>'[1]资源-钻石'!V130</f>
        <v>1670978.8860617408</v>
      </c>
      <c r="M130" s="24">
        <f>'[1]资源-钻石'!W130</f>
        <v>4410646.774667915</v>
      </c>
      <c r="N130" s="24">
        <f>'[1]资源-钻石'!X130</f>
        <v>10487078.952134706</v>
      </c>
      <c r="P130" s="28">
        <v>127</v>
      </c>
      <c r="Q130" s="28">
        <f>'[1]功能-行军令'!N130</f>
        <v>306036.69502371247</v>
      </c>
      <c r="R130" s="28">
        <f>'[1]功能-行军令'!O130</f>
        <v>379109.60893225478</v>
      </c>
      <c r="S130" s="28">
        <f>'[1]功能-行军令'!P130</f>
        <v>410293.41756084486</v>
      </c>
      <c r="T130" s="28">
        <f>'[1]功能-行军令'!Q130</f>
        <v>329950.8015511632</v>
      </c>
      <c r="U130" s="28">
        <f>'[1]功能-行军令'!R130</f>
        <v>177138.69615986643</v>
      </c>
      <c r="V130" s="28">
        <f>'[1]功能-行军令'!S130</f>
        <v>20497.442428089504</v>
      </c>
      <c r="W130" s="28">
        <f>'[1]功能-行军令'!T130</f>
        <v>25391.652404370368</v>
      </c>
      <c r="X130" s="28">
        <f>'[1]功能-行军令'!U130</f>
        <v>25729.152165059873</v>
      </c>
      <c r="Y130" s="28">
        <f>'[1]功能-行军令'!V130</f>
        <v>20244.996385860199</v>
      </c>
      <c r="Z130" s="28">
        <f>'[1]功能-行军令'!W130</f>
        <v>11288.807927249611</v>
      </c>
      <c r="AC130" s="30">
        <v>127</v>
      </c>
      <c r="AD130" s="41">
        <f>'[1]功能-实力'!BE131</f>
        <v>27935340</v>
      </c>
      <c r="AE130" s="41">
        <f>'[1]功能-实力'!BF131</f>
        <v>29577108</v>
      </c>
      <c r="AF130" s="41">
        <f>'[1]功能-实力'!BG131</f>
        <v>30888606</v>
      </c>
      <c r="AG130" s="41">
        <f>'[1]功能-实力'!BH131</f>
        <v>32303034</v>
      </c>
      <c r="AH130" s="41">
        <f>'[1]功能-实力'!BI131</f>
        <v>33363042</v>
      </c>
      <c r="AL130" s="37">
        <f>[3]基础状态预期!C140</f>
        <v>13678</v>
      </c>
      <c r="AM130" s="37">
        <f>[3]基础状态预期!D140</f>
        <v>143.08413721822018</v>
      </c>
      <c r="AO130" s="37">
        <f>[3]基础状态预期!F140</f>
        <v>0</v>
      </c>
      <c r="AP130" s="37">
        <f>[3]基础状态预期!G140</f>
        <v>0</v>
      </c>
      <c r="AQ130" s="37">
        <f>[3]基础状态预期!H140</f>
        <v>0</v>
      </c>
      <c r="AR130" s="37">
        <f>[3]基础状态预期!I140</f>
        <v>0</v>
      </c>
      <c r="AS130" s="37">
        <f>[3]基础状态预期!J140</f>
        <v>6</v>
      </c>
      <c r="AW130" s="32">
        <v>124</v>
      </c>
      <c r="AX130" s="32">
        <f>[1]节奏总纲!BJ127</f>
        <v>3.4999999999999978</v>
      </c>
      <c r="AY130" s="32">
        <f>[1]节奏总纲!BK127</f>
        <v>3.5699999999999976</v>
      </c>
      <c r="AZ130" s="32">
        <f>[1]节奏总纲!BL127</f>
        <v>3.7099999999999977</v>
      </c>
      <c r="BA130" s="32">
        <f>[1]节奏总纲!BM127</f>
        <v>3.9899999999999971</v>
      </c>
      <c r="BB130" s="32">
        <f>[1]节奏总纲!BN127</f>
        <v>4.8999999999999968</v>
      </c>
      <c r="BF130" s="42">
        <f>'[1]功能-行军令'!FZ128</f>
        <v>124</v>
      </c>
      <c r="BG130" s="42">
        <f>'[1]功能-行军令'!GA128*'[1]功能-行军令'!GB128</f>
        <v>880.28898167960006</v>
      </c>
      <c r="BN130" s="49">
        <v>125</v>
      </c>
      <c r="BO130" s="17">
        <f>'[1]资源-木石铜粮'!U130</f>
        <v>920504286177.6687</v>
      </c>
      <c r="BP130" s="17">
        <f>'[1]资源-木石铜粮'!V130</f>
        <v>1056005417218.0662</v>
      </c>
      <c r="BQ130" s="17">
        <f>'[1]资源-木石铜粮'!W130</f>
        <v>1128169053953.8459</v>
      </c>
      <c r="BR130" s="17">
        <f>'[1]资源-木石铜粮'!X130</f>
        <v>1009633002548.4673</v>
      </c>
      <c r="BS130" s="17">
        <f>'[1]资源-木石铜粮'!Y130</f>
        <v>759367133507.67358</v>
      </c>
      <c r="BV130" s="49">
        <v>125</v>
      </c>
      <c r="BW130" s="47">
        <f>'[1]功能-城建'!EQ128+[1]养成buff汇总!H130+'[1]功能-采集'!BS129+[2]产出汇总!AY130+[1]养成buff汇总!GY130</f>
        <v>713967945677.91272</v>
      </c>
      <c r="BX130" s="47">
        <f>'[1]功能-城建'!ER128+[1]养成buff汇总!I130+'[1]功能-采集'!BT129+[2]产出汇总!AZ130+[1]养成buff汇总!GZ130</f>
        <v>450762956661.24268</v>
      </c>
      <c r="BY130" s="47">
        <f>'[1]功能-城建'!ES128+[1]养成buff汇总!J130+'[1]功能-采集'!BU129+[2]产出汇总!BA130+[1]养成buff汇总!HA130</f>
        <v>526139327170.46478</v>
      </c>
      <c r="BZ130" s="47">
        <f>'[1]功能-城建'!ET128+[1]养成buff汇总!K130+'[1]功能-采集'!BV129+[2]产出汇总!BB130+[1]养成buff汇总!HB130</f>
        <v>285926378603.04657</v>
      </c>
      <c r="CA130" s="47">
        <f>'[1]功能-城建'!EU128+[1]养成buff汇总!L130+'[1]功能-采集'!BW129+[2]产出汇总!BC130+[1]养成buff汇总!HC130</f>
        <v>256281615774.48883</v>
      </c>
      <c r="CD130" s="49">
        <v>125</v>
      </c>
      <c r="CE130" s="44">
        <f>'[1]资源-铁'!T130</f>
        <v>234363592580.13367</v>
      </c>
      <c r="CF130" s="44">
        <f>'[1]资源-铁'!U130</f>
        <v>328962726934.50232</v>
      </c>
      <c r="CG130" s="44">
        <f>'[1]资源-铁'!V130</f>
        <v>462919675346.073</v>
      </c>
      <c r="CH130" s="44">
        <f>'[1]资源-铁'!W130</f>
        <v>634478552086.15222</v>
      </c>
      <c r="CI130" s="44">
        <f>'[1]资源-铁'!X130</f>
        <v>895768908600.20935</v>
      </c>
      <c r="CL130" s="49">
        <v>125</v>
      </c>
      <c r="CM130" s="44">
        <f>'[1]功能-城建'!HF128+[1]养成buff汇总!S130+'[1]功能-采集'!BX129</f>
        <v>224656595435.63052</v>
      </c>
      <c r="CN130" s="44">
        <f>'[1]功能-城建'!HG128+[1]养成buff汇总!T130+'[1]功能-采集'!BY129</f>
        <v>147456679029.80005</v>
      </c>
      <c r="CO130" s="44">
        <f>'[1]功能-城建'!HH128+[1]养成buff汇总!U130+'[1]功能-采集'!BZ129</f>
        <v>174485063773.81418</v>
      </c>
      <c r="CP130" s="44">
        <f>'[1]功能-城建'!HI128+[1]养成buff汇总!V130+'[1]功能-采集'!CA129</f>
        <v>93938586619.793137</v>
      </c>
      <c r="CQ130" s="44">
        <f>'[1]功能-城建'!HJ128+[1]养成buff汇总!W130+'[1]功能-采集'!CB129</f>
        <v>88723732260.221863</v>
      </c>
      <c r="CT130" s="49">
        <v>125</v>
      </c>
      <c r="CU130" s="17">
        <f>'[1]资源-玩家城池建筑时间'!AJ130+CU129</f>
        <v>3485506451.7518349</v>
      </c>
      <c r="CV130" s="17">
        <f>'[1]资源-玩家城池建筑时间'!AK130+CV129</f>
        <v>3707795956.2741885</v>
      </c>
      <c r="CW130" s="17">
        <f>'[1]资源-玩家城池建筑时间'!AL130+CW129</f>
        <v>3969377118.5012374</v>
      </c>
      <c r="CX130" s="17">
        <f>'[1]资源-玩家城池建筑时间'!AM130+CX129</f>
        <v>4266172930.847703</v>
      </c>
      <c r="CY130" s="17">
        <f>'[1]资源-玩家城池建筑时间'!AN130+CY129</f>
        <v>4585283915.0606966</v>
      </c>
      <c r="DB130" s="49">
        <v>125</v>
      </c>
      <c r="DC130" s="17">
        <f>'[1]资源-士兵训练时间'!U130</f>
        <v>3525696062.8695297</v>
      </c>
      <c r="DD130" s="17">
        <f>'[1]资源-士兵训练时间'!V130</f>
        <v>5107262763.0891619</v>
      </c>
      <c r="DE130" s="17">
        <f>'[1]资源-士兵训练时间'!W130</f>
        <v>6935040568.5628567</v>
      </c>
      <c r="DF130" s="17">
        <f>'[1]资源-士兵训练时间'!X130</f>
        <v>9069940851.1839333</v>
      </c>
      <c r="DG130" s="17">
        <f>'[1]资源-士兵训练时间'!Y130</f>
        <v>12665156508.280636</v>
      </c>
    </row>
    <row r="131" spans="2:111" x14ac:dyDescent="0.15">
      <c r="B131" s="34">
        <v>128</v>
      </c>
      <c r="C131" s="35">
        <f>'[1]资源-钻石'!L131</f>
        <v>6950548.598202968</v>
      </c>
      <c r="D131" s="35">
        <f>'[1]资源-钻石'!M131</f>
        <v>10047627.725664936</v>
      </c>
      <c r="E131" s="35">
        <f>'[1]资源-钻石'!N131</f>
        <v>14791403.085848907</v>
      </c>
      <c r="F131" s="35">
        <f>'[1]资源-钻石'!O131</f>
        <v>37461433.426949933</v>
      </c>
      <c r="G131" s="35">
        <f>'[1]资源-钻石'!P131</f>
        <v>72540227.649353951</v>
      </c>
      <c r="I131" s="25">
        <v>128</v>
      </c>
      <c r="J131" s="24">
        <f>'[1]资源-钻石'!T131</f>
        <v>716253.42527295998</v>
      </c>
      <c r="K131" s="24">
        <f>'[1]资源-钻石'!U131</f>
        <v>1005438.7678002561</v>
      </c>
      <c r="L131" s="24">
        <f>'[1]资源-钻石'!V131</f>
        <v>1682516.6445802818</v>
      </c>
      <c r="M131" s="24">
        <f>'[1]资源-钻石'!W131</f>
        <v>4443358.3090383094</v>
      </c>
      <c r="N131" s="24">
        <f>'[1]资源-钻石'!X131</f>
        <v>10566916.639942139</v>
      </c>
      <c r="P131" s="28">
        <v>128</v>
      </c>
      <c r="Q131" s="28">
        <f>'[1]功能-行军令'!N131</f>
        <v>328005.30986800481</v>
      </c>
      <c r="R131" s="28">
        <f>'[1]功能-行军令'!O131</f>
        <v>404412.72069171362</v>
      </c>
      <c r="S131" s="28">
        <f>'[1]功能-行军令'!P131</f>
        <v>437345.16685748287</v>
      </c>
      <c r="T131" s="28">
        <f>'[1]功能-行军令'!Q131</f>
        <v>352167.17926991213</v>
      </c>
      <c r="U131" s="28">
        <f>'[1]功能-行军令'!R131</f>
        <v>189413.79673349392</v>
      </c>
      <c r="V131" s="28">
        <f>'[1]功能-行军令'!S131</f>
        <v>21968.614844292344</v>
      </c>
      <c r="W131" s="28">
        <f>'[1]功能-行军令'!T131</f>
        <v>25303.111759458843</v>
      </c>
      <c r="X131" s="28">
        <f>'[1]功能-行军令'!U131</f>
        <v>27051.749296638009</v>
      </c>
      <c r="Y131" s="28">
        <f>'[1]功能-行军令'!V131</f>
        <v>22216.377718748932</v>
      </c>
      <c r="Z131" s="28">
        <f>'[1]功能-行军令'!W131</f>
        <v>12275.100573627482</v>
      </c>
      <c r="AC131" s="30">
        <v>128</v>
      </c>
      <c r="AD131" s="41">
        <f>'[1]功能-实力'!BE132</f>
        <v>28645506</v>
      </c>
      <c r="AE131" s="41">
        <f>'[1]功能-实力'!BF132</f>
        <v>30193728</v>
      </c>
      <c r="AF131" s="41">
        <f>'[1]功能-实力'!BG132</f>
        <v>31475784</v>
      </c>
      <c r="AG131" s="41">
        <f>'[1]功能-实力'!BH132</f>
        <v>32935014</v>
      </c>
      <c r="AH131" s="41">
        <f>'[1]功能-实力'!BI132</f>
        <v>33970104</v>
      </c>
      <c r="AL131" s="37">
        <f>[3]基础状态预期!C141</f>
        <v>17416</v>
      </c>
      <c r="AM131" s="37">
        <f>[3]基础状态预期!D141</f>
        <v>146.62302564097175</v>
      </c>
      <c r="AO131" s="37">
        <f>[3]基础状态预期!F141</f>
        <v>0</v>
      </c>
      <c r="AP131" s="37">
        <f>[3]基础状态预期!G141</f>
        <v>0</v>
      </c>
      <c r="AQ131" s="37">
        <f>[3]基础状态预期!H141</f>
        <v>0</v>
      </c>
      <c r="AR131" s="37">
        <f>[3]基础状态预期!I141</f>
        <v>0</v>
      </c>
      <c r="AS131" s="37">
        <f>[3]基础状态预期!J141</f>
        <v>6</v>
      </c>
      <c r="AW131" s="32">
        <v>125</v>
      </c>
      <c r="AX131" s="32">
        <f>[1]节奏总纲!BJ128</f>
        <v>3.4999999999999978</v>
      </c>
      <c r="AY131" s="32">
        <f>[1]节奏总纲!BK128</f>
        <v>3.5699999999999976</v>
      </c>
      <c r="AZ131" s="32">
        <f>[1]节奏总纲!BL128</f>
        <v>3.7099999999999977</v>
      </c>
      <c r="BA131" s="32">
        <f>[1]节奏总纲!BM128</f>
        <v>3.9899999999999971</v>
      </c>
      <c r="BB131" s="32">
        <f>[1]节奏总纲!BN128</f>
        <v>4.8999999999999968</v>
      </c>
      <c r="BF131" s="42">
        <f>'[1]功能-行军令'!FZ129</f>
        <v>125</v>
      </c>
      <c r="BG131" s="42">
        <f>'[1]功能-行军令'!GA129*'[1]功能-行军令'!GB129</f>
        <v>897.89476131319213</v>
      </c>
      <c r="BN131" s="49">
        <v>126</v>
      </c>
      <c r="BO131" s="17">
        <f>'[1]资源-木石铜粮'!U131</f>
        <v>1008953322510.7971</v>
      </c>
      <c r="BP131" s="17">
        <f>'[1]资源-木石铜粮'!V131</f>
        <v>1162012605268.4941</v>
      </c>
      <c r="BQ131" s="17">
        <f>'[1]资源-木石铜粮'!W131</f>
        <v>1240936886127.0198</v>
      </c>
      <c r="BR131" s="17">
        <f>'[1]资源-木石铜粮'!X131</f>
        <v>1102294643187.5371</v>
      </c>
      <c r="BS131" s="17">
        <f>'[1]资源-木石铜粮'!Y131</f>
        <v>824874260418.0448</v>
      </c>
      <c r="BV131" s="49">
        <v>126</v>
      </c>
      <c r="BW131" s="47">
        <f>'[1]功能-城建'!EQ129+[1]养成buff汇总!H131+'[1]功能-采集'!BS130+[2]产出汇总!AY131+[1]养成buff汇总!GY131</f>
        <v>772860993538.51929</v>
      </c>
      <c r="BX131" s="47">
        <f>'[1]功能-城建'!ER129+[1]养成buff汇总!I131+'[1]功能-采集'!BT130+[2]产出汇总!AZ131+[1]养成buff汇总!GZ131</f>
        <v>489137518707.66425</v>
      </c>
      <c r="BY131" s="47">
        <f>'[1]功能-城建'!ES129+[1]养成buff汇总!J131+'[1]功能-采集'!BU130+[2]产出汇总!BA131+[1]养成buff汇总!HA131</f>
        <v>570092625563.06885</v>
      </c>
      <c r="BZ131" s="47">
        <f>'[1]功能-城建'!ET129+[1]养成buff汇总!K131+'[1]功能-采集'!BV130+[2]产出汇总!BB131+[1]养成buff汇总!HB131</f>
        <v>308228692985.72418</v>
      </c>
      <c r="CA131" s="47">
        <f>'[1]功能-城建'!EU129+[1]养成buff汇总!L131+'[1]功能-采集'!BW130+[2]产出汇总!BC131+[1]养成buff汇总!HC131</f>
        <v>275820856353.39038</v>
      </c>
      <c r="CD131" s="49">
        <v>126</v>
      </c>
      <c r="CE131" s="44">
        <f>'[1]资源-铁'!T131</f>
        <v>264841733460.28381</v>
      </c>
      <c r="CF131" s="44">
        <f>'[1]资源-铁'!U131</f>
        <v>382881702597.93964</v>
      </c>
      <c r="CG131" s="44">
        <f>'[1]资源-铁'!V131</f>
        <v>533816561846.06799</v>
      </c>
      <c r="CH131" s="44">
        <f>'[1]资源-铁'!W131</f>
        <v>682713573207.8645</v>
      </c>
      <c r="CI131" s="44">
        <f>'[1]资源-铁'!X131</f>
        <v>950276520731.81787</v>
      </c>
      <c r="CL131" s="49">
        <v>126</v>
      </c>
      <c r="CM131" s="44">
        <f>'[1]功能-城建'!HF129+[1]养成buff汇总!S131+'[1]功能-采集'!BX130</f>
        <v>243165939221.95056</v>
      </c>
      <c r="CN131" s="44">
        <f>'[1]功能-城建'!HG129+[1]养成buff汇总!T131+'[1]功能-采集'!BY130</f>
        <v>159924331128.84702</v>
      </c>
      <c r="CO131" s="44">
        <f>'[1]功能-城建'!HH129+[1]养成buff汇总!U131+'[1]功能-采集'!BZ130</f>
        <v>189023186576.51486</v>
      </c>
      <c r="CP131" s="44">
        <f>'[1]功能-城建'!HI129+[1]养成buff汇总!V131+'[1]功能-采集'!CA130</f>
        <v>101246182018.36896</v>
      </c>
      <c r="CQ131" s="44">
        <f>'[1]功能-城建'!HJ129+[1]养成buff汇总!W131+'[1]功能-采集'!CB130</f>
        <v>95523728314.784073</v>
      </c>
      <c r="CT131" s="49">
        <v>126</v>
      </c>
      <c r="CU131" s="17">
        <f>'[1]资源-玩家城池建筑时间'!AJ131+CU130</f>
        <v>3744570221.0505962</v>
      </c>
      <c r="CV131" s="17">
        <f>'[1]资源-玩家城池建筑时间'!AK131+CV130</f>
        <v>3989699342.936275</v>
      </c>
      <c r="CW131" s="17">
        <f>'[1]资源-玩家城池建筑时间'!AL131+CW130</f>
        <v>4267512347.7400436</v>
      </c>
      <c r="CX131" s="17">
        <f>'[1]资源-玩家城池建筑时间'!AM131+CX130</f>
        <v>4565021171.0423651</v>
      </c>
      <c r="CY131" s="17">
        <f>'[1]资源-玩家城池建筑时间'!AN131+CY130</f>
        <v>4900494357.8779278</v>
      </c>
      <c r="DB131" s="49">
        <v>126</v>
      </c>
      <c r="DC131" s="17">
        <f>'[1]资源-士兵训练时间'!U131</f>
        <v>3877780253.5767975</v>
      </c>
      <c r="DD131" s="17">
        <f>'[1]资源-士兵训练时间'!V131</f>
        <v>5582172272.8160534</v>
      </c>
      <c r="DE131" s="17">
        <f>'[1]资源-士兵训练时间'!W131</f>
        <v>7561096692.975523</v>
      </c>
      <c r="DF131" s="17">
        <f>'[1]资源-士兵训练时间'!X131</f>
        <v>9476901028.765007</v>
      </c>
      <c r="DG131" s="17">
        <f>'[1]资源-士兵训练时间'!Y131</f>
        <v>13120772567.333111</v>
      </c>
    </row>
    <row r="132" spans="2:111" x14ac:dyDescent="0.15">
      <c r="B132" s="34">
        <v>129</v>
      </c>
      <c r="C132" s="35">
        <f>'[1]资源-钻石'!L132</f>
        <v>7068534.9395118672</v>
      </c>
      <c r="D132" s="35">
        <f>'[1]资源-钻石'!M132</f>
        <v>10227745.448871193</v>
      </c>
      <c r="E132" s="35">
        <f>'[1]资源-钻石'!N132</f>
        <v>15062798.941284291</v>
      </c>
      <c r="F132" s="35">
        <f>'[1]资源-钻石'!O132</f>
        <v>38230301.235823251</v>
      </c>
      <c r="G132" s="35">
        <f>'[1]资源-钻石'!P132</f>
        <v>74347345.675922841</v>
      </c>
      <c r="I132" s="23">
        <v>129</v>
      </c>
      <c r="J132" s="24">
        <f>'[1]资源-钻石'!T132</f>
        <v>720582.15132134082</v>
      </c>
      <c r="K132" s="24">
        <f>'[1]资源-钻石'!U132</f>
        <v>1011880.366453475</v>
      </c>
      <c r="L132" s="24">
        <f>'[1]资源-钻石'!V132</f>
        <v>1694054.4030988226</v>
      </c>
      <c r="M132" s="24">
        <f>'[1]资源-钻石'!W132</f>
        <v>4476069.8434087047</v>
      </c>
      <c r="N132" s="24">
        <f>'[1]资源-钻石'!X132</f>
        <v>10646754.327749575</v>
      </c>
      <c r="P132" s="28">
        <v>129</v>
      </c>
      <c r="Q132" s="28">
        <f>'[1]功能-行军令'!N132</f>
        <v>351550.68826679827</v>
      </c>
      <c r="R132" s="28">
        <f>'[1]功能-行军令'!O132</f>
        <v>433442.89261729561</v>
      </c>
      <c r="S132" s="28">
        <f>'[1]功能-行军令'!P132</f>
        <v>469504.35082720249</v>
      </c>
      <c r="T132" s="28">
        <f>'[1]功能-行军令'!Q132</f>
        <v>378706.45045415516</v>
      </c>
      <c r="U132" s="28">
        <f>'[1]功能-行军令'!R132</f>
        <v>203482.88805320952</v>
      </c>
      <c r="V132" s="28">
        <f>'[1]功能-行军令'!S132</f>
        <v>23545.378398793458</v>
      </c>
      <c r="W132" s="28">
        <f>'[1]功能-行军令'!T132</f>
        <v>29030.171925581992</v>
      </c>
      <c r="X132" s="28">
        <f>'[1]功能-行军令'!U132</f>
        <v>32159.183969719626</v>
      </c>
      <c r="Y132" s="28">
        <f>'[1]功能-行军令'!V132</f>
        <v>26539.271184243029</v>
      </c>
      <c r="Z132" s="28">
        <f>'[1]功能-行军令'!W132</f>
        <v>14069.091319715604</v>
      </c>
      <c r="AC132" s="30">
        <v>129</v>
      </c>
      <c r="AD132" s="41">
        <f>'[1]功能-实力'!BE133</f>
        <v>29364234</v>
      </c>
      <c r="AE132" s="41">
        <f>'[1]功能-实力'!BF133</f>
        <v>30833958</v>
      </c>
      <c r="AF132" s="41">
        <f>'[1]功能-实力'!BG133</f>
        <v>32082972</v>
      </c>
      <c r="AG132" s="41">
        <f>'[1]功能-实力'!BH133</f>
        <v>33592872</v>
      </c>
      <c r="AH132" s="41">
        <f>'[1]功能-实力'!BI133</f>
        <v>34598238</v>
      </c>
      <c r="AL132" s="37">
        <f>[3]基础状态预期!C142</f>
        <v>22204</v>
      </c>
      <c r="AM132" s="37">
        <f>[3]基础状态预期!D142</f>
        <v>150.12999034316616</v>
      </c>
      <c r="AO132" s="37">
        <f>[3]基础状态预期!F142</f>
        <v>0</v>
      </c>
      <c r="AP132" s="37">
        <f>[3]基础状态预期!G142</f>
        <v>0</v>
      </c>
      <c r="AQ132" s="37">
        <f>[3]基础状态预期!H142</f>
        <v>0</v>
      </c>
      <c r="AR132" s="37">
        <f>[3]基础状态预期!I142</f>
        <v>0</v>
      </c>
      <c r="AS132" s="37">
        <f>[3]基础状态预期!J142</f>
        <v>6</v>
      </c>
      <c r="AW132" s="32">
        <v>126</v>
      </c>
      <c r="AX132" s="32">
        <f>[1]节奏总纲!BJ129</f>
        <v>3.4999999999999978</v>
      </c>
      <c r="AY132" s="32">
        <f>[1]节奏总纲!BK129</f>
        <v>3.5699999999999976</v>
      </c>
      <c r="AZ132" s="32">
        <f>[1]节奏总纲!BL129</f>
        <v>3.7099999999999977</v>
      </c>
      <c r="BA132" s="32">
        <f>[1]节奏总纲!BM129</f>
        <v>3.9899999999999971</v>
      </c>
      <c r="BB132" s="32">
        <f>[1]节奏总纲!BN129</f>
        <v>4.8999999999999968</v>
      </c>
      <c r="BF132" s="42">
        <f>'[1]功能-行军令'!FZ130</f>
        <v>126</v>
      </c>
      <c r="BG132" s="42">
        <f>'[1]功能-行军令'!GA130*'[1]功能-行军令'!GB130</f>
        <v>915.85265653945589</v>
      </c>
      <c r="BN132" s="49">
        <v>127</v>
      </c>
      <c r="BO132" s="17">
        <f>'[1]资源-木石铜粮'!U132</f>
        <v>1107824213479.3772</v>
      </c>
      <c r="BP132" s="17">
        <f>'[1]资源-木石铜粮'!V132</f>
        <v>1277011049717.062</v>
      </c>
      <c r="BQ132" s="17">
        <f>'[1]资源-木石铜粮'!W132</f>
        <v>1356466245945.3958</v>
      </c>
      <c r="BR132" s="17">
        <f>'[1]资源-木石铜粮'!X132</f>
        <v>1201085338551.3596</v>
      </c>
      <c r="BS132" s="17">
        <f>'[1]资源-木石铜粮'!Y132</f>
        <v>896362207776.39282</v>
      </c>
      <c r="BV132" s="49">
        <v>127</v>
      </c>
      <c r="BW132" s="47">
        <f>'[1]功能-城建'!EQ130+[1]养成buff汇总!H132+'[1]功能-采集'!BS131+[2]产出汇总!AY132+[1]养成buff汇总!GY132</f>
        <v>836403038843.72302</v>
      </c>
      <c r="BX132" s="47">
        <f>'[1]功能-城建'!ER130+[1]养成buff汇总!I132+'[1]功能-采集'!BT131+[2]产出汇总!AZ132+[1]养成buff汇总!GZ132</f>
        <v>529442864679.04468</v>
      </c>
      <c r="BY132" s="47">
        <f>'[1]功能-城建'!ES130+[1]养成buff汇总!J132+'[1]功能-采集'!BU131+[2]产出汇总!BA132+[1]养成buff汇总!HA132</f>
        <v>613650724413.85901</v>
      </c>
      <c r="BZ132" s="47">
        <f>'[1]功能-城建'!ET130+[1]养成buff汇总!K132+'[1]功能-采集'!BV131+[2]产出汇总!BB132+[1]养成buff汇总!HB132</f>
        <v>331295402311.17877</v>
      </c>
      <c r="CA132" s="47">
        <f>'[1]功能-城建'!EU130+[1]养成buff汇总!L132+'[1]功能-采集'!BW131+[2]产出汇总!BC132+[1]养成buff汇总!HC132</f>
        <v>297202196879.9751</v>
      </c>
      <c r="CD132" s="49">
        <v>127</v>
      </c>
      <c r="CE132" s="44">
        <f>'[1]资源-铁'!T132</f>
        <v>306258517238.42834</v>
      </c>
      <c r="CF132" s="44">
        <f>'[1]资源-铁'!U132</f>
        <v>439905535407.2099</v>
      </c>
      <c r="CG132" s="44">
        <f>'[1]资源-铁'!V132</f>
        <v>573894248684.96057</v>
      </c>
      <c r="CH132" s="44">
        <f>'[1]资源-铁'!W132</f>
        <v>723564089452.06848</v>
      </c>
      <c r="CI132" s="44">
        <f>'[1]资源-铁'!X132</f>
        <v>977095119779.14966</v>
      </c>
      <c r="CL132" s="49">
        <v>127</v>
      </c>
      <c r="CM132" s="44">
        <f>'[1]功能-城建'!HF130+[1]养成buff汇总!S132+'[1]功能-采集'!BX131</f>
        <v>263176222875.30573</v>
      </c>
      <c r="CN132" s="44">
        <f>'[1]功能-城建'!HG130+[1]养成buff汇总!T132+'[1]功能-采集'!BY131</f>
        <v>173033115637.76788</v>
      </c>
      <c r="CO132" s="44">
        <f>'[1]功能-城建'!HH130+[1]养成buff汇总!U132+'[1]功能-采集'!BZ131</f>
        <v>203507950384.06973</v>
      </c>
      <c r="CP132" s="44">
        <f>'[1]功能-城建'!HI130+[1]养成buff汇总!V132+'[1]功能-采集'!CA131</f>
        <v>108803022029.06477</v>
      </c>
      <c r="CQ132" s="44">
        <f>'[1]功能-城建'!HJ130+[1]养成buff汇总!W132+'[1]功能-采集'!CB131</f>
        <v>102990462828.03397</v>
      </c>
      <c r="CT132" s="49">
        <v>127</v>
      </c>
      <c r="CU132" s="17">
        <f>'[1]资源-玩家城池建筑时间'!AJ132+CU131</f>
        <v>4023328243.6862321</v>
      </c>
      <c r="CV132" s="17">
        <f>'[1]资源-玩家城池建筑时间'!AK132+CV131</f>
        <v>4286053965.7507854</v>
      </c>
      <c r="CW132" s="17">
        <f>'[1]资源-玩家城池建筑时间'!AL132+CW131</f>
        <v>4563387439.652173</v>
      </c>
      <c r="CX132" s="17">
        <f>'[1]资源-玩家城池建筑时间'!AM132+CX131</f>
        <v>4873817311.6947994</v>
      </c>
      <c r="CY132" s="17">
        <f>'[1]资源-玩家城池建筑时间'!AN132+CY131</f>
        <v>5245827533.0709982</v>
      </c>
      <c r="DB132" s="49">
        <v>127</v>
      </c>
      <c r="DC132" s="17">
        <f>'[1]资源-士兵训练时间'!U132</f>
        <v>4228999734.238203</v>
      </c>
      <c r="DD132" s="17">
        <f>'[1]资源-士兵训练时间'!V132</f>
        <v>6080025886.6535959</v>
      </c>
      <c r="DE132" s="17">
        <f>'[1]资源-士兵训练时间'!W132</f>
        <v>7895941616.6157055</v>
      </c>
      <c r="DF132" s="17">
        <f>'[1]资源-士兵训练时间'!X132</f>
        <v>9811659482.6662006</v>
      </c>
      <c r="DG132" s="17">
        <f>'[1]资源-士兵训练时间'!Y132</f>
        <v>13307444632.263081</v>
      </c>
    </row>
    <row r="133" spans="2:111" x14ac:dyDescent="0.15">
      <c r="B133" s="34">
        <v>130</v>
      </c>
      <c r="C133" s="35">
        <f>'[1]资源-钻石'!L133</f>
        <v>7186521.2808207665</v>
      </c>
      <c r="D133" s="35">
        <f>'[1]资源-钻石'!M133</f>
        <v>10407863.172077451</v>
      </c>
      <c r="E133" s="35">
        <f>'[1]资源-钻石'!N133</f>
        <v>15334194.796719676</v>
      </c>
      <c r="F133" s="35">
        <f>'[1]资源-钻石'!O133</f>
        <v>38999169.044696569</v>
      </c>
      <c r="G133" s="35">
        <f>'[1]资源-钻石'!P133</f>
        <v>76154463.70249173</v>
      </c>
      <c r="I133" s="23">
        <v>130</v>
      </c>
      <c r="J133" s="24">
        <f>'[1]资源-钻石'!T133</f>
        <v>724910.87736972165</v>
      </c>
      <c r="K133" s="24">
        <f>'[1]资源-钻石'!U133</f>
        <v>1018321.9651066939</v>
      </c>
      <c r="L133" s="24">
        <f>'[1]资源-钻石'!V133</f>
        <v>1705592.1616173633</v>
      </c>
      <c r="M133" s="24">
        <f>'[1]资源-钻石'!W133</f>
        <v>4508781.3777790992</v>
      </c>
      <c r="N133" s="24">
        <f>'[1]资源-钻石'!X133</f>
        <v>10726592.015557008</v>
      </c>
      <c r="P133" s="28">
        <v>130</v>
      </c>
      <c r="Q133" s="28">
        <f>'[1]功能-行军令'!N133</f>
        <v>376786</v>
      </c>
      <c r="R133" s="28">
        <f>'[1]功能-行军令'!O133</f>
        <v>465105.45750000002</v>
      </c>
      <c r="S133" s="28">
        <f>'[1]功能-行军令'!P133</f>
        <v>504324.78460000001</v>
      </c>
      <c r="T133" s="28">
        <f>'[1]功能-行军令'!Q133</f>
        <v>406987.85519999999</v>
      </c>
      <c r="U133" s="28">
        <f>'[1]功能-行军令'!R133</f>
        <v>218848.77620000002</v>
      </c>
      <c r="V133" s="28">
        <f>'[1]功能-行军令'!S133</f>
        <v>25235.311733201728</v>
      </c>
      <c r="W133" s="28">
        <f>'[1]功能-行军令'!T133</f>
        <v>31662.564882704406</v>
      </c>
      <c r="X133" s="28">
        <f>'[1]功能-行军令'!U133</f>
        <v>34820.433772797522</v>
      </c>
      <c r="Y133" s="28">
        <f>'[1]功能-行军令'!V133</f>
        <v>28281.404745844833</v>
      </c>
      <c r="Z133" s="28">
        <f>'[1]功能-行军令'!W133</f>
        <v>15365.888146790501</v>
      </c>
      <c r="AC133" s="30">
        <v>130</v>
      </c>
      <c r="AD133" s="41">
        <f>'[1]功能-实力'!BE134</f>
        <v>30105144</v>
      </c>
      <c r="AE133" s="41">
        <f>'[1]功能-实力'!BF134</f>
        <v>31485924</v>
      </c>
      <c r="AF133" s="41">
        <f>'[1]功能-实力'!BG134</f>
        <v>32704224</v>
      </c>
      <c r="AG133" s="41">
        <f>'[1]功能-实力'!BH134</f>
        <v>34265994</v>
      </c>
      <c r="AH133" s="41">
        <f>'[1]功能-实力'!BI134</f>
        <v>35238324</v>
      </c>
      <c r="AL133" s="37">
        <f>[3]基础状态预期!C143</f>
        <v>28294</v>
      </c>
      <c r="AM133" s="37">
        <f>[3]基础状态预期!D143</f>
        <v>153.11600330857166</v>
      </c>
      <c r="AO133" s="37">
        <f>[3]基础状态预期!F143</f>
        <v>0</v>
      </c>
      <c r="AP133" s="37">
        <f>[3]基础状态预期!G143</f>
        <v>0</v>
      </c>
      <c r="AQ133" s="37">
        <f>[3]基础状态预期!H143</f>
        <v>0</v>
      </c>
      <c r="AR133" s="37">
        <f>[3]基础状态预期!I143</f>
        <v>0</v>
      </c>
      <c r="AS133" s="37">
        <f>[3]基础状态预期!J143</f>
        <v>6</v>
      </c>
      <c r="AW133" s="32">
        <v>127</v>
      </c>
      <c r="AX133" s="32">
        <f>[1]节奏总纲!BJ130</f>
        <v>3.4999999999999978</v>
      </c>
      <c r="AY133" s="32">
        <f>[1]节奏总纲!BK130</f>
        <v>3.5699999999999976</v>
      </c>
      <c r="AZ133" s="32">
        <f>[1]节奏总纲!BL130</f>
        <v>3.7099999999999977</v>
      </c>
      <c r="BA133" s="32">
        <f>[1]节奏总纲!BM130</f>
        <v>3.9899999999999971</v>
      </c>
      <c r="BB133" s="32">
        <f>[1]节奏总纲!BN130</f>
        <v>4.8999999999999968</v>
      </c>
      <c r="BF133" s="42">
        <f>'[1]功能-行军令'!FZ131</f>
        <v>127</v>
      </c>
      <c r="BG133" s="42">
        <f>'[1]功能-行军令'!GA131*'[1]功能-行军令'!GB131</f>
        <v>934.16970967024508</v>
      </c>
      <c r="BN133" s="49">
        <v>128</v>
      </c>
      <c r="BO133" s="17">
        <f>'[1]资源-木石铜粮'!U133</f>
        <v>1216344664092.1448</v>
      </c>
      <c r="BP133" s="17">
        <f>'[1]资源-木石铜粮'!V133</f>
        <v>1395629025875.0784</v>
      </c>
      <c r="BQ133" s="17">
        <f>'[1]资源-木石铜粮'!W133</f>
        <v>1481160829601.5813</v>
      </c>
      <c r="BR133" s="17">
        <f>'[1]资源-木石铜粮'!X133</f>
        <v>1310719018199.7939</v>
      </c>
      <c r="BS133" s="17">
        <f>'[1]资源-木石铜粮'!Y133</f>
        <v>974488839641.58398</v>
      </c>
      <c r="BV133" s="49">
        <v>128</v>
      </c>
      <c r="BW133" s="47">
        <f>'[1]功能-城建'!EQ131+[1]养成buff汇总!H133+'[1]功能-采集'!BS132+[2]产出汇总!AY133+[1]养成buff汇总!GY133</f>
        <v>904573606951.41284</v>
      </c>
      <c r="BX133" s="47">
        <f>'[1]功能-城建'!ER131+[1]养成buff汇总!I133+'[1]功能-采集'!BT132+[2]产出汇总!AZ133+[1]养成buff汇总!GZ133</f>
        <v>569854718390.77075</v>
      </c>
      <c r="BY133" s="47">
        <f>'[1]功能-城建'!ES131+[1]养成buff汇总!J133+'[1]功能-采集'!BU132+[2]产出汇总!BA133+[1]养成buff汇总!HA133</f>
        <v>659482298585.2854</v>
      </c>
      <c r="BZ133" s="47">
        <f>'[1]功能-城建'!ET131+[1]养成buff汇总!K133+'[1]功能-采集'!BV132+[2]产出汇总!BB133+[1]养成buff汇总!HB133</f>
        <v>356761874187.75928</v>
      </c>
      <c r="CA133" s="47">
        <f>'[1]功能-城建'!EU131+[1]养成buff汇总!L133+'[1]功能-采集'!BW132+[2]产出汇总!BC133+[1]养成buff汇总!HC133</f>
        <v>320537362713.79083</v>
      </c>
      <c r="CD133" s="49">
        <v>128</v>
      </c>
      <c r="CE133" s="44">
        <f>'[1]资源-铁'!T133</f>
        <v>350647926995.44843</v>
      </c>
      <c r="CF133" s="44">
        <f>'[1]资源-铁'!U133</f>
        <v>470873896050.72723</v>
      </c>
      <c r="CG133" s="44">
        <f>'[1]资源-铁'!V133</f>
        <v>608548962324.80933</v>
      </c>
      <c r="CH133" s="44">
        <f>'[1]资源-铁'!W133</f>
        <v>747669870958.24036</v>
      </c>
      <c r="CI133" s="44">
        <f>'[1]资源-铁'!X133</f>
        <v>985048116420.9906</v>
      </c>
      <c r="CL133" s="49">
        <v>128</v>
      </c>
      <c r="CM133" s="44">
        <f>'[1]功能-城建'!HF131+[1]养成buff汇总!S133+'[1]功能-采集'!BX132</f>
        <v>284622713872.79614</v>
      </c>
      <c r="CN133" s="44">
        <f>'[1]功能-城建'!HG131+[1]养成buff汇总!T133+'[1]功能-采集'!BY132</f>
        <v>186200709323.55432</v>
      </c>
      <c r="CO133" s="44">
        <f>'[1]功能-城建'!HH131+[1]养成buff汇总!U133+'[1]功能-采集'!BZ132</f>
        <v>218764589970.91119</v>
      </c>
      <c r="CP133" s="44">
        <f>'[1]功能-城建'!HI131+[1]养成buff汇总!V133+'[1]功能-采集'!CA132</f>
        <v>117134235071.64166</v>
      </c>
      <c r="CQ133" s="44">
        <f>'[1]功能-城建'!HJ131+[1]养成buff汇总!W133+'[1]功能-采集'!CB132</f>
        <v>111134068374.90619</v>
      </c>
      <c r="CT133" s="49">
        <v>128</v>
      </c>
      <c r="CU133" s="17">
        <f>'[1]资源-玩家城池建筑时间'!AJ133+CU132</f>
        <v>4322093694.816205</v>
      </c>
      <c r="CV133" s="17">
        <f>'[1]资源-玩家城池建筑时间'!AK133+CV132</f>
        <v>4582542991.6946516</v>
      </c>
      <c r="CW133" s="17">
        <f>'[1]资源-玩家城池建筑时间'!AL133+CW132</f>
        <v>4874741180.1451139</v>
      </c>
      <c r="CX133" s="17">
        <f>'[1]资源-玩家城池建筑时间'!AM133+CX132</f>
        <v>5213497317.0966215</v>
      </c>
      <c r="CY133" s="17">
        <f>'[1]资源-玩家城池建筑时间'!AN133+CY132</f>
        <v>5621956997.9951973</v>
      </c>
      <c r="DB133" s="49">
        <v>128</v>
      </c>
      <c r="DC133" s="17">
        <f>'[1]资源-士兵训练时间'!U133</f>
        <v>4605427453.1368866</v>
      </c>
      <c r="DD133" s="17">
        <f>'[1]资源-士兵训练时间'!V133</f>
        <v>6330597341.49821</v>
      </c>
      <c r="DE133" s="17">
        <f>'[1]资源-士兵训练时间'!W133</f>
        <v>8177217521.8228149</v>
      </c>
      <c r="DF133" s="17">
        <f>'[1]资源-士兵训练时间'!X133</f>
        <v>9980583474.1973114</v>
      </c>
      <c r="DG133" s="17">
        <f>'[1]资源-士兵训练时间'!Y133</f>
        <v>13307444632.263081</v>
      </c>
    </row>
    <row r="134" spans="2:111" x14ac:dyDescent="0.15">
      <c r="B134" s="34">
        <v>131</v>
      </c>
      <c r="C134" s="35">
        <f>'[1]资源-钻石'!L134</f>
        <v>7304507.6221296657</v>
      </c>
      <c r="D134" s="35">
        <f>'[1]资源-钻石'!M134</f>
        <v>10587980.895283708</v>
      </c>
      <c r="E134" s="35">
        <f>'[1]资源-钻石'!N134</f>
        <v>15605590.65215506</v>
      </c>
      <c r="F134" s="35">
        <f>'[1]资源-钻石'!O134</f>
        <v>39768036.853569888</v>
      </c>
      <c r="G134" s="35">
        <f>'[1]资源-钻石'!P134</f>
        <v>77961581.72906062</v>
      </c>
      <c r="I134" s="23">
        <v>131</v>
      </c>
      <c r="J134" s="24">
        <f>'[1]资源-钻石'!T134</f>
        <v>729239.60341810249</v>
      </c>
      <c r="K134" s="24">
        <f>'[1]资源-钻石'!U134</f>
        <v>1024763.5637599129</v>
      </c>
      <c r="L134" s="24">
        <f>'[1]资源-钻石'!V134</f>
        <v>1717129.9201359041</v>
      </c>
      <c r="M134" s="24">
        <f>'[1]资源-钻石'!W134</f>
        <v>4541492.9121494945</v>
      </c>
      <c r="N134" s="24">
        <f>'[1]资源-钻石'!X134</f>
        <v>10806429.703364443</v>
      </c>
      <c r="P134" s="28">
        <v>131</v>
      </c>
      <c r="Q134" s="28">
        <f>'[1]功能-行军令'!N134</f>
        <v>403832.53743447649</v>
      </c>
      <c r="R134" s="28">
        <f>'[1]功能-行军令'!O134</f>
        <v>498727.03845383495</v>
      </c>
      <c r="S134" s="28">
        <f>'[1]功能-行军令'!P134</f>
        <v>541005.67143276311</v>
      </c>
      <c r="T134" s="28">
        <f>'[1]功能-行军令'!Q134</f>
        <v>437197.00609794882</v>
      </c>
      <c r="U134" s="28">
        <f>'[1]功能-行军令'!R134</f>
        <v>234377.38155240606</v>
      </c>
      <c r="V134" s="28">
        <f>'[1]功能-行军令'!S134</f>
        <v>27046.537434476486</v>
      </c>
      <c r="W134" s="28">
        <f>'[1]功能-行军令'!T134</f>
        <v>33621.580953834928</v>
      </c>
      <c r="X134" s="28">
        <f>'[1]功能-行军令'!U134</f>
        <v>36680.886832763092</v>
      </c>
      <c r="Y134" s="28">
        <f>'[1]功能-行军令'!V134</f>
        <v>30209.150897948828</v>
      </c>
      <c r="Z134" s="28">
        <f>'[1]功能-行军令'!W134</f>
        <v>15528.605352406041</v>
      </c>
      <c r="AC134" s="30">
        <v>131</v>
      </c>
      <c r="AD134" s="41">
        <f>'[1]功能-实力'!BE135</f>
        <v>30822156</v>
      </c>
      <c r="AE134" s="41">
        <f>'[1]功能-实力'!BF135</f>
        <v>32121162</v>
      </c>
      <c r="AF134" s="41">
        <f>'[1]功能-实力'!BG135</f>
        <v>33360108</v>
      </c>
      <c r="AG134" s="41">
        <f>'[1]功能-实力'!BH135</f>
        <v>34949226</v>
      </c>
      <c r="AH134" s="41">
        <f>'[1]功能-实力'!BI135</f>
        <v>35867766</v>
      </c>
      <c r="AL134" s="37">
        <f>[3]基础状态预期!C144</f>
        <v>36064</v>
      </c>
      <c r="AM134" s="37">
        <f>[3]基础状态预期!D144</f>
        <v>154.20294442048996</v>
      </c>
      <c r="AO134" s="37">
        <f>[3]基础状态预期!F144</f>
        <v>0</v>
      </c>
      <c r="AP134" s="37">
        <f>[3]基础状态预期!G144</f>
        <v>0</v>
      </c>
      <c r="AQ134" s="37">
        <f>[3]基础状态预期!H144</f>
        <v>0</v>
      </c>
      <c r="AR134" s="37">
        <f>[3]基础状态预期!I144</f>
        <v>0</v>
      </c>
      <c r="AS134" s="37">
        <f>[3]基础状态预期!J144</f>
        <v>6</v>
      </c>
      <c r="AW134" s="32">
        <v>128</v>
      </c>
      <c r="AX134" s="32">
        <f>[1]节奏总纲!BJ131</f>
        <v>3.4999999999999978</v>
      </c>
      <c r="AY134" s="32">
        <f>[1]节奏总纲!BK131</f>
        <v>3.5699999999999976</v>
      </c>
      <c r="AZ134" s="32">
        <f>[1]节奏总纲!BL131</f>
        <v>3.7099999999999977</v>
      </c>
      <c r="BA134" s="32">
        <f>[1]节奏总纲!BM131</f>
        <v>3.9899999999999971</v>
      </c>
      <c r="BB134" s="32">
        <f>[1]节奏总纲!BN131</f>
        <v>4.8999999999999968</v>
      </c>
      <c r="BF134" s="42">
        <f>'[1]功能-行军令'!FZ132</f>
        <v>128</v>
      </c>
      <c r="BG134" s="42">
        <f>'[1]功能-行军令'!GA132*'[1]功能-行军令'!GB132</f>
        <v>952.85310386365006</v>
      </c>
      <c r="BN134" s="49">
        <v>129</v>
      </c>
      <c r="BO134" s="17">
        <f>'[1]资源-木石铜粮'!U134</f>
        <v>1334766093313.8406</v>
      </c>
      <c r="BP134" s="17">
        <f>'[1]资源-木石铜粮'!V134</f>
        <v>1533052471854.4631</v>
      </c>
      <c r="BQ134" s="17">
        <f>'[1]资源-木石铜粮'!W134</f>
        <v>1629559589338.3054</v>
      </c>
      <c r="BR134" s="17">
        <f>'[1]资源-木石铜粮'!X134</f>
        <v>1440827293275.8623</v>
      </c>
      <c r="BS134" s="17">
        <f>'[1]资源-木石铜粮'!Y134</f>
        <v>1065478358276.7024</v>
      </c>
      <c r="BV134" s="49">
        <v>129</v>
      </c>
      <c r="BW134" s="47">
        <f>'[1]功能-城建'!EQ132+[1]养成buff汇总!H134+'[1]功能-采集'!BS133+[2]产出汇总!AY134+[1]养成buff汇总!GY134</f>
        <v>978168357832.47607</v>
      </c>
      <c r="BX134" s="47">
        <f>'[1]功能-城建'!ER132+[1]养成buff汇总!I134+'[1]功能-采集'!BT133+[2]产出汇总!AZ134+[1]养成buff汇总!GZ134</f>
        <v>616314854843.55652</v>
      </c>
      <c r="BY134" s="47">
        <f>'[1]功能-城建'!ES132+[1]养成buff汇总!J134+'[1]功能-采集'!BU133+[2]产出汇总!BA134+[1]养成buff汇总!HA134</f>
        <v>714390763066.0957</v>
      </c>
      <c r="BZ134" s="47">
        <f>'[1]功能-城建'!ET132+[1]养成buff汇总!K134+'[1]功能-采集'!BV133+[2]产出汇总!BB134+[1]养成buff汇总!HB134</f>
        <v>387357663078.03186</v>
      </c>
      <c r="CA134" s="47">
        <f>'[1]功能-城建'!EU132+[1]养成buff汇总!L134+'[1]功能-采集'!BW133+[2]产出汇总!BC134+[1]养成buff汇总!HC134</f>
        <v>347487302757.78864</v>
      </c>
      <c r="CD134" s="49">
        <v>129</v>
      </c>
      <c r="CE134" s="44">
        <f>'[1]资源-铁'!T134</f>
        <v>374060783091.57581</v>
      </c>
      <c r="CF134" s="44">
        <f>'[1]资源-铁'!U134</f>
        <v>502034170066.75012</v>
      </c>
      <c r="CG134" s="44">
        <f>'[1]资源-铁'!V134</f>
        <v>629497458729.58911</v>
      </c>
      <c r="CH134" s="44">
        <f>'[1]资源-铁'!W134</f>
        <v>755313759482.6908</v>
      </c>
      <c r="CI134" s="44">
        <f>'[1]资源-铁'!X134</f>
        <v>996805061079.06628</v>
      </c>
      <c r="CL134" s="49">
        <v>129</v>
      </c>
      <c r="CM134" s="44">
        <f>'[1]功能-城建'!HF132+[1]养成buff汇总!S134+'[1]功能-采集'!BX133</f>
        <v>307828978787.31268</v>
      </c>
      <c r="CN134" s="44">
        <f>'[1]功能-城建'!HG132+[1]养成buff汇总!T134+'[1]功能-采集'!BY133</f>
        <v>201325507337.85867</v>
      </c>
      <c r="CO134" s="44">
        <f>'[1]功能-城建'!HH132+[1]养成buff汇总!U134+'[1]功能-采集'!BZ133</f>
        <v>237000233338.55911</v>
      </c>
      <c r="CP134" s="44">
        <f>'[1]功能-城建'!HI132+[1]养成buff汇总!V134+'[1]功能-采集'!CA133</f>
        <v>127125716008.53081</v>
      </c>
      <c r="CQ134" s="44">
        <f>'[1]功能-城建'!HJ132+[1]养成buff汇总!W134+'[1]功能-采集'!CB133</f>
        <v>120503190867.29218</v>
      </c>
      <c r="CT134" s="49">
        <v>129</v>
      </c>
      <c r="CU134" s="17">
        <f>'[1]资源-玩家城池建筑时间'!AJ134+CU133</f>
        <v>4643746782.4121275</v>
      </c>
      <c r="CV134" s="17">
        <f>'[1]资源-玩家城池建筑时间'!AK134+CV133</f>
        <v>4922901173.1150131</v>
      </c>
      <c r="CW134" s="17">
        <f>'[1]资源-玩家城池建筑时间'!AL134+CW133</f>
        <v>5245836970.6528711</v>
      </c>
      <c r="CX134" s="17">
        <f>'[1]资源-玩家城池建筑时间'!AM134+CX133</f>
        <v>5620100986.4569311</v>
      </c>
      <c r="CY134" s="17">
        <f>'[1]资源-玩家城池建筑时间'!AN134+CY133</f>
        <v>6053949930.3289766</v>
      </c>
      <c r="DB134" s="49">
        <v>129</v>
      </c>
      <c r="DC134" s="17">
        <f>'[1]资源-士兵训练时间'!U134</f>
        <v>4781122783.3572493</v>
      </c>
      <c r="DD134" s="17">
        <f>'[1]资源-士兵训练时间'!V134</f>
        <v>6576580075.920064</v>
      </c>
      <c r="DE134" s="17">
        <f>'[1]资源-士兵训练时间'!W134</f>
        <v>8317152895.1644249</v>
      </c>
      <c r="DF134" s="17">
        <f>'[1]资源-士兵训练时间'!X134</f>
        <v>9980583474.1973114</v>
      </c>
      <c r="DG134" s="17">
        <f>'[1]资源-士兵训练时间'!Y134</f>
        <v>13307444632.263081</v>
      </c>
    </row>
    <row r="135" spans="2:111" x14ac:dyDescent="0.15">
      <c r="B135" s="34">
        <v>132</v>
      </c>
      <c r="C135" s="35">
        <f>'[1]资源-钻石'!L135</f>
        <v>7422493.9634385649</v>
      </c>
      <c r="D135" s="35">
        <f>'[1]资源-钻石'!M135</f>
        <v>10768098.618489966</v>
      </c>
      <c r="E135" s="35">
        <f>'[1]资源-钻石'!N135</f>
        <v>15876986.507590445</v>
      </c>
      <c r="F135" s="35">
        <f>'[1]资源-钻石'!O135</f>
        <v>40536904.662443206</v>
      </c>
      <c r="G135" s="35">
        <f>'[1]资源-钻石'!P135</f>
        <v>79768699.75562951</v>
      </c>
      <c r="I135" s="23">
        <v>132</v>
      </c>
      <c r="J135" s="24">
        <f>'[1]资源-钻石'!T135</f>
        <v>733568.32946648332</v>
      </c>
      <c r="K135" s="24">
        <f>'[1]资源-钻石'!U135</f>
        <v>1031205.1624131318</v>
      </c>
      <c r="L135" s="24">
        <f>'[1]资源-钻石'!V135</f>
        <v>1728667.6786544449</v>
      </c>
      <c r="M135" s="24">
        <f>'[1]资源-钻石'!W135</f>
        <v>4574204.4465198889</v>
      </c>
      <c r="N135" s="24">
        <f>'[1]资源-钻石'!X135</f>
        <v>10886267.391171876</v>
      </c>
      <c r="P135" s="28">
        <v>132</v>
      </c>
      <c r="Q135" s="28">
        <f>'[1]功能-行军令'!N135</f>
        <v>432820.29851024237</v>
      </c>
      <c r="R135" s="28">
        <f>'[1]功能-行军令'!O135</f>
        <v>534904.72956865281</v>
      </c>
      <c r="S135" s="28">
        <f>'[1]功能-行军令'!P135</f>
        <v>581124.29196739208</v>
      </c>
      <c r="T135" s="28">
        <f>'[1]功能-行军令'!Q135</f>
        <v>468095.15283882717</v>
      </c>
      <c r="U135" s="28">
        <f>'[1]功能-行军令'!R135</f>
        <v>250426.06106325664</v>
      </c>
      <c r="V135" s="28">
        <f>'[1]功能-行军令'!S135</f>
        <v>28987.761075765884</v>
      </c>
      <c r="W135" s="28">
        <f>'[1]功能-行军令'!T135</f>
        <v>36177.691114817862</v>
      </c>
      <c r="X135" s="28">
        <f>'[1]功能-行军令'!U135</f>
        <v>40118.620534628979</v>
      </c>
      <c r="Y135" s="28">
        <f>'[1]功能-行军令'!V135</f>
        <v>30898.14674087835</v>
      </c>
      <c r="Z135" s="28">
        <f>'[1]功能-行军令'!W135</f>
        <v>16048.679510850576</v>
      </c>
      <c r="AC135" s="30">
        <v>132</v>
      </c>
      <c r="AD135" s="41">
        <f>'[1]功能-实力'!BE136</f>
        <v>31559016</v>
      </c>
      <c r="AE135" s="41">
        <f>'[1]功能-实力'!BF136</f>
        <v>32767080</v>
      </c>
      <c r="AF135" s="41">
        <f>'[1]功能-实力'!BG136</f>
        <v>34030848</v>
      </c>
      <c r="AG135" s="41">
        <f>'[1]功能-实力'!BH136</f>
        <v>35616192</v>
      </c>
      <c r="AH135" s="41">
        <f>'[1]功能-实力'!BI136</f>
        <v>36464382</v>
      </c>
      <c r="AL135" s="37">
        <f>[3]基础状态预期!C145</f>
        <v>45850</v>
      </c>
      <c r="AM135" s="37">
        <f>[3]基础状态预期!D145</f>
        <v>155.2512378743358</v>
      </c>
      <c r="AO135" s="37">
        <f>[3]基础状态预期!F145</f>
        <v>0</v>
      </c>
      <c r="AP135" s="37">
        <f>[3]基础状态预期!G145</f>
        <v>0</v>
      </c>
      <c r="AQ135" s="37">
        <f>[3]基础状态预期!H145</f>
        <v>0</v>
      </c>
      <c r="AR135" s="37">
        <f>[3]基础状态预期!I145</f>
        <v>0</v>
      </c>
      <c r="AS135" s="37">
        <f>[3]基础状态预期!J145</f>
        <v>6</v>
      </c>
      <c r="AW135" s="32">
        <v>129</v>
      </c>
      <c r="AX135" s="32">
        <f>[1]节奏总纲!BJ132</f>
        <v>3.4999999999999978</v>
      </c>
      <c r="AY135" s="32">
        <f>[1]节奏总纲!BK132</f>
        <v>3.5699999999999976</v>
      </c>
      <c r="AZ135" s="32">
        <f>[1]节奏总纲!BL132</f>
        <v>3.7099999999999977</v>
      </c>
      <c r="BA135" s="32">
        <f>[1]节奏总纲!BM132</f>
        <v>3.9899999999999971</v>
      </c>
      <c r="BB135" s="32">
        <f>[1]节奏总纲!BN132</f>
        <v>4.8999999999999968</v>
      </c>
      <c r="BF135" s="42">
        <f>'[1]功能-行军令'!FZ133</f>
        <v>129</v>
      </c>
      <c r="BG135" s="42">
        <f>'[1]功能-行军令'!GA133*'[1]功能-行军令'!GB133</f>
        <v>971.91016594092309</v>
      </c>
      <c r="BN135" s="49">
        <v>130</v>
      </c>
      <c r="BO135" s="17">
        <f>'[1]资源-木石铜粮'!U135</f>
        <v>1464678710349.5801</v>
      </c>
      <c r="BP135" s="17">
        <f>'[1]资源-木石铜粮'!V135</f>
        <v>1685408754789.5583</v>
      </c>
      <c r="BQ135" s="17">
        <f>'[1]资源-木石铜粮'!W135</f>
        <v>1793395269352.0449</v>
      </c>
      <c r="BR135" s="17">
        <f>'[1]资源-木石铜粮'!X135</f>
        <v>1584424285893.5513</v>
      </c>
      <c r="BS135" s="17">
        <f>'[1]资源-木石铜粮'!Y135</f>
        <v>1168236582728.2896</v>
      </c>
      <c r="BV135" s="49">
        <v>130</v>
      </c>
      <c r="BW135" s="47">
        <f>'[1]功能-城建'!EQ133+[1]养成buff汇总!H135+'[1]功能-采集'!BS134+[2]产出汇总!AY135+[1]养成buff汇总!GY135</f>
        <v>1057126142182.0286</v>
      </c>
      <c r="BX135" s="47">
        <f>'[1]功能-城建'!ER133+[1]养成buff汇总!I135+'[1]功能-采集'!BT134+[2]产出汇总!AZ135+[1]养成buff汇总!GZ135</f>
        <v>667409901521.33667</v>
      </c>
      <c r="BY135" s="47">
        <f>'[1]功能-城建'!ES133+[1]养成buff汇总!J135+'[1]功能-采集'!BU134+[2]产出汇总!BA135+[1]养成buff汇总!HA135</f>
        <v>774143161638.84875</v>
      </c>
      <c r="BZ135" s="47">
        <f>'[1]功能-城建'!ET133+[1]养成buff汇总!K135+'[1]功能-采集'!BV134+[2]产出汇总!BB135+[1]养成buff汇总!HB135</f>
        <v>420302329893.10022</v>
      </c>
      <c r="CA135" s="47">
        <f>'[1]功能-城建'!EU133+[1]养成buff汇总!L135+'[1]功能-采集'!BW134+[2]产出汇总!BC135+[1]养成buff汇总!HC135</f>
        <v>377091381547.1579</v>
      </c>
      <c r="CD135" s="49">
        <v>130</v>
      </c>
      <c r="CE135" s="44">
        <f>'[1]资源-铁'!T135</f>
        <v>399001405212.59888</v>
      </c>
      <c r="CF135" s="44">
        <f>'[1]资源-铁'!U135</f>
        <v>515930846338.35388</v>
      </c>
      <c r="CG135" s="44">
        <f>'[1]资源-铁'!V135</f>
        <v>636283384457.16052</v>
      </c>
      <c r="CH135" s="44">
        <f>'[1]资源-铁'!W135</f>
        <v>765985914425.05566</v>
      </c>
      <c r="CI135" s="44">
        <f>'[1]资源-铁'!X135</f>
        <v>1013521688217.0768</v>
      </c>
      <c r="CL135" s="49">
        <v>130</v>
      </c>
      <c r="CM135" s="44">
        <f>'[1]功能-城建'!HF133+[1]养成buff汇总!S135+'[1]功能-采集'!BX134</f>
        <v>332702230682.547</v>
      </c>
      <c r="CN135" s="44">
        <f>'[1]功能-城建'!HG133+[1]养成buff汇总!T135+'[1]功能-采集'!BY134</f>
        <v>217928697260.35959</v>
      </c>
      <c r="CO135" s="44">
        <f>'[1]功能-城建'!HH133+[1]养成buff汇总!U135+'[1]功能-采集'!BZ134</f>
        <v>256821683580.52545</v>
      </c>
      <c r="CP135" s="44">
        <f>'[1]功能-城建'!HI133+[1]养成buff汇总!V135+'[1]功能-采集'!CA134</f>
        <v>137815751127.87933</v>
      </c>
      <c r="CQ135" s="44">
        <f>'[1]功能-城建'!HJ133+[1]养成buff汇总!W135+'[1]功能-采集'!CB134</f>
        <v>130779113270.8179</v>
      </c>
      <c r="CT135" s="49">
        <v>130</v>
      </c>
      <c r="CU135" s="17">
        <f>'[1]资源-玩家城池建筑时间'!AJ135+CU134</f>
        <v>4988495150.1413183</v>
      </c>
      <c r="CV135" s="17">
        <f>'[1]资源-玩家城池建筑时间'!AK135+CV134</f>
        <v>5295299128.7658567</v>
      </c>
      <c r="CW135" s="17">
        <f>'[1]资源-玩家城池建筑时间'!AL135+CW134</f>
        <v>5648388102.1625328</v>
      </c>
      <c r="CX135" s="17">
        <f>'[1]资源-玩家城池建筑时间'!AM135+CX134</f>
        <v>6054289685.0014267</v>
      </c>
      <c r="CY135" s="17">
        <f>'[1]资源-玩家城池建筑时间'!AN135+CY134</f>
        <v>6526852703.721386</v>
      </c>
      <c r="DB135" s="49">
        <v>130</v>
      </c>
      <c r="DC135" s="17">
        <f>'[1]资源-士兵训练时间'!U135</f>
        <v>4967989481.759223</v>
      </c>
      <c r="DD135" s="17">
        <f>'[1]资源-士兵训练时间'!V135</f>
        <v>6653722316.1315403</v>
      </c>
      <c r="DE135" s="17">
        <f>'[1]资源-士兵训练时间'!W135</f>
        <v>8317152895.1644249</v>
      </c>
      <c r="DF135" s="17">
        <f>'[1]资源-士兵训练时间'!X135</f>
        <v>9980583474.1973114</v>
      </c>
      <c r="DG135" s="17">
        <f>'[1]资源-士兵训练时间'!Y135</f>
        <v>13307444632.263081</v>
      </c>
    </row>
    <row r="136" spans="2:111" x14ac:dyDescent="0.15">
      <c r="B136" s="34">
        <v>133</v>
      </c>
      <c r="C136" s="35">
        <f>'[1]资源-钻石'!L136</f>
        <v>7540480.3047474641</v>
      </c>
      <c r="D136" s="35">
        <f>'[1]资源-钻石'!M136</f>
        <v>10948216.341696223</v>
      </c>
      <c r="E136" s="35">
        <f>'[1]资源-钻石'!N136</f>
        <v>16148382.363025829</v>
      </c>
      <c r="F136" s="35">
        <f>'[1]资源-钻石'!O136</f>
        <v>41305772.471316524</v>
      </c>
      <c r="G136" s="35">
        <f>'[1]资源-钻石'!P136</f>
        <v>81575817.782198399</v>
      </c>
      <c r="I136" s="25">
        <v>133</v>
      </c>
      <c r="J136" s="24">
        <f>'[1]资源-钻石'!T136</f>
        <v>737897.05551486427</v>
      </c>
      <c r="K136" s="24">
        <f>'[1]资源-钻石'!U136</f>
        <v>1037646.7610663506</v>
      </c>
      <c r="L136" s="24">
        <f>'[1]资源-钻石'!V136</f>
        <v>1740205.4371729859</v>
      </c>
      <c r="M136" s="24">
        <f>'[1]资源-钻石'!W136</f>
        <v>4606915.9808902843</v>
      </c>
      <c r="N136" s="24">
        <f>'[1]资源-钻石'!X136</f>
        <v>10966105.078979312</v>
      </c>
      <c r="P136" s="28">
        <v>133</v>
      </c>
      <c r="Q136" s="28">
        <f>'[1]功能-行军令'!N136</f>
        <v>463888.61156959157</v>
      </c>
      <c r="R136" s="28">
        <f>'[1]功能-行军令'!O136</f>
        <v>573706.17273066507</v>
      </c>
      <c r="S136" s="28">
        <f>'[1]功能-行军令'!P136</f>
        <v>621277.94984712673</v>
      </c>
      <c r="T136" s="28">
        <f>'[1]功能-行军令'!Q136</f>
        <v>499306.50706292992</v>
      </c>
      <c r="U136" s="28">
        <f>'[1]功能-行军令'!R136</f>
        <v>267363.20973163756</v>
      </c>
      <c r="V136" s="28">
        <f>'[1]功能-行军令'!S136</f>
        <v>31068.313059349195</v>
      </c>
      <c r="W136" s="28">
        <f>'[1]功能-行军令'!T136</f>
        <v>38801.443162012263</v>
      </c>
      <c r="X136" s="28">
        <f>'[1]功能-行军令'!U136</f>
        <v>40153.657879734645</v>
      </c>
      <c r="Y136" s="28">
        <f>'[1]功能-行军令'!V136</f>
        <v>31211.354224102746</v>
      </c>
      <c r="Z136" s="28">
        <f>'[1]功能-行军令'!W136</f>
        <v>16937.14866838092</v>
      </c>
      <c r="AC136" s="30">
        <v>133</v>
      </c>
      <c r="AD136" s="41">
        <f>'[1]功能-实力'!BE137</f>
        <v>32306550</v>
      </c>
      <c r="AE136" s="41">
        <f>'[1]功能-实力'!BF137</f>
        <v>33426864</v>
      </c>
      <c r="AF136" s="41">
        <f>'[1]功能-实力'!BG137</f>
        <v>34681356</v>
      </c>
      <c r="AG136" s="41">
        <f>'[1]功能-实力'!BH137</f>
        <v>36248292</v>
      </c>
      <c r="AH136" s="41">
        <f>'[1]功能-实力'!BI137</f>
        <v>37072020</v>
      </c>
      <c r="AW136" s="32">
        <v>130</v>
      </c>
      <c r="AX136" s="32">
        <f>[1]节奏总纲!BJ133</f>
        <v>3.4999999999999978</v>
      </c>
      <c r="AY136" s="32">
        <f>[1]节奏总纲!BK133</f>
        <v>3.5699999999999976</v>
      </c>
      <c r="AZ136" s="32">
        <f>[1]节奏总纲!BL133</f>
        <v>3.7099999999999977</v>
      </c>
      <c r="BA136" s="32">
        <f>[1]节奏总纲!BM133</f>
        <v>3.9899999999999971</v>
      </c>
      <c r="BB136" s="32">
        <f>[1]节奏总纲!BN133</f>
        <v>4.8999999999999968</v>
      </c>
      <c r="BF136" s="42">
        <f>'[1]功能-行军令'!FZ134</f>
        <v>130</v>
      </c>
      <c r="BG136" s="42">
        <f>'[1]功能-行军令'!GA134*'[1]功能-行军令'!GB134</f>
        <v>991.34836925974162</v>
      </c>
      <c r="BN136" s="49">
        <v>131</v>
      </c>
      <c r="BO136" s="17">
        <f>'[1]资源-木石铜粮'!U136</f>
        <v>1607134420018.1367</v>
      </c>
      <c r="BP136" s="17">
        <f>'[1]资源-木石铜粮'!V136</f>
        <v>1851926765858.2568</v>
      </c>
      <c r="BQ136" s="17">
        <f>'[1]资源-木石铜粮'!W136</f>
        <v>1972776393213.5154</v>
      </c>
      <c r="BR136" s="17">
        <f>'[1]资源-木石铜粮'!X136</f>
        <v>1743335194341.2263</v>
      </c>
      <c r="BS136" s="17">
        <f>'[1]资源-木石铜粮'!Y136</f>
        <v>1275365835449.6416</v>
      </c>
      <c r="BV136" s="49">
        <v>131</v>
      </c>
      <c r="BW136" s="47">
        <f>'[1]功能-城建'!EQ134+[1]养成buff汇总!H136+'[1]功能-采集'!BS135+[2]产出汇总!AY136+[1]养成buff汇总!GY136</f>
        <v>1144740067917.5491</v>
      </c>
      <c r="BX136" s="47">
        <f>'[1]功能-城建'!ER134+[1]养成buff汇总!I136+'[1]功能-采集'!BT135+[2]产出汇总!AZ136+[1]养成buff汇总!GZ136</f>
        <v>723918932509.21729</v>
      </c>
      <c r="BY136" s="47">
        <f>'[1]功能-城建'!ES134+[1]养成buff汇总!J136+'[1]功能-采集'!BU135+[2]产出汇总!BA136+[1]养成buff汇总!HA136</f>
        <v>839170594587.8656</v>
      </c>
      <c r="BZ136" s="47">
        <f>'[1]功能-城建'!ET134+[1]养成buff汇总!K136+'[1]功能-采集'!BV135+[2]产出汇总!BB136+[1]养成buff汇总!HB136</f>
        <v>456957476194.13312</v>
      </c>
      <c r="CA136" s="47">
        <f>'[1]功能-城建'!EU134+[1]养成buff汇总!L136+'[1]功能-采集'!BW135+[2]产出汇总!BC136+[1]养成buff汇总!HC136</f>
        <v>408013815536.73566</v>
      </c>
      <c r="CD136" s="49">
        <v>131</v>
      </c>
      <c r="CE136" s="44">
        <f>'[1]资源-铁'!T136</f>
        <v>406760699791.52167</v>
      </c>
      <c r="CF136" s="44">
        <f>'[1]资源-铁'!U136</f>
        <v>521979334632.07819</v>
      </c>
      <c r="CG136" s="44">
        <f>'[1]资源-铁'!V136</f>
        <v>645487657794.16504</v>
      </c>
      <c r="CH136" s="44">
        <f>'[1]资源-铁'!W136</f>
        <v>779758237960.3606</v>
      </c>
      <c r="CI136" s="44">
        <f>'[1]资源-铁'!X136</f>
        <v>1029006576604.7277</v>
      </c>
      <c r="CL136" s="49">
        <v>131</v>
      </c>
      <c r="CM136" s="44">
        <f>'[1]功能-城建'!HF134+[1]养成buff汇总!S136+'[1]功能-采集'!BX135</f>
        <v>361319118817.73987</v>
      </c>
      <c r="CN136" s="44">
        <f>'[1]功能-城建'!HG134+[1]养成buff汇总!T136+'[1]功能-采集'!BY135</f>
        <v>237107225367.83282</v>
      </c>
      <c r="CO136" s="44">
        <f>'[1]功能-城建'!HH134+[1]养成buff汇总!U136+'[1]功能-采集'!BZ135</f>
        <v>279090240652.63586</v>
      </c>
      <c r="CP136" s="44">
        <f>'[1]功能-城建'!HI134+[1]养成buff汇总!V136+'[1]功能-采集'!CA135</f>
        <v>150289739115.39465</v>
      </c>
      <c r="CQ136" s="44">
        <f>'[1]功能-城建'!HJ134+[1]养成buff汇总!W136+'[1]功能-采集'!CB135</f>
        <v>141817489440.20261</v>
      </c>
      <c r="CT136" s="49">
        <v>131</v>
      </c>
      <c r="CU136" s="17">
        <f>'[1]资源-玩家城池建筑时间'!AJ136+CU135</f>
        <v>5359448307.6782303</v>
      </c>
      <c r="CV136" s="17">
        <f>'[1]资源-玩家城池建筑时间'!AK136+CV135</f>
        <v>5691242301.4026146</v>
      </c>
      <c r="CW136" s="17">
        <f>'[1]资源-玩家城池建筑时间'!AL136+CW135</f>
        <v>6073425222.4213305</v>
      </c>
      <c r="CX136" s="17">
        <f>'[1]资源-玩家城池建筑时间'!AM136+CX135</f>
        <v>6519150261.3962154</v>
      </c>
      <c r="CY136" s="17">
        <f>'[1]资源-玩家城池建筑时间'!AN136+CY135</f>
        <v>7005647962.5694733</v>
      </c>
      <c r="DB136" s="49">
        <v>131</v>
      </c>
      <c r="DC136" s="17">
        <f>'[1]资源-士兵训练时间'!U136</f>
        <v>4990291737.0986557</v>
      </c>
      <c r="DD136" s="17">
        <f>'[1]资源-士兵训练时间'!V136</f>
        <v>6653722316.1315403</v>
      </c>
      <c r="DE136" s="17">
        <f>'[1]资源-士兵训练时间'!W136</f>
        <v>8317152895.1644249</v>
      </c>
      <c r="DF136" s="17">
        <f>'[1]资源-士兵训练时间'!X136</f>
        <v>9980583474.1973114</v>
      </c>
      <c r="DG136" s="17">
        <f>'[1]资源-士兵训练时间'!Y136</f>
        <v>13307444632.263081</v>
      </c>
    </row>
    <row r="137" spans="2:111" x14ac:dyDescent="0.15">
      <c r="B137" s="34">
        <v>134</v>
      </c>
      <c r="C137" s="35">
        <f>'[1]资源-钻石'!L137</f>
        <v>7658466.6460563634</v>
      </c>
      <c r="D137" s="35">
        <f>'[1]资源-钻石'!M137</f>
        <v>11128334.064902481</v>
      </c>
      <c r="E137" s="35">
        <f>'[1]资源-钻石'!N137</f>
        <v>16419778.218461214</v>
      </c>
      <c r="F137" s="35">
        <f>'[1]资源-钻石'!O137</f>
        <v>42074640.280189842</v>
      </c>
      <c r="G137" s="35">
        <f>'[1]资源-钻石'!P137</f>
        <v>83382935.808767289</v>
      </c>
      <c r="I137" s="25">
        <v>134</v>
      </c>
      <c r="J137" s="24">
        <f>'[1]资源-钻石'!T137</f>
        <v>742225.78156324511</v>
      </c>
      <c r="K137" s="24">
        <f>'[1]资源-钻石'!U137</f>
        <v>1044088.3597195696</v>
      </c>
      <c r="L137" s="24">
        <f>'[1]资源-钻石'!V137</f>
        <v>1751743.1956915266</v>
      </c>
      <c r="M137" s="24">
        <f>'[1]资源-钻石'!W137</f>
        <v>4639627.5152606787</v>
      </c>
      <c r="N137" s="24">
        <f>'[1]资源-钻石'!X137</f>
        <v>11045942.766786745</v>
      </c>
      <c r="P137" s="28">
        <v>134</v>
      </c>
      <c r="Q137" s="28">
        <f>'[1]功能-行军令'!N137</f>
        <v>497186.80503237102</v>
      </c>
      <c r="R137" s="28">
        <f>'[1]功能-行军令'!O137</f>
        <v>613149.14226088859</v>
      </c>
      <c r="S137" s="28">
        <f>'[1]功能-行军令'!P137</f>
        <v>662824.58912890544</v>
      </c>
      <c r="T137" s="28">
        <f>'[1]功能-行军令'!Q137</f>
        <v>533031.81199344399</v>
      </c>
      <c r="U137" s="28">
        <f>'[1]功能-行军令'!R137</f>
        <v>285886.73625713534</v>
      </c>
      <c r="V137" s="28">
        <f>'[1]功能-行军令'!S137</f>
        <v>33298.193462779454</v>
      </c>
      <c r="W137" s="28">
        <f>'[1]功能-行军令'!T137</f>
        <v>39442.96953022352</v>
      </c>
      <c r="X137" s="28">
        <f>'[1]功能-行军令'!U137</f>
        <v>41546.639281778713</v>
      </c>
      <c r="Y137" s="28">
        <f>'[1]功能-行军令'!V137</f>
        <v>33725.304930514074</v>
      </c>
      <c r="Z137" s="28">
        <f>'[1]功能-行军令'!W137</f>
        <v>18523.526525497786</v>
      </c>
      <c r="AC137" s="30">
        <v>134</v>
      </c>
      <c r="AD137" s="41">
        <f>'[1]功能-实力'!BE138</f>
        <v>33072996</v>
      </c>
      <c r="AE137" s="41">
        <f>'[1]功能-实力'!BF138</f>
        <v>34062330</v>
      </c>
      <c r="AF137" s="41">
        <f>'[1]功能-实力'!BG138</f>
        <v>35303910</v>
      </c>
      <c r="AG137" s="41">
        <f>'[1]功能-实力'!BH138</f>
        <v>36897060</v>
      </c>
      <c r="AH137" s="41">
        <f>'[1]功能-实力'!BI138</f>
        <v>37686372</v>
      </c>
      <c r="AW137" s="32">
        <v>131</v>
      </c>
      <c r="AX137" s="32">
        <f>[1]节奏总纲!BJ134</f>
        <v>3.4999999999999978</v>
      </c>
      <c r="AY137" s="32">
        <f>[1]节奏总纲!BK134</f>
        <v>3.5699999999999976</v>
      </c>
      <c r="AZ137" s="32">
        <f>[1]节奏总纲!BL134</f>
        <v>3.7099999999999977</v>
      </c>
      <c r="BA137" s="32">
        <f>[1]节奏总纲!BM134</f>
        <v>3.9899999999999971</v>
      </c>
      <c r="BB137" s="32">
        <f>[1]节奏总纲!BN134</f>
        <v>4.8999999999999968</v>
      </c>
      <c r="BF137" s="42">
        <f>'[1]功能-行军令'!FZ135</f>
        <v>131</v>
      </c>
      <c r="BG137" s="42">
        <f>'[1]功能-行军令'!GA135*'[1]功能-行军令'!GB135</f>
        <v>1011.1753366449365</v>
      </c>
      <c r="BN137" s="49">
        <v>132</v>
      </c>
      <c r="BO137" s="17">
        <f>'[1]资源-木石铜粮'!U137</f>
        <v>1763257179016.4119</v>
      </c>
      <c r="BP137" s="17">
        <f>'[1]资源-木石铜粮'!V137</f>
        <v>2036546692777.168</v>
      </c>
      <c r="BQ137" s="17">
        <f>'[1]资源-木石铜粮'!W137</f>
        <v>2174116015907.3025</v>
      </c>
      <c r="BR137" s="17">
        <f>'[1]资源-木石铜粮'!X137</f>
        <v>1910310446607.8694</v>
      </c>
      <c r="BS137" s="17">
        <f>'[1]资源-木石铜粮'!Y137</f>
        <v>1387583360451.2336</v>
      </c>
      <c r="BV137" s="49">
        <v>132</v>
      </c>
      <c r="BW137" s="47">
        <f>'[1]功能-城建'!EQ135+[1]养成buff汇总!H137+'[1]功能-采集'!BS136+[2]产出汇总!AY137+[1]养成buff汇总!GY137</f>
        <v>1238795171802.0042</v>
      </c>
      <c r="BX137" s="47">
        <f>'[1]功能-城建'!ER135+[1]养成buff汇总!I137+'[1]功能-采集'!BT136+[2]产出汇总!AZ137+[1]养成buff汇总!GZ137</f>
        <v>784974685045.5094</v>
      </c>
      <c r="BY137" s="47">
        <f>'[1]功能-城建'!ES135+[1]养成buff汇总!J137+'[1]功能-采集'!BU136+[2]产出汇总!BA137+[1]养成buff汇总!HA137</f>
        <v>910594929262.479</v>
      </c>
      <c r="BZ137" s="47">
        <f>'[1]功能-城建'!ET135+[1]养成buff汇总!K137+'[1]功能-采集'!BV136+[2]产出汇总!BB137+[1]养成buff汇总!HB137</f>
        <v>494501071361.02985</v>
      </c>
      <c r="CA137" s="47">
        <f>'[1]功能-城建'!EU135+[1]养成buff汇总!L137+'[1]功能-采集'!BW136+[2]产出汇总!BC137+[1]养成buff汇总!HC137</f>
        <v>439979228001.85229</v>
      </c>
      <c r="CD137" s="49">
        <v>132</v>
      </c>
      <c r="CE137" s="44">
        <f>'[1]资源-铁'!T137</f>
        <v>412528969754.46191</v>
      </c>
      <c r="CF137" s="44">
        <f>'[1]资源-铁'!U137</f>
        <v>530785297995.25104</v>
      </c>
      <c r="CG137" s="44">
        <f>'[1]资源-铁'!V137</f>
        <v>657772297164.42773</v>
      </c>
      <c r="CH137" s="44">
        <f>'[1]资源-铁'!W137</f>
        <v>792912014666.82642</v>
      </c>
      <c r="CI137" s="44">
        <f>'[1]资源-铁'!X137</f>
        <v>1043164996933.0262</v>
      </c>
      <c r="CL137" s="49">
        <v>132</v>
      </c>
      <c r="CM137" s="44">
        <f>'[1]功能-城建'!HF135+[1]养成buff汇总!S137+'[1]功能-采集'!BX136</f>
        <v>392022412019.57056</v>
      </c>
      <c r="CN137" s="44">
        <f>'[1]功能-城建'!HG135+[1]养成buff汇总!T137+'[1]功能-采集'!BY136</f>
        <v>257861645815.72491</v>
      </c>
      <c r="CO137" s="44">
        <f>'[1]功能-城建'!HH135+[1]养成buff汇总!U137+'[1]功能-采集'!BZ136</f>
        <v>303552559753.27783</v>
      </c>
      <c r="CP137" s="44">
        <f>'[1]功能-城建'!HI135+[1]养成buff汇总!V137+'[1]功能-采集'!CA136</f>
        <v>163092181555.34409</v>
      </c>
      <c r="CQ137" s="44">
        <f>'[1]功能-城建'!HJ135+[1]养成buff汇总!W137+'[1]功能-采集'!CB136</f>
        <v>153277879147.07913</v>
      </c>
      <c r="CT137" s="49">
        <v>132</v>
      </c>
      <c r="CU137" s="17">
        <f>'[1]资源-玩家城池建筑时间'!AJ137+CU136</f>
        <v>5757222276.7510529</v>
      </c>
      <c r="CV137" s="17">
        <f>'[1]资源-玩家城池建筑时间'!AK137+CV136</f>
        <v>6118461910.9458342</v>
      </c>
      <c r="CW137" s="17">
        <f>'[1]资源-玩家城池建筑时间'!AL137+CW136</f>
        <v>6539263061.7037086</v>
      </c>
      <c r="CX137" s="17">
        <f>'[1]资源-玩家城池建筑时间'!AM137+CX136</f>
        <v>6995453434.9056206</v>
      </c>
      <c r="CY137" s="17">
        <f>'[1]资源-玩家城池建筑时间'!AN137+CY136</f>
        <v>7501724860.3338079</v>
      </c>
      <c r="DB137" s="49">
        <v>132</v>
      </c>
      <c r="DC137" s="17">
        <f>'[1]资源-士兵训练时间'!U137</f>
        <v>4990291737.0986557</v>
      </c>
      <c r="DD137" s="17">
        <f>'[1]资源-士兵训练时间'!V137</f>
        <v>6653722316.1315403</v>
      </c>
      <c r="DE137" s="17">
        <f>'[1]资源-士兵训练时间'!W137</f>
        <v>8317152895.1644249</v>
      </c>
      <c r="DF137" s="17">
        <f>'[1]资源-士兵训练时间'!X137</f>
        <v>9980583474.1973114</v>
      </c>
      <c r="DG137" s="17">
        <f>'[1]资源-士兵训练时间'!Y137</f>
        <v>13307444632.263081</v>
      </c>
    </row>
    <row r="138" spans="2:111" x14ac:dyDescent="0.15">
      <c r="B138" s="34">
        <v>135</v>
      </c>
      <c r="C138" s="35">
        <f>'[1]资源-钻石'!L138</f>
        <v>7776452.9873652626</v>
      </c>
      <c r="D138" s="35">
        <f>'[1]资源-钻石'!M138</f>
        <v>11308451.788108738</v>
      </c>
      <c r="E138" s="35">
        <f>'[1]资源-钻石'!N138</f>
        <v>16691174.073896598</v>
      </c>
      <c r="F138" s="35">
        <f>'[1]资源-钻石'!O138</f>
        <v>42843508.08906316</v>
      </c>
      <c r="G138" s="35">
        <f>'[1]资源-钻石'!P138</f>
        <v>85190053.835336179</v>
      </c>
      <c r="I138" s="23">
        <v>135</v>
      </c>
      <c r="J138" s="24">
        <f>'[1]资源-钻石'!T138</f>
        <v>746554.50761162594</v>
      </c>
      <c r="K138" s="24">
        <f>'[1]资源-钻石'!U138</f>
        <v>1050529.9583727885</v>
      </c>
      <c r="L138" s="24">
        <f>'[1]资源-钻石'!V138</f>
        <v>1763280.9542100674</v>
      </c>
      <c r="M138" s="24">
        <f>'[1]资源-钻石'!W138</f>
        <v>4672339.0496310741</v>
      </c>
      <c r="N138" s="24">
        <f>'[1]资源-钻石'!X138</f>
        <v>11125780.45459418</v>
      </c>
      <c r="P138" s="28">
        <v>135</v>
      </c>
      <c r="Q138" s="28">
        <f>'[1]功能-行军令'!N138</f>
        <v>532874.92513617827</v>
      </c>
      <c r="R138" s="28">
        <f>'[1]功能-行军令'!O138</f>
        <v>656384.90696899174</v>
      </c>
      <c r="S138" s="28">
        <f>'[1]功能-行军令'!P138</f>
        <v>709453.45739380363</v>
      </c>
      <c r="T138" s="28">
        <f>'[1]功能-行军令'!Q138</f>
        <v>571531.52568355715</v>
      </c>
      <c r="U138" s="28">
        <f>'[1]功能-行军令'!R138</f>
        <v>306884.98623342562</v>
      </c>
      <c r="V138" s="28">
        <f>'[1]功能-行军令'!S138</f>
        <v>35688.120103807247</v>
      </c>
      <c r="W138" s="28">
        <f>'[1]功能-行军令'!T138</f>
        <v>43235.764708103146</v>
      </c>
      <c r="X138" s="28">
        <f>'[1]功能-行军令'!U138</f>
        <v>46628.868264898192</v>
      </c>
      <c r="Y138" s="28">
        <f>'[1]功能-行军令'!V138</f>
        <v>38499.71369011316</v>
      </c>
      <c r="Z138" s="28">
        <f>'[1]功能-行军令'!W138</f>
        <v>20998.249976290273</v>
      </c>
      <c r="AC138" s="30">
        <v>135</v>
      </c>
      <c r="AD138" s="41">
        <f>'[1]功能-实力'!BE139</f>
        <v>33811938</v>
      </c>
      <c r="AE138" s="41">
        <f>'[1]功能-实力'!BF139</f>
        <v>34682040</v>
      </c>
      <c r="AF138" s="41">
        <f>'[1]功能-实力'!BG139</f>
        <v>35948088</v>
      </c>
      <c r="AG138" s="41">
        <f>'[1]功能-实力'!BH139</f>
        <v>37558416</v>
      </c>
      <c r="AH138" s="41">
        <f>'[1]功能-实力'!BI139</f>
        <v>38324472</v>
      </c>
      <c r="AW138" s="32">
        <v>132</v>
      </c>
      <c r="AX138" s="32">
        <f>[1]节奏总纲!BJ135</f>
        <v>3.4999999999999978</v>
      </c>
      <c r="AY138" s="32">
        <f>[1]节奏总纲!BK135</f>
        <v>3.5699999999999976</v>
      </c>
      <c r="AZ138" s="32">
        <f>[1]节奏总纲!BL135</f>
        <v>3.7099999999999977</v>
      </c>
      <c r="BA138" s="32">
        <f>[1]节奏总纲!BM135</f>
        <v>3.9899999999999971</v>
      </c>
      <c r="BB138" s="32">
        <f>[1]节奏总纲!BN135</f>
        <v>4.8999999999999968</v>
      </c>
      <c r="BF138" s="42">
        <f>'[1]功能-行军令'!FZ136</f>
        <v>132</v>
      </c>
      <c r="BG138" s="42">
        <f>'[1]功能-行军令'!GA136*'[1]功能-行军令'!GB136</f>
        <v>1031.3988433778352</v>
      </c>
      <c r="BN138" s="49">
        <v>133</v>
      </c>
      <c r="BO138" s="17">
        <f>'[1]资源-木石铜粮'!U138</f>
        <v>1936274763916.4993</v>
      </c>
      <c r="BP138" s="17">
        <f>'[1]资源-木石铜粮'!V138</f>
        <v>2240321546630.5493</v>
      </c>
      <c r="BQ138" s="17">
        <f>'[1]资源-木石铜粮'!W138</f>
        <v>2382549750552.064</v>
      </c>
      <c r="BR138" s="17">
        <f>'[1]资源-木石铜粮'!X138</f>
        <v>2084107470859.0068</v>
      </c>
      <c r="BS138" s="17">
        <f>'[1]资源-木石铜粮'!Y138</f>
        <v>1508218548740.0601</v>
      </c>
      <c r="BV138" s="49">
        <v>133</v>
      </c>
      <c r="BW138" s="47">
        <f>'[1]功能-城建'!EQ136+[1]养成buff汇总!H138+'[1]功能-采集'!BS137+[2]产出汇总!AY138+[1]养成buff汇总!GY138</f>
        <v>1340173619553.4812</v>
      </c>
      <c r="BX138" s="47">
        <f>'[1]功能-城建'!ER136+[1]养成buff汇总!I138+'[1]功能-采集'!BT137+[2]产出汇总!AZ138+[1]养成buff汇总!GZ138</f>
        <v>850672535746.56018</v>
      </c>
      <c r="BY138" s="47">
        <f>'[1]功能-城建'!ES136+[1]养成buff汇总!J138+'[1]功能-采集'!BU137+[2]产出汇总!BA138+[1]养成buff汇总!HA138</f>
        <v>982188221890.6488</v>
      </c>
      <c r="BZ138" s="47">
        <f>'[1]功能-城建'!ET136+[1]养成buff汇总!K138+'[1]功能-采集'!BV137+[2]产出汇总!BB138+[1]养成buff汇总!HB138</f>
        <v>532539938732.57678</v>
      </c>
      <c r="CA138" s="47">
        <f>'[1]功能-城建'!EU136+[1]养成buff汇总!L138+'[1]功能-采集'!BW137+[2]产出汇总!BC138+[1]养成buff汇总!HC138</f>
        <v>473688413488.07056</v>
      </c>
      <c r="CD138" s="49">
        <v>133</v>
      </c>
      <c r="CE138" s="44">
        <f>'[1]资源-铁'!T138</f>
        <v>421466422281.92413</v>
      </c>
      <c r="CF138" s="44">
        <f>'[1]资源-铁'!U138</f>
        <v>541702285218.01196</v>
      </c>
      <c r="CG138" s="44">
        <f>'[1]资源-铁'!V138</f>
        <v>669150398712.16663</v>
      </c>
      <c r="CH138" s="44">
        <f>'[1]资源-铁'!W138</f>
        <v>804976512971.12317</v>
      </c>
      <c r="CI138" s="44">
        <f>'[1]资源-铁'!X138</f>
        <v>1057394889921.49</v>
      </c>
      <c r="CL138" s="49">
        <v>133</v>
      </c>
      <c r="CM138" s="44">
        <f>'[1]功能-城建'!HF136+[1]养成buff汇总!S138+'[1]功能-采集'!BX137</f>
        <v>425174143017.41455</v>
      </c>
      <c r="CN138" s="44">
        <f>'[1]功能-城建'!HG136+[1]养成buff汇总!T138+'[1]功能-采集'!BY137</f>
        <v>280196077952.75159</v>
      </c>
      <c r="CO138" s="44">
        <f>'[1]功能-城建'!HH136+[1]养成buff汇总!U138+'[1]功能-采集'!BZ137</f>
        <v>328134246244.99878</v>
      </c>
      <c r="CP138" s="44">
        <f>'[1]功能-城建'!HI136+[1]养成buff汇总!V138+'[1]功能-采集'!CA137</f>
        <v>176089889904.29776</v>
      </c>
      <c r="CQ138" s="44">
        <f>'[1]功能-城建'!HJ136+[1]养成buff汇总!W138+'[1]功能-采集'!CB137</f>
        <v>165393882156.61188</v>
      </c>
      <c r="CT138" s="49">
        <v>133</v>
      </c>
      <c r="CU138" s="17">
        <f>'[1]资源-玩家城池建筑时间'!AJ138+CU137</f>
        <v>6185011171.5853825</v>
      </c>
      <c r="CV138" s="17">
        <f>'[1]资源-玩家城池建筑时间'!AK138+CV137</f>
        <v>6577410990.3010492</v>
      </c>
      <c r="CW138" s="17">
        <f>'[1]资源-玩家城池建筑时间'!AL138+CW137</f>
        <v>7006395671.285018</v>
      </c>
      <c r="CX138" s="17">
        <f>'[1]资源-玩家城池建筑时间'!AM138+CX137</f>
        <v>7477836791.3695717</v>
      </c>
      <c r="CY138" s="17">
        <f>'[1]资源-玩家城池建筑时间'!AN138+CY137</f>
        <v>8025769072.825264</v>
      </c>
      <c r="DB138" s="49">
        <v>133</v>
      </c>
      <c r="DC138" s="17">
        <f>'[1]资源-士兵训练时间'!U138</f>
        <v>4990291737.0986557</v>
      </c>
      <c r="DD138" s="17">
        <f>'[1]资源-士兵训练时间'!V138</f>
        <v>6653722316.1315403</v>
      </c>
      <c r="DE138" s="17">
        <f>'[1]资源-士兵训练时间'!W138</f>
        <v>8317152895.1644249</v>
      </c>
      <c r="DF138" s="17">
        <f>'[1]资源-士兵训练时间'!X138</f>
        <v>9980583474.1973114</v>
      </c>
      <c r="DG138" s="17">
        <f>'[1]资源-士兵训练时间'!Y138</f>
        <v>13307444632.263081</v>
      </c>
    </row>
    <row r="139" spans="2:111" x14ac:dyDescent="0.15">
      <c r="B139" s="34">
        <v>136</v>
      </c>
      <c r="C139" s="35">
        <f>'[1]资源-钻石'!L139</f>
        <v>7894439.3286741618</v>
      </c>
      <c r="D139" s="35">
        <f>'[1]资源-钻石'!M139</f>
        <v>11488569.511314996</v>
      </c>
      <c r="E139" s="35">
        <f>'[1]资源-钻石'!N139</f>
        <v>16962569.929331981</v>
      </c>
      <c r="F139" s="35">
        <f>'[1]资源-钻石'!O139</f>
        <v>43612375.897936478</v>
      </c>
      <c r="G139" s="35">
        <f>'[1]资源-钻石'!P139</f>
        <v>86997171.861905068</v>
      </c>
      <c r="I139" s="23">
        <v>136</v>
      </c>
      <c r="J139" s="24">
        <f>'[1]资源-钻石'!T139</f>
        <v>750883.23366000678</v>
      </c>
      <c r="K139" s="24">
        <f>'[1]资源-钻石'!U139</f>
        <v>1056971.5570260074</v>
      </c>
      <c r="L139" s="24">
        <f>'[1]资源-钻石'!V139</f>
        <v>1774818.7127286082</v>
      </c>
      <c r="M139" s="24">
        <f>'[1]资源-钻石'!W139</f>
        <v>4705050.5840014685</v>
      </c>
      <c r="N139" s="24">
        <f>'[1]资源-钻石'!X139</f>
        <v>11205618.142401613</v>
      </c>
      <c r="P139" s="28">
        <v>136</v>
      </c>
      <c r="Q139" s="28">
        <f>'[1]功能-行军令'!N139</f>
        <v>571124.50519124593</v>
      </c>
      <c r="R139" s="28">
        <f>'[1]功能-行军令'!O139</f>
        <v>703999.10447401193</v>
      </c>
      <c r="S139" s="28">
        <f>'[1]功能-行军令'!P139</f>
        <v>762976.40066008712</v>
      </c>
      <c r="T139" s="28">
        <f>'[1]功能-行军令'!Q139</f>
        <v>614601.97893643519</v>
      </c>
      <c r="U139" s="28">
        <f>'[1]功能-行军令'!R139</f>
        <v>330064.0257251226</v>
      </c>
      <c r="V139" s="28">
        <f>'[1]功能-行军令'!S139</f>
        <v>38249.580055067665</v>
      </c>
      <c r="W139" s="28">
        <f>'[1]功能-行军令'!T139</f>
        <v>47614.197505020187</v>
      </c>
      <c r="X139" s="28">
        <f>'[1]功能-行军令'!U139</f>
        <v>53522.943266283488</v>
      </c>
      <c r="Y139" s="28">
        <f>'[1]功能-行军令'!V139</f>
        <v>43070.45325287804</v>
      </c>
      <c r="Z139" s="28">
        <f>'[1]功能-行军令'!W139</f>
        <v>23179.039491696982</v>
      </c>
      <c r="AC139" s="30">
        <v>136</v>
      </c>
      <c r="AD139" s="41">
        <f>'[1]功能-实力'!BE140</f>
        <v>34506630</v>
      </c>
      <c r="AE139" s="41">
        <f>'[1]功能-实力'!BF140</f>
        <v>35367858</v>
      </c>
      <c r="AF139" s="41">
        <f>'[1]功能-实力'!BG140</f>
        <v>36657834</v>
      </c>
      <c r="AG139" s="41">
        <f>'[1]功能-实力'!BH140</f>
        <v>38295186</v>
      </c>
      <c r="AH139" s="41">
        <f>'[1]功能-实力'!BI140</f>
        <v>39020238</v>
      </c>
      <c r="AL139" s="66" t="s">
        <v>177</v>
      </c>
      <c r="AM139" s="66"/>
      <c r="AO139" s="17"/>
      <c r="AP139" s="17"/>
      <c r="AQ139" s="17"/>
      <c r="AR139" s="17"/>
      <c r="AS139" s="17"/>
      <c r="AW139" s="32">
        <v>133</v>
      </c>
      <c r="AX139" s="32">
        <f>[1]节奏总纲!BJ136</f>
        <v>3.4999999999999978</v>
      </c>
      <c r="AY139" s="32">
        <f>[1]节奏总纲!BK136</f>
        <v>3.5699999999999976</v>
      </c>
      <c r="AZ139" s="32">
        <f>[1]节奏总纲!BL136</f>
        <v>3.7099999999999977</v>
      </c>
      <c r="BA139" s="32">
        <f>[1]节奏总纲!BM136</f>
        <v>3.9899999999999971</v>
      </c>
      <c r="BB139" s="32">
        <f>[1]节奏总纲!BN136</f>
        <v>4.8999999999999968</v>
      </c>
      <c r="BF139" s="42">
        <f>'[1]功能-行军令'!FZ137</f>
        <v>133</v>
      </c>
      <c r="BG139" s="42">
        <f>'[1]功能-行军令'!GA137*'[1]功能-行军令'!GB137</f>
        <v>1052.0268202453919</v>
      </c>
      <c r="BN139" s="49">
        <v>134</v>
      </c>
      <c r="BO139" s="17">
        <f>'[1]资源-木石铜粮'!U139</f>
        <v>2126389270225.844</v>
      </c>
      <c r="BP139" s="17">
        <f>'[1]资源-木石铜粮'!V139</f>
        <v>2453905449667.2705</v>
      </c>
      <c r="BQ139" s="17">
        <f>'[1]资源-木石铜粮'!W139</f>
        <v>2603530163178.6289</v>
      </c>
      <c r="BR139" s="17">
        <f>'[1]资源-木石铜粮'!X139</f>
        <v>2275078466332.6523</v>
      </c>
      <c r="BS139" s="17">
        <f>'[1]资源-木石铜粮'!Y139</f>
        <v>1640315986296.6853</v>
      </c>
      <c r="BV139" s="49">
        <v>134</v>
      </c>
      <c r="BW139" s="47">
        <f>'[1]功能-城建'!EQ137+[1]养成buff汇总!H139+'[1]功能-采集'!BS138+[2]产出汇总!AY139+[1]养成buff汇总!GY139</f>
        <v>1449072727681.7341</v>
      </c>
      <c r="BX139" s="47">
        <f>'[1]功能-城建'!ER137+[1]养成buff汇总!I139+'[1]功能-采集'!BT138+[2]产出汇总!AZ139+[1]养成buff汇总!GZ139</f>
        <v>917726363782.79688</v>
      </c>
      <c r="BY139" s="47">
        <f>'[1]功能-城建'!ES137+[1]养成buff汇总!J139+'[1]功能-采集'!BU138+[2]产出汇总!BA139+[1]养成buff汇总!HA139</f>
        <v>1056319359593.1213</v>
      </c>
      <c r="BZ139" s="47">
        <f>'[1]功能-城建'!ET137+[1]养成buff汇总!K139+'[1]功能-采集'!BV138+[2]产出汇总!BB139+[1]养成buff汇总!HB139</f>
        <v>573635810945.23132</v>
      </c>
      <c r="CA139" s="47">
        <f>'[1]功能-城建'!EU137+[1]养成buff汇总!L139+'[1]功能-采集'!BW138+[2]产出汇总!BC139+[1]养成buff汇总!HC139</f>
        <v>510888607325.45923</v>
      </c>
      <c r="CD139" s="49">
        <v>134</v>
      </c>
      <c r="CE139" s="44">
        <f>'[1]资源-铁'!T139</f>
        <v>431863068224.71497</v>
      </c>
      <c r="CF139" s="44">
        <f>'[1]资源-铁'!U139</f>
        <v>552021298756.58594</v>
      </c>
      <c r="CG139" s="44">
        <f>'[1]资源-铁'!V139</f>
        <v>679654861745.52344</v>
      </c>
      <c r="CH139" s="44">
        <f>'[1]资源-铁'!W139</f>
        <v>817591546745.3302</v>
      </c>
      <c r="CI139" s="44">
        <f>'[1]资源-铁'!X139</f>
        <v>1071802008628.775</v>
      </c>
      <c r="CL139" s="49">
        <v>134</v>
      </c>
      <c r="CM139" s="44">
        <f>'[1]功能-城建'!HF137+[1]养成buff汇总!S139+'[1]功能-采集'!BX138</f>
        <v>460777930905.39587</v>
      </c>
      <c r="CN139" s="44">
        <f>'[1]功能-城建'!HG137+[1]养成buff汇总!T139+'[1]功能-采集'!BY138</f>
        <v>303005618002.49518</v>
      </c>
      <c r="CO139" s="44">
        <f>'[1]功能-城建'!HH137+[1]养成buff汇总!U139+'[1]功能-采集'!BZ138</f>
        <v>353700201733.60608</v>
      </c>
      <c r="CP139" s="44">
        <f>'[1]功能-城建'!HI137+[1]养成buff汇总!V139+'[1]功能-采集'!CA138</f>
        <v>190154901298.27875</v>
      </c>
      <c r="CQ139" s="44">
        <f>'[1]功能-城建'!HJ137+[1]养成buff汇总!W139+'[1]功能-采集'!CB138</f>
        <v>178726266865.36667</v>
      </c>
      <c r="CT139" s="49">
        <v>134</v>
      </c>
      <c r="CU139" s="17">
        <f>'[1]资源-玩家城池建筑时间'!AJ139+CU138</f>
        <v>6643938853.3519878</v>
      </c>
      <c r="CV139" s="17">
        <f>'[1]资源-玩家城池建筑时间'!AK139+CV138</f>
        <v>7045004212.1553154</v>
      </c>
      <c r="CW139" s="17">
        <f>'[1]资源-玩家城池建筑时间'!AL139+CW138</f>
        <v>7490925117.1011534</v>
      </c>
      <c r="CX139" s="17">
        <f>'[1]资源-玩家城池建筑时间'!AM139+CX138</f>
        <v>7999464160.6211071</v>
      </c>
      <c r="CY139" s="17">
        <f>'[1]资源-玩家城池建筑时间'!AN139+CY138</f>
        <v>8600839993.5419579</v>
      </c>
      <c r="DB139" s="49">
        <v>134</v>
      </c>
      <c r="DC139" s="17">
        <f>'[1]资源-士兵训练时间'!U139</f>
        <v>4990291737.0986557</v>
      </c>
      <c r="DD139" s="17">
        <f>'[1]资源-士兵训练时间'!V139</f>
        <v>6653722316.1315403</v>
      </c>
      <c r="DE139" s="17">
        <f>'[1]资源-士兵训练时间'!W139</f>
        <v>8317152895.1644249</v>
      </c>
      <c r="DF139" s="17">
        <f>'[1]资源-士兵训练时间'!X139</f>
        <v>9980583474.1973114</v>
      </c>
      <c r="DG139" s="17">
        <f>'[1]资源-士兵训练时间'!Y139</f>
        <v>13307444632.263081</v>
      </c>
    </row>
    <row r="140" spans="2:111" x14ac:dyDescent="0.15">
      <c r="B140" s="34">
        <v>137</v>
      </c>
      <c r="C140" s="35">
        <f>'[1]资源-钻石'!L140</f>
        <v>8012425.669983061</v>
      </c>
      <c r="D140" s="35">
        <f>'[1]资源-钻石'!M140</f>
        <v>11668687.234521253</v>
      </c>
      <c r="E140" s="35">
        <f>'[1]资源-钻石'!N140</f>
        <v>17233965.784767363</v>
      </c>
      <c r="F140" s="35">
        <f>'[1]资源-钻石'!O140</f>
        <v>44381243.706809796</v>
      </c>
      <c r="G140" s="35">
        <f>'[1]资源-钻石'!P140</f>
        <v>88804289.888473958</v>
      </c>
      <c r="I140" s="23">
        <v>137</v>
      </c>
      <c r="J140" s="24">
        <f>'[1]资源-钻石'!T140</f>
        <v>755211.95970838761</v>
      </c>
      <c r="K140" s="24">
        <f>'[1]资源-钻石'!U140</f>
        <v>1063413.1556792264</v>
      </c>
      <c r="L140" s="24">
        <f>'[1]资源-钻石'!V140</f>
        <v>1786356.4712471489</v>
      </c>
      <c r="M140" s="24">
        <f>'[1]资源-钻石'!W140</f>
        <v>4737762.1183718638</v>
      </c>
      <c r="N140" s="24">
        <f>'[1]资源-钻石'!X140</f>
        <v>11285455.830209048</v>
      </c>
      <c r="P140" s="28">
        <v>137</v>
      </c>
      <c r="Q140" s="28">
        <f>'[1]功能-行军令'!N140</f>
        <v>612119.39004742505</v>
      </c>
      <c r="R140" s="28">
        <f>'[1]功能-行军令'!O140</f>
        <v>755423.19272915821</v>
      </c>
      <c r="S140" s="28">
        <f>'[1]功能-行军令'!P140</f>
        <v>818589.92169907386</v>
      </c>
      <c r="T140" s="28">
        <f>'[1]功能-行军令'!Q140</f>
        <v>659951.19760232652</v>
      </c>
      <c r="U140" s="28">
        <f>'[1]功能-行军令'!R140</f>
        <v>354166.95630413538</v>
      </c>
      <c r="V140" s="28">
        <f>'[1]功能-行军令'!S140</f>
        <v>40994.884856179124</v>
      </c>
      <c r="W140" s="28">
        <f>'[1]功能-行军令'!T140</f>
        <v>51424.088255146286</v>
      </c>
      <c r="X140" s="28">
        <f>'[1]功能-行军令'!U140</f>
        <v>55613.521038986742</v>
      </c>
      <c r="Y140" s="28">
        <f>'[1]功能-行军令'!V140</f>
        <v>45349.218665891327</v>
      </c>
      <c r="Z140" s="28">
        <f>'[1]功能-行军令'!W140</f>
        <v>24102.930579012784</v>
      </c>
      <c r="AC140" s="30">
        <v>137</v>
      </c>
      <c r="AD140" s="41">
        <f>'[1]功能-实力'!BE141</f>
        <v>35212188</v>
      </c>
      <c r="AE140" s="41">
        <f>'[1]功能-实力'!BF141</f>
        <v>36063498</v>
      </c>
      <c r="AF140" s="41">
        <f>'[1]功能-实力'!BG141</f>
        <v>37381422</v>
      </c>
      <c r="AG140" s="41">
        <f>'[1]功能-实力'!BH141</f>
        <v>39033966</v>
      </c>
      <c r="AH140" s="41">
        <f>'[1]功能-实力'!BI141</f>
        <v>39728478</v>
      </c>
      <c r="AL140" s="66"/>
      <c r="AM140" s="66"/>
      <c r="AO140" s="66" t="s">
        <v>172</v>
      </c>
      <c r="AP140" s="66"/>
      <c r="AQ140" s="66"/>
      <c r="AR140" s="66"/>
      <c r="AS140" s="66"/>
      <c r="AW140" s="32">
        <v>134</v>
      </c>
      <c r="AX140" s="32">
        <f>[1]节奏总纲!BJ137</f>
        <v>3.4999999999999978</v>
      </c>
      <c r="AY140" s="32">
        <f>[1]节奏总纲!BK137</f>
        <v>3.5699999999999976</v>
      </c>
      <c r="AZ140" s="32">
        <f>[1]节奏总纲!BL137</f>
        <v>3.7099999999999977</v>
      </c>
      <c r="BA140" s="32">
        <f>[1]节奏总纲!BM137</f>
        <v>3.9899999999999971</v>
      </c>
      <c r="BB140" s="32">
        <f>[1]节奏总纲!BN137</f>
        <v>4.8999999999999968</v>
      </c>
      <c r="BF140" s="42">
        <v>2</v>
      </c>
      <c r="BG140" s="42">
        <f>'[1]功能-行军令'!GA138*'[1]功能-行军令'!GB138</f>
        <v>1073.0673566502999</v>
      </c>
      <c r="BN140" s="49">
        <v>135</v>
      </c>
      <c r="BO140" s="17">
        <f>'[1]资源-木石铜粮'!U140</f>
        <v>2333973295049.2988</v>
      </c>
      <c r="BP140" s="17">
        <f>'[1]资源-木石铜粮'!V140</f>
        <v>2691486010029.0176</v>
      </c>
      <c r="BQ140" s="17">
        <f>'[1]资源-木石铜粮'!W140</f>
        <v>2855121022760.3398</v>
      </c>
      <c r="BR140" s="17">
        <f>'[1]资源-木石铜粮'!X140</f>
        <v>2493284131450.0938</v>
      </c>
      <c r="BS140" s="17">
        <f>'[1]资源-木石铜粮'!Y140</f>
        <v>1790051587005.8501</v>
      </c>
      <c r="BV140" s="49">
        <v>135</v>
      </c>
      <c r="BW140" s="47">
        <f>'[1]功能-城建'!EQ138+[1]养成buff汇总!H140+'[1]功能-采集'!BS139+[2]产出汇总!AY140+[1]养成buff汇总!GY140</f>
        <v>1566371965465.9565</v>
      </c>
      <c r="BX140" s="47">
        <f>'[1]功能-城建'!ER138+[1]养成buff汇总!I140+'[1]功能-采集'!BT139+[2]产出汇总!AZ140+[1]养成buff汇总!GZ140</f>
        <v>991195564807.66479</v>
      </c>
      <c r="BY140" s="47">
        <f>'[1]功能-城建'!ES138+[1]养成buff汇总!J140+'[1]功能-采集'!BU139+[2]产出汇总!BA140+[1]养成buff汇总!HA140</f>
        <v>1140013703755.3003</v>
      </c>
      <c r="BZ140" s="47">
        <f>'[1]功能-城建'!ET138+[1]养成buff汇总!K140+'[1]功能-采集'!BV139+[2]产出汇总!BB140+[1]养成buff汇总!HB140</f>
        <v>620936865660.69641</v>
      </c>
      <c r="CA140" s="47">
        <f>'[1]功能-城建'!EU138+[1]养成buff汇总!L140+'[1]功能-采集'!BW139+[2]产出汇总!BC140+[1]养成buff汇总!HC140</f>
        <v>553108304155.96716</v>
      </c>
      <c r="CD140" s="49">
        <v>135</v>
      </c>
      <c r="CE140" s="44">
        <f>'[1]资源-铁'!T140</f>
        <v>441982445205.43787</v>
      </c>
      <c r="CF140" s="44">
        <f>'[1]资源-铁'!U140</f>
        <v>562272720479.17163</v>
      </c>
      <c r="CG140" s="44">
        <f>'[1]资源-铁'!V140</f>
        <v>691494603345.20947</v>
      </c>
      <c r="CH140" s="44">
        <f>'[1]资源-铁'!W140</f>
        <v>830516998144.65356</v>
      </c>
      <c r="CI140" s="44">
        <f>'[1]资源-铁'!X140</f>
        <v>1088309147169.3636</v>
      </c>
      <c r="CL140" s="49">
        <v>135</v>
      </c>
      <c r="CM140" s="44">
        <f>'[1]功能-城建'!HF138+[1]养成buff汇总!S140+'[1]功能-采集'!BX139</f>
        <v>499180394238.64014</v>
      </c>
      <c r="CN140" s="44">
        <f>'[1]功能-城建'!HG138+[1]养成buff汇总!T140+'[1]功能-采集'!BY139</f>
        <v>328116665626.31543</v>
      </c>
      <c r="CO140" s="44">
        <f>'[1]功能-城建'!HH138+[1]养成buff汇总!U140+'[1]功能-采集'!BZ139</f>
        <v>382453693531.8858</v>
      </c>
      <c r="CP140" s="44">
        <f>'[1]功能-城建'!HI138+[1]养成buff汇总!V140+'[1]功能-采集'!CA139</f>
        <v>206323336965.94708</v>
      </c>
      <c r="CQ140" s="44">
        <f>'[1]功能-城建'!HJ138+[1]养成buff汇总!W140+'[1]功能-采集'!CB139</f>
        <v>193850221598.31909</v>
      </c>
      <c r="CT140" s="49">
        <v>135</v>
      </c>
      <c r="CU140" s="17">
        <f>'[1]资源-玩家城池建筑时间'!AJ140+CU139</f>
        <v>7137263232.3905163</v>
      </c>
      <c r="CV140" s="17">
        <f>'[1]资源-玩家城池建筑时间'!AK140+CV139</f>
        <v>7558639997.2722435</v>
      </c>
      <c r="CW140" s="17">
        <f>'[1]资源-玩家城池建筑时间'!AL140+CW139</f>
        <v>8035270323.7630863</v>
      </c>
      <c r="CX140" s="17">
        <f>'[1]资源-玩家城池建筑时间'!AM140+CX139</f>
        <v>8597084321.3563347</v>
      </c>
      <c r="CY140" s="17">
        <f>'[1]资源-玩家城池建筑时间'!AN140+CY139</f>
        <v>9252987096.8612156</v>
      </c>
      <c r="DB140" s="49">
        <v>135</v>
      </c>
      <c r="DC140" s="17">
        <f>'[1]资源-士兵训练时间'!U140</f>
        <v>4990291737.0986557</v>
      </c>
      <c r="DD140" s="17">
        <f>'[1]资源-士兵训练时间'!V140</f>
        <v>6653722316.1315403</v>
      </c>
      <c r="DE140" s="17">
        <f>'[1]资源-士兵训练时间'!W140</f>
        <v>8317152895.1644249</v>
      </c>
      <c r="DF140" s="17">
        <f>'[1]资源-士兵训练时间'!X140</f>
        <v>9980583474.1973114</v>
      </c>
      <c r="DG140" s="17">
        <f>'[1]资源-士兵训练时间'!Y140</f>
        <v>13307444632.263081</v>
      </c>
    </row>
    <row r="141" spans="2:111" x14ac:dyDescent="0.15">
      <c r="B141" s="34">
        <v>138</v>
      </c>
      <c r="C141" s="35">
        <f>'[1]资源-钻石'!L141</f>
        <v>8130412.0112919603</v>
      </c>
      <c r="D141" s="35">
        <f>'[1]资源-钻石'!M141</f>
        <v>11848804.95772751</v>
      </c>
      <c r="E141" s="35">
        <f>'[1]资源-钻石'!N141</f>
        <v>17505361.640202746</v>
      </c>
      <c r="F141" s="35">
        <f>'[1]资源-钻石'!O141</f>
        <v>45150111.515683115</v>
      </c>
      <c r="G141" s="35">
        <f>'[1]资源-钻石'!P141</f>
        <v>90611407.915042847</v>
      </c>
      <c r="I141" s="23">
        <v>138</v>
      </c>
      <c r="J141" s="24">
        <f>'[1]资源-钻石'!T141</f>
        <v>759540.68575676845</v>
      </c>
      <c r="K141" s="24">
        <f>'[1]资源-钻石'!U141</f>
        <v>1069854.7543324453</v>
      </c>
      <c r="L141" s="24">
        <f>'[1]资源-钻石'!V141</f>
        <v>1797894.2297656899</v>
      </c>
      <c r="M141" s="24">
        <f>'[1]资源-钻石'!W141</f>
        <v>4770473.6527422583</v>
      </c>
      <c r="N141" s="24">
        <f>'[1]资源-钻石'!X141</f>
        <v>11365293.518016484</v>
      </c>
      <c r="P141" s="28">
        <v>138</v>
      </c>
      <c r="Q141" s="28">
        <f>'[1]功能-行军令'!N141</f>
        <v>656056.61973600974</v>
      </c>
      <c r="R141" s="28">
        <f>'[1]功能-行军令'!O141</f>
        <v>809646.60546642425</v>
      </c>
      <c r="S141" s="28">
        <f>'[1]功能-行军令'!P141</f>
        <v>877996.29556257313</v>
      </c>
      <c r="T141" s="28">
        <f>'[1]功能-行军令'!Q141</f>
        <v>707762.43863146473</v>
      </c>
      <c r="U141" s="28">
        <f>'[1]功能-行军令'!R141</f>
        <v>378119.65899489215</v>
      </c>
      <c r="V141" s="28">
        <f>'[1]功能-行军令'!S141</f>
        <v>43937.229688584688</v>
      </c>
      <c r="W141" s="28">
        <f>'[1]功能-行军令'!T141</f>
        <v>54223.412737266044</v>
      </c>
      <c r="X141" s="28">
        <f>'[1]功能-行军令'!U141</f>
        <v>59406.373863499262</v>
      </c>
      <c r="Y141" s="28">
        <f>'[1]功能-行军令'!V141</f>
        <v>47811.241029138211</v>
      </c>
      <c r="Z141" s="28">
        <f>'[1]功能-行军令'!W141</f>
        <v>23952.702690756763</v>
      </c>
      <c r="AC141" s="30">
        <v>138</v>
      </c>
      <c r="AD141" s="41">
        <f>'[1]功能-实力'!BE142</f>
        <v>35930496</v>
      </c>
      <c r="AE141" s="41">
        <f>'[1]功能-实力'!BF142</f>
        <v>36772320</v>
      </c>
      <c r="AF141" s="41">
        <f>'[1]功能-实力'!BG142</f>
        <v>38110428</v>
      </c>
      <c r="AG141" s="41">
        <f>'[1]功能-实力'!BH142</f>
        <v>39787908</v>
      </c>
      <c r="AH141" s="41">
        <f>'[1]功能-实力'!BI142</f>
        <v>40429056</v>
      </c>
      <c r="AL141" s="37" t="s">
        <v>173</v>
      </c>
      <c r="AM141" s="37" t="s">
        <v>174</v>
      </c>
      <c r="AO141" s="37" t="s">
        <v>25</v>
      </c>
      <c r="AP141" s="37" t="s">
        <v>1</v>
      </c>
      <c r="AQ141" s="37" t="s">
        <v>2</v>
      </c>
      <c r="AR141" s="37" t="s">
        <v>0</v>
      </c>
      <c r="AS141" s="37" t="s">
        <v>169</v>
      </c>
      <c r="AW141" s="32">
        <v>135</v>
      </c>
      <c r="AX141" s="32">
        <f>[1]节奏总纲!BJ138</f>
        <v>3.4999999999999978</v>
      </c>
      <c r="AY141" s="32">
        <f>[1]节奏总纲!BK138</f>
        <v>3.5699999999999976</v>
      </c>
      <c r="AZ141" s="32">
        <f>[1]节奏总纲!BL138</f>
        <v>3.7099999999999977</v>
      </c>
      <c r="BA141" s="32">
        <f>[1]节奏总纲!BM138</f>
        <v>3.9899999999999971</v>
      </c>
      <c r="BB141" s="32">
        <f>[1]节奏总纲!BN138</f>
        <v>4.8999999999999968</v>
      </c>
      <c r="BF141" s="42">
        <f>'[1]功能-行军令'!FZ139</f>
        <v>135</v>
      </c>
      <c r="BG141" s="42">
        <f>'[1]功能-行军令'!GA139*'[1]功能-行军令'!GB139</f>
        <v>1094.5287037833057</v>
      </c>
      <c r="BN141" s="49">
        <v>136</v>
      </c>
      <c r="BO141" s="17">
        <f>'[1]资源-木石铜粮'!U141</f>
        <v>2560960850717.9717</v>
      </c>
      <c r="BP141" s="17">
        <f>'[1]资源-木石铜粮'!V141</f>
        <v>2957578777209.8496</v>
      </c>
      <c r="BQ141" s="17">
        <f>'[1]资源-木石铜粮'!W141</f>
        <v>3145416672668.8345</v>
      </c>
      <c r="BR141" s="17">
        <f>'[1]资源-木石铜粮'!X141</f>
        <v>2740635285545.2964</v>
      </c>
      <c r="BS141" s="17">
        <f>'[1]资源-木石铜粮'!Y141</f>
        <v>1961554374779.9163</v>
      </c>
      <c r="BV141" s="49">
        <v>136</v>
      </c>
      <c r="BW141" s="47">
        <f>'[1]功能-城建'!EQ139+[1]养成buff汇总!H141+'[1]功能-采集'!BS140+[2]产出汇总!AY141+[1]养成buff汇总!GY141</f>
        <v>1692449966150.0415</v>
      </c>
      <c r="BX141" s="47">
        <f>'[1]功能-城建'!ER139+[1]养成buff汇总!I141+'[1]功能-采集'!BT140+[2]产出汇总!AZ141+[1]养成buff汇总!GZ141</f>
        <v>1072936937949.3816</v>
      </c>
      <c r="BY141" s="47">
        <f>'[1]功能-城建'!ES139+[1]养成buff汇总!J141+'[1]功能-采集'!BU140+[2]产出汇总!BA141+[1]养成buff汇总!HA141</f>
        <v>1236696530859.0503</v>
      </c>
      <c r="BZ141" s="47">
        <f>'[1]功能-城建'!ET139+[1]养成buff汇总!K141+'[1]功能-采集'!BV140+[2]产出汇总!BB141+[1]养成buff汇总!HB141</f>
        <v>673991283050.30103</v>
      </c>
      <c r="CA141" s="47">
        <f>'[1]功能-城建'!EU139+[1]养成buff汇总!L141+'[1]功能-采集'!BW140+[2]产出汇总!BC141+[1]养成buff汇总!HC141</f>
        <v>600057191591.24414</v>
      </c>
      <c r="CD141" s="49">
        <v>136</v>
      </c>
      <c r="CE141" s="44">
        <f>'[1]资源-铁'!T141</f>
        <v>452306242602.70453</v>
      </c>
      <c r="CF141" s="44">
        <f>'[1]资源-铁'!U141</f>
        <v>573451969838.59717</v>
      </c>
      <c r="CG141" s="44">
        <f>'[1]资源-铁'!V141</f>
        <v>703672599773.17761</v>
      </c>
      <c r="CH141" s="44">
        <f>'[1]资源-铁'!W141</f>
        <v>845560412786.24597</v>
      </c>
      <c r="CI141" s="44">
        <f>'[1]资源-铁'!X141</f>
        <v>1116719779983.3076</v>
      </c>
      <c r="CL141" s="49">
        <v>136</v>
      </c>
      <c r="CM141" s="44">
        <f>'[1]功能-城建'!HF139+[1]养成buff汇总!S141+'[1]功能-采集'!BX140</f>
        <v>540463181129.21948</v>
      </c>
      <c r="CN141" s="44">
        <f>'[1]功能-城建'!HG139+[1]养成buff汇总!T141+'[1]功能-采集'!BY140</f>
        <v>355864395427.58569</v>
      </c>
      <c r="CO141" s="44">
        <f>'[1]功能-城建'!HH139+[1]养成buff汇总!U141+'[1]功能-采集'!BZ140</f>
        <v>415689373381.68445</v>
      </c>
      <c r="CP141" s="44">
        <f>'[1]功能-城建'!HI139+[1]养成buff汇总!V141+'[1]功能-采集'!CA140</f>
        <v>224427169357.8288</v>
      </c>
      <c r="CQ141" s="44">
        <f>'[1]功能-城建'!HJ139+[1]养成buff汇总!W141+'[1]功能-采集'!CB140</f>
        <v>210664448318.06146</v>
      </c>
      <c r="CT141" s="49">
        <v>136</v>
      </c>
      <c r="CU141" s="17">
        <f>'[1]资源-玩家城池建筑时间'!AJ141+CU140</f>
        <v>7666738597.0886583</v>
      </c>
      <c r="CV141" s="17">
        <f>'[1]资源-玩家城池建筑时间'!AK141+CV140</f>
        <v>8125226544.1590939</v>
      </c>
      <c r="CW141" s="17">
        <f>'[1]资源-玩家城池建筑时间'!AL141+CW140</f>
        <v>8662190578.0827827</v>
      </c>
      <c r="CX141" s="17">
        <f>'[1]资源-玩家城池建筑时间'!AM141+CX140</f>
        <v>9265958136.8543262</v>
      </c>
      <c r="CY141" s="17">
        <f>'[1]资源-玩家城池建筑时间'!AN141+CY140</f>
        <v>9975712842.9700146</v>
      </c>
      <c r="DB141" s="49">
        <v>136</v>
      </c>
      <c r="DC141" s="17">
        <f>'[1]资源-士兵训练时间'!U141</f>
        <v>4990291737.0986557</v>
      </c>
      <c r="DD141" s="17">
        <f>'[1]资源-士兵训练时间'!V141</f>
        <v>6653722316.1315403</v>
      </c>
      <c r="DE141" s="17">
        <f>'[1]资源-士兵训练时间'!W141</f>
        <v>8317152895.1644249</v>
      </c>
      <c r="DF141" s="17">
        <f>'[1]资源-士兵训练时间'!X141</f>
        <v>9980583474.1973114</v>
      </c>
      <c r="DG141" s="17">
        <f>'[1]资源-士兵训练时间'!Y141</f>
        <v>13307444632.263081</v>
      </c>
    </row>
    <row r="142" spans="2:111" x14ac:dyDescent="0.15">
      <c r="B142" s="34">
        <v>139</v>
      </c>
      <c r="C142" s="35">
        <f>'[1]资源-钻石'!L142</f>
        <v>8248398.3526008595</v>
      </c>
      <c r="D142" s="35">
        <f>'[1]资源-钻石'!M142</f>
        <v>12028922.680933768</v>
      </c>
      <c r="E142" s="35">
        <f>'[1]资源-钻石'!N142</f>
        <v>17776757.495638128</v>
      </c>
      <c r="F142" s="35">
        <f>'[1]资源-钻石'!O142</f>
        <v>45918979.324556433</v>
      </c>
      <c r="G142" s="35">
        <f>'[1]资源-钻石'!P142</f>
        <v>92418525.941611737</v>
      </c>
      <c r="I142" s="25">
        <v>139</v>
      </c>
      <c r="J142" s="24">
        <f>'[1]资源-钻石'!T142</f>
        <v>763869.41180514928</v>
      </c>
      <c r="K142" s="24">
        <f>'[1]资源-钻石'!U142</f>
        <v>1076296.3529856643</v>
      </c>
      <c r="L142" s="24">
        <f>'[1]资源-钻石'!V142</f>
        <v>1809431.9882842307</v>
      </c>
      <c r="M142" s="24">
        <f>'[1]资源-钻石'!W142</f>
        <v>4803185.1871126536</v>
      </c>
      <c r="N142" s="24">
        <f>'[1]资源-钻石'!X142</f>
        <v>11445131.205823917</v>
      </c>
      <c r="P142" s="28">
        <v>139</v>
      </c>
      <c r="Q142" s="28">
        <f>'[1]功能-行军令'!N142</f>
        <v>703147.37653359666</v>
      </c>
      <c r="R142" s="28">
        <f>'[1]功能-行军令'!O142</f>
        <v>868171.48006227182</v>
      </c>
      <c r="S142" s="28">
        <f>'[1]功能-行军令'!P142</f>
        <v>941156.64916520589</v>
      </c>
      <c r="T142" s="28">
        <f>'[1]功能-行军令'!Q142</f>
        <v>755573.12777918961</v>
      </c>
      <c r="U142" s="28">
        <f>'[1]功能-行军令'!R142</f>
        <v>403843.52422455128</v>
      </c>
      <c r="V142" s="28">
        <f>'[1]功能-行军令'!S142</f>
        <v>47090.756797586917</v>
      </c>
      <c r="W142" s="28">
        <f>'[1]功能-行军令'!T142</f>
        <v>58524.874595847563</v>
      </c>
      <c r="X142" s="28">
        <f>'[1]功能-行军令'!U142</f>
        <v>63160.353602632764</v>
      </c>
      <c r="Y142" s="28">
        <f>'[1]功能-行军令'!V142</f>
        <v>47810.689147724886</v>
      </c>
      <c r="Z142" s="28">
        <f>'[1]功能-行军令'!W142</f>
        <v>25723.865229659132</v>
      </c>
      <c r="AC142" s="30">
        <v>139</v>
      </c>
      <c r="AD142" s="41">
        <f>'[1]功能-实力'!BE143</f>
        <v>36661710</v>
      </c>
      <c r="AE142" s="41">
        <f>'[1]功能-实力'!BF143</f>
        <v>37489704</v>
      </c>
      <c r="AF142" s="41">
        <f>'[1]功能-实力'!BG143</f>
        <v>38855160</v>
      </c>
      <c r="AG142" s="41">
        <f>'[1]功能-实力'!BH143</f>
        <v>40536618</v>
      </c>
      <c r="AH142" s="41">
        <f>'[1]功能-实力'!BI143</f>
        <v>41150976</v>
      </c>
      <c r="AL142" s="37">
        <f>[3]基础状态预期!C152</f>
        <v>0.5</v>
      </c>
      <c r="AM142" s="37">
        <f>[3]基础状态预期!D152</f>
        <v>10.00263241450434</v>
      </c>
      <c r="AO142" s="37">
        <f>[3]基础状态预期!F152</f>
        <v>0</v>
      </c>
      <c r="AP142" s="37">
        <f>[3]基础状态预期!G152</f>
        <v>0</v>
      </c>
      <c r="AQ142" s="37">
        <f>[3]基础状态预期!H152</f>
        <v>0</v>
      </c>
      <c r="AR142" s="37">
        <f>[3]基础状态预期!I152</f>
        <v>6</v>
      </c>
      <c r="AS142" s="37">
        <f>[3]基础状态预期!J152</f>
        <v>0</v>
      </c>
      <c r="AW142" s="32">
        <v>136</v>
      </c>
      <c r="AX142" s="32">
        <f>[1]节奏总纲!BJ139</f>
        <v>3.4999999999999978</v>
      </c>
      <c r="AY142" s="32">
        <f>[1]节奏总纲!BK139</f>
        <v>3.5699999999999976</v>
      </c>
      <c r="AZ142" s="32">
        <f>[1]节奏总纲!BL139</f>
        <v>3.7099999999999977</v>
      </c>
      <c r="BA142" s="32">
        <f>[1]节奏总纲!BM139</f>
        <v>3.9899999999999971</v>
      </c>
      <c r="BB142" s="32">
        <f>[1]节奏总纲!BN139</f>
        <v>4.8999999999999968</v>
      </c>
      <c r="BF142" s="42">
        <f>'[1]功能-行军令'!FZ140</f>
        <v>136</v>
      </c>
      <c r="BG142" s="42">
        <f>'[1]功能-行军令'!GA140*'[1]功能-行军令'!GB140</f>
        <v>1116.419277858972</v>
      </c>
      <c r="BN142" s="49">
        <v>137</v>
      </c>
      <c r="BO142" s="17">
        <f>'[1]资源-木石铜粮'!U142</f>
        <v>2808975632679.0928</v>
      </c>
      <c r="BP142" s="17">
        <f>'[1]资源-木石铜粮'!V142</f>
        <v>3249966625406.3271</v>
      </c>
      <c r="BQ142" s="17">
        <f>'[1]资源-木石铜粮'!W142</f>
        <v>3456413867710.1094</v>
      </c>
      <c r="BR142" s="17">
        <f>'[1]资源-木石铜粮'!X142</f>
        <v>3012153404546.5601</v>
      </c>
      <c r="BS142" s="17">
        <f>'[1]资源-木石铜粮'!Y142</f>
        <v>2144701064930.0313</v>
      </c>
      <c r="BV142" s="49">
        <v>137</v>
      </c>
      <c r="BW142" s="47">
        <f>'[1]功能-城建'!EQ140+[1]养成buff汇总!H142+'[1]功能-采集'!BS141+[2]产出汇总!AY142+[1]养成buff汇总!GY142</f>
        <v>1828163178987.5684</v>
      </c>
      <c r="BX142" s="47">
        <f>'[1]功能-城建'!ER140+[1]养成buff汇总!I142+'[1]功能-采集'!BT141+[2]产出汇总!AZ142+[1]养成buff汇总!GZ142</f>
        <v>1161269566407.458</v>
      </c>
      <c r="BY142" s="47">
        <f>'[1]功能-城建'!ES140+[1]养成buff汇总!J142+'[1]功能-采集'!BU141+[2]产出汇总!BA142+[1]养成buff汇总!HA142</f>
        <v>1337359411321.5603</v>
      </c>
      <c r="BZ142" s="47">
        <f>'[1]功能-城建'!ET140+[1]养成buff汇总!K142+'[1]功能-采集'!BV141+[2]产出汇总!BB142+[1]养成buff汇总!HB142</f>
        <v>730540865914.0332</v>
      </c>
      <c r="CA142" s="47">
        <f>'[1]功能-城建'!EU140+[1]养成buff汇总!L142+'[1]功能-采集'!BW141+[2]产出汇总!BC142+[1]养成buff汇总!HC142</f>
        <v>648934797637.19128</v>
      </c>
      <c r="CD142" s="49">
        <v>137</v>
      </c>
      <c r="CE142" s="44">
        <f>'[1]资源-铁'!T142</f>
        <v>462513259786.87677</v>
      </c>
      <c r="CF142" s="44">
        <f>'[1]资源-铁'!U142</f>
        <v>584184393804.32104</v>
      </c>
      <c r="CG142" s="44">
        <f>'[1]资源-铁'!V142</f>
        <v>717478152029.19214</v>
      </c>
      <c r="CH142" s="44">
        <f>'[1]资源-铁'!W142</f>
        <v>870164162701.15149</v>
      </c>
      <c r="CI142" s="44">
        <f>'[1]资源-铁'!X142</f>
        <v>1146216819717.2629</v>
      </c>
      <c r="CL142" s="49">
        <v>137</v>
      </c>
      <c r="CM142" s="44">
        <f>'[1]功能-城建'!HF140+[1]养成buff汇总!S142+'[1]功能-采集'!BX141</f>
        <v>584944898674.6499</v>
      </c>
      <c r="CN142" s="44">
        <f>'[1]功能-城建'!HG140+[1]养成buff汇总!T142+'[1]功能-采集'!BY141</f>
        <v>385997808313.06372</v>
      </c>
      <c r="CO142" s="44">
        <f>'[1]功能-城建'!HH140+[1]养成buff汇总!U142+'[1]功能-采集'!BZ141</f>
        <v>450279626434.51221</v>
      </c>
      <c r="CP142" s="44">
        <f>'[1]功能-城建'!HI140+[1]养成buff汇总!V142+'[1]功能-采集'!CA141</f>
        <v>243631806868.17319</v>
      </c>
      <c r="CQ142" s="44">
        <f>'[1]功能-城建'!HJ140+[1]养成buff汇总!W142+'[1]功能-采集'!CB141</f>
        <v>228155642110.53882</v>
      </c>
      <c r="CT142" s="49">
        <v>137</v>
      </c>
      <c r="CU142" s="17">
        <f>'[1]资源-玩家城池建筑时间'!AJ142+CU141</f>
        <v>8235630664.1130924</v>
      </c>
      <c r="CV142" s="17">
        <f>'[1]资源-玩家城池建筑时间'!AK142+CV141</f>
        <v>8738800288.027113</v>
      </c>
      <c r="CW142" s="17">
        <f>'[1]资源-玩家城池建筑时间'!AL142+CW141</f>
        <v>9314109391.6826382</v>
      </c>
      <c r="CX142" s="17">
        <f>'[1]资源-玩家城池建筑时间'!AM142+CX141</f>
        <v>9972955678.9116192</v>
      </c>
      <c r="CY142" s="17">
        <f>'[1]资源-玩家城池建筑时间'!AN142+CY141</f>
        <v>10727407302.665665</v>
      </c>
      <c r="DB142" s="49">
        <v>137</v>
      </c>
      <c r="DC142" s="17">
        <f>'[1]资源-士兵训练时间'!U142</f>
        <v>4990291737.0986557</v>
      </c>
      <c r="DD142" s="17">
        <f>'[1]资源-士兵训练时间'!V142</f>
        <v>6653722316.1315403</v>
      </c>
      <c r="DE142" s="17">
        <f>'[1]资源-士兵训练时间'!W142</f>
        <v>8317152895.1644249</v>
      </c>
      <c r="DF142" s="17">
        <f>'[1]资源-士兵训练时间'!X142</f>
        <v>9980583474.1973114</v>
      </c>
      <c r="DG142" s="17">
        <f>'[1]资源-士兵训练时间'!Y142</f>
        <v>13307444632.263081</v>
      </c>
    </row>
    <row r="143" spans="2:111" x14ac:dyDescent="0.15">
      <c r="B143" s="34">
        <v>140</v>
      </c>
      <c r="C143" s="35">
        <f>'[1]资源-钻石'!L143</f>
        <v>8366384.6939097587</v>
      </c>
      <c r="D143" s="35">
        <f>'[1]资源-钻石'!M143</f>
        <v>12209040.404140025</v>
      </c>
      <c r="E143" s="35">
        <f>'[1]资源-钻石'!N143</f>
        <v>18048153.351073511</v>
      </c>
      <c r="F143" s="35">
        <f>'[1]资源-钻石'!O143</f>
        <v>46687847.133429751</v>
      </c>
      <c r="G143" s="35">
        <f>'[1]资源-钻石'!P143</f>
        <v>94225643.968180627</v>
      </c>
      <c r="I143" s="25">
        <v>140</v>
      </c>
      <c r="J143" s="24">
        <f>'[1]资源-钻石'!T143</f>
        <v>768198.13785353012</v>
      </c>
      <c r="K143" s="24">
        <f>'[1]资源-钻石'!U143</f>
        <v>1082737.9516388832</v>
      </c>
      <c r="L143" s="24">
        <f>'[1]资源-钻石'!V143</f>
        <v>1820969.7468027715</v>
      </c>
      <c r="M143" s="24">
        <f>'[1]资源-钻石'!W143</f>
        <v>4835896.7214830481</v>
      </c>
      <c r="N143" s="24">
        <f>'[1]资源-钻石'!X143</f>
        <v>11524968.893631352</v>
      </c>
      <c r="P143" s="28">
        <v>140</v>
      </c>
      <c r="Q143" s="28">
        <f>'[1]功能-行军令'!N143</f>
        <v>753618</v>
      </c>
      <c r="R143" s="28">
        <f>'[1]功能-行军令'!O143</f>
        <v>930048.16530000011</v>
      </c>
      <c r="S143" s="28">
        <f>'[1]功能-行军令'!P143</f>
        <v>1004387.6661</v>
      </c>
      <c r="T143" s="28">
        <f>'[1]功能-行军令'!Q143</f>
        <v>806263.13219999999</v>
      </c>
      <c r="U143" s="28">
        <f>'[1]功能-行军令'!R143</f>
        <v>431818.19910000003</v>
      </c>
      <c r="V143" s="28">
        <f>'[1]功能-行军令'!S143</f>
        <v>50470.62346640334</v>
      </c>
      <c r="W143" s="28">
        <f>'[1]功能-行军令'!T143</f>
        <v>61876.685237728292</v>
      </c>
      <c r="X143" s="28">
        <f>'[1]功能-行军令'!U143</f>
        <v>63231.016934794141</v>
      </c>
      <c r="Y143" s="28">
        <f>'[1]功能-行军令'!V143</f>
        <v>50690.004420810379</v>
      </c>
      <c r="Z143" s="28">
        <f>'[1]功能-行军令'!W143</f>
        <v>27974.674875448749</v>
      </c>
      <c r="AC143" s="30">
        <v>140</v>
      </c>
      <c r="AD143" s="41">
        <f>'[1]功能-实力'!BE144</f>
        <v>37404270</v>
      </c>
      <c r="AE143" s="41">
        <f>'[1]功能-实力'!BF144</f>
        <v>38219844</v>
      </c>
      <c r="AF143" s="41">
        <f>'[1]功能-实力'!BG144</f>
        <v>39596472</v>
      </c>
      <c r="AG143" s="41">
        <f>'[1]功能-实力'!BH144</f>
        <v>41306220</v>
      </c>
      <c r="AH143" s="41">
        <f>'[1]功能-实力'!BI144</f>
        <v>41921196</v>
      </c>
      <c r="AL143" s="37">
        <f>[3]基础状态预期!C153</f>
        <v>1.5</v>
      </c>
      <c r="AM143" s="37">
        <f>[3]基础状态预期!D153</f>
        <v>19.43005414991557</v>
      </c>
      <c r="AO143" s="37">
        <f>[3]基础状态预期!F153</f>
        <v>0</v>
      </c>
      <c r="AP143" s="37">
        <f>[3]基础状态预期!G153</f>
        <v>0</v>
      </c>
      <c r="AQ143" s="37">
        <f>[3]基础状态预期!H153</f>
        <v>0</v>
      </c>
      <c r="AR143" s="37">
        <f>[3]基础状态预期!I153</f>
        <v>6</v>
      </c>
      <c r="AS143" s="37">
        <f>[3]基础状态预期!J153</f>
        <v>0</v>
      </c>
      <c r="AW143" s="32">
        <v>137</v>
      </c>
      <c r="AX143" s="32">
        <f>[1]节奏总纲!BJ140</f>
        <v>3.4999999999999978</v>
      </c>
      <c r="AY143" s="32">
        <f>[1]节奏总纲!BK140</f>
        <v>3.5699999999999976</v>
      </c>
      <c r="AZ143" s="32">
        <f>[1]节奏总纲!BL140</f>
        <v>3.7099999999999977</v>
      </c>
      <c r="BA143" s="32">
        <f>[1]节奏总纲!BM140</f>
        <v>3.9899999999999971</v>
      </c>
      <c r="BB143" s="32">
        <f>[1]节奏总纲!BN140</f>
        <v>4.8999999999999968</v>
      </c>
      <c r="BF143" s="42">
        <f>'[1]功能-行军令'!FZ141</f>
        <v>137</v>
      </c>
      <c r="BG143" s="42">
        <f>'[1]功能-行军令'!GA141*'[1]功能-行军令'!GB141</f>
        <v>1138.7476634161515</v>
      </c>
      <c r="BN143" s="49">
        <v>138</v>
      </c>
      <c r="BO143" s="17">
        <f>'[1]资源-木石铜粮'!U143</f>
        <v>3080068807947.9883</v>
      </c>
      <c r="BP143" s="17">
        <f>'[1]资源-木石铜粮'!V143</f>
        <v>3567353380416.1196</v>
      </c>
      <c r="BQ143" s="17">
        <f>'[1]资源-木石铜粮'!W143</f>
        <v>3799263311386.0396</v>
      </c>
      <c r="BR143" s="17">
        <f>'[1]资源-木石铜粮'!X143</f>
        <v>3304568638693.3994</v>
      </c>
      <c r="BS143" s="17">
        <f>'[1]资源-木石铜粮'!Y143</f>
        <v>2330864276113.3672</v>
      </c>
      <c r="BV143" s="49">
        <v>138</v>
      </c>
      <c r="BW143" s="47">
        <f>'[1]功能-城建'!EQ141+[1]养成buff汇总!H143+'[1]功能-采集'!BS142+[2]产出汇总!AY143+[1]养成buff汇总!GY143</f>
        <v>1974121129883.5313</v>
      </c>
      <c r="BX143" s="47">
        <f>'[1]功能-城建'!ER141+[1]养成buff汇总!I143+'[1]功能-采集'!BT142+[2]产出汇总!AZ143+[1]养成buff汇总!GZ143</f>
        <v>1254943657462.2427</v>
      </c>
      <c r="BY143" s="47">
        <f>'[1]功能-城建'!ES141+[1]养成buff汇总!J143+'[1]功能-采集'!BU142+[2]产出汇总!BA143+[1]养成buff汇总!HA143</f>
        <v>1445555207698.4067</v>
      </c>
      <c r="BZ143" s="47">
        <f>'[1]功能-城建'!ET141+[1]养成buff汇总!K143+'[1]功能-采集'!BV142+[2]产出汇总!BB143+[1]养成buff汇总!HB143</f>
        <v>789871846216.39368</v>
      </c>
      <c r="CA143" s="47">
        <f>'[1]功能-城建'!EU141+[1]养成buff汇总!L143+'[1]功能-采集'!BW142+[2]产出汇总!BC143+[1]养成buff汇总!HC143</f>
        <v>697665910323.97058</v>
      </c>
      <c r="CD143" s="49">
        <v>138</v>
      </c>
      <c r="CE143" s="44">
        <f>'[1]资源-铁'!T143</f>
        <v>472765222987.64868</v>
      </c>
      <c r="CF143" s="44">
        <f>'[1]资源-铁'!U143</f>
        <v>597485549264.92773</v>
      </c>
      <c r="CG143" s="44">
        <f>'[1]资源-铁'!V143</f>
        <v>738428302049.07178</v>
      </c>
      <c r="CH143" s="44">
        <f>'[1]资源-铁'!W143</f>
        <v>894989547750.64868</v>
      </c>
      <c r="CI143" s="44">
        <f>'[1]资源-铁'!X143</f>
        <v>1171119000675.7881</v>
      </c>
      <c r="CL143" s="49">
        <v>138</v>
      </c>
      <c r="CM143" s="44">
        <f>'[1]功能-城建'!HF141+[1]养成buff汇总!S143+'[1]功能-采集'!BX142</f>
        <v>632808357684.7832</v>
      </c>
      <c r="CN143" s="44">
        <f>'[1]功能-城建'!HG141+[1]养成buff汇总!T143+'[1]功能-采集'!BY142</f>
        <v>417854147989.34515</v>
      </c>
      <c r="CO143" s="44">
        <f>'[1]功能-城建'!HH141+[1]养成buff汇总!U143+'[1]功能-采集'!BZ142</f>
        <v>487501709843.34521</v>
      </c>
      <c r="CP143" s="44">
        <f>'[1]功能-城建'!HI141+[1]养成buff汇总!V143+'[1]功能-采集'!CA142</f>
        <v>263885492189.00592</v>
      </c>
      <c r="CQ143" s="44">
        <f>'[1]功能-城建'!HJ141+[1]养成buff汇总!W143+'[1]功能-采集'!CB142</f>
        <v>245666479557.60028</v>
      </c>
      <c r="CT143" s="49">
        <v>138</v>
      </c>
      <c r="CU143" s="17">
        <f>'[1]资源-玩家城池建筑时间'!AJ143+CU142</f>
        <v>8846488001.786377</v>
      </c>
      <c r="CV143" s="17">
        <f>'[1]资源-玩家城池建筑时间'!AK143+CV142</f>
        <v>9386599131.18153</v>
      </c>
      <c r="CW143" s="17">
        <f>'[1]资源-玩家城池建筑时间'!AL143+CW142</f>
        <v>10012962196.354231</v>
      </c>
      <c r="CX143" s="17">
        <f>'[1]资源-玩家城池建筑时间'!AM143+CX142</f>
        <v>10718459418.893677</v>
      </c>
      <c r="CY143" s="17">
        <f>'[1]资源-玩家城池建筑时间'!AN143+CY142</f>
        <v>11477488700.596451</v>
      </c>
      <c r="DB143" s="49">
        <v>138</v>
      </c>
      <c r="DC143" s="17">
        <f>'[1]资源-士兵训练时间'!U143</f>
        <v>4990291737.0986557</v>
      </c>
      <c r="DD143" s="17">
        <f>'[1]资源-士兵训练时间'!V143</f>
        <v>6653722316.1315403</v>
      </c>
      <c r="DE143" s="17">
        <f>'[1]资源-士兵训练时间'!W143</f>
        <v>8317152895.1644249</v>
      </c>
      <c r="DF143" s="17">
        <f>'[1]资源-士兵训练时间'!X143</f>
        <v>9980583474.1973114</v>
      </c>
      <c r="DG143" s="17">
        <f>'[1]资源-士兵训练时间'!Y143</f>
        <v>13307444632.263081</v>
      </c>
    </row>
    <row r="144" spans="2:111" x14ac:dyDescent="0.15">
      <c r="B144" s="34">
        <v>141</v>
      </c>
      <c r="C144" s="35">
        <f>'[1]资源-钻石'!L144</f>
        <v>8484371.0352186579</v>
      </c>
      <c r="D144" s="35">
        <f>'[1]资源-钻石'!M144</f>
        <v>12389158.127346283</v>
      </c>
      <c r="E144" s="35">
        <f>'[1]资源-钻石'!N144</f>
        <v>18319549.206508894</v>
      </c>
      <c r="F144" s="35">
        <f>'[1]资源-钻石'!O144</f>
        <v>47456714.942303069</v>
      </c>
      <c r="G144" s="35">
        <f>'[1]资源-钻石'!P144</f>
        <v>96032761.994749516</v>
      </c>
      <c r="I144" s="23">
        <v>141</v>
      </c>
      <c r="J144" s="24">
        <f>'[1]资源-钻石'!T144</f>
        <v>772526.86390191095</v>
      </c>
      <c r="K144" s="24">
        <f>'[1]资源-钻石'!U144</f>
        <v>1089179.5502921022</v>
      </c>
      <c r="L144" s="24">
        <f>'[1]资源-钻石'!V144</f>
        <v>1832507.5053213125</v>
      </c>
      <c r="M144" s="24">
        <f>'[1]资源-钻石'!W144</f>
        <v>4868608.2558534434</v>
      </c>
      <c r="N144" s="24">
        <f>'[1]资源-钻石'!X144</f>
        <v>11604806.581438785</v>
      </c>
      <c r="P144" s="28">
        <v>141</v>
      </c>
      <c r="Q144" s="28">
        <f>'[1]功能-行军令'!N144</f>
        <v>807711.07486895169</v>
      </c>
      <c r="R144" s="28">
        <f>'[1]功能-行军令'!O144</f>
        <v>994216.82973711565</v>
      </c>
      <c r="S144" s="28">
        <f>'[1]功能-行军令'!P144</f>
        <v>1072805.3614282238</v>
      </c>
      <c r="T144" s="28">
        <f>'[1]功能-行军令'!Q144</f>
        <v>863230.67590434593</v>
      </c>
      <c r="U144" s="28">
        <f>'[1]功能-行军令'!R144</f>
        <v>462451.46412893618</v>
      </c>
      <c r="V144" s="28">
        <f>'[1]功能-行军令'!S144</f>
        <v>54093.074868951691</v>
      </c>
      <c r="W144" s="28">
        <f>'[1]功能-行军令'!T144</f>
        <v>64168.664437115542</v>
      </c>
      <c r="X144" s="28">
        <f>'[1]功能-行军令'!U144</f>
        <v>68417.695328223752</v>
      </c>
      <c r="Y144" s="28">
        <f>'[1]功能-行军令'!V144</f>
        <v>56967.543704345939</v>
      </c>
      <c r="Z144" s="28">
        <f>'[1]功能-行军令'!W144</f>
        <v>30633.265028936148</v>
      </c>
      <c r="AC144" s="30">
        <v>141</v>
      </c>
      <c r="AD144" s="41">
        <f>'[1]功能-实力'!BE145</f>
        <v>38105478</v>
      </c>
      <c r="AE144" s="41">
        <f>'[1]功能-实力'!BF145</f>
        <v>38926968</v>
      </c>
      <c r="AF144" s="41">
        <f>'[1]功能-实力'!BG145</f>
        <v>40324746</v>
      </c>
      <c r="AG144" s="41">
        <f>'[1]功能-实力'!BH145</f>
        <v>42076902</v>
      </c>
      <c r="AH144" s="41">
        <f>'[1]功能-实力'!BI145</f>
        <v>42700548</v>
      </c>
      <c r="AL144" s="37">
        <f>[3]基础状态预期!C154</f>
        <v>3</v>
      </c>
      <c r="AM144" s="37">
        <f>[3]基础状态预期!D154</f>
        <v>27.324610510337703</v>
      </c>
      <c r="AO144" s="37">
        <f>[3]基础状态预期!F154</f>
        <v>0</v>
      </c>
      <c r="AP144" s="37">
        <f>[3]基础状态预期!G154</f>
        <v>0</v>
      </c>
      <c r="AQ144" s="37">
        <f>[3]基础状态预期!H154</f>
        <v>0</v>
      </c>
      <c r="AR144" s="37">
        <f>[3]基础状态预期!I154</f>
        <v>6</v>
      </c>
      <c r="AS144" s="37">
        <f>[3]基础状态预期!J154</f>
        <v>0</v>
      </c>
      <c r="AW144" s="32">
        <v>138</v>
      </c>
      <c r="AX144" s="32">
        <f>[1]节奏总纲!BJ141</f>
        <v>3.4999999999999978</v>
      </c>
      <c r="AY144" s="32">
        <f>[1]节奏总纲!BK141</f>
        <v>3.5699999999999976</v>
      </c>
      <c r="AZ144" s="32">
        <f>[1]节奏总纲!BL141</f>
        <v>3.7099999999999977</v>
      </c>
      <c r="BA144" s="32">
        <f>[1]节奏总纲!BM141</f>
        <v>3.9899999999999971</v>
      </c>
      <c r="BB144" s="32">
        <f>[1]节奏总纲!BN141</f>
        <v>4.8999999999999968</v>
      </c>
      <c r="BF144" s="42">
        <f>'[1]功能-行军令'!FZ142</f>
        <v>138</v>
      </c>
      <c r="BG144" s="42">
        <f>'[1]功能-行军令'!GA142*'[1]功能-行军令'!GB142</f>
        <v>1161.5226166844745</v>
      </c>
      <c r="BN144" s="49">
        <v>139</v>
      </c>
      <c r="BO144" s="17">
        <f>'[1]资源-木石铜粮'!U144</f>
        <v>3378332842423.5078</v>
      </c>
      <c r="BP144" s="17">
        <f>'[1]资源-木石铜粮'!V144</f>
        <v>3919275354647.085</v>
      </c>
      <c r="BQ144" s="17">
        <f>'[1]资源-木石铜粮'!W144</f>
        <v>4172014670600.0874</v>
      </c>
      <c r="BR144" s="17">
        <f>'[1]资源-木石铜粮'!X144</f>
        <v>3604476911339.7065</v>
      </c>
      <c r="BS144" s="17">
        <f>'[1]资源-木石铜粮'!Y144</f>
        <v>2533051464710.8828</v>
      </c>
      <c r="BV144" s="49">
        <v>139</v>
      </c>
      <c r="BW144" s="47">
        <f>'[1]功能-城建'!EQ142+[1]养成buff汇总!H144+'[1]功能-采集'!BS143+[2]产出汇总!AY144+[1]养成buff汇总!GY144</f>
        <v>2131130940132.1147</v>
      </c>
      <c r="BX144" s="47">
        <f>'[1]功能-城建'!ER142+[1]养成buff汇总!I144+'[1]功能-采集'!BT143+[2]产出汇总!AZ144+[1]养成buff汇总!GZ144</f>
        <v>1356439522334.2056</v>
      </c>
      <c r="BY144" s="47">
        <f>'[1]功能-城建'!ES142+[1]养成buff汇总!J144+'[1]功能-采集'!BU143+[2]产出汇总!BA144+[1]养成buff汇总!HA144</f>
        <v>1560577361255.5728</v>
      </c>
      <c r="BZ144" s="47">
        <f>'[1]功能-城建'!ET142+[1]养成buff汇总!K144+'[1]功能-采集'!BV143+[2]产出汇总!BB144+[1]养成buff汇总!HB144</f>
        <v>849304392583.69482</v>
      </c>
      <c r="CA144" s="47">
        <f>'[1]功能-城建'!EU142+[1]养成buff汇总!L144+'[1]功能-采集'!BW143+[2]产出汇总!BC144+[1]养成buff汇总!HC144</f>
        <v>749783359459.56934</v>
      </c>
      <c r="CD144" s="49">
        <v>139</v>
      </c>
      <c r="CE144" s="44">
        <f>'[1]资源-铁'!T144</f>
        <v>486526960326.71667</v>
      </c>
      <c r="CF144" s="44">
        <f>'[1]资源-铁'!U144</f>
        <v>616511677771.36377</v>
      </c>
      <c r="CG144" s="44">
        <f>'[1]资源-铁'!V144</f>
        <v>760168178584.55115</v>
      </c>
      <c r="CH144" s="44">
        <f>'[1]资源-铁'!W144</f>
        <v>915995838012.85156</v>
      </c>
      <c r="CI144" s="44">
        <f>'[1]资源-铁'!X144</f>
        <v>1196551007396.3164</v>
      </c>
      <c r="CL144" s="49">
        <v>139</v>
      </c>
      <c r="CM144" s="44">
        <f>'[1]功能-城建'!HF142+[1]养成buff汇总!S144+'[1]功能-采集'!BX143</f>
        <v>684328151053.75806</v>
      </c>
      <c r="CN144" s="44">
        <f>'[1]功能-城建'!HG142+[1]养成buff汇总!T144+'[1]功能-采集'!BY143</f>
        <v>452451928752.5293</v>
      </c>
      <c r="CO144" s="44">
        <f>'[1]功能-城建'!HH142+[1]养成buff汇总!U144+'[1]功能-采集'!BZ143</f>
        <v>527107401703.90027</v>
      </c>
      <c r="CP144" s="44">
        <f>'[1]功能-城建'!HI142+[1]养成buff汇总!V144+'[1]功能-采集'!CA143</f>
        <v>284300854459.37817</v>
      </c>
      <c r="CQ144" s="44">
        <f>'[1]功能-城建'!HJ142+[1]养成buff汇总!W144+'[1]功能-采集'!CB143</f>
        <v>264472141213.4978</v>
      </c>
      <c r="CT144" s="49">
        <v>139</v>
      </c>
      <c r="CU144" s="17">
        <f>'[1]资源-玩家城池建筑时间'!AJ144+CU143</f>
        <v>9502514040.3088436</v>
      </c>
      <c r="CV144" s="17">
        <f>'[1]资源-玩家城池建筑时间'!AK144+CV143</f>
        <v>10087926864.806314</v>
      </c>
      <c r="CW144" s="17">
        <f>'[1]资源-玩家城池建筑时间'!AL144+CW143</f>
        <v>10756262599.556425</v>
      </c>
      <c r="CX144" s="17">
        <f>'[1]资源-玩家城池建筑时间'!AM144+CX143</f>
        <v>11467057792.425001</v>
      </c>
      <c r="CY144" s="17">
        <f>'[1]资源-玩家城池建筑时间'!AN144+CY143</f>
        <v>12283034239.267195</v>
      </c>
      <c r="DB144" s="49">
        <v>139</v>
      </c>
      <c r="DC144" s="17">
        <f>'[1]资源-士兵训练时间'!U144</f>
        <v>4990291737.0986557</v>
      </c>
      <c r="DD144" s="17">
        <f>'[1]资源-士兵训练时间'!V144</f>
        <v>6653722316.1315403</v>
      </c>
      <c r="DE144" s="17">
        <f>'[1]资源-士兵训练时间'!W144</f>
        <v>8317152895.1644249</v>
      </c>
      <c r="DF144" s="17">
        <f>'[1]资源-士兵训练时间'!X144</f>
        <v>9980583474.1973114</v>
      </c>
      <c r="DG144" s="17">
        <f>'[1]资源-士兵训练时间'!Y144</f>
        <v>13307444632.263081</v>
      </c>
    </row>
    <row r="145" spans="2:111" x14ac:dyDescent="0.15">
      <c r="B145" s="34">
        <v>142</v>
      </c>
      <c r="C145" s="35">
        <f>'[1]资源-钻石'!L145</f>
        <v>8602357.3765275571</v>
      </c>
      <c r="D145" s="35">
        <f>'[1]资源-钻石'!M145</f>
        <v>12569275.85055254</v>
      </c>
      <c r="E145" s="35">
        <f>'[1]资源-钻石'!N145</f>
        <v>18590945.061944276</v>
      </c>
      <c r="F145" s="35">
        <f>'[1]资源-钻石'!O145</f>
        <v>48225582.751176387</v>
      </c>
      <c r="G145" s="35">
        <f>'[1]资源-钻石'!P145</f>
        <v>97839880.021318406</v>
      </c>
      <c r="I145" s="23">
        <v>142</v>
      </c>
      <c r="J145" s="24">
        <f>'[1]资源-钻石'!T145</f>
        <v>776855.58995029179</v>
      </c>
      <c r="K145" s="24">
        <f>'[1]资源-钻石'!U145</f>
        <v>1095621.1489453211</v>
      </c>
      <c r="L145" s="24">
        <f>'[1]资源-钻石'!V145</f>
        <v>1844045.2638398532</v>
      </c>
      <c r="M145" s="24">
        <f>'[1]资源-钻石'!W145</f>
        <v>4901319.7902238378</v>
      </c>
      <c r="N145" s="24">
        <f>'[1]资源-钻石'!X145</f>
        <v>11684644.269246221</v>
      </c>
      <c r="P145" s="28">
        <v>142</v>
      </c>
      <c r="Q145" s="28">
        <f>'[1]功能-行军令'!N145</f>
        <v>865686.59702048497</v>
      </c>
      <c r="R145" s="28">
        <f>'[1]功能-行军令'!O145</f>
        <v>1065579.2780546695</v>
      </c>
      <c r="S145" s="28">
        <f>'[1]功能-行军令'!P145</f>
        <v>1152720.0436817054</v>
      </c>
      <c r="T145" s="28">
        <f>'[1]功能-行军令'!Q145</f>
        <v>927323.48272834357</v>
      </c>
      <c r="U145" s="28">
        <f>'[1]功能-行军令'!R145</f>
        <v>496808.12839313212</v>
      </c>
      <c r="V145" s="28">
        <f>'[1]功能-行军令'!S145</f>
        <v>57975.522151533281</v>
      </c>
      <c r="W145" s="28">
        <f>'[1]功能-行军令'!T145</f>
        <v>71362.448317553848</v>
      </c>
      <c r="X145" s="28">
        <f>'[1]功能-行军令'!U145</f>
        <v>79914.682253481587</v>
      </c>
      <c r="Y145" s="28">
        <f>'[1]功能-行军令'!V145</f>
        <v>64092.806823997642</v>
      </c>
      <c r="Z145" s="28">
        <f>'[1]功能-行军令'!W145</f>
        <v>34356.664264195948</v>
      </c>
      <c r="AC145" s="30">
        <v>142</v>
      </c>
      <c r="AD145" s="41">
        <f>'[1]功能-实力'!BE146</f>
        <v>38814420</v>
      </c>
      <c r="AE145" s="41">
        <f>'[1]功能-实力'!BF146</f>
        <v>39658446</v>
      </c>
      <c r="AF145" s="41">
        <f>'[1]功能-实力'!BG146</f>
        <v>41103960</v>
      </c>
      <c r="AG145" s="41">
        <f>'[1]功能-实力'!BH146</f>
        <v>42874878</v>
      </c>
      <c r="AH145" s="41">
        <f>'[1]功能-实力'!BI146</f>
        <v>43499514</v>
      </c>
      <c r="AL145" s="37">
        <f>[3]基础状态预期!C155</f>
        <v>5</v>
      </c>
      <c r="AM145" s="37">
        <f>[3]基础状态预期!D155</f>
        <v>33.672145166817529</v>
      </c>
      <c r="AO145" s="37">
        <f>[3]基础状态预期!F155</f>
        <v>0</v>
      </c>
      <c r="AP145" s="37">
        <f>[3]基础状态预期!G155</f>
        <v>0</v>
      </c>
      <c r="AQ145" s="37">
        <f>[3]基础状态预期!H155</f>
        <v>0</v>
      </c>
      <c r="AR145" s="37">
        <f>[3]基础状态预期!I155</f>
        <v>6</v>
      </c>
      <c r="AS145" s="37">
        <f>[3]基础状态预期!J155</f>
        <v>0</v>
      </c>
      <c r="AW145" s="32">
        <v>139</v>
      </c>
      <c r="AX145" s="32">
        <f>[1]节奏总纲!BJ142</f>
        <v>3.4999999999999978</v>
      </c>
      <c r="AY145" s="32">
        <f>[1]节奏总纲!BK142</f>
        <v>3.5699999999999976</v>
      </c>
      <c r="AZ145" s="32">
        <f>[1]节奏总纲!BL142</f>
        <v>3.7099999999999977</v>
      </c>
      <c r="BA145" s="32">
        <f>[1]节奏总纲!BM142</f>
        <v>3.9899999999999971</v>
      </c>
      <c r="BB145" s="32">
        <f>[1]节奏总纲!BN142</f>
        <v>4.8999999999999968</v>
      </c>
      <c r="BF145" s="42">
        <f>'[1]功能-行军令'!FZ143</f>
        <v>139</v>
      </c>
      <c r="BG145" s="42">
        <f>'[1]功能-行军令'!GA143*'[1]功能-行军令'!GB143</f>
        <v>1184.7530690181641</v>
      </c>
      <c r="BN145" s="49">
        <v>140</v>
      </c>
      <c r="BO145" s="17">
        <f>'[1]资源-木石铜粮'!U145</f>
        <v>3706571765393.9927</v>
      </c>
      <c r="BP145" s="17">
        <f>'[1]资源-木石铜粮'!V145</f>
        <v>4300154865911.9341</v>
      </c>
      <c r="BQ145" s="17">
        <f>'[1]资源-木石铜粮'!W145</f>
        <v>4555594966682.5273</v>
      </c>
      <c r="BR145" s="17">
        <f>'[1]资源-木石铜粮'!X145</f>
        <v>3929877238134.4697</v>
      </c>
      <c r="BS145" s="17">
        <f>'[1]资源-木石铜粮'!Y145</f>
        <v>2755346016716.6147</v>
      </c>
      <c r="BV145" s="49">
        <v>140</v>
      </c>
      <c r="BW145" s="47">
        <f>'[1]功能-城建'!EQ143+[1]养成buff汇总!H145+'[1]功能-采集'!BS144+[2]产出汇总!AY145+[1]养成buff汇总!GY145</f>
        <v>2300093338613.9424</v>
      </c>
      <c r="BX145" s="47">
        <f>'[1]功能-城建'!ER143+[1]养成buff汇总!I145+'[1]功能-采集'!BT144+[2]产出汇总!AZ145+[1]养成buff汇总!GZ145</f>
        <v>1463926281353.3198</v>
      </c>
      <c r="BY145" s="47">
        <f>'[1]功能-城建'!ES143+[1]养成buff汇总!J145+'[1]功能-采集'!BU144+[2]产出汇总!BA145+[1]养成buff汇总!HA145</f>
        <v>1676096799033.9939</v>
      </c>
      <c r="BZ145" s="47">
        <f>'[1]功能-城建'!ET143+[1]养成buff汇总!K145+'[1]功能-采集'!BV144+[2]产出汇总!BB145+[1]养成buff汇总!HB145</f>
        <v>912432706505.45313</v>
      </c>
      <c r="CA145" s="47">
        <f>'[1]功能-城建'!EU143+[1]养成buff汇总!L145+'[1]功能-采集'!BW144+[2]产出汇总!BC145+[1]养成buff汇总!HC145</f>
        <v>806923015564.35974</v>
      </c>
      <c r="CD145" s="49">
        <v>140</v>
      </c>
      <c r="CE145" s="44">
        <f>'[1]资源-铁'!T145</f>
        <v>504675863789.78979</v>
      </c>
      <c r="CF145" s="44">
        <f>'[1]资源-铁'!U145</f>
        <v>636051068734.01501</v>
      </c>
      <c r="CG145" s="44">
        <f>'[1]资源-铁'!V145</f>
        <v>778765307335.04126</v>
      </c>
      <c r="CH145" s="44">
        <f>'[1]资源-铁'!W145</f>
        <v>938372123935.46692</v>
      </c>
      <c r="CI145" s="44">
        <f>'[1]资源-铁'!X145</f>
        <v>1222220659288.3313</v>
      </c>
      <c r="CL145" s="49">
        <v>140</v>
      </c>
      <c r="CM145" s="44">
        <f>'[1]功能-城建'!HF143+[1]养成buff汇总!S145+'[1]功能-采集'!BX144</f>
        <v>739816540431.70093</v>
      </c>
      <c r="CN145" s="44">
        <f>'[1]功能-城建'!HG143+[1]养成buff汇总!T145+'[1]功能-采集'!BY144</f>
        <v>489091548664.5722</v>
      </c>
      <c r="CO145" s="44">
        <f>'[1]功能-城建'!HH143+[1]养成buff汇总!U145+'[1]功能-采集'!BZ144</f>
        <v>567080341558.36584</v>
      </c>
      <c r="CP145" s="44">
        <f>'[1]功能-城建'!HI143+[1]养成buff汇总!V145+'[1]功能-采集'!CA144</f>
        <v>305945696275.82086</v>
      </c>
      <c r="CQ145" s="44">
        <f>'[1]功能-城建'!HJ143+[1]养成buff汇总!W145+'[1]功能-采集'!CB144</f>
        <v>285055673102.27051</v>
      </c>
      <c r="CT145" s="49">
        <v>140</v>
      </c>
      <c r="CU145" s="17">
        <f>'[1]资源-玩家城池建筑时间'!AJ145+CU144</f>
        <v>10207249540.388765</v>
      </c>
      <c r="CV145" s="17">
        <f>'[1]资源-玩家城池建筑时间'!AK145+CV144</f>
        <v>10830024650.592978</v>
      </c>
      <c r="CW145" s="17">
        <f>'[1]资源-玩家城池建筑时间'!AL145+CW144</f>
        <v>11503327986.933191</v>
      </c>
      <c r="CX145" s="17">
        <f>'[1]资源-玩家城池建筑时间'!AM145+CX144</f>
        <v>12260739195.896675</v>
      </c>
      <c r="CY145" s="17">
        <f>'[1]资源-玩家城池建筑时间'!AN145+CY144</f>
        <v>13162214684.955231</v>
      </c>
      <c r="DB145" s="49">
        <v>140</v>
      </c>
      <c r="DC145" s="17">
        <f>'[1]资源-士兵训练时间'!U145</f>
        <v>4990291737.0986557</v>
      </c>
      <c r="DD145" s="17">
        <f>'[1]资源-士兵训练时间'!V145</f>
        <v>6653722316.1315403</v>
      </c>
      <c r="DE145" s="17">
        <f>'[1]资源-士兵训练时间'!W145</f>
        <v>8317152895.1644249</v>
      </c>
      <c r="DF145" s="17">
        <f>'[1]资源-士兵训练时间'!X145</f>
        <v>9980583474.1973114</v>
      </c>
      <c r="DG145" s="17">
        <f>'[1]资源-士兵训练时间'!Y145</f>
        <v>13307444632.263081</v>
      </c>
    </row>
    <row r="146" spans="2:111" x14ac:dyDescent="0.15">
      <c r="B146" s="34">
        <v>143</v>
      </c>
      <c r="C146" s="35">
        <f>'[1]资源-钻石'!L146</f>
        <v>8720343.7178364564</v>
      </c>
      <c r="D146" s="35">
        <f>'[1]资源-钻石'!M146</f>
        <v>12749393.573758798</v>
      </c>
      <c r="E146" s="35">
        <f>'[1]资源-钻石'!N146</f>
        <v>18862340.917379659</v>
      </c>
      <c r="F146" s="35">
        <f>'[1]资源-钻石'!O146</f>
        <v>48994450.560049705</v>
      </c>
      <c r="G146" s="35">
        <f>'[1]资源-钻石'!P146</f>
        <v>99646998.047887295</v>
      </c>
      <c r="I146" s="23">
        <v>143</v>
      </c>
      <c r="J146" s="24">
        <f>'[1]资源-钻石'!T146</f>
        <v>781184.31599867262</v>
      </c>
      <c r="K146" s="24">
        <f>'[1]资源-钻石'!U146</f>
        <v>1102062.74759854</v>
      </c>
      <c r="L146" s="24">
        <f>'[1]资源-钻石'!V146</f>
        <v>1855583.022358394</v>
      </c>
      <c r="M146" s="24">
        <f>'[1]资源-钻石'!W146</f>
        <v>4934031.3245942332</v>
      </c>
      <c r="N146" s="24">
        <f>'[1]资源-钻石'!X146</f>
        <v>11764481.957053656</v>
      </c>
      <c r="P146" s="28">
        <v>143</v>
      </c>
      <c r="Q146" s="28">
        <f>'[1]功能-行军令'!N146</f>
        <v>927823.22313918336</v>
      </c>
      <c r="R146" s="28">
        <f>'[1]功能-行军令'!O146</f>
        <v>1143415.0510776134</v>
      </c>
      <c r="S146" s="28">
        <f>'[1]功能-行军令'!P146</f>
        <v>1237111.0775656232</v>
      </c>
      <c r="T146" s="28">
        <f>'[1]功能-行军令'!Q146</f>
        <v>995961.75384372217</v>
      </c>
      <c r="U146" s="28">
        <f>'[1]功能-行军令'!R146</f>
        <v>534129.6764981664</v>
      </c>
      <c r="V146" s="28">
        <f>'[1]功能-行军令'!S146</f>
        <v>62136.62611869839</v>
      </c>
      <c r="W146" s="28">
        <f>'[1]功能-行军令'!T146</f>
        <v>77835.773022943875</v>
      </c>
      <c r="X146" s="28">
        <f>'[1]功能-行军令'!U146</f>
        <v>84391.033883917844</v>
      </c>
      <c r="Y146" s="28">
        <f>'[1]功能-行军令'!V146</f>
        <v>68638.271115378593</v>
      </c>
      <c r="Z146" s="28">
        <f>'[1]功能-行军令'!W146</f>
        <v>37321.548105034279</v>
      </c>
      <c r="AC146" s="30">
        <v>143</v>
      </c>
      <c r="AD146" s="41">
        <f>'[1]功能-实力'!BE147</f>
        <v>39549414</v>
      </c>
      <c r="AE146" s="41">
        <f>'[1]功能-实力'!BF147</f>
        <v>40405596</v>
      </c>
      <c r="AF146" s="41">
        <f>'[1]功能-实力'!BG147</f>
        <v>41901792</v>
      </c>
      <c r="AG146" s="41">
        <f>'[1]功能-实力'!BH147</f>
        <v>43685208</v>
      </c>
      <c r="AH146" s="41">
        <f>'[1]功能-实力'!BI147</f>
        <v>44318034</v>
      </c>
      <c r="AL146" s="37">
        <f>[3]基础状态预期!C156</f>
        <v>7.5</v>
      </c>
      <c r="AM146" s="37">
        <f>[3]基础状态预期!D156</f>
        <v>39.138098927718012</v>
      </c>
      <c r="AO146" s="37">
        <f>[3]基础状态预期!F156</f>
        <v>0</v>
      </c>
      <c r="AP146" s="37">
        <f>[3]基础状态预期!G156</f>
        <v>0</v>
      </c>
      <c r="AQ146" s="37">
        <f>[3]基础状态预期!H156</f>
        <v>0</v>
      </c>
      <c r="AR146" s="37">
        <f>[3]基础状态预期!I156</f>
        <v>6</v>
      </c>
      <c r="AS146" s="37">
        <f>[3]基础状态预期!J156</f>
        <v>0</v>
      </c>
      <c r="AW146" s="32">
        <v>140</v>
      </c>
      <c r="AX146" s="32">
        <f>[1]节奏总纲!BJ143</f>
        <v>3.4999999999999978</v>
      </c>
      <c r="AY146" s="32">
        <f>[1]节奏总纲!BK143</f>
        <v>3.5699999999999976</v>
      </c>
      <c r="AZ146" s="32">
        <f>[1]节奏总纲!BL143</f>
        <v>3.7099999999999977</v>
      </c>
      <c r="BA146" s="32">
        <f>[1]节奏总纲!BM143</f>
        <v>3.9899999999999971</v>
      </c>
      <c r="BB146" s="32">
        <f>[1]节奏总纲!BN143</f>
        <v>4.8999999999999968</v>
      </c>
      <c r="BF146" s="42">
        <f>'[1]功能-行军令'!FZ144</f>
        <v>140</v>
      </c>
      <c r="BG146" s="42">
        <f>'[1]功能-行军令'!GA144*'[1]功能-行军令'!GB144</f>
        <v>1208.4481303985274</v>
      </c>
      <c r="BN146" s="49">
        <v>141</v>
      </c>
      <c r="BO146" s="17">
        <f>'[1]资源-木石铜粮'!U146</f>
        <v>4065121945054.79</v>
      </c>
      <c r="BP146" s="17">
        <f>'[1]资源-木石铜粮'!V146</f>
        <v>4704081735039.2539</v>
      </c>
      <c r="BQ146" s="17">
        <f>'[1]资源-木石铜粮'!W146</f>
        <v>4979187085073.8984</v>
      </c>
      <c r="BR146" s="17">
        <f>'[1]资源-木石铜粮'!X146</f>
        <v>4299983063391.2681</v>
      </c>
      <c r="BS146" s="17">
        <f>'[1]资源-木石铜粮'!Y146</f>
        <v>3002029460058.397</v>
      </c>
      <c r="BV146" s="49">
        <v>141</v>
      </c>
      <c r="BW146" s="47">
        <f>'[1]功能-城建'!EQ144+[1]养成buff汇总!H146+'[1]功能-采集'!BS145+[2]产出汇总!AY146+[1]养成buff汇总!GY146</f>
        <v>2481732496036.7607</v>
      </c>
      <c r="BX146" s="47">
        <f>'[1]功能-城建'!ER144+[1]养成buff汇总!I146+'[1]功能-采集'!BT145+[2]产出汇总!AZ146+[1]养成buff汇总!GZ146</f>
        <v>1575578063864.2131</v>
      </c>
      <c r="BY146" s="47">
        <f>'[1]功能-城建'!ES144+[1]养成buff汇总!J146+'[1]功能-采集'!BU145+[2]产出汇总!BA146+[1]养成buff汇总!HA146</f>
        <v>1801321535493.3506</v>
      </c>
      <c r="BZ146" s="47">
        <f>'[1]功能-城建'!ET144+[1]养成buff汇总!K146+'[1]功能-采集'!BV145+[2]产出汇总!BB146+[1]养成buff汇总!HB146</f>
        <v>983886452576.8728</v>
      </c>
      <c r="CA146" s="47">
        <f>'[1]功能-城建'!EU144+[1]养成buff汇总!L146+'[1]功能-采集'!BW145+[2]产出汇总!BC146+[1]养成buff汇总!HC146</f>
        <v>869657416122.42407</v>
      </c>
      <c r="CD146" s="49">
        <v>141</v>
      </c>
      <c r="CE146" s="44">
        <f>'[1]资源-铁'!T146</f>
        <v>523176436792.26514</v>
      </c>
      <c r="CF146" s="44">
        <f>'[1]资源-铁'!U146</f>
        <v>653632696999.89893</v>
      </c>
      <c r="CG146" s="44">
        <f>'[1]资源-铁'!V146</f>
        <v>799052801334.83704</v>
      </c>
      <c r="CH146" s="44">
        <f>'[1]资源-铁'!W146</f>
        <v>961178769516.5459</v>
      </c>
      <c r="CI146" s="44">
        <f>'[1]资源-铁'!X146</f>
        <v>1249649242608.7363</v>
      </c>
      <c r="CL146" s="49">
        <v>141</v>
      </c>
      <c r="CM146" s="44">
        <f>'[1]功能-城建'!HF144+[1]养成buff汇总!S146+'[1]功能-采集'!BX145</f>
        <v>799483962068.94958</v>
      </c>
      <c r="CN146" s="44">
        <f>'[1]功能-城建'!HG144+[1]养成buff汇总!T146+'[1]功能-采集'!BY145</f>
        <v>527358456225.57483</v>
      </c>
      <c r="CO146" s="44">
        <f>'[1]功能-城建'!HH144+[1]养成buff汇总!U146+'[1]功能-采集'!BZ145</f>
        <v>610332159304.02234</v>
      </c>
      <c r="CP146" s="44">
        <f>'[1]功能-城建'!HI144+[1]养成buff汇总!V146+'[1]功能-采集'!CA145</f>
        <v>330434580747.36511</v>
      </c>
      <c r="CQ146" s="44">
        <f>'[1]功能-城建'!HJ144+[1]养成buff汇总!W146+'[1]功能-采集'!CB145</f>
        <v>307623547006.86621</v>
      </c>
      <c r="CT146" s="49">
        <v>141</v>
      </c>
      <c r="CU146" s="17">
        <f>'[1]资源-玩家城池建筑时间'!AJ146+CU145</f>
        <v>10963746587.779402</v>
      </c>
      <c r="CV146" s="17">
        <f>'[1]资源-玩家城池建筑时间'!AK146+CV145</f>
        <v>11602312677.962843</v>
      </c>
      <c r="CW146" s="17">
        <f>'[1]资源-玩家城池建筑时间'!AL146+CW145</f>
        <v>12311673234.9072</v>
      </c>
      <c r="CX146" s="17">
        <f>'[1]资源-玩家城池建筑时间'!AM146+CX145</f>
        <v>13155834780.382763</v>
      </c>
      <c r="CY146" s="17">
        <f>'[1]资源-玩家城池建筑时间'!AN146+CY145</f>
        <v>14125619012.10791</v>
      </c>
      <c r="DB146" s="49">
        <v>141</v>
      </c>
      <c r="DC146" s="17">
        <f>'[1]资源-士兵训练时间'!U146</f>
        <v>4990291737.0986557</v>
      </c>
      <c r="DD146" s="17">
        <f>'[1]资源-士兵训练时间'!V146</f>
        <v>6653722316.1315403</v>
      </c>
      <c r="DE146" s="17">
        <f>'[1]资源-士兵训练时间'!W146</f>
        <v>8317152895.1644249</v>
      </c>
      <c r="DF146" s="17">
        <f>'[1]资源-士兵训练时间'!X146</f>
        <v>9980583474.1973114</v>
      </c>
      <c r="DG146" s="17">
        <f>'[1]资源-士兵训练时间'!Y146</f>
        <v>13307444632.263081</v>
      </c>
    </row>
    <row r="147" spans="2:111" x14ac:dyDescent="0.15">
      <c r="B147" s="34">
        <v>144</v>
      </c>
      <c r="C147" s="35">
        <f>'[1]资源-钻石'!L147</f>
        <v>8838330.0591453556</v>
      </c>
      <c r="D147" s="35">
        <f>'[1]资源-钻石'!M147</f>
        <v>12929511.296965055</v>
      </c>
      <c r="E147" s="35">
        <f>'[1]资源-钻石'!N147</f>
        <v>19133736.772815041</v>
      </c>
      <c r="F147" s="35">
        <f>'[1]资源-钻石'!O147</f>
        <v>49763318.368923023</v>
      </c>
      <c r="G147" s="35">
        <f>'[1]资源-钻石'!P147</f>
        <v>101454116.07445619</v>
      </c>
      <c r="I147" s="23">
        <v>144</v>
      </c>
      <c r="J147" s="24">
        <f>'[1]资源-钻石'!T147</f>
        <v>785513.04204705346</v>
      </c>
      <c r="K147" s="24">
        <f>'[1]资源-钻石'!U147</f>
        <v>1108504.346251759</v>
      </c>
      <c r="L147" s="24">
        <f>'[1]资源-钻石'!V147</f>
        <v>1867120.7808769348</v>
      </c>
      <c r="M147" s="24">
        <f>'[1]资源-钻石'!W147</f>
        <v>4966742.8589646276</v>
      </c>
      <c r="N147" s="24">
        <f>'[1]资源-钻石'!X147</f>
        <v>11844319.644861089</v>
      </c>
      <c r="P147" s="28">
        <v>144</v>
      </c>
      <c r="Q147" s="28">
        <f>'[1]功能-行军令'!N147</f>
        <v>994419.61006474204</v>
      </c>
      <c r="R147" s="28">
        <f>'[1]功能-行军令'!O147</f>
        <v>1225485.977153851</v>
      </c>
      <c r="S147" s="28">
        <f>'[1]功能-行军令'!P147</f>
        <v>1327284.2802798264</v>
      </c>
      <c r="T147" s="28">
        <f>'[1]功能-行军令'!Q147</f>
        <v>1069230.2296862649</v>
      </c>
      <c r="U147" s="28">
        <f>'[1]功能-行军令'!R147</f>
        <v>571354.59587150253</v>
      </c>
      <c r="V147" s="28">
        <f>'[1]功能-行军令'!S147</f>
        <v>66596.386925558676</v>
      </c>
      <c r="W147" s="28">
        <f>'[1]功能-行军令'!T147</f>
        <v>82070.926076237578</v>
      </c>
      <c r="X147" s="28">
        <f>'[1]功能-行军令'!U147</f>
        <v>90173.202714203158</v>
      </c>
      <c r="Y147" s="28">
        <f>'[1]功能-行军令'!V147</f>
        <v>73268.475842542714</v>
      </c>
      <c r="Z147" s="28">
        <f>'[1]功能-行军令'!W147</f>
        <v>37224.919373336132</v>
      </c>
      <c r="AC147" s="30">
        <v>144</v>
      </c>
      <c r="AD147" s="41">
        <f>'[1]功能-实力'!BE148</f>
        <v>40310490</v>
      </c>
      <c r="AE147" s="41">
        <f>'[1]功能-实力'!BF148</f>
        <v>41181876</v>
      </c>
      <c r="AF147" s="41">
        <f>'[1]功能-实力'!BG148</f>
        <v>42709038</v>
      </c>
      <c r="AG147" s="41">
        <f>'[1]功能-实力'!BH148</f>
        <v>44513226</v>
      </c>
      <c r="AH147" s="41">
        <f>'[1]功能-实力'!BI148</f>
        <v>45135132</v>
      </c>
      <c r="AL147" s="37">
        <f>[3]基础状态预期!C157</f>
        <v>10</v>
      </c>
      <c r="AM147" s="37">
        <f>[3]基础状态预期!D157</f>
        <v>42.970748198558951</v>
      </c>
      <c r="AO147" s="37">
        <f>[3]基础状态预期!F157</f>
        <v>0</v>
      </c>
      <c r="AP147" s="37">
        <f>[3]基础状态预期!G157</f>
        <v>0</v>
      </c>
      <c r="AQ147" s="37">
        <f>[3]基础状态预期!H157</f>
        <v>0</v>
      </c>
      <c r="AR147" s="37">
        <f>[3]基础状态预期!I157</f>
        <v>6</v>
      </c>
      <c r="AS147" s="37">
        <f>[3]基础状态预期!J157</f>
        <v>0</v>
      </c>
      <c r="AW147" s="32">
        <v>141</v>
      </c>
      <c r="AX147" s="32">
        <f>[1]节奏总纲!BJ144</f>
        <v>3.4999999999999978</v>
      </c>
      <c r="AY147" s="32">
        <f>[1]节奏总纲!BK144</f>
        <v>3.5699999999999976</v>
      </c>
      <c r="AZ147" s="32">
        <f>[1]节奏总纲!BL144</f>
        <v>3.7099999999999977</v>
      </c>
      <c r="BA147" s="32">
        <f>[1]节奏总纲!BM144</f>
        <v>3.9899999999999971</v>
      </c>
      <c r="BB147" s="32">
        <f>[1]节奏总纲!BN144</f>
        <v>4.8999999999999968</v>
      </c>
      <c r="BF147" s="42">
        <f>'[1]功能-行军令'!FZ145</f>
        <v>141</v>
      </c>
      <c r="BG147" s="42">
        <f>'[1]功能-行军令'!GA145*'[1]功能-行军令'!GB145</f>
        <v>1232.617093006498</v>
      </c>
      <c r="BN147" s="49">
        <v>142</v>
      </c>
      <c r="BO147" s="17">
        <f>'[1]资源-木石铜粮'!U147</f>
        <v>4456252283328.7832</v>
      </c>
      <c r="BP147" s="17">
        <f>'[1]资源-木石铜粮'!V147</f>
        <v>5161043726662.4873</v>
      </c>
      <c r="BQ147" s="17">
        <f>'[1]资源-木石铜粮'!W147</f>
        <v>5479229798682.6777</v>
      </c>
      <c r="BR147" s="17">
        <f>'[1]资源-木石铜粮'!X147</f>
        <v>4723366893194.0391</v>
      </c>
      <c r="BS147" s="17">
        <f>'[1]资源-木石铜粮'!Y147</f>
        <v>3286437189937.8896</v>
      </c>
      <c r="BV147" s="49">
        <v>142</v>
      </c>
      <c r="BW147" s="47">
        <f>'[1]功能-城建'!EQ145+[1]养成buff汇总!H147+'[1]功能-采集'!BS146+[2]产出汇总!AY147+[1]养成buff汇总!GY147</f>
        <v>2677313485147.2539</v>
      </c>
      <c r="BX147" s="47">
        <f>'[1]功能-城建'!ER145+[1]养成buff汇总!I147+'[1]功能-采集'!BT146+[2]产出汇总!AZ147+[1]养成buff汇总!GZ147</f>
        <v>1700600506636.1289</v>
      </c>
      <c r="BY147" s="47">
        <f>'[1]功能-城建'!ES145+[1]养成buff汇总!J147+'[1]功能-采集'!BU146+[2]产出汇总!BA147+[1]养成buff汇总!HA147</f>
        <v>1948842460643.3467</v>
      </c>
      <c r="BZ147" s="47">
        <f>'[1]功能-城建'!ET145+[1]养成buff汇总!K147+'[1]功能-采集'!BV146+[2]产出汇总!BB147+[1]养成buff汇总!HB147</f>
        <v>1064597794923.5466</v>
      </c>
      <c r="CA147" s="47">
        <f>'[1]功能-城建'!EU145+[1]养成buff汇总!L147+'[1]功能-采集'!BW146+[2]产出汇总!BC147+[1]养成buff汇总!HC147</f>
        <v>940468815389.95654</v>
      </c>
      <c r="CD147" s="49">
        <v>142</v>
      </c>
      <c r="CE147" s="44">
        <f>'[1]资源-铁'!T147</f>
        <v>541200792888.51428</v>
      </c>
      <c r="CF147" s="44">
        <f>'[1]资源-铁'!U147</f>
        <v>673725242114.83081</v>
      </c>
      <c r="CG147" s="44">
        <f>'[1]资源-铁'!V147</f>
        <v>820493507986.19934</v>
      </c>
      <c r="CH147" s="44">
        <f>'[1]资源-铁'!W147</f>
        <v>986255446318.43762</v>
      </c>
      <c r="CI147" s="44">
        <f>'[1]资源-铁'!X147</f>
        <v>1281003398812.5618</v>
      </c>
      <c r="CL147" s="49">
        <v>142</v>
      </c>
      <c r="CM147" s="44">
        <f>'[1]功能-城建'!HF145+[1]养成buff汇总!S147+'[1]功能-采集'!BX146</f>
        <v>863806592467.88257</v>
      </c>
      <c r="CN147" s="44">
        <f>'[1]功能-城建'!HG145+[1]养成buff汇总!T147+'[1]功能-采集'!BY146</f>
        <v>569930708541.21997</v>
      </c>
      <c r="CO147" s="44">
        <f>'[1]功能-城建'!HH145+[1]养成buff汇总!U147+'[1]功能-采集'!BZ146</f>
        <v>661246005068.35327</v>
      </c>
      <c r="CP147" s="44">
        <f>'[1]功能-城建'!HI145+[1]养成buff汇总!V147+'[1]功能-采集'!CA146</f>
        <v>358028134263.80908</v>
      </c>
      <c r="CQ147" s="44">
        <f>'[1]功能-城建'!HJ145+[1]养成buff汇总!W147+'[1]功能-采集'!CB146</f>
        <v>333071889978.638</v>
      </c>
      <c r="CT147" s="49">
        <v>142</v>
      </c>
      <c r="CU147" s="17">
        <f>'[1]资源-玩家城池建筑时间'!AJ147+CU146</f>
        <v>11776779129.460325</v>
      </c>
      <c r="CV147" s="17">
        <f>'[1]资源-玩家城池建筑时间'!AK147+CV146</f>
        <v>12461332869.301781</v>
      </c>
      <c r="CW147" s="17">
        <f>'[1]资源-玩家城池建筑时间'!AL147+CW146</f>
        <v>13259420040.734272</v>
      </c>
      <c r="CX147" s="17">
        <f>'[1]资源-玩家城池建筑时间'!AM147+CX146</f>
        <v>14163681762.66287</v>
      </c>
      <c r="CY147" s="17">
        <f>'[1]资源-玩家城池建筑时间'!AN147+CY146</f>
        <v>15209387948.219952</v>
      </c>
      <c r="DB147" s="49">
        <v>142</v>
      </c>
      <c r="DC147" s="17">
        <f>'[1]资源-士兵训练时间'!U147</f>
        <v>4990291737.0986557</v>
      </c>
      <c r="DD147" s="17">
        <f>'[1]资源-士兵训练时间'!V147</f>
        <v>6653722316.1315403</v>
      </c>
      <c r="DE147" s="17">
        <f>'[1]资源-士兵训练时间'!W147</f>
        <v>8317152895.1644249</v>
      </c>
      <c r="DF147" s="17">
        <f>'[1]资源-士兵训练时间'!X147</f>
        <v>9980583474.1973114</v>
      </c>
      <c r="DG147" s="17">
        <f>'[1]资源-士兵训练时间'!Y147</f>
        <v>13307444632.263081</v>
      </c>
    </row>
    <row r="148" spans="2:111" x14ac:dyDescent="0.15">
      <c r="B148" s="34">
        <v>145</v>
      </c>
      <c r="C148" s="35">
        <f>'[1]资源-钻石'!L148</f>
        <v>8956316.4004542548</v>
      </c>
      <c r="D148" s="35">
        <f>'[1]资源-钻石'!M148</f>
        <v>13109629.020171313</v>
      </c>
      <c r="E148" s="35">
        <f>'[1]资源-钻石'!N148</f>
        <v>19405132.628250424</v>
      </c>
      <c r="F148" s="35">
        <f>'[1]资源-钻石'!O148</f>
        <v>50532186.177796341</v>
      </c>
      <c r="G148" s="35">
        <f>'[1]资源-钻石'!P148</f>
        <v>103261234.10102507</v>
      </c>
      <c r="I148" s="25">
        <v>145</v>
      </c>
      <c r="J148" s="24">
        <f>'[1]资源-钻石'!T148</f>
        <v>789841.76809543429</v>
      </c>
      <c r="K148" s="24">
        <f>'[1]资源-钻石'!U148</f>
        <v>1114945.9449049779</v>
      </c>
      <c r="L148" s="24">
        <f>'[1]资源-钻石'!V148</f>
        <v>1878658.5393954758</v>
      </c>
      <c r="M148" s="24">
        <f>'[1]资源-钻石'!W148</f>
        <v>4999454.393335023</v>
      </c>
      <c r="N148" s="24">
        <f>'[1]资源-钻石'!X148</f>
        <v>11924157.332668524</v>
      </c>
      <c r="P148" s="28">
        <v>145</v>
      </c>
      <c r="Q148" s="28">
        <f>'[1]功能-行军令'!N148</f>
        <v>1065795.8502723568</v>
      </c>
      <c r="R148" s="28">
        <f>'[1]功能-行军令'!O148</f>
        <v>1315310.2435586185</v>
      </c>
      <c r="S148" s="28">
        <f>'[1]功能-行军令'!P148</f>
        <v>1424239.2133514546</v>
      </c>
      <c r="T148" s="28">
        <f>'[1]功能-行军令'!Q148</f>
        <v>1143828.3251447973</v>
      </c>
      <c r="U148" s="28">
        <f>'[1]功能-行军令'!R148</f>
        <v>610455.42577099777</v>
      </c>
      <c r="V148" s="28">
        <f>'[1]功能-行军令'!S148</f>
        <v>71376.240207614726</v>
      </c>
      <c r="W148" s="28">
        <f>'[1]功能-行军令'!T148</f>
        <v>89824.266404767521</v>
      </c>
      <c r="X148" s="28">
        <f>'[1]功能-行军令'!U148</f>
        <v>96954.933071628213</v>
      </c>
      <c r="Y148" s="28">
        <f>'[1]功能-行军令'!V148</f>
        <v>74598.095458532451</v>
      </c>
      <c r="Z148" s="28">
        <f>'[1]功能-行军令'!W148</f>
        <v>39100.829899495235</v>
      </c>
      <c r="AC148" s="30">
        <v>145</v>
      </c>
      <c r="AD148" s="41">
        <f>'[1]功能-实力'!BE149</f>
        <v>41090106</v>
      </c>
      <c r="AE148" s="41">
        <f>'[1]功能-实力'!BF149</f>
        <v>41967234</v>
      </c>
      <c r="AF148" s="41">
        <f>'[1]功能-实力'!BG149</f>
        <v>43536342</v>
      </c>
      <c r="AG148" s="41">
        <f>'[1]功能-实力'!BH149</f>
        <v>45342906</v>
      </c>
      <c r="AH148" s="41">
        <f>'[1]功能-实力'!BI149</f>
        <v>45961326</v>
      </c>
      <c r="AL148" s="37">
        <f>[3]基础状态预期!C158</f>
        <v>15</v>
      </c>
      <c r="AM148" s="37">
        <f>[3]基础状态预期!D158</f>
        <v>48.731413734867289</v>
      </c>
      <c r="AO148" s="37">
        <f>[3]基础状态预期!F158</f>
        <v>0</v>
      </c>
      <c r="AP148" s="37">
        <f>[3]基础状态预期!G158</f>
        <v>0</v>
      </c>
      <c r="AQ148" s="37">
        <f>[3]基础状态预期!H158</f>
        <v>0</v>
      </c>
      <c r="AR148" s="37">
        <f>[3]基础状态预期!I158</f>
        <v>6</v>
      </c>
      <c r="AS148" s="37">
        <f>[3]基础状态预期!J158</f>
        <v>0</v>
      </c>
      <c r="AW148" s="32">
        <v>142</v>
      </c>
      <c r="AX148" s="32">
        <f>[1]节奏总纲!BJ145</f>
        <v>3.4999999999999978</v>
      </c>
      <c r="AY148" s="32">
        <f>[1]节奏总纲!BK145</f>
        <v>3.5699999999999976</v>
      </c>
      <c r="AZ148" s="32">
        <f>[1]节奏总纲!BL145</f>
        <v>3.7099999999999977</v>
      </c>
      <c r="BA148" s="32">
        <f>[1]节奏总纲!BM145</f>
        <v>3.9899999999999971</v>
      </c>
      <c r="BB148" s="32">
        <f>[1]节奏总纲!BN145</f>
        <v>4.8999999999999968</v>
      </c>
      <c r="BF148" s="42">
        <f>'[1]功能-行军令'!FZ146</f>
        <v>142</v>
      </c>
      <c r="BG148" s="42">
        <f>'[1]功能-行军令'!GA146*'[1]功能-行军令'!GB146</f>
        <v>1257.269434866628</v>
      </c>
      <c r="BN148" s="49">
        <v>143</v>
      </c>
      <c r="BO148" s="17">
        <f>'[1]资源-木石铜粮'!U148</f>
        <v>4884591008950.9648</v>
      </c>
      <c r="BP148" s="17">
        <f>'[1]资源-木石铜粮'!V148</f>
        <v>5669848668551.4121</v>
      </c>
      <c r="BQ148" s="17">
        <f>'[1]资源-木石铜粮'!W148</f>
        <v>6023329049350.8887</v>
      </c>
      <c r="BR148" s="17">
        <f>'[1]资源-木石铜粮'!X148</f>
        <v>5193750718025.5859</v>
      </c>
      <c r="BS148" s="17">
        <f>'[1]资源-木石铜粮'!Y148</f>
        <v>3603743272110.2983</v>
      </c>
      <c r="BV148" s="49">
        <v>143</v>
      </c>
      <c r="BW148" s="47">
        <f>'[1]功能-城建'!EQ146+[1]养成buff汇总!H148+'[1]功能-采集'!BS147+[2]产出汇总!AY148+[1]养成buff汇总!GY148</f>
        <v>2887434995080.6846</v>
      </c>
      <c r="BX148" s="47">
        <f>'[1]功能-城建'!ER146+[1]养成buff汇总!I148+'[1]功能-采集'!BT147+[2]产出汇总!AZ148+[1]养成buff汇总!GZ148</f>
        <v>1837821992795.5439</v>
      </c>
      <c r="BY148" s="47">
        <f>'[1]功能-城建'!ES146+[1]养成buff汇总!J148+'[1]功能-采集'!BU147+[2]产出汇总!BA148+[1]养成buff汇总!HA148</f>
        <v>2104797466459.0049</v>
      </c>
      <c r="BZ148" s="47">
        <f>'[1]功能-城建'!ET146+[1]养成buff汇总!K148+'[1]功能-采集'!BV147+[2]产出汇总!BB148+[1]养成buff汇总!HB148</f>
        <v>1151619909082.2776</v>
      </c>
      <c r="CA148" s="47">
        <f>'[1]功能-城建'!EU146+[1]养成buff汇总!L148+'[1]功能-采集'!BW147+[2]产出汇总!BC148+[1]养成buff汇总!HC148</f>
        <v>1017563943080.4872</v>
      </c>
      <c r="CD148" s="49">
        <v>143</v>
      </c>
      <c r="CE148" s="44">
        <f>'[1]资源-铁'!T148</f>
        <v>559850743935.95972</v>
      </c>
      <c r="CF148" s="44">
        <f>'[1]资源-铁'!U148</f>
        <v>692762364896.23804</v>
      </c>
      <c r="CG148" s="44">
        <f>'[1]资源-铁'!V148</f>
        <v>842529207732.89209</v>
      </c>
      <c r="CH148" s="44">
        <f>'[1]资源-铁'!W148</f>
        <v>1013336825235.0797</v>
      </c>
      <c r="CI148" s="44">
        <f>'[1]资源-铁'!X148</f>
        <v>1315035787030.0237</v>
      </c>
      <c r="CL148" s="49">
        <v>143</v>
      </c>
      <c r="CM148" s="44">
        <f>'[1]功能-城建'!HF146+[1]养成buff汇总!S148+'[1]功能-采集'!BX147</f>
        <v>932905551808.29846</v>
      </c>
      <c r="CN148" s="44">
        <f>'[1]功能-城建'!HG146+[1]养成buff汇总!T148+'[1]功能-采集'!BY147</f>
        <v>616751569207.79004</v>
      </c>
      <c r="CO148" s="44">
        <f>'[1]功能-城建'!HH146+[1]养成buff汇总!U148+'[1]功能-采集'!BZ147</f>
        <v>715068815281.38611</v>
      </c>
      <c r="CP148" s="44">
        <f>'[1]功能-城建'!HI146+[1]养成buff汇总!V148+'[1]功能-采集'!CA147</f>
        <v>387758050081.9845</v>
      </c>
      <c r="CQ148" s="44">
        <f>'[1]功能-城建'!HJ146+[1]养成buff汇总!W148+'[1]功能-采集'!CB147</f>
        <v>360778054430.495</v>
      </c>
      <c r="CT148" s="49">
        <v>143</v>
      </c>
      <c r="CU148" s="17">
        <f>'[1]资源-玩家城池建筑时间'!AJ148+CU147</f>
        <v>12649121933.745842</v>
      </c>
      <c r="CV148" s="17">
        <f>'[1]资源-玩家城池建筑时间'!AK148+CV147</f>
        <v>13402132152.743258</v>
      </c>
      <c r="CW148" s="17">
        <f>'[1]资源-玩家城池建筑时间'!AL148+CW147</f>
        <v>14260770703.255865</v>
      </c>
      <c r="CX148" s="17">
        <f>'[1]资源-玩家城池建筑时间'!AM148+CX147</f>
        <v>15246427963.663687</v>
      </c>
      <c r="CY148" s="17">
        <f>'[1]资源-玩家城池建筑时间'!AN148+CY147</f>
        <v>16388149365.804361</v>
      </c>
      <c r="DB148" s="49">
        <v>143</v>
      </c>
      <c r="DC148" s="17">
        <f>'[1]资源-士兵训练时间'!U148</f>
        <v>4990291737.0986557</v>
      </c>
      <c r="DD148" s="17">
        <f>'[1]资源-士兵训练时间'!V148</f>
        <v>6653722316.1315403</v>
      </c>
      <c r="DE148" s="17">
        <f>'[1]资源-士兵训练时间'!W148</f>
        <v>8317152895.1644249</v>
      </c>
      <c r="DF148" s="17">
        <f>'[1]资源-士兵训练时间'!X148</f>
        <v>9980583474.1973114</v>
      </c>
      <c r="DG148" s="17">
        <f>'[1]资源-士兵训练时间'!Y148</f>
        <v>13307444632.263081</v>
      </c>
    </row>
    <row r="149" spans="2:111" x14ac:dyDescent="0.15">
      <c r="B149" s="34">
        <v>146</v>
      </c>
      <c r="C149" s="35">
        <f>'[1]资源-钻石'!L149</f>
        <v>9074302.741763154</v>
      </c>
      <c r="D149" s="35">
        <f>'[1]资源-钻石'!M149</f>
        <v>13289746.74337757</v>
      </c>
      <c r="E149" s="35">
        <f>'[1]资源-钻石'!N149</f>
        <v>19676528.483685806</v>
      </c>
      <c r="F149" s="35">
        <f>'[1]资源-钻石'!O149</f>
        <v>51301053.98666966</v>
      </c>
      <c r="G149" s="35">
        <f>'[1]资源-钻石'!P149</f>
        <v>105068352.12759396</v>
      </c>
      <c r="I149" s="25">
        <v>146</v>
      </c>
      <c r="J149" s="24">
        <f>'[1]资源-钻石'!T149</f>
        <v>794170.49414381513</v>
      </c>
      <c r="K149" s="24">
        <f>'[1]资源-钻石'!U149</f>
        <v>1121387.5435581966</v>
      </c>
      <c r="L149" s="24">
        <f>'[1]资源-钻石'!V149</f>
        <v>1890196.2979140165</v>
      </c>
      <c r="M149" s="24">
        <f>'[1]资源-钻石'!W149</f>
        <v>5032165.9277054174</v>
      </c>
      <c r="N149" s="24">
        <f>'[1]资源-钻石'!X149</f>
        <v>12003995.020475959</v>
      </c>
      <c r="P149" s="28">
        <v>146</v>
      </c>
      <c r="Q149" s="28">
        <f>'[1]功能-行军令'!N149</f>
        <v>1142295.0103824921</v>
      </c>
      <c r="R149" s="28">
        <f>'[1]功能-行军令'!O149</f>
        <v>1409385.933060122</v>
      </c>
      <c r="S149" s="28">
        <f>'[1]功能-行军令'!P149</f>
        <v>1521494.7385790958</v>
      </c>
      <c r="T149" s="28">
        <f>'[1]功能-行军令'!Q149</f>
        <v>1220301.3433415035</v>
      </c>
      <c r="U149" s="28">
        <f>'[1]功能-行军令'!R149</f>
        <v>651458.29417120293</v>
      </c>
      <c r="V149" s="28">
        <f>'[1]功能-行军令'!S149</f>
        <v>76499.16011013533</v>
      </c>
      <c r="W149" s="28">
        <f>'[1]功能-行军令'!T149</f>
        <v>94075.689501503482</v>
      </c>
      <c r="X149" s="28">
        <f>'[1]功能-行军令'!U149</f>
        <v>97255.525227641221</v>
      </c>
      <c r="Y149" s="28">
        <f>'[1]功能-行军令'!V149</f>
        <v>76473.018196706194</v>
      </c>
      <c r="Z149" s="28">
        <f>'[1]功能-行军令'!W149</f>
        <v>41002.86840020516</v>
      </c>
      <c r="AC149" s="30">
        <v>146</v>
      </c>
      <c r="AD149" s="41">
        <f>'[1]功能-实力'!BE150</f>
        <v>41875194</v>
      </c>
      <c r="AE149" s="41">
        <f>'[1]功能-实力'!BF150</f>
        <v>42770490</v>
      </c>
      <c r="AF149" s="41">
        <f>'[1]功能-实力'!BG150</f>
        <v>44362914</v>
      </c>
      <c r="AG149" s="41">
        <f>'[1]功能-实力'!BH150</f>
        <v>46180182</v>
      </c>
      <c r="AH149" s="41">
        <f>'[1]功能-实力'!BI150</f>
        <v>46799592</v>
      </c>
      <c r="AL149" s="37">
        <f>[3]基础状态预期!C159</f>
        <v>20</v>
      </c>
      <c r="AM149" s="37">
        <f>[3]基础状态预期!D159</f>
        <v>52.769987980532711</v>
      </c>
      <c r="AO149" s="37">
        <f>[3]基础状态预期!F159</f>
        <v>0</v>
      </c>
      <c r="AP149" s="37">
        <f>[3]基础状态预期!G159</f>
        <v>0</v>
      </c>
      <c r="AQ149" s="37">
        <f>[3]基础状态预期!H159</f>
        <v>0</v>
      </c>
      <c r="AR149" s="37">
        <f>[3]基础状态预期!I159</f>
        <v>5</v>
      </c>
      <c r="AS149" s="37">
        <f>[3]基础状态预期!J159</f>
        <v>1</v>
      </c>
      <c r="AW149" s="32">
        <v>143</v>
      </c>
      <c r="AX149" s="32">
        <f>[1]节奏总纲!BJ146</f>
        <v>3.4999999999999978</v>
      </c>
      <c r="AY149" s="32">
        <f>[1]节奏总纲!BK146</f>
        <v>3.5699999999999976</v>
      </c>
      <c r="AZ149" s="32">
        <f>[1]节奏总纲!BL146</f>
        <v>3.7099999999999977</v>
      </c>
      <c r="BA149" s="32">
        <f>[1]节奏总纲!BM146</f>
        <v>3.9899999999999971</v>
      </c>
      <c r="BB149" s="32">
        <f>[1]节奏总纲!BN146</f>
        <v>4.8999999999999968</v>
      </c>
      <c r="BF149" s="42">
        <f>'[1]功能-行军令'!FZ147</f>
        <v>143</v>
      </c>
      <c r="BG149" s="42">
        <f>'[1]功能-行军令'!GA147*'[1]功能-行军令'!GB147</f>
        <v>1282.4148235639605</v>
      </c>
      <c r="BN149" s="49">
        <v>144</v>
      </c>
      <c r="BO149" s="17">
        <f>'[1]资源-木石铜粮'!U149</f>
        <v>5354912874881.3252</v>
      </c>
      <c r="BP149" s="17">
        <f>'[1]资源-木石铜粮'!V149</f>
        <v>6223338179133.8125</v>
      </c>
      <c r="BQ149" s="17">
        <f>'[1]资源-木石铜粮'!W149</f>
        <v>6626356755338.2988</v>
      </c>
      <c r="BR149" s="17">
        <f>'[1]资源-木石铜粮'!X149</f>
        <v>5711536782433.6445</v>
      </c>
      <c r="BS149" s="17">
        <f>'[1]资源-木石铜粮'!Y149</f>
        <v>3930507682025.127</v>
      </c>
      <c r="BV149" s="49">
        <v>144</v>
      </c>
      <c r="BW149" s="47">
        <f>'[1]功能-城建'!EQ147+[1]养成buff汇总!H149+'[1]功能-采集'!BS148+[2]产出汇总!AY149+[1]养成buff汇总!GY149</f>
        <v>3113814896153.6284</v>
      </c>
      <c r="BX149" s="47">
        <f>'[1]功能-城建'!ER147+[1]养成buff汇总!I149+'[1]功能-采集'!BT148+[2]产出汇总!AZ149+[1]养成buff汇总!GZ149</f>
        <v>1982262490787.8979</v>
      </c>
      <c r="BY149" s="47">
        <f>'[1]功能-城建'!ES147+[1]养成buff汇总!J149+'[1]功能-采集'!BU148+[2]产出汇总!BA149+[1]养成buff汇总!HA149</f>
        <v>2272459693108.0225</v>
      </c>
      <c r="BZ149" s="47">
        <f>'[1]功能-城建'!ET147+[1]养成buff汇总!K149+'[1]功能-采集'!BV148+[2]产出汇总!BB149+[1]养成buff汇总!HB149</f>
        <v>1244571243173.0977</v>
      </c>
      <c r="CA149" s="47">
        <f>'[1]功能-城建'!EU147+[1]养成buff汇总!L149+'[1]功能-采集'!BW148+[2]产出汇总!BC149+[1]养成buff汇总!HC149</f>
        <v>1094595933614.1069</v>
      </c>
      <c r="CD149" s="49">
        <v>144</v>
      </c>
      <c r="CE149" s="44">
        <f>'[1]资源-铁'!T149</f>
        <v>577752251070.08801</v>
      </c>
      <c r="CF149" s="44">
        <f>'[1]资源-铁'!U149</f>
        <v>712501764835.11047</v>
      </c>
      <c r="CG149" s="44">
        <f>'[1]资源-铁'!V149</f>
        <v>866075507156.56287</v>
      </c>
      <c r="CH149" s="44">
        <f>'[1]资源-铁'!W149</f>
        <v>1041887932477.76</v>
      </c>
      <c r="CI149" s="44">
        <f>'[1]资源-铁'!X149</f>
        <v>1345450120882.9546</v>
      </c>
      <c r="CL149" s="49">
        <v>144</v>
      </c>
      <c r="CM149" s="44">
        <f>'[1]功能-城建'!HF147+[1]养成buff汇总!S149+'[1]功能-采集'!BX148</f>
        <v>1007462782524.7262</v>
      </c>
      <c r="CN149" s="44">
        <f>'[1]功能-城建'!HG147+[1]养成buff汇总!T149+'[1]功能-采集'!BY148</f>
        <v>666120018255.75122</v>
      </c>
      <c r="CO149" s="44">
        <f>'[1]功能-城建'!HH147+[1]养成buff汇总!U149+'[1]功能-采集'!BZ148</f>
        <v>772999410342.91309</v>
      </c>
      <c r="CP149" s="44">
        <f>'[1]功能-城建'!HI147+[1]养成buff汇总!V149+'[1]功能-采集'!CA148</f>
        <v>419559923689.61292</v>
      </c>
      <c r="CQ149" s="44">
        <f>'[1]功能-城建'!HJ147+[1]养成buff汇总!W149+'[1]功能-采集'!CB148</f>
        <v>388552186928.46887</v>
      </c>
      <c r="CT149" s="49">
        <v>144</v>
      </c>
      <c r="CU149" s="17">
        <f>'[1]资源-玩家城池建筑时间'!AJ149+CU148</f>
        <v>13587062589.101456</v>
      </c>
      <c r="CV149" s="17">
        <f>'[1]资源-玩家城池建筑时间'!AK149+CV148</f>
        <v>14394121638.363741</v>
      </c>
      <c r="CW149" s="17">
        <f>'[1]资源-玩家城池建筑时间'!AL149+CW148</f>
        <v>15334527649.723732</v>
      </c>
      <c r="CX149" s="17">
        <f>'[1]资源-玩家城池建筑时间'!AM149+CX148</f>
        <v>16403481419.824509</v>
      </c>
      <c r="CY149" s="17">
        <f>'[1]资源-玩家城池建筑时间'!AN149+CY148</f>
        <v>17567273519.69743</v>
      </c>
      <c r="DB149" s="49">
        <v>144</v>
      </c>
      <c r="DC149" s="17">
        <f>'[1]资源-士兵训练时间'!U149</f>
        <v>4990291737.0986557</v>
      </c>
      <c r="DD149" s="17">
        <f>'[1]资源-士兵训练时间'!V149</f>
        <v>6653722316.1315403</v>
      </c>
      <c r="DE149" s="17">
        <f>'[1]资源-士兵训练时间'!W149</f>
        <v>8317152895.1644249</v>
      </c>
      <c r="DF149" s="17">
        <f>'[1]资源-士兵训练时间'!X149</f>
        <v>9980583474.1973114</v>
      </c>
      <c r="DG149" s="17">
        <f>'[1]资源-士兵训练时间'!Y149</f>
        <v>13307444632.263081</v>
      </c>
    </row>
    <row r="150" spans="2:111" x14ac:dyDescent="0.15">
      <c r="B150" s="34">
        <v>147</v>
      </c>
      <c r="C150" s="35">
        <f>'[1]资源-钻石'!L150</f>
        <v>9192289.0830720533</v>
      </c>
      <c r="D150" s="35">
        <f>'[1]资源-钻石'!M150</f>
        <v>13469864.466583828</v>
      </c>
      <c r="E150" s="35">
        <f>'[1]资源-钻石'!N150</f>
        <v>19947924.339121189</v>
      </c>
      <c r="F150" s="35">
        <f>'[1]资源-钻石'!O150</f>
        <v>52069921.795542978</v>
      </c>
      <c r="G150" s="35">
        <f>'[1]资源-钻石'!P150</f>
        <v>106875470.15416285</v>
      </c>
      <c r="I150" s="23">
        <v>147</v>
      </c>
      <c r="J150" s="24">
        <f>'[1]资源-钻石'!T150</f>
        <v>798499.22019219596</v>
      </c>
      <c r="K150" s="24">
        <f>'[1]资源-钻石'!U150</f>
        <v>1127829.1422114156</v>
      </c>
      <c r="L150" s="24">
        <f>'[1]资源-钻石'!V150</f>
        <v>1901734.0564325573</v>
      </c>
      <c r="M150" s="24">
        <f>'[1]资源-钻石'!W150</f>
        <v>5064877.4620758127</v>
      </c>
      <c r="N150" s="24">
        <f>'[1]资源-钻石'!X150</f>
        <v>12083832.708283393</v>
      </c>
      <c r="P150" s="28">
        <v>147</v>
      </c>
      <c r="Q150" s="28">
        <f>'[1]功能-行军令'!N150</f>
        <v>1224284.7800948501</v>
      </c>
      <c r="R150" s="28">
        <f>'[1]功能-行军令'!O150</f>
        <v>1505553.5623670323</v>
      </c>
      <c r="S150" s="28">
        <f>'[1]功能-行军令'!P150</f>
        <v>1623194.0222908854</v>
      </c>
      <c r="T150" s="28">
        <f>'[1]功能-行军令'!Q150</f>
        <v>1301036.7898521877</v>
      </c>
      <c r="U150" s="28">
        <f>'[1]功能-行军令'!R150</f>
        <v>695750.39457329374</v>
      </c>
      <c r="V150" s="28">
        <f>'[1]功能-行军令'!S150</f>
        <v>81989.769712358015</v>
      </c>
      <c r="W150" s="28">
        <f>'[1]功能-行军令'!T150</f>
        <v>96167.629306910327</v>
      </c>
      <c r="X150" s="28">
        <f>'[1]功能-行军令'!U150</f>
        <v>101699.28371178964</v>
      </c>
      <c r="Y150" s="28">
        <f>'[1]功能-行军令'!V150</f>
        <v>80735.446510684211</v>
      </c>
      <c r="Z150" s="28">
        <f>'[1]功能-行军令'!W150</f>
        <v>44292.100402090815</v>
      </c>
      <c r="AC150" s="30">
        <v>147</v>
      </c>
      <c r="AD150" s="41">
        <f>'[1]功能-实力'!BE151</f>
        <v>42681120</v>
      </c>
      <c r="AE150" s="41">
        <f>'[1]功能-实力'!BF151</f>
        <v>43573176</v>
      </c>
      <c r="AF150" s="41">
        <f>'[1]功能-实力'!BG151</f>
        <v>45202320</v>
      </c>
      <c r="AG150" s="41">
        <f>'[1]功能-实力'!BH151</f>
        <v>47030940</v>
      </c>
      <c r="AH150" s="41">
        <f>'[1]功能-实力'!BI151</f>
        <v>47657250</v>
      </c>
      <c r="AL150" s="37">
        <f>[3]基础状态预期!C160</f>
        <v>30</v>
      </c>
      <c r="AM150" s="37">
        <f>[3]基础状态预期!D160</f>
        <v>58.701446767877648</v>
      </c>
      <c r="AO150" s="37">
        <f>[3]基础状态预期!F160</f>
        <v>0</v>
      </c>
      <c r="AP150" s="37">
        <f>[3]基础状态预期!G160</f>
        <v>0</v>
      </c>
      <c r="AQ150" s="37">
        <f>[3]基础状态预期!H160</f>
        <v>0</v>
      </c>
      <c r="AR150" s="37">
        <f>[3]基础状态预期!I160</f>
        <v>4</v>
      </c>
      <c r="AS150" s="37">
        <f>[3]基础状态预期!J160</f>
        <v>2</v>
      </c>
      <c r="AW150" s="32">
        <v>144</v>
      </c>
      <c r="AX150" s="32">
        <f>[1]节奏总纲!BJ147</f>
        <v>3.4999999999999978</v>
      </c>
      <c r="AY150" s="32">
        <f>[1]节奏总纲!BK147</f>
        <v>3.5699999999999976</v>
      </c>
      <c r="AZ150" s="32">
        <f>[1]节奏总纲!BL147</f>
        <v>3.7099999999999977</v>
      </c>
      <c r="BA150" s="32">
        <f>[1]节奏总纲!BM147</f>
        <v>3.9899999999999971</v>
      </c>
      <c r="BB150" s="32">
        <f>[1]节奏总纲!BN147</f>
        <v>4.8999999999999968</v>
      </c>
      <c r="BF150" s="42">
        <f>'[1]功能-行军令'!FZ148</f>
        <v>144</v>
      </c>
      <c r="BG150" s="42">
        <f>'[1]功能-行军令'!GA148*'[1]功能-行军令'!GB148</f>
        <v>1308.0631200352398</v>
      </c>
      <c r="BN150" s="49">
        <v>145</v>
      </c>
      <c r="BO150" s="17">
        <f>'[1]资源-木石铜粮'!U150</f>
        <v>5873015203082.8262</v>
      </c>
      <c r="BP150" s="17">
        <f>'[1]资源-木石铜粮'!V150</f>
        <v>6848602752072.8818</v>
      </c>
      <c r="BQ150" s="17">
        <f>'[1]资源-木石铜粮'!W150</f>
        <v>7293322737377.6846</v>
      </c>
      <c r="BR150" s="17">
        <f>'[1]资源-木石铜粮'!X150</f>
        <v>6254623948347.5459</v>
      </c>
      <c r="BS150" s="17">
        <f>'[1]资源-木石铜粮'!Y150</f>
        <v>4280625581055.1855</v>
      </c>
      <c r="BV150" s="49">
        <v>145</v>
      </c>
      <c r="BW150" s="47">
        <f>'[1]功能-城建'!EQ148+[1]养成buff汇总!H150+'[1]功能-采集'!BS149+[2]产出汇总!AY150+[1]养成buff汇总!GY150</f>
        <v>3356873050703.8667</v>
      </c>
      <c r="BX150" s="47">
        <f>'[1]功能-城建'!ER148+[1]养成buff汇总!I150+'[1]功能-采集'!BT149+[2]产出汇总!AZ150+[1]养成buff汇总!GZ150</f>
        <v>2141696115428.9529</v>
      </c>
      <c r="BY150" s="47">
        <f>'[1]功能-城建'!ES148+[1]养成buff汇总!J150+'[1]功能-采集'!BU149+[2]产出汇总!BA150+[1]养成buff汇总!HA150</f>
        <v>2453167974830.9253</v>
      </c>
      <c r="BZ150" s="47">
        <f>'[1]功能-城建'!ET148+[1]养成buff汇总!K150+'[1]功能-采集'!BV149+[2]产出汇总!BB150+[1]养成buff汇总!HB150</f>
        <v>1339637669482.7986</v>
      </c>
      <c r="CA150" s="47">
        <f>'[1]功能-城建'!EU148+[1]养成buff汇总!L150+'[1]功能-采集'!BW149+[2]产出汇总!BC150+[1]养成buff汇总!HC150</f>
        <v>1175595561153.7769</v>
      </c>
      <c r="CD150" s="49">
        <v>145</v>
      </c>
      <c r="CE150" s="44">
        <f>'[1]资源-铁'!T150</f>
        <v>596922332572.35339</v>
      </c>
      <c r="CF150" s="44">
        <f>'[1]资源-铁'!U150</f>
        <v>734282127888.38501</v>
      </c>
      <c r="CG150" s="44">
        <f>'[1]资源-铁'!V150</f>
        <v>891488845068.15332</v>
      </c>
      <c r="CH150" s="44">
        <f>'[1]资源-铁'!W150</f>
        <v>1068373031694.5454</v>
      </c>
      <c r="CI150" s="44">
        <f>'[1]资源-铁'!X150</f>
        <v>1375275904821.7251</v>
      </c>
      <c r="CL150" s="49">
        <v>145</v>
      </c>
      <c r="CM150" s="44">
        <f>'[1]功能-城建'!HF148+[1]养成buff汇总!S150+'[1]功能-采集'!BX149</f>
        <v>1087478865651.7104</v>
      </c>
      <c r="CN150" s="44">
        <f>'[1]功能-城建'!HG148+[1]养成buff汇总!T150+'[1]功能-采集'!BY149</f>
        <v>720597728495.10522</v>
      </c>
      <c r="CO150" s="44">
        <f>'[1]功能-城建'!HH148+[1]养成buff汇总!U150+'[1]功能-采集'!BZ149</f>
        <v>835378719112.95337</v>
      </c>
      <c r="CP150" s="44">
        <f>'[1]功能-城建'!HI148+[1]养成buff汇总!V150+'[1]功能-采集'!CA149</f>
        <v>452116890888.38977</v>
      </c>
      <c r="CQ150" s="44">
        <f>'[1]功能-城建'!HJ148+[1]养成buff汇总!W150+'[1]功能-采集'!CB149</f>
        <v>417800239431.21521</v>
      </c>
      <c r="CT150" s="49">
        <v>145</v>
      </c>
      <c r="CU150" s="17">
        <f>'[1]资源-玩家城池建筑时间'!AJ150+CU149</f>
        <v>14592966044.913961</v>
      </c>
      <c r="CV150" s="17">
        <f>'[1]资源-玩家城池建筑时间'!AK150+CV149</f>
        <v>15484259730.404991</v>
      </c>
      <c r="CW150" s="17">
        <f>'[1]资源-玩家城池建筑时间'!AL150+CW149</f>
        <v>16489870153.569994</v>
      </c>
      <c r="CX150" s="17">
        <f>'[1]资源-玩家城池建筑时间'!AM150+CX149</f>
        <v>17585024147.999088</v>
      </c>
      <c r="CY150" s="17">
        <f>'[1]资源-玩家城池建筑时间'!AN150+CY149</f>
        <v>18807633778.30637</v>
      </c>
      <c r="DB150" s="49">
        <v>145</v>
      </c>
      <c r="DC150" s="17">
        <f>'[1]资源-士兵训练时间'!U150</f>
        <v>4990291737.0986557</v>
      </c>
      <c r="DD150" s="17">
        <f>'[1]资源-士兵训练时间'!V150</f>
        <v>6653722316.1315403</v>
      </c>
      <c r="DE150" s="17">
        <f>'[1]资源-士兵训练时间'!W150</f>
        <v>8317152895.1644249</v>
      </c>
      <c r="DF150" s="17">
        <f>'[1]资源-士兵训练时间'!X150</f>
        <v>9980583474.1973114</v>
      </c>
      <c r="DG150" s="17">
        <f>'[1]资源-士兵训练时间'!Y150</f>
        <v>13307444632.263081</v>
      </c>
    </row>
    <row r="151" spans="2:111" x14ac:dyDescent="0.15">
      <c r="B151" s="34">
        <v>148</v>
      </c>
      <c r="C151" s="35">
        <f>'[1]资源-钻石'!L151</f>
        <v>9310275.4243809525</v>
      </c>
      <c r="D151" s="35">
        <f>'[1]资源-钻石'!M151</f>
        <v>13649982.189790085</v>
      </c>
      <c r="E151" s="35">
        <f>'[1]资源-钻石'!N151</f>
        <v>20219320.194556572</v>
      </c>
      <c r="F151" s="35">
        <f>'[1]资源-钻石'!O151</f>
        <v>52838789.604416296</v>
      </c>
      <c r="G151" s="35">
        <f>'[1]资源-钻石'!P151</f>
        <v>108682588.18073174</v>
      </c>
      <c r="I151" s="23">
        <v>148</v>
      </c>
      <c r="J151" s="24">
        <f>'[1]资源-钻石'!T151</f>
        <v>802827.9462405768</v>
      </c>
      <c r="K151" s="24">
        <f>'[1]资源-钻石'!U151</f>
        <v>1134270.7408646345</v>
      </c>
      <c r="L151" s="24">
        <f>'[1]资源-钻石'!V151</f>
        <v>1913271.8149510981</v>
      </c>
      <c r="M151" s="24">
        <f>'[1]资源-钻石'!W151</f>
        <v>5097588.9964462072</v>
      </c>
      <c r="N151" s="24">
        <f>'[1]资源-钻石'!X151</f>
        <v>12163670.396090828</v>
      </c>
      <c r="P151" s="28">
        <v>148</v>
      </c>
      <c r="Q151" s="28">
        <f>'[1]功能-行军令'!N151</f>
        <v>1312159.2394720195</v>
      </c>
      <c r="R151" s="28">
        <f>'[1]功能-行军令'!O151</f>
        <v>1613616.414660373</v>
      </c>
      <c r="S151" s="28">
        <f>'[1]功能-行军令'!P151</f>
        <v>1740738.9722844393</v>
      </c>
      <c r="T151" s="28">
        <f>'[1]功能-行军令'!Q151</f>
        <v>1397358.3093949549</v>
      </c>
      <c r="U151" s="28">
        <f>'[1]功能-行军令'!R151</f>
        <v>745982.49528044381</v>
      </c>
      <c r="V151" s="28">
        <f>'[1]功能-行军令'!S151</f>
        <v>87874.459377169376</v>
      </c>
      <c r="W151" s="28">
        <f>'[1]功能-行军令'!T151</f>
        <v>108062.85229334072</v>
      </c>
      <c r="X151" s="28">
        <f>'[1]功能-行军令'!U151</f>
        <v>117544.9499935538</v>
      </c>
      <c r="Y151" s="28">
        <f>'[1]功能-行军令'!V151</f>
        <v>96321.519542767201</v>
      </c>
      <c r="Z151" s="28">
        <f>'[1]功能-行军令'!W151</f>
        <v>50232.100707150064</v>
      </c>
      <c r="AC151" s="30">
        <v>148</v>
      </c>
      <c r="AD151" s="41">
        <f>'[1]功能-实力'!BE152</f>
        <v>43490556</v>
      </c>
      <c r="AE151" s="41">
        <f>'[1]功能-实力'!BF152</f>
        <v>44401152</v>
      </c>
      <c r="AF151" s="41">
        <f>'[1]功能-实力'!BG152</f>
        <v>46067670</v>
      </c>
      <c r="AG151" s="41">
        <f>'[1]功能-实力'!BH152</f>
        <v>47910054</v>
      </c>
      <c r="AH151" s="41">
        <f>'[1]功能-实力'!BI152</f>
        <v>48530040</v>
      </c>
      <c r="AL151" s="37">
        <f>[3]基础状态预期!C161</f>
        <v>45</v>
      </c>
      <c r="AM151" s="37">
        <f>[3]基础状态预期!D161</f>
        <v>64.399012521055653</v>
      </c>
      <c r="AO151" s="37">
        <f>[3]基础状态预期!F161</f>
        <v>0</v>
      </c>
      <c r="AP151" s="37">
        <f>[3]基础状态预期!G161</f>
        <v>0</v>
      </c>
      <c r="AQ151" s="37">
        <f>[3]基础状态预期!H161</f>
        <v>0</v>
      </c>
      <c r="AR151" s="37">
        <f>[3]基础状态预期!I161</f>
        <v>3</v>
      </c>
      <c r="AS151" s="37">
        <f>[3]基础状态预期!J161</f>
        <v>3</v>
      </c>
      <c r="AW151" s="32">
        <v>145</v>
      </c>
      <c r="AX151" s="32">
        <f>[1]节奏总纲!BJ148</f>
        <v>3.4999999999999978</v>
      </c>
      <c r="AY151" s="32">
        <f>[1]节奏总纲!BK148</f>
        <v>3.5699999999999976</v>
      </c>
      <c r="AZ151" s="32">
        <f>[1]节奏总纲!BL148</f>
        <v>3.7099999999999977</v>
      </c>
      <c r="BA151" s="32">
        <f>[1]节奏总纲!BM148</f>
        <v>3.9899999999999971</v>
      </c>
      <c r="BB151" s="32">
        <f>[1]节奏总纲!BN148</f>
        <v>4.8999999999999968</v>
      </c>
      <c r="BF151" s="42">
        <f>'[1]功能-行军令'!FZ149</f>
        <v>145</v>
      </c>
      <c r="BG151" s="42">
        <f>'[1]功能-行军令'!GA149*'[1]功能-行军令'!GB149</f>
        <v>1334.2243824359446</v>
      </c>
      <c r="BN151" s="49">
        <v>146</v>
      </c>
      <c r="BO151" s="17">
        <f>'[1]资源-木石铜粮'!U151</f>
        <v>6447503272145.3809</v>
      </c>
      <c r="BP151" s="17">
        <f>'[1]资源-木石铜粮'!V151</f>
        <v>7524460394732.4082</v>
      </c>
      <c r="BQ151" s="17">
        <f>'[1]资源-木石铜粮'!W151</f>
        <v>7984623498137.626</v>
      </c>
      <c r="BR151" s="17">
        <f>'[1]资源-木石铜粮'!X151</f>
        <v>6828140450738.5303</v>
      </c>
      <c r="BS151" s="17">
        <f>'[1]资源-木石铜粮'!Y151</f>
        <v>4655813185159.457</v>
      </c>
      <c r="BV151" s="49">
        <v>146</v>
      </c>
      <c r="BW151" s="47">
        <f>'[1]功能-城建'!EQ149+[1]养成buff汇总!H151+'[1]功能-采集'!BS150+[2]产出汇总!AY151+[1]养成buff汇总!GY151</f>
        <v>3618886829882.6089</v>
      </c>
      <c r="BX151" s="47">
        <f>'[1]功能-城建'!ER149+[1]养成buff汇总!I151+'[1]功能-采集'!BT150+[2]产出汇总!AZ151+[1]养成buff汇总!GZ151</f>
        <v>2308622100216.5645</v>
      </c>
      <c r="BY151" s="47">
        <f>'[1]功能-城建'!ES149+[1]养成buff汇总!J151+'[1]功能-采集'!BU150+[2]产出汇总!BA151+[1]养成buff汇总!HA151</f>
        <v>2634549108229.6343</v>
      </c>
      <c r="BZ151" s="47">
        <f>'[1]功能-城建'!ET149+[1]养成buff汇总!K151+'[1]功能-采集'!BV150+[2]产出汇总!BB151+[1]养成buff汇总!HB151</f>
        <v>1436621624222.021</v>
      </c>
      <c r="CA151" s="47">
        <f>'[1]功能-城建'!EU149+[1]养成buff汇总!L151+'[1]功能-采集'!BW150+[2]产出汇总!BC151+[1]养成buff汇总!HC151</f>
        <v>1260555691965.1956</v>
      </c>
      <c r="CD151" s="49">
        <v>146</v>
      </c>
      <c r="CE151" s="44">
        <f>'[1]资源-铁'!T151</f>
        <v>617369363093.08093</v>
      </c>
      <c r="CF151" s="44">
        <f>'[1]资源-铁'!U151</f>
        <v>756860595401.97864</v>
      </c>
      <c r="CG151" s="44">
        <f>'[1]资源-铁'!V151</f>
        <v>913623314149.86572</v>
      </c>
      <c r="CH151" s="44">
        <f>'[1]资源-铁'!W151</f>
        <v>1092974101567.2324</v>
      </c>
      <c r="CI151" s="44">
        <f>'[1]资源-铁'!X151</f>
        <v>1404100852483.2744</v>
      </c>
      <c r="CL151" s="49">
        <v>146</v>
      </c>
      <c r="CM151" s="44">
        <f>'[1]功能-城建'!HF149+[1]养成buff汇总!S151+'[1]功能-采集'!BX150</f>
        <v>1173892182552.7896</v>
      </c>
      <c r="CN151" s="44">
        <f>'[1]功能-城建'!HG149+[1]养成buff汇总!T151+'[1]功能-采集'!BY150</f>
        <v>777675245540.25854</v>
      </c>
      <c r="CO151" s="44">
        <f>'[1]功能-城建'!HH149+[1]养成buff汇总!U151+'[1]功能-采集'!BZ150</f>
        <v>898358605319.79761</v>
      </c>
      <c r="CP151" s="44">
        <f>'[1]功能-城建'!HI149+[1]养成buff汇总!V151+'[1]功能-采集'!CA150</f>
        <v>485578930746.25195</v>
      </c>
      <c r="CQ151" s="44">
        <f>'[1]功能-城建'!HJ149+[1]养成buff汇总!W151+'[1]功能-采集'!CB150</f>
        <v>448578891218.05115</v>
      </c>
      <c r="CT151" s="49">
        <v>146</v>
      </c>
      <c r="CU151" s="17">
        <f>'[1]资源-玩家城池建筑时间'!AJ151+CU150</f>
        <v>15674978644.625639</v>
      </c>
      <c r="CV151" s="17">
        <f>'[1]资源-玩家城池建筑时间'!AK151+CV150</f>
        <v>16626207138.265112</v>
      </c>
      <c r="CW151" s="17">
        <f>'[1]资源-玩家城池建筑时间'!AL151+CW150</f>
        <v>17652580788.047642</v>
      </c>
      <c r="CX151" s="17">
        <f>'[1]资源-玩家城池建筑时间'!AM151+CX150</f>
        <v>18797966339.646759</v>
      </c>
      <c r="CY151" s="17">
        <f>'[1]资源-玩家城池建筑时间'!AN151+CY150</f>
        <v>20112060790.599072</v>
      </c>
      <c r="DB151" s="49">
        <v>146</v>
      </c>
      <c r="DC151" s="17">
        <f>'[1]资源-士兵训练时间'!U151</f>
        <v>4990291737.0986557</v>
      </c>
      <c r="DD151" s="17">
        <f>'[1]资源-士兵训练时间'!V151</f>
        <v>6653722316.1315403</v>
      </c>
      <c r="DE151" s="17">
        <f>'[1]资源-士兵训练时间'!W151</f>
        <v>8317152895.1644249</v>
      </c>
      <c r="DF151" s="17">
        <f>'[1]资源-士兵训练时间'!X151</f>
        <v>9980583474.1973114</v>
      </c>
      <c r="DG151" s="17">
        <f>'[1]资源-士兵训练时间'!Y151</f>
        <v>13307444632.263081</v>
      </c>
    </row>
    <row r="152" spans="2:111" x14ac:dyDescent="0.15">
      <c r="B152" s="34">
        <v>149</v>
      </c>
      <c r="C152" s="35">
        <f>'[1]资源-钻石'!L152</f>
        <v>9428261.7656898517</v>
      </c>
      <c r="D152" s="35">
        <f>'[1]资源-钻石'!M152</f>
        <v>13830099.912996342</v>
      </c>
      <c r="E152" s="35">
        <f>'[1]资源-钻石'!N152</f>
        <v>20490716.049991954</v>
      </c>
      <c r="F152" s="35">
        <f>'[1]资源-钻石'!O152</f>
        <v>53607657.413289614</v>
      </c>
      <c r="G152" s="35">
        <f>'[1]资源-钻石'!P152</f>
        <v>110489706.20730063</v>
      </c>
      <c r="I152" s="23">
        <v>149</v>
      </c>
      <c r="J152" s="24">
        <f>'[1]资源-钻石'!T152</f>
        <v>807156.67228895763</v>
      </c>
      <c r="K152" s="24">
        <f>'[1]资源-钻石'!U152</f>
        <v>1140712.3395178535</v>
      </c>
      <c r="L152" s="24">
        <f>'[1]资源-钻石'!V152</f>
        <v>1924809.5734696388</v>
      </c>
      <c r="M152" s="24">
        <f>'[1]资源-钻石'!W152</f>
        <v>5130300.5308166025</v>
      </c>
      <c r="N152" s="24">
        <f>'[1]资源-钻石'!X152</f>
        <v>12243508.083898261</v>
      </c>
      <c r="P152" s="28">
        <v>149</v>
      </c>
      <c r="Q152" s="28">
        <f>'[1]功能-行军令'!N152</f>
        <v>1406340.7530671936</v>
      </c>
      <c r="R152" s="28">
        <f>'[1]功能-行军令'!O152</f>
        <v>1729844.985210248</v>
      </c>
      <c r="S152" s="28">
        <f>'[1]功能-行军令'!P152</f>
        <v>1867351.4809726463</v>
      </c>
      <c r="T152" s="28">
        <f>'[1]功能-行军令'!Q152</f>
        <v>1498599.763730908</v>
      </c>
      <c r="U152" s="28">
        <f>'[1]功能-行军令'!R152</f>
        <v>800155.91503261973</v>
      </c>
      <c r="V152" s="28">
        <f>'[1]功能-行军令'!S152</f>
        <v>94181.513595174067</v>
      </c>
      <c r="W152" s="28">
        <f>'[1]功能-行军令'!T152</f>
        <v>116228.57054987503</v>
      </c>
      <c r="X152" s="28">
        <f>'[1]功能-行军令'!U152</f>
        <v>126612.50868820702</v>
      </c>
      <c r="Y152" s="28">
        <f>'[1]功能-行军令'!V152</f>
        <v>101241.45433595311</v>
      </c>
      <c r="Z152" s="28">
        <f>'[1]功能-行军令'!W152</f>
        <v>54173.41975217592</v>
      </c>
      <c r="AC152" s="30">
        <v>149</v>
      </c>
      <c r="AD152" s="41">
        <f>'[1]功能-实力'!BE153</f>
        <v>44322552</v>
      </c>
      <c r="AE152" s="41">
        <f>'[1]功能-实力'!BF153</f>
        <v>45245496</v>
      </c>
      <c r="AF152" s="41">
        <f>'[1]功能-实力'!BG153</f>
        <v>46953408</v>
      </c>
      <c r="AG152" s="41">
        <f>'[1]功能-实力'!BH153</f>
        <v>48802902</v>
      </c>
      <c r="AH152" s="41">
        <f>'[1]功能-实力'!BI153</f>
        <v>49439922</v>
      </c>
      <c r="AL152" s="37">
        <f>[3]基础状态预期!C162</f>
        <v>60</v>
      </c>
      <c r="AM152" s="37">
        <f>[3]基础状态预期!D162</f>
        <v>68.627579426319684</v>
      </c>
      <c r="AO152" s="37">
        <f>[3]基础状态预期!F162</f>
        <v>0</v>
      </c>
      <c r="AP152" s="37">
        <f>[3]基础状态预期!G162</f>
        <v>0</v>
      </c>
      <c r="AQ152" s="37">
        <f>[3]基础状态预期!H162</f>
        <v>0</v>
      </c>
      <c r="AR152" s="37">
        <f>[3]基础状态预期!I162</f>
        <v>2</v>
      </c>
      <c r="AS152" s="37">
        <f>[3]基础状态预期!J162</f>
        <v>4</v>
      </c>
      <c r="AW152" s="32">
        <v>146</v>
      </c>
      <c r="AX152" s="32">
        <f>[1]节奏总纲!BJ149</f>
        <v>3.4999999999999978</v>
      </c>
      <c r="AY152" s="32">
        <f>[1]节奏总纲!BK149</f>
        <v>3.5699999999999976</v>
      </c>
      <c r="AZ152" s="32">
        <f>[1]节奏总纲!BL149</f>
        <v>3.7099999999999977</v>
      </c>
      <c r="BA152" s="32">
        <f>[1]节奏总纲!BM149</f>
        <v>3.9899999999999971</v>
      </c>
      <c r="BB152" s="32">
        <f>[1]节奏总纲!BN149</f>
        <v>4.8999999999999968</v>
      </c>
      <c r="BF152" s="42">
        <f>'[1]功能-行军令'!FZ150</f>
        <v>146</v>
      </c>
      <c r="BG152" s="42">
        <f>'[1]功能-行军令'!GA150*'[1]功能-行军令'!GB150</f>
        <v>1360.9088700846632</v>
      </c>
      <c r="BN152" s="49">
        <v>147</v>
      </c>
      <c r="BO152" s="17">
        <f>'[1]资源-木石铜粮'!U152</f>
        <v>7078624978986.5449</v>
      </c>
      <c r="BP152" s="17">
        <f>'[1]资源-木石铜粮'!V152</f>
        <v>8235978783302.9248</v>
      </c>
      <c r="BQ152" s="17">
        <f>'[1]资源-木石铜粮'!W152</f>
        <v>8728180392399.5</v>
      </c>
      <c r="BR152" s="17">
        <f>'[1]资源-木石铜粮'!X152</f>
        <v>7449304988215.5469</v>
      </c>
      <c r="BS152" s="17">
        <f>'[1]资源-木石铜粮'!Y152</f>
        <v>5065595899590.9287</v>
      </c>
      <c r="BV152" s="49">
        <v>147</v>
      </c>
      <c r="BW152" s="47">
        <f>'[1]功能-城建'!EQ150+[1]养成buff汇总!H152+'[1]功能-采集'!BS151+[2]产出汇总!AY152+[1]养成buff汇总!GY152</f>
        <v>3900030834058.2026</v>
      </c>
      <c r="BX152" s="47">
        <f>'[1]功能-城建'!ER150+[1]养成buff汇总!I152+'[1]功能-采集'!BT151+[2]产出汇总!AZ152+[1]养成buff汇总!GZ152</f>
        <v>2479983148469.165</v>
      </c>
      <c r="BY152" s="47">
        <f>'[1]功能-城建'!ES150+[1]养成buff汇总!J152+'[1]功能-采集'!BU151+[2]产出汇总!BA152+[1]养成buff汇总!HA152</f>
        <v>2824706249545.3789</v>
      </c>
      <c r="BZ152" s="47">
        <f>'[1]功能-城建'!ET150+[1]养成buff汇总!K152+'[1]功能-采集'!BV151+[2]产出汇总!BB152+[1]养成buff汇总!HB152</f>
        <v>1539861734044.179</v>
      </c>
      <c r="CA152" s="47">
        <f>'[1]功能-城建'!EU150+[1]养成buff汇总!L152+'[1]功能-采集'!BW151+[2]产出汇总!BC152+[1]养成buff汇总!HC152</f>
        <v>1352723852767.5032</v>
      </c>
      <c r="CD152" s="49">
        <v>147</v>
      </c>
      <c r="CE152" s="44">
        <f>'[1]资源-铁'!T152</f>
        <v>639152517440.25366</v>
      </c>
      <c r="CF152" s="44">
        <f>'[1]资源-铁'!U152</f>
        <v>777093758798.85266</v>
      </c>
      <c r="CG152" s="44">
        <f>'[1]资源-铁'!V152</f>
        <v>935926032813.5177</v>
      </c>
      <c r="CH152" s="44">
        <f>'[1]资源-铁'!W152</f>
        <v>1118352930298.5178</v>
      </c>
      <c r="CI152" s="44">
        <f>'[1]资源-铁'!X152</f>
        <v>1432845058699.2456</v>
      </c>
      <c r="CL152" s="49">
        <v>147</v>
      </c>
      <c r="CM152" s="44">
        <f>'[1]功能-城建'!HF150+[1]养成buff汇总!S152+'[1]功能-采集'!BX151</f>
        <v>1266544241390.7114</v>
      </c>
      <c r="CN152" s="44">
        <f>'[1]功能-城建'!HG150+[1]养成buff汇总!T152+'[1]功能-采集'!BY151</f>
        <v>836453542909.37988</v>
      </c>
      <c r="CO152" s="44">
        <f>'[1]功能-城建'!HH150+[1]养成buff汇总!U152+'[1]功能-采集'!BZ151</f>
        <v>964360462349.84155</v>
      </c>
      <c r="CP152" s="44">
        <f>'[1]功能-城建'!HI150+[1]养成buff汇总!V152+'[1]功能-采集'!CA151</f>
        <v>521033798029.35876</v>
      </c>
      <c r="CQ152" s="44">
        <f>'[1]功能-城建'!HJ150+[1]养成buff汇总!W152+'[1]功能-采集'!CB151</f>
        <v>481960454839.33752</v>
      </c>
      <c r="CT152" s="49">
        <v>147</v>
      </c>
      <c r="CU152" s="17">
        <f>'[1]资源-玩家城池建筑时间'!AJ152+CU151</f>
        <v>16834875889.849241</v>
      </c>
      <c r="CV152" s="17">
        <f>'[1]资源-玩家城池建筑时间'!AK152+CV151</f>
        <v>17797967159.706593</v>
      </c>
      <c r="CW152" s="17">
        <f>'[1]资源-玩家城池建筑时间'!AL152+CW151</f>
        <v>18869759475.823242</v>
      </c>
      <c r="CX152" s="17">
        <f>'[1]资源-玩家城池建筑时间'!AM152+CX151</f>
        <v>20082061461.30167</v>
      </c>
      <c r="CY152" s="17">
        <f>'[1]资源-玩家城池建筑时间'!AN152+CY151</f>
        <v>21525758388.666286</v>
      </c>
      <c r="DB152" s="49">
        <v>147</v>
      </c>
      <c r="DC152" s="17">
        <f>'[1]资源-士兵训练时间'!U152</f>
        <v>4990291737.0986557</v>
      </c>
      <c r="DD152" s="17">
        <f>'[1]资源-士兵训练时间'!V152</f>
        <v>6653722316.1315403</v>
      </c>
      <c r="DE152" s="17">
        <f>'[1]资源-士兵训练时间'!W152</f>
        <v>8317152895.1644249</v>
      </c>
      <c r="DF152" s="17">
        <f>'[1]资源-士兵训练时间'!X152</f>
        <v>9980583474.1973114</v>
      </c>
      <c r="DG152" s="17">
        <f>'[1]资源-士兵训练时间'!Y152</f>
        <v>13307444632.263081</v>
      </c>
    </row>
    <row r="153" spans="2:111" x14ac:dyDescent="0.15">
      <c r="B153" s="34">
        <v>150</v>
      </c>
      <c r="C153" s="35">
        <f>'[1]资源-钻石'!L153</f>
        <v>9546248.1069987509</v>
      </c>
      <c r="D153" s="35">
        <f>'[1]资源-钻石'!M153</f>
        <v>14010217.6362026</v>
      </c>
      <c r="E153" s="35">
        <f>'[1]资源-钻石'!N153</f>
        <v>20762111.905427337</v>
      </c>
      <c r="F153" s="35">
        <f>'[1]资源-钻石'!O153</f>
        <v>54376525.222162932</v>
      </c>
      <c r="G153" s="35">
        <f>'[1]资源-钻石'!P153</f>
        <v>112296824.23386952</v>
      </c>
      <c r="I153" s="23">
        <v>150</v>
      </c>
      <c r="J153" s="24">
        <f>'[1]资源-钻石'!T153</f>
        <v>811485.39833733835</v>
      </c>
      <c r="K153" s="24">
        <f>'[1]资源-钻石'!U153</f>
        <v>1147153.9381710724</v>
      </c>
      <c r="L153" s="24">
        <f>'[1]资源-钻石'!V153</f>
        <v>1936347.3319881798</v>
      </c>
      <c r="M153" s="24">
        <f>'[1]资源-钻石'!W153</f>
        <v>5163012.0651869979</v>
      </c>
      <c r="N153" s="24">
        <f>'[1]资源-钻石'!X153</f>
        <v>12323345.771705696</v>
      </c>
      <c r="P153" s="28">
        <v>150</v>
      </c>
      <c r="Q153" s="28">
        <f>'[1]功能-行军令'!N153</f>
        <v>1507282</v>
      </c>
      <c r="R153" s="28">
        <f>'[1]功能-行军令'!O153</f>
        <v>1854006.0105000001</v>
      </c>
      <c r="S153" s="28">
        <f>'[1]功能-行军令'!P153</f>
        <v>2001680.3260999999</v>
      </c>
      <c r="T153" s="28">
        <f>'[1]功能-行军令'!Q153</f>
        <v>1607175.4762000002</v>
      </c>
      <c r="U153" s="28">
        <f>'[1]功能-行军令'!R153</f>
        <v>860625.25500000012</v>
      </c>
      <c r="V153" s="28">
        <f>'[1]功能-行军令'!S153</f>
        <v>100941.24693280645</v>
      </c>
      <c r="W153" s="28">
        <f>'[1]功能-行军令'!T153</f>
        <v>124161.02528975205</v>
      </c>
      <c r="X153" s="28">
        <f>'[1]功能-行军令'!U153</f>
        <v>134328.84512735368</v>
      </c>
      <c r="Y153" s="28">
        <f>'[1]功能-行军令'!V153</f>
        <v>108575.7124690921</v>
      </c>
      <c r="Z153" s="28">
        <f>'[1]功能-行军令'!W153</f>
        <v>60469.339967380394</v>
      </c>
      <c r="AC153" s="30">
        <v>150</v>
      </c>
      <c r="AD153" s="41">
        <f>'[1]功能-实力'!BE154</f>
        <v>45125340</v>
      </c>
      <c r="AE153" s="41">
        <f>'[1]功能-实力'!BF154</f>
        <v>46075944</v>
      </c>
      <c r="AF153" s="41">
        <f>'[1]功能-实力'!BG154</f>
        <v>47852484</v>
      </c>
      <c r="AG153" s="41">
        <f>'[1]功能-实力'!BH154</f>
        <v>49740570</v>
      </c>
      <c r="AH153" s="41">
        <f>'[1]功能-实力'!BI154</f>
        <v>50494044</v>
      </c>
      <c r="AL153" s="37">
        <f>[3]基础状态预期!C163</f>
        <v>75</v>
      </c>
      <c r="AM153" s="37">
        <f>[3]基础状态预期!D163</f>
        <v>71.882008108111634</v>
      </c>
      <c r="AO153" s="37">
        <f>[3]基础状态预期!F163</f>
        <v>0</v>
      </c>
      <c r="AP153" s="37">
        <f>[3]基础状态预期!G163</f>
        <v>0</v>
      </c>
      <c r="AQ153" s="37">
        <f>[3]基础状态预期!H163</f>
        <v>0</v>
      </c>
      <c r="AR153" s="37">
        <f>[3]基础状态预期!I163</f>
        <v>1</v>
      </c>
      <c r="AS153" s="37">
        <f>[3]基础状态预期!J163</f>
        <v>5</v>
      </c>
      <c r="AW153" s="32">
        <v>147</v>
      </c>
      <c r="AX153" s="32">
        <f>[1]节奏总纲!BJ150</f>
        <v>3.4999999999999978</v>
      </c>
      <c r="AY153" s="32">
        <f>[1]节奏总纲!BK150</f>
        <v>3.5699999999999976</v>
      </c>
      <c r="AZ153" s="32">
        <f>[1]节奏总纲!BL150</f>
        <v>3.7099999999999977</v>
      </c>
      <c r="BA153" s="32">
        <f>[1]节奏总纲!BM150</f>
        <v>3.9899999999999971</v>
      </c>
      <c r="BB153" s="32">
        <f>[1]节奏总纲!BN150</f>
        <v>4.8999999999999968</v>
      </c>
      <c r="BF153" s="42">
        <f>'[1]功能-行军令'!FZ151</f>
        <v>147</v>
      </c>
      <c r="BG153" s="42">
        <f>'[1]功能-行军令'!GA151*'[1]功能-行军令'!GB151</f>
        <v>1388.1270474863568</v>
      </c>
      <c r="BN153" s="49">
        <v>148</v>
      </c>
      <c r="BO153" s="17">
        <f>'[1]资源-木石铜粮'!U153</f>
        <v>7769762299348.2646</v>
      </c>
      <c r="BP153" s="17">
        <f>'[1]资源-木石铜粮'!V153</f>
        <v>9050395523942.3633</v>
      </c>
      <c r="BQ153" s="17">
        <f>'[1]资源-木石铜粮'!W153</f>
        <v>9598904535907.459</v>
      </c>
      <c r="BR153" s="17">
        <f>'[1]资源-木石铜粮'!X153</f>
        <v>8191815088359.9746</v>
      </c>
      <c r="BS153" s="17">
        <f>'[1]资源-木石铜粮'!Y153</f>
        <v>5540904120326.6465</v>
      </c>
      <c r="BV153" s="49">
        <v>148</v>
      </c>
      <c r="BW153" s="47">
        <f>'[1]功能-城建'!EQ151+[1]养成buff汇总!H153+'[1]功能-采集'!BS152+[2]产出汇总!AY153+[1]养成buff汇总!GY153</f>
        <v>4203270359583.8848</v>
      </c>
      <c r="BX153" s="47">
        <f>'[1]功能-城建'!ER151+[1]养成buff汇总!I153+'[1]功能-采集'!BT152+[2]产出汇总!AZ153+[1]养成buff汇总!GZ153</f>
        <v>2673016073414.5171</v>
      </c>
      <c r="BY153" s="47">
        <f>'[1]功能-城建'!ES151+[1]养成buff汇总!J153+'[1]功能-采集'!BU152+[2]产出汇总!BA153+[1]养成buff汇总!HA153</f>
        <v>3045847565008.8101</v>
      </c>
      <c r="BZ153" s="47">
        <f>'[1]功能-城建'!ET151+[1]养成buff汇总!K153+'[1]功能-采集'!BV152+[2]产出汇总!BB153+[1]养成buff汇总!HB153</f>
        <v>1663631849197.8569</v>
      </c>
      <c r="CA153" s="47">
        <f>'[1]功能-城建'!EU151+[1]养成buff汇总!L153+'[1]功能-采集'!BW152+[2]产出汇总!BC153+[1]养成buff汇总!HC153</f>
        <v>1457972992114.8362</v>
      </c>
      <c r="CD153" s="49">
        <v>148</v>
      </c>
      <c r="CE153" s="44">
        <f>'[1]资源-铁'!T153</f>
        <v>659462062030.5144</v>
      </c>
      <c r="CF153" s="44">
        <f>'[1]资源-铁'!U153</f>
        <v>799419113905.89136</v>
      </c>
      <c r="CG153" s="44">
        <f>'[1]资源-铁'!V153</f>
        <v>960361123456.04517</v>
      </c>
      <c r="CH153" s="44">
        <f>'[1]资源-铁'!W153</f>
        <v>1146191605479.0576</v>
      </c>
      <c r="CI153" s="44">
        <f>'[1]资源-铁'!X153</f>
        <v>1471134261632.0669</v>
      </c>
      <c r="CL153" s="49">
        <v>148</v>
      </c>
      <c r="CM153" s="44">
        <f>'[1]功能-城建'!HF151+[1]养成buff汇总!S153+'[1]功能-采集'!BX152</f>
        <v>1366691055603.2813</v>
      </c>
      <c r="CN153" s="44">
        <f>'[1]功能-城建'!HG151+[1]养成buff汇总!T153+'[1]功能-采集'!BY152</f>
        <v>902577659139.46692</v>
      </c>
      <c r="CO153" s="44">
        <f>'[1]功能-城建'!HH151+[1]养成buff汇总!U153+'[1]功能-采集'!BZ152</f>
        <v>1041008293879.3521</v>
      </c>
      <c r="CP153" s="44">
        <f>'[1]功能-城建'!HI151+[1]养成buff汇总!V153+'[1]功能-采集'!CA152</f>
        <v>563520010702.05664</v>
      </c>
      <c r="CQ153" s="44">
        <f>'[1]功能-城建'!HJ151+[1]养成buff汇总!W153+'[1]功能-采集'!CB152</f>
        <v>519900498369.23914</v>
      </c>
      <c r="CT153" s="49">
        <v>148</v>
      </c>
      <c r="CU153" s="17">
        <f>'[1]资源-玩家城池建筑时间'!AJ153+CU152</f>
        <v>18083218867.440216</v>
      </c>
      <c r="CV153" s="17">
        <f>'[1]资源-玩家城池建筑时间'!AK153+CV152</f>
        <v>19115437129.681671</v>
      </c>
      <c r="CW153" s="17">
        <f>'[1]资源-玩家城池建筑时间'!AL153+CW152</f>
        <v>20281352663.704056</v>
      </c>
      <c r="CX153" s="17">
        <f>'[1]资源-玩家城池建筑时间'!AM153+CX152</f>
        <v>21619237386.394695</v>
      </c>
      <c r="CY153" s="17">
        <f>'[1]资源-玩家城池建筑时间'!AN153+CY152</f>
        <v>23130994672.45742</v>
      </c>
      <c r="DB153" s="49">
        <v>148</v>
      </c>
      <c r="DC153" s="17">
        <f>'[1]资源-士兵训练时间'!U153</f>
        <v>4990291737.0986557</v>
      </c>
      <c r="DD153" s="17">
        <f>'[1]资源-士兵训练时间'!V153</f>
        <v>6653722316.1315403</v>
      </c>
      <c r="DE153" s="17">
        <f>'[1]资源-士兵训练时间'!W153</f>
        <v>8317152895.1644249</v>
      </c>
      <c r="DF153" s="17">
        <f>'[1]资源-士兵训练时间'!X153</f>
        <v>9980583474.1973114</v>
      </c>
      <c r="DG153" s="17">
        <f>'[1]资源-士兵训练时间'!Y153</f>
        <v>13307444632.263081</v>
      </c>
    </row>
    <row r="154" spans="2:111" x14ac:dyDescent="0.15">
      <c r="B154" s="34">
        <v>151</v>
      </c>
      <c r="C154" s="35">
        <f>'[1]资源-钻石'!L154</f>
        <v>9664234.4483076502</v>
      </c>
      <c r="D154" s="35">
        <f>'[1]资源-钻石'!M154</f>
        <v>14190335.359408857</v>
      </c>
      <c r="E154" s="35">
        <f>'[1]资源-钻石'!N154</f>
        <v>21033507.760862719</v>
      </c>
      <c r="F154" s="35">
        <f>'[1]资源-钻石'!O154</f>
        <v>55145393.03103625</v>
      </c>
      <c r="G154" s="35">
        <f>'[1]资源-钻石'!P154</f>
        <v>114103942.26043841</v>
      </c>
      <c r="I154" s="25">
        <v>151</v>
      </c>
      <c r="J154" s="24">
        <f>'[1]资源-钻石'!T154</f>
        <v>815814.12438571919</v>
      </c>
      <c r="K154" s="24">
        <f>'[1]资源-钻石'!U154</f>
        <v>1153595.5368242913</v>
      </c>
      <c r="L154" s="24">
        <f>'[1]资源-钻石'!V154</f>
        <v>1947885.0905067206</v>
      </c>
      <c r="M154" s="24">
        <f>'[1]资源-钻石'!W154</f>
        <v>5195723.5995573923</v>
      </c>
      <c r="N154" s="24">
        <f>'[1]资源-钻石'!X154</f>
        <v>12403183.459513132</v>
      </c>
      <c r="P154" s="28">
        <v>151</v>
      </c>
      <c r="Q154" s="28">
        <f>'[1]功能-行军令'!N154</f>
        <v>1615468.1497379036</v>
      </c>
      <c r="R154" s="28">
        <f>'[1]功能-行军令'!O154</f>
        <v>1988019.6882784385</v>
      </c>
      <c r="S154" s="28">
        <f>'[1]功能-行军令'!P154</f>
        <v>2146950.1472271094</v>
      </c>
      <c r="T154" s="28">
        <f>'[1]功能-行军令'!Q154</f>
        <v>1730851.2063892924</v>
      </c>
      <c r="U154" s="28">
        <f>'[1]功能-行军令'!R154</f>
        <v>936866.17022952298</v>
      </c>
      <c r="V154" s="28">
        <f>'[1]功能-行军令'!S154</f>
        <v>108186.14973790362</v>
      </c>
      <c r="W154" s="28">
        <f>'[1]功能-行军令'!T154</f>
        <v>134013.67777843843</v>
      </c>
      <c r="X154" s="28">
        <f>'[1]功能-行军令'!U154</f>
        <v>145269.82112710946</v>
      </c>
      <c r="Y154" s="28">
        <f>'[1]功能-行军令'!V154</f>
        <v>123675.73018929223</v>
      </c>
      <c r="Z154" s="28">
        <f>'[1]功能-行军令'!W154</f>
        <v>76240.915229522856</v>
      </c>
      <c r="AC154" s="30">
        <v>151</v>
      </c>
      <c r="AD154" s="41">
        <f>'[1]功能-实力'!BE155</f>
        <v>45909918</v>
      </c>
      <c r="AE154" s="41">
        <f>'[1]功能-实力'!BF155</f>
        <v>46921104</v>
      </c>
      <c r="AF154" s="41">
        <f>'[1]功能-实力'!BG155</f>
        <v>48763962</v>
      </c>
      <c r="AG154" s="41">
        <f>'[1]功能-实力'!BH155</f>
        <v>50812644</v>
      </c>
      <c r="AH154" s="41">
        <f>'[1]功能-实力'!BI155</f>
        <v>51656550</v>
      </c>
      <c r="AL154" s="37">
        <f>[3]基础状态预期!C164</f>
        <v>90</v>
      </c>
      <c r="AM154" s="37">
        <f>[3]基础状态预期!D164</f>
        <v>74.493385467679886</v>
      </c>
      <c r="AO154" s="37">
        <f>[3]基础状态预期!F164</f>
        <v>0</v>
      </c>
      <c r="AP154" s="37">
        <f>[3]基础状态预期!G164</f>
        <v>0</v>
      </c>
      <c r="AQ154" s="37">
        <f>[3]基础状态预期!H164</f>
        <v>0</v>
      </c>
      <c r="AR154" s="37">
        <f>[3]基础状态预期!I164</f>
        <v>0.5</v>
      </c>
      <c r="AS154" s="37">
        <f>[3]基础状态预期!J164</f>
        <v>5.5</v>
      </c>
      <c r="AW154" s="32">
        <v>148</v>
      </c>
      <c r="AX154" s="32">
        <f>[1]节奏总纲!BJ151</f>
        <v>3.4999999999999978</v>
      </c>
      <c r="AY154" s="32">
        <f>[1]节奏总纲!BK151</f>
        <v>3.5699999999999976</v>
      </c>
      <c r="AZ154" s="32">
        <f>[1]节奏总纲!BL151</f>
        <v>3.7099999999999977</v>
      </c>
      <c r="BA154" s="32">
        <f>[1]节奏总纲!BM151</f>
        <v>3.9899999999999971</v>
      </c>
      <c r="BB154" s="32">
        <f>[1]节奏总纲!BN151</f>
        <v>4.8999999999999968</v>
      </c>
      <c r="BF154" s="42">
        <f>'[1]功能-行军令'!FZ152</f>
        <v>148</v>
      </c>
      <c r="BG154" s="42">
        <f>'[1]功能-行军令'!GA152*'[1]功能-行军令'!GB152</f>
        <v>1415.8895884360838</v>
      </c>
      <c r="BN154" s="49">
        <v>149</v>
      </c>
      <c r="BO154" s="17">
        <f>'[1]资源-木石铜粮'!U154</f>
        <v>8528634504068.5938</v>
      </c>
      <c r="BP154" s="17">
        <f>'[1]资源-木石铜粮'!V154</f>
        <v>9945962053165.6875</v>
      </c>
      <c r="BQ154" s="17">
        <f>'[1]资源-木石铜粮'!W154</f>
        <v>10557969677133.555</v>
      </c>
      <c r="BR154" s="17">
        <f>'[1]资源-木石铜粮'!X154</f>
        <v>9003351348557.4082</v>
      </c>
      <c r="BS154" s="17">
        <f>'[1]资源-木石铜粮'!Y154</f>
        <v>6090533776104.3799</v>
      </c>
      <c r="BV154" s="49">
        <v>149</v>
      </c>
      <c r="BW154" s="47">
        <f>'[1]功能-城建'!EQ152+[1]养成buff汇总!H154+'[1]功能-采集'!BS153+[2]产出汇总!AY154+[1]养成buff汇总!GY154</f>
        <v>4528565504253.2998</v>
      </c>
      <c r="BX154" s="47">
        <f>'[1]功能-城建'!ER152+[1]养成buff汇总!I154+'[1]功能-采集'!BT153+[2]产出汇总!AZ154+[1]养成buff汇总!GZ154</f>
        <v>2882155528299.9893</v>
      </c>
      <c r="BY154" s="47">
        <f>'[1]功能-城建'!ES152+[1]养成buff汇总!J154+'[1]功能-采集'!BU153+[2]产出汇总!BA154+[1]养成buff汇总!HA154</f>
        <v>3284976034785.917</v>
      </c>
      <c r="BZ154" s="47">
        <f>'[1]功能-城建'!ET152+[1]养成buff汇总!K154+'[1]功能-采集'!BV153+[2]产出汇总!BB154+[1]养成buff汇总!HB154</f>
        <v>1794752507753.2722</v>
      </c>
      <c r="CA154" s="47">
        <f>'[1]功能-城建'!EU152+[1]养成buff汇总!L154+'[1]功能-采集'!BW153+[2]产出汇总!BC154+[1]养成buff汇总!HC154</f>
        <v>1572095303310.356</v>
      </c>
      <c r="CD154" s="49">
        <v>149</v>
      </c>
      <c r="CE154" s="44">
        <f>'[1]资源-铁'!T154</f>
        <v>681229292958.55347</v>
      </c>
      <c r="CF154" s="44">
        <f>'[1]资源-铁'!U154</f>
        <v>821429658990.68213</v>
      </c>
      <c r="CG154" s="44">
        <f>'[1]资源-铁'!V154</f>
        <v>984920555861.78711</v>
      </c>
      <c r="CH154" s="44">
        <f>'[1]资源-铁'!W154</f>
        <v>1182055682769.8391</v>
      </c>
      <c r="CI154" s="44">
        <f>'[1]资源-铁'!X154</f>
        <v>1530651667549.6167</v>
      </c>
      <c r="CL154" s="49">
        <v>149</v>
      </c>
      <c r="CM154" s="44">
        <f>'[1]功能-城建'!HF152+[1]养成buff汇总!S154+'[1]功能-采集'!BX153</f>
        <v>1474025753433.8669</v>
      </c>
      <c r="CN154" s="44">
        <f>'[1]功能-城建'!HG152+[1]养成buff汇总!T154+'[1]功能-采集'!BY153</f>
        <v>974136202100.40894</v>
      </c>
      <c r="CO154" s="44">
        <f>'[1]功能-城建'!HH152+[1]养成buff汇总!U154+'[1]功能-采集'!BZ153</f>
        <v>1123888359185.7324</v>
      </c>
      <c r="CP154" s="44">
        <f>'[1]功能-城建'!HI152+[1]养成buff汇总!V154+'[1]功能-采集'!CA153</f>
        <v>608301470456.17395</v>
      </c>
      <c r="CQ154" s="44">
        <f>'[1]功能-城建'!HJ152+[1]养成buff汇总!W154+'[1]功能-采集'!CB153</f>
        <v>561035511868.84167</v>
      </c>
      <c r="CT154" s="49">
        <v>149</v>
      </c>
      <c r="CU154" s="17">
        <f>'[1]资源-玩家城池建筑时间'!AJ154+CU153</f>
        <v>19421159742.965767</v>
      </c>
      <c r="CV154" s="17">
        <f>'[1]资源-玩家城池建筑时间'!AK154+CV153</f>
        <v>20538805149.833412</v>
      </c>
      <c r="CW154" s="17">
        <f>'[1]资源-玩家城池建筑时间'!AL154+CW153</f>
        <v>21806042256.86348</v>
      </c>
      <c r="CX154" s="17">
        <f>'[1]资源-玩家城池建筑时间'!AM154+CX153</f>
        <v>23237324877.961933</v>
      </c>
      <c r="CY154" s="17">
        <f>'[1]资源-玩家城池建筑时间'!AN154+CY153</f>
        <v>24867382852.586666</v>
      </c>
      <c r="DB154" s="49">
        <v>149</v>
      </c>
      <c r="DC154" s="17">
        <f>'[1]资源-士兵训练时间'!U154</f>
        <v>4990291737.0986557</v>
      </c>
      <c r="DD154" s="17">
        <f>'[1]资源-士兵训练时间'!V154</f>
        <v>6653722316.1315403</v>
      </c>
      <c r="DE154" s="17">
        <f>'[1]资源-士兵训练时间'!W154</f>
        <v>8317152895.1644249</v>
      </c>
      <c r="DF154" s="17">
        <f>'[1]资源-士兵训练时间'!X154</f>
        <v>9980583474.1973114</v>
      </c>
      <c r="DG154" s="17">
        <f>'[1]资源-士兵训练时间'!Y154</f>
        <v>13307444632.263081</v>
      </c>
    </row>
    <row r="155" spans="2:111" x14ac:dyDescent="0.15">
      <c r="B155" s="34">
        <v>152</v>
      </c>
      <c r="C155" s="35">
        <f>'[1]资源-钻石'!L155</f>
        <v>9782220.7896165494</v>
      </c>
      <c r="D155" s="35">
        <f>'[1]资源-钻石'!M155</f>
        <v>14370453.082615115</v>
      </c>
      <c r="E155" s="35">
        <f>'[1]资源-钻石'!N155</f>
        <v>21304903.616298102</v>
      </c>
      <c r="F155" s="35">
        <f>'[1]资源-钻石'!O155</f>
        <v>55914260.839909568</v>
      </c>
      <c r="G155" s="35">
        <f>'[1]资源-钻石'!P155</f>
        <v>115911060.2870073</v>
      </c>
      <c r="I155" s="25">
        <v>152</v>
      </c>
      <c r="J155" s="24">
        <f>'[1]资源-钻石'!T155</f>
        <v>820142.85043410002</v>
      </c>
      <c r="K155" s="24">
        <f>'[1]资源-钻石'!U155</f>
        <v>1160037.13547751</v>
      </c>
      <c r="L155" s="24">
        <f>'[1]资源-钻石'!V155</f>
        <v>1959422.8490252614</v>
      </c>
      <c r="M155" s="24">
        <f>'[1]资源-钻石'!W155</f>
        <v>5228435.1339277877</v>
      </c>
      <c r="N155" s="24">
        <f>'[1]资源-钻石'!X155</f>
        <v>12483021.147320565</v>
      </c>
      <c r="P155" s="28">
        <v>152</v>
      </c>
      <c r="Q155" s="28">
        <f>'[1]功能-行军令'!N155</f>
        <v>1731419.1940409699</v>
      </c>
      <c r="R155" s="28">
        <f>'[1]功能-行军令'!O155</f>
        <v>2130206.4379310715</v>
      </c>
      <c r="S155" s="28">
        <f>'[1]功能-行军令'!P155</f>
        <v>2313721.8166803354</v>
      </c>
      <c r="T155" s="28">
        <f>'[1]功能-行军令'!Q155</f>
        <v>1880283.6051807969</v>
      </c>
      <c r="U155" s="28">
        <f>'[1]功能-行军令'!R155</f>
        <v>1453827.5297789667</v>
      </c>
      <c r="V155" s="28">
        <f>'[1]功能-行军令'!S155</f>
        <v>115951.04430306633</v>
      </c>
      <c r="W155" s="28">
        <f>'[1]功能-行军令'!T155</f>
        <v>142186.74965263298</v>
      </c>
      <c r="X155" s="28">
        <f>'[1]功能-行军令'!U155</f>
        <v>166771.66945322603</v>
      </c>
      <c r="Y155" s="28">
        <f>'[1]功能-行军令'!V155</f>
        <v>149432.39879150456</v>
      </c>
      <c r="Z155" s="28">
        <f>'[1]功能-行军令'!W155</f>
        <v>516961.3595494437</v>
      </c>
      <c r="AC155" s="30">
        <v>152</v>
      </c>
      <c r="AD155" s="41">
        <f>'[1]功能-实力'!BE156</f>
        <v>46699176</v>
      </c>
      <c r="AE155" s="41">
        <f>'[1]功能-实力'!BF156</f>
        <v>47780820</v>
      </c>
      <c r="AF155" s="41">
        <f>'[1]功能-实力'!BG156</f>
        <v>49757214</v>
      </c>
      <c r="AG155" s="41">
        <f>'[1]功能-实力'!BH156</f>
        <v>51900078</v>
      </c>
      <c r="AH155" s="41">
        <f>'[1]功能-实力'!BI156</f>
        <v>52321590</v>
      </c>
      <c r="AL155" s="37">
        <f>[3]基础状态预期!C165</f>
        <v>110</v>
      </c>
      <c r="AM155" s="37">
        <f>[3]基础状态预期!D165</f>
        <v>77.332919927503724</v>
      </c>
      <c r="AO155" s="37">
        <f>[3]基础状态预期!F165</f>
        <v>0</v>
      </c>
      <c r="AP155" s="37">
        <f>[3]基础状态预期!G165</f>
        <v>0</v>
      </c>
      <c r="AQ155" s="37">
        <f>[3]基础状态预期!H165</f>
        <v>0</v>
      </c>
      <c r="AR155" s="37">
        <f>[3]基础状态预期!I165</f>
        <v>0</v>
      </c>
      <c r="AS155" s="37">
        <f>[3]基础状态预期!J165</f>
        <v>6</v>
      </c>
      <c r="AW155" s="32">
        <v>149</v>
      </c>
      <c r="AX155" s="32">
        <f>[1]节奏总纲!BJ152</f>
        <v>3.4999999999999978</v>
      </c>
      <c r="AY155" s="32">
        <f>[1]节奏总纲!BK152</f>
        <v>3.5699999999999976</v>
      </c>
      <c r="AZ155" s="32">
        <f>[1]节奏总纲!BL152</f>
        <v>3.7099999999999977</v>
      </c>
      <c r="BA155" s="32">
        <f>[1]节奏总纲!BM152</f>
        <v>3.9899999999999971</v>
      </c>
      <c r="BB155" s="32">
        <f>[1]节奏总纲!BN152</f>
        <v>4.8999999999999968</v>
      </c>
      <c r="BF155" s="42">
        <f>'[1]功能-行军令'!FZ153</f>
        <v>149</v>
      </c>
      <c r="BG155" s="42">
        <f>'[1]功能-行军令'!GA153*'[1]功能-行军令'!GB153</f>
        <v>1444.2073802048055</v>
      </c>
      <c r="BN155" s="49">
        <v>150</v>
      </c>
      <c r="BO155" s="17">
        <f>'[1]资源-木石铜粮'!U155</f>
        <v>9362348865137.6973</v>
      </c>
      <c r="BP155" s="17">
        <f>'[1]资源-木石铜粮'!V155</f>
        <v>10930078005001.646</v>
      </c>
      <c r="BQ155" s="17">
        <f>'[1]资源-木石铜粮'!W155</f>
        <v>11618153112819.949</v>
      </c>
      <c r="BR155" s="17">
        <f>'[1]资源-木石铜粮'!X155</f>
        <v>9916724046108.9297</v>
      </c>
      <c r="BS155" s="17">
        <f>'[1]资源-木石铜粮'!Y155</f>
        <v>6711633261487.0342</v>
      </c>
      <c r="BV155" s="49">
        <v>150</v>
      </c>
      <c r="BW155" s="47">
        <f>'[1]功能-城建'!EQ153+[1]养成buff汇总!H155+'[1]功能-采集'!BS154+[2]产出汇总!AY155+[1]养成buff汇总!GY155</f>
        <v>4887179569215.3311</v>
      </c>
      <c r="BX155" s="47">
        <f>'[1]功能-城建'!ER153+[1]养成buff汇总!I155+'[1]功能-采集'!BT154+[2]产出汇总!AZ155+[1]养成buff汇总!GZ155</f>
        <v>3113065846620.3281</v>
      </c>
      <c r="BY155" s="47">
        <f>'[1]功能-城建'!ES153+[1]养成buff汇总!J155+'[1]功能-采集'!BU154+[2]产出汇总!BA155+[1]养成buff汇总!HA155</f>
        <v>3545815942879.7744</v>
      </c>
      <c r="BZ155" s="47">
        <f>'[1]功能-城建'!ET153+[1]养成buff汇总!K155+'[1]功能-采集'!BV154+[2]产出汇总!BB155+[1]养成buff汇总!HB155</f>
        <v>1939732967521.9265</v>
      </c>
      <c r="CA155" s="47">
        <f>'[1]功能-城建'!EU153+[1]养成buff汇总!L155+'[1]功能-采集'!BW154+[2]产出汇总!BC155+[1]养成buff汇总!HC155</f>
        <v>1702849562760.2314</v>
      </c>
      <c r="CD155" s="49">
        <v>150</v>
      </c>
      <c r="CE155" s="44">
        <f>'[1]资源-铁'!T155</f>
        <v>701583501261.09253</v>
      </c>
      <c r="CF155" s="44">
        <f>'[1]资源-铁'!U155</f>
        <v>844006576593.16187</v>
      </c>
      <c r="CG155" s="44">
        <f>'[1]资源-铁'!V155</f>
        <v>1018463833043.7963</v>
      </c>
      <c r="CH155" s="44">
        <f>'[1]资源-铁'!W155</f>
        <v>1232185163749.0137</v>
      </c>
      <c r="CI155" s="44">
        <f>'[1]资源-铁'!X155</f>
        <v>1595792368487.0283</v>
      </c>
      <c r="CL155" s="49">
        <v>150</v>
      </c>
      <c r="CM155" s="44">
        <f>'[1]功能-城建'!HF153+[1]养成buff汇总!S155+'[1]功能-采集'!BX154</f>
        <v>1593547197348.6646</v>
      </c>
      <c r="CN155" s="44">
        <f>'[1]功能-城建'!HG153+[1]养成buff汇总!T155+'[1]功能-采集'!BY154</f>
        <v>1053780372924.3478</v>
      </c>
      <c r="CO155" s="44">
        <f>'[1]功能-城建'!HH153+[1]养成buff汇总!U155+'[1]功能-采集'!BZ154</f>
        <v>1214730497094.8306</v>
      </c>
      <c r="CP155" s="44">
        <f>'[1]功能-城建'!HI153+[1]养成buff汇总!V155+'[1]功能-采集'!CA154</f>
        <v>658533315538.65588</v>
      </c>
      <c r="CQ155" s="44">
        <f>'[1]功能-城建'!HJ153+[1]养成buff汇总!W155+'[1]功能-采集'!CB154</f>
        <v>608324934613.48901</v>
      </c>
      <c r="CT155" s="49">
        <v>150</v>
      </c>
      <c r="CU155" s="17">
        <f>'[1]资源-玩家城池建筑时间'!AJ155+CU154</f>
        <v>20863461952.927422</v>
      </c>
      <c r="CV155" s="17">
        <f>'[1]资源-玩家城池建筑时间'!AK155+CV154</f>
        <v>22061868491.518894</v>
      </c>
      <c r="CW155" s="17">
        <f>'[1]资源-玩家城池建筑时间'!AL155+CW154</f>
        <v>23426845658.35952</v>
      </c>
      <c r="CX155" s="17">
        <f>'[1]资源-玩家城池建筑时间'!AM155+CX154</f>
        <v>24977381022.127266</v>
      </c>
      <c r="CY155" s="17">
        <f>'[1]资源-玩家城池建筑时间'!AN155+CY154</f>
        <v>26807512869.610416</v>
      </c>
      <c r="DB155" s="49">
        <v>150</v>
      </c>
      <c r="DC155" s="17">
        <f>'[1]资源-士兵训练时间'!U155</f>
        <v>4990291737.0986557</v>
      </c>
      <c r="DD155" s="17">
        <f>'[1]资源-士兵训练时间'!V155</f>
        <v>6653722316.1315403</v>
      </c>
      <c r="DE155" s="17">
        <f>'[1]资源-士兵训练时间'!W155</f>
        <v>8317152895.1644249</v>
      </c>
      <c r="DF155" s="17">
        <f>'[1]资源-士兵训练时间'!X155</f>
        <v>9980583474.1973114</v>
      </c>
      <c r="DG155" s="17">
        <f>'[1]资源-士兵训练时间'!Y155</f>
        <v>13307444632.263081</v>
      </c>
    </row>
    <row r="156" spans="2:111" x14ac:dyDescent="0.15">
      <c r="B156" s="34">
        <v>153</v>
      </c>
      <c r="C156" s="35">
        <f>'[1]资源-钻石'!L156</f>
        <v>9900207.1309254486</v>
      </c>
      <c r="D156" s="35">
        <f>'[1]资源-钻石'!M156</f>
        <v>14550570.805821372</v>
      </c>
      <c r="E156" s="35">
        <f>'[1]资源-钻石'!N156</f>
        <v>21576299.471733484</v>
      </c>
      <c r="F156" s="35">
        <f>'[1]资源-钻石'!O156</f>
        <v>56683128.648782887</v>
      </c>
      <c r="G156" s="35">
        <f>'[1]资源-钻石'!P156</f>
        <v>117718178.31357619</v>
      </c>
      <c r="I156" s="23">
        <v>153</v>
      </c>
      <c r="J156" s="24">
        <f>'[1]资源-钻石'!T156</f>
        <v>824471.57648248086</v>
      </c>
      <c r="K156" s="24">
        <f>'[1]资源-钻石'!U156</f>
        <v>1166478.734130729</v>
      </c>
      <c r="L156" s="24">
        <f>'[1]资源-钻石'!V156</f>
        <v>1970960.6075438021</v>
      </c>
      <c r="M156" s="24">
        <f>'[1]资源-钻石'!W156</f>
        <v>5261146.6682981821</v>
      </c>
      <c r="N156" s="24">
        <f>'[1]资源-钻石'!X156</f>
        <v>12562858.835128</v>
      </c>
      <c r="P156" s="28">
        <v>153</v>
      </c>
      <c r="Q156" s="28">
        <f>'[1]功能-行军令'!N156</f>
        <v>1855692.4462783667</v>
      </c>
      <c r="R156" s="28">
        <f>'[1]功能-行军令'!O156</f>
        <v>2300130.7871620352</v>
      </c>
      <c r="S156" s="28">
        <f>'[1]功能-行军令'!P156</f>
        <v>2507322.8829030287</v>
      </c>
      <c r="T156" s="28">
        <f>'[1]功能-行军令'!Q156</f>
        <v>2493082.4604348489</v>
      </c>
      <c r="U156" s="28">
        <f>'[1]功能-行军令'!R156</f>
        <v>2493082.4604348489</v>
      </c>
      <c r="V156" s="28">
        <f>'[1]功能-行军令'!S156</f>
        <v>124273.25223739678</v>
      </c>
      <c r="W156" s="28">
        <f>'[1]功能-行军令'!T156</f>
        <v>169924.34923096374</v>
      </c>
      <c r="X156" s="28">
        <f>'[1]功能-行军令'!U156</f>
        <v>193601.06622269331</v>
      </c>
      <c r="Y156" s="28">
        <f>'[1]功能-行军令'!V156</f>
        <v>612798.85525405197</v>
      </c>
      <c r="Z156" s="28">
        <f>'[1]功能-行军令'!W156</f>
        <v>1039254.9306558822</v>
      </c>
      <c r="AC156" s="30">
        <v>153</v>
      </c>
      <c r="AD156" s="41">
        <f>'[1]功能-实力'!BE157</f>
        <v>47549286</v>
      </c>
      <c r="AE156" s="41">
        <f>'[1]功能-实力'!BF157</f>
        <v>48712896</v>
      </c>
      <c r="AF156" s="41">
        <f>'[1]功能-实力'!BG157</f>
        <v>50780328</v>
      </c>
      <c r="AG156" s="41">
        <f>'[1]功能-实力'!BH157</f>
        <v>52555110</v>
      </c>
      <c r="AH156" s="41">
        <f>'[1]功能-实力'!BI157</f>
        <v>52849560</v>
      </c>
      <c r="AL156" s="37">
        <f>[3]基础状态预期!C166</f>
        <v>130</v>
      </c>
      <c r="AM156" s="37">
        <f>[3]基础状态预期!D166</f>
        <v>79.813360188853366</v>
      </c>
      <c r="AO156" s="37">
        <f>[3]基础状态预期!F166</f>
        <v>0</v>
      </c>
      <c r="AP156" s="37">
        <f>[3]基础状态预期!G166</f>
        <v>0</v>
      </c>
      <c r="AQ156" s="37">
        <f>[3]基础状态预期!H166</f>
        <v>0</v>
      </c>
      <c r="AR156" s="37">
        <f>[3]基础状态预期!I166</f>
        <v>0</v>
      </c>
      <c r="AS156" s="37">
        <f>[3]基础状态预期!J166</f>
        <v>6</v>
      </c>
      <c r="AW156" s="32">
        <v>150</v>
      </c>
      <c r="AX156" s="32">
        <f>[1]节奏总纲!BJ153</f>
        <v>3.4999999999999978</v>
      </c>
      <c r="AY156" s="32">
        <f>[1]节奏总纲!BK153</f>
        <v>3.5699999999999976</v>
      </c>
      <c r="AZ156" s="32">
        <f>[1]节奏总纲!BL153</f>
        <v>3.7099999999999977</v>
      </c>
      <c r="BA156" s="32">
        <f>[1]节奏总纲!BM153</f>
        <v>3.9899999999999971</v>
      </c>
      <c r="BB156" s="32">
        <f>[1]节奏总纲!BN153</f>
        <v>4.8999999999999968</v>
      </c>
      <c r="BF156" s="42">
        <f>'[1]功能-行军令'!FZ154</f>
        <v>150</v>
      </c>
      <c r="BG156" s="42">
        <f>'[1]功能-行军令'!GA154*'[1]功能-行军令'!GB154</f>
        <v>1473.0915278089017</v>
      </c>
      <c r="BN156" s="49">
        <v>151</v>
      </c>
      <c r="BO156" s="17">
        <f>'[1]资源-木石铜粮'!U156</f>
        <v>10275968846560.893</v>
      </c>
      <c r="BP156" s="17">
        <f>'[1]资源-木石铜粮'!V156</f>
        <v>12029893606545.482</v>
      </c>
      <c r="BQ156" s="17">
        <f>'[1]资源-木石铜粮'!W156</f>
        <v>12803942421212.883</v>
      </c>
      <c r="BR156" s="17">
        <f>'[1]资源-木石铜粮'!X156</f>
        <v>10968802714422.045</v>
      </c>
      <c r="BS156" s="17">
        <f>'[1]资源-木石铜粮'!Y156</f>
        <v>7478296597462.0039</v>
      </c>
      <c r="BV156" s="49">
        <v>151</v>
      </c>
      <c r="BW156" s="47">
        <f>'[1]功能-城建'!EQ154+[1]养成buff汇总!H156+'[1]功能-采集'!BS155+[2]产出汇总!AY156+[1]养成buff汇总!GY156</f>
        <v>5271991528418.9346</v>
      </c>
      <c r="BX156" s="47">
        <f>'[1]功能-城建'!ER154+[1]养成buff汇总!I156+'[1]功能-采集'!BT155+[2]产出汇总!AZ156+[1]养成buff汇总!GZ156</f>
        <v>3363113696996.6729</v>
      </c>
      <c r="BY156" s="47">
        <f>'[1]功能-城建'!ES154+[1]养成buff汇总!J156+'[1]功能-采集'!BU155+[2]产出汇总!BA156+[1]养成buff汇总!HA156</f>
        <v>3828704429930.0547</v>
      </c>
      <c r="BZ156" s="47">
        <f>'[1]功能-城建'!ET154+[1]养成buff汇总!K156+'[1]功能-采集'!BV155+[2]产出汇总!BB156+[1]养成buff汇总!HB156</f>
        <v>2106390340814.3616</v>
      </c>
      <c r="CA156" s="47">
        <f>'[1]功能-城建'!EU154+[1]养成buff汇总!L156+'[1]功能-采集'!BW155+[2]产出汇总!BC156+[1]养成buff汇总!HC156</f>
        <v>1870335148921.9438</v>
      </c>
      <c r="CD156" s="49">
        <v>151</v>
      </c>
      <c r="CE156" s="44">
        <f>'[1]资源-铁'!T156</f>
        <v>723205347293.55615</v>
      </c>
      <c r="CF156" s="44">
        <f>'[1]资源-铁'!U156</f>
        <v>877277287030.62402</v>
      </c>
      <c r="CG156" s="44">
        <f>'[1]资源-铁'!V156</f>
        <v>1063861626821.8408</v>
      </c>
      <c r="CH156" s="44">
        <f>'[1]资源-铁'!W156</f>
        <v>1289092611449.1909</v>
      </c>
      <c r="CI156" s="44">
        <f>'[1]资源-铁'!X156</f>
        <v>1677177249099.176</v>
      </c>
      <c r="CL156" s="49">
        <v>151</v>
      </c>
      <c r="CM156" s="44">
        <f>'[1]功能-城建'!HF154+[1]养成buff汇总!S156+'[1]功能-采集'!BX155</f>
        <v>1721711273127.7432</v>
      </c>
      <c r="CN156" s="44">
        <f>'[1]功能-城建'!HG154+[1]养成buff汇总!T156+'[1]功能-采集'!BY155</f>
        <v>1140202248337.4907</v>
      </c>
      <c r="CO156" s="44">
        <f>'[1]功能-城建'!HH154+[1]养成buff汇总!U156+'[1]功能-采集'!BZ155</f>
        <v>1313418551401.4609</v>
      </c>
      <c r="CP156" s="44">
        <f>'[1]功能-城建'!HI154+[1]养成buff汇总!V156+'[1]功能-采集'!CA155</f>
        <v>715892549162.93604</v>
      </c>
      <c r="CQ156" s="44">
        <f>'[1]功能-城建'!HJ154+[1]养成buff汇总!W156+'[1]功能-采集'!CB155</f>
        <v>668285920881.62085</v>
      </c>
      <c r="CT156" s="49">
        <v>151</v>
      </c>
      <c r="CU156" s="17">
        <f>'[1]资源-玩家城池建筑时间'!AJ156+CU155</f>
        <v>22409824412.494335</v>
      </c>
      <c r="CV156" s="17">
        <f>'[1]资源-玩家城池建筑时间'!AK156+CV155</f>
        <v>23710176676.059528</v>
      </c>
      <c r="CW156" s="17">
        <f>'[1]资源-玩家城池建筑时间'!AL156+CW155</f>
        <v>25183598030.24395</v>
      </c>
      <c r="CX156" s="17">
        <f>'[1]资源-玩家城池建筑时间'!AM156+CX155</f>
        <v>26962021351.71983</v>
      </c>
      <c r="CY156" s="17">
        <f>'[1]资源-玩家城池建筑时间'!AN156+CY155</f>
        <v>29261474042.652847</v>
      </c>
      <c r="DB156" s="49">
        <v>151</v>
      </c>
      <c r="DC156" s="17">
        <f>'[1]资源-士兵训练时间'!U156</f>
        <v>4990291737.0986557</v>
      </c>
      <c r="DD156" s="17">
        <f>'[1]资源-士兵训练时间'!V156</f>
        <v>6653722316.1315403</v>
      </c>
      <c r="DE156" s="17">
        <f>'[1]资源-士兵训练时间'!W156</f>
        <v>8317152895.1644249</v>
      </c>
      <c r="DF156" s="17">
        <f>'[1]资源-士兵训练时间'!X156</f>
        <v>9980583474.1973114</v>
      </c>
      <c r="DG156" s="17">
        <f>'[1]资源-士兵训练时间'!Y156</f>
        <v>13307444632.263081</v>
      </c>
    </row>
    <row r="157" spans="2:111" x14ac:dyDescent="0.15">
      <c r="B157" s="34">
        <v>154</v>
      </c>
      <c r="C157" s="35">
        <f>'[1]资源-钻石'!L157</f>
        <v>10018193.472234348</v>
      </c>
      <c r="D157" s="35">
        <f>'[1]资源-钻石'!M157</f>
        <v>14730688.52902763</v>
      </c>
      <c r="E157" s="35">
        <f>'[1]资源-钻石'!N157</f>
        <v>21847695.327168867</v>
      </c>
      <c r="F157" s="35">
        <f>'[1]资源-钻石'!O157</f>
        <v>57451996.457656205</v>
      </c>
      <c r="G157" s="35">
        <f>'[1]资源-钻石'!P157</f>
        <v>119525296.34014508</v>
      </c>
      <c r="I157" s="23">
        <v>154</v>
      </c>
      <c r="J157" s="24">
        <f>'[1]资源-钻石'!T157</f>
        <v>828800.30253086169</v>
      </c>
      <c r="K157" s="24">
        <f>'[1]资源-钻石'!U157</f>
        <v>1172920.3327839479</v>
      </c>
      <c r="L157" s="24">
        <f>'[1]资源-钻石'!V157</f>
        <v>1982498.3660623429</v>
      </c>
      <c r="M157" s="24">
        <f>'[1]资源-钻石'!W157</f>
        <v>5293858.2026685774</v>
      </c>
      <c r="N157" s="24">
        <f>'[1]资源-钻石'!X157</f>
        <v>12642696.522935433</v>
      </c>
      <c r="P157" s="28">
        <v>154</v>
      </c>
      <c r="Q157" s="28">
        <f>'[1]功能-行军令'!N157</f>
        <v>1988885.2201294843</v>
      </c>
      <c r="R157" s="28">
        <f>'[1]功能-行军令'!O157</f>
        <v>2476810.6485895114</v>
      </c>
      <c r="S157" s="28">
        <f>'[1]功能-行军令'!P157</f>
        <v>3088609.0369554288</v>
      </c>
      <c r="T157" s="28">
        <f>'[1]功能-行军令'!Q157</f>
        <v>3518165.0078681773</v>
      </c>
      <c r="U157" s="28">
        <f>'[1]功能-行军令'!R157</f>
        <v>3518165.0078681773</v>
      </c>
      <c r="V157" s="28">
        <f>'[1]功能-行军令'!S157</f>
        <v>133192.77385111758</v>
      </c>
      <c r="W157" s="28">
        <f>'[1]功能-行军令'!T157</f>
        <v>176679.86142747616</v>
      </c>
      <c r="X157" s="28">
        <f>'[1]功能-行军令'!U157</f>
        <v>581286.15405240003</v>
      </c>
      <c r="Y157" s="28">
        <f>'[1]功能-行军令'!V157</f>
        <v>1025082.5474333283</v>
      </c>
      <c r="Z157" s="28">
        <f>'[1]功能-行军令'!W157</f>
        <v>1025082.5474333283</v>
      </c>
      <c r="AC157" s="30">
        <v>154</v>
      </c>
      <c r="AD157" s="41">
        <f>'[1]功能-实力'!BE158</f>
        <v>48407622</v>
      </c>
      <c r="AE157" s="41">
        <f>'[1]功能-实力'!BF158</f>
        <v>49660140</v>
      </c>
      <c r="AF157" s="41">
        <f>'[1]功能-实力'!BG158</f>
        <v>51397326</v>
      </c>
      <c r="AG157" s="41">
        <f>'[1]功能-实力'!BH158</f>
        <v>53063604</v>
      </c>
      <c r="AH157" s="41">
        <f>'[1]功能-实力'!BI158</f>
        <v>53084898</v>
      </c>
      <c r="AL157" s="37">
        <f>[3]基础状态预期!C167</f>
        <v>150</v>
      </c>
      <c r="AM157" s="37">
        <f>[3]基础状态预期!D167</f>
        <v>81.919202803497143</v>
      </c>
      <c r="AO157" s="37">
        <f>[3]基础状态预期!F167</f>
        <v>0</v>
      </c>
      <c r="AP157" s="37">
        <f>[3]基础状态预期!G167</f>
        <v>0</v>
      </c>
      <c r="AQ157" s="37">
        <f>[3]基础状态预期!H167</f>
        <v>0</v>
      </c>
      <c r="AR157" s="37">
        <f>[3]基础状态预期!I167</f>
        <v>0</v>
      </c>
      <c r="AS157" s="37">
        <f>[3]基础状态预期!J167</f>
        <v>6</v>
      </c>
      <c r="AW157" s="32">
        <v>151</v>
      </c>
      <c r="AX157" s="32">
        <f>[1]节奏总纲!BJ154</f>
        <v>3.4999999999999978</v>
      </c>
      <c r="AY157" s="32">
        <f>[1]节奏总纲!BK154</f>
        <v>3.5699999999999976</v>
      </c>
      <c r="AZ157" s="32">
        <f>[1]节奏总纲!BL154</f>
        <v>3.7099999999999977</v>
      </c>
      <c r="BA157" s="32">
        <f>[1]节奏总纲!BM154</f>
        <v>3.9899999999999971</v>
      </c>
      <c r="BB157" s="32">
        <f>[1]节奏总纲!BN154</f>
        <v>4.8999999999999968</v>
      </c>
      <c r="BF157" s="42">
        <f>'[1]功能-行军令'!FZ155</f>
        <v>151</v>
      </c>
      <c r="BG157" s="42">
        <f>'[1]功能-行军令'!GA155*'[1]功能-行军令'!GB155</f>
        <v>1502.5533583650797</v>
      </c>
      <c r="BN157" s="49">
        <v>152</v>
      </c>
      <c r="BO157" s="17">
        <f>'[1]资源-木石铜粮'!U157</f>
        <v>11296271780774.336</v>
      </c>
      <c r="BP157" s="17">
        <f>'[1]资源-木石铜粮'!V157</f>
        <v>13234860335261.691</v>
      </c>
      <c r="BQ157" s="17">
        <f>'[1]资源-木石铜粮'!W157</f>
        <v>14181501689066.076</v>
      </c>
      <c r="BR157" s="17">
        <f>'[1]资源-木石铜粮'!X157</f>
        <v>12244945692291.445</v>
      </c>
      <c r="BS157" s="17">
        <f>'[1]资源-木石铜粮'!Y157</f>
        <v>11167570183005.566</v>
      </c>
      <c r="BV157" s="49">
        <v>152</v>
      </c>
      <c r="BW157" s="47">
        <f>'[1]功能-城建'!EQ155+[1]养成buff汇总!H157+'[1]功能-采集'!BS156+[2]产出汇总!AY157+[1]养成buff汇总!GY157</f>
        <v>5686754035925.5156</v>
      </c>
      <c r="BX157" s="47">
        <f>'[1]功能-城建'!ER155+[1]养成buff汇总!I157+'[1]功能-采集'!BT156+[2]产出汇总!AZ157+[1]养成buff汇总!GZ157</f>
        <v>3628896822288.1729</v>
      </c>
      <c r="BY157" s="47">
        <f>'[1]功能-城建'!ES155+[1]养成buff汇总!J157+'[1]功能-采集'!BU156+[2]产出汇总!BA157+[1]养成buff汇总!HA157</f>
        <v>4155157769846.6216</v>
      </c>
      <c r="BZ157" s="47">
        <f>'[1]功能-城建'!ET155+[1]养成buff汇总!K157+'[1]功能-采集'!BV156+[2]产出汇总!BB157+[1]养成buff汇总!HB157</f>
        <v>2311927920979.9404</v>
      </c>
      <c r="CA157" s="47">
        <f>'[1]功能-城建'!EU155+[1]养成buff汇总!L157+'[1]功能-采集'!BW156+[2]产出汇总!BC157+[1]养成buff汇总!HC157</f>
        <v>2745376746103.3794</v>
      </c>
      <c r="CD157" s="49">
        <v>152</v>
      </c>
      <c r="CE157" s="44">
        <f>'[1]资源-铁'!T157</f>
        <v>758006944188.03198</v>
      </c>
      <c r="CF157" s="44">
        <f>'[1]资源-铁'!U157</f>
        <v>917957066605.14893</v>
      </c>
      <c r="CG157" s="44">
        <f>'[1]资源-铁'!V157</f>
        <v>1113665472235.2969</v>
      </c>
      <c r="CH157" s="44">
        <f>'[1]资源-铁'!W157</f>
        <v>1357293523223.3042</v>
      </c>
      <c r="CI157" s="44">
        <f>'[1]资源-铁'!X157</f>
        <v>1704831210034.04</v>
      </c>
      <c r="CL157" s="49">
        <v>152</v>
      </c>
      <c r="CM157" s="44">
        <f>'[1]功能-城建'!HF155+[1]养成buff汇总!S157+'[1]功能-采集'!BX156</f>
        <v>1860090339785.7114</v>
      </c>
      <c r="CN157" s="44">
        <f>'[1]功能-城建'!HG155+[1]养成buff汇总!T157+'[1]功能-采集'!BY156</f>
        <v>1232178140614.5991</v>
      </c>
      <c r="CO157" s="44">
        <f>'[1]功能-城建'!HH155+[1]养成buff汇总!U157+'[1]功能-采集'!BZ156</f>
        <v>1427123268417.7288</v>
      </c>
      <c r="CP157" s="44">
        <f>'[1]功能-城建'!HI155+[1]养成buff汇总!V157+'[1]功能-采集'!CA156</f>
        <v>785575853763.45374</v>
      </c>
      <c r="CQ157" s="44">
        <f>'[1]功能-城建'!HJ155+[1]养成buff汇总!W157+'[1]功能-采集'!CB156</f>
        <v>902159676483.95789</v>
      </c>
      <c r="CT157" s="49">
        <v>152</v>
      </c>
      <c r="CU157" s="17">
        <f>'[1]资源-玩家城池建筑时间'!AJ157+CU156</f>
        <v>24073084848.679646</v>
      </c>
      <c r="CV157" s="17">
        <f>'[1]资源-玩家城池建筑时间'!AK157+CV156</f>
        <v>25461725010.516361</v>
      </c>
      <c r="CW157" s="17">
        <f>'[1]资源-玩家城池建筑时间'!AL157+CW156</f>
        <v>27203972460.420303</v>
      </c>
      <c r="CX157" s="17">
        <f>'[1]资源-玩家城池建筑时间'!AM157+CX156</f>
        <v>29366906599.522747</v>
      </c>
      <c r="CY157" s="17">
        <f>'[1]资源-玩家城池建筑时间'!AN157+CY156</f>
        <v>30610076079.818775</v>
      </c>
      <c r="DB157" s="49">
        <v>152</v>
      </c>
      <c r="DC157" s="17">
        <f>'[1]资源-士兵训练时间'!U157</f>
        <v>4990291737.0986557</v>
      </c>
      <c r="DD157" s="17">
        <f>'[1]资源-士兵训练时间'!V157</f>
        <v>6653722316.1315403</v>
      </c>
      <c r="DE157" s="17">
        <f>'[1]资源-士兵训练时间'!W157</f>
        <v>8317152895.1644249</v>
      </c>
      <c r="DF157" s="17">
        <f>'[1]资源-士兵训练时间'!X157</f>
        <v>9980583474.1973114</v>
      </c>
      <c r="DG157" s="17">
        <f>'[1]资源-士兵训练时间'!Y157</f>
        <v>13307444632.263081</v>
      </c>
    </row>
    <row r="158" spans="2:111" x14ac:dyDescent="0.15">
      <c r="B158" s="34">
        <v>155</v>
      </c>
      <c r="C158" s="35">
        <f>'[1]资源-钻石'!L158</f>
        <v>10136179.813543247</v>
      </c>
      <c r="D158" s="35">
        <f>'[1]资源-钻石'!M158</f>
        <v>14910806.252233887</v>
      </c>
      <c r="E158" s="35">
        <f>'[1]资源-钻石'!N158</f>
        <v>22119091.18260425</v>
      </c>
      <c r="F158" s="35">
        <f>'[1]资源-钻石'!O158</f>
        <v>58220864.266529523</v>
      </c>
      <c r="G158" s="35">
        <f>'[1]资源-钻石'!P158</f>
        <v>121332414.36671397</v>
      </c>
      <c r="I158" s="23">
        <v>155</v>
      </c>
      <c r="J158" s="24">
        <f>'[1]资源-钻石'!T158</f>
        <v>833129.02857924253</v>
      </c>
      <c r="K158" s="24">
        <f>'[1]资源-钻石'!U158</f>
        <v>1179361.9314371669</v>
      </c>
      <c r="L158" s="24">
        <f>'[1]资源-钻石'!V158</f>
        <v>1994036.1245808837</v>
      </c>
      <c r="M158" s="24">
        <f>'[1]资源-钻石'!W158</f>
        <v>5326569.7370389719</v>
      </c>
      <c r="N158" s="24">
        <f>'[1]资源-钻石'!X158</f>
        <v>12722534.210742868</v>
      </c>
      <c r="P158" s="28">
        <v>155</v>
      </c>
      <c r="Q158" s="28">
        <f>'[1]功能-行军令'!N158</f>
        <v>2131637.700544714</v>
      </c>
      <c r="R158" s="28">
        <f>'[1]功能-行军令'!O158</f>
        <v>2953263.5502346703</v>
      </c>
      <c r="S158" s="28">
        <f>'[1]功能-行军令'!P158</f>
        <v>4040667.5492225429</v>
      </c>
      <c r="T158" s="28">
        <f>'[1]功能-行军令'!Q158</f>
        <v>4573502.8304387024</v>
      </c>
      <c r="U158" s="28">
        <f>'[1]功能-行军令'!R158</f>
        <v>4587821.8749923613</v>
      </c>
      <c r="V158" s="28">
        <f>'[1]功能-行军令'!S158</f>
        <v>142752.48041522969</v>
      </c>
      <c r="W158" s="28">
        <f>'[1]功能-行军令'!T158</f>
        <v>476452.90164515888</v>
      </c>
      <c r="X158" s="28">
        <f>'[1]功能-行军令'!U158</f>
        <v>952058.51226711413</v>
      </c>
      <c r="Y158" s="28">
        <f>'[1]功能-行军令'!V158</f>
        <v>1055337.8225705251</v>
      </c>
      <c r="Z158" s="28">
        <f>'[1]功能-行军令'!W158</f>
        <v>1069656.867124184</v>
      </c>
      <c r="AC158" s="30">
        <v>155</v>
      </c>
      <c r="AD158" s="41">
        <f>'[1]功能-实力'!BE159</f>
        <v>49284024</v>
      </c>
      <c r="AE158" s="41">
        <f>'[1]功能-实力'!BF159</f>
        <v>50446824</v>
      </c>
      <c r="AF158" s="41">
        <f>'[1]功能-实力'!BG159</f>
        <v>51879804</v>
      </c>
      <c r="AG158" s="41">
        <f>'[1]功能-实力'!BH159</f>
        <v>53293356</v>
      </c>
      <c r="AH158" s="41">
        <f>'[1]功能-实力'!BI159</f>
        <v>53294478</v>
      </c>
      <c r="AL158" s="37">
        <f>[3]基础状态预期!C168</f>
        <v>170</v>
      </c>
      <c r="AM158" s="37">
        <f>[3]基础状态预期!D168</f>
        <v>83.738783536778797</v>
      </c>
      <c r="AO158" s="37">
        <f>[3]基础状态预期!F168</f>
        <v>0</v>
      </c>
      <c r="AP158" s="37">
        <f>[3]基础状态预期!G168</f>
        <v>0</v>
      </c>
      <c r="AQ158" s="37">
        <f>[3]基础状态预期!H168</f>
        <v>0</v>
      </c>
      <c r="AR158" s="37">
        <f>[3]基础状态预期!I168</f>
        <v>0</v>
      </c>
      <c r="AS158" s="37">
        <f>[3]基础状态预期!J168</f>
        <v>6</v>
      </c>
      <c r="AW158" s="32">
        <v>152</v>
      </c>
      <c r="AX158" s="32">
        <f>[1]节奏总纲!BJ155</f>
        <v>3.4999999999999978</v>
      </c>
      <c r="AY158" s="32">
        <f>[1]节奏总纲!BK155</f>
        <v>3.5699999999999976</v>
      </c>
      <c r="AZ158" s="32">
        <f>[1]节奏总纲!BL155</f>
        <v>3.7099999999999977</v>
      </c>
      <c r="BA158" s="32">
        <f>[1]节奏总纲!BM155</f>
        <v>3.9899999999999971</v>
      </c>
      <c r="BB158" s="32">
        <f>[1]节奏总纲!BN155</f>
        <v>4.8999999999999968</v>
      </c>
      <c r="BF158" s="42">
        <f>'[1]功能-行军令'!FZ156</f>
        <v>152</v>
      </c>
      <c r="BG158" s="42">
        <f>'[1]功能-行军令'!GA156*'[1]功能-行军令'!GB156</f>
        <v>1532.6044255323814</v>
      </c>
      <c r="BN158" s="49">
        <v>153</v>
      </c>
      <c r="BO158" s="17">
        <f>'[1]资源-木石铜粮'!U158</f>
        <v>12417090497616.061</v>
      </c>
      <c r="BP158" s="17">
        <f>'[1]资源-木石铜粮'!V158</f>
        <v>14683559966759.893</v>
      </c>
      <c r="BQ158" s="17">
        <f>'[1]资源-木石铜粮'!W158</f>
        <v>15802471768064.648</v>
      </c>
      <c r="BR158" s="17">
        <f>'[1]资源-木石铜粮'!X158</f>
        <v>16717062575474.486</v>
      </c>
      <c r="BS158" s="17">
        <f>'[1]资源-木石铜粮'!Y158</f>
        <v>18497146067164.063</v>
      </c>
      <c r="BV158" s="49">
        <v>153</v>
      </c>
      <c r="BW158" s="47">
        <f>'[1]功能-城建'!EQ156+[1]养成buff汇总!H158+'[1]功能-采集'!BS157+[2]产出汇总!AY158+[1]养成buff汇总!GY158</f>
        <v>6132059319565.5928</v>
      </c>
      <c r="BX158" s="47">
        <f>'[1]功能-城建'!ER156+[1]养成buff汇总!I158+'[1]功能-采集'!BT157+[2]产出汇总!AZ158+[1]养成buff汇总!GZ158</f>
        <v>3951288004379.2524</v>
      </c>
      <c r="BY158" s="47">
        <f>'[1]功能-城建'!ES156+[1]养成buff汇总!J158+'[1]功能-采集'!BU157+[2]产出汇总!BA158+[1]养成buff汇总!HA158</f>
        <v>4541170779938.8252</v>
      </c>
      <c r="BZ158" s="47">
        <f>'[1]功能-城建'!ET156+[1]养成buff汇总!K158+'[1]功能-采集'!BV157+[2]产出汇总!BB158+[1]养成buff汇总!HB158</f>
        <v>2971876070120.7324</v>
      </c>
      <c r="CA158" s="47">
        <f>'[1]功能-城建'!EU156+[1]养成buff汇总!L158+'[1]功能-采集'!BW157+[2]产出汇总!BC158+[1]养成buff汇总!HC158</f>
        <v>4368958196896.7241</v>
      </c>
      <c r="CD158" s="49">
        <v>153</v>
      </c>
      <c r="CE158" s="44">
        <f>'[1]资源-铁'!T158</f>
        <v>797603560127.8363</v>
      </c>
      <c r="CF158" s="44">
        <f>'[1]资源-铁'!U158</f>
        <v>965419937555.17798</v>
      </c>
      <c r="CG158" s="44">
        <f>'[1]资源-铁'!V158</f>
        <v>1172891899044.0659</v>
      </c>
      <c r="CH158" s="44">
        <f>'[1]资源-铁'!W158</f>
        <v>1378885103913.7681</v>
      </c>
      <c r="CI158" s="44">
        <f>'[1]资源-铁'!X158</f>
        <v>1704831210034.04</v>
      </c>
      <c r="CL158" s="49">
        <v>153</v>
      </c>
      <c r="CM158" s="44">
        <f>'[1]功能-城建'!HF156+[1]养成buff汇总!S158+'[1]功能-采集'!BX157</f>
        <v>2008602112587.5391</v>
      </c>
      <c r="CN158" s="44">
        <f>'[1]功能-城建'!HG156+[1]养成buff汇总!T158+'[1]功能-采集'!BY157</f>
        <v>1342628742195.5813</v>
      </c>
      <c r="CO158" s="44">
        <f>'[1]功能-城建'!HH156+[1]养成buff汇总!U158+'[1]功能-采集'!BZ157</f>
        <v>1559762823049.271</v>
      </c>
      <c r="CP158" s="44">
        <f>'[1]功能-城建'!HI156+[1]养成buff汇总!V158+'[1]功能-采集'!CA157</f>
        <v>948278171299.37549</v>
      </c>
      <c r="CQ158" s="44">
        <f>'[1]功能-城建'!HJ156+[1]养成buff汇总!W158+'[1]功能-采集'!CB157</f>
        <v>1341699243399.0166</v>
      </c>
      <c r="CT158" s="49">
        <v>153</v>
      </c>
      <c r="CU158" s="17">
        <f>'[1]资源-玩家城池建筑时间'!AJ158+CU157</f>
        <v>25856890854.560425</v>
      </c>
      <c r="CV158" s="17">
        <f>'[1]资源-玩家城池建筑时间'!AK158+CV157</f>
        <v>27560050880.40358</v>
      </c>
      <c r="CW158" s="17">
        <f>'[1]资源-玩家城池建筑时间'!AL158+CW157</f>
        <v>29555022692.568062</v>
      </c>
      <c r="CX158" s="17">
        <f>'[1]资源-玩家城池建筑时间'!AM158+CX157</f>
        <v>30610076079.818775</v>
      </c>
      <c r="CY158" s="17">
        <f>'[1]资源-玩家城池建筑时间'!AN158+CY157</f>
        <v>30610076079.818775</v>
      </c>
      <c r="DB158" s="49">
        <v>153</v>
      </c>
      <c r="DC158" s="17">
        <f>'[1]资源-士兵训练时间'!U158</f>
        <v>4990291737.0986557</v>
      </c>
      <c r="DD158" s="17">
        <f>'[1]资源-士兵训练时间'!V158</f>
        <v>6653722316.1315403</v>
      </c>
      <c r="DE158" s="17">
        <f>'[1]资源-士兵训练时间'!W158</f>
        <v>8317152895.1644249</v>
      </c>
      <c r="DF158" s="17">
        <f>'[1]资源-士兵训练时间'!X158</f>
        <v>9980583474.1973114</v>
      </c>
      <c r="DG158" s="17">
        <f>'[1]资源-士兵训练时间'!Y158</f>
        <v>13307444632.263081</v>
      </c>
    </row>
    <row r="159" spans="2:111" x14ac:dyDescent="0.15">
      <c r="B159" s="34">
        <v>156</v>
      </c>
      <c r="C159" s="35">
        <f>'[1]资源-钻石'!L159</f>
        <v>10254166.154852146</v>
      </c>
      <c r="D159" s="35">
        <f>'[1]资源-钻石'!M159</f>
        <v>15090923.975440145</v>
      </c>
      <c r="E159" s="35">
        <f>'[1]资源-钻石'!N159</f>
        <v>22390487.038039632</v>
      </c>
      <c r="F159" s="35">
        <f>'[1]资源-钻石'!O159</f>
        <v>58989732.075402841</v>
      </c>
      <c r="G159" s="35">
        <f>'[1]资源-钻石'!P159</f>
        <v>123139532.39328286</v>
      </c>
      <c r="I159" s="23">
        <v>156</v>
      </c>
      <c r="J159" s="24">
        <f>'[1]资源-钻石'!T159</f>
        <v>837457.75462762336</v>
      </c>
      <c r="K159" s="24">
        <f>'[1]资源-钻石'!U159</f>
        <v>1185803.5300903858</v>
      </c>
      <c r="L159" s="24">
        <f>'[1]资源-钻石'!V159</f>
        <v>2005573.8830994244</v>
      </c>
      <c r="M159" s="24">
        <f>'[1]资源-钻石'!W159</f>
        <v>5359281.2714093672</v>
      </c>
      <c r="N159" s="24">
        <f>'[1]资源-钻石'!X159</f>
        <v>12802371.898550302</v>
      </c>
      <c r="P159" s="28">
        <v>156</v>
      </c>
      <c r="Q159" s="28">
        <f>'[1]功能-行军令'!N159</f>
        <v>2284636.0207649847</v>
      </c>
      <c r="R159" s="28">
        <f>'[1]功能-行军令'!O159</f>
        <v>3327622.0302446513</v>
      </c>
      <c r="S159" s="28">
        <f>'[1]功能-行军令'!P159</f>
        <v>4564802.1014893418</v>
      </c>
      <c r="T159" s="28">
        <f>'[1]功能-行军令'!Q159</f>
        <v>5166754.0269604633</v>
      </c>
      <c r="U159" s="28">
        <f>'[1]功能-行军令'!R159</f>
        <v>5182100.82109995</v>
      </c>
      <c r="V159" s="28">
        <f>'[1]功能-行军令'!S159</f>
        <v>152998.32022027066</v>
      </c>
      <c r="W159" s="28">
        <f>'[1]功能-行军令'!T159</f>
        <v>374358.48000998097</v>
      </c>
      <c r="X159" s="28">
        <f>'[1]功能-行军令'!U159</f>
        <v>524134.55226679891</v>
      </c>
      <c r="Y159" s="28">
        <f>'[1]功能-行军令'!V159</f>
        <v>593251.1965217609</v>
      </c>
      <c r="Z159" s="28">
        <f>'[1]功能-行军令'!W159</f>
        <v>594278.94610758871</v>
      </c>
      <c r="AC159" s="30">
        <v>156</v>
      </c>
      <c r="AD159" s="41">
        <f>'[1]功能-实力'!BE160</f>
        <v>49876572</v>
      </c>
      <c r="AE159" s="41">
        <f>'[1]功能-实力'!BF160</f>
        <v>51015552</v>
      </c>
      <c r="AF159" s="41">
        <f>'[1]功能-实力'!BG160</f>
        <v>52098828</v>
      </c>
      <c r="AG159" s="41">
        <f>'[1]功能-实力'!BH160</f>
        <v>53482830</v>
      </c>
      <c r="AH159" s="41">
        <f>'[1]功能-实力'!BI160</f>
        <v>53504256</v>
      </c>
      <c r="AL159" s="37">
        <f>[3]基础状态预期!C169</f>
        <v>200</v>
      </c>
      <c r="AM159" s="37">
        <f>[3]基础状态预期!D169</f>
        <v>86.045919706798657</v>
      </c>
      <c r="AO159" s="37">
        <f>[3]基础状态预期!F169</f>
        <v>0</v>
      </c>
      <c r="AP159" s="37">
        <f>[3]基础状态预期!G169</f>
        <v>0</v>
      </c>
      <c r="AQ159" s="37">
        <f>[3]基础状态预期!H169</f>
        <v>0</v>
      </c>
      <c r="AR159" s="37">
        <f>[3]基础状态预期!I169</f>
        <v>0</v>
      </c>
      <c r="AS159" s="37">
        <f>[3]基础状态预期!J169</f>
        <v>6</v>
      </c>
      <c r="AW159" s="32">
        <v>153</v>
      </c>
      <c r="AX159" s="32">
        <f>[1]节奏总纲!BJ156</f>
        <v>3.4999999999999978</v>
      </c>
      <c r="AY159" s="32">
        <f>[1]节奏总纲!BK156</f>
        <v>3.5699999999999976</v>
      </c>
      <c r="AZ159" s="32">
        <f>[1]节奏总纲!BL156</f>
        <v>3.7099999999999977</v>
      </c>
      <c r="BA159" s="32">
        <f>[1]节奏总纲!BM156</f>
        <v>3.9899999999999971</v>
      </c>
      <c r="BB159" s="32">
        <f>[1]节奏总纲!BN156</f>
        <v>4.8999999999999968</v>
      </c>
      <c r="BF159" s="42">
        <f>'[1]功能-行军令'!FZ157</f>
        <v>153</v>
      </c>
      <c r="BG159" s="42">
        <f>'[1]功能-行军令'!GA157*'[1]功能-行军令'!GB157</f>
        <v>1563.256514043029</v>
      </c>
      <c r="BN159" s="49">
        <v>154</v>
      </c>
      <c r="BO159" s="17">
        <f>'[1]资源-木石铜粮'!U159</f>
        <v>13639513272618.336</v>
      </c>
      <c r="BP159" s="17">
        <f>'[1]资源-木石铜粮'!V159</f>
        <v>16224882808666.359</v>
      </c>
      <c r="BQ159" s="17">
        <f>'[1]资源-木石铜粮'!W159</f>
        <v>20193515879962.266</v>
      </c>
      <c r="BR159" s="17">
        <f>'[1]资源-木石铜粮'!X159</f>
        <v>24191391013339.191</v>
      </c>
      <c r="BS159" s="17">
        <f>'[1]资源-木石铜粮'!Y159</f>
        <v>25757146055623.313</v>
      </c>
      <c r="BV159" s="49">
        <v>154</v>
      </c>
      <c r="BW159" s="47">
        <f>'[1]功能-城建'!EQ157+[1]养成buff汇总!H159+'[1]功能-采集'!BS158+[2]产出汇总!AY159+[1]养成buff汇总!GY159</f>
        <v>6611739238359.002</v>
      </c>
      <c r="BX159" s="47">
        <f>'[1]功能-城建'!ER157+[1]养成buff汇总!I159+'[1]功能-采集'!BT158+[2]产出汇总!AZ159+[1]养成buff汇总!GZ159</f>
        <v>4284883362585.8315</v>
      </c>
      <c r="BY159" s="47">
        <f>'[1]功能-城建'!ES157+[1]养成buff汇总!J159+'[1]功能-采集'!BU158+[2]产出汇总!BA159+[1]养成buff汇总!HA159</f>
        <v>5385547855504.9648</v>
      </c>
      <c r="BZ159" s="47">
        <f>'[1]功能-城建'!ET157+[1]养成buff汇总!K159+'[1]功能-采集'!BV158+[2]产出汇总!BB159+[1]养成buff汇总!HB159</f>
        <v>3942371190059.0176</v>
      </c>
      <c r="CA159" s="47">
        <f>'[1]功能-城建'!EU157+[1]养成buff汇总!L159+'[1]功能-采集'!BW158+[2]产出汇总!BC159+[1]养成buff汇总!HC159</f>
        <v>5947291928684.2744</v>
      </c>
      <c r="CD159" s="49">
        <v>154</v>
      </c>
      <c r="CE159" s="44">
        <f>'[1]资源-铁'!T159</f>
        <v>835763062201.28711</v>
      </c>
      <c r="CF159" s="44">
        <f>'[1]资源-铁'!U159</f>
        <v>1009818616244.2769</v>
      </c>
      <c r="CG159" s="44">
        <f>'[1]资源-铁'!V159</f>
        <v>1187265851885.564</v>
      </c>
      <c r="CH159" s="44">
        <f>'[1]资源-铁'!W159</f>
        <v>1378885103913.7681</v>
      </c>
      <c r="CI159" s="44">
        <f>'[1]资源-铁'!X159</f>
        <v>1704831210034.04</v>
      </c>
      <c r="CL159" s="49">
        <v>154</v>
      </c>
      <c r="CM159" s="44">
        <f>'[1]功能-城建'!HF157+[1]养成buff汇总!S159+'[1]功能-采集'!BX158</f>
        <v>2168804230535.436</v>
      </c>
      <c r="CN159" s="44">
        <f>'[1]功能-城建'!HG157+[1]养成buff汇总!T159+'[1]功能-采集'!BY158</f>
        <v>1457872591037.2551</v>
      </c>
      <c r="CO159" s="44">
        <f>'[1]功能-城建'!HH157+[1]养成buff汇总!U159+'[1]功能-采集'!BZ158</f>
        <v>1779569851358.9775</v>
      </c>
      <c r="CP159" s="44">
        <f>'[1]功能-城建'!HI157+[1]养成buff汇总!V159+'[1]功能-采集'!CA158</f>
        <v>1190753306964.7935</v>
      </c>
      <c r="CQ159" s="44">
        <f>'[1]功能-城建'!HJ157+[1]养成buff汇总!W159+'[1]功能-采集'!CB158</f>
        <v>1775244782284.9136</v>
      </c>
      <c r="CT159" s="49">
        <v>154</v>
      </c>
      <c r="CU159" s="17">
        <f>'[1]资源-玩家城池建筑时间'!AJ159+CU158</f>
        <v>27774711854.381157</v>
      </c>
      <c r="CV159" s="17">
        <f>'[1]资源-玩家城池建筑时间'!AK159+CV158</f>
        <v>29745642750.288166</v>
      </c>
      <c r="CW159" s="17">
        <f>'[1]资源-玩家城池建筑时间'!AL159+CW158</f>
        <v>30610076079.818775</v>
      </c>
      <c r="CX159" s="17">
        <f>'[1]资源-玩家城池建筑时间'!AM159+CX158</f>
        <v>30610076079.818775</v>
      </c>
      <c r="CY159" s="17">
        <f>'[1]资源-玩家城池建筑时间'!AN159+CY158</f>
        <v>30610076079.818775</v>
      </c>
      <c r="DB159" s="49">
        <v>154</v>
      </c>
      <c r="DC159" s="17">
        <f>'[1]资源-士兵训练时间'!U159</f>
        <v>4990291737.0986557</v>
      </c>
      <c r="DD159" s="17">
        <f>'[1]资源-士兵训练时间'!V159</f>
        <v>6653722316.1315403</v>
      </c>
      <c r="DE159" s="17">
        <f>'[1]资源-士兵训练时间'!W159</f>
        <v>8317152895.1644249</v>
      </c>
      <c r="DF159" s="17">
        <f>'[1]资源-士兵训练时间'!X159</f>
        <v>9980583474.1973114</v>
      </c>
      <c r="DG159" s="17">
        <f>'[1]资源-士兵训练时间'!Y159</f>
        <v>13307444632.263081</v>
      </c>
    </row>
    <row r="160" spans="2:111" x14ac:dyDescent="0.15">
      <c r="B160" s="34">
        <v>157</v>
      </c>
      <c r="C160" s="35">
        <f>'[1]资源-钻石'!L160</f>
        <v>10372152.496161046</v>
      </c>
      <c r="D160" s="35">
        <f>'[1]资源-钻石'!M160</f>
        <v>15271041.698646402</v>
      </c>
      <c r="E160" s="35">
        <f>'[1]资源-钻石'!N160</f>
        <v>22661882.893475015</v>
      </c>
      <c r="F160" s="35">
        <f>'[1]资源-钻石'!O160</f>
        <v>59758599.884276159</v>
      </c>
      <c r="G160" s="35">
        <f>'[1]资源-钻石'!P160</f>
        <v>124946650.41985175</v>
      </c>
      <c r="I160" s="25">
        <v>157</v>
      </c>
      <c r="J160" s="24">
        <f>'[1]资源-钻石'!T160</f>
        <v>841786.4806760042</v>
      </c>
      <c r="K160" s="24">
        <f>'[1]资源-钻石'!U160</f>
        <v>1192245.1287436048</v>
      </c>
      <c r="L160" s="24">
        <f>'[1]资源-钻石'!V160</f>
        <v>2017111.6416179652</v>
      </c>
      <c r="M160" s="24">
        <f>'[1]资源-钻石'!W160</f>
        <v>5391992.8057797616</v>
      </c>
      <c r="N160" s="24">
        <f>'[1]资源-钻石'!X160</f>
        <v>12882209.586357737</v>
      </c>
      <c r="P160" s="28">
        <v>157</v>
      </c>
      <c r="Q160" s="28">
        <f>'[1]功能-行军令'!N160</f>
        <v>2448615.5601897002</v>
      </c>
      <c r="R160" s="28">
        <f>'[1]功能-行军令'!O160</f>
        <v>3566461.794189346</v>
      </c>
      <c r="S160" s="28">
        <f>'[1]功能-行军令'!P160</f>
        <v>4892440.3508051168</v>
      </c>
      <c r="T160" s="28">
        <f>'[1]功能-行军令'!Q160</f>
        <v>5537597.3201420549</v>
      </c>
      <c r="U160" s="28">
        <f>'[1]功能-行军令'!R160</f>
        <v>5537597.3201420549</v>
      </c>
      <c r="V160" s="28">
        <f>'[1]功能-行军令'!S160</f>
        <v>163979.53942471556</v>
      </c>
      <c r="W160" s="28">
        <f>'[1]功能-行军令'!T160</f>
        <v>238839.76394469477</v>
      </c>
      <c r="X160" s="28">
        <f>'[1]功能-行军令'!U160</f>
        <v>327638.249315775</v>
      </c>
      <c r="Y160" s="28">
        <f>'[1]功能-行军令'!V160</f>
        <v>370843.29318159167</v>
      </c>
      <c r="Z160" s="28">
        <f>'[1]功能-行军令'!W160</f>
        <v>355496.49904210493</v>
      </c>
      <c r="AC160" s="30">
        <v>157</v>
      </c>
      <c r="AD160" s="41">
        <f>'[1]功能-实力'!BE161</f>
        <v>50307696</v>
      </c>
      <c r="AE160" s="41">
        <f>'[1]功能-实力'!BF161</f>
        <v>51457194</v>
      </c>
      <c r="AF160" s="41">
        <f>'[1]功能-实力'!BG161</f>
        <v>52271442</v>
      </c>
      <c r="AG160" s="41">
        <f>'[1]功能-实力'!BH161</f>
        <v>53672478</v>
      </c>
      <c r="AH160" s="41">
        <f>'[1]功能-实力'!BI161</f>
        <v>53714244</v>
      </c>
      <c r="AL160" s="37">
        <f>[3]基础状态预期!C170</f>
        <v>260</v>
      </c>
      <c r="AM160" s="37">
        <f>[3]基础状态预期!D170</f>
        <v>90.288435080379244</v>
      </c>
      <c r="AO160" s="37">
        <f>[3]基础状态预期!F170</f>
        <v>0</v>
      </c>
      <c r="AP160" s="37">
        <f>[3]基础状态预期!G170</f>
        <v>0</v>
      </c>
      <c r="AQ160" s="37">
        <f>[3]基础状态预期!H170</f>
        <v>0</v>
      </c>
      <c r="AR160" s="37">
        <f>[3]基础状态预期!I170</f>
        <v>0</v>
      </c>
      <c r="AS160" s="37">
        <f>[3]基础状态预期!J170</f>
        <v>6</v>
      </c>
      <c r="AW160" s="32">
        <v>154</v>
      </c>
      <c r="AX160" s="32">
        <f>[1]节奏总纲!BJ157</f>
        <v>3.4999999999999978</v>
      </c>
      <c r="AY160" s="32">
        <f>[1]节奏总纲!BK157</f>
        <v>3.5699999999999976</v>
      </c>
      <c r="AZ160" s="32">
        <f>[1]节奏总纲!BL157</f>
        <v>3.7099999999999977</v>
      </c>
      <c r="BA160" s="32">
        <f>[1]节奏总纲!BM157</f>
        <v>3.9899999999999971</v>
      </c>
      <c r="BB160" s="32">
        <f>[1]节奏总纲!BN157</f>
        <v>4.8999999999999968</v>
      </c>
      <c r="BF160" s="42">
        <f>'[1]功能-行军令'!FZ158</f>
        <v>154</v>
      </c>
      <c r="BG160" s="42">
        <f>'[1]功能-行军令'!GA158*'[1]功能-行军令'!GB158</f>
        <v>1594.5216443238896</v>
      </c>
      <c r="BN160" s="49">
        <v>155</v>
      </c>
      <c r="BO160" s="17">
        <f>'[1]资源-木石铜粮'!U160</f>
        <v>14975315824833.754</v>
      </c>
      <c r="BP160" s="17">
        <f>'[1]资源-木石铜粮'!V160</f>
        <v>19992555721483.938</v>
      </c>
      <c r="BQ160" s="17">
        <f>'[1]资源-木石铜粮'!W160</f>
        <v>27384111340018.863</v>
      </c>
      <c r="BR160" s="17">
        <f>'[1]资源-木石铜粮'!X160</f>
        <v>31915878169306.727</v>
      </c>
      <c r="BS160" s="17">
        <f>'[1]资源-木石铜粮'!Y160</f>
        <v>33339608238167.551</v>
      </c>
      <c r="BV160" s="49">
        <v>155</v>
      </c>
      <c r="BW160" s="47">
        <f>'[1]功能-城建'!EQ158+[1]养成buff汇总!H160+'[1]功能-采集'!BS159+[2]产出汇总!AY160+[1]养成buff汇总!GY160</f>
        <v>7127019709180.5586</v>
      </c>
      <c r="BX160" s="47">
        <f>'[1]功能-城建'!ER158+[1]养成buff汇总!I160+'[1]功能-采集'!BT159+[2]产出汇总!AZ160+[1]养成buff汇总!GZ160</f>
        <v>4952400260694.0801</v>
      </c>
      <c r="BY160" s="47">
        <f>'[1]功能-城建'!ES158+[1]养成buff汇总!J160+'[1]功能-采集'!BU159+[2]产出汇总!BA160+[1]养成buff汇总!HA160</f>
        <v>6617688291890.7266</v>
      </c>
      <c r="BZ160" s="47">
        <f>'[1]功能-城建'!ET158+[1]养成buff汇总!K160+'[1]功能-采集'!BV159+[2]产出汇总!BB160+[1]养成buff汇总!HB160</f>
        <v>4936143861675.499</v>
      </c>
      <c r="CA160" s="47">
        <f>'[1]功能-城建'!EU158+[1]养成buff汇总!L160+'[1]功能-采集'!BW159+[2]产出汇总!BC160+[1]养成buff汇总!HC160</f>
        <v>7589823519735.7383</v>
      </c>
      <c r="CD160" s="49">
        <v>155</v>
      </c>
      <c r="CE160" s="44">
        <f>'[1]资源-铁'!T160</f>
        <v>875098697192.07556</v>
      </c>
      <c r="CF160" s="44">
        <f>'[1]资源-铁'!U160</f>
        <v>1024292798825.428</v>
      </c>
      <c r="CG160" s="44">
        <f>'[1]资源-铁'!V160</f>
        <v>1187265851885.564</v>
      </c>
      <c r="CH160" s="44">
        <f>'[1]资源-铁'!W160</f>
        <v>1378885103913.7681</v>
      </c>
      <c r="CI160" s="44">
        <f>'[1]资源-铁'!X160</f>
        <v>1704831210034.04</v>
      </c>
      <c r="CL160" s="49">
        <v>155</v>
      </c>
      <c r="CM160" s="44">
        <f>'[1]功能-城建'!HF158+[1]养成buff汇总!S160+'[1]功能-采集'!BX159</f>
        <v>2340881176898.3457</v>
      </c>
      <c r="CN160" s="44">
        <f>'[1]功能-城建'!HG158+[1]养成buff汇总!T160+'[1]功能-采集'!BY159</f>
        <v>1631225904827.2085</v>
      </c>
      <c r="CO160" s="44">
        <f>'[1]功能-城建'!HH158+[1]养成buff汇总!U160+'[1]功能-采集'!BZ159</f>
        <v>2088222363279.3386</v>
      </c>
      <c r="CP160" s="44">
        <f>'[1]功能-城建'!HI158+[1]养成buff汇总!V160+'[1]功能-采集'!CA159</f>
        <v>1440385087684.6565</v>
      </c>
      <c r="CQ160" s="44">
        <f>'[1]功能-城建'!HJ158+[1]养成buff汇总!W160+'[1]功能-采集'!CB159</f>
        <v>2227642458980.8159</v>
      </c>
      <c r="CT160" s="49">
        <v>155</v>
      </c>
      <c r="CU160" s="17">
        <f>'[1]资源-玩家城池建筑时间'!AJ160+CU159</f>
        <v>29832367223.018768</v>
      </c>
      <c r="CV160" s="17">
        <f>'[1]资源-玩家城池建筑时间'!AK160+CV159</f>
        <v>30610076079.818775</v>
      </c>
      <c r="CW160" s="17">
        <f>'[1]资源-玩家城池建筑时间'!AL160+CW159</f>
        <v>30610076079.818775</v>
      </c>
      <c r="CX160" s="17">
        <f>'[1]资源-玩家城池建筑时间'!AM160+CX159</f>
        <v>30610076079.818775</v>
      </c>
      <c r="CY160" s="17">
        <f>'[1]资源-玩家城池建筑时间'!AN160+CY159</f>
        <v>30610076079.818775</v>
      </c>
      <c r="DB160" s="49">
        <v>155</v>
      </c>
      <c r="DC160" s="17">
        <f>'[1]资源-士兵训练时间'!U160</f>
        <v>4990291737.0986557</v>
      </c>
      <c r="DD160" s="17">
        <f>'[1]资源-士兵训练时间'!V160</f>
        <v>6653722316.1315403</v>
      </c>
      <c r="DE160" s="17">
        <f>'[1]资源-士兵训练时间'!W160</f>
        <v>8317152895.1644249</v>
      </c>
      <c r="DF160" s="17">
        <f>'[1]资源-士兵训练时间'!X160</f>
        <v>9980583474.1973114</v>
      </c>
      <c r="DG160" s="17">
        <f>'[1]资源-士兵训练时间'!Y160</f>
        <v>13307444632.263081</v>
      </c>
    </row>
    <row r="161" spans="2:111" x14ac:dyDescent="0.15">
      <c r="B161" s="34">
        <v>158</v>
      </c>
      <c r="C161" s="35">
        <f>'[1]资源-钻石'!L161</f>
        <v>10490138.837469945</v>
      </c>
      <c r="D161" s="35">
        <f>'[1]资源-钻石'!M161</f>
        <v>15451159.421852659</v>
      </c>
      <c r="E161" s="35">
        <f>'[1]资源-钻石'!N161</f>
        <v>22933278.748910397</v>
      </c>
      <c r="F161" s="35">
        <f>'[1]资源-钻石'!O161</f>
        <v>60527467.693149477</v>
      </c>
      <c r="G161" s="35">
        <f>'[1]资源-钻石'!P161</f>
        <v>126753768.44642064</v>
      </c>
      <c r="I161" s="25">
        <v>158</v>
      </c>
      <c r="J161" s="24">
        <f>'[1]资源-钻石'!T161</f>
        <v>846115.20672438503</v>
      </c>
      <c r="K161" s="24">
        <f>'[1]资源-钻石'!U161</f>
        <v>1198686.7273968237</v>
      </c>
      <c r="L161" s="24">
        <f>'[1]资源-钻石'!V161</f>
        <v>2028649.4001365062</v>
      </c>
      <c r="M161" s="24">
        <f>'[1]资源-钻石'!W161</f>
        <v>5424704.340150157</v>
      </c>
      <c r="N161" s="24">
        <f>'[1]资源-钻石'!X161</f>
        <v>12962047.27416517</v>
      </c>
      <c r="P161" s="28">
        <v>158</v>
      </c>
      <c r="Q161" s="28">
        <f>'[1]功能-行军令'!N161</f>
        <v>2624364.4789440394</v>
      </c>
      <c r="R161" s="28">
        <f>'[1]功能-行军令'!O161</f>
        <v>3822443.9149837093</v>
      </c>
      <c r="S161" s="28">
        <f>'[1]功能-行军令'!P161</f>
        <v>5243594.3317336226</v>
      </c>
      <c r="T161" s="28">
        <f>'[1]功能-行军令'!Q161</f>
        <v>5935057.3205336612</v>
      </c>
      <c r="U161" s="28">
        <f>'[1]功能-行军令'!R161</f>
        <v>5935057.3205336612</v>
      </c>
      <c r="V161" s="28">
        <f>'[1]功能-行军令'!S161</f>
        <v>175748.91875433922</v>
      </c>
      <c r="W161" s="28">
        <f>'[1]功能-行军令'!T161</f>
        <v>255982.12079436332</v>
      </c>
      <c r="X161" s="28">
        <f>'[1]功能-行军令'!U161</f>
        <v>351153.98092850577</v>
      </c>
      <c r="Y161" s="28">
        <f>'[1]功能-行军令'!V161</f>
        <v>397460.00039160624</v>
      </c>
      <c r="Z161" s="28">
        <f>'[1]功能-行军令'!W161</f>
        <v>397460.00039160624</v>
      </c>
      <c r="AC161" s="30">
        <v>158</v>
      </c>
      <c r="AD161" s="41">
        <f>'[1]功能-实力'!BE162</f>
        <v>50550912</v>
      </c>
      <c r="AE161" s="41">
        <f>'[1]功能-实力'!BF162</f>
        <v>51734976</v>
      </c>
      <c r="AF161" s="41">
        <f>'[1]功能-实力'!BG162</f>
        <v>52444212</v>
      </c>
      <c r="AG161" s="41">
        <f>'[1]功能-实力'!BH162</f>
        <v>53862312</v>
      </c>
      <c r="AH161" s="41">
        <f>'[1]功能-实力'!BI162</f>
        <v>53924436</v>
      </c>
      <c r="AL161" s="37">
        <f>[3]基础状态预期!C171</f>
        <v>320</v>
      </c>
      <c r="AM161" s="37">
        <f>[3]基础状态预期!D171</f>
        <v>93.400072017025948</v>
      </c>
      <c r="AO161" s="37">
        <f>[3]基础状态预期!F171</f>
        <v>0</v>
      </c>
      <c r="AP161" s="37">
        <f>[3]基础状态预期!G171</f>
        <v>0</v>
      </c>
      <c r="AQ161" s="37">
        <f>[3]基础状态预期!H171</f>
        <v>0</v>
      </c>
      <c r="AR161" s="37">
        <f>[3]基础状态预期!I171</f>
        <v>0</v>
      </c>
      <c r="AS161" s="37">
        <f>[3]基础状态预期!J171</f>
        <v>6</v>
      </c>
      <c r="AW161" s="32">
        <v>155</v>
      </c>
      <c r="AX161" s="32">
        <f>[1]节奏总纲!BJ158</f>
        <v>3.4999999999999978</v>
      </c>
      <c r="AY161" s="32">
        <f>[1]节奏总纲!BK158</f>
        <v>3.5699999999999976</v>
      </c>
      <c r="AZ161" s="32">
        <f>[1]节奏总纲!BL158</f>
        <v>3.7099999999999977</v>
      </c>
      <c r="BA161" s="32">
        <f>[1]节奏总纲!BM158</f>
        <v>3.9899999999999971</v>
      </c>
      <c r="BB161" s="32">
        <f>[1]节奏总纲!BN158</f>
        <v>4.8999999999999968</v>
      </c>
      <c r="BF161" s="42">
        <f>'[1]功能-行军令'!FZ159</f>
        <v>155</v>
      </c>
      <c r="BG161" s="42">
        <f>'[1]功能-行军令'!GA159*'[1]功能-行军令'!GB159</f>
        <v>1626.4120772103677</v>
      </c>
      <c r="BN161" s="49">
        <v>156</v>
      </c>
      <c r="BO161" s="17">
        <f>'[1]资源-木石铜粮'!U161</f>
        <v>16315523183425.713</v>
      </c>
      <c r="BP161" s="17">
        <f>'[1]资源-木石铜粮'!V161</f>
        <v>22978513749956.754</v>
      </c>
      <c r="BQ161" s="17">
        <f>'[1]资源-木石铜粮'!W161</f>
        <v>31388687318069.422</v>
      </c>
      <c r="BR161" s="17">
        <f>'[1]资源-木石铜粮'!X161</f>
        <v>36289465218376.469</v>
      </c>
      <c r="BS161" s="17">
        <f>'[1]资源-木石铜粮'!Y161</f>
        <v>37585071556657.219</v>
      </c>
      <c r="BV161" s="49">
        <v>156</v>
      </c>
      <c r="BW161" s="47">
        <f>'[1]功能-城建'!EQ159+[1]养成buff汇总!H161+'[1]功能-采集'!BS160+[2]产出汇总!AY161+[1]养成buff汇总!GY161</f>
        <v>7560859526285.2725</v>
      </c>
      <c r="BX161" s="47">
        <f>'[1]功能-城建'!ER159+[1]养成buff汇总!I161+'[1]功能-采集'!BT160+[2]产出汇总!AZ161+[1]养成buff汇总!GZ161</f>
        <v>5446425506550.5283</v>
      </c>
      <c r="BY161" s="47">
        <f>'[1]功能-城建'!ES159+[1]养成buff汇总!J161+'[1]功能-采集'!BU160+[2]产出汇总!BA161+[1]养成buff汇总!HA161</f>
        <v>7309987649384.2578</v>
      </c>
      <c r="BZ161" s="47">
        <f>'[1]功能-城建'!ET159+[1]养成buff汇总!K161+'[1]功能-采集'!BV160+[2]产出汇总!BB161+[1]养成buff汇总!HB161</f>
        <v>5508118583745.9609</v>
      </c>
      <c r="CA161" s="47">
        <f>'[1]功能-城建'!EU159+[1]养成buff汇总!L161+'[1]功能-采集'!BW160+[2]产出汇总!BC161+[1]养成buff汇总!HC161</f>
        <v>8516936536722.7559</v>
      </c>
      <c r="CD161" s="49">
        <v>156</v>
      </c>
      <c r="CE161" s="44">
        <f>'[1]资源-铁'!T161</f>
        <v>889965944733.35999</v>
      </c>
      <c r="CF161" s="44">
        <f>'[1]资源-铁'!U161</f>
        <v>1024292798825.428</v>
      </c>
      <c r="CG161" s="44">
        <f>'[1]资源-铁'!V161</f>
        <v>1187265851885.564</v>
      </c>
      <c r="CH161" s="44">
        <f>'[1]资源-铁'!W161</f>
        <v>1378885103913.7681</v>
      </c>
      <c r="CI161" s="44">
        <f>'[1]资源-铁'!X161</f>
        <v>1704831210034.04</v>
      </c>
      <c r="CL161" s="49">
        <v>156</v>
      </c>
      <c r="CM161" s="44">
        <f>'[1]功能-城建'!HF159+[1]养成buff汇总!S161+'[1]功能-采集'!BX160</f>
        <v>2461056355138.1631</v>
      </c>
      <c r="CN161" s="44">
        <f>'[1]功能-城建'!HG159+[1]养成buff汇总!T161+'[1]功能-采集'!BY160</f>
        <v>1748874494198.0879</v>
      </c>
      <c r="CO161" s="44">
        <f>'[1]功能-城建'!HH159+[1]养成buff汇总!U161+'[1]功能-采集'!BZ160</f>
        <v>2258144110794.8027</v>
      </c>
      <c r="CP161" s="44">
        <f>'[1]功能-城建'!HI159+[1]养成buff汇总!V161+'[1]功能-采集'!CA160</f>
        <v>1580713946780.4082</v>
      </c>
      <c r="CQ161" s="44">
        <f>'[1]功能-城建'!HJ159+[1]养成buff汇总!W161+'[1]功能-采集'!CB160</f>
        <v>2478985130440.6621</v>
      </c>
      <c r="CT161" s="49">
        <v>156</v>
      </c>
      <c r="CU161" s="17">
        <f>'[1]资源-玩家城池建筑时间'!AJ161+CU160</f>
        <v>30610076079.818775</v>
      </c>
      <c r="CV161" s="17">
        <f>'[1]资源-玩家城池建筑时间'!AK161+CV160</f>
        <v>30610076079.818775</v>
      </c>
      <c r="CW161" s="17">
        <f>'[1]资源-玩家城池建筑时间'!AL161+CW160</f>
        <v>30610076079.818775</v>
      </c>
      <c r="CX161" s="17">
        <f>'[1]资源-玩家城池建筑时间'!AM161+CX160</f>
        <v>30610076079.818775</v>
      </c>
      <c r="CY161" s="17">
        <f>'[1]资源-玩家城池建筑时间'!AN161+CY160</f>
        <v>30610076079.818775</v>
      </c>
      <c r="DB161" s="49">
        <v>156</v>
      </c>
      <c r="DC161" s="17">
        <f>'[1]资源-士兵训练时间'!U161</f>
        <v>4990291737.0986557</v>
      </c>
      <c r="DD161" s="17">
        <f>'[1]资源-士兵训练时间'!V161</f>
        <v>6653722316.1315403</v>
      </c>
      <c r="DE161" s="17">
        <f>'[1]资源-士兵训练时间'!W161</f>
        <v>8317152895.1644249</v>
      </c>
      <c r="DF161" s="17">
        <f>'[1]资源-士兵训练时间'!X161</f>
        <v>9980583474.1973114</v>
      </c>
      <c r="DG161" s="17">
        <f>'[1]资源-士兵训练时间'!Y161</f>
        <v>13307444632.263081</v>
      </c>
    </row>
    <row r="162" spans="2:111" x14ac:dyDescent="0.15">
      <c r="B162" s="34">
        <v>159</v>
      </c>
      <c r="C162" s="35">
        <f>'[1]资源-钻石'!L162</f>
        <v>10608125.178778844</v>
      </c>
      <c r="D162" s="35">
        <f>'[1]资源-钻石'!M162</f>
        <v>15631277.145058917</v>
      </c>
      <c r="E162" s="35">
        <f>'[1]资源-钻石'!N162</f>
        <v>23204674.60434578</v>
      </c>
      <c r="F162" s="35">
        <f>'[1]资源-钻石'!O162</f>
        <v>61296335.502022795</v>
      </c>
      <c r="G162" s="35">
        <f>'[1]资源-钻石'!P162</f>
        <v>128560886.47298953</v>
      </c>
      <c r="I162" s="23">
        <v>159</v>
      </c>
      <c r="J162" s="24">
        <f>'[1]资源-钻石'!T162</f>
        <v>850443.93277276587</v>
      </c>
      <c r="K162" s="24">
        <f>'[1]资源-钻石'!U162</f>
        <v>1205128.3260500426</v>
      </c>
      <c r="L162" s="24">
        <f>'[1]资源-钻石'!V162</f>
        <v>2040187.158655047</v>
      </c>
      <c r="M162" s="24">
        <f>'[1]资源-钻石'!W162</f>
        <v>5457415.8745205514</v>
      </c>
      <c r="N162" s="24">
        <f>'[1]资源-钻石'!X162</f>
        <v>13041884.961972605</v>
      </c>
      <c r="P162" s="28">
        <v>159</v>
      </c>
      <c r="Q162" s="28">
        <f>'[1]功能-行军令'!N162</f>
        <v>2812727.5061343871</v>
      </c>
      <c r="R162" s="28">
        <f>'[1]功能-行军令'!O162</f>
        <v>4096798.758934868</v>
      </c>
      <c r="S162" s="28">
        <f>'[1]功能-行军令'!P162</f>
        <v>5619951.8497567717</v>
      </c>
      <c r="T162" s="28">
        <f>'[1]功能-行军令'!Q162</f>
        <v>6361044.4013730492</v>
      </c>
      <c r="U162" s="28">
        <f>'[1]功能-行军令'!R162</f>
        <v>6361044.4013730492</v>
      </c>
      <c r="V162" s="28">
        <f>'[1]功能-行军令'!S162</f>
        <v>188363.02719034767</v>
      </c>
      <c r="W162" s="28">
        <f>'[1]功能-行军令'!T162</f>
        <v>274354.84395115869</v>
      </c>
      <c r="X162" s="28">
        <f>'[1]功能-行军令'!U162</f>
        <v>376357.51802314911</v>
      </c>
      <c r="Y162" s="28">
        <f>'[1]功能-行军令'!V162</f>
        <v>425987.08083938807</v>
      </c>
      <c r="Z162" s="28">
        <f>'[1]功能-行军令'!W162</f>
        <v>425987.08083938807</v>
      </c>
      <c r="AC162" s="30">
        <v>159</v>
      </c>
      <c r="AD162" s="41">
        <f>'[1]功能-实力'!BE163</f>
        <v>50691114</v>
      </c>
      <c r="AE162" s="41">
        <f>'[1]功能-实力'!BF163</f>
        <v>51927468</v>
      </c>
      <c r="AF162" s="41">
        <f>'[1]功能-实力'!BG163</f>
        <v>52617138</v>
      </c>
      <c r="AG162" s="41">
        <f>'[1]功能-实力'!BH163</f>
        <v>54052326</v>
      </c>
      <c r="AH162" s="41">
        <f>'[1]功能-实力'!BI163</f>
        <v>54134826</v>
      </c>
      <c r="AL162" s="37">
        <f>[3]基础状态预期!C172</f>
        <v>410</v>
      </c>
      <c r="AM162" s="37">
        <f>[3]基础状态预期!D172</f>
        <v>97.006001686863456</v>
      </c>
      <c r="AO162" s="37">
        <f>[3]基础状态预期!F172</f>
        <v>0</v>
      </c>
      <c r="AP162" s="37">
        <f>[3]基础状态预期!G172</f>
        <v>0</v>
      </c>
      <c r="AQ162" s="37">
        <f>[3]基础状态预期!H172</f>
        <v>0</v>
      </c>
      <c r="AR162" s="37">
        <f>[3]基础状态预期!I172</f>
        <v>0</v>
      </c>
      <c r="AS162" s="37">
        <f>[3]基础状态预期!J172</f>
        <v>6</v>
      </c>
      <c r="AW162" s="32">
        <v>156</v>
      </c>
      <c r="AX162" s="32">
        <f>[1]节奏总纲!BJ159</f>
        <v>3.4999999999999978</v>
      </c>
      <c r="AY162" s="32">
        <f>[1]节奏总纲!BK159</f>
        <v>3.5699999999999976</v>
      </c>
      <c r="AZ162" s="32">
        <f>[1]节奏总纲!BL159</f>
        <v>3.7099999999999977</v>
      </c>
      <c r="BA162" s="32">
        <f>[1]节奏总纲!BM159</f>
        <v>3.9899999999999971</v>
      </c>
      <c r="BB162" s="32">
        <f>[1]节奏总纲!BN159</f>
        <v>4.8999999999999968</v>
      </c>
      <c r="BF162" s="42">
        <f>'[1]功能-行军令'!FZ160</f>
        <v>156</v>
      </c>
      <c r="BG162" s="42">
        <f>'[1]功能-行军令'!GA160*'[1]功能-行军令'!GB160</f>
        <v>1658.9403187545749</v>
      </c>
      <c r="BN162" s="49">
        <v>157</v>
      </c>
      <c r="BO162" s="17">
        <f>'[1]资源-木石铜粮'!U162</f>
        <v>17709429273069.367</v>
      </c>
      <c r="BP162" s="17">
        <f>'[1]资源-木石铜粮'!V162</f>
        <v>24908880306278.801</v>
      </c>
      <c r="BQ162" s="17">
        <f>'[1]资源-木石铜粮'!W162</f>
        <v>33913838412128.148</v>
      </c>
      <c r="BR162" s="17">
        <f>'[1]资源-木石铜粮'!X162</f>
        <v>39045286071526.727</v>
      </c>
      <c r="BS162" s="17">
        <f>'[1]资源-木石铜粮'!Y162</f>
        <v>40150849354911.336</v>
      </c>
      <c r="BV162" s="49">
        <v>157</v>
      </c>
      <c r="BW162" s="47">
        <f>'[1]功能-城建'!EQ160+[1]养成buff汇总!H162+'[1]功能-采集'!BS161+[2]产出汇总!AY162+[1]养成buff汇总!GY162</f>
        <v>7956925902391.1211</v>
      </c>
      <c r="BX162" s="47">
        <f>'[1]功能-城建'!ER160+[1]养成buff汇总!I162+'[1]功能-采集'!BT161+[2]产出汇总!AZ162+[1]养成buff汇总!GZ162</f>
        <v>5763316449231.1992</v>
      </c>
      <c r="BY162" s="47">
        <f>'[1]功能-城建'!ES160+[1]养成buff汇总!J162+'[1]功能-采集'!BU161+[2]产出汇总!BA162+[1]养成buff汇总!HA162</f>
        <v>7744448582776.9688</v>
      </c>
      <c r="BZ162" s="47">
        <f>'[1]功能-城建'!ET160+[1]养成buff汇总!K162+'[1]功能-采集'!BV161+[2]产出汇总!BB162+[1]养成buff汇总!HB162</f>
        <v>5867381737472.4844</v>
      </c>
      <c r="CA162" s="47">
        <f>'[1]功能-城建'!EU160+[1]养成buff汇总!L162+'[1]功能-采集'!BW161+[2]产出汇总!BC162+[1]养成buff汇总!HC162</f>
        <v>9073215099669.0645</v>
      </c>
      <c r="CD162" s="49">
        <v>157</v>
      </c>
      <c r="CE162" s="44">
        <f>'[1]资源-铁'!T162</f>
        <v>889965944733.35999</v>
      </c>
      <c r="CF162" s="44">
        <f>'[1]资源-铁'!U162</f>
        <v>1024292798825.428</v>
      </c>
      <c r="CG162" s="44">
        <f>'[1]资源-铁'!V162</f>
        <v>1187265851885.564</v>
      </c>
      <c r="CH162" s="44">
        <f>'[1]资源-铁'!W162</f>
        <v>1378885103913.7681</v>
      </c>
      <c r="CI162" s="44">
        <f>'[1]资源-铁'!X162</f>
        <v>1704831210034.04</v>
      </c>
      <c r="CL162" s="49">
        <v>157</v>
      </c>
      <c r="CM162" s="44">
        <f>'[1]功能-城建'!HF160+[1]养成buff汇总!S162+'[1]功能-采集'!BX161</f>
        <v>2552342975041.3574</v>
      </c>
      <c r="CN162" s="44">
        <f>'[1]功能-城建'!HG160+[1]养成buff汇总!T162+'[1]功能-采集'!BY161</f>
        <v>1823933996825.1367</v>
      </c>
      <c r="CO162" s="44">
        <f>'[1]功能-城建'!HH160+[1]养成buff汇总!U162+'[1]功能-采集'!BZ161</f>
        <v>2364362759490.7676</v>
      </c>
      <c r="CP162" s="44">
        <f>'[1]功能-城建'!HI160+[1]养成buff汇总!V162+'[1]功能-采集'!CA161</f>
        <v>1668433982644.803</v>
      </c>
      <c r="CQ162" s="44">
        <f>'[1]功能-城建'!HJ160+[1]养成buff汇总!W162+'[1]功能-采集'!CB161</f>
        <v>2629337823143.4746</v>
      </c>
      <c r="CT162" s="49">
        <v>157</v>
      </c>
      <c r="CU162" s="17">
        <f>'[1]资源-玩家城池建筑时间'!AJ162+CU161</f>
        <v>30610076079.818775</v>
      </c>
      <c r="CV162" s="17">
        <f>'[1]资源-玩家城池建筑时间'!AK162+CV161</f>
        <v>30610076079.818775</v>
      </c>
      <c r="CW162" s="17">
        <f>'[1]资源-玩家城池建筑时间'!AL162+CW161</f>
        <v>30610076079.818775</v>
      </c>
      <c r="CX162" s="17">
        <f>'[1]资源-玩家城池建筑时间'!AM162+CX161</f>
        <v>30610076079.818775</v>
      </c>
      <c r="CY162" s="17">
        <f>'[1]资源-玩家城池建筑时间'!AN162+CY161</f>
        <v>30610076079.818775</v>
      </c>
      <c r="DB162" s="49">
        <v>157</v>
      </c>
      <c r="DC162" s="17">
        <f>'[1]资源-士兵训练时间'!U162</f>
        <v>4990291737.0986557</v>
      </c>
      <c r="DD162" s="17">
        <f>'[1]资源-士兵训练时间'!V162</f>
        <v>6653722316.1315403</v>
      </c>
      <c r="DE162" s="17">
        <f>'[1]资源-士兵训练时间'!W162</f>
        <v>8317152895.1644249</v>
      </c>
      <c r="DF162" s="17">
        <f>'[1]资源-士兵训练时间'!X162</f>
        <v>9980583474.1973114</v>
      </c>
      <c r="DG162" s="17">
        <f>'[1]资源-士兵训练时间'!Y162</f>
        <v>13307444632.263081</v>
      </c>
    </row>
    <row r="163" spans="2:111" x14ac:dyDescent="0.15">
      <c r="B163" s="34">
        <v>160</v>
      </c>
      <c r="C163" s="35">
        <f>'[1]资源-钻石'!L163</f>
        <v>10726111.520087743</v>
      </c>
      <c r="D163" s="35">
        <f>'[1]资源-钻石'!M163</f>
        <v>15811394.868265174</v>
      </c>
      <c r="E163" s="35">
        <f>'[1]资源-钻石'!N163</f>
        <v>23476070.459781162</v>
      </c>
      <c r="F163" s="35">
        <f>'[1]资源-钻石'!O163</f>
        <v>62065203.310896114</v>
      </c>
      <c r="G163" s="35">
        <f>'[1]资源-钻石'!P163</f>
        <v>130368004.49955842</v>
      </c>
      <c r="I163" s="23">
        <v>160</v>
      </c>
      <c r="J163" s="24">
        <f>'[1]资源-钻石'!T163</f>
        <v>854772.6588211467</v>
      </c>
      <c r="K163" s="24">
        <f>'[1]资源-钻石'!U163</f>
        <v>1211569.9247032613</v>
      </c>
      <c r="L163" s="24">
        <f>'[1]资源-钻石'!V163</f>
        <v>2051724.9171735877</v>
      </c>
      <c r="M163" s="24">
        <f>'[1]资源-钻石'!W163</f>
        <v>5490127.4088909468</v>
      </c>
      <c r="N163" s="24">
        <f>'[1]资源-钻石'!X163</f>
        <v>13121722.649780041</v>
      </c>
      <c r="P163" s="28">
        <v>160</v>
      </c>
      <c r="Q163" s="28">
        <f>'[1]功能-行军令'!N163</f>
        <v>3014610</v>
      </c>
      <c r="R163" s="28">
        <f>'[1]功能-行军令'!O163</f>
        <v>4390845</v>
      </c>
      <c r="S163" s="28">
        <f>'[1]功能-行军令'!P163</f>
        <v>6023321.8500000006</v>
      </c>
      <c r="T163" s="28">
        <f>'[1]功能-行军令'!Q163</f>
        <v>6817606.0500000007</v>
      </c>
      <c r="U163" s="28">
        <f>'[1]功能-行军令'!R163</f>
        <v>6817606.0500000007</v>
      </c>
      <c r="V163" s="28">
        <f>'[1]功能-行军令'!S163</f>
        <v>201882.49386561289</v>
      </c>
      <c r="W163" s="28">
        <f>'[1]功能-行军令'!T163</f>
        <v>294046.24106513197</v>
      </c>
      <c r="X163" s="28">
        <f>'[1]功能-行军令'!U163</f>
        <v>403370.00024322886</v>
      </c>
      <c r="Y163" s="28">
        <f>'[1]功能-行军令'!V163</f>
        <v>456561.6486269515</v>
      </c>
      <c r="Z163" s="28">
        <f>'[1]功能-行军令'!W163</f>
        <v>456561.6486269515</v>
      </c>
      <c r="AC163" s="30">
        <v>160</v>
      </c>
      <c r="AD163" s="41">
        <f>'[1]功能-实力'!BE164</f>
        <v>50831388</v>
      </c>
      <c r="AE163" s="41">
        <f>'[1]功能-实力'!BF164</f>
        <v>52120134</v>
      </c>
      <c r="AF163" s="41">
        <f>'[1]功能-实力'!BG164</f>
        <v>52790220</v>
      </c>
      <c r="AG163" s="41">
        <f>'[1]功能-实力'!BH164</f>
        <v>54242514</v>
      </c>
      <c r="AH163" s="41">
        <f>'[1]功能-实力'!BI164</f>
        <v>54345420</v>
      </c>
      <c r="AL163" s="37">
        <f>[3]基础状态预期!C173</f>
        <v>530</v>
      </c>
      <c r="AM163" s="37">
        <f>[3]基础状态预期!D173</f>
        <v>100.64473135315967</v>
      </c>
      <c r="AO163" s="37">
        <f>[3]基础状态预期!F173</f>
        <v>0</v>
      </c>
      <c r="AP163" s="37">
        <f>[3]基础状态预期!G173</f>
        <v>0</v>
      </c>
      <c r="AQ163" s="37">
        <f>[3]基础状态预期!H173</f>
        <v>0</v>
      </c>
      <c r="AR163" s="37">
        <f>[3]基础状态预期!I173</f>
        <v>0</v>
      </c>
      <c r="AS163" s="37">
        <f>[3]基础状态预期!J173</f>
        <v>6</v>
      </c>
      <c r="AW163" s="32">
        <v>157</v>
      </c>
      <c r="AX163" s="32">
        <f>[1]节奏总纲!BJ160</f>
        <v>3.4999999999999978</v>
      </c>
      <c r="AY163" s="32">
        <f>[1]节奏总纲!BK160</f>
        <v>3.5699999999999976</v>
      </c>
      <c r="AZ163" s="32">
        <f>[1]节奏总纲!BL160</f>
        <v>3.7099999999999977</v>
      </c>
      <c r="BA163" s="32">
        <f>[1]节奏总纲!BM160</f>
        <v>3.9899999999999971</v>
      </c>
      <c r="BB163" s="32">
        <f>[1]节奏总纲!BN160</f>
        <v>4.8999999999999968</v>
      </c>
      <c r="BF163" s="42">
        <f>'[1]功能-行军令'!FZ161</f>
        <v>157</v>
      </c>
      <c r="BG163" s="42">
        <f>'[1]功能-行军令'!GA161*'[1]功能-行军令'!GB161</f>
        <v>1692.1191251296664</v>
      </c>
      <c r="BN163" s="49">
        <v>158</v>
      </c>
      <c r="BO163" s="17">
        <f>'[1]资源-木石铜粮'!U163</f>
        <v>19213509574953.266</v>
      </c>
      <c r="BP163" s="17">
        <f>'[1]资源-木石铜粮'!V163</f>
        <v>26978135145628.891</v>
      </c>
      <c r="BQ163" s="17">
        <f>'[1]资源-木石铜粮'!W163</f>
        <v>36620567575258.539</v>
      </c>
      <c r="BR163" s="17">
        <f>'[1]资源-木石铜粮'!X163</f>
        <v>41999241015991.234</v>
      </c>
      <c r="BS163" s="17">
        <f>'[1]资源-木石铜粮'!Y163</f>
        <v>43014230161931.484</v>
      </c>
      <c r="BV163" s="49">
        <v>158</v>
      </c>
      <c r="BW163" s="47">
        <f>'[1]功能-城建'!EQ161+[1]养成buff汇总!H163+'[1]功能-采集'!BS162+[2]产出汇总!AY163+[1]养成buff汇总!GY163</f>
        <v>8381962491001.8174</v>
      </c>
      <c r="BX163" s="47">
        <f>'[1]功能-城建'!ER161+[1]养成buff汇总!I163+'[1]功能-采集'!BT162+[2]产出汇总!AZ163+[1]养成buff汇总!GZ163</f>
        <v>6103500395849.3291</v>
      </c>
      <c r="BY163" s="47">
        <f>'[1]功能-城建'!ES161+[1]养成buff汇总!J163+'[1]功能-采集'!BU162+[2]产出汇总!BA163+[1]养成buff汇总!HA163</f>
        <v>8210652066309.8682</v>
      </c>
      <c r="BZ163" s="47">
        <f>'[1]功能-城建'!ET161+[1]养成buff汇总!K163+'[1]功能-采集'!BV162+[2]产出汇总!BB163+[1]养成buff汇总!HB163</f>
        <v>6252996007292.9121</v>
      </c>
      <c r="CA163" s="47">
        <f>'[1]功能-城建'!EU161+[1]养成buff汇总!L163+'[1]功能-采集'!BW162+[2]产出汇总!BC163+[1]养成buff汇总!HC163</f>
        <v>9695735329652.8223</v>
      </c>
      <c r="CD163" s="49">
        <v>158</v>
      </c>
      <c r="CE163" s="44">
        <f>'[1]资源-铁'!T163</f>
        <v>889965944733.35999</v>
      </c>
      <c r="CF163" s="44">
        <f>'[1]资源-铁'!U163</f>
        <v>1024292798825.428</v>
      </c>
      <c r="CG163" s="44">
        <f>'[1]资源-铁'!V163</f>
        <v>1187265851885.564</v>
      </c>
      <c r="CH163" s="44">
        <f>'[1]资源-铁'!W163</f>
        <v>1378885103913.7681</v>
      </c>
      <c r="CI163" s="44">
        <f>'[1]资源-铁'!X163</f>
        <v>1704831210034.04</v>
      </c>
      <c r="CL163" s="49">
        <v>158</v>
      </c>
      <c r="CM163" s="44">
        <f>'[1]功能-城建'!HF161+[1]养成buff汇总!S163+'[1]功能-采集'!BX162</f>
        <v>2650181551738.2412</v>
      </c>
      <c r="CN163" s="44">
        <f>'[1]功能-城建'!HG161+[1]养成buff汇总!T163+'[1]功能-采集'!BY162</f>
        <v>1904380779851.9832</v>
      </c>
      <c r="CO163" s="44">
        <f>'[1]功能-城建'!HH161+[1]养成buff汇总!U163+'[1]功能-采集'!BZ162</f>
        <v>2478205088389.5703</v>
      </c>
      <c r="CP163" s="44">
        <f>'[1]功能-城建'!HI161+[1]养成buff汇总!V163+'[1]功能-采集'!CA162</f>
        <v>1762449989216.9956</v>
      </c>
      <c r="CQ163" s="44">
        <f>'[1]功能-城建'!HJ161+[1]养成buff汇总!W163+'[1]功能-采集'!CB162</f>
        <v>2797438441466.1909</v>
      </c>
      <c r="CT163" s="49">
        <v>158</v>
      </c>
      <c r="CU163" s="17">
        <f>'[1]资源-玩家城池建筑时间'!AJ163+CU162</f>
        <v>30610076079.818775</v>
      </c>
      <c r="CV163" s="17">
        <f>'[1]资源-玩家城池建筑时间'!AK163+CV162</f>
        <v>30610076079.818775</v>
      </c>
      <c r="CW163" s="17">
        <f>'[1]资源-玩家城池建筑时间'!AL163+CW162</f>
        <v>30610076079.818775</v>
      </c>
      <c r="CX163" s="17">
        <f>'[1]资源-玩家城池建筑时间'!AM163+CX162</f>
        <v>30610076079.818775</v>
      </c>
      <c r="CY163" s="17">
        <f>'[1]资源-玩家城池建筑时间'!AN163+CY162</f>
        <v>30610076079.818775</v>
      </c>
      <c r="DB163" s="49">
        <v>158</v>
      </c>
      <c r="DC163" s="17">
        <f>'[1]资源-士兵训练时间'!U163</f>
        <v>4990291737.0986557</v>
      </c>
      <c r="DD163" s="17">
        <f>'[1]资源-士兵训练时间'!V163</f>
        <v>6653722316.1315403</v>
      </c>
      <c r="DE163" s="17">
        <f>'[1]资源-士兵训练时间'!W163</f>
        <v>8317152895.1644249</v>
      </c>
      <c r="DF163" s="17">
        <f>'[1]资源-士兵训练时间'!X163</f>
        <v>9980583474.1973114</v>
      </c>
      <c r="DG163" s="17">
        <f>'[1]资源-士兵训练时间'!Y163</f>
        <v>13307444632.263081</v>
      </c>
    </row>
    <row r="164" spans="2:111" x14ac:dyDescent="0.15">
      <c r="I164" s="23">
        <v>161</v>
      </c>
      <c r="J164" s="24">
        <f>'[1]资源-钻石'!T164</f>
        <v>859101.38486952754</v>
      </c>
      <c r="K164" s="24">
        <f>'[1]资源-钻石'!U164</f>
        <v>1218011.5233564803</v>
      </c>
      <c r="L164" s="24">
        <f>'[1]资源-钻石'!V164</f>
        <v>2063262.6756921285</v>
      </c>
      <c r="M164" s="24">
        <f>'[1]资源-钻石'!W164</f>
        <v>5522838.9432613412</v>
      </c>
      <c r="N164" s="24">
        <f>'[1]资源-钻石'!X164</f>
        <v>13201560.337587474</v>
      </c>
      <c r="AL164" s="37">
        <f>[3]基础状态预期!C174</f>
        <v>680</v>
      </c>
      <c r="AM164" s="37">
        <f>[3]基础状态预期!D174</f>
        <v>104.30731379164318</v>
      </c>
      <c r="AO164" s="37">
        <f>[3]基础状态预期!F174</f>
        <v>0</v>
      </c>
      <c r="AP164" s="37">
        <f>[3]基础状态预期!G174</f>
        <v>0</v>
      </c>
      <c r="AQ164" s="37">
        <f>[3]基础状态预期!H174</f>
        <v>0</v>
      </c>
      <c r="AR164" s="37">
        <f>[3]基础状态预期!I174</f>
        <v>0</v>
      </c>
      <c r="AS164" s="37">
        <f>[3]基础状态预期!J174</f>
        <v>6</v>
      </c>
      <c r="AW164" s="32">
        <v>158</v>
      </c>
      <c r="AX164" s="32">
        <f>[1]节奏总纲!BJ161</f>
        <v>3.4999999999999978</v>
      </c>
      <c r="AY164" s="32">
        <f>[1]节奏总纲!BK161</f>
        <v>3.5699999999999976</v>
      </c>
      <c r="AZ164" s="32">
        <f>[1]节奏总纲!BL161</f>
        <v>3.7099999999999977</v>
      </c>
      <c r="BA164" s="32">
        <f>[1]节奏总纲!BM161</f>
        <v>3.9899999999999971</v>
      </c>
      <c r="BB164" s="32">
        <f>[1]节奏总纲!BN161</f>
        <v>4.8999999999999968</v>
      </c>
      <c r="BF164" s="42">
        <f>'[1]功能-行军令'!FZ162</f>
        <v>158</v>
      </c>
      <c r="BG164" s="42">
        <f>'[1]功能-行军令'!GA162*'[1]功能-行军令'!GB162</f>
        <v>1725.9615076322598</v>
      </c>
      <c r="BN164" s="49">
        <v>159</v>
      </c>
      <c r="BO164" s="17">
        <f>'[1]资源-木石铜粮'!U164</f>
        <v>20825908411169.316</v>
      </c>
      <c r="BP164" s="17">
        <f>'[1]资源-木石铜粮'!V164</f>
        <v>29196273075621.961</v>
      </c>
      <c r="BQ164" s="17">
        <f>'[1]资源-木石铜粮'!W164</f>
        <v>39521933608834.773</v>
      </c>
      <c r="BR164" s="17">
        <f>'[1]资源-木石铜粮'!X164</f>
        <v>45165577136186.367</v>
      </c>
      <c r="BS164" s="17">
        <f>'[1]资源-木石铜粮'!Y164</f>
        <v>46083491370620.805</v>
      </c>
      <c r="BV164" s="49">
        <v>159</v>
      </c>
      <c r="BW164" s="47">
        <f>'[1]功能-城建'!EQ162+[1]养成buff汇总!H164+'[1]功能-采集'!BS163+[2]产出汇总!AY164+[1]养成buff汇总!GY164</f>
        <v>8838087569225.6699</v>
      </c>
      <c r="BX164" s="47">
        <f>'[1]功能-城建'!ER162+[1]养成buff汇总!I164+'[1]功能-采集'!BT163+[2]产出汇总!AZ164+[1]养成buff汇总!GZ164</f>
        <v>6468688544381.1113</v>
      </c>
      <c r="BY164" s="47">
        <f>'[1]功能-城建'!ES162+[1]养成buff汇总!J164+'[1]功能-采集'!BU163+[2]产出汇总!BA164+[1]养成buff汇总!HA164</f>
        <v>8710916550770.2139</v>
      </c>
      <c r="BZ164" s="47">
        <f>'[1]功能-城建'!ET162+[1]养成buff汇总!K164+'[1]功能-采集'!BV163+[2]产出汇总!BB164+[1]养成buff汇总!HB164</f>
        <v>6666893296311.707</v>
      </c>
      <c r="CA164" s="47">
        <f>'[1]功能-城建'!EU162+[1]养成buff汇总!L164+'[1]功能-采集'!BW163+[2]产出汇总!BC164+[1]养成buff汇总!HC164</f>
        <v>10363554900898.723</v>
      </c>
      <c r="CD164" s="49">
        <v>159</v>
      </c>
      <c r="CE164" s="44">
        <f>'[1]资源-铁'!T164</f>
        <v>889965944733.35999</v>
      </c>
      <c r="CF164" s="44">
        <f>'[1]资源-铁'!U164</f>
        <v>1024292798825.428</v>
      </c>
      <c r="CG164" s="44">
        <f>'[1]资源-铁'!V164</f>
        <v>1187265851885.564</v>
      </c>
      <c r="CH164" s="44">
        <f>'[1]资源-铁'!W164</f>
        <v>1378885103913.7681</v>
      </c>
      <c r="CI164" s="44">
        <f>'[1]资源-铁'!X164</f>
        <v>1704831210034.04</v>
      </c>
      <c r="CL164" s="49">
        <v>159</v>
      </c>
      <c r="CM164" s="44">
        <f>'[1]功能-城建'!HF162+[1]养成buff汇总!S164+'[1]功能-采集'!BX163</f>
        <v>2755042341854.2827</v>
      </c>
      <c r="CN164" s="44">
        <f>'[1]功能-城建'!HG162+[1]养成buff汇总!T164+'[1]功能-采集'!BY163</f>
        <v>1990601507046.572</v>
      </c>
      <c r="CO164" s="44">
        <f>'[1]功能-城建'!HH162+[1]养成buff汇总!U164+'[1]功能-采集'!BZ163</f>
        <v>2600218275416.6357</v>
      </c>
      <c r="CP164" s="44">
        <f>'[1]功能-城建'!HI162+[1]养成buff汇总!V164+'[1]功能-采集'!CA163</f>
        <v>1863213850114.7095</v>
      </c>
      <c r="CQ164" s="44">
        <f>'[1]功能-城建'!HJ162+[1]养成buff汇总!W164+'[1]功能-采集'!CB163</f>
        <v>2977604223220.4204</v>
      </c>
      <c r="CT164" s="49">
        <v>159</v>
      </c>
      <c r="CU164" s="17">
        <f>'[1]资源-玩家城池建筑时间'!AJ164+CU163</f>
        <v>30610076079.818775</v>
      </c>
      <c r="CV164" s="17">
        <f>'[1]资源-玩家城池建筑时间'!AK164+CV163</f>
        <v>30610076079.818775</v>
      </c>
      <c r="CW164" s="17">
        <f>'[1]资源-玩家城池建筑时间'!AL164+CW163</f>
        <v>30610076079.818775</v>
      </c>
      <c r="CX164" s="17">
        <f>'[1]资源-玩家城池建筑时间'!AM164+CX163</f>
        <v>30610076079.818775</v>
      </c>
      <c r="CY164" s="17">
        <f>'[1]资源-玩家城池建筑时间'!AN164+CY163</f>
        <v>30610076079.818775</v>
      </c>
      <c r="DB164" s="49">
        <v>159</v>
      </c>
      <c r="DC164" s="17">
        <f>'[1]资源-士兵训练时间'!U164</f>
        <v>4990291737.0986557</v>
      </c>
      <c r="DD164" s="17">
        <f>'[1]资源-士兵训练时间'!V164</f>
        <v>6653722316.1315403</v>
      </c>
      <c r="DE164" s="17">
        <f>'[1]资源-士兵训练时间'!W164</f>
        <v>8317152895.1644249</v>
      </c>
      <c r="DF164" s="17">
        <f>'[1]资源-士兵训练时间'!X164</f>
        <v>9980583474.1973114</v>
      </c>
      <c r="DG164" s="17">
        <f>'[1]资源-士兵训练时间'!Y164</f>
        <v>13307444632.263081</v>
      </c>
    </row>
    <row r="165" spans="2:111" x14ac:dyDescent="0.15">
      <c r="I165" s="23">
        <v>162</v>
      </c>
      <c r="J165" s="24">
        <f>'[1]资源-钻石'!T165</f>
        <v>863430.11091790837</v>
      </c>
      <c r="K165" s="24">
        <f>'[1]资源-钻石'!U165</f>
        <v>1224453.1220096992</v>
      </c>
      <c r="L165" s="24">
        <f>'[1]资源-钻石'!V165</f>
        <v>2074800.4342106695</v>
      </c>
      <c r="M165" s="24">
        <f>'[1]资源-钻石'!W165</f>
        <v>5555550.4776317365</v>
      </c>
      <c r="N165" s="24">
        <f>'[1]资源-钻石'!X165</f>
        <v>13281398.025394909</v>
      </c>
      <c r="AL165" s="37">
        <f>[3]基础状态预期!C175</f>
        <v>860</v>
      </c>
      <c r="AM165" s="37">
        <f>[3]基础状态预期!D175</f>
        <v>107.78950972208385</v>
      </c>
      <c r="AO165" s="37">
        <f>[3]基础状态预期!F175</f>
        <v>0</v>
      </c>
      <c r="AP165" s="37">
        <f>[3]基础状态预期!G175</f>
        <v>0</v>
      </c>
      <c r="AQ165" s="37">
        <f>[3]基础状态预期!H175</f>
        <v>0</v>
      </c>
      <c r="AR165" s="37">
        <f>[3]基础状态预期!I175</f>
        <v>0</v>
      </c>
      <c r="AS165" s="37">
        <f>[3]基础状态预期!J175</f>
        <v>6</v>
      </c>
      <c r="AW165" s="32">
        <v>159</v>
      </c>
      <c r="AX165" s="32">
        <f>[1]节奏总纲!BJ162</f>
        <v>3.4999999999999978</v>
      </c>
      <c r="AY165" s="32">
        <f>[1]节奏总纲!BK162</f>
        <v>3.5699999999999976</v>
      </c>
      <c r="AZ165" s="32">
        <f>[1]节奏总纲!BL162</f>
        <v>3.7099999999999977</v>
      </c>
      <c r="BA165" s="32">
        <f>[1]节奏总纲!BM162</f>
        <v>3.9899999999999971</v>
      </c>
      <c r="BB165" s="32">
        <f>[1]节奏总纲!BN162</f>
        <v>4.8999999999999968</v>
      </c>
      <c r="BF165" s="42">
        <f>'[1]功能-行军令'!FZ163</f>
        <v>159</v>
      </c>
      <c r="BG165" s="42">
        <f>'[1]功能-行军令'!GA163*'[1]功能-行军令'!GB163</f>
        <v>1760.4807377849047</v>
      </c>
      <c r="BN165" s="49">
        <v>160</v>
      </c>
      <c r="BO165" s="17">
        <f>'[1]资源-木石铜粮'!U165</f>
        <v>22554428381312.266</v>
      </c>
      <c r="BP165" s="17">
        <f>'[1]资源-木石铜粮'!V165</f>
        <v>31574008154515.422</v>
      </c>
      <c r="BQ165" s="17">
        <f>'[1]资源-木石铜粮'!W165</f>
        <v>42631934478314.859</v>
      </c>
      <c r="BR165" s="17">
        <f>'[1]资源-木石铜粮'!X165</f>
        <v>48559565967800.68</v>
      </c>
      <c r="BS165" s="17">
        <f>'[1]资源-木石铜粮'!Y165</f>
        <v>49373437933604.336</v>
      </c>
      <c r="BV165" s="49">
        <v>160</v>
      </c>
      <c r="BW165" s="47">
        <f>'[1]功能-城建'!EQ163+[1]养成buff汇总!H165+'[1]功能-采集'!BS164+[2]产出汇总!AY165+[1]养成buff汇总!GY165</f>
        <v>9327574248316.7207</v>
      </c>
      <c r="BX165" s="47">
        <f>'[1]功能-城建'!ER163+[1]养成buff汇总!I165+'[1]功能-采集'!BT164+[2]产出汇总!AZ165+[1]养成buff汇总!GZ165</f>
        <v>6860717737732.9004</v>
      </c>
      <c r="BY165" s="47">
        <f>'[1]功能-城建'!ES163+[1]养成buff汇总!J165+'[1]功能-采集'!BU164+[2]产出汇总!BA165+[1]养成buff汇总!HA165</f>
        <v>9247729773904.0391</v>
      </c>
      <c r="BZ165" s="47">
        <f>'[1]功能-城建'!ET163+[1]养成buff汇总!K165+'[1]功能-采集'!BV164+[2]产出汇总!BB165+[1]养成buff汇总!HB165</f>
        <v>7111147080455.5313</v>
      </c>
      <c r="CA165" s="47">
        <f>'[1]功能-城建'!EU163+[1]养成buff汇总!L165+'[1]功能-采集'!BW164+[2]产出汇总!BC165+[1]养成buff汇总!HC165</f>
        <v>11079969525597.209</v>
      </c>
      <c r="CD165" s="49">
        <v>160</v>
      </c>
      <c r="CE165" s="44">
        <f>'[1]资源-铁'!T165</f>
        <v>889965944733.35999</v>
      </c>
      <c r="CF165" s="44">
        <f>'[1]资源-铁'!U165</f>
        <v>1024292798825.428</v>
      </c>
      <c r="CG165" s="44">
        <f>'[1]资源-铁'!V165</f>
        <v>1187265851885.564</v>
      </c>
      <c r="CH165" s="44">
        <f>'[1]资源-铁'!W165</f>
        <v>1378885103913.7681</v>
      </c>
      <c r="CI165" s="44">
        <f>'[1]资源-铁'!X165</f>
        <v>1704831210034.04</v>
      </c>
      <c r="CL165" s="49">
        <v>160</v>
      </c>
      <c r="CM165" s="44">
        <f>'[1]功能-城建'!HF163+[1]养成buff汇总!S165+'[1]功能-采集'!BX164</f>
        <v>2867429353961.2422</v>
      </c>
      <c r="CN165" s="44">
        <f>'[1]功能-城建'!HG163+[1]养成buff汇总!T165+'[1]功能-采集'!BY164</f>
        <v>2083010594374.312</v>
      </c>
      <c r="CO165" s="44">
        <f>'[1]功能-城建'!HH163+[1]养成buff汇总!U165+'[1]功能-采集'!BZ164</f>
        <v>2730988771351.7202</v>
      </c>
      <c r="CP165" s="44">
        <f>'[1]功能-城建'!HI163+[1]养成buff汇总!V165+'[1]功能-采集'!CA164</f>
        <v>1971209882207.5759</v>
      </c>
      <c r="CQ165" s="44">
        <f>'[1]功能-城建'!HJ163+[1]养成buff汇总!W165+'[1]功能-采集'!CB164</f>
        <v>3170701126961.7061</v>
      </c>
      <c r="CT165" s="49">
        <v>160</v>
      </c>
      <c r="CU165" s="17">
        <f>'[1]资源-玩家城池建筑时间'!AJ165+CU164</f>
        <v>30610076079.818775</v>
      </c>
      <c r="CV165" s="17">
        <f>'[1]资源-玩家城池建筑时间'!AK165+CV164</f>
        <v>30610076079.818775</v>
      </c>
      <c r="CW165" s="17">
        <f>'[1]资源-玩家城池建筑时间'!AL165+CW164</f>
        <v>30610076079.818775</v>
      </c>
      <c r="CX165" s="17">
        <f>'[1]资源-玩家城池建筑时间'!AM165+CX164</f>
        <v>30610076079.818775</v>
      </c>
      <c r="CY165" s="17">
        <f>'[1]资源-玩家城池建筑时间'!AN165+CY164</f>
        <v>30610076079.818775</v>
      </c>
      <c r="DB165" s="49">
        <v>160</v>
      </c>
      <c r="DC165" s="17">
        <f>'[1]资源-士兵训练时间'!U165</f>
        <v>4990291737.0986557</v>
      </c>
      <c r="DD165" s="17">
        <f>'[1]资源-士兵训练时间'!V165</f>
        <v>6653722316.1315403</v>
      </c>
      <c r="DE165" s="17">
        <f>'[1]资源-士兵训练时间'!W165</f>
        <v>8317152895.1644249</v>
      </c>
      <c r="DF165" s="17">
        <f>'[1]资源-士兵训练时间'!X165</f>
        <v>9980583474.1973114</v>
      </c>
      <c r="DG165" s="17">
        <f>'[1]资源-士兵训练时间'!Y165</f>
        <v>13307444632.263081</v>
      </c>
    </row>
    <row r="166" spans="2:111" x14ac:dyDescent="0.15">
      <c r="I166" s="25">
        <v>163</v>
      </c>
      <c r="J166" s="24">
        <f>'[1]资源-钻石'!T166</f>
        <v>867758.83696628921</v>
      </c>
      <c r="K166" s="24">
        <f>'[1]资源-钻石'!U166</f>
        <v>1230894.7206629182</v>
      </c>
      <c r="L166" s="24">
        <f>'[1]资源-钻石'!V166</f>
        <v>2086338.1927292102</v>
      </c>
      <c r="M166" s="24">
        <f>'[1]资源-钻石'!W166</f>
        <v>5588262.012002131</v>
      </c>
      <c r="N166" s="24">
        <f>'[1]资源-钻石'!X166</f>
        <v>13361235.713202342</v>
      </c>
      <c r="AL166" s="37">
        <f>[3]基础状态预期!C176</f>
        <v>1100</v>
      </c>
      <c r="AM166" s="37">
        <f>[3]基础状态预期!D176</f>
        <v>111.29737083030383</v>
      </c>
      <c r="AO166" s="37">
        <f>[3]基础状态预期!F176</f>
        <v>0</v>
      </c>
      <c r="AP166" s="37">
        <f>[3]基础状态预期!G176</f>
        <v>0</v>
      </c>
      <c r="AQ166" s="37">
        <f>[3]基础状态预期!H176</f>
        <v>0</v>
      </c>
      <c r="AR166" s="37">
        <f>[3]基础状态预期!I176</f>
        <v>0</v>
      </c>
      <c r="AS166" s="37">
        <f>[3]基础状态预期!J176</f>
        <v>6</v>
      </c>
      <c r="AW166" s="32">
        <v>160</v>
      </c>
      <c r="AX166" s="32">
        <f>[1]节奏总纲!BJ163</f>
        <v>3.4999999999999978</v>
      </c>
      <c r="AY166" s="32">
        <f>[1]节奏总纲!BK163</f>
        <v>3.5699999999999976</v>
      </c>
      <c r="AZ166" s="32">
        <f>[1]节奏总纲!BL163</f>
        <v>3.7099999999999977</v>
      </c>
      <c r="BA166" s="32">
        <f>[1]节奏总纲!BM163</f>
        <v>3.9899999999999971</v>
      </c>
      <c r="BB166" s="32">
        <f>[1]节奏总纲!BN163</f>
        <v>4.8999999999999968</v>
      </c>
      <c r="BF166" s="42">
        <f>'[1]功能-行军令'!FZ164</f>
        <v>160</v>
      </c>
      <c r="BG166" s="42">
        <f>'[1]功能-行军令'!GA164*'[1]功能-行军令'!GB164</f>
        <v>1795.690352540603</v>
      </c>
    </row>
    <row r="167" spans="2:111" x14ac:dyDescent="0.15">
      <c r="I167" s="25">
        <v>164</v>
      </c>
      <c r="J167" s="24">
        <f>'[1]资源-钻石'!T167</f>
        <v>872087.56301467016</v>
      </c>
      <c r="K167" s="24">
        <f>'[1]资源-钻石'!U167</f>
        <v>1237336.3193161371</v>
      </c>
      <c r="L167" s="24">
        <f>'[1]资源-钻石'!V167</f>
        <v>2097875.9512477512</v>
      </c>
      <c r="M167" s="24">
        <f>'[1]资源-钻石'!W167</f>
        <v>5620973.5463725263</v>
      </c>
      <c r="N167" s="24">
        <f>'[1]资源-钻石'!X167</f>
        <v>13441073.401009778</v>
      </c>
      <c r="AL167" s="37">
        <f>[3]基础状态预期!C177</f>
        <v>1400</v>
      </c>
      <c r="AM167" s="37">
        <f>[3]基础状态预期!D177</f>
        <v>114.91888401282834</v>
      </c>
      <c r="AO167" s="37">
        <f>[3]基础状态预期!F177</f>
        <v>0</v>
      </c>
      <c r="AP167" s="37">
        <f>[3]基础状态预期!G177</f>
        <v>0</v>
      </c>
      <c r="AQ167" s="37">
        <f>[3]基础状态预期!H177</f>
        <v>0</v>
      </c>
      <c r="AR167" s="37">
        <f>[3]基础状态预期!I177</f>
        <v>0</v>
      </c>
      <c r="AS167" s="37">
        <f>[3]基础状态预期!J177</f>
        <v>6</v>
      </c>
      <c r="BF167" s="17"/>
      <c r="BG167" s="17"/>
    </row>
    <row r="168" spans="2:111" x14ac:dyDescent="0.15">
      <c r="I168" s="23">
        <v>165</v>
      </c>
      <c r="J168" s="24">
        <f>'[1]资源-钻石'!T168</f>
        <v>876416.28906305099</v>
      </c>
      <c r="K168" s="24">
        <f>'[1]资源-钻石'!U168</f>
        <v>1243777.9179693561</v>
      </c>
      <c r="L168" s="24">
        <f>'[1]资源-钻石'!V168</f>
        <v>2109413.709766292</v>
      </c>
      <c r="M168" s="24">
        <f>'[1]资源-钻石'!W168</f>
        <v>5653685.0807429207</v>
      </c>
      <c r="N168" s="24">
        <f>'[1]资源-钻石'!X168</f>
        <v>13520911.088817211</v>
      </c>
      <c r="AL168" s="37">
        <f>[3]基础状态预期!C178</f>
        <v>1790</v>
      </c>
      <c r="AM168" s="37">
        <f>[3]基础状态预期!D178</f>
        <v>118.4172728380062</v>
      </c>
      <c r="AO168" s="37">
        <f>[3]基础状态预期!F178</f>
        <v>0</v>
      </c>
      <c r="AP168" s="37">
        <f>[3]基础状态预期!G178</f>
        <v>0</v>
      </c>
      <c r="AQ168" s="37">
        <f>[3]基础状态预期!H178</f>
        <v>0</v>
      </c>
      <c r="AR168" s="37">
        <f>[3]基础状态预期!I178</f>
        <v>0</v>
      </c>
      <c r="AS168" s="37">
        <f>[3]基础状态预期!J178</f>
        <v>6</v>
      </c>
    </row>
    <row r="169" spans="2:111" x14ac:dyDescent="0.15">
      <c r="I169" s="23">
        <v>166</v>
      </c>
      <c r="J169" s="24">
        <f>'[1]资源-钻石'!T169</f>
        <v>880745.01511143183</v>
      </c>
      <c r="K169" s="24">
        <f>'[1]资源-钻石'!U169</f>
        <v>1250219.516622575</v>
      </c>
      <c r="L169" s="24">
        <f>'[1]资源-钻石'!V169</f>
        <v>2120951.4682848328</v>
      </c>
      <c r="M169" s="24">
        <f>'[1]资源-钻石'!W169</f>
        <v>5686396.6151133161</v>
      </c>
      <c r="N169" s="24">
        <f>'[1]资源-钻石'!X169</f>
        <v>13600748.776624646</v>
      </c>
      <c r="AL169" s="37">
        <f>[3]基础状态预期!C179</f>
        <v>2270</v>
      </c>
      <c r="AM169" s="37">
        <f>[3]基础状态预期!D179</f>
        <v>121.99245722798884</v>
      </c>
      <c r="AO169" s="37">
        <f>[3]基础状态预期!F179</f>
        <v>0</v>
      </c>
      <c r="AP169" s="37">
        <f>[3]基础状态预期!G179</f>
        <v>0</v>
      </c>
      <c r="AQ169" s="37">
        <f>[3]基础状态预期!H179</f>
        <v>0</v>
      </c>
      <c r="AR169" s="37">
        <f>[3]基础状态预期!I179</f>
        <v>0</v>
      </c>
      <c r="AS169" s="37">
        <f>[3]基础状态预期!J179</f>
        <v>6</v>
      </c>
    </row>
    <row r="170" spans="2:111" x14ac:dyDescent="0.15">
      <c r="I170" s="23">
        <v>167</v>
      </c>
      <c r="J170" s="24">
        <f>'[1]资源-钻石'!T170</f>
        <v>885073.74115981266</v>
      </c>
      <c r="K170" s="24">
        <f>'[1]资源-钻石'!U170</f>
        <v>1256661.1152757939</v>
      </c>
      <c r="L170" s="24">
        <f>'[1]资源-钻石'!V170</f>
        <v>2132489.2268033735</v>
      </c>
      <c r="M170" s="24">
        <f>'[1]资源-钻石'!W170</f>
        <v>5719108.1494837105</v>
      </c>
      <c r="N170" s="24">
        <f>'[1]资源-钻石'!X170</f>
        <v>13680586.464432079</v>
      </c>
      <c r="AL170" s="37">
        <f>[3]基础状态预期!C180</f>
        <v>2900</v>
      </c>
      <c r="AM170" s="37">
        <f>[3]基础状态预期!D180</f>
        <v>125.43876546297123</v>
      </c>
      <c r="AO170" s="37">
        <f>[3]基础状态预期!F180</f>
        <v>0</v>
      </c>
      <c r="AP170" s="37">
        <f>[3]基础状态预期!G180</f>
        <v>0</v>
      </c>
      <c r="AQ170" s="37">
        <f>[3]基础状态预期!H180</f>
        <v>0</v>
      </c>
      <c r="AR170" s="37">
        <f>[3]基础状态预期!I180</f>
        <v>0</v>
      </c>
      <c r="AS170" s="37">
        <f>[3]基础状态预期!J180</f>
        <v>6</v>
      </c>
    </row>
    <row r="171" spans="2:111" x14ac:dyDescent="0.15">
      <c r="I171" s="23">
        <v>168</v>
      </c>
      <c r="J171" s="24">
        <f>'[1]资源-钻石'!T171</f>
        <v>889402.61292589572</v>
      </c>
      <c r="K171" s="24">
        <f>'[1]资源-钻石'!U171</f>
        <v>1263102.7139290129</v>
      </c>
      <c r="L171" s="24">
        <f>'[1]资源-钻石'!V171</f>
        <v>2144026.9853219143</v>
      </c>
      <c r="M171" s="24">
        <f>'[1]资源-钻石'!W171</f>
        <v>5751819.683854105</v>
      </c>
      <c r="N171" s="24">
        <f>'[1]资源-钻石'!X171</f>
        <v>13760424.152239515</v>
      </c>
      <c r="AL171" s="37">
        <f>[3]基础状态预期!C181</f>
        <v>3710</v>
      </c>
      <c r="AM171" s="37">
        <f>[3]基础状态预期!D181</f>
        <v>129.12105302323599</v>
      </c>
      <c r="AO171" s="37">
        <f>[3]基础状态预期!F181</f>
        <v>0</v>
      </c>
      <c r="AP171" s="37">
        <f>[3]基础状态预期!G181</f>
        <v>0</v>
      </c>
      <c r="AQ171" s="37">
        <f>[3]基础状态预期!H181</f>
        <v>0</v>
      </c>
      <c r="AR171" s="37">
        <f>[3]基础状态预期!I181</f>
        <v>0</v>
      </c>
      <c r="AS171" s="37">
        <f>[3]基础状态预期!J181</f>
        <v>6</v>
      </c>
    </row>
    <row r="172" spans="2:111" x14ac:dyDescent="0.15">
      <c r="I172" s="25">
        <v>169</v>
      </c>
      <c r="J172" s="24">
        <f>'[1]资源-钻石'!T172</f>
        <v>893732.75388204667</v>
      </c>
      <c r="K172" s="24">
        <f>'[1]资源-钻石'!U172</f>
        <v>1269544.3125822318</v>
      </c>
      <c r="L172" s="24">
        <f>'[1]资源-钻石'!V172</f>
        <v>2155572.9708428276</v>
      </c>
      <c r="M172" s="24">
        <f>'[1]资源-钻石'!W172</f>
        <v>5784531.2182245003</v>
      </c>
      <c r="N172" s="24">
        <f>'[1]资源-钻石'!X172</f>
        <v>13840261.84004695</v>
      </c>
      <c r="AL172" s="37">
        <f>[3]基础状态预期!C182</f>
        <v>4730</v>
      </c>
      <c r="AM172" s="37">
        <f>[3]基础状态预期!D182</f>
        <v>132.61179169042359</v>
      </c>
      <c r="AO172" s="37">
        <f>[3]基础状态预期!F182</f>
        <v>0</v>
      </c>
      <c r="AP172" s="37">
        <f>[3]基础状态预期!G182</f>
        <v>0</v>
      </c>
      <c r="AQ172" s="37">
        <f>[3]基础状态预期!H182</f>
        <v>0</v>
      </c>
      <c r="AR172" s="37">
        <f>[3]基础状态预期!I182</f>
        <v>0</v>
      </c>
      <c r="AS172" s="37">
        <f>[3]基础状态预期!J182</f>
        <v>6</v>
      </c>
    </row>
    <row r="173" spans="2:111" x14ac:dyDescent="0.15">
      <c r="I173" s="25">
        <v>170</v>
      </c>
      <c r="J173" s="24">
        <f>'[1]资源-钻石'!T173</f>
        <v>898062.89483819762</v>
      </c>
      <c r="K173" s="24">
        <f>'[1]资源-钻石'!U173</f>
        <v>1275985.9112354508</v>
      </c>
      <c r="L173" s="24">
        <f>'[1]资源-钻石'!V173</f>
        <v>2167141.8171995962</v>
      </c>
      <c r="M173" s="24">
        <f>'[1]资源-钻石'!W173</f>
        <v>5817242.7525948947</v>
      </c>
      <c r="N173" s="24">
        <f>'[1]资源-钻石'!X173</f>
        <v>13920099.527854383</v>
      </c>
      <c r="AL173" s="37">
        <f>[3]基础状态预期!C183</f>
        <v>6020</v>
      </c>
      <c r="AM173" s="37">
        <f>[3]基础状态预期!D183</f>
        <v>136.12035534953262</v>
      </c>
      <c r="AO173" s="37">
        <f>[3]基础状态预期!F183</f>
        <v>0</v>
      </c>
      <c r="AP173" s="37">
        <f>[3]基础状态预期!G183</f>
        <v>0</v>
      </c>
      <c r="AQ173" s="37">
        <f>[3]基础状态预期!H183</f>
        <v>0</v>
      </c>
      <c r="AR173" s="37">
        <f>[3]基础状态预期!I183</f>
        <v>0</v>
      </c>
      <c r="AS173" s="37">
        <f>[3]基础状态预期!J183</f>
        <v>6</v>
      </c>
    </row>
    <row r="174" spans="2:111" x14ac:dyDescent="0.15">
      <c r="I174" s="23">
        <v>171</v>
      </c>
      <c r="J174" s="24">
        <f>'[1]资源-钻石'!T174</f>
        <v>902393.03579434857</v>
      </c>
      <c r="K174" s="24">
        <f>'[1]资源-钻石'!U174</f>
        <v>1282427.5098886697</v>
      </c>
      <c r="L174" s="24">
        <f>'[1]资源-钻石'!V174</f>
        <v>2178710.6635563644</v>
      </c>
      <c r="M174" s="24">
        <f>'[1]资源-钻石'!W174</f>
        <v>5849954.2869652901</v>
      </c>
      <c r="N174" s="24">
        <f>'[1]资源-钻石'!X174</f>
        <v>13999937.215661818</v>
      </c>
      <c r="AL174" s="37">
        <f>[3]基础状态预期!C184</f>
        <v>7670</v>
      </c>
      <c r="AM174" s="37">
        <f>[3]基础状态预期!D184</f>
        <v>139.6793621861803</v>
      </c>
      <c r="AO174" s="37">
        <f>[3]基础状态预期!F184</f>
        <v>0</v>
      </c>
      <c r="AP174" s="37">
        <f>[3]基础状态预期!G184</f>
        <v>0</v>
      </c>
      <c r="AQ174" s="37">
        <f>[3]基础状态预期!H184</f>
        <v>0</v>
      </c>
      <c r="AR174" s="37">
        <f>[3]基础状态预期!I184</f>
        <v>0</v>
      </c>
      <c r="AS174" s="37">
        <f>[3]基础状态预期!J184</f>
        <v>6</v>
      </c>
    </row>
    <row r="175" spans="2:111" x14ac:dyDescent="0.15">
      <c r="I175" s="23">
        <v>172</v>
      </c>
      <c r="J175" s="24">
        <f>'[1]资源-钻石'!T175</f>
        <v>906723.17675049952</v>
      </c>
      <c r="K175" s="24">
        <f>'[1]资源-钻石'!U175</f>
        <v>1288869.1085418887</v>
      </c>
      <c r="L175" s="24">
        <f>'[1]资源-钻石'!V175</f>
        <v>2190279.509913133</v>
      </c>
      <c r="M175" s="24">
        <f>'[1]资源-钻石'!W175</f>
        <v>5882665.8213356845</v>
      </c>
      <c r="N175" s="24">
        <f>'[1]资源-钻石'!X175</f>
        <v>14079774.903469251</v>
      </c>
      <c r="AL175" s="37">
        <f>[3]基础状态预期!C185</f>
        <v>9770</v>
      </c>
      <c r="AM175" s="37">
        <f>[3]基础状态预期!D185</f>
        <v>143.14123736077869</v>
      </c>
      <c r="AO175" s="37">
        <f>[3]基础状态预期!F185</f>
        <v>0</v>
      </c>
      <c r="AP175" s="37">
        <f>[3]基础状态预期!G185</f>
        <v>0</v>
      </c>
      <c r="AQ175" s="37">
        <f>[3]基础状态预期!H185</f>
        <v>0</v>
      </c>
      <c r="AR175" s="37">
        <f>[3]基础状态预期!I185</f>
        <v>0</v>
      </c>
      <c r="AS175" s="37">
        <f>[3]基础状态预期!J185</f>
        <v>6</v>
      </c>
    </row>
    <row r="176" spans="2:111" x14ac:dyDescent="0.15">
      <c r="I176" s="23">
        <v>173</v>
      </c>
      <c r="J176" s="24">
        <f>'[1]资源-钻石'!T176</f>
        <v>911053.31770665036</v>
      </c>
      <c r="K176" s="24">
        <f>'[1]资源-钻石'!U176</f>
        <v>1295310.7071951076</v>
      </c>
      <c r="L176" s="24">
        <f>'[1]资源-钻石'!V176</f>
        <v>2201848.3562699016</v>
      </c>
      <c r="M176" s="24">
        <f>'[1]资源-钻石'!W176</f>
        <v>5915389.1568825059</v>
      </c>
      <c r="N176" s="24">
        <f>'[1]资源-钻石'!X176</f>
        <v>14159612.591276687</v>
      </c>
      <c r="AL176" s="37">
        <f>[3]基础状态预期!C186</f>
        <v>12440</v>
      </c>
      <c r="AM176" s="37">
        <f>[3]基础状态预期!D186</f>
        <v>146.75578521325724</v>
      </c>
      <c r="AO176" s="37">
        <f>[3]基础状态预期!F186</f>
        <v>0</v>
      </c>
      <c r="AP176" s="37">
        <f>[3]基础状态预期!G186</f>
        <v>0</v>
      </c>
      <c r="AQ176" s="37">
        <f>[3]基础状态预期!H186</f>
        <v>0</v>
      </c>
      <c r="AR176" s="37">
        <f>[3]基础状态预期!I186</f>
        <v>0</v>
      </c>
      <c r="AS176" s="37">
        <f>[3]基础状态预期!J186</f>
        <v>6</v>
      </c>
    </row>
    <row r="177" spans="9:45" x14ac:dyDescent="0.15">
      <c r="I177" s="23">
        <v>174</v>
      </c>
      <c r="J177" s="24">
        <f>'[1]资源-钻石'!T177</f>
        <v>915383.45866280131</v>
      </c>
      <c r="K177" s="24">
        <f>'[1]资源-钻石'!U177</f>
        <v>1301752.3058483265</v>
      </c>
      <c r="L177" s="24">
        <f>'[1]资源-钻石'!V177</f>
        <v>2213417.2026266698</v>
      </c>
      <c r="M177" s="24">
        <f>'[1]资源-钻石'!W177</f>
        <v>5948623.1289070481</v>
      </c>
      <c r="N177" s="24">
        <f>'[1]资源-钻石'!X177</f>
        <v>14239450.27908412</v>
      </c>
      <c r="AL177" s="37">
        <f>[3]基础状态预期!C187</f>
        <v>15860</v>
      </c>
      <c r="AM177" s="37">
        <f>[3]基础状态预期!D187</f>
        <v>150.21349802228445</v>
      </c>
      <c r="AO177" s="37">
        <f>[3]基础状态预期!F187</f>
        <v>0</v>
      </c>
      <c r="AP177" s="37">
        <f>[3]基础状态预期!G187</f>
        <v>0</v>
      </c>
      <c r="AQ177" s="37">
        <f>[3]基础状态预期!H187</f>
        <v>0</v>
      </c>
      <c r="AR177" s="37">
        <f>[3]基础状态预期!I187</f>
        <v>0</v>
      </c>
      <c r="AS177" s="37">
        <f>[3]基础状态预期!J187</f>
        <v>6</v>
      </c>
    </row>
    <row r="178" spans="9:45" x14ac:dyDescent="0.15">
      <c r="I178" s="25">
        <v>175</v>
      </c>
      <c r="J178" s="24">
        <f>'[1]资源-钻石'!T178</f>
        <v>919713.59961895226</v>
      </c>
      <c r="K178" s="24">
        <f>'[1]资源-钻石'!U178</f>
        <v>1308193.9045015455</v>
      </c>
      <c r="L178" s="24">
        <f>'[1]资源-钻石'!V178</f>
        <v>2224986.0489834384</v>
      </c>
      <c r="M178" s="24">
        <f>'[1]资源-钻石'!W178</f>
        <v>5981857.1009315904</v>
      </c>
      <c r="N178" s="24">
        <f>'[1]资源-钻石'!X178</f>
        <v>14319287.966891555</v>
      </c>
      <c r="AL178" s="37">
        <f>[3]基础状态预期!C188</f>
        <v>20210</v>
      </c>
      <c r="AM178" s="37">
        <f>[3]基础状态预期!D188</f>
        <v>152.32856849044819</v>
      </c>
      <c r="AO178" s="37">
        <f>[3]基础状态预期!F188</f>
        <v>0</v>
      </c>
      <c r="AP178" s="37">
        <f>[3]基础状态预期!G188</f>
        <v>0</v>
      </c>
      <c r="AQ178" s="37">
        <f>[3]基础状态预期!H188</f>
        <v>0</v>
      </c>
      <c r="AR178" s="37">
        <f>[3]基础状态预期!I188</f>
        <v>0</v>
      </c>
      <c r="AS178" s="37">
        <f>[3]基础状态预期!J188</f>
        <v>6</v>
      </c>
    </row>
    <row r="179" spans="9:45" x14ac:dyDescent="0.15">
      <c r="I179" s="25">
        <v>176</v>
      </c>
      <c r="J179" s="24">
        <f>'[1]资源-钻石'!T179</f>
        <v>924043.74057510321</v>
      </c>
      <c r="K179" s="24">
        <f>'[1]资源-钻石'!U179</f>
        <v>1314635.5031547644</v>
      </c>
      <c r="L179" s="24">
        <f>'[1]资源-钻石'!V179</f>
        <v>2236554.895340207</v>
      </c>
      <c r="M179" s="24">
        <f>'[1]资源-钻石'!W179</f>
        <v>6015091.0729561327</v>
      </c>
      <c r="N179" s="24">
        <f>'[1]资源-钻石'!X179</f>
        <v>14399125.65469899</v>
      </c>
      <c r="AL179" s="37">
        <f>[3]基础状态预期!C189</f>
        <v>25760</v>
      </c>
      <c r="AM179" s="37">
        <f>[3]基础状态预期!D189</f>
        <v>153.15627769682186</v>
      </c>
      <c r="AO179" s="37">
        <f>[3]基础状态预期!F189</f>
        <v>0</v>
      </c>
      <c r="AP179" s="37">
        <f>[3]基础状态预期!G189</f>
        <v>0</v>
      </c>
      <c r="AQ179" s="37">
        <f>[3]基础状态预期!H189</f>
        <v>0</v>
      </c>
      <c r="AR179" s="37">
        <f>[3]基础状态预期!I189</f>
        <v>0</v>
      </c>
      <c r="AS179" s="37">
        <f>[3]基础状态预期!J189</f>
        <v>6</v>
      </c>
    </row>
    <row r="180" spans="9:45" x14ac:dyDescent="0.15">
      <c r="I180" s="23">
        <v>177</v>
      </c>
      <c r="J180" s="24">
        <f>'[1]资源-钻石'!T180</f>
        <v>928373.88153125404</v>
      </c>
      <c r="K180" s="24">
        <f>'[1]资源-钻石'!U180</f>
        <v>1321077.1018079831</v>
      </c>
      <c r="L180" s="24">
        <f>'[1]资源-钻石'!V180</f>
        <v>2248123.7416969752</v>
      </c>
      <c r="M180" s="24">
        <f>'[1]资源-钻石'!W180</f>
        <v>6048325.044980675</v>
      </c>
      <c r="N180" s="24">
        <f>'[1]资源-钻石'!X180</f>
        <v>14478963.342506424</v>
      </c>
      <c r="AL180" s="37">
        <f>[3]基础状态预期!C190</f>
        <v>32750</v>
      </c>
      <c r="AM180" s="37">
        <f>[3]基础状态预期!D190</f>
        <v>153.85863088955028</v>
      </c>
      <c r="AO180" s="37">
        <f>[3]基础状态预期!F190</f>
        <v>0</v>
      </c>
      <c r="AP180" s="37">
        <f>[3]基础状态预期!G190</f>
        <v>0</v>
      </c>
      <c r="AQ180" s="37">
        <f>[3]基础状态预期!H190</f>
        <v>0</v>
      </c>
      <c r="AR180" s="37">
        <f>[3]基础状态预期!I190</f>
        <v>0</v>
      </c>
      <c r="AS180" s="37">
        <f>[3]基础状态预期!J190</f>
        <v>6</v>
      </c>
    </row>
    <row r="181" spans="9:45" x14ac:dyDescent="0.15">
      <c r="I181" s="23">
        <v>178</v>
      </c>
      <c r="J181" s="24">
        <f>'[1]资源-钻石'!T181</f>
        <v>932704.02248740499</v>
      </c>
      <c r="K181" s="24">
        <f>'[1]资源-钻石'!U181</f>
        <v>1327518.7004612023</v>
      </c>
      <c r="L181" s="24">
        <f>'[1]资源-钻石'!V181</f>
        <v>2259692.5880537438</v>
      </c>
      <c r="M181" s="24">
        <f>'[1]资源-钻石'!W181</f>
        <v>6081559.0170052173</v>
      </c>
      <c r="N181" s="24">
        <f>'[1]资源-钻石'!X181</f>
        <v>14558801.030313859</v>
      </c>
    </row>
    <row r="182" spans="9:45" x14ac:dyDescent="0.15">
      <c r="I182" s="23">
        <v>179</v>
      </c>
      <c r="J182" s="24">
        <f>'[1]资源-钻石'!T182</f>
        <v>937034.16344355594</v>
      </c>
      <c r="K182" s="24">
        <f>'[1]资源-钻石'!U182</f>
        <v>1333960.299114421</v>
      </c>
      <c r="L182" s="24">
        <f>'[1]资源-钻石'!V182</f>
        <v>2271261.4344105124</v>
      </c>
      <c r="M182" s="24">
        <f>'[1]资源-钻石'!W182</f>
        <v>6114792.9890297595</v>
      </c>
      <c r="N182" s="24">
        <f>'[1]资源-钻石'!X182</f>
        <v>14638638.718121292</v>
      </c>
    </row>
    <row r="183" spans="9:45" x14ac:dyDescent="0.15">
      <c r="I183" s="23">
        <v>180</v>
      </c>
      <c r="J183" s="24">
        <f>'[1]资源-钻石'!T183</f>
        <v>941364.30439970689</v>
      </c>
      <c r="K183" s="24">
        <f>'[1]资源-钻石'!U183</f>
        <v>1341198.4167786129</v>
      </c>
      <c r="L183" s="24">
        <f>'[1]资源-钻石'!V183</f>
        <v>2282830.2807672806</v>
      </c>
      <c r="M183" s="24">
        <f>'[1]资源-钻石'!W183</f>
        <v>6148026.9610543018</v>
      </c>
      <c r="N183" s="24">
        <f>'[1]资源-钻石'!X183</f>
        <v>14718927.762813514</v>
      </c>
    </row>
    <row r="184" spans="9:45" x14ac:dyDescent="0.15">
      <c r="I184" s="25">
        <v>181</v>
      </c>
      <c r="J184" s="24">
        <f>'[1]资源-钻石'!T184</f>
        <v>946562.95507101226</v>
      </c>
      <c r="K184" s="24">
        <f>'[1]资源-钻石'!U184</f>
        <v>1348549.6290895094</v>
      </c>
      <c r="L184" s="24">
        <f>'[1]资源-钻石'!V184</f>
        <v>2295091.175635925</v>
      </c>
      <c r="M184" s="24">
        <f>'[1]资源-钻石'!W184</f>
        <v>6181260.9330788441</v>
      </c>
      <c r="N184" s="24">
        <f>'[1]资源-钻石'!X184</f>
        <v>14800029.039937083</v>
      </c>
      <c r="AL184" s="66" t="s">
        <v>178</v>
      </c>
      <c r="AM184" s="66"/>
      <c r="AO184" s="17"/>
      <c r="AP184" s="17"/>
      <c r="AQ184" s="17"/>
      <c r="AR184" s="17"/>
      <c r="AS184" s="17"/>
    </row>
    <row r="185" spans="9:45" x14ac:dyDescent="0.15">
      <c r="I185" s="25">
        <v>182</v>
      </c>
      <c r="J185" s="24">
        <f>'[1]资源-钻石'!T185</f>
        <v>951778.73035326088</v>
      </c>
      <c r="K185" s="24">
        <f>'[1]资源-钻石'!U185</f>
        <v>1355900.8414004056</v>
      </c>
      <c r="L185" s="24">
        <f>'[1]资源-钻石'!V185</f>
        <v>2307702.2637274456</v>
      </c>
      <c r="M185" s="24">
        <f>'[1]资源-钻石'!W185</f>
        <v>6214494.9051033864</v>
      </c>
      <c r="N185" s="24">
        <f>'[1]资源-钻石'!X185</f>
        <v>14881130.317060651</v>
      </c>
      <c r="AL185" s="66"/>
      <c r="AM185" s="66"/>
      <c r="AO185" s="66" t="s">
        <v>172</v>
      </c>
      <c r="AP185" s="66"/>
      <c r="AQ185" s="66"/>
      <c r="AR185" s="66"/>
      <c r="AS185" s="66"/>
    </row>
    <row r="186" spans="9:45" x14ac:dyDescent="0.15">
      <c r="I186" s="23">
        <v>183</v>
      </c>
      <c r="J186" s="24">
        <f>'[1]资源-钻石'!T186</f>
        <v>956994.50563550962</v>
      </c>
      <c r="K186" s="24">
        <f>'[1]资源-钻石'!U186</f>
        <v>1363252.0537113021</v>
      </c>
      <c r="L186" s="24">
        <f>'[1]资源-钻石'!V186</f>
        <v>2320313.3518189667</v>
      </c>
      <c r="M186" s="24">
        <f>'[1]资源-钻石'!W186</f>
        <v>6247728.8771279287</v>
      </c>
      <c r="N186" s="24">
        <f>'[1]资源-钻石'!X186</f>
        <v>14962231.594184222</v>
      </c>
      <c r="AL186" s="37" t="s">
        <v>173</v>
      </c>
      <c r="AM186" s="37" t="s">
        <v>174</v>
      </c>
      <c r="AO186" s="37" t="s">
        <v>25</v>
      </c>
      <c r="AP186" s="37" t="s">
        <v>1</v>
      </c>
      <c r="AQ186" s="37" t="s">
        <v>2</v>
      </c>
      <c r="AR186" s="37" t="s">
        <v>0</v>
      </c>
      <c r="AS186" s="37" t="s">
        <v>169</v>
      </c>
    </row>
    <row r="187" spans="9:45" x14ac:dyDescent="0.15">
      <c r="I187" s="23">
        <v>184</v>
      </c>
      <c r="J187" s="24">
        <f>'[1]资源-钻石'!T187</f>
        <v>962210.28091775824</v>
      </c>
      <c r="K187" s="24">
        <f>'[1]资源-钻石'!U187</f>
        <v>1370603.2660221984</v>
      </c>
      <c r="L187" s="24">
        <f>'[1]资源-钻石'!V187</f>
        <v>2332924.4399104877</v>
      </c>
      <c r="M187" s="24">
        <f>'[1]资源-钻石'!W187</f>
        <v>6280962.8491524709</v>
      </c>
      <c r="N187" s="24">
        <f>'[1]资源-钻石'!X187</f>
        <v>15043332.87130779</v>
      </c>
      <c r="AL187" s="37">
        <f>[3]基础状态预期!C197</f>
        <v>0.27500000000000002</v>
      </c>
      <c r="AM187" s="37">
        <f>[3]基础状态预期!D197</f>
        <v>10.040470049930473</v>
      </c>
      <c r="AO187" s="37">
        <f>[3]基础状态预期!F197</f>
        <v>0</v>
      </c>
      <c r="AP187" s="37">
        <f>[3]基础状态预期!G197</f>
        <v>0</v>
      </c>
      <c r="AQ187" s="37">
        <f>[3]基础状态预期!H197</f>
        <v>0</v>
      </c>
      <c r="AR187" s="37">
        <f>[3]基础状态预期!I197</f>
        <v>6</v>
      </c>
      <c r="AS187" s="37">
        <f>[3]基础状态预期!J197</f>
        <v>0</v>
      </c>
    </row>
    <row r="188" spans="9:45" x14ac:dyDescent="0.15">
      <c r="I188" s="23">
        <v>185</v>
      </c>
      <c r="J188" s="24">
        <f>'[1]资源-钻石'!T188</f>
        <v>967426.05620000698</v>
      </c>
      <c r="K188" s="24">
        <f>'[1]资源-钻石'!U188</f>
        <v>1377954.4783330949</v>
      </c>
      <c r="L188" s="24">
        <f>'[1]资源-钻石'!V188</f>
        <v>2345535.5280020083</v>
      </c>
      <c r="M188" s="24">
        <f>'[1]资源-钻石'!W188</f>
        <v>6314196.8211770132</v>
      </c>
      <c r="N188" s="24">
        <f>'[1]资源-钻石'!X188</f>
        <v>15124434.148431359</v>
      </c>
      <c r="AL188" s="37">
        <f>[3]基础状态预期!C198</f>
        <v>0.82500000000000007</v>
      </c>
      <c r="AM188" s="37">
        <f>[3]基础状态预期!D198</f>
        <v>19.288856680060892</v>
      </c>
      <c r="AO188" s="37">
        <f>[3]基础状态预期!F198</f>
        <v>0</v>
      </c>
      <c r="AP188" s="37">
        <f>[3]基础状态预期!G198</f>
        <v>0</v>
      </c>
      <c r="AQ188" s="37">
        <f>[3]基础状态预期!H198</f>
        <v>0</v>
      </c>
      <c r="AR188" s="37">
        <f>[3]基础状态预期!I198</f>
        <v>6</v>
      </c>
      <c r="AS188" s="37">
        <f>[3]基础状态预期!J198</f>
        <v>0</v>
      </c>
    </row>
    <row r="189" spans="9:45" x14ac:dyDescent="0.15">
      <c r="I189" s="23">
        <v>186</v>
      </c>
      <c r="J189" s="24">
        <f>'[1]资源-钻石'!T189</f>
        <v>972641.8314822556</v>
      </c>
      <c r="K189" s="24">
        <f>'[1]资源-钻石'!U189</f>
        <v>1385305.6906439911</v>
      </c>
      <c r="L189" s="24">
        <f>'[1]资源-钻石'!V189</f>
        <v>2358146.6160935294</v>
      </c>
      <c r="M189" s="24">
        <f>'[1]资源-钻石'!W189</f>
        <v>6347711.277702882</v>
      </c>
      <c r="N189" s="24">
        <f>'[1]资源-钻石'!X189</f>
        <v>15205535.425554929</v>
      </c>
      <c r="AL189" s="37">
        <f>[3]基础状态预期!C199</f>
        <v>1.6500000000000001</v>
      </c>
      <c r="AM189" s="37">
        <f>[3]基础状态预期!D199</f>
        <v>27.144641112884834</v>
      </c>
      <c r="AO189" s="37">
        <f>[3]基础状态预期!F199</f>
        <v>0</v>
      </c>
      <c r="AP189" s="37">
        <f>[3]基础状态预期!G199</f>
        <v>0</v>
      </c>
      <c r="AQ189" s="37">
        <f>[3]基础状态预期!H199</f>
        <v>0</v>
      </c>
      <c r="AR189" s="37">
        <f>[3]基础状态预期!I199</f>
        <v>6</v>
      </c>
      <c r="AS189" s="37">
        <f>[3]基础状态预期!J199</f>
        <v>0</v>
      </c>
    </row>
    <row r="190" spans="9:45" x14ac:dyDescent="0.15">
      <c r="I190" s="25">
        <v>187</v>
      </c>
      <c r="J190" s="24">
        <f>'[1]资源-钻石'!T190</f>
        <v>977857.60676450434</v>
      </c>
      <c r="K190" s="24">
        <f>'[1]资源-钻石'!U190</f>
        <v>1392656.9029548876</v>
      </c>
      <c r="L190" s="24">
        <f>'[1]资源-钻石'!V190</f>
        <v>2370757.7041850504</v>
      </c>
      <c r="M190" s="24">
        <f>'[1]资源-钻石'!W190</f>
        <v>6381603.4746035552</v>
      </c>
      <c r="N190" s="24">
        <f>'[1]资源-钻石'!X190</f>
        <v>15286636.702678498</v>
      </c>
      <c r="AL190" s="37">
        <f>[3]基础状态预期!C200</f>
        <v>2.75</v>
      </c>
      <c r="AM190" s="37">
        <f>[3]基础状态预期!D200</f>
        <v>33.399598377161809</v>
      </c>
      <c r="AO190" s="37">
        <f>[3]基础状态预期!F200</f>
        <v>0</v>
      </c>
      <c r="AP190" s="37">
        <f>[3]基础状态预期!G200</f>
        <v>0</v>
      </c>
      <c r="AQ190" s="37">
        <f>[3]基础状态预期!H200</f>
        <v>0</v>
      </c>
      <c r="AR190" s="37">
        <f>[3]基础状态预期!I200</f>
        <v>6</v>
      </c>
      <c r="AS190" s="37">
        <f>[3]基础状态预期!J200</f>
        <v>0</v>
      </c>
    </row>
    <row r="191" spans="9:45" x14ac:dyDescent="0.15">
      <c r="I191" s="25">
        <v>188</v>
      </c>
      <c r="J191" s="24">
        <f>'[1]资源-钻石'!T191</f>
        <v>983073.38204675296</v>
      </c>
      <c r="K191" s="24">
        <f>'[1]资源-钻石'!U191</f>
        <v>1400008.1152657839</v>
      </c>
      <c r="L191" s="24">
        <f>'[1]资源-钻石'!V191</f>
        <v>2383368.792276571</v>
      </c>
      <c r="M191" s="24">
        <f>'[1]资源-钻石'!W191</f>
        <v>6415495.6715042284</v>
      </c>
      <c r="N191" s="24">
        <f>'[1]资源-钻石'!X191</f>
        <v>15367737.979802068</v>
      </c>
      <c r="AL191" s="37">
        <f>[3]基础状态预期!C201</f>
        <v>4.125</v>
      </c>
      <c r="AM191" s="37">
        <f>[3]基础状态预期!D201</f>
        <v>38.848984787984186</v>
      </c>
      <c r="AO191" s="37">
        <f>[3]基础状态预期!F201</f>
        <v>0</v>
      </c>
      <c r="AP191" s="37">
        <f>[3]基础状态预期!G201</f>
        <v>0</v>
      </c>
      <c r="AQ191" s="37">
        <f>[3]基础状态预期!H201</f>
        <v>0</v>
      </c>
      <c r="AR191" s="37">
        <f>[3]基础状态预期!I201</f>
        <v>6</v>
      </c>
      <c r="AS191" s="37">
        <f>[3]基础状态预期!J201</f>
        <v>0</v>
      </c>
    </row>
    <row r="192" spans="9:45" x14ac:dyDescent="0.15">
      <c r="I192" s="23">
        <v>189</v>
      </c>
      <c r="J192" s="24">
        <f>'[1]资源-钻石'!T192</f>
        <v>988289.1573290017</v>
      </c>
      <c r="K192" s="24">
        <f>'[1]资源-钻石'!U192</f>
        <v>1407359.3275766801</v>
      </c>
      <c r="L192" s="24">
        <f>'[1]资源-钻石'!V192</f>
        <v>2395979.8803680921</v>
      </c>
      <c r="M192" s="24">
        <f>'[1]资源-钻石'!W192</f>
        <v>6449387.8684049016</v>
      </c>
      <c r="N192" s="24">
        <f>'[1]资源-钻石'!X192</f>
        <v>15448839.256925637</v>
      </c>
      <c r="AL192" s="37">
        <f>[3]基础状态预期!C202</f>
        <v>5.5</v>
      </c>
      <c r="AM192" s="37">
        <f>[3]基础状态预期!D202</f>
        <v>42.643360270022924</v>
      </c>
      <c r="AO192" s="37">
        <f>[3]基础状态预期!F202</f>
        <v>0</v>
      </c>
      <c r="AP192" s="37">
        <f>[3]基础状态预期!G202</f>
        <v>0</v>
      </c>
      <c r="AQ192" s="37">
        <f>[3]基础状态预期!H202</f>
        <v>0</v>
      </c>
      <c r="AR192" s="37">
        <f>[3]基础状态预期!I202</f>
        <v>6</v>
      </c>
      <c r="AS192" s="37">
        <f>[3]基础状态预期!J202</f>
        <v>0</v>
      </c>
    </row>
    <row r="193" spans="9:45" x14ac:dyDescent="0.15">
      <c r="I193" s="23">
        <v>190</v>
      </c>
      <c r="J193" s="24">
        <f>'[1]资源-钻石'!T193</f>
        <v>993504.93261125032</v>
      </c>
      <c r="K193" s="24">
        <f>'[1]资源-钻石'!U193</f>
        <v>1414710.5398875766</v>
      </c>
      <c r="L193" s="24">
        <f>'[1]资源-钻石'!V193</f>
        <v>2408590.9684596127</v>
      </c>
      <c r="M193" s="24">
        <f>'[1]资源-钻石'!W193</f>
        <v>6483280.0653055739</v>
      </c>
      <c r="N193" s="24">
        <f>'[1]资源-钻石'!X193</f>
        <v>15529940.534049205</v>
      </c>
      <c r="AL193" s="37">
        <f>[3]基础状态预期!C203</f>
        <v>8.25</v>
      </c>
      <c r="AM193" s="37">
        <f>[3]基础状态预期!D203</f>
        <v>48.493134765265182</v>
      </c>
      <c r="AO193" s="37">
        <f>[3]基础状态预期!F203</f>
        <v>0</v>
      </c>
      <c r="AP193" s="37">
        <f>[3]基础状态预期!G203</f>
        <v>0</v>
      </c>
      <c r="AQ193" s="37">
        <f>[3]基础状态预期!H203</f>
        <v>0</v>
      </c>
      <c r="AR193" s="37">
        <f>[3]基础状态预期!I203</f>
        <v>6</v>
      </c>
      <c r="AS193" s="37">
        <f>[3]基础状态预期!J203</f>
        <v>0</v>
      </c>
    </row>
    <row r="194" spans="9:45" x14ac:dyDescent="0.15">
      <c r="I194" s="23">
        <v>191</v>
      </c>
      <c r="J194" s="24">
        <f>'[1]资源-钻石'!T194</f>
        <v>998720.70789349894</v>
      </c>
      <c r="K194" s="24">
        <f>'[1]资源-钻石'!U194</f>
        <v>1422061.7521984729</v>
      </c>
      <c r="L194" s="24">
        <f>'[1]资源-钻石'!V194</f>
        <v>2421202.0565511337</v>
      </c>
      <c r="M194" s="24">
        <f>'[1]资源-钻石'!W194</f>
        <v>6517172.2622062471</v>
      </c>
      <c r="N194" s="24">
        <f>'[1]资源-钻石'!X194</f>
        <v>15611041.811172776</v>
      </c>
      <c r="AL194" s="37">
        <f>[3]基础状态预期!C204</f>
        <v>11</v>
      </c>
      <c r="AM194" s="37">
        <f>[3]基础状态预期!D204</f>
        <v>52.559419343629337</v>
      </c>
      <c r="AO194" s="37">
        <f>[3]基础状态预期!F204</f>
        <v>0</v>
      </c>
      <c r="AP194" s="37">
        <f>[3]基础状态预期!G204</f>
        <v>0</v>
      </c>
      <c r="AQ194" s="37">
        <f>[3]基础状态预期!H204</f>
        <v>0</v>
      </c>
      <c r="AR194" s="37">
        <f>[3]基础状态预期!I204</f>
        <v>5</v>
      </c>
      <c r="AS194" s="37">
        <f>[3]基础状态预期!J204</f>
        <v>1</v>
      </c>
    </row>
    <row r="195" spans="9:45" x14ac:dyDescent="0.15">
      <c r="I195" s="23">
        <v>192</v>
      </c>
      <c r="J195" s="24">
        <f>'[1]资源-钻石'!T195</f>
        <v>1003936.4831757477</v>
      </c>
      <c r="K195" s="24">
        <f>'[1]资源-钻石'!U195</f>
        <v>1429412.9645093693</v>
      </c>
      <c r="L195" s="24">
        <f>'[1]资源-钻石'!V195</f>
        <v>2433813.1446426548</v>
      </c>
      <c r="M195" s="24">
        <f>'[1]资源-钻石'!W195</f>
        <v>6551064.4591069203</v>
      </c>
      <c r="N195" s="24">
        <f>'[1]资源-钻石'!X195</f>
        <v>15692143.088296345</v>
      </c>
      <c r="AL195" s="37">
        <f>[3]基础状态预期!C205</f>
        <v>16.5</v>
      </c>
      <c r="AM195" s="37">
        <f>[3]基础状态预期!D205</f>
        <v>58.560986008166232</v>
      </c>
      <c r="AO195" s="37">
        <f>[3]基础状态预期!F205</f>
        <v>0</v>
      </c>
      <c r="AP195" s="37">
        <f>[3]基础状态预期!G205</f>
        <v>0</v>
      </c>
      <c r="AQ195" s="37">
        <f>[3]基础状态预期!H205</f>
        <v>0</v>
      </c>
      <c r="AR195" s="37">
        <f>[3]基础状态预期!I205</f>
        <v>4</v>
      </c>
      <c r="AS195" s="37">
        <f>[3]基础状态预期!J205</f>
        <v>2</v>
      </c>
    </row>
    <row r="196" spans="9:45" x14ac:dyDescent="0.15">
      <c r="I196" s="25">
        <v>193</v>
      </c>
      <c r="J196" s="24">
        <f>'[1]资源-钻石'!T196</f>
        <v>1009152.2584579963</v>
      </c>
      <c r="K196" s="24">
        <f>'[1]资源-钻石'!U196</f>
        <v>1436827.484303796</v>
      </c>
      <c r="L196" s="24">
        <f>'[1]资源-钻石'!V196</f>
        <v>2446424.2327341754</v>
      </c>
      <c r="M196" s="24">
        <f>'[1]资源-钻石'!W196</f>
        <v>6584956.6560075935</v>
      </c>
      <c r="N196" s="24">
        <f>'[1]资源-钻石'!X196</f>
        <v>15773249.821608352</v>
      </c>
      <c r="AL196" s="37">
        <f>[3]基础状态预期!C206</f>
        <v>24.750000000000004</v>
      </c>
      <c r="AM196" s="37">
        <f>[3]基础状态预期!D206</f>
        <v>64.247064283227857</v>
      </c>
      <c r="AO196" s="37">
        <f>[3]基础状态预期!F206</f>
        <v>0</v>
      </c>
      <c r="AP196" s="37">
        <f>[3]基础状态预期!G206</f>
        <v>0</v>
      </c>
      <c r="AQ196" s="37">
        <f>[3]基础状态预期!H206</f>
        <v>0</v>
      </c>
      <c r="AR196" s="37">
        <f>[3]基础状态预期!I206</f>
        <v>3</v>
      </c>
      <c r="AS196" s="37">
        <f>[3]基础状态预期!J206</f>
        <v>3</v>
      </c>
    </row>
    <row r="197" spans="9:45" x14ac:dyDescent="0.15">
      <c r="I197" s="25">
        <v>194</v>
      </c>
      <c r="J197" s="24">
        <f>'[1]资源-钻石'!T197</f>
        <v>1014368.033740245</v>
      </c>
      <c r="K197" s="24">
        <f>'[1]资源-钻石'!U197</f>
        <v>1444244.8371142696</v>
      </c>
      <c r="L197" s="24">
        <f>'[1]资源-钻石'!V197</f>
        <v>2459035.3208256965</v>
      </c>
      <c r="M197" s="24">
        <f>'[1]资源-钻石'!W197</f>
        <v>6618848.8529082658</v>
      </c>
      <c r="N197" s="24">
        <f>'[1]资源-钻石'!X197</f>
        <v>15854386.238199091</v>
      </c>
      <c r="AL197" s="37">
        <f>[3]基础状态预期!C207</f>
        <v>33</v>
      </c>
      <c r="AM197" s="37">
        <f>[3]基础状态预期!D207</f>
        <v>68.518369035696878</v>
      </c>
      <c r="AO197" s="37">
        <f>[3]基础状态预期!F207</f>
        <v>0</v>
      </c>
      <c r="AP197" s="37">
        <f>[3]基础状态预期!G207</f>
        <v>0</v>
      </c>
      <c r="AQ197" s="37">
        <f>[3]基础状态预期!H207</f>
        <v>0</v>
      </c>
      <c r="AR197" s="37">
        <f>[3]基础状态预期!I207</f>
        <v>2</v>
      </c>
      <c r="AS197" s="37">
        <f>[3]基础状态预期!J207</f>
        <v>4</v>
      </c>
    </row>
    <row r="198" spans="9:45" x14ac:dyDescent="0.15">
      <c r="I198" s="23">
        <v>195</v>
      </c>
      <c r="J198" s="24">
        <f>'[1]资源-钻石'!T198</f>
        <v>1019583.8090224937</v>
      </c>
      <c r="K198" s="24">
        <f>'[1]资源-钻石'!U198</f>
        <v>1451662.189924743</v>
      </c>
      <c r="L198" s="24">
        <f>'[1]资源-钻石'!V198</f>
        <v>2471646.4089172175</v>
      </c>
      <c r="M198" s="24">
        <f>'[1]资源-钻石'!W198</f>
        <v>6652741.049808939</v>
      </c>
      <c r="N198" s="24">
        <f>'[1]资源-钻石'!X198</f>
        <v>15935522.654789831</v>
      </c>
      <c r="AL198" s="37">
        <f>[3]基础状态预期!C208</f>
        <v>41.25</v>
      </c>
      <c r="AM198" s="37">
        <f>[3]基础状态预期!D208</f>
        <v>71.7664716439551</v>
      </c>
      <c r="AO198" s="37">
        <f>[3]基础状态预期!F208</f>
        <v>0</v>
      </c>
      <c r="AP198" s="37">
        <f>[3]基础状态预期!G208</f>
        <v>0</v>
      </c>
      <c r="AQ198" s="37">
        <f>[3]基础状态预期!H208</f>
        <v>0</v>
      </c>
      <c r="AR198" s="37">
        <f>[3]基础状态预期!I208</f>
        <v>1</v>
      </c>
      <c r="AS198" s="37">
        <f>[3]基础状态预期!J208</f>
        <v>5</v>
      </c>
    </row>
    <row r="199" spans="9:45" x14ac:dyDescent="0.15">
      <c r="I199" s="23">
        <v>196</v>
      </c>
      <c r="J199" s="24">
        <f>'[1]资源-钻石'!T199</f>
        <v>1024799.5843047424</v>
      </c>
      <c r="K199" s="24">
        <f>'[1]资源-钻石'!U199</f>
        <v>1459079.5427352167</v>
      </c>
      <c r="L199" s="24">
        <f>'[1]资源-钻石'!V199</f>
        <v>2484257.4970087386</v>
      </c>
      <c r="M199" s="24">
        <f>'[1]资源-钻石'!W199</f>
        <v>6686633.2467096122</v>
      </c>
      <c r="N199" s="24">
        <f>'[1]资源-钻石'!X199</f>
        <v>16016659.071380571</v>
      </c>
      <c r="AL199" s="37">
        <f>[3]基础状态预期!C209</f>
        <v>49.500000000000007</v>
      </c>
      <c r="AM199" s="37">
        <f>[3]基础状态预期!D209</f>
        <v>74.370993278111257</v>
      </c>
      <c r="AO199" s="37">
        <f>[3]基础状态预期!F209</f>
        <v>0</v>
      </c>
      <c r="AP199" s="37">
        <f>[3]基础状态预期!G209</f>
        <v>0</v>
      </c>
      <c r="AQ199" s="37">
        <f>[3]基础状态预期!H209</f>
        <v>0</v>
      </c>
      <c r="AR199" s="37">
        <f>[3]基础状态预期!I209</f>
        <v>0.5</v>
      </c>
      <c r="AS199" s="37">
        <f>[3]基础状态预期!J209</f>
        <v>5.5</v>
      </c>
    </row>
    <row r="200" spans="9:45" x14ac:dyDescent="0.15">
      <c r="I200" s="23">
        <v>197</v>
      </c>
      <c r="J200" s="24">
        <f>'[1]资源-钻石'!T200</f>
        <v>1030015.359586991</v>
      </c>
      <c r="K200" s="24">
        <f>'[1]资源-钻石'!U200</f>
        <v>1466496.8955456903</v>
      </c>
      <c r="L200" s="24">
        <f>'[1]资源-钻石'!V200</f>
        <v>2496868.5851002592</v>
      </c>
      <c r="M200" s="24">
        <f>'[1]资源-钻石'!W200</f>
        <v>6720525.4436102854</v>
      </c>
      <c r="N200" s="24">
        <f>'[1]资源-钻石'!X200</f>
        <v>16097795.487971311</v>
      </c>
      <c r="AL200" s="37">
        <f>[3]基础状态预期!C210</f>
        <v>60.500000000000007</v>
      </c>
      <c r="AM200" s="37">
        <f>[3]基础状态预期!D210</f>
        <v>77.234275947206214</v>
      </c>
      <c r="AO200" s="37">
        <f>[3]基础状态预期!F210</f>
        <v>0</v>
      </c>
      <c r="AP200" s="37">
        <f>[3]基础状态预期!G210</f>
        <v>0</v>
      </c>
      <c r="AQ200" s="37">
        <f>[3]基础状态预期!H210</f>
        <v>0</v>
      </c>
      <c r="AR200" s="37">
        <f>[3]基础状态预期!I210</f>
        <v>0</v>
      </c>
      <c r="AS200" s="37">
        <f>[3]基础状态预期!J210</f>
        <v>6</v>
      </c>
    </row>
    <row r="201" spans="9:45" x14ac:dyDescent="0.15">
      <c r="I201" s="23">
        <v>198</v>
      </c>
      <c r="J201" s="24">
        <f>'[1]资源-钻石'!T201</f>
        <v>1035231.1348692398</v>
      </c>
      <c r="K201" s="24">
        <f>'[1]资源-钻石'!U201</f>
        <v>1473914.2483561637</v>
      </c>
      <c r="L201" s="24">
        <f>'[1]资源-钻石'!V201</f>
        <v>2509479.6731917802</v>
      </c>
      <c r="M201" s="24">
        <f>'[1]资源-钻石'!W201</f>
        <v>6754417.6405109577</v>
      </c>
      <c r="N201" s="24">
        <f>'[1]资源-钻石'!X201</f>
        <v>16178931.904562052</v>
      </c>
      <c r="AL201" s="37">
        <f>[3]基础状态预期!C211</f>
        <v>71.5</v>
      </c>
      <c r="AM201" s="37">
        <f>[3]基础状态预期!D211</f>
        <v>79.725666247801229</v>
      </c>
      <c r="AO201" s="37">
        <f>[3]基础状态预期!F211</f>
        <v>0</v>
      </c>
      <c r="AP201" s="37">
        <f>[3]基础状态预期!G211</f>
        <v>0</v>
      </c>
      <c r="AQ201" s="37">
        <f>[3]基础状态预期!H211</f>
        <v>0</v>
      </c>
      <c r="AR201" s="37">
        <f>[3]基础状态预期!I211</f>
        <v>0</v>
      </c>
      <c r="AS201" s="37">
        <f>[3]基础状态预期!J211</f>
        <v>6</v>
      </c>
    </row>
    <row r="202" spans="9:45" x14ac:dyDescent="0.15">
      <c r="I202" s="25">
        <v>199</v>
      </c>
      <c r="J202" s="24">
        <f>'[1]资源-钻石'!T202</f>
        <v>1040446.9101514884</v>
      </c>
      <c r="K202" s="24">
        <f>'[1]资源-钻石'!U202</f>
        <v>1481331.6011666374</v>
      </c>
      <c r="L202" s="24">
        <f>'[1]资源-钻石'!V202</f>
        <v>2522090.7612833013</v>
      </c>
      <c r="M202" s="24">
        <f>'[1]资源-钻石'!W202</f>
        <v>6788309.8374116309</v>
      </c>
      <c r="N202" s="24">
        <f>'[1]资源-钻石'!X202</f>
        <v>16260068.321152791</v>
      </c>
      <c r="AL202" s="37">
        <f>[3]基础状态预期!C212</f>
        <v>82.5</v>
      </c>
      <c r="AM202" s="37">
        <f>[3]基础状态预期!D212</f>
        <v>81.863982387630472</v>
      </c>
      <c r="AO202" s="37">
        <f>[3]基础状态预期!F212</f>
        <v>0</v>
      </c>
      <c r="AP202" s="37">
        <f>[3]基础状态预期!G212</f>
        <v>0</v>
      </c>
      <c r="AQ202" s="37">
        <f>[3]基础状态预期!H212</f>
        <v>0</v>
      </c>
      <c r="AR202" s="37">
        <f>[3]基础状态预期!I212</f>
        <v>0</v>
      </c>
      <c r="AS202" s="37">
        <f>[3]基础状态预期!J212</f>
        <v>6</v>
      </c>
    </row>
    <row r="203" spans="9:45" x14ac:dyDescent="0.15">
      <c r="I203" s="25">
        <v>200</v>
      </c>
      <c r="J203" s="24">
        <f>'[1]资源-钻石'!T203</f>
        <v>1045662.685433737</v>
      </c>
      <c r="K203" s="24">
        <f>'[1]资源-钻石'!U203</f>
        <v>1488748.9539771108</v>
      </c>
      <c r="L203" s="24">
        <f>'[1]资源-钻石'!V203</f>
        <v>2534701.8493748219</v>
      </c>
      <c r="M203" s="24">
        <f>'[1]资源-钻石'!W203</f>
        <v>6822202.0343123041</v>
      </c>
      <c r="N203" s="24">
        <f>'[1]资源-钻石'!X203</f>
        <v>16341204.737743532</v>
      </c>
      <c r="AL203" s="37">
        <f>[3]基础状态预期!C213</f>
        <v>93.500000000000014</v>
      </c>
      <c r="AM203" s="37">
        <f>[3]基础状态预期!D213</f>
        <v>83.667042947574714</v>
      </c>
      <c r="AO203" s="37">
        <f>[3]基础状态预期!F213</f>
        <v>0</v>
      </c>
      <c r="AP203" s="37">
        <f>[3]基础状态预期!G213</f>
        <v>0</v>
      </c>
      <c r="AQ203" s="37">
        <f>[3]基础状态预期!H213</f>
        <v>0</v>
      </c>
      <c r="AR203" s="37">
        <f>[3]基础状态预期!I213</f>
        <v>0</v>
      </c>
      <c r="AS203" s="37">
        <f>[3]基础状态预期!J213</f>
        <v>6</v>
      </c>
    </row>
    <row r="204" spans="9:45" x14ac:dyDescent="0.15">
      <c r="I204" s="23">
        <v>201</v>
      </c>
      <c r="J204" s="24">
        <f>'[1]资源-钻石'!T204</f>
        <v>1050878.4607159859</v>
      </c>
      <c r="K204" s="24">
        <f>'[1]资源-钻石'!U204</f>
        <v>1496166.3067875844</v>
      </c>
      <c r="L204" s="24">
        <f>'[1]资源-钻石'!V204</f>
        <v>2547312.9374663429</v>
      </c>
      <c r="M204" s="24">
        <f>'[1]资源-钻石'!W204</f>
        <v>6856094.2312129773</v>
      </c>
      <c r="N204" s="24">
        <f>'[1]资源-钻石'!X204</f>
        <v>16422341.154334273</v>
      </c>
      <c r="AL204" s="37">
        <f>[3]基础状态预期!C214</f>
        <v>110.00000000000001</v>
      </c>
      <c r="AM204" s="37">
        <f>[3]基础状态预期!D214</f>
        <v>86.154780808490059</v>
      </c>
      <c r="AO204" s="37">
        <f>[3]基础状态预期!F214</f>
        <v>0</v>
      </c>
      <c r="AP204" s="37">
        <f>[3]基础状态预期!G214</f>
        <v>0</v>
      </c>
      <c r="AQ204" s="37">
        <f>[3]基础状态预期!H214</f>
        <v>0</v>
      </c>
      <c r="AR204" s="37">
        <f>[3]基础状态预期!I214</f>
        <v>0</v>
      </c>
      <c r="AS204" s="37">
        <f>[3]基础状态预期!J214</f>
        <v>6</v>
      </c>
    </row>
    <row r="205" spans="9:45" x14ac:dyDescent="0.15">
      <c r="I205" s="23">
        <v>202</v>
      </c>
      <c r="J205" s="24">
        <f>'[1]资源-钻石'!T205</f>
        <v>1056094.2359982345</v>
      </c>
      <c r="K205" s="24">
        <f>'[1]资源-钻石'!U205</f>
        <v>1503583.6595980579</v>
      </c>
      <c r="L205" s="24">
        <f>'[1]资源-钻石'!V205</f>
        <v>2559924.025557864</v>
      </c>
      <c r="M205" s="24">
        <f>'[1]资源-钻石'!W205</f>
        <v>6889986.4281136505</v>
      </c>
      <c r="N205" s="24">
        <f>'[1]资源-钻石'!X205</f>
        <v>16503477.570925012</v>
      </c>
      <c r="AL205" s="37">
        <f>[3]基础状态预期!C215</f>
        <v>143</v>
      </c>
      <c r="AM205" s="37">
        <f>[3]基础状态预期!D215</f>
        <v>90.480184629206022</v>
      </c>
      <c r="AO205" s="37">
        <f>[3]基础状态预期!F215</f>
        <v>0</v>
      </c>
      <c r="AP205" s="37">
        <f>[3]基础状态预期!G215</f>
        <v>0</v>
      </c>
      <c r="AQ205" s="37">
        <f>[3]基础状态预期!H215</f>
        <v>0</v>
      </c>
      <c r="AR205" s="37">
        <f>[3]基础状态预期!I215</f>
        <v>0</v>
      </c>
      <c r="AS205" s="37">
        <f>[3]基础状态预期!J215</f>
        <v>6</v>
      </c>
    </row>
    <row r="206" spans="9:45" x14ac:dyDescent="0.15">
      <c r="I206" s="23">
        <v>203</v>
      </c>
      <c r="J206" s="24">
        <f>'[1]资源-钻石'!T206</f>
        <v>1061310.0112804831</v>
      </c>
      <c r="K206" s="24">
        <f>'[1]资源-钻石'!U206</f>
        <v>1511001.0124085315</v>
      </c>
      <c r="L206" s="24">
        <f>'[1]资源-钻石'!V206</f>
        <v>2572535.113649385</v>
      </c>
      <c r="M206" s="24">
        <f>'[1]资源-钻石'!W206</f>
        <v>6923878.6250143237</v>
      </c>
      <c r="N206" s="24">
        <f>'[1]资源-钻石'!X206</f>
        <v>16584613.987515753</v>
      </c>
      <c r="AL206" s="37">
        <f>[3]基础状态预期!C216</f>
        <v>176</v>
      </c>
      <c r="AM206" s="37">
        <f>[3]基础状态预期!D216</f>
        <v>93.6774218048877</v>
      </c>
      <c r="AO206" s="37">
        <f>[3]基础状态预期!F216</f>
        <v>0</v>
      </c>
      <c r="AP206" s="37">
        <f>[3]基础状态预期!G216</f>
        <v>0</v>
      </c>
      <c r="AQ206" s="37">
        <f>[3]基础状态预期!H216</f>
        <v>0</v>
      </c>
      <c r="AR206" s="37">
        <f>[3]基础状态预期!I216</f>
        <v>0</v>
      </c>
      <c r="AS206" s="37">
        <f>[3]基础状态预期!J216</f>
        <v>6</v>
      </c>
    </row>
    <row r="207" spans="9:45" x14ac:dyDescent="0.15">
      <c r="I207" s="23">
        <v>204</v>
      </c>
      <c r="J207" s="24">
        <f>'[1]资源-钻石'!T207</f>
        <v>1066525.7865627317</v>
      </c>
      <c r="K207" s="24">
        <f>'[1]资源-钻石'!U207</f>
        <v>1518418.3652190049</v>
      </c>
      <c r="L207" s="24">
        <f>'[1]资源-钻石'!V207</f>
        <v>2585146.2017409056</v>
      </c>
      <c r="M207" s="24">
        <f>'[1]资源-钻石'!W207</f>
        <v>6957770.821914996</v>
      </c>
      <c r="N207" s="24">
        <f>'[1]资源-钻石'!X207</f>
        <v>16665750.404106492</v>
      </c>
      <c r="P207" s="29"/>
      <c r="AL207" s="37">
        <f>[3]基础状态预期!C217</f>
        <v>225.50000000000003</v>
      </c>
      <c r="AM207" s="37">
        <f>[3]基础状态预期!D217</f>
        <v>97.125654465362558</v>
      </c>
      <c r="AO207" s="37">
        <f>[3]基础状态预期!F217</f>
        <v>0</v>
      </c>
      <c r="AP207" s="37">
        <f>[3]基础状态预期!G217</f>
        <v>0</v>
      </c>
      <c r="AQ207" s="37">
        <f>[3]基础状态预期!H217</f>
        <v>0</v>
      </c>
      <c r="AR207" s="37">
        <f>[3]基础状态预期!I217</f>
        <v>0</v>
      </c>
      <c r="AS207" s="37">
        <f>[3]基础状态预期!J217</f>
        <v>6</v>
      </c>
    </row>
    <row r="208" spans="9:45" x14ac:dyDescent="0.15">
      <c r="I208" s="25">
        <v>205</v>
      </c>
      <c r="J208" s="24">
        <f>'[1]资源-钻石'!T208</f>
        <v>1071741.5618449803</v>
      </c>
      <c r="K208" s="24">
        <f>'[1]资源-钻石'!U208</f>
        <v>1525835.7180294786</v>
      </c>
      <c r="L208" s="24">
        <f>'[1]资源-钻石'!V208</f>
        <v>2597757.2898324267</v>
      </c>
      <c r="M208" s="24">
        <f>'[1]资源-钻石'!W208</f>
        <v>6991663.0188156692</v>
      </c>
      <c r="N208" s="24">
        <f>'[1]资源-钻石'!X208</f>
        <v>16746886.820697233</v>
      </c>
      <c r="AL208" s="37">
        <f>[3]基础状态预期!C218</f>
        <v>291.5</v>
      </c>
      <c r="AM208" s="37">
        <f>[3]基础状态预期!D218</f>
        <v>100.89689545435591</v>
      </c>
      <c r="AO208" s="37">
        <f>[3]基础状态预期!F218</f>
        <v>0</v>
      </c>
      <c r="AP208" s="37">
        <f>[3]基础状态预期!G218</f>
        <v>0</v>
      </c>
      <c r="AQ208" s="37">
        <f>[3]基础状态预期!H218</f>
        <v>0</v>
      </c>
      <c r="AR208" s="37">
        <f>[3]基础状态预期!I218</f>
        <v>0</v>
      </c>
      <c r="AS208" s="37">
        <f>[3]基础状态预期!J218</f>
        <v>6</v>
      </c>
    </row>
    <row r="209" spans="9:45" x14ac:dyDescent="0.15">
      <c r="I209" s="25">
        <v>206</v>
      </c>
      <c r="J209" s="24">
        <f>'[1]资源-钻石'!T209</f>
        <v>1076957.3371272292</v>
      </c>
      <c r="K209" s="24">
        <f>'[1]资源-钻石'!U209</f>
        <v>1533253.0708399522</v>
      </c>
      <c r="L209" s="24">
        <f>'[1]资源-钻石'!V209</f>
        <v>2610368.3779239478</v>
      </c>
      <c r="M209" s="24">
        <f>'[1]资源-钻石'!W209</f>
        <v>7025555.2157163424</v>
      </c>
      <c r="N209" s="24">
        <f>'[1]资源-钻石'!X209</f>
        <v>16828023.237287972</v>
      </c>
      <c r="AL209" s="37">
        <f>[3]基础状态预期!C219</f>
        <v>374.00000000000006</v>
      </c>
      <c r="AM209" s="37">
        <f>[3]基础状态预期!D219</f>
        <v>104.52148587104635</v>
      </c>
      <c r="AO209" s="37">
        <f>[3]基础状态预期!F219</f>
        <v>0</v>
      </c>
      <c r="AP209" s="37">
        <f>[3]基础状态预期!G219</f>
        <v>0</v>
      </c>
      <c r="AQ209" s="37">
        <f>[3]基础状态预期!H219</f>
        <v>0</v>
      </c>
      <c r="AR209" s="37">
        <f>[3]基础状态预期!I219</f>
        <v>0</v>
      </c>
      <c r="AS209" s="37">
        <f>[3]基础状态预期!J219</f>
        <v>6</v>
      </c>
    </row>
    <row r="210" spans="9:45" x14ac:dyDescent="0.15">
      <c r="I210" s="23">
        <v>207</v>
      </c>
      <c r="J210" s="24">
        <f>'[1]资源-钻石'!T210</f>
        <v>1082173.1124094778</v>
      </c>
      <c r="K210" s="24">
        <f>'[1]资源-钻石'!U210</f>
        <v>1540670.4236504256</v>
      </c>
      <c r="L210" s="24">
        <f>'[1]资源-钻石'!V210</f>
        <v>2622979.4660154684</v>
      </c>
      <c r="M210" s="24">
        <f>'[1]资源-钻石'!W210</f>
        <v>7059447.4126170157</v>
      </c>
      <c r="N210" s="24">
        <f>'[1]资源-钻石'!X210</f>
        <v>16909159.653878715</v>
      </c>
      <c r="AL210" s="37">
        <f>[3]基础状态预期!C220</f>
        <v>473.00000000000006</v>
      </c>
      <c r="AM210" s="37">
        <f>[3]基础状态预期!D220</f>
        <v>108.05586950728798</v>
      </c>
      <c r="AO210" s="37">
        <f>[3]基础状态预期!F220</f>
        <v>0</v>
      </c>
      <c r="AP210" s="37">
        <f>[3]基础状态预期!G220</f>
        <v>0</v>
      </c>
      <c r="AQ210" s="37">
        <f>[3]基础状态预期!H220</f>
        <v>0</v>
      </c>
      <c r="AR210" s="37">
        <f>[3]基础状态预期!I220</f>
        <v>0</v>
      </c>
      <c r="AS210" s="37">
        <f>[3]基础状态预期!J220</f>
        <v>6</v>
      </c>
    </row>
    <row r="211" spans="9:45" x14ac:dyDescent="0.15">
      <c r="I211" s="23">
        <v>208</v>
      </c>
      <c r="J211" s="24">
        <f>'[1]资源-钻石'!T211</f>
        <v>1087388.8876917264</v>
      </c>
      <c r="K211" s="24">
        <f>'[1]资源-钻石'!U211</f>
        <v>1548087.7764608993</v>
      </c>
      <c r="L211" s="24">
        <f>'[1]资源-钻石'!V211</f>
        <v>2635590.5541069894</v>
      </c>
      <c r="M211" s="24">
        <f>'[1]资源-钻石'!W211</f>
        <v>7093339.6095176889</v>
      </c>
      <c r="N211" s="24">
        <f>'[1]资源-钻石'!X211</f>
        <v>16990296.070469454</v>
      </c>
      <c r="AL211" s="37">
        <f>[3]基础状态预期!C221</f>
        <v>605</v>
      </c>
      <c r="AM211" s="37">
        <f>[3]基础状态预期!D221</f>
        <v>111.54601176466306</v>
      </c>
      <c r="AO211" s="37">
        <f>[3]基础状态预期!F221</f>
        <v>0</v>
      </c>
      <c r="AP211" s="37">
        <f>[3]基础状态预期!G221</f>
        <v>0</v>
      </c>
      <c r="AQ211" s="37">
        <f>[3]基础状态预期!H221</f>
        <v>0</v>
      </c>
      <c r="AR211" s="37">
        <f>[3]基础状态预期!I221</f>
        <v>0</v>
      </c>
      <c r="AS211" s="37">
        <f>[3]基础状态预期!J221</f>
        <v>6</v>
      </c>
    </row>
    <row r="212" spans="9:45" x14ac:dyDescent="0.15">
      <c r="I212" s="23">
        <v>209</v>
      </c>
      <c r="J212" s="24">
        <f>'[1]资源-钻石'!T212</f>
        <v>1092604.6629739751</v>
      </c>
      <c r="K212" s="24">
        <f>'[1]资源-钻石'!U212</f>
        <v>1555505.1292713727</v>
      </c>
      <c r="L212" s="24">
        <f>'[1]资源-钻石'!V212</f>
        <v>2648201.6421985105</v>
      </c>
      <c r="M212" s="24">
        <f>'[1]资源-钻石'!W212</f>
        <v>7127231.8064183611</v>
      </c>
      <c r="N212" s="24">
        <f>'[1]资源-钻石'!X212</f>
        <v>17071432.487060193</v>
      </c>
      <c r="AL212" s="37">
        <f>[3]基础状态预期!C222</f>
        <v>770.00000000000011</v>
      </c>
      <c r="AM212" s="37">
        <f>[3]基础状态预期!D222</f>
        <v>115.20444967370992</v>
      </c>
      <c r="AO212" s="37">
        <f>[3]基础状态预期!F222</f>
        <v>0</v>
      </c>
      <c r="AP212" s="37">
        <f>[3]基础状态预期!G222</f>
        <v>0</v>
      </c>
      <c r="AQ212" s="37">
        <f>[3]基础状态预期!H222</f>
        <v>0</v>
      </c>
      <c r="AR212" s="37">
        <f>[3]基础状态预期!I222</f>
        <v>0</v>
      </c>
      <c r="AS212" s="37">
        <f>[3]基础状态预期!J222</f>
        <v>6</v>
      </c>
    </row>
    <row r="213" spans="9:45" x14ac:dyDescent="0.15">
      <c r="I213" s="23">
        <v>210</v>
      </c>
      <c r="J213" s="24">
        <f>'[1]资源-钻石'!T213</f>
        <v>1097820.4382562239</v>
      </c>
      <c r="K213" s="24">
        <f>'[1]资源-钻石'!U213</f>
        <v>1562922.4820818463</v>
      </c>
      <c r="L213" s="24">
        <f>'[1]资源-钻石'!V213</f>
        <v>2660812.7302900311</v>
      </c>
      <c r="M213" s="24">
        <f>'[1]资源-钻石'!W213</f>
        <v>7161124.0033190344</v>
      </c>
      <c r="N213" s="24">
        <f>'[1]资源-钻石'!X213</f>
        <v>17152568.903650936</v>
      </c>
      <c r="AL213" s="37">
        <f>[3]基础状态预期!C223</f>
        <v>984.50000000000011</v>
      </c>
      <c r="AM213" s="37">
        <f>[3]基础状态预期!D223</f>
        <v>118.75432507225094</v>
      </c>
      <c r="AO213" s="37">
        <f>[3]基础状态预期!F223</f>
        <v>0</v>
      </c>
      <c r="AP213" s="37">
        <f>[3]基础状态预期!G223</f>
        <v>0</v>
      </c>
      <c r="AQ213" s="37">
        <f>[3]基础状态预期!H223</f>
        <v>0</v>
      </c>
      <c r="AR213" s="37">
        <f>[3]基础状态预期!I223</f>
        <v>0</v>
      </c>
      <c r="AS213" s="37">
        <f>[3]基础状态预期!J223</f>
        <v>6</v>
      </c>
    </row>
    <row r="214" spans="9:45" x14ac:dyDescent="0.15">
      <c r="I214" s="25">
        <v>211</v>
      </c>
      <c r="J214" s="24">
        <f>'[1]资源-钻石'!T214</f>
        <v>1103036.2135384725</v>
      </c>
      <c r="K214" s="24">
        <f>'[1]资源-钻石'!U214</f>
        <v>1570339.8348923197</v>
      </c>
      <c r="L214" s="24">
        <f>'[1]资源-钻石'!V214</f>
        <v>2673423.8183815521</v>
      </c>
      <c r="M214" s="24">
        <f>'[1]资源-钻石'!W214</f>
        <v>7195016.2002197076</v>
      </c>
      <c r="N214" s="24">
        <f>'[1]资源-钻石'!X214</f>
        <v>17233705.320241675</v>
      </c>
      <c r="AL214" s="37">
        <f>[3]基础状态预期!C224</f>
        <v>1248.5</v>
      </c>
      <c r="AM214" s="37">
        <f>[3]基础状态预期!D224</f>
        <v>122.26514676047371</v>
      </c>
      <c r="AO214" s="37">
        <f>[3]基础状态预期!F224</f>
        <v>0</v>
      </c>
      <c r="AP214" s="37">
        <f>[3]基础状态预期!G224</f>
        <v>0</v>
      </c>
      <c r="AQ214" s="37">
        <f>[3]基础状态预期!H224</f>
        <v>0</v>
      </c>
      <c r="AR214" s="37">
        <f>[3]基础状态预期!I224</f>
        <v>0</v>
      </c>
      <c r="AS214" s="37">
        <f>[3]基础状态预期!J224</f>
        <v>6</v>
      </c>
    </row>
    <row r="215" spans="9:45" x14ac:dyDescent="0.15">
      <c r="I215" s="25">
        <v>212</v>
      </c>
      <c r="J215" s="24">
        <f>'[1]资源-钻石'!T215</f>
        <v>1108251.9888207212</v>
      </c>
      <c r="K215" s="24">
        <f>'[1]资源-钻石'!U215</f>
        <v>1577757.1877027934</v>
      </c>
      <c r="L215" s="24">
        <f>'[1]资源-钻石'!V215</f>
        <v>2686034.9064730732</v>
      </c>
      <c r="M215" s="24">
        <f>'[1]资源-钻石'!W215</f>
        <v>7228908.3971203808</v>
      </c>
      <c r="N215" s="24">
        <f>'[1]资源-钻石'!X215</f>
        <v>17314841.736832414</v>
      </c>
      <c r="AL215" s="37">
        <f>[3]基础状态预期!C225</f>
        <v>1595.0000000000002</v>
      </c>
      <c r="AM215" s="37">
        <f>[3]基础状态预期!D225</f>
        <v>125.84855083483956</v>
      </c>
      <c r="AO215" s="37">
        <f>[3]基础状态预期!F225</f>
        <v>0</v>
      </c>
      <c r="AP215" s="37">
        <f>[3]基础状态预期!G225</f>
        <v>0</v>
      </c>
      <c r="AQ215" s="37">
        <f>[3]基础状态预期!H225</f>
        <v>0</v>
      </c>
      <c r="AR215" s="37">
        <f>[3]基础状态预期!I225</f>
        <v>0</v>
      </c>
      <c r="AS215" s="37">
        <f>[3]基础状态预期!J225</f>
        <v>6</v>
      </c>
    </row>
    <row r="216" spans="9:45" x14ac:dyDescent="0.15">
      <c r="I216" s="23">
        <v>213</v>
      </c>
      <c r="J216" s="24">
        <f>'[1]资源-钻石'!T216</f>
        <v>1113467.7641029698</v>
      </c>
      <c r="K216" s="24">
        <f>'[1]资源-钻石'!U216</f>
        <v>1585174.540513267</v>
      </c>
      <c r="L216" s="24">
        <f>'[1]资源-钻石'!V216</f>
        <v>2698645.9945645938</v>
      </c>
      <c r="M216" s="24">
        <f>'[1]资源-钻石'!W216</f>
        <v>7262800.594021054</v>
      </c>
      <c r="N216" s="24">
        <f>'[1]资源-钻石'!X216</f>
        <v>17395978.153423157</v>
      </c>
      <c r="AL216" s="37">
        <f>[3]基础状态预期!C226</f>
        <v>2040.5000000000002</v>
      </c>
      <c r="AM216" s="37">
        <f>[3]基础状态预期!D226</f>
        <v>129.43528964176323</v>
      </c>
      <c r="AO216" s="37">
        <f>[3]基础状态预期!F226</f>
        <v>0</v>
      </c>
      <c r="AP216" s="37">
        <f>[3]基础状态预期!G226</f>
        <v>0</v>
      </c>
      <c r="AQ216" s="37">
        <f>[3]基础状态预期!H226</f>
        <v>0</v>
      </c>
      <c r="AR216" s="37">
        <f>[3]基础状态预期!I226</f>
        <v>0</v>
      </c>
      <c r="AS216" s="37">
        <f>[3]基础状态预期!J226</f>
        <v>6</v>
      </c>
    </row>
    <row r="217" spans="9:45" x14ac:dyDescent="0.15">
      <c r="I217" s="23">
        <v>214</v>
      </c>
      <c r="J217" s="24">
        <f>'[1]资源-钻石'!T217</f>
        <v>1118683.5393852186</v>
      </c>
      <c r="K217" s="24">
        <f>'[1]资源-钻石'!U217</f>
        <v>1592591.8933237405</v>
      </c>
      <c r="L217" s="24">
        <f>'[1]资源-钻石'!V217</f>
        <v>2711257.0826561148</v>
      </c>
      <c r="M217" s="24">
        <f>'[1]资源-钻石'!W217</f>
        <v>7296692.7909217263</v>
      </c>
      <c r="N217" s="24">
        <f>'[1]资源-钻石'!X217</f>
        <v>17477114.570013896</v>
      </c>
      <c r="AL217" s="37">
        <f>[3]基础状态预期!C227</f>
        <v>2601.5</v>
      </c>
      <c r="AM217" s="37">
        <f>[3]基础状态预期!D227</f>
        <v>133.03192104200832</v>
      </c>
      <c r="AO217" s="37">
        <f>[3]基础状态预期!F227</f>
        <v>0</v>
      </c>
      <c r="AP217" s="37">
        <f>[3]基础状态预期!G227</f>
        <v>0</v>
      </c>
      <c r="AQ217" s="37">
        <f>[3]基础状态预期!H227</f>
        <v>0</v>
      </c>
      <c r="AR217" s="37">
        <f>[3]基础状态预期!I227</f>
        <v>0</v>
      </c>
      <c r="AS217" s="37">
        <f>[3]基础状态预期!J227</f>
        <v>6</v>
      </c>
    </row>
    <row r="218" spans="9:45" x14ac:dyDescent="0.15">
      <c r="I218" s="23">
        <v>215</v>
      </c>
      <c r="J218" s="24">
        <f>'[1]资源-钻石'!T218</f>
        <v>1123899.3146674673</v>
      </c>
      <c r="K218" s="24">
        <f>'[1]资源-钻石'!U218</f>
        <v>1600009.2461342141</v>
      </c>
      <c r="L218" s="24">
        <f>'[1]资源-钻石'!V218</f>
        <v>2723868.1707476359</v>
      </c>
      <c r="M218" s="24">
        <f>'[1]资源-钻石'!W218</f>
        <v>7330584.9878223995</v>
      </c>
      <c r="N218" s="24">
        <f>'[1]资源-钻石'!X218</f>
        <v>17558250.986604638</v>
      </c>
      <c r="AL218" s="37">
        <f>[3]基础状态预期!C228</f>
        <v>3311.0000000000005</v>
      </c>
      <c r="AM218" s="37">
        <f>[3]基础状态预期!D228</f>
        <v>136.45508882162355</v>
      </c>
      <c r="AO218" s="37">
        <f>[3]基础状态预期!F228</f>
        <v>0</v>
      </c>
      <c r="AP218" s="37">
        <f>[3]基础状态预期!G228</f>
        <v>0</v>
      </c>
      <c r="AQ218" s="37">
        <f>[3]基础状态预期!H228</f>
        <v>0</v>
      </c>
      <c r="AR218" s="37">
        <f>[3]基础状态预期!I228</f>
        <v>0</v>
      </c>
      <c r="AS218" s="37">
        <f>[3]基础状态预期!J228</f>
        <v>6</v>
      </c>
    </row>
    <row r="219" spans="9:45" x14ac:dyDescent="0.15">
      <c r="I219" s="23">
        <v>216</v>
      </c>
      <c r="J219" s="24">
        <f>'[1]资源-钻石'!T219</f>
        <v>1129115.0899497159</v>
      </c>
      <c r="K219" s="24">
        <f>'[1]资源-钻石'!U219</f>
        <v>1607426.5989446875</v>
      </c>
      <c r="L219" s="24">
        <f>'[1]资源-钻石'!V219</f>
        <v>2736479.2588391565</v>
      </c>
      <c r="M219" s="24">
        <f>'[1]资源-钻石'!W219</f>
        <v>7364477.1847230727</v>
      </c>
      <c r="N219" s="24">
        <f>'[1]资源-钻石'!X219</f>
        <v>17639387.403195377</v>
      </c>
      <c r="AL219" s="37">
        <f>[3]基础状态预期!C229</f>
        <v>4218.5</v>
      </c>
      <c r="AM219" s="37">
        <f>[3]基础状态预期!D229</f>
        <v>140.08772492574531</v>
      </c>
      <c r="AO219" s="37">
        <f>[3]基础状态预期!F229</f>
        <v>0</v>
      </c>
      <c r="AP219" s="37">
        <f>[3]基础状态预期!G229</f>
        <v>0</v>
      </c>
      <c r="AQ219" s="37">
        <f>[3]基础状态预期!H229</f>
        <v>0</v>
      </c>
      <c r="AR219" s="37">
        <f>[3]基础状态预期!I229</f>
        <v>0</v>
      </c>
      <c r="AS219" s="37">
        <f>[3]基础状态预期!J229</f>
        <v>6</v>
      </c>
    </row>
    <row r="220" spans="9:45" x14ac:dyDescent="0.15">
      <c r="I220" s="25">
        <v>217</v>
      </c>
      <c r="J220" s="24">
        <f>'[1]资源-钻石'!T220</f>
        <v>1134330.8652319645</v>
      </c>
      <c r="K220" s="24">
        <f>'[1]资源-钻石'!U220</f>
        <v>1614843.9517551612</v>
      </c>
      <c r="L220" s="24">
        <f>'[1]资源-钻石'!V220</f>
        <v>2749090.3469306775</v>
      </c>
      <c r="M220" s="24">
        <f>'[1]资源-钻石'!W220</f>
        <v>7398369.3816237459</v>
      </c>
      <c r="N220" s="24">
        <f>'[1]资源-钻石'!X220</f>
        <v>17720523.819786116</v>
      </c>
      <c r="AL220" s="37">
        <f>[3]基础状态预期!C230</f>
        <v>5373.5</v>
      </c>
      <c r="AM220" s="37">
        <f>[3]基础状态预期!D230</f>
        <v>143.51956656528549</v>
      </c>
      <c r="AO220" s="37">
        <f>[3]基础状态预期!F230</f>
        <v>0</v>
      </c>
      <c r="AP220" s="37">
        <f>[3]基础状态预期!G230</f>
        <v>0</v>
      </c>
      <c r="AQ220" s="37">
        <f>[3]基础状态预期!H230</f>
        <v>0</v>
      </c>
      <c r="AR220" s="37">
        <f>[3]基础状态预期!I230</f>
        <v>0</v>
      </c>
      <c r="AS220" s="37">
        <f>[3]基础状态预期!J230</f>
        <v>6</v>
      </c>
    </row>
    <row r="221" spans="9:45" x14ac:dyDescent="0.15">
      <c r="I221" s="25">
        <v>218</v>
      </c>
      <c r="J221" s="24">
        <f>'[1]资源-钻石'!T221</f>
        <v>1139546.6405142134</v>
      </c>
      <c r="K221" s="24">
        <f>'[1]资源-钻石'!U221</f>
        <v>1622261.3045656346</v>
      </c>
      <c r="L221" s="24">
        <f>'[1]资源-钻石'!V221</f>
        <v>2761701.4350221986</v>
      </c>
      <c r="M221" s="24">
        <f>'[1]资源-钻石'!W221</f>
        <v>7432261.5785244191</v>
      </c>
      <c r="N221" s="24">
        <f>'[1]资源-钻石'!X221</f>
        <v>17801660.236376859</v>
      </c>
      <c r="AL221" s="37">
        <f>[3]基础状态预期!C231</f>
        <v>6842.0000000000009</v>
      </c>
      <c r="AM221" s="37">
        <f>[3]基础状态预期!D231</f>
        <v>147.17868266109423</v>
      </c>
      <c r="AO221" s="37">
        <f>[3]基础状态预期!F231</f>
        <v>0</v>
      </c>
      <c r="AP221" s="37">
        <f>[3]基础状态预期!G231</f>
        <v>0</v>
      </c>
      <c r="AQ221" s="37">
        <f>[3]基础状态预期!H231</f>
        <v>0</v>
      </c>
      <c r="AR221" s="37">
        <f>[3]基础状态预期!I231</f>
        <v>0</v>
      </c>
      <c r="AS221" s="37">
        <f>[3]基础状态预期!J231</f>
        <v>6</v>
      </c>
    </row>
    <row r="222" spans="9:45" x14ac:dyDescent="0.15">
      <c r="I222" s="23">
        <v>219</v>
      </c>
      <c r="J222" s="24">
        <f>'[1]资源-钻石'!T222</f>
        <v>1144762.415796462</v>
      </c>
      <c r="K222" s="24">
        <f>'[1]资源-钻石'!U222</f>
        <v>1629678.6573761082</v>
      </c>
      <c r="L222" s="24">
        <f>'[1]资源-钻石'!V222</f>
        <v>2774312.5231137192</v>
      </c>
      <c r="M222" s="24">
        <f>'[1]资源-钻石'!W222</f>
        <v>7466153.7754250914</v>
      </c>
      <c r="N222" s="24">
        <f>'[1]资源-钻石'!X222</f>
        <v>17882796.652967598</v>
      </c>
      <c r="AL222" s="37">
        <f>[3]基础状态预期!C232</f>
        <v>8723</v>
      </c>
      <c r="AM222" s="37">
        <f>[3]基础状态预期!D232</f>
        <v>150.49637054967232</v>
      </c>
      <c r="AO222" s="37">
        <f>[3]基础状态预期!F232</f>
        <v>0</v>
      </c>
      <c r="AP222" s="37">
        <f>[3]基础状态预期!G232</f>
        <v>0</v>
      </c>
      <c r="AQ222" s="37">
        <f>[3]基础状态预期!H232</f>
        <v>0</v>
      </c>
      <c r="AR222" s="37">
        <f>[3]基础状态预期!I232</f>
        <v>0</v>
      </c>
      <c r="AS222" s="37">
        <f>[3]基础状态预期!J232</f>
        <v>6</v>
      </c>
    </row>
    <row r="223" spans="9:45" x14ac:dyDescent="0.15">
      <c r="I223" s="23">
        <v>220</v>
      </c>
      <c r="J223" s="24">
        <f>'[1]资源-钻石'!T223</f>
        <v>1149978.1910787106</v>
      </c>
      <c r="K223" s="24">
        <f>'[1]资源-钻石'!U223</f>
        <v>1637096.0101865819</v>
      </c>
      <c r="L223" s="24">
        <f>'[1]资源-钻石'!V223</f>
        <v>2786923.6112052402</v>
      </c>
      <c r="M223" s="24">
        <f>'[1]资源-钻石'!W223</f>
        <v>7500045.9723257646</v>
      </c>
      <c r="N223" s="24">
        <f>'[1]资源-钻石'!X223</f>
        <v>17963933.069558337</v>
      </c>
      <c r="AL223" s="37">
        <f>[3]基础状态预期!C233</f>
        <v>11115.5</v>
      </c>
      <c r="AM223" s="37">
        <f>[3]基础状态预期!D233</f>
        <v>151.40240982411487</v>
      </c>
      <c r="AO223" s="37">
        <f>[3]基础状态预期!F233</f>
        <v>0</v>
      </c>
      <c r="AP223" s="37">
        <f>[3]基础状态预期!G233</f>
        <v>0</v>
      </c>
      <c r="AQ223" s="37">
        <f>[3]基础状态预期!H233</f>
        <v>0</v>
      </c>
      <c r="AR223" s="37">
        <f>[3]基础状态预期!I233</f>
        <v>0</v>
      </c>
      <c r="AS223" s="37">
        <f>[3]基础状态预期!J233</f>
        <v>6</v>
      </c>
    </row>
    <row r="224" spans="9:45" x14ac:dyDescent="0.15">
      <c r="I224" s="23">
        <v>221</v>
      </c>
      <c r="J224" s="24">
        <f>'[1]资源-钻石'!T224</f>
        <v>1155193.9663609592</v>
      </c>
      <c r="K224" s="24">
        <f>'[1]资源-钻石'!U224</f>
        <v>1644513.3629970553</v>
      </c>
      <c r="L224" s="24">
        <f>'[1]资源-钻石'!V224</f>
        <v>2799534.6992967613</v>
      </c>
      <c r="M224" s="24">
        <f>'[1]资源-钻石'!W224</f>
        <v>7533938.1692264378</v>
      </c>
      <c r="N224" s="24">
        <f>'[1]资源-钻石'!X224</f>
        <v>18045069.48614908</v>
      </c>
      <c r="AL224" s="37">
        <f>[3]基础状态预期!C234</f>
        <v>14168.000000000002</v>
      </c>
      <c r="AM224" s="37">
        <f>[3]基础状态预期!D234</f>
        <v>152.00526961196863</v>
      </c>
      <c r="AO224" s="37">
        <f>[3]基础状态预期!F234</f>
        <v>0</v>
      </c>
      <c r="AP224" s="37">
        <f>[3]基础状态预期!G234</f>
        <v>0</v>
      </c>
      <c r="AQ224" s="37">
        <f>[3]基础状态预期!H234</f>
        <v>0</v>
      </c>
      <c r="AR224" s="37">
        <f>[3]基础状态预期!I234</f>
        <v>0</v>
      </c>
      <c r="AS224" s="37">
        <f>[3]基础状态预期!J234</f>
        <v>6</v>
      </c>
    </row>
    <row r="225" spans="9:45" x14ac:dyDescent="0.15">
      <c r="I225" s="23">
        <v>222</v>
      </c>
      <c r="J225" s="24">
        <f>'[1]资源-钻石'!T225</f>
        <v>1160409.7416432081</v>
      </c>
      <c r="K225" s="24">
        <f>'[1]资源-钻石'!U225</f>
        <v>1651930.7158075289</v>
      </c>
      <c r="L225" s="24">
        <f>'[1]资源-钻石'!V225</f>
        <v>2812145.7873882819</v>
      </c>
      <c r="M225" s="24">
        <f>'[1]资源-钻石'!W225</f>
        <v>7567830.366127111</v>
      </c>
      <c r="N225" s="24">
        <f>'[1]资源-钻石'!X225</f>
        <v>18126205.902739819</v>
      </c>
      <c r="AL225" s="37">
        <f>[3]基础状态预期!C235</f>
        <v>18012.5</v>
      </c>
      <c r="AM225" s="37">
        <f>[3]基础状态预期!D235</f>
        <v>152.38629594951036</v>
      </c>
      <c r="AO225" s="37">
        <f>[3]基础状态预期!F235</f>
        <v>0</v>
      </c>
      <c r="AP225" s="37">
        <f>[3]基础状态预期!G235</f>
        <v>0</v>
      </c>
      <c r="AQ225" s="37">
        <f>[3]基础状态预期!H235</f>
        <v>0</v>
      </c>
      <c r="AR225" s="37">
        <f>[3]基础状态预期!I235</f>
        <v>0</v>
      </c>
      <c r="AS225" s="37">
        <f>[3]基础状态预期!J235</f>
        <v>6</v>
      </c>
    </row>
    <row r="226" spans="9:45" x14ac:dyDescent="0.15">
      <c r="I226" s="25">
        <v>223</v>
      </c>
      <c r="J226" s="24">
        <f>'[1]资源-钻石'!T226</f>
        <v>1165625.5169254567</v>
      </c>
      <c r="K226" s="24">
        <f>'[1]资源-钻石'!U226</f>
        <v>1659348.0686180023</v>
      </c>
      <c r="L226" s="24">
        <f>'[1]资源-钻石'!V226</f>
        <v>2824756.875479803</v>
      </c>
      <c r="M226" s="24">
        <f>'[1]资源-钻石'!W226</f>
        <v>7601722.5630277842</v>
      </c>
      <c r="N226" s="24">
        <f>'[1]资源-钻石'!X226</f>
        <v>18207342.319330558</v>
      </c>
    </row>
    <row r="227" spans="9:45" x14ac:dyDescent="0.15">
      <c r="I227" s="25">
        <v>224</v>
      </c>
      <c r="J227" s="24">
        <f>'[1]资源-钻石'!T227</f>
        <v>1170841.2922077053</v>
      </c>
      <c r="K227" s="24">
        <f>'[1]资源-钻石'!U227</f>
        <v>1666765.421428476</v>
      </c>
      <c r="L227" s="24">
        <f>'[1]资源-钻石'!V227</f>
        <v>2837367.963571324</v>
      </c>
      <c r="M227" s="24">
        <f>'[1]资源-钻石'!W227</f>
        <v>7635614.7599284565</v>
      </c>
      <c r="N227" s="24">
        <f>'[1]资源-钻石'!X227</f>
        <v>18288478.735921301</v>
      </c>
    </row>
    <row r="228" spans="9:45" x14ac:dyDescent="0.15">
      <c r="I228" s="23">
        <v>225</v>
      </c>
      <c r="J228" s="24">
        <f>'[1]资源-钻石'!T228</f>
        <v>1176057.0674899542</v>
      </c>
      <c r="K228" s="24">
        <f>'[1]资源-钻石'!U228</f>
        <v>1674182.7742389494</v>
      </c>
      <c r="L228" s="24">
        <f>'[1]资源-钻石'!V228</f>
        <v>2849979.0516628446</v>
      </c>
      <c r="M228" s="24">
        <f>'[1]资源-钻石'!W228</f>
        <v>7669506.9568291297</v>
      </c>
      <c r="N228" s="24">
        <f>'[1]资源-钻石'!X228</f>
        <v>18369615.15251204</v>
      </c>
    </row>
    <row r="229" spans="9:45" x14ac:dyDescent="0.15">
      <c r="I229" s="23">
        <v>226</v>
      </c>
      <c r="J229" s="24">
        <f>'[1]资源-钻石'!T229</f>
        <v>1181272.8427722028</v>
      </c>
      <c r="K229" s="24">
        <f>'[1]资源-钻石'!U229</f>
        <v>1681600.1270494231</v>
      </c>
      <c r="L229" s="24">
        <f>'[1]资源-钻石'!V229</f>
        <v>2862590.1397543657</v>
      </c>
      <c r="M229" s="24">
        <f>'[1]资源-钻石'!W229</f>
        <v>7703399.1537298029</v>
      </c>
      <c r="N229" s="24">
        <f>'[1]资源-钻石'!X229</f>
        <v>18450751.569102779</v>
      </c>
    </row>
    <row r="230" spans="9:45" x14ac:dyDescent="0.15">
      <c r="I230" s="23">
        <v>227</v>
      </c>
      <c r="J230" s="24">
        <f>'[1]资源-钻石'!T230</f>
        <v>1186488.6180544514</v>
      </c>
      <c r="K230" s="24">
        <f>'[1]资源-钻石'!U230</f>
        <v>1689017.4798598967</v>
      </c>
      <c r="L230" s="24">
        <f>'[1]资源-钻石'!V230</f>
        <v>2875201.2278458863</v>
      </c>
      <c r="M230" s="24">
        <f>'[1]资源-钻石'!W230</f>
        <v>7737291.3506304761</v>
      </c>
      <c r="N230" s="24">
        <f>'[1]资源-钻石'!X230</f>
        <v>18531887.985693522</v>
      </c>
    </row>
    <row r="231" spans="9:45" x14ac:dyDescent="0.15">
      <c r="I231" s="23">
        <v>228</v>
      </c>
      <c r="J231" s="24">
        <f>'[1]资源-钻石'!T231</f>
        <v>1191704.3933367003</v>
      </c>
      <c r="K231" s="24">
        <f>'[1]资源-钻石'!U231</f>
        <v>1696434.8326703701</v>
      </c>
      <c r="L231" s="24">
        <f>'[1]资源-钻石'!V231</f>
        <v>2887812.3159374073</v>
      </c>
      <c r="M231" s="24">
        <f>'[1]资源-钻石'!W231</f>
        <v>7771183.5475311484</v>
      </c>
      <c r="N231" s="24">
        <f>'[1]资源-钻石'!X231</f>
        <v>18613024.402284261</v>
      </c>
    </row>
    <row r="232" spans="9:45" x14ac:dyDescent="0.15">
      <c r="I232" s="25">
        <v>229</v>
      </c>
      <c r="J232" s="24">
        <f>'[1]资源-钻石'!T232</f>
        <v>1196920.1686189489</v>
      </c>
      <c r="K232" s="24">
        <f>'[1]资源-钻石'!U232</f>
        <v>1703852.1854808438</v>
      </c>
      <c r="L232" s="24">
        <f>'[1]资源-钻石'!V232</f>
        <v>2900423.4040289284</v>
      </c>
      <c r="M232" s="24">
        <f>'[1]资源-钻石'!W232</f>
        <v>7805075.7444318216</v>
      </c>
      <c r="N232" s="24">
        <f>'[1]资源-钻石'!X232</f>
        <v>18694160.818875004</v>
      </c>
    </row>
    <row r="233" spans="9:45" x14ac:dyDescent="0.15">
      <c r="I233" s="25">
        <v>230</v>
      </c>
      <c r="J233" s="24">
        <f>'[1]资源-钻石'!T233</f>
        <v>1202135.9439011975</v>
      </c>
      <c r="K233" s="24">
        <f>'[1]资源-钻石'!U233</f>
        <v>1711269.5382913172</v>
      </c>
      <c r="L233" s="24">
        <f>'[1]资源-钻石'!V233</f>
        <v>2913034.492120449</v>
      </c>
      <c r="M233" s="24">
        <f>'[1]资源-钻石'!W233</f>
        <v>7838967.9413324948</v>
      </c>
      <c r="N233" s="24">
        <f>'[1]资源-钻石'!X233</f>
        <v>18775297.235465743</v>
      </c>
    </row>
    <row r="234" spans="9:45" x14ac:dyDescent="0.15">
      <c r="I234" s="23">
        <v>231</v>
      </c>
      <c r="J234" s="24">
        <f>'[1]资源-钻石'!T234</f>
        <v>1207351.7191834464</v>
      </c>
      <c r="K234" s="24">
        <f>'[1]资源-钻石'!U234</f>
        <v>1718686.8911017908</v>
      </c>
      <c r="L234" s="24">
        <f>'[1]资源-钻石'!V234</f>
        <v>2925645.58021197</v>
      </c>
      <c r="M234" s="24">
        <f>'[1]资源-钻石'!W234</f>
        <v>7872860.1382331681</v>
      </c>
      <c r="N234" s="24">
        <f>'[1]资源-钻石'!X234</f>
        <v>18856433.652056482</v>
      </c>
    </row>
    <row r="235" spans="9:45" x14ac:dyDescent="0.15">
      <c r="I235" s="23">
        <v>232</v>
      </c>
      <c r="J235" s="24">
        <f>'[1]资源-钻石'!T235</f>
        <v>1212567.494465695</v>
      </c>
      <c r="K235" s="24">
        <f>'[1]资源-钻石'!U235</f>
        <v>1726104.2439122642</v>
      </c>
      <c r="L235" s="24">
        <f>'[1]资源-钻石'!V235</f>
        <v>2938256.6683034906</v>
      </c>
      <c r="M235" s="24">
        <f>'[1]资源-钻石'!W235</f>
        <v>7906752.3351338403</v>
      </c>
      <c r="N235" s="24">
        <f>'[1]资源-钻石'!X235</f>
        <v>18937570.068647224</v>
      </c>
    </row>
    <row r="236" spans="9:45" x14ac:dyDescent="0.15">
      <c r="I236" s="23">
        <v>233</v>
      </c>
      <c r="J236" s="24">
        <f>'[1]资源-钻石'!T236</f>
        <v>1217783.2697479436</v>
      </c>
      <c r="K236" s="24">
        <f>'[1]资源-钻石'!U236</f>
        <v>1733521.5967227379</v>
      </c>
      <c r="L236" s="24">
        <f>'[1]资源-钻石'!V236</f>
        <v>2950867.7563950117</v>
      </c>
      <c r="M236" s="24">
        <f>'[1]资源-钻石'!W236</f>
        <v>7940644.5320345135</v>
      </c>
      <c r="N236" s="24">
        <f>'[1]资源-钻石'!X236</f>
        <v>19018706.485237963</v>
      </c>
    </row>
    <row r="237" spans="9:45" x14ac:dyDescent="0.15">
      <c r="I237" s="23">
        <v>234</v>
      </c>
      <c r="J237" s="24">
        <f>'[1]资源-钻石'!T237</f>
        <v>1222999.0450301925</v>
      </c>
      <c r="K237" s="24">
        <f>'[1]资源-钻石'!U237</f>
        <v>1740938.9495332115</v>
      </c>
      <c r="L237" s="24">
        <f>'[1]资源-钻石'!V237</f>
        <v>2963478.8444865327</v>
      </c>
      <c r="M237" s="24">
        <f>'[1]资源-钻石'!W237</f>
        <v>7974536.7289351868</v>
      </c>
      <c r="N237" s="24">
        <f>'[1]资源-钻石'!X237</f>
        <v>19099842.901828703</v>
      </c>
    </row>
    <row r="238" spans="9:45" x14ac:dyDescent="0.15">
      <c r="I238" s="25">
        <v>235</v>
      </c>
      <c r="J238" s="24">
        <f>'[1]资源-钻石'!T238</f>
        <v>1228214.8203124411</v>
      </c>
      <c r="K238" s="24">
        <f>'[1]资源-钻石'!U238</f>
        <v>1748356.3023436849</v>
      </c>
      <c r="L238" s="24">
        <f>'[1]资源-钻石'!V238</f>
        <v>2976089.9325780533</v>
      </c>
      <c r="M238" s="24">
        <f>'[1]资源-钻石'!W238</f>
        <v>8008428.925835859</v>
      </c>
      <c r="N238" s="24">
        <f>'[1]资源-钻石'!X238</f>
        <v>19180979.318419445</v>
      </c>
    </row>
    <row r="239" spans="9:45" x14ac:dyDescent="0.15">
      <c r="I239" s="25">
        <v>236</v>
      </c>
      <c r="J239" s="24">
        <f>'[1]资源-钻石'!T239</f>
        <v>1233430.5955946897</v>
      </c>
      <c r="K239" s="24">
        <f>'[1]资源-钻石'!U239</f>
        <v>1755773.6551541586</v>
      </c>
      <c r="L239" s="24">
        <f>'[1]资源-钻石'!V239</f>
        <v>2988701.0206695744</v>
      </c>
      <c r="M239" s="24">
        <f>'[1]资源-钻石'!W239</f>
        <v>8042321.1227365322</v>
      </c>
      <c r="N239" s="24">
        <f>'[1]资源-钻石'!X239</f>
        <v>19262115.735010184</v>
      </c>
    </row>
    <row r="240" spans="9:45" x14ac:dyDescent="0.15">
      <c r="I240" s="23">
        <v>237</v>
      </c>
      <c r="J240" s="24">
        <f>'[1]资源-钻石'!T240</f>
        <v>1238646.3708769386</v>
      </c>
      <c r="K240" s="24">
        <f>'[1]资源-钻石'!U240</f>
        <v>1763191.007964632</v>
      </c>
      <c r="L240" s="24">
        <f>'[1]资源-钻石'!V240</f>
        <v>3001312.1087610954</v>
      </c>
      <c r="M240" s="24">
        <f>'[1]资源-钻石'!W240</f>
        <v>8076213.3196372055</v>
      </c>
      <c r="N240" s="24">
        <f>'[1]资源-钻石'!X240</f>
        <v>19343252.151600923</v>
      </c>
    </row>
    <row r="241" spans="9:14" x14ac:dyDescent="0.15">
      <c r="I241" s="23">
        <v>238</v>
      </c>
      <c r="J241" s="24">
        <f>'[1]资源-钻石'!T241</f>
        <v>1243862.1461591872</v>
      </c>
      <c r="K241" s="24">
        <f>'[1]资源-钻石'!U241</f>
        <v>1770608.3607751057</v>
      </c>
      <c r="L241" s="24">
        <f>'[1]资源-钻石'!V241</f>
        <v>3013923.196852616</v>
      </c>
      <c r="M241" s="24">
        <f>'[1]资源-钻石'!W241</f>
        <v>8110105.5165378787</v>
      </c>
      <c r="N241" s="24">
        <f>'[1]资源-钻石'!X241</f>
        <v>19424388.568191666</v>
      </c>
    </row>
    <row r="242" spans="9:14" x14ac:dyDescent="0.15">
      <c r="I242" s="23">
        <v>239</v>
      </c>
      <c r="J242" s="24">
        <f>'[1]资源-钻石'!T242</f>
        <v>1249077.9214414358</v>
      </c>
      <c r="K242" s="24">
        <f>'[1]资源-钻石'!U242</f>
        <v>1778025.7135855791</v>
      </c>
      <c r="L242" s="24">
        <f>'[1]资源-钻石'!V242</f>
        <v>3026534.2849441371</v>
      </c>
      <c r="M242" s="24">
        <f>'[1]资源-钻石'!W242</f>
        <v>8143997.7134385509</v>
      </c>
      <c r="N242" s="24">
        <f>'[1]资源-钻石'!X242</f>
        <v>19505524.984782405</v>
      </c>
    </row>
    <row r="243" spans="9:14" x14ac:dyDescent="0.15">
      <c r="I243" s="23">
        <v>240</v>
      </c>
      <c r="J243" s="24">
        <f>'[1]资源-钻石'!T243</f>
        <v>1254293.6967236844</v>
      </c>
      <c r="K243" s="24">
        <f>'[1]资源-钻石'!U243</f>
        <v>1785443.0663960527</v>
      </c>
      <c r="L243" s="24">
        <f>'[1]资源-钻石'!V243</f>
        <v>3039145.3730356582</v>
      </c>
      <c r="M243" s="24">
        <f>'[1]资源-钻石'!W243</f>
        <v>8177889.9103392242</v>
      </c>
      <c r="N243" s="24">
        <f>'[1]资源-钻石'!X243</f>
        <v>19586661.401373144</v>
      </c>
    </row>
    <row r="244" spans="9:14" x14ac:dyDescent="0.15">
      <c r="I244" s="25">
        <v>241</v>
      </c>
      <c r="J244" s="24">
        <f>'[1]资源-钻石'!T244</f>
        <v>1259509.4720059333</v>
      </c>
      <c r="K244" s="24">
        <f>'[1]资源-钻石'!U244</f>
        <v>1792860.4192065264</v>
      </c>
      <c r="L244" s="24">
        <f>'[1]资源-钻石'!V244</f>
        <v>3051756.4611271787</v>
      </c>
      <c r="M244" s="24">
        <f>'[1]资源-钻石'!W244</f>
        <v>8211782.1072398974</v>
      </c>
      <c r="N244" s="24">
        <f>'[1]资源-钻石'!X244</f>
        <v>19667797.817963887</v>
      </c>
    </row>
    <row r="245" spans="9:14" x14ac:dyDescent="0.15">
      <c r="I245" s="25">
        <v>242</v>
      </c>
      <c r="J245" s="24">
        <f>'[1]资源-钻石'!T245</f>
        <v>1264725.2472881819</v>
      </c>
      <c r="K245" s="24">
        <f>'[1]资源-钻石'!U245</f>
        <v>1800277.7720169998</v>
      </c>
      <c r="L245" s="24">
        <f>'[1]资源-钻石'!V245</f>
        <v>3064367.5492186998</v>
      </c>
      <c r="M245" s="24">
        <f>'[1]资源-钻石'!W245</f>
        <v>8245674.3041405706</v>
      </c>
      <c r="N245" s="24">
        <f>'[1]资源-钻石'!X245</f>
        <v>19748934.234554626</v>
      </c>
    </row>
    <row r="246" spans="9:14" x14ac:dyDescent="0.15">
      <c r="I246" s="23">
        <v>243</v>
      </c>
      <c r="J246" s="24">
        <f>'[1]资源-钻石'!T246</f>
        <v>1269941.0225704305</v>
      </c>
      <c r="K246" s="24">
        <f>'[1]资源-钻石'!U246</f>
        <v>1807695.1248274734</v>
      </c>
      <c r="L246" s="24">
        <f>'[1]资源-钻石'!V246</f>
        <v>3076978.6373102209</v>
      </c>
      <c r="M246" s="24">
        <f>'[1]资源-钻石'!W246</f>
        <v>8279566.5010412429</v>
      </c>
      <c r="N246" s="24">
        <f>'[1]资源-钻石'!X246</f>
        <v>19830070.651145365</v>
      </c>
    </row>
    <row r="247" spans="9:14" x14ac:dyDescent="0.15">
      <c r="I247" s="23">
        <v>244</v>
      </c>
      <c r="J247" s="24">
        <f>'[1]资源-钻石'!T247</f>
        <v>1275156.7978526792</v>
      </c>
      <c r="K247" s="24">
        <f>'[1]资源-钻石'!U247</f>
        <v>1815112.4776379468</v>
      </c>
      <c r="L247" s="24">
        <f>'[1]资源-钻石'!V247</f>
        <v>3089589.7254017419</v>
      </c>
      <c r="M247" s="24">
        <f>'[1]资源-钻石'!W247</f>
        <v>8313458.6979419161</v>
      </c>
      <c r="N247" s="24">
        <f>'[1]资源-钻石'!X247</f>
        <v>19911207.067736108</v>
      </c>
    </row>
    <row r="248" spans="9:14" x14ac:dyDescent="0.15">
      <c r="I248" s="23">
        <v>245</v>
      </c>
      <c r="J248" s="24">
        <f>'[1]资源-钻石'!T248</f>
        <v>1280372.573134928</v>
      </c>
      <c r="K248" s="24">
        <f>'[1]资源-钻石'!U248</f>
        <v>1822529.8304484205</v>
      </c>
      <c r="L248" s="24">
        <f>'[1]资源-钻石'!V248</f>
        <v>3102200.8134932625</v>
      </c>
      <c r="M248" s="24">
        <f>'[1]资源-钻石'!W248</f>
        <v>8347350.8948425893</v>
      </c>
      <c r="N248" s="24">
        <f>'[1]资源-钻石'!X248</f>
        <v>19992343.484326847</v>
      </c>
    </row>
    <row r="249" spans="9:14" x14ac:dyDescent="0.15">
      <c r="I249" s="23">
        <v>246</v>
      </c>
      <c r="J249" s="24">
        <f>'[1]资源-钻石'!T249</f>
        <v>1285588.3484171766</v>
      </c>
      <c r="K249" s="24">
        <f>'[1]资源-钻石'!U249</f>
        <v>1829947.1832588941</v>
      </c>
      <c r="L249" s="24">
        <f>'[1]资源-钻石'!V249</f>
        <v>3114811.9015847836</v>
      </c>
      <c r="M249" s="24">
        <f>'[1]资源-钻石'!W249</f>
        <v>8381243.0917432625</v>
      </c>
      <c r="N249" s="24">
        <f>'[1]资源-钻石'!X249</f>
        <v>20073479.900917586</v>
      </c>
    </row>
    <row r="250" spans="9:14" x14ac:dyDescent="0.15">
      <c r="I250" s="25">
        <v>247</v>
      </c>
      <c r="J250" s="24">
        <f>'[1]资源-钻石'!T250</f>
        <v>1290804.1236994253</v>
      </c>
      <c r="K250" s="24">
        <f>'[1]资源-钻石'!U250</f>
        <v>1837364.5360693675</v>
      </c>
      <c r="L250" s="24">
        <f>'[1]资源-钻石'!V250</f>
        <v>3127422.9896763046</v>
      </c>
      <c r="M250" s="24">
        <f>'[1]资源-钻石'!W250</f>
        <v>8415135.2886439357</v>
      </c>
      <c r="N250" s="24">
        <f>'[1]资源-钻石'!X250</f>
        <v>20154616.317508329</v>
      </c>
    </row>
    <row r="251" spans="9:14" x14ac:dyDescent="0.15">
      <c r="I251" s="25">
        <v>248</v>
      </c>
      <c r="J251" s="24">
        <f>'[1]资源-钻石'!T251</f>
        <v>1296019.8989816739</v>
      </c>
      <c r="K251" s="24">
        <f>'[1]资源-钻石'!U251</f>
        <v>1844781.8888798412</v>
      </c>
      <c r="L251" s="24">
        <f>'[1]资源-钻石'!V251</f>
        <v>3140034.0777678257</v>
      </c>
      <c r="M251" s="24">
        <f>'[1]资源-钻石'!W251</f>
        <v>8449027.4855446089</v>
      </c>
      <c r="N251" s="24">
        <f>'[1]资源-钻石'!X251</f>
        <v>20235752.734099068</v>
      </c>
    </row>
    <row r="252" spans="9:14" x14ac:dyDescent="0.15">
      <c r="I252" s="23">
        <v>249</v>
      </c>
      <c r="J252" s="24">
        <f>'[1]资源-钻石'!T252</f>
        <v>1301235.6742639225</v>
      </c>
      <c r="K252" s="24">
        <f>'[1]资源-钻石'!U252</f>
        <v>1852199.2416903146</v>
      </c>
      <c r="L252" s="24">
        <f>'[1]资源-钻石'!V252</f>
        <v>3152645.1658593463</v>
      </c>
      <c r="M252" s="24">
        <f>'[1]资源-钻石'!W252</f>
        <v>8482919.6824452821</v>
      </c>
      <c r="N252" s="24">
        <f>'[1]资源-钻石'!X252</f>
        <v>20316889.150689807</v>
      </c>
    </row>
    <row r="253" spans="9:14" x14ac:dyDescent="0.15">
      <c r="I253" s="23">
        <v>250</v>
      </c>
      <c r="J253" s="24">
        <f>'[1]资源-钻石'!T253</f>
        <v>1306451.4495461714</v>
      </c>
      <c r="K253" s="24">
        <f>'[1]资源-钻石'!U253</f>
        <v>1859616.5945007883</v>
      </c>
      <c r="L253" s="24">
        <f>'[1]资源-钻石'!V253</f>
        <v>3165256.2539508673</v>
      </c>
      <c r="M253" s="24">
        <f>'[1]资源-钻石'!W253</f>
        <v>8516811.8793459553</v>
      </c>
      <c r="N253" s="24">
        <f>'[1]资源-钻石'!X253</f>
        <v>20398025.56728055</v>
      </c>
    </row>
    <row r="254" spans="9:14" x14ac:dyDescent="0.15">
      <c r="I254" s="23">
        <v>251</v>
      </c>
      <c r="J254" s="24">
        <f>'[1]资源-钻石'!T254</f>
        <v>1311667.22482842</v>
      </c>
      <c r="K254" s="24">
        <f>'[1]资源-钻石'!U254</f>
        <v>1867033.9473112617</v>
      </c>
      <c r="L254" s="24">
        <f>'[1]资源-钻石'!V254</f>
        <v>3177867.3420423884</v>
      </c>
      <c r="M254" s="24">
        <f>'[1]资源-钻石'!W254</f>
        <v>8550704.0762466267</v>
      </c>
      <c r="N254" s="24">
        <f>'[1]资源-钻石'!X254</f>
        <v>20479161.983871289</v>
      </c>
    </row>
    <row r="255" spans="9:14" x14ac:dyDescent="0.15">
      <c r="I255" s="23">
        <v>252</v>
      </c>
      <c r="J255" s="24">
        <f>'[1]资源-钻石'!T255</f>
        <v>1316883.0001106686</v>
      </c>
      <c r="K255" s="24">
        <f>'[1]资源-钻石'!U255</f>
        <v>1874451.3001217353</v>
      </c>
      <c r="L255" s="24">
        <f>'[1]资源-钻石'!V255</f>
        <v>3190478.430133909</v>
      </c>
      <c r="M255" s="24">
        <f>'[1]资源-钻石'!W255</f>
        <v>8584596.2731472999</v>
      </c>
      <c r="N255" s="24">
        <f>'[1]资源-钻石'!X255</f>
        <v>20560298.400462028</v>
      </c>
    </row>
    <row r="256" spans="9:14" x14ac:dyDescent="0.15">
      <c r="I256" s="25">
        <v>253</v>
      </c>
      <c r="J256" s="24">
        <f>'[1]资源-钻石'!T256</f>
        <v>1322098.7753929175</v>
      </c>
      <c r="K256" s="24">
        <f>'[1]资源-钻石'!U256</f>
        <v>1881868.652932209</v>
      </c>
      <c r="L256" s="24">
        <f>'[1]资源-钻石'!V256</f>
        <v>3203089.51822543</v>
      </c>
      <c r="M256" s="24">
        <f>'[1]资源-钻石'!W256</f>
        <v>8618488.4700479731</v>
      </c>
      <c r="N256" s="24">
        <f>'[1]资源-钻石'!X256</f>
        <v>20641434.817052767</v>
      </c>
    </row>
    <row r="257" spans="9:14" x14ac:dyDescent="0.15">
      <c r="I257" s="25">
        <v>254</v>
      </c>
      <c r="J257" s="24">
        <f>'[1]资源-钻石'!T257</f>
        <v>1327314.5506751661</v>
      </c>
      <c r="K257" s="24">
        <f>'[1]资源-钻石'!U257</f>
        <v>1889286.0057426824</v>
      </c>
      <c r="L257" s="24">
        <f>'[1]资源-钻石'!V257</f>
        <v>3215700.6063169511</v>
      </c>
      <c r="M257" s="24">
        <f>'[1]资源-钻石'!W257</f>
        <v>8652380.6669486463</v>
      </c>
      <c r="N257" s="24">
        <f>'[1]资源-钻石'!X257</f>
        <v>20722571.233643509</v>
      </c>
    </row>
    <row r="258" spans="9:14" x14ac:dyDescent="0.15">
      <c r="I258" s="23">
        <v>255</v>
      </c>
      <c r="J258" s="24">
        <f>'[1]资源-钻石'!T258</f>
        <v>1332530.3259574147</v>
      </c>
      <c r="K258" s="24">
        <f>'[1]资源-钻石'!U258</f>
        <v>1896703.358553156</v>
      </c>
      <c r="L258" s="24">
        <f>'[1]资源-钻石'!V258</f>
        <v>3228311.6944084722</v>
      </c>
      <c r="M258" s="24">
        <f>'[1]资源-钻石'!W258</f>
        <v>8686272.8638493195</v>
      </c>
      <c r="N258" s="24">
        <f>'[1]资源-钻石'!X258</f>
        <v>20803707.650234248</v>
      </c>
    </row>
    <row r="259" spans="9:14" x14ac:dyDescent="0.15">
      <c r="I259" s="23">
        <v>256</v>
      </c>
      <c r="J259" s="24">
        <f>'[1]资源-钻石'!T259</f>
        <v>1337746.1012396633</v>
      </c>
      <c r="K259" s="24">
        <f>'[1]资源-钻石'!U259</f>
        <v>1904120.7113636294</v>
      </c>
      <c r="L259" s="24">
        <f>'[1]资源-钻石'!V259</f>
        <v>3240922.7824999928</v>
      </c>
      <c r="M259" s="24">
        <f>'[1]资源-钻石'!W259</f>
        <v>8720165.0607499927</v>
      </c>
      <c r="N259" s="24">
        <f>'[1]资源-钻石'!X259</f>
        <v>20884844.066824988</v>
      </c>
    </row>
    <row r="260" spans="9:14" x14ac:dyDescent="0.15">
      <c r="I260" s="23">
        <v>257</v>
      </c>
      <c r="J260" s="24">
        <f>'[1]资源-钻石'!T260</f>
        <v>1342961.8765219119</v>
      </c>
      <c r="K260" s="24">
        <f>'[1]资源-钻石'!U260</f>
        <v>1911538.0641741031</v>
      </c>
      <c r="L260" s="24">
        <f>'[1]资源-钻石'!V260</f>
        <v>3253533.8705915138</v>
      </c>
      <c r="M260" s="24">
        <f>'[1]资源-钻石'!W260</f>
        <v>8754057.2576506659</v>
      </c>
      <c r="N260" s="24">
        <f>'[1]资源-钻石'!X260</f>
        <v>20965980.48341573</v>
      </c>
    </row>
    <row r="261" spans="9:14" x14ac:dyDescent="0.15">
      <c r="I261" s="23">
        <v>258</v>
      </c>
      <c r="J261" s="24">
        <f>'[1]资源-钻石'!T261</f>
        <v>1348177.6518041608</v>
      </c>
      <c r="K261" s="24">
        <f>'[1]资源-钻石'!U261</f>
        <v>1918955.4169845765</v>
      </c>
      <c r="L261" s="24">
        <f>'[1]资源-钻石'!V261</f>
        <v>3266144.9586830344</v>
      </c>
      <c r="M261" s="24">
        <f>'[1]资源-钻石'!W261</f>
        <v>8787949.4545513391</v>
      </c>
      <c r="N261" s="24">
        <f>'[1]资源-钻石'!X261</f>
        <v>21047116.900006469</v>
      </c>
    </row>
    <row r="262" spans="9:14" x14ac:dyDescent="0.15">
      <c r="I262" s="25">
        <v>259</v>
      </c>
      <c r="J262" s="24">
        <f>'[1]资源-钻石'!T262</f>
        <v>1353393.4270864094</v>
      </c>
      <c r="K262" s="24">
        <f>'[1]资源-钻石'!U262</f>
        <v>1926372.7697950501</v>
      </c>
      <c r="L262" s="24">
        <f>'[1]资源-钻石'!V262</f>
        <v>3278756.0467745555</v>
      </c>
      <c r="M262" s="24">
        <f>'[1]资源-钻石'!W262</f>
        <v>8821841.6514520105</v>
      </c>
      <c r="N262" s="24">
        <f>'[1]资源-钻石'!X262</f>
        <v>21128253.316597208</v>
      </c>
    </row>
    <row r="263" spans="9:14" x14ac:dyDescent="0.15">
      <c r="I263" s="25">
        <v>260</v>
      </c>
      <c r="J263" s="24">
        <f>'[1]资源-钻石'!T263</f>
        <v>1358609.202368658</v>
      </c>
      <c r="K263" s="24">
        <f>'[1]资源-钻石'!U263</f>
        <v>1933790.1226055238</v>
      </c>
      <c r="L263" s="24">
        <f>'[1]资源-钻石'!V263</f>
        <v>3291367.1348660765</v>
      </c>
      <c r="M263" s="24">
        <f>'[1]资源-钻石'!W263</f>
        <v>8855733.8483526837</v>
      </c>
      <c r="N263" s="24">
        <f>'[1]资源-钻石'!X263</f>
        <v>21209389.733187951</v>
      </c>
    </row>
    <row r="264" spans="9:14" x14ac:dyDescent="0.15">
      <c r="I264" s="23">
        <v>261</v>
      </c>
      <c r="J264" s="24">
        <f>'[1]资源-钻石'!T264</f>
        <v>1363824.9776509067</v>
      </c>
      <c r="K264" s="24">
        <f>'[1]资源-钻石'!U264</f>
        <v>1941207.4754159972</v>
      </c>
      <c r="L264" s="24">
        <f>'[1]资源-钻石'!V264</f>
        <v>3303978.2229575971</v>
      </c>
      <c r="M264" s="24">
        <f>'[1]资源-钻石'!W264</f>
        <v>8889626.0452533569</v>
      </c>
      <c r="N264" s="24">
        <f>'[1]资源-钻石'!X264</f>
        <v>21290526.14977869</v>
      </c>
    </row>
    <row r="265" spans="9:14" x14ac:dyDescent="0.15">
      <c r="I265" s="23">
        <v>262</v>
      </c>
      <c r="J265" s="24">
        <f>'[1]资源-钻石'!T265</f>
        <v>1369040.7529331553</v>
      </c>
      <c r="K265" s="24">
        <f>'[1]资源-钻石'!U265</f>
        <v>1948624.8282264709</v>
      </c>
      <c r="L265" s="24">
        <f>'[1]资源-钻石'!V265</f>
        <v>3316589.3110491182</v>
      </c>
      <c r="M265" s="24">
        <f>'[1]资源-钻石'!W265</f>
        <v>8923518.2421540301</v>
      </c>
      <c r="N265" s="24">
        <f>'[1]资源-钻石'!X265</f>
        <v>21371662.566369429</v>
      </c>
    </row>
    <row r="266" spans="9:14" x14ac:dyDescent="0.15">
      <c r="I266" s="23">
        <v>263</v>
      </c>
      <c r="J266" s="24">
        <f>'[1]资源-钻石'!T266</f>
        <v>1374256.5282154041</v>
      </c>
      <c r="K266" s="24">
        <f>'[1]资源-钻石'!U266</f>
        <v>1956042.1810369443</v>
      </c>
      <c r="L266" s="24">
        <f>'[1]资源-钻石'!V266</f>
        <v>3329200.3991406392</v>
      </c>
      <c r="M266" s="24">
        <f>'[1]资源-钻石'!W266</f>
        <v>8957410.4390547033</v>
      </c>
      <c r="N266" s="24">
        <f>'[1]资源-钻石'!X266</f>
        <v>21452798.982960172</v>
      </c>
    </row>
    <row r="267" spans="9:14" x14ac:dyDescent="0.15">
      <c r="I267" s="23">
        <v>264</v>
      </c>
      <c r="J267" s="24">
        <f>'[1]资源-钻石'!T267</f>
        <v>1379472.3034976528</v>
      </c>
      <c r="K267" s="24">
        <f>'[1]资源-钻石'!U267</f>
        <v>1963459.5338474179</v>
      </c>
      <c r="L267" s="24">
        <f>'[1]资源-钻石'!V267</f>
        <v>3341811.4872321598</v>
      </c>
      <c r="M267" s="24">
        <f>'[1]资源-钻石'!W267</f>
        <v>8991302.6359553766</v>
      </c>
      <c r="N267" s="24">
        <f>'[1]资源-钻石'!X267</f>
        <v>21533935.399550911</v>
      </c>
    </row>
    <row r="268" spans="9:14" x14ac:dyDescent="0.15">
      <c r="I268" s="25">
        <v>265</v>
      </c>
      <c r="J268" s="24">
        <f>'[1]资源-钻石'!T268</f>
        <v>1384688.0787799014</v>
      </c>
      <c r="K268" s="24">
        <f>'[1]资源-钻石'!U268</f>
        <v>1970876.8866578913</v>
      </c>
      <c r="L268" s="24">
        <f>'[1]资源-钻石'!V268</f>
        <v>3354422.5753236809</v>
      </c>
      <c r="M268" s="24">
        <f>'[1]资源-钻石'!W268</f>
        <v>9025194.8328560498</v>
      </c>
      <c r="N268" s="24">
        <f>'[1]资源-钻石'!X268</f>
        <v>21615071.81614165</v>
      </c>
    </row>
    <row r="269" spans="9:14" x14ac:dyDescent="0.15">
      <c r="I269" s="25">
        <v>266</v>
      </c>
      <c r="J269" s="24">
        <f>'[1]资源-钻石'!T269</f>
        <v>1389903.85406215</v>
      </c>
      <c r="K269" s="24">
        <f>'[1]资源-钻石'!U269</f>
        <v>1978294.239468365</v>
      </c>
      <c r="L269" s="24">
        <f>'[1]资源-钻石'!V269</f>
        <v>3367033.6634152019</v>
      </c>
      <c r="M269" s="24">
        <f>'[1]资源-钻石'!W269</f>
        <v>9059087.0297567211</v>
      </c>
      <c r="N269" s="24">
        <f>'[1]资源-钻石'!X269</f>
        <v>21696208.232732393</v>
      </c>
    </row>
    <row r="270" spans="9:14" x14ac:dyDescent="0.15">
      <c r="I270" s="23">
        <v>267</v>
      </c>
      <c r="J270" s="24">
        <f>'[1]资源-钻石'!T270</f>
        <v>1395119.6293443989</v>
      </c>
      <c r="K270" s="24">
        <f>'[1]资源-钻石'!U270</f>
        <v>1985711.5922788384</v>
      </c>
      <c r="L270" s="24">
        <f>'[1]资源-钻石'!V270</f>
        <v>3379644.7515067225</v>
      </c>
      <c r="M270" s="24">
        <f>'[1]资源-钻石'!W270</f>
        <v>9092979.2266573943</v>
      </c>
      <c r="N270" s="24">
        <f>'[1]资源-钻石'!X270</f>
        <v>21777344.649323132</v>
      </c>
    </row>
    <row r="271" spans="9:14" x14ac:dyDescent="0.15">
      <c r="I271" s="23">
        <v>268</v>
      </c>
      <c r="J271" s="24">
        <f>'[1]资源-钻石'!T271</f>
        <v>1400335.4046266475</v>
      </c>
      <c r="K271" s="24">
        <f>'[1]资源-钻石'!U271</f>
        <v>1993128.945089312</v>
      </c>
      <c r="L271" s="24">
        <f>'[1]资源-钻石'!V271</f>
        <v>3392255.8395982436</v>
      </c>
      <c r="M271" s="24">
        <f>'[1]资源-钻石'!W271</f>
        <v>9126871.4235580675</v>
      </c>
      <c r="N271" s="24">
        <f>'[1]资源-钻石'!X271</f>
        <v>21858481.065913871</v>
      </c>
    </row>
    <row r="272" spans="9:14" x14ac:dyDescent="0.15">
      <c r="I272" s="23">
        <v>269</v>
      </c>
      <c r="J272" s="24">
        <f>'[1]资源-钻石'!T272</f>
        <v>1405551.1799088961</v>
      </c>
      <c r="K272" s="24">
        <f>'[1]资源-钻石'!U272</f>
        <v>2000546.2978997857</v>
      </c>
      <c r="L272" s="24">
        <f>'[1]资源-钻石'!V272</f>
        <v>3404866.9276897646</v>
      </c>
      <c r="M272" s="24">
        <f>'[1]资源-钻石'!W272</f>
        <v>9160763.6204587407</v>
      </c>
      <c r="N272" s="24">
        <f>'[1]资源-钻石'!X272</f>
        <v>21939617.482504614</v>
      </c>
    </row>
    <row r="273" spans="9:14" x14ac:dyDescent="0.15">
      <c r="I273" s="23">
        <v>270</v>
      </c>
      <c r="J273" s="24">
        <f>'[1]资源-钻石'!T273</f>
        <v>1410766.9551911447</v>
      </c>
      <c r="K273" s="24">
        <f>'[1]资源-钻石'!U273</f>
        <v>2007963.6507102591</v>
      </c>
      <c r="L273" s="24">
        <f>'[1]资源-钻石'!V273</f>
        <v>3417478.0157812852</v>
      </c>
      <c r="M273" s="24">
        <f>'[1]资源-钻石'!W273</f>
        <v>9194655.817359414</v>
      </c>
      <c r="N273" s="24">
        <f>'[1]资源-钻石'!X273</f>
        <v>22020753.899095353</v>
      </c>
    </row>
    <row r="274" spans="9:14" x14ac:dyDescent="0.15">
      <c r="I274" s="25">
        <v>271</v>
      </c>
      <c r="J274" s="24">
        <f>'[1]资源-钻石'!T274</f>
        <v>1415982.7304733933</v>
      </c>
      <c r="K274" s="24">
        <f>'[1]资源-钻石'!U274</f>
        <v>2015381.0035207327</v>
      </c>
      <c r="L274" s="24">
        <f>'[1]资源-钻石'!V274</f>
        <v>3430089.1038728063</v>
      </c>
      <c r="M274" s="24">
        <f>'[1]资源-钻石'!W274</f>
        <v>9228548.0142600872</v>
      </c>
      <c r="N274" s="24">
        <f>'[1]资源-钻石'!X274</f>
        <v>22101890.315686092</v>
      </c>
    </row>
    <row r="275" spans="9:14" x14ac:dyDescent="0.15">
      <c r="I275" s="25">
        <v>272</v>
      </c>
      <c r="J275" s="24">
        <f>'[1]资源-钻石'!T275</f>
        <v>1421198.5057556422</v>
      </c>
      <c r="K275" s="24">
        <f>'[1]资源-钻石'!U275</f>
        <v>2022798.3563312062</v>
      </c>
      <c r="L275" s="24">
        <f>'[1]资源-钻石'!V275</f>
        <v>3442700.1919643274</v>
      </c>
      <c r="M275" s="24">
        <f>'[1]资源-钻石'!W275</f>
        <v>9262440.2111607585</v>
      </c>
      <c r="N275" s="24">
        <f>'[1]资源-钻石'!X275</f>
        <v>22183026.732276835</v>
      </c>
    </row>
    <row r="276" spans="9:14" x14ac:dyDescent="0.15">
      <c r="I276" s="23">
        <v>273</v>
      </c>
      <c r="J276" s="24">
        <f>'[1]资源-钻石'!T276</f>
        <v>1426414.2810378908</v>
      </c>
      <c r="K276" s="24">
        <f>'[1]资源-钻石'!U276</f>
        <v>2030215.7091416798</v>
      </c>
      <c r="L276" s="24">
        <f>'[1]资源-钻石'!V276</f>
        <v>3455311.280055848</v>
      </c>
      <c r="M276" s="24">
        <f>'[1]资源-钻石'!W276</f>
        <v>9296332.4080614317</v>
      </c>
      <c r="N276" s="24">
        <f>'[1]资源-钻石'!X276</f>
        <v>22264163.148867574</v>
      </c>
    </row>
    <row r="277" spans="9:14" x14ac:dyDescent="0.15">
      <c r="I277" s="23">
        <v>274</v>
      </c>
      <c r="J277" s="24">
        <f>'[1]资源-钻石'!T277</f>
        <v>1431630.0563201394</v>
      </c>
      <c r="K277" s="24">
        <f>'[1]资源-钻石'!U277</f>
        <v>2037633.0619521535</v>
      </c>
      <c r="L277" s="24">
        <f>'[1]资源-钻石'!V277</f>
        <v>3467922.368147369</v>
      </c>
      <c r="M277" s="24">
        <f>'[1]资源-钻石'!W277</f>
        <v>9330224.6049621049</v>
      </c>
      <c r="N277" s="24">
        <f>'[1]资源-钻石'!X277</f>
        <v>22345299.565458313</v>
      </c>
    </row>
    <row r="278" spans="9:14" x14ac:dyDescent="0.15">
      <c r="I278" s="23">
        <v>275</v>
      </c>
      <c r="J278" s="24">
        <f>'[1]资源-钻石'!T278</f>
        <v>1436845.8316023881</v>
      </c>
      <c r="K278" s="24">
        <f>'[1]资源-钻石'!U278</f>
        <v>2045050.4147626269</v>
      </c>
      <c r="L278" s="24">
        <f>'[1]资源-钻石'!V278</f>
        <v>3480533.4562388901</v>
      </c>
      <c r="M278" s="24">
        <f>'[1]资源-钻石'!W278</f>
        <v>9364116.8018627781</v>
      </c>
      <c r="N278" s="24">
        <f>'[1]资源-钻石'!X278</f>
        <v>22426435.982049052</v>
      </c>
    </row>
    <row r="279" spans="9:14" x14ac:dyDescent="0.15">
      <c r="I279" s="23">
        <v>276</v>
      </c>
      <c r="J279" s="24">
        <f>'[1]资源-钻石'!T279</f>
        <v>1442061.6068846369</v>
      </c>
      <c r="K279" s="24">
        <f>'[1]资源-钻石'!U279</f>
        <v>2052467.7675731005</v>
      </c>
      <c r="L279" s="24">
        <f>'[1]资源-钻石'!V279</f>
        <v>3493144.5443304107</v>
      </c>
      <c r="M279" s="24">
        <f>'[1]资源-钻石'!W279</f>
        <v>9398008.9987634514</v>
      </c>
      <c r="N279" s="24">
        <f>'[1]资源-钻石'!X279</f>
        <v>22507572.398639794</v>
      </c>
    </row>
    <row r="280" spans="9:14" x14ac:dyDescent="0.15">
      <c r="I280" s="25">
        <v>277</v>
      </c>
      <c r="J280" s="24">
        <f>'[1]资源-钻石'!T280</f>
        <v>1447277.3821668855</v>
      </c>
      <c r="K280" s="24">
        <f>'[1]资源-钻石'!U280</f>
        <v>2059885.1203835739</v>
      </c>
      <c r="L280" s="24">
        <f>'[1]资源-钻石'!V280</f>
        <v>3505755.6324219317</v>
      </c>
      <c r="M280" s="24">
        <f>'[1]资源-钻石'!W280</f>
        <v>9431901.1956641246</v>
      </c>
      <c r="N280" s="24">
        <f>'[1]资源-钻石'!X280</f>
        <v>22588708.815230533</v>
      </c>
    </row>
    <row r="281" spans="9:14" x14ac:dyDescent="0.15">
      <c r="I281" s="25">
        <v>278</v>
      </c>
      <c r="J281" s="24">
        <f>'[1]资源-钻石'!T281</f>
        <v>1452493.1574491342</v>
      </c>
      <c r="K281" s="24">
        <f>'[1]资源-钻石'!U281</f>
        <v>2067302.4731940476</v>
      </c>
      <c r="L281" s="24">
        <f>'[1]资源-钻石'!V281</f>
        <v>3518366.7205134528</v>
      </c>
      <c r="M281" s="24">
        <f>'[1]资源-钻石'!W281</f>
        <v>9465793.3925647978</v>
      </c>
      <c r="N281" s="24">
        <f>'[1]资源-钻石'!X281</f>
        <v>22669845.231821276</v>
      </c>
    </row>
    <row r="282" spans="9:14" x14ac:dyDescent="0.15">
      <c r="I282" s="23">
        <v>279</v>
      </c>
      <c r="J282" s="24">
        <f>'[1]资源-钻石'!T282</f>
        <v>1457708.9327313828</v>
      </c>
      <c r="K282" s="24">
        <f>'[1]资源-钻石'!U282</f>
        <v>2074719.8260045212</v>
      </c>
      <c r="L282" s="24">
        <f>'[1]资源-钻石'!V282</f>
        <v>3530977.8086049734</v>
      </c>
      <c r="M282" s="24">
        <f>'[1]资源-钻石'!W282</f>
        <v>9499685.589465471</v>
      </c>
      <c r="N282" s="24">
        <f>'[1]资源-钻石'!X282</f>
        <v>22750981.648412015</v>
      </c>
    </row>
    <row r="283" spans="9:14" x14ac:dyDescent="0.15">
      <c r="I283" s="23">
        <v>280</v>
      </c>
      <c r="J283" s="24">
        <f>'[1]资源-钻石'!T283</f>
        <v>1462924.7080136316</v>
      </c>
      <c r="K283" s="24">
        <f>'[1]资源-钻石'!U283</f>
        <v>2082137.1788149946</v>
      </c>
      <c r="L283" s="24">
        <f>'[1]资源-钻石'!V283</f>
        <v>3543588.8966964944</v>
      </c>
      <c r="M283" s="24">
        <f>'[1]资源-钻石'!W283</f>
        <v>9533577.7863661442</v>
      </c>
      <c r="N283" s="24">
        <f>'[1]资源-钻石'!X283</f>
        <v>22832118.065002754</v>
      </c>
    </row>
    <row r="284" spans="9:14" x14ac:dyDescent="0.15">
      <c r="I284" s="23">
        <v>281</v>
      </c>
      <c r="J284" s="24">
        <f>'[1]资源-钻石'!T284</f>
        <v>1468140.4832958803</v>
      </c>
      <c r="K284" s="24">
        <f>'[1]资源-钻石'!U284</f>
        <v>2089554.5316254683</v>
      </c>
      <c r="L284" s="24">
        <f>'[1]资源-钻石'!V284</f>
        <v>3556199.984788015</v>
      </c>
      <c r="M284" s="24">
        <f>'[1]资源-钻石'!W284</f>
        <v>9567469.9832668174</v>
      </c>
      <c r="N284" s="24">
        <f>'[1]资源-钻石'!X284</f>
        <v>22913254.481593497</v>
      </c>
    </row>
    <row r="285" spans="9:14" x14ac:dyDescent="0.15">
      <c r="I285" s="23">
        <v>282</v>
      </c>
      <c r="J285" s="24">
        <f>'[1]资源-钻石'!T285</f>
        <v>1473356.2585781289</v>
      </c>
      <c r="K285" s="24">
        <f>'[1]资源-钻石'!U285</f>
        <v>2096971.8844359419</v>
      </c>
      <c r="L285" s="24">
        <f>'[1]资源-钻石'!V285</f>
        <v>3568811.0728795361</v>
      </c>
      <c r="M285" s="24">
        <f>'[1]资源-钻石'!W285</f>
        <v>9601362.1801674906</v>
      </c>
      <c r="N285" s="24">
        <f>'[1]资源-钻石'!X285</f>
        <v>22994390.898184236</v>
      </c>
    </row>
    <row r="286" spans="9:14" x14ac:dyDescent="0.15">
      <c r="I286" s="25">
        <v>283</v>
      </c>
      <c r="J286" s="24">
        <f>'[1]资源-钻石'!T286</f>
        <v>1478572.0338603775</v>
      </c>
      <c r="K286" s="24">
        <f>'[1]资源-钻石'!U286</f>
        <v>2104389.2372464156</v>
      </c>
      <c r="L286" s="24">
        <f>'[1]资源-钻石'!V286</f>
        <v>3581422.1609710571</v>
      </c>
      <c r="M286" s="24">
        <f>'[1]资源-钻石'!W286</f>
        <v>9635254.3770681638</v>
      </c>
      <c r="N286" s="24">
        <f>'[1]资源-钻石'!X286</f>
        <v>23075527.314774975</v>
      </c>
    </row>
    <row r="287" spans="9:14" x14ac:dyDescent="0.15">
      <c r="I287" s="25">
        <v>284</v>
      </c>
      <c r="J287" s="24">
        <f>'[1]资源-钻石'!T287</f>
        <v>1483787.8091426264</v>
      </c>
      <c r="K287" s="24">
        <f>'[1]资源-钻石'!U287</f>
        <v>2111806.5900568888</v>
      </c>
      <c r="L287" s="24">
        <f>'[1]资源-钻石'!V287</f>
        <v>3594033.2490625777</v>
      </c>
      <c r="M287" s="24">
        <f>'[1]资源-钻石'!W287</f>
        <v>9669146.573968837</v>
      </c>
      <c r="N287" s="24">
        <f>'[1]资源-钻石'!X287</f>
        <v>23156663.731365718</v>
      </c>
    </row>
    <row r="288" spans="9:14" x14ac:dyDescent="0.15">
      <c r="I288" s="23">
        <v>285</v>
      </c>
      <c r="J288" s="24">
        <f>'[1]资源-钻石'!T288</f>
        <v>1489003.584424875</v>
      </c>
      <c r="K288" s="24">
        <f>'[1]资源-钻石'!U288</f>
        <v>2119223.9428673624</v>
      </c>
      <c r="L288" s="24">
        <f>'[1]资源-钻石'!V288</f>
        <v>3606644.3371540988</v>
      </c>
      <c r="M288" s="24">
        <f>'[1]资源-钻石'!W288</f>
        <v>9703038.7708695102</v>
      </c>
      <c r="N288" s="24">
        <f>'[1]资源-钻石'!X288</f>
        <v>23237800.147956457</v>
      </c>
    </row>
    <row r="289" spans="9:14" x14ac:dyDescent="0.15">
      <c r="I289" s="23">
        <v>286</v>
      </c>
      <c r="J289" s="24">
        <f>'[1]资源-钻石'!T289</f>
        <v>1494219.3597071236</v>
      </c>
      <c r="K289" s="24">
        <f>'[1]资源-钻石'!U289</f>
        <v>2126641.2956778361</v>
      </c>
      <c r="L289" s="24">
        <f>'[1]资源-钻石'!V289</f>
        <v>3619255.4252456198</v>
      </c>
      <c r="M289" s="24">
        <f>'[1]资源-钻石'!W289</f>
        <v>9736930.9677701816</v>
      </c>
      <c r="N289" s="24">
        <f>'[1]资源-钻石'!X289</f>
        <v>23318936.564547196</v>
      </c>
    </row>
    <row r="290" spans="9:14" x14ac:dyDescent="0.15">
      <c r="I290" s="23">
        <v>287</v>
      </c>
      <c r="J290" s="24">
        <f>'[1]资源-钻石'!T290</f>
        <v>1499435.1349893725</v>
      </c>
      <c r="K290" s="24">
        <f>'[1]资源-钻石'!U290</f>
        <v>2134058.6484883097</v>
      </c>
      <c r="L290" s="24">
        <f>'[1]资源-钻石'!V290</f>
        <v>3631866.5133371404</v>
      </c>
      <c r="M290" s="24">
        <f>'[1]资源-钻石'!W290</f>
        <v>9770823.1646708548</v>
      </c>
      <c r="N290" s="24">
        <f>'[1]资源-钻石'!X290</f>
        <v>23400072.981137939</v>
      </c>
    </row>
    <row r="291" spans="9:14" x14ac:dyDescent="0.15">
      <c r="I291" s="23">
        <v>288</v>
      </c>
      <c r="J291" s="24">
        <f>'[1]资源-钻石'!T291</f>
        <v>1504650.9102716211</v>
      </c>
      <c r="K291" s="24">
        <f>'[1]资源-钻石'!U291</f>
        <v>2141476.0012987833</v>
      </c>
      <c r="L291" s="24">
        <f>'[1]资源-钻石'!V291</f>
        <v>3644477.6014286615</v>
      </c>
      <c r="M291" s="24">
        <f>'[1]资源-钻石'!W291</f>
        <v>9804715.361571528</v>
      </c>
      <c r="N291" s="24">
        <f>'[1]资源-钻石'!X291</f>
        <v>23481209.397728678</v>
      </c>
    </row>
    <row r="292" spans="9:14" x14ac:dyDescent="0.15">
      <c r="I292" s="25">
        <v>289</v>
      </c>
      <c r="J292" s="24">
        <f>'[1]资源-钻石'!T292</f>
        <v>1509866.6855538697</v>
      </c>
      <c r="K292" s="24">
        <f>'[1]资源-钻石'!U292</f>
        <v>2148893.354109257</v>
      </c>
      <c r="L292" s="24">
        <f>'[1]资源-钻石'!V292</f>
        <v>3657088.6895201826</v>
      </c>
      <c r="M292" s="24">
        <f>'[1]资源-钻石'!W292</f>
        <v>9838607.5584722012</v>
      </c>
      <c r="N292" s="24">
        <f>'[1]资源-钻石'!X292</f>
        <v>23562345.814319417</v>
      </c>
    </row>
    <row r="293" spans="9:14" x14ac:dyDescent="0.15">
      <c r="I293" s="25">
        <v>290</v>
      </c>
      <c r="J293" s="24">
        <f>'[1]资源-钻石'!T293</f>
        <v>1515082.4608361183</v>
      </c>
      <c r="K293" s="24">
        <f>'[1]资源-钻石'!U293</f>
        <v>2156310.7069197302</v>
      </c>
      <c r="L293" s="24">
        <f>'[1]资源-钻石'!V293</f>
        <v>3669699.7776117031</v>
      </c>
      <c r="M293" s="24">
        <f>'[1]资源-钻石'!W293</f>
        <v>9872499.7553728744</v>
      </c>
      <c r="N293" s="24">
        <f>'[1]资源-钻石'!X293</f>
        <v>23643482.23091016</v>
      </c>
    </row>
    <row r="294" spans="9:14" x14ac:dyDescent="0.15">
      <c r="I294" s="23">
        <v>291</v>
      </c>
      <c r="J294" s="24">
        <f>'[1]资源-钻石'!T294</f>
        <v>1520298.2361183672</v>
      </c>
      <c r="K294" s="24">
        <f>'[1]资源-钻石'!U294</f>
        <v>2163728.0597302038</v>
      </c>
      <c r="L294" s="24">
        <f>'[1]资源-钻石'!V294</f>
        <v>3682310.8657032242</v>
      </c>
      <c r="M294" s="24">
        <f>'[1]资源-钻石'!W294</f>
        <v>9906391.9522735476</v>
      </c>
      <c r="N294" s="24">
        <f>'[1]资源-钻石'!X294</f>
        <v>23724618.647500899</v>
      </c>
    </row>
    <row r="295" spans="9:14" x14ac:dyDescent="0.15">
      <c r="I295" s="23">
        <v>292</v>
      </c>
      <c r="J295" s="24">
        <f>'[1]资源-钻石'!T295</f>
        <v>1525514.0114006158</v>
      </c>
      <c r="K295" s="24">
        <f>'[1]资源-钻石'!U295</f>
        <v>2171145.4125406775</v>
      </c>
      <c r="L295" s="24">
        <f>'[1]资源-钻石'!V295</f>
        <v>3694921.9537947453</v>
      </c>
      <c r="M295" s="24">
        <f>'[1]资源-钻石'!W295</f>
        <v>9940284.1491742209</v>
      </c>
      <c r="N295" s="24">
        <f>'[1]资源-钻石'!X295</f>
        <v>23805755.064091638</v>
      </c>
    </row>
    <row r="296" spans="9:14" x14ac:dyDescent="0.15">
      <c r="I296" s="23">
        <v>293</v>
      </c>
      <c r="J296" s="24">
        <f>'[1]资源-钻石'!T296</f>
        <v>1530729.7866828644</v>
      </c>
      <c r="K296" s="24">
        <f>'[1]资源-钻石'!U296</f>
        <v>2178562.7653511511</v>
      </c>
      <c r="L296" s="24">
        <f>'[1]资源-钻石'!V296</f>
        <v>3707533.0418862659</v>
      </c>
      <c r="M296" s="24">
        <f>'[1]资源-钻石'!W296</f>
        <v>9974176.3460748941</v>
      </c>
      <c r="N296" s="24">
        <f>'[1]资源-钻石'!X296</f>
        <v>23886891.48068238</v>
      </c>
    </row>
    <row r="297" spans="9:14" x14ac:dyDescent="0.15">
      <c r="I297" s="23">
        <v>294</v>
      </c>
      <c r="J297" s="24">
        <f>'[1]资源-钻石'!T297</f>
        <v>1535945.561965113</v>
      </c>
      <c r="K297" s="24">
        <f>'[1]资源-钻石'!U297</f>
        <v>2185980.1181616243</v>
      </c>
      <c r="L297" s="24">
        <f>'[1]资源-钻石'!V297</f>
        <v>3720144.1299777869</v>
      </c>
      <c r="M297" s="24">
        <f>'[1]资源-钻石'!W297</f>
        <v>10008068.542975567</v>
      </c>
      <c r="N297" s="24">
        <f>'[1]资源-钻石'!X297</f>
        <v>23968027.89727312</v>
      </c>
    </row>
    <row r="298" spans="9:14" x14ac:dyDescent="0.15">
      <c r="I298" s="25">
        <v>295</v>
      </c>
      <c r="J298" s="24">
        <f>'[1]资源-钻石'!T298</f>
        <v>1541161.3372473619</v>
      </c>
      <c r="K298" s="24">
        <f>'[1]资源-钻石'!U298</f>
        <v>2193397.4709720979</v>
      </c>
      <c r="L298" s="24">
        <f>'[1]资源-钻石'!V298</f>
        <v>3732755.218069308</v>
      </c>
      <c r="M298" s="24">
        <f>'[1]资源-钻石'!W298</f>
        <v>10041960.73987624</v>
      </c>
      <c r="N298" s="24">
        <f>'[1]资源-钻石'!X298</f>
        <v>24049164.313863862</v>
      </c>
    </row>
    <row r="299" spans="9:14" x14ac:dyDescent="0.15">
      <c r="I299" s="25">
        <v>296</v>
      </c>
      <c r="J299" s="24">
        <f>'[1]资源-钻石'!T299</f>
        <v>1546377.1125296105</v>
      </c>
      <c r="K299" s="24">
        <f>'[1]资源-钻石'!U299</f>
        <v>2200814.8237825716</v>
      </c>
      <c r="L299" s="24">
        <f>'[1]资源-钻石'!V299</f>
        <v>3745366.3061608286</v>
      </c>
      <c r="M299" s="24">
        <f>'[1]资源-钻石'!W299</f>
        <v>10075852.936776912</v>
      </c>
      <c r="N299" s="24">
        <f>'[1]资源-钻石'!X299</f>
        <v>24130300.730454601</v>
      </c>
    </row>
    <row r="300" spans="9:14" x14ac:dyDescent="0.15">
      <c r="I300" s="23">
        <v>297</v>
      </c>
      <c r="J300" s="24">
        <f>'[1]资源-钻石'!T300</f>
        <v>1551592.8878118591</v>
      </c>
      <c r="K300" s="24">
        <f>'[1]资源-钻石'!U300</f>
        <v>2208232.1765930452</v>
      </c>
      <c r="L300" s="24">
        <f>'[1]资源-钻石'!V300</f>
        <v>3757977.3942523496</v>
      </c>
      <c r="M300" s="24">
        <f>'[1]资源-钻石'!W300</f>
        <v>10109745.133677585</v>
      </c>
      <c r="N300" s="24">
        <f>'[1]资源-钻石'!X300</f>
        <v>24211437.14704534</v>
      </c>
    </row>
    <row r="301" spans="9:14" x14ac:dyDescent="0.15">
      <c r="I301" s="23">
        <v>298</v>
      </c>
      <c r="J301" s="24">
        <f>'[1]资源-钻石'!T301</f>
        <v>1556808.6630941078</v>
      </c>
      <c r="K301" s="24">
        <f>'[1]资源-钻石'!U301</f>
        <v>2215649.5294035189</v>
      </c>
      <c r="L301" s="24">
        <f>'[1]资源-钻石'!V301</f>
        <v>3770588.4823438707</v>
      </c>
      <c r="M301" s="24">
        <f>'[1]资源-钻石'!W301</f>
        <v>10143637.330578258</v>
      </c>
      <c r="N301" s="24">
        <f>'[1]资源-钻石'!X301</f>
        <v>24292573.563636079</v>
      </c>
    </row>
    <row r="302" spans="9:14" x14ac:dyDescent="0.15">
      <c r="I302" s="23">
        <v>299</v>
      </c>
      <c r="J302" s="24">
        <f>'[1]资源-钻石'!T302</f>
        <v>1562024.4383763566</v>
      </c>
      <c r="K302" s="24">
        <f>'[1]资源-钻石'!U302</f>
        <v>2223066.8822139921</v>
      </c>
      <c r="L302" s="24">
        <f>'[1]资源-钻石'!V302</f>
        <v>3783199.5704353917</v>
      </c>
      <c r="M302" s="24">
        <f>'[1]资源-钻石'!W302</f>
        <v>10177529.527478931</v>
      </c>
      <c r="N302" s="24">
        <f>'[1]资源-钻石'!X302</f>
        <v>24373709.980226822</v>
      </c>
    </row>
    <row r="303" spans="9:14" x14ac:dyDescent="0.15">
      <c r="I303" s="23">
        <v>300</v>
      </c>
      <c r="J303" s="24">
        <f>'[1]资源-钻石'!T303</f>
        <v>1567240.2136586052</v>
      </c>
      <c r="K303" s="24">
        <f>'[1]资源-钻石'!U303</f>
        <v>2230484.2350244657</v>
      </c>
      <c r="L303" s="24">
        <f>'[1]资源-钻石'!V303</f>
        <v>3795810.6585269123</v>
      </c>
      <c r="M303" s="24">
        <f>'[1]资源-钻石'!W303</f>
        <v>10211421.724379605</v>
      </c>
      <c r="N303" s="24">
        <f>'[1]资源-钻石'!X303</f>
        <v>24454846.396817561</v>
      </c>
    </row>
    <row r="304" spans="9:14" x14ac:dyDescent="0.15">
      <c r="I304" s="25">
        <v>301</v>
      </c>
      <c r="J304" s="24">
        <f>'[1]资源-钻石'!T304</f>
        <v>1572455.9889408539</v>
      </c>
      <c r="K304" s="24">
        <f>'[1]资源-钻石'!U304</f>
        <v>2237901.5878349394</v>
      </c>
      <c r="L304" s="24">
        <f>'[1]资源-钻石'!V304</f>
        <v>3808421.7466184334</v>
      </c>
      <c r="M304" s="24">
        <f>'[1]资源-钻石'!W304</f>
        <v>10245313.921280278</v>
      </c>
      <c r="N304" s="24">
        <f>'[1]资源-钻石'!X304</f>
        <v>24535982.8134083</v>
      </c>
    </row>
    <row r="305" spans="9:14" x14ac:dyDescent="0.15">
      <c r="I305" s="25">
        <v>302</v>
      </c>
      <c r="J305" s="24">
        <f>'[1]资源-钻石'!T305</f>
        <v>1577671.7642231025</v>
      </c>
      <c r="K305" s="24">
        <f>'[1]资源-钻石'!U305</f>
        <v>2245318.940645413</v>
      </c>
      <c r="L305" s="24">
        <f>'[1]资源-钻石'!V305</f>
        <v>3821032.8347099544</v>
      </c>
      <c r="M305" s="24">
        <f>'[1]资源-钻石'!W305</f>
        <v>10279206.118180951</v>
      </c>
      <c r="N305" s="24">
        <f>'[1]资源-钻石'!X305</f>
        <v>24617119.229999043</v>
      </c>
    </row>
    <row r="306" spans="9:14" x14ac:dyDescent="0.15">
      <c r="I306" s="23">
        <v>303</v>
      </c>
      <c r="J306" s="24">
        <f>'[1]资源-钻石'!T306</f>
        <v>1582887.5395053513</v>
      </c>
      <c r="K306" s="24">
        <f>'[1]资源-钻石'!U306</f>
        <v>2252736.2934558862</v>
      </c>
      <c r="L306" s="24">
        <f>'[1]资源-钻石'!V306</f>
        <v>3833643.922801475</v>
      </c>
      <c r="M306" s="24">
        <f>'[1]资源-钻石'!W306</f>
        <v>10313098.315081622</v>
      </c>
      <c r="N306" s="24">
        <f>'[1]资源-钻石'!X306</f>
        <v>24698255.646589782</v>
      </c>
    </row>
    <row r="307" spans="9:14" x14ac:dyDescent="0.15">
      <c r="I307" s="23">
        <v>304</v>
      </c>
      <c r="J307" s="24">
        <f>'[1]资源-钻石'!T307</f>
        <v>1588103.3147876</v>
      </c>
      <c r="K307" s="24">
        <f>'[1]资源-钻石'!U307</f>
        <v>2260153.6462663598</v>
      </c>
      <c r="L307" s="24">
        <f>'[1]资源-钻石'!V307</f>
        <v>3846255.0108929961</v>
      </c>
      <c r="M307" s="24">
        <f>'[1]资源-钻石'!W307</f>
        <v>10346990.511982296</v>
      </c>
      <c r="N307" s="24">
        <f>'[1]资源-钻石'!X307</f>
        <v>24779392.063180521</v>
      </c>
    </row>
    <row r="308" spans="9:14" x14ac:dyDescent="0.15">
      <c r="I308" s="23">
        <v>305</v>
      </c>
      <c r="J308" s="24">
        <f>'[1]资源-钻石'!T308</f>
        <v>1593319.0900698486</v>
      </c>
      <c r="K308" s="24">
        <f>'[1]资源-钻石'!U308</f>
        <v>2267570.9990768335</v>
      </c>
      <c r="L308" s="24">
        <f>'[1]资源-钻石'!V308</f>
        <v>3858866.0989845172</v>
      </c>
      <c r="M308" s="24">
        <f>'[1]资源-钻石'!W308</f>
        <v>10380882.708882969</v>
      </c>
      <c r="N308" s="24">
        <f>'[1]资源-钻石'!X308</f>
        <v>24860528.479771264</v>
      </c>
    </row>
    <row r="309" spans="9:14" x14ac:dyDescent="0.15">
      <c r="I309" s="23">
        <v>306</v>
      </c>
      <c r="J309" s="24">
        <f>'[1]资源-钻石'!T309</f>
        <v>1598534.8653520974</v>
      </c>
      <c r="K309" s="24">
        <f>'[1]资源-钻石'!U309</f>
        <v>2274988.3518873071</v>
      </c>
      <c r="L309" s="24">
        <f>'[1]资源-钻石'!V309</f>
        <v>3871477.1870760377</v>
      </c>
      <c r="M309" s="24">
        <f>'[1]资源-钻石'!W309</f>
        <v>10414774.905783642</v>
      </c>
      <c r="N309" s="24">
        <f>'[1]资源-钻石'!X309</f>
        <v>24941664.896362003</v>
      </c>
    </row>
    <row r="310" spans="9:14" x14ac:dyDescent="0.15">
      <c r="I310" s="25">
        <v>307</v>
      </c>
      <c r="J310" s="24">
        <f>'[1]资源-钻石'!T310</f>
        <v>1603750.6406343461</v>
      </c>
      <c r="K310" s="24">
        <f>'[1]资源-钻石'!U310</f>
        <v>2282405.7046977803</v>
      </c>
      <c r="L310" s="24">
        <f>'[1]资源-钻石'!V310</f>
        <v>3884088.2751675588</v>
      </c>
      <c r="M310" s="24">
        <f>'[1]资源-钻石'!W310</f>
        <v>10448667.102684315</v>
      </c>
      <c r="N310" s="24">
        <f>'[1]资源-钻石'!X310</f>
        <v>25022801.312952742</v>
      </c>
    </row>
    <row r="311" spans="9:14" x14ac:dyDescent="0.15">
      <c r="I311" s="25">
        <v>308</v>
      </c>
      <c r="J311" s="24">
        <f>'[1]资源-钻石'!T311</f>
        <v>1608966.4159165947</v>
      </c>
      <c r="K311" s="24">
        <f>'[1]资源-钻石'!U311</f>
        <v>2289823.057508254</v>
      </c>
      <c r="L311" s="24">
        <f>'[1]资源-钻石'!V311</f>
        <v>3896699.3632590799</v>
      </c>
      <c r="M311" s="24">
        <f>'[1]资源-钻石'!W311</f>
        <v>10482559.299584989</v>
      </c>
      <c r="N311" s="24">
        <f>'[1]资源-钻石'!X311</f>
        <v>25103937.729543485</v>
      </c>
    </row>
    <row r="312" spans="9:14" x14ac:dyDescent="0.15">
      <c r="I312" s="23">
        <v>309</v>
      </c>
      <c r="J312" s="24">
        <f>'[1]资源-钻石'!T312</f>
        <v>1614182.1911988433</v>
      </c>
      <c r="K312" s="24">
        <f>'[1]资源-钻石'!U312</f>
        <v>2297240.4103187276</v>
      </c>
      <c r="L312" s="24">
        <f>'[1]资源-钻石'!V312</f>
        <v>3909310.4513506005</v>
      </c>
      <c r="M312" s="24">
        <f>'[1]资源-钻石'!W312</f>
        <v>10516451.496485662</v>
      </c>
      <c r="N312" s="24">
        <f>'[1]资源-钻石'!X312</f>
        <v>25185074.146134224</v>
      </c>
    </row>
    <row r="313" spans="9:14" x14ac:dyDescent="0.15">
      <c r="I313" s="23">
        <v>310</v>
      </c>
      <c r="J313" s="24">
        <f>'[1]资源-钻石'!T313</f>
        <v>1619397.9664810922</v>
      </c>
      <c r="K313" s="24">
        <f>'[1]资源-钻石'!U313</f>
        <v>2304657.7631292013</v>
      </c>
      <c r="L313" s="24">
        <f>'[1]资源-钻石'!V313</f>
        <v>3921921.5394421215</v>
      </c>
      <c r="M313" s="24">
        <f>'[1]资源-钻石'!W313</f>
        <v>10550343.693386333</v>
      </c>
      <c r="N313" s="24">
        <f>'[1]资源-钻石'!X313</f>
        <v>25266210.562724963</v>
      </c>
    </row>
    <row r="314" spans="9:14" x14ac:dyDescent="0.15">
      <c r="I314" s="23">
        <v>311</v>
      </c>
      <c r="J314" s="24">
        <f>'[1]资源-钻石'!T314</f>
        <v>1624613.7417633408</v>
      </c>
      <c r="K314" s="24">
        <f>'[1]资源-钻石'!U314</f>
        <v>2312075.1159396744</v>
      </c>
      <c r="L314" s="24">
        <f>'[1]资源-钻石'!V314</f>
        <v>3934532.6275336426</v>
      </c>
      <c r="M314" s="24">
        <f>'[1]资源-钻石'!W314</f>
        <v>10584235.890287006</v>
      </c>
      <c r="N314" s="24">
        <f>'[1]资源-钻石'!X314</f>
        <v>25347346.979315706</v>
      </c>
    </row>
    <row r="315" spans="9:14" x14ac:dyDescent="0.15">
      <c r="I315" s="23">
        <v>312</v>
      </c>
      <c r="J315" s="24">
        <f>'[1]资源-钻石'!T315</f>
        <v>1629829.5170455894</v>
      </c>
      <c r="K315" s="24">
        <f>'[1]资源-钻石'!U315</f>
        <v>2319492.4687501481</v>
      </c>
      <c r="L315" s="24">
        <f>'[1]资源-钻石'!V315</f>
        <v>3947143.7156251632</v>
      </c>
      <c r="M315" s="24">
        <f>'[1]资源-钻石'!W315</f>
        <v>10618128.087187679</v>
      </c>
      <c r="N315" s="24">
        <f>'[1]资源-钻石'!X315</f>
        <v>25428483.395906445</v>
      </c>
    </row>
    <row r="316" spans="9:14" x14ac:dyDescent="0.15">
      <c r="I316" s="25">
        <v>313</v>
      </c>
      <c r="J316" s="24">
        <f>'[1]资源-钻石'!T316</f>
        <v>1635045.292327838</v>
      </c>
      <c r="K316" s="24">
        <f>'[1]资源-钻石'!U316</f>
        <v>2326909.8215606217</v>
      </c>
      <c r="L316" s="24">
        <f>'[1]资源-钻石'!V316</f>
        <v>3959754.8037166842</v>
      </c>
      <c r="M316" s="24">
        <f>'[1]资源-钻石'!W316</f>
        <v>10652020.284088353</v>
      </c>
      <c r="N316" s="24">
        <f>'[1]资源-钻石'!X316</f>
        <v>25509619.812497184</v>
      </c>
    </row>
    <row r="317" spans="9:14" x14ac:dyDescent="0.15">
      <c r="I317" s="25">
        <v>314</v>
      </c>
      <c r="J317" s="24">
        <f>'[1]资源-钻石'!T317</f>
        <v>1640261.0676100869</v>
      </c>
      <c r="K317" s="24">
        <f>'[1]资源-钻石'!U317</f>
        <v>2334327.1743710954</v>
      </c>
      <c r="L317" s="24">
        <f>'[1]资源-钻石'!V317</f>
        <v>3972365.8918082053</v>
      </c>
      <c r="M317" s="24">
        <f>'[1]资源-钻石'!W317</f>
        <v>10685912.480989026</v>
      </c>
      <c r="N317" s="24">
        <f>'[1]资源-钻石'!X317</f>
        <v>25590756.229087926</v>
      </c>
    </row>
    <row r="318" spans="9:14" x14ac:dyDescent="0.15">
      <c r="I318" s="23">
        <v>315</v>
      </c>
      <c r="J318" s="24">
        <f>'[1]资源-钻石'!T318</f>
        <v>1645476.8428923355</v>
      </c>
      <c r="K318" s="24">
        <f>'[1]资源-钻石'!U318</f>
        <v>2341744.5271815686</v>
      </c>
      <c r="L318" s="24">
        <f>'[1]资源-钻石'!V318</f>
        <v>3984976.9798997259</v>
      </c>
      <c r="M318" s="24">
        <f>'[1]资源-钻石'!W318</f>
        <v>10719804.677889699</v>
      </c>
      <c r="N318" s="24">
        <f>'[1]资源-钻石'!X318</f>
        <v>25671892.645678665</v>
      </c>
    </row>
    <row r="319" spans="9:14" x14ac:dyDescent="0.15">
      <c r="I319" s="23">
        <v>316</v>
      </c>
      <c r="J319" s="24">
        <f>'[1]资源-钻石'!T319</f>
        <v>1650692.6181745841</v>
      </c>
      <c r="K319" s="24">
        <f>'[1]资源-钻石'!U319</f>
        <v>2349161.8799920422</v>
      </c>
      <c r="L319" s="24">
        <f>'[1]资源-钻石'!V319</f>
        <v>3997588.0679912469</v>
      </c>
      <c r="M319" s="24">
        <f>'[1]资源-钻石'!W319</f>
        <v>10753696.874790372</v>
      </c>
      <c r="N319" s="24">
        <f>'[1]资源-钻石'!X319</f>
        <v>25753029.062269405</v>
      </c>
    </row>
    <row r="320" spans="9:14" x14ac:dyDescent="0.15">
      <c r="I320" s="23">
        <v>317</v>
      </c>
      <c r="J320" s="24">
        <f>'[1]资源-钻石'!T320</f>
        <v>1655908.3934568327</v>
      </c>
      <c r="K320" s="24">
        <f>'[1]资源-钻石'!U320</f>
        <v>2356579.2328025158</v>
      </c>
      <c r="L320" s="24">
        <f>'[1]资源-钻石'!V320</f>
        <v>4010199.156082768</v>
      </c>
      <c r="M320" s="24">
        <f>'[1]资源-钻石'!W320</f>
        <v>10787589.071691046</v>
      </c>
      <c r="N320" s="24">
        <f>'[1]资源-钻石'!X320</f>
        <v>25834165.478860147</v>
      </c>
    </row>
    <row r="321" spans="9:14" x14ac:dyDescent="0.15">
      <c r="I321" s="23">
        <v>318</v>
      </c>
      <c r="J321" s="24">
        <f>'[1]资源-钻石'!T321</f>
        <v>1661124.1687390816</v>
      </c>
      <c r="K321" s="24">
        <f>'[1]资源-钻石'!U321</f>
        <v>2363996.5856129895</v>
      </c>
      <c r="L321" s="24">
        <f>'[1]资源-钻石'!V321</f>
        <v>4022810.2441742886</v>
      </c>
      <c r="M321" s="24">
        <f>'[1]资源-钻石'!W321</f>
        <v>10821481.268591717</v>
      </c>
      <c r="N321" s="24">
        <f>'[1]资源-钻石'!X321</f>
        <v>25915301.895450886</v>
      </c>
    </row>
    <row r="322" spans="9:14" x14ac:dyDescent="0.15">
      <c r="I322" s="25">
        <v>319</v>
      </c>
      <c r="J322" s="24">
        <f>'[1]资源-钻石'!T322</f>
        <v>1666339.9440213302</v>
      </c>
      <c r="K322" s="24">
        <f>'[1]资源-钻石'!U322</f>
        <v>2371413.9384234627</v>
      </c>
      <c r="L322" s="24">
        <f>'[1]资源-钻石'!V322</f>
        <v>4035421.3322658096</v>
      </c>
      <c r="M322" s="24">
        <f>'[1]资源-钻石'!W322</f>
        <v>10855373.46549239</v>
      </c>
      <c r="N322" s="24">
        <f>'[1]资源-钻石'!X322</f>
        <v>25996438.312041625</v>
      </c>
    </row>
    <row r="323" spans="9:14" x14ac:dyDescent="0.15">
      <c r="I323" s="25">
        <v>320</v>
      </c>
      <c r="J323" s="24">
        <f>'[1]资源-钻石'!T323</f>
        <v>1671555.7193035788</v>
      </c>
      <c r="K323" s="24">
        <f>'[1]资源-钻石'!U323</f>
        <v>2378831.2912339363</v>
      </c>
      <c r="L323" s="24">
        <f>'[1]资源-钻石'!V323</f>
        <v>4048032.4203573307</v>
      </c>
      <c r="M323" s="24">
        <f>'[1]资源-钻石'!W323</f>
        <v>10889265.662393063</v>
      </c>
      <c r="N323" s="24">
        <f>'[1]资源-钻石'!X323</f>
        <v>26077574.728632368</v>
      </c>
    </row>
    <row r="324" spans="9:14" x14ac:dyDescent="0.15">
      <c r="I324" s="23">
        <v>321</v>
      </c>
      <c r="J324" s="24">
        <f>'[1]资源-钻石'!T324</f>
        <v>1676771.4945858275</v>
      </c>
      <c r="K324" s="24">
        <f>'[1]资源-钻石'!U324</f>
        <v>2386248.64404441</v>
      </c>
      <c r="L324" s="24">
        <f>'[1]资源-钻石'!V324</f>
        <v>4060643.5084488513</v>
      </c>
      <c r="M324" s="24">
        <f>'[1]资源-钻石'!W324</f>
        <v>10923157.859293737</v>
      </c>
      <c r="N324" s="24">
        <f>'[1]资源-钻石'!X324</f>
        <v>26158711.145223107</v>
      </c>
    </row>
    <row r="325" spans="9:14" x14ac:dyDescent="0.15">
      <c r="I325" s="23">
        <v>322</v>
      </c>
      <c r="J325" s="24">
        <f>'[1]资源-钻石'!T325</f>
        <v>1681987.2698680763</v>
      </c>
      <c r="K325" s="24">
        <f>'[1]资源-钻石'!U325</f>
        <v>2393665.9968548836</v>
      </c>
      <c r="L325" s="24">
        <f>'[1]资源-钻石'!V325</f>
        <v>4073254.5965403724</v>
      </c>
      <c r="M325" s="24">
        <f>'[1]资源-钻石'!W325</f>
        <v>10957050.05619441</v>
      </c>
      <c r="N325" s="24">
        <f>'[1]资源-钻石'!X325</f>
        <v>26239847.561813846</v>
      </c>
    </row>
    <row r="326" spans="9:14" x14ac:dyDescent="0.15">
      <c r="I326" s="23">
        <v>323</v>
      </c>
      <c r="J326" s="24">
        <f>'[1]资源-钻石'!T326</f>
        <v>1687203.0451503249</v>
      </c>
      <c r="K326" s="24">
        <f>'[1]资源-钻石'!U326</f>
        <v>2401083.3496653568</v>
      </c>
      <c r="L326" s="24">
        <f>'[1]资源-钻石'!V326</f>
        <v>4085865.6846318934</v>
      </c>
      <c r="M326" s="24">
        <f>'[1]资源-钻石'!W326</f>
        <v>10990942.253095083</v>
      </c>
      <c r="N326" s="24">
        <f>'[1]资源-钻石'!X326</f>
        <v>26320983.978404589</v>
      </c>
    </row>
    <row r="327" spans="9:14" x14ac:dyDescent="0.15">
      <c r="I327" s="23">
        <v>324</v>
      </c>
      <c r="J327" s="24">
        <f>'[1]资源-钻石'!T327</f>
        <v>1692418.8204325736</v>
      </c>
      <c r="K327" s="24">
        <f>'[1]资源-钻石'!U327</f>
        <v>2408500.7024758304</v>
      </c>
      <c r="L327" s="24">
        <f>'[1]资源-钻石'!V327</f>
        <v>4098476.772723414</v>
      </c>
      <c r="M327" s="24">
        <f>'[1]资源-钻石'!W327</f>
        <v>11024834.449995756</v>
      </c>
      <c r="N327" s="24">
        <f>'[1]资源-钻石'!X327</f>
        <v>26402120.394995328</v>
      </c>
    </row>
    <row r="328" spans="9:14" x14ac:dyDescent="0.15">
      <c r="I328" s="25">
        <v>325</v>
      </c>
      <c r="J328" s="24">
        <f>'[1]资源-钻石'!T328</f>
        <v>1697634.5957148222</v>
      </c>
      <c r="K328" s="24">
        <f>'[1]资源-钻石'!U328</f>
        <v>2415918.0552863041</v>
      </c>
      <c r="L328" s="24">
        <f>'[1]资源-钻石'!V328</f>
        <v>4111087.8608149351</v>
      </c>
      <c r="M328" s="24">
        <f>'[1]资源-钻石'!W328</f>
        <v>11058726.646896429</v>
      </c>
      <c r="N328" s="24">
        <f>'[1]资源-钻石'!X328</f>
        <v>26483256.811586067</v>
      </c>
    </row>
    <row r="329" spans="9:14" x14ac:dyDescent="0.15">
      <c r="I329" s="25">
        <v>326</v>
      </c>
      <c r="J329" s="24">
        <f>'[1]资源-钻石'!T329</f>
        <v>1702850.3709970708</v>
      </c>
      <c r="K329" s="24">
        <f>'[1]资源-钻石'!U329</f>
        <v>2423335.4080967777</v>
      </c>
      <c r="L329" s="24">
        <f>'[1]资源-钻石'!V329</f>
        <v>4123698.9489064561</v>
      </c>
      <c r="M329" s="24">
        <f>'[1]资源-钻石'!W329</f>
        <v>11092618.843797103</v>
      </c>
      <c r="N329" s="24">
        <f>'[1]资源-钻石'!X329</f>
        <v>26564393.22817681</v>
      </c>
    </row>
    <row r="330" spans="9:14" x14ac:dyDescent="0.15">
      <c r="I330" s="23">
        <v>327</v>
      </c>
      <c r="J330" s="24">
        <f>'[1]资源-钻石'!T330</f>
        <v>1708066.1462793197</v>
      </c>
      <c r="K330" s="24">
        <f>'[1]资源-钻石'!U330</f>
        <v>2430752.7609072514</v>
      </c>
      <c r="L330" s="24">
        <f>'[1]资源-钻石'!V330</f>
        <v>4136310.0369979772</v>
      </c>
      <c r="M330" s="24">
        <f>'[1]资源-钻石'!W330</f>
        <v>11126511.040697774</v>
      </c>
      <c r="N330" s="24">
        <f>'[1]资源-钻石'!X330</f>
        <v>26645529.644767549</v>
      </c>
    </row>
    <row r="331" spans="9:14" x14ac:dyDescent="0.15">
      <c r="I331" s="23">
        <v>328</v>
      </c>
      <c r="J331" s="24">
        <f>'[1]资源-钻石'!T331</f>
        <v>1713281.9215615683</v>
      </c>
      <c r="K331" s="24">
        <f>'[1]资源-钻石'!U331</f>
        <v>2438170.1137177246</v>
      </c>
      <c r="L331" s="24">
        <f>'[1]资源-钻石'!V331</f>
        <v>4148921.1250894978</v>
      </c>
      <c r="M331" s="24">
        <f>'[1]资源-钻石'!W331</f>
        <v>11160403.237598447</v>
      </c>
      <c r="N331" s="24">
        <f>'[1]资源-钻石'!X331</f>
        <v>26726666.061358288</v>
      </c>
    </row>
    <row r="332" spans="9:14" x14ac:dyDescent="0.15">
      <c r="I332" s="23">
        <v>329</v>
      </c>
      <c r="J332" s="24">
        <f>'[1]资源-钻石'!T332</f>
        <v>1718497.6968438169</v>
      </c>
      <c r="K332" s="24">
        <f>'[1]资源-钻石'!U332</f>
        <v>2445587.4665281982</v>
      </c>
      <c r="L332" s="24">
        <f>'[1]资源-钻石'!V332</f>
        <v>4161532.2131810188</v>
      </c>
      <c r="M332" s="24">
        <f>'[1]资源-钻石'!W332</f>
        <v>11194295.43449912</v>
      </c>
      <c r="N332" s="24">
        <f>'[1]资源-钻石'!X332</f>
        <v>26807802.477949031</v>
      </c>
    </row>
    <row r="333" spans="9:14" x14ac:dyDescent="0.15">
      <c r="I333" s="23">
        <v>330</v>
      </c>
      <c r="J333" s="24">
        <f>'[1]资源-钻石'!T333</f>
        <v>1723713.4721260655</v>
      </c>
      <c r="K333" s="24">
        <f>'[1]资源-钻石'!U333</f>
        <v>2453004.8193386719</v>
      </c>
      <c r="L333" s="24">
        <f>'[1]资源-钻石'!V333</f>
        <v>4174143.3012725399</v>
      </c>
      <c r="M333" s="24">
        <f>'[1]资源-钻石'!W333</f>
        <v>11228187.631399794</v>
      </c>
      <c r="N333" s="24">
        <f>'[1]资源-钻石'!X333</f>
        <v>26888938.89453977</v>
      </c>
    </row>
    <row r="334" spans="9:14" x14ac:dyDescent="0.15">
      <c r="I334" s="25">
        <v>331</v>
      </c>
      <c r="J334" s="24">
        <f>'[1]资源-钻石'!T334</f>
        <v>1728929.2474083144</v>
      </c>
      <c r="K334" s="24">
        <f>'[1]资源-钻石'!U334</f>
        <v>2460422.1721491455</v>
      </c>
      <c r="L334" s="24">
        <f>'[1]资源-钻石'!V334</f>
        <v>4186754.3893640605</v>
      </c>
      <c r="M334" s="24">
        <f>'[1]资源-钻石'!W334</f>
        <v>11262079.828300467</v>
      </c>
      <c r="N334" s="24">
        <f>'[1]资源-钻石'!X334</f>
        <v>26970075.311130509</v>
      </c>
    </row>
    <row r="335" spans="9:14" x14ac:dyDescent="0.15">
      <c r="I335" s="25">
        <v>332</v>
      </c>
      <c r="J335" s="24">
        <f>'[1]资源-钻石'!T335</f>
        <v>1734145.022690563</v>
      </c>
      <c r="K335" s="24">
        <f>'[1]资源-钻石'!U335</f>
        <v>2467839.5249596187</v>
      </c>
      <c r="L335" s="24">
        <f>'[1]资源-钻石'!V335</f>
        <v>4199365.4774555815</v>
      </c>
      <c r="M335" s="24">
        <f>'[1]资源-钻石'!W335</f>
        <v>11295972.02520114</v>
      </c>
      <c r="N335" s="24">
        <f>'[1]资源-钻石'!X335</f>
        <v>27051211.727721252</v>
      </c>
    </row>
    <row r="336" spans="9:14" x14ac:dyDescent="0.15">
      <c r="I336" s="23">
        <v>333</v>
      </c>
      <c r="J336" s="24">
        <f>'[1]资源-钻石'!T336</f>
        <v>1739360.7979728116</v>
      </c>
      <c r="K336" s="24">
        <f>'[1]资源-钻石'!U336</f>
        <v>2475256.8777700923</v>
      </c>
      <c r="L336" s="24">
        <f>'[1]资源-钻石'!V336</f>
        <v>4211976.5655471021</v>
      </c>
      <c r="M336" s="24">
        <f>'[1]资源-钻石'!W336</f>
        <v>11329864.222101813</v>
      </c>
      <c r="N336" s="24">
        <f>'[1]资源-钻石'!X336</f>
        <v>27132348.144311991</v>
      </c>
    </row>
    <row r="337" spans="9:14" x14ac:dyDescent="0.15">
      <c r="I337" s="23">
        <v>334</v>
      </c>
      <c r="J337" s="24">
        <f>'[1]资源-钻石'!T337</f>
        <v>1744576.5732550602</v>
      </c>
      <c r="K337" s="24">
        <f>'[1]资源-钻石'!U337</f>
        <v>2482674.230580566</v>
      </c>
      <c r="L337" s="24">
        <f>'[1]资源-钻石'!V337</f>
        <v>4224587.6536386237</v>
      </c>
      <c r="M337" s="24">
        <f>'[1]资源-钻石'!W337</f>
        <v>11363756.419002486</v>
      </c>
      <c r="N337" s="24">
        <f>'[1]资源-钻石'!X337</f>
        <v>27213484.56090273</v>
      </c>
    </row>
    <row r="338" spans="9:14" x14ac:dyDescent="0.15">
      <c r="I338" s="23">
        <v>335</v>
      </c>
      <c r="J338" s="24">
        <f>'[1]资源-钻石'!T338</f>
        <v>1749792.3485373091</v>
      </c>
      <c r="K338" s="24">
        <f>'[1]资源-钻石'!U338</f>
        <v>2490091.5833910396</v>
      </c>
      <c r="L338" s="24">
        <f>'[1]资源-钻石'!V338</f>
        <v>4237198.7417301442</v>
      </c>
      <c r="M338" s="24">
        <f>'[1]资源-钻石'!W338</f>
        <v>11397648.61590316</v>
      </c>
      <c r="N338" s="24">
        <f>'[1]资源-钻石'!X338</f>
        <v>27294620.977493472</v>
      </c>
    </row>
    <row r="339" spans="9:14" x14ac:dyDescent="0.15">
      <c r="I339" s="23">
        <v>336</v>
      </c>
      <c r="J339" s="24">
        <f>'[1]资源-钻石'!T339</f>
        <v>1755008.1238195577</v>
      </c>
      <c r="K339" s="24">
        <f>'[1]资源-钻石'!U339</f>
        <v>2497508.9362015128</v>
      </c>
      <c r="L339" s="24">
        <f>'[1]资源-钻石'!V339</f>
        <v>4249809.8298216648</v>
      </c>
      <c r="M339" s="24">
        <f>'[1]资源-钻石'!W339</f>
        <v>11431540.812803831</v>
      </c>
      <c r="N339" s="24">
        <f>'[1]资源-钻石'!X339</f>
        <v>27374450.751822796</v>
      </c>
    </row>
    <row r="340" spans="9:14" x14ac:dyDescent="0.15">
      <c r="I340" s="25">
        <v>337</v>
      </c>
      <c r="J340" s="24">
        <f>'[1]资源-钻石'!T340</f>
        <v>1760151.9552063679</v>
      </c>
      <c r="K340" s="24">
        <f>'[1]资源-钻石'!U340</f>
        <v>2504926.2890119865</v>
      </c>
      <c r="L340" s="24">
        <f>'[1]资源-钻石'!V340</f>
        <v>4262420.9179131864</v>
      </c>
      <c r="M340" s="24">
        <f>'[1]资源-钻石'!W340</f>
        <v>11465433.009704504</v>
      </c>
      <c r="N340" s="24">
        <f>'[1]资源-钻石'!X340</f>
        <v>27447722.698483158</v>
      </c>
    </row>
    <row r="341" spans="9:14" x14ac:dyDescent="0.15">
      <c r="I341" s="25">
        <v>338</v>
      </c>
      <c r="J341" s="24">
        <f>'[1]资源-钻石'!T341</f>
        <v>1765018.445621148</v>
      </c>
      <c r="K341" s="24">
        <f>'[1]资源-钻石'!U341</f>
        <v>2512343.6418224601</v>
      </c>
      <c r="L341" s="24">
        <f>'[1]资源-钻石'!V341</f>
        <v>4275032.006004707</v>
      </c>
      <c r="M341" s="24">
        <f>'[1]资源-钻石'!W341</f>
        <v>11499325.206605177</v>
      </c>
      <c r="N341" s="24">
        <f>'[1]资源-钻石'!X341</f>
        <v>27520994.645143524</v>
      </c>
    </row>
    <row r="342" spans="9:14" x14ac:dyDescent="0.15">
      <c r="I342" s="23">
        <v>339</v>
      </c>
      <c r="J342" s="24">
        <f>'[1]资源-钻石'!T342</f>
        <v>1769884.9360359283</v>
      </c>
      <c r="K342" s="24">
        <f>'[1]资源-钻石'!U342</f>
        <v>2519760.9946329338</v>
      </c>
      <c r="L342" s="24">
        <f>'[1]资源-钻石'!V342</f>
        <v>4287643.0940962275</v>
      </c>
      <c r="M342" s="24">
        <f>'[1]资源-钻石'!W342</f>
        <v>11533217.403505851</v>
      </c>
      <c r="N342" s="24">
        <f>'[1]资源-钻石'!X342</f>
        <v>27594266.591803886</v>
      </c>
    </row>
    <row r="343" spans="9:14" x14ac:dyDescent="0.15">
      <c r="I343" s="23">
        <v>340</v>
      </c>
      <c r="J343" s="24">
        <f>'[1]资源-钻石'!T343</f>
        <v>1774751.4264507084</v>
      </c>
      <c r="K343" s="24">
        <f>'[1]资源-钻石'!U343</f>
        <v>2527178.3474434074</v>
      </c>
      <c r="L343" s="24">
        <f>'[1]资源-钻石'!V343</f>
        <v>4300254.1821877491</v>
      </c>
      <c r="M343" s="24">
        <f>'[1]资源-钻石'!W343</f>
        <v>11567109.600406524</v>
      </c>
      <c r="N343" s="24">
        <f>'[1]资源-钻石'!X343</f>
        <v>27667538.538464252</v>
      </c>
    </row>
    <row r="344" spans="9:14" x14ac:dyDescent="0.15">
      <c r="I344" s="23">
        <v>341</v>
      </c>
      <c r="J344" s="24">
        <f>'[1]资源-钻石'!T344</f>
        <v>1779617.9168654885</v>
      </c>
      <c r="K344" s="24">
        <f>'[1]资源-钻石'!U344</f>
        <v>2534595.700253881</v>
      </c>
      <c r="L344" s="24">
        <f>'[1]资源-钻石'!V344</f>
        <v>4312865.2702792697</v>
      </c>
      <c r="M344" s="24">
        <f>'[1]资源-钻石'!W344</f>
        <v>11601001.797307197</v>
      </c>
      <c r="N344" s="24">
        <f>'[1]资源-钻石'!X344</f>
        <v>27740810.485124614</v>
      </c>
    </row>
    <row r="345" spans="9:14" x14ac:dyDescent="0.15">
      <c r="I345" s="23">
        <v>342</v>
      </c>
      <c r="J345" s="24">
        <f>'[1]资源-钻石'!T345</f>
        <v>1784484.4072802686</v>
      </c>
      <c r="K345" s="24">
        <f>'[1]资源-钻石'!U345</f>
        <v>2542013.0530643542</v>
      </c>
      <c r="L345" s="24">
        <f>'[1]资源-钻石'!V345</f>
        <v>4325476.3583707903</v>
      </c>
      <c r="M345" s="24">
        <f>'[1]资源-钻石'!W345</f>
        <v>11634893.99420787</v>
      </c>
      <c r="N345" s="24">
        <f>'[1]资源-钻石'!X345</f>
        <v>27814082.43178498</v>
      </c>
    </row>
    <row r="346" spans="9:14" x14ac:dyDescent="0.15">
      <c r="I346" s="25">
        <v>343</v>
      </c>
      <c r="J346" s="24">
        <f>'[1]资源-钻石'!T346</f>
        <v>1789350.8976950487</v>
      </c>
      <c r="K346" s="24">
        <f>'[1]资源-钻石'!U346</f>
        <v>2549430.4058748279</v>
      </c>
      <c r="L346" s="24">
        <f>'[1]资源-钻石'!V346</f>
        <v>4338087.4464623118</v>
      </c>
      <c r="M346" s="24">
        <f>'[1]资源-钻石'!W346</f>
        <v>11668786.191108543</v>
      </c>
      <c r="N346" s="24">
        <f>'[1]资源-钻石'!X346</f>
        <v>27887354.378445342</v>
      </c>
    </row>
    <row r="347" spans="9:14" x14ac:dyDescent="0.15">
      <c r="I347" s="25">
        <v>344</v>
      </c>
      <c r="J347" s="24">
        <f>'[1]资源-钻石'!T347</f>
        <v>1794217.388109829</v>
      </c>
      <c r="K347" s="24">
        <f>'[1]资源-钻石'!U347</f>
        <v>2556847.7586853015</v>
      </c>
      <c r="L347" s="24">
        <f>'[1]资源-钻石'!V347</f>
        <v>4350698.5345538324</v>
      </c>
      <c r="M347" s="24">
        <f>'[1]资源-钻石'!W347</f>
        <v>11702678.388009217</v>
      </c>
      <c r="N347" s="24">
        <f>'[1]资源-钻石'!X347</f>
        <v>27960626.325105704</v>
      </c>
    </row>
    <row r="348" spans="9:14" x14ac:dyDescent="0.15">
      <c r="I348" s="23">
        <v>345</v>
      </c>
      <c r="J348" s="24">
        <f>'[1]资源-钻石'!T348</f>
        <v>1799083.8785246091</v>
      </c>
      <c r="K348" s="24">
        <f>'[1]资源-钻石'!U348</f>
        <v>2564265.1114957752</v>
      </c>
      <c r="L348" s="24">
        <f>'[1]资源-钻石'!V348</f>
        <v>4363309.622645353</v>
      </c>
      <c r="M348" s="24">
        <f>'[1]资源-钻石'!W348</f>
        <v>11736570.58490989</v>
      </c>
      <c r="N348" s="24">
        <f>'[1]资源-钻石'!X348</f>
        <v>28033898.27176607</v>
      </c>
    </row>
    <row r="349" spans="9:14" x14ac:dyDescent="0.15">
      <c r="I349" s="23">
        <v>346</v>
      </c>
      <c r="J349" s="24">
        <f>'[1]资源-钻石'!T349</f>
        <v>1803950.3689393892</v>
      </c>
      <c r="K349" s="24">
        <f>'[1]资源-钻石'!U349</f>
        <v>2571682.4643062488</v>
      </c>
      <c r="L349" s="24">
        <f>'[1]资源-钻石'!V349</f>
        <v>4375920.7107368745</v>
      </c>
      <c r="M349" s="24">
        <f>'[1]资源-钻石'!W349</f>
        <v>11770462.781810563</v>
      </c>
      <c r="N349" s="24">
        <f>'[1]资源-钻石'!X349</f>
        <v>28107170.218426432</v>
      </c>
    </row>
    <row r="350" spans="9:14" x14ac:dyDescent="0.15">
      <c r="I350" s="23">
        <v>347</v>
      </c>
      <c r="J350" s="24">
        <f>'[1]资源-钻石'!T350</f>
        <v>1808816.8593541693</v>
      </c>
      <c r="K350" s="24">
        <f>'[1]资源-钻石'!U350</f>
        <v>2579099.8171167225</v>
      </c>
      <c r="L350" s="24">
        <f>'[1]资源-钻石'!V350</f>
        <v>4388531.7988283951</v>
      </c>
      <c r="M350" s="24">
        <f>'[1]资源-钻石'!W350</f>
        <v>11804354.978711236</v>
      </c>
      <c r="N350" s="24">
        <f>'[1]资源-钻石'!X350</f>
        <v>28180442.165086798</v>
      </c>
    </row>
    <row r="351" spans="9:14" x14ac:dyDescent="0.15">
      <c r="I351" s="23">
        <v>348</v>
      </c>
      <c r="J351" s="24">
        <f>'[1]资源-钻石'!T351</f>
        <v>1813683.3497689494</v>
      </c>
      <c r="K351" s="24">
        <f>'[1]资源-钻石'!U351</f>
        <v>2586517.1699271956</v>
      </c>
      <c r="L351" s="24">
        <f>'[1]资源-钻石'!V351</f>
        <v>4401142.8869199157</v>
      </c>
      <c r="M351" s="24">
        <f>'[1]资源-钻石'!W351</f>
        <v>11838247.175611909</v>
      </c>
      <c r="N351" s="24">
        <f>'[1]资源-钻石'!X351</f>
        <v>28253714.111747161</v>
      </c>
    </row>
    <row r="352" spans="9:14" x14ac:dyDescent="0.15">
      <c r="I352" s="25">
        <v>349</v>
      </c>
      <c r="J352" s="24">
        <f>'[1]资源-钻石'!T352</f>
        <v>1818549.8401837298</v>
      </c>
      <c r="K352" s="24">
        <f>'[1]资源-钻石'!U352</f>
        <v>2593934.5227376693</v>
      </c>
      <c r="L352" s="24">
        <f>'[1]资源-钻石'!V352</f>
        <v>4413753.9750114372</v>
      </c>
      <c r="M352" s="24">
        <f>'[1]资源-钻石'!W352</f>
        <v>11872139.372512583</v>
      </c>
      <c r="N352" s="24">
        <f>'[1]资源-钻石'!X352</f>
        <v>28326986.058407526</v>
      </c>
    </row>
    <row r="353" spans="9:14" x14ac:dyDescent="0.15">
      <c r="I353" s="25">
        <v>350</v>
      </c>
      <c r="J353" s="24">
        <f>'[1]资源-钻石'!T353</f>
        <v>1823416.3305985099</v>
      </c>
      <c r="K353" s="24">
        <f>'[1]资源-钻石'!U353</f>
        <v>2601351.8755481429</v>
      </c>
      <c r="L353" s="24">
        <f>'[1]资源-钻石'!V353</f>
        <v>4426365.0631029578</v>
      </c>
      <c r="M353" s="24">
        <f>'[1]资源-钻石'!W353</f>
        <v>11906031.569413256</v>
      </c>
      <c r="N353" s="24">
        <f>'[1]资源-钻石'!X353</f>
        <v>28400258.005067889</v>
      </c>
    </row>
    <row r="354" spans="9:14" x14ac:dyDescent="0.15">
      <c r="I354" s="23">
        <v>351</v>
      </c>
      <c r="J354" s="24">
        <f>'[1]资源-钻石'!T354</f>
        <v>1828282.82101329</v>
      </c>
      <c r="K354" s="24">
        <f>'[1]资源-钻石'!U354</f>
        <v>2608769.2283586166</v>
      </c>
      <c r="L354" s="24">
        <f>'[1]资源-钻石'!V354</f>
        <v>4438976.1511944784</v>
      </c>
      <c r="M354" s="24">
        <f>'[1]资源-钻石'!W354</f>
        <v>11939923.766313927</v>
      </c>
      <c r="N354" s="24">
        <f>'[1]资源-钻石'!X354</f>
        <v>28473529.951728255</v>
      </c>
    </row>
    <row r="355" spans="9:14" x14ac:dyDescent="0.15">
      <c r="I355" s="23">
        <v>352</v>
      </c>
      <c r="J355" s="24">
        <f>'[1]资源-钻石'!T355</f>
        <v>1833149.3114280701</v>
      </c>
      <c r="K355" s="24">
        <f>'[1]资源-钻石'!U355</f>
        <v>2616186.5811690902</v>
      </c>
      <c r="L355" s="24">
        <f>'[1]资源-钻石'!V355</f>
        <v>4451587.2392859999</v>
      </c>
      <c r="M355" s="24">
        <f>'[1]资源-钻石'!W355</f>
        <v>11973815.9632146</v>
      </c>
      <c r="N355" s="24">
        <f>'[1]资源-钻石'!X355</f>
        <v>28546801.898388617</v>
      </c>
    </row>
    <row r="356" spans="9:14" x14ac:dyDescent="0.15">
      <c r="I356" s="23">
        <v>353</v>
      </c>
      <c r="J356" s="24">
        <f>'[1]资源-钻石'!T356</f>
        <v>1838015.8018428502</v>
      </c>
      <c r="K356" s="24">
        <f>'[1]资源-钻石'!U356</f>
        <v>2623603.9339795639</v>
      </c>
      <c r="L356" s="24">
        <f>'[1]资源-钻石'!V356</f>
        <v>4464198.3273775205</v>
      </c>
      <c r="M356" s="24">
        <f>'[1]资源-钻石'!W356</f>
        <v>12007708.160115274</v>
      </c>
      <c r="N356" s="24">
        <f>'[1]资源-钻石'!X356</f>
        <v>28620073.845048983</v>
      </c>
    </row>
    <row r="357" spans="9:14" x14ac:dyDescent="0.15">
      <c r="I357" s="25">
        <v>354</v>
      </c>
      <c r="J357" s="24">
        <f>'[1]资源-钻石'!T357</f>
        <v>1842882.2922576305</v>
      </c>
      <c r="K357" s="24">
        <f>'[1]资源-钻石'!U357</f>
        <v>2631021.2867900375</v>
      </c>
      <c r="L357" s="24">
        <f>'[1]资源-钻石'!V357</f>
        <v>4476809.4154690411</v>
      </c>
      <c r="M357" s="24">
        <f>'[1]资源-钻石'!W357</f>
        <v>12041600.357015947</v>
      </c>
      <c r="N357" s="24">
        <f>'[1]资源-钻石'!X357</f>
        <v>28693345.791709345</v>
      </c>
    </row>
    <row r="358" spans="9:14" x14ac:dyDescent="0.15">
      <c r="I358" s="25">
        <v>355</v>
      </c>
      <c r="J358" s="24">
        <f>'[1]资源-钻石'!T358</f>
        <v>1847748.7826724106</v>
      </c>
      <c r="K358" s="24">
        <f>'[1]资源-钻石'!U358</f>
        <v>2638438.6396005107</v>
      </c>
      <c r="L358" s="24">
        <f>'[1]资源-钻石'!V358</f>
        <v>4488148.9148140438</v>
      </c>
      <c r="M358" s="24">
        <f>'[1]资源-钻石'!W358</f>
        <v>12075492.55391662</v>
      </c>
      <c r="N358" s="24">
        <f>'[1]资源-钻石'!X358</f>
        <v>28766617.738369711</v>
      </c>
    </row>
    <row r="359" spans="9:14" x14ac:dyDescent="0.15">
      <c r="I359" s="23">
        <v>356</v>
      </c>
      <c r="J359" s="24">
        <f>'[1]资源-钻石'!T359</f>
        <v>1852615.2730871907</v>
      </c>
      <c r="K359" s="24">
        <f>'[1]资源-钻石'!U359</f>
        <v>2645855.9924109844</v>
      </c>
      <c r="L359" s="24">
        <f>'[1]资源-钻石'!V359</f>
        <v>4499310.0727498988</v>
      </c>
      <c r="M359" s="24">
        <f>'[1]资源-钻石'!W359</f>
        <v>12107249.567699127</v>
      </c>
      <c r="N359" s="24">
        <f>'[1]资源-钻石'!X359</f>
        <v>28839889.685030073</v>
      </c>
    </row>
    <row r="360" spans="9:14" x14ac:dyDescent="0.15">
      <c r="I360" s="23">
        <v>357</v>
      </c>
      <c r="J360" s="24">
        <f>'[1]资源-钻石'!T360</f>
        <v>1857481.7635019708</v>
      </c>
      <c r="K360" s="24">
        <f>'[1]资源-钻石'!U360</f>
        <v>2653273.345221458</v>
      </c>
      <c r="L360" s="24">
        <f>'[1]资源-钻石'!V360</f>
        <v>4510471.2306857537</v>
      </c>
      <c r="M360" s="24">
        <f>'[1]资源-钻石'!W360</f>
        <v>12137626.975731514</v>
      </c>
      <c r="N360" s="24">
        <f>'[1]资源-钻石'!X360</f>
        <v>28913161.631690435</v>
      </c>
    </row>
    <row r="361" spans="9:14" x14ac:dyDescent="0.15">
      <c r="I361" s="23">
        <v>358</v>
      </c>
      <c r="J361" s="24">
        <f>'[1]资源-钻石'!T361</f>
        <v>1862348.2539167509</v>
      </c>
      <c r="K361" s="24">
        <f>'[1]资源-钻石'!U361</f>
        <v>2660690.6980319316</v>
      </c>
      <c r="L361" s="24">
        <f>'[1]资源-钻石'!V361</f>
        <v>4521632.3886216087</v>
      </c>
      <c r="M361" s="24">
        <f>'[1]资源-钻石'!W361</f>
        <v>12168004.383763902</v>
      </c>
      <c r="N361" s="24">
        <f>'[1]资源-钻石'!X361</f>
        <v>28986433.578350801</v>
      </c>
    </row>
    <row r="362" spans="9:14" x14ac:dyDescent="0.15">
      <c r="I362" s="25">
        <v>359</v>
      </c>
      <c r="J362" s="24">
        <f>'[1]资源-钻石'!T362</f>
        <v>1867214.7443315312</v>
      </c>
      <c r="K362" s="24">
        <f>'[1]资源-钻石'!U362</f>
        <v>2667666.1704326966</v>
      </c>
      <c r="L362" s="24">
        <f>'[1]资源-钻石'!V362</f>
        <v>4532793.5465574637</v>
      </c>
      <c r="M362" s="24">
        <f>'[1]资源-钻石'!W362</f>
        <v>12198381.791796291</v>
      </c>
      <c r="N362" s="24">
        <f>'[1]资源-钻石'!X362</f>
        <v>29059705.525011163</v>
      </c>
    </row>
    <row r="363" spans="9:14" x14ac:dyDescent="0.15">
      <c r="I363" s="23">
        <v>360</v>
      </c>
      <c r="J363" s="24">
        <f>'[1]资源-钻石'!T363</f>
        <v>1872081.2347463113</v>
      </c>
      <c r="K363" s="24">
        <f>'[1]资源-钻石'!U363</f>
        <v>2674465.9243493197</v>
      </c>
      <c r="L363" s="24">
        <f>'[1]资源-钻石'!V363</f>
        <v>4543954.7044933187</v>
      </c>
      <c r="M363" s="24">
        <f>'[1]资源-钻石'!W363</f>
        <v>12228759.199828679</v>
      </c>
      <c r="N363" s="24">
        <f>'[1]资源-钻石'!X363</f>
        <v>29132977.471671529</v>
      </c>
    </row>
    <row r="364" spans="9:14" x14ac:dyDescent="0.15">
      <c r="I364" s="23">
        <v>361</v>
      </c>
      <c r="J364" s="24">
        <f>'[1]资源-钻石'!T364</f>
        <v>1876947.7251610914</v>
      </c>
      <c r="K364" s="24">
        <f>'[1]资源-钻石'!U364</f>
        <v>2681265.6782659423</v>
      </c>
      <c r="L364" s="24">
        <f>'[1]资源-钻石'!V364</f>
        <v>4555115.8624291737</v>
      </c>
      <c r="M364" s="24">
        <f>'[1]资源-钻石'!W364</f>
        <v>12259136.607861066</v>
      </c>
      <c r="N364" s="24">
        <f>'[1]资源-钻石'!X364</f>
        <v>29204498.566427823</v>
      </c>
    </row>
    <row r="365" spans="9:14" x14ac:dyDescent="0.15">
      <c r="I365" s="25">
        <v>362</v>
      </c>
      <c r="J365" s="24">
        <f>'[1]资源-钻石'!T365</f>
        <v>1881500.9242450462</v>
      </c>
      <c r="K365" s="24">
        <f>'[1]资源-钻石'!U365</f>
        <v>2688065.4321825653</v>
      </c>
      <c r="L365" s="24">
        <f>'[1]资源-钻石'!V365</f>
        <v>4566277.0203650286</v>
      </c>
      <c r="M365" s="24">
        <f>'[1]资源-钻石'!W365</f>
        <v>12289514.015893454</v>
      </c>
      <c r="N365" s="24">
        <f>'[1]资源-钻石'!X365</f>
        <v>29274289.563615628</v>
      </c>
    </row>
    <row r="366" spans="9:14" x14ac:dyDescent="0.15">
      <c r="I366" s="23">
        <v>363</v>
      </c>
      <c r="J366" s="24">
        <f>'[1]资源-钻石'!T366</f>
        <v>1886041.5203550339</v>
      </c>
      <c r="K366" s="24">
        <f>'[1]资源-钻石'!U366</f>
        <v>2694865.1860991884</v>
      </c>
      <c r="L366" s="24">
        <f>'[1]资源-钻石'!V366</f>
        <v>4577438.1783008836</v>
      </c>
      <c r="M366" s="24">
        <f>'[1]资源-钻石'!W366</f>
        <v>12319891.423925843</v>
      </c>
      <c r="N366" s="24">
        <f>'[1]资源-钻石'!X366</f>
        <v>29344080.560803432</v>
      </c>
    </row>
    <row r="367" spans="9:14" x14ac:dyDescent="0.15">
      <c r="I367" s="23">
        <v>364</v>
      </c>
      <c r="J367" s="24">
        <f>'[1]资源-钻石'!T367</f>
        <v>1890582.1164650214</v>
      </c>
      <c r="K367" s="24">
        <f>'[1]资源-钻石'!U367</f>
        <v>2701664.9400158115</v>
      </c>
      <c r="L367" s="24">
        <f>'[1]资源-钻石'!V367</f>
        <v>4588599.3362367386</v>
      </c>
      <c r="M367" s="24">
        <f>'[1]资源-钻石'!W367</f>
        <v>12350268.831958231</v>
      </c>
      <c r="N367" s="24">
        <f>'[1]资源-钻石'!X367</f>
        <v>29413871.557991236</v>
      </c>
    </row>
    <row r="368" spans="9:14" x14ac:dyDescent="0.15">
      <c r="I368" s="23">
        <v>365</v>
      </c>
      <c r="J368" s="24">
        <f>'[1]资源-钻石'!T368</f>
        <v>1895122.7125750089</v>
      </c>
      <c r="K368" s="24">
        <f>'[1]资源-钻石'!U368</f>
        <v>2708464.6939324345</v>
      </c>
      <c r="L368" s="24">
        <f>'[1]资源-钻石'!V368</f>
        <v>4599760.4941725936</v>
      </c>
      <c r="M368" s="24">
        <f>'[1]资源-钻石'!W368</f>
        <v>12380646.239990618</v>
      </c>
      <c r="N368" s="24">
        <f>'[1]资源-钻石'!X368</f>
        <v>29483662.555179041</v>
      </c>
    </row>
    <row r="369" spans="9:14" x14ac:dyDescent="0.15">
      <c r="I369" s="23">
        <v>366</v>
      </c>
      <c r="J369" s="24">
        <f>'[1]资源-钻石'!T369</f>
        <v>1899663.3086849963</v>
      </c>
      <c r="K369" s="24">
        <f>'[1]资源-钻石'!U369</f>
        <v>2715264.4478490576</v>
      </c>
      <c r="L369" s="24">
        <f>'[1]资源-钻石'!V369</f>
        <v>4610921.6521084486</v>
      </c>
      <c r="M369" s="24">
        <f>'[1]资源-钻石'!W369</f>
        <v>12411023.648023007</v>
      </c>
      <c r="N369" s="24">
        <f>'[1]资源-钻石'!X369</f>
        <v>29553453.552366845</v>
      </c>
    </row>
    <row r="370" spans="9:14" x14ac:dyDescent="0.15">
      <c r="I370" s="23">
        <v>367</v>
      </c>
      <c r="J370" s="24">
        <f>'[1]资源-钻石'!T370</f>
        <v>1904203.904794984</v>
      </c>
      <c r="K370" s="24">
        <f>'[1]资源-钻石'!U370</f>
        <v>2722064.2017656807</v>
      </c>
      <c r="L370" s="24">
        <f>'[1]资源-钻石'!V370</f>
        <v>4622082.8100443035</v>
      </c>
      <c r="M370" s="24">
        <f>'[1]资源-钻石'!W370</f>
        <v>12441401.056055395</v>
      </c>
      <c r="N370" s="24">
        <f>'[1]资源-钻石'!X370</f>
        <v>29623244.54955465</v>
      </c>
    </row>
    <row r="371" spans="9:14" x14ac:dyDescent="0.15">
      <c r="I371" s="25">
        <v>368</v>
      </c>
      <c r="J371" s="24">
        <f>'[1]资源-钻石'!T371</f>
        <v>1908744.5009049715</v>
      </c>
      <c r="K371" s="24">
        <f>'[1]资源-钻石'!U371</f>
        <v>2728863.9556823033</v>
      </c>
      <c r="L371" s="24">
        <f>'[1]资源-钻石'!V371</f>
        <v>4633243.9679801585</v>
      </c>
      <c r="M371" s="24">
        <f>'[1]资源-钻石'!W371</f>
        <v>12471778.464087782</v>
      </c>
      <c r="N371" s="24">
        <f>'[1]资源-钻石'!X371</f>
        <v>29693035.546742454</v>
      </c>
    </row>
    <row r="372" spans="9:14" x14ac:dyDescent="0.15">
      <c r="I372" s="23">
        <v>369</v>
      </c>
      <c r="J372" s="24">
        <f>'[1]资源-钻石'!T372</f>
        <v>1913285.097014959</v>
      </c>
      <c r="K372" s="24">
        <f>'[1]资源-钻石'!U372</f>
        <v>2735663.7095989264</v>
      </c>
      <c r="L372" s="24">
        <f>'[1]资源-钻石'!V372</f>
        <v>4644405.1259160135</v>
      </c>
      <c r="M372" s="24">
        <f>'[1]资源-钻石'!W372</f>
        <v>12502155.87212017</v>
      </c>
      <c r="N372" s="24">
        <f>'[1]资源-钻石'!X372</f>
        <v>29762826.543930259</v>
      </c>
    </row>
    <row r="373" spans="9:14" x14ac:dyDescent="0.15">
      <c r="I373" s="23">
        <v>370</v>
      </c>
      <c r="J373" s="24">
        <f>'[1]资源-钻石'!T373</f>
        <v>1917825.6931249464</v>
      </c>
      <c r="K373" s="24">
        <f>'[1]资源-钻石'!U373</f>
        <v>2742463.4635155494</v>
      </c>
      <c r="L373" s="24">
        <f>'[1]资源-钻石'!V373</f>
        <v>4655566.2838518685</v>
      </c>
      <c r="M373" s="24">
        <f>'[1]资源-钻石'!W373</f>
        <v>12532533.280152559</v>
      </c>
      <c r="N373" s="24">
        <f>'[1]资源-钻石'!X373</f>
        <v>29832617.541118063</v>
      </c>
    </row>
    <row r="374" spans="9:14" x14ac:dyDescent="0.15">
      <c r="I374" s="25">
        <v>371</v>
      </c>
      <c r="J374" s="24">
        <f>'[1]资源-钻石'!T374</f>
        <v>1922366.2892349339</v>
      </c>
      <c r="K374" s="24">
        <f>'[1]资源-钻石'!U374</f>
        <v>2749263.2174321725</v>
      </c>
      <c r="L374" s="24">
        <f>'[1]资源-钻石'!V374</f>
        <v>4666727.4417877235</v>
      </c>
      <c r="M374" s="24">
        <f>'[1]资源-钻石'!W374</f>
        <v>12562910.688184947</v>
      </c>
      <c r="N374" s="24">
        <f>'[1]资源-钻石'!X374</f>
        <v>29902408.538305867</v>
      </c>
    </row>
    <row r="375" spans="9:14" x14ac:dyDescent="0.15">
      <c r="I375" s="23">
        <v>372</v>
      </c>
      <c r="J375" s="24">
        <f>'[1]资源-钻石'!T375</f>
        <v>1926906.8853449216</v>
      </c>
      <c r="K375" s="24">
        <f>'[1]资源-钻石'!U375</f>
        <v>2756062.9713487956</v>
      </c>
      <c r="L375" s="24">
        <f>'[1]资源-钻石'!V375</f>
        <v>4677888.5997235784</v>
      </c>
      <c r="M375" s="24">
        <f>'[1]资源-钻石'!W375</f>
        <v>12593288.096217334</v>
      </c>
      <c r="N375" s="24">
        <f>'[1]资源-钻石'!X375</f>
        <v>29972199.535493672</v>
      </c>
    </row>
    <row r="376" spans="9:14" x14ac:dyDescent="0.15">
      <c r="I376" s="23">
        <v>373</v>
      </c>
      <c r="J376" s="24">
        <f>'[1]资源-钻石'!T376</f>
        <v>1931447.4814549091</v>
      </c>
      <c r="K376" s="24">
        <f>'[1]资源-钻石'!U376</f>
        <v>2762862.7252654186</v>
      </c>
      <c r="L376" s="24">
        <f>'[1]资源-钻石'!V376</f>
        <v>4689049.7576594334</v>
      </c>
      <c r="M376" s="24">
        <f>'[1]资源-钻石'!W376</f>
        <v>12623665.504249722</v>
      </c>
      <c r="N376" s="24">
        <f>'[1]资源-钻石'!X376</f>
        <v>30041990.532681476</v>
      </c>
    </row>
    <row r="377" spans="9:14" x14ac:dyDescent="0.15">
      <c r="I377" s="23">
        <v>374</v>
      </c>
      <c r="J377" s="24">
        <f>'[1]资源-钻石'!T377</f>
        <v>1935988.0775648966</v>
      </c>
      <c r="K377" s="24">
        <f>'[1]资源-钻石'!U377</f>
        <v>2769662.4791820417</v>
      </c>
      <c r="L377" s="24">
        <f>'[1]资源-钻石'!V377</f>
        <v>4700210.9155952884</v>
      </c>
      <c r="M377" s="24">
        <f>'[1]资源-钻石'!W377</f>
        <v>12654042.912282111</v>
      </c>
      <c r="N377" s="24">
        <f>'[1]资源-钻石'!X377</f>
        <v>30111781.529869281</v>
      </c>
    </row>
    <row r="378" spans="9:14" x14ac:dyDescent="0.15">
      <c r="I378" s="23">
        <v>375</v>
      </c>
      <c r="J378" s="24">
        <f>'[1]资源-钻石'!T378</f>
        <v>1940528.673674884</v>
      </c>
      <c r="K378" s="24">
        <f>'[1]资源-钻石'!U378</f>
        <v>2776462.2330986643</v>
      </c>
      <c r="L378" s="24">
        <f>'[1]资源-钻石'!V378</f>
        <v>4711372.0735311434</v>
      </c>
      <c r="M378" s="24">
        <f>'[1]资源-钻石'!W378</f>
        <v>12684420.320314499</v>
      </c>
      <c r="N378" s="24">
        <f>'[1]资源-钻石'!X378</f>
        <v>30181572.527057085</v>
      </c>
    </row>
    <row r="379" spans="9:14" x14ac:dyDescent="0.15">
      <c r="I379" s="23">
        <v>376</v>
      </c>
      <c r="J379" s="24">
        <f>'[1]资源-钻石'!T379</f>
        <v>1945069.2697848717</v>
      </c>
      <c r="K379" s="24">
        <f>'[1]资源-钻石'!U379</f>
        <v>2783261.9870152874</v>
      </c>
      <c r="L379" s="24">
        <f>'[1]资源-钻石'!V379</f>
        <v>4722533.2314669983</v>
      </c>
      <c r="M379" s="24">
        <f>'[1]资源-钻石'!W379</f>
        <v>12714797.728346886</v>
      </c>
      <c r="N379" s="24">
        <f>'[1]资源-钻石'!X379</f>
        <v>30251363.52424489</v>
      </c>
    </row>
    <row r="380" spans="9:14" x14ac:dyDescent="0.15">
      <c r="I380" s="25">
        <v>377</v>
      </c>
      <c r="J380" s="24">
        <f>'[1]资源-钻石'!T380</f>
        <v>1949609.8658948592</v>
      </c>
      <c r="K380" s="24">
        <f>'[1]资源-钻石'!U380</f>
        <v>2790061.7409319105</v>
      </c>
      <c r="L380" s="24">
        <f>'[1]资源-钻石'!V380</f>
        <v>4733694.3894028533</v>
      </c>
      <c r="M380" s="24">
        <f>'[1]资源-钻石'!W380</f>
        <v>12745175.136379275</v>
      </c>
      <c r="N380" s="24">
        <f>'[1]资源-钻石'!X380</f>
        <v>30321154.521432694</v>
      </c>
    </row>
    <row r="381" spans="9:14" x14ac:dyDescent="0.15">
      <c r="I381" s="23">
        <v>378</v>
      </c>
      <c r="J381" s="24">
        <f>'[1]资源-钻石'!T381</f>
        <v>1954150.4620048467</v>
      </c>
      <c r="K381" s="24">
        <f>'[1]资源-钻石'!U381</f>
        <v>2796861.4948485335</v>
      </c>
      <c r="L381" s="24">
        <f>'[1]资源-钻石'!V381</f>
        <v>4744855.5473387083</v>
      </c>
      <c r="M381" s="24">
        <f>'[1]资源-钻石'!W381</f>
        <v>12775552.544411663</v>
      </c>
      <c r="N381" s="24">
        <f>'[1]资源-钻石'!X381</f>
        <v>30390945.518620498</v>
      </c>
    </row>
    <row r="382" spans="9:14" x14ac:dyDescent="0.15">
      <c r="I382" s="23">
        <v>379</v>
      </c>
      <c r="J382" s="24">
        <f>'[1]资源-钻石'!T382</f>
        <v>1958691.0581148341</v>
      </c>
      <c r="K382" s="24">
        <f>'[1]资源-钻石'!U382</f>
        <v>2803661.2487651566</v>
      </c>
      <c r="L382" s="24">
        <f>'[1]资源-钻石'!V382</f>
        <v>4755461.3808110608</v>
      </c>
      <c r="M382" s="24">
        <f>'[1]资源-钻石'!W382</f>
        <v>12805929.95244405</v>
      </c>
      <c r="N382" s="24">
        <f>'[1]资源-钻石'!X382</f>
        <v>30460736.515808303</v>
      </c>
    </row>
    <row r="383" spans="9:14" x14ac:dyDescent="0.15">
      <c r="I383" s="25">
        <v>380</v>
      </c>
      <c r="J383" s="24">
        <f>'[1]资源-钻石'!T383</f>
        <v>1963231.6542248218</v>
      </c>
      <c r="K383" s="24">
        <f>'[1]资源-钻石'!U383</f>
        <v>2810461.0026817797</v>
      </c>
      <c r="L383" s="24">
        <f>'[1]资源-钻石'!V383</f>
        <v>4765632.4754567957</v>
      </c>
      <c r="M383" s="24">
        <f>'[1]资源-钻石'!W383</f>
        <v>12836307.360476438</v>
      </c>
      <c r="N383" s="24">
        <f>'[1]资源-钻石'!X383</f>
        <v>30530527.512996107</v>
      </c>
    </row>
    <row r="384" spans="9:14" x14ac:dyDescent="0.15">
      <c r="I384" s="23">
        <v>381</v>
      </c>
      <c r="J384" s="24">
        <f>'[1]资源-钻石'!T384</f>
        <v>1967772.2503348093</v>
      </c>
      <c r="K384" s="24">
        <f>'[1]资源-钻石'!U384</f>
        <v>2817260.7565984027</v>
      </c>
      <c r="L384" s="24">
        <f>'[1]资源-钻石'!V384</f>
        <v>4775803.5701025315</v>
      </c>
      <c r="M384" s="24">
        <f>'[1]资源-钻石'!W384</f>
        <v>12865508.866890572</v>
      </c>
      <c r="N384" s="24">
        <f>'[1]资源-钻石'!X384</f>
        <v>30600318.510183912</v>
      </c>
    </row>
    <row r="385" spans="9:14" x14ac:dyDescent="0.15">
      <c r="I385" s="23">
        <v>382</v>
      </c>
      <c r="J385" s="24">
        <f>'[1]资源-钻石'!T385</f>
        <v>1972312.8464447968</v>
      </c>
      <c r="K385" s="24">
        <f>'[1]资源-钻石'!U385</f>
        <v>2824060.5105150254</v>
      </c>
      <c r="L385" s="24">
        <f>'[1]资源-钻石'!V385</f>
        <v>4785974.6647482673</v>
      </c>
      <c r="M385" s="24">
        <f>'[1]资源-钻石'!W385</f>
        <v>12891926.630721226</v>
      </c>
      <c r="N385" s="24">
        <f>'[1]资源-钻石'!X385</f>
        <v>30670109.507371716</v>
      </c>
    </row>
    <row r="386" spans="9:14" x14ac:dyDescent="0.15">
      <c r="I386" s="23">
        <v>383</v>
      </c>
      <c r="J386" s="24">
        <f>'[1]资源-钻石'!T386</f>
        <v>1976853.4425547842</v>
      </c>
      <c r="K386" s="24">
        <f>'[1]资源-钻石'!U386</f>
        <v>2830860.2644316484</v>
      </c>
      <c r="L386" s="24">
        <f>'[1]资源-钻石'!V386</f>
        <v>4796145.7593940031</v>
      </c>
      <c r="M386" s="24">
        <f>'[1]资源-钻石'!W386</f>
        <v>12918344.394551881</v>
      </c>
      <c r="N386" s="24">
        <f>'[1]资源-钻石'!X386</f>
        <v>30739900.504559521</v>
      </c>
    </row>
    <row r="387" spans="9:14" x14ac:dyDescent="0.15">
      <c r="I387" s="23">
        <v>384</v>
      </c>
      <c r="J387" s="24">
        <f>'[1]资源-钻石'!T387</f>
        <v>1981394.0386647717</v>
      </c>
      <c r="K387" s="24">
        <f>'[1]资源-钻石'!U387</f>
        <v>2837660.0183482715</v>
      </c>
      <c r="L387" s="24">
        <f>'[1]资源-钻石'!V387</f>
        <v>4806316.8540397389</v>
      </c>
      <c r="M387" s="24">
        <f>'[1]资源-钻石'!W387</f>
        <v>12944762.158382535</v>
      </c>
      <c r="N387" s="24">
        <f>'[1]资源-钻石'!X387</f>
        <v>30809691.501747325</v>
      </c>
    </row>
    <row r="388" spans="9:14" x14ac:dyDescent="0.15">
      <c r="I388" s="23">
        <v>385</v>
      </c>
      <c r="J388" s="24">
        <f>'[1]资源-钻石'!T388</f>
        <v>1985934.6347747594</v>
      </c>
      <c r="K388" s="24">
        <f>'[1]资源-钻石'!U388</f>
        <v>2844429.971982236</v>
      </c>
      <c r="L388" s="24">
        <f>'[1]资源-钻石'!V388</f>
        <v>4816487.9486854738</v>
      </c>
      <c r="M388" s="24">
        <f>'[1]资源-钻石'!W388</f>
        <v>12971179.922213191</v>
      </c>
      <c r="N388" s="24">
        <f>'[1]资源-钻石'!X388</f>
        <v>30879482.498935129</v>
      </c>
    </row>
    <row r="389" spans="9:14" x14ac:dyDescent="0.15">
      <c r="I389" s="25">
        <v>386</v>
      </c>
      <c r="J389" s="24">
        <f>'[1]资源-钻石'!T389</f>
        <v>1990475.2308847469</v>
      </c>
      <c r="K389" s="24">
        <f>'[1]资源-钻石'!U389</f>
        <v>2851098.2282376909</v>
      </c>
      <c r="L389" s="24">
        <f>'[1]资源-钻石'!V389</f>
        <v>4826659.0433312096</v>
      </c>
      <c r="M389" s="24">
        <f>'[1]资源-钻石'!W389</f>
        <v>12997597.686043845</v>
      </c>
      <c r="N389" s="24">
        <f>'[1]资源-钻石'!X389</f>
        <v>30949273.496122934</v>
      </c>
    </row>
    <row r="390" spans="9:14" x14ac:dyDescent="0.15">
      <c r="I390" s="23">
        <v>387</v>
      </c>
      <c r="J390" s="24">
        <f>'[1]资源-钻石'!T390</f>
        <v>1995015.8269947344</v>
      </c>
      <c r="K390" s="24">
        <f>'[1]资源-钻石'!U390</f>
        <v>2857766.4844931457</v>
      </c>
      <c r="L390" s="24">
        <f>'[1]资源-钻石'!V390</f>
        <v>4836830.1379769454</v>
      </c>
      <c r="M390" s="24">
        <f>'[1]资源-钻石'!W390</f>
        <v>13024015.4498745</v>
      </c>
      <c r="N390" s="24">
        <f>'[1]资源-钻石'!X390</f>
        <v>31018565.326909039</v>
      </c>
    </row>
    <row r="391" spans="9:14" x14ac:dyDescent="0.15">
      <c r="I391" s="23">
        <v>388</v>
      </c>
      <c r="J391" s="24">
        <f>'[1]资源-钻石'!T391</f>
        <v>1999259.4806828115</v>
      </c>
      <c r="K391" s="24">
        <f>'[1]资源-钻石'!U391</f>
        <v>2864434.7407486006</v>
      </c>
      <c r="L391" s="24">
        <f>'[1]资源-钻石'!V391</f>
        <v>4847001.2326226812</v>
      </c>
      <c r="M391" s="24">
        <f>'[1]资源-钻石'!W391</f>
        <v>13050433.213705156</v>
      </c>
      <c r="N391" s="24">
        <f>'[1]资源-钻石'!X391</f>
        <v>31087537.613646083</v>
      </c>
    </row>
    <row r="392" spans="9:14" x14ac:dyDescent="0.15">
      <c r="I392" s="25">
        <v>389</v>
      </c>
      <c r="J392" s="24">
        <f>'[1]资源-钻石'!T392</f>
        <v>2003496.0066546735</v>
      </c>
      <c r="K392" s="24">
        <f>'[1]资源-钻石'!U392</f>
        <v>2871102.9970040554</v>
      </c>
      <c r="L392" s="24">
        <f>'[1]资源-钻石'!V392</f>
        <v>4857172.327268417</v>
      </c>
      <c r="M392" s="24">
        <f>'[1]资源-钻石'!W392</f>
        <v>13076850.97753581</v>
      </c>
      <c r="N392" s="24">
        <f>'[1]资源-钻石'!X392</f>
        <v>31156509.90038313</v>
      </c>
    </row>
    <row r="393" spans="9:14" x14ac:dyDescent="0.15">
      <c r="I393" s="23">
        <v>390</v>
      </c>
      <c r="J393" s="24">
        <f>'[1]资源-钻石'!T393</f>
        <v>2007732.5326265355</v>
      </c>
      <c r="K393" s="24">
        <f>'[1]资源-钻石'!U393</f>
        <v>2877771.2532595103</v>
      </c>
      <c r="L393" s="24">
        <f>'[1]资源-钻石'!V393</f>
        <v>4867343.4219141519</v>
      </c>
      <c r="M393" s="24">
        <f>'[1]资源-钻石'!W393</f>
        <v>13103268.741366465</v>
      </c>
      <c r="N393" s="24">
        <f>'[1]资源-钻石'!X393</f>
        <v>31225482.187120173</v>
      </c>
    </row>
    <row r="394" spans="9:14" x14ac:dyDescent="0.15">
      <c r="I394" s="23">
        <v>391</v>
      </c>
      <c r="J394" s="24">
        <f>'[1]资源-钻石'!T394</f>
        <v>2011969.0585983978</v>
      </c>
      <c r="K394" s="24">
        <f>'[1]资源-钻石'!U394</f>
        <v>2884439.5095149651</v>
      </c>
      <c r="L394" s="24">
        <f>'[1]资源-钻石'!V394</f>
        <v>4877514.5165598877</v>
      </c>
      <c r="M394" s="24">
        <f>'[1]资源-钻石'!W394</f>
        <v>13129686.505197121</v>
      </c>
      <c r="N394" s="24">
        <f>'[1]资源-钻石'!X394</f>
        <v>31294454.47385722</v>
      </c>
    </row>
    <row r="395" spans="9:14" x14ac:dyDescent="0.15">
      <c r="I395" s="23">
        <v>392</v>
      </c>
      <c r="J395" s="24">
        <f>'[1]资源-钻石'!T395</f>
        <v>2016205.5845702598</v>
      </c>
      <c r="K395" s="24">
        <f>'[1]资源-钻石'!U395</f>
        <v>2891107.76577042</v>
      </c>
      <c r="L395" s="24">
        <f>'[1]资源-钻石'!V395</f>
        <v>4887685.6112056235</v>
      </c>
      <c r="M395" s="24">
        <f>'[1]资源-钻石'!W395</f>
        <v>13156104.269027775</v>
      </c>
      <c r="N395" s="24">
        <f>'[1]资源-钻石'!X395</f>
        <v>31363426.760594264</v>
      </c>
    </row>
    <row r="396" spans="9:14" x14ac:dyDescent="0.15">
      <c r="I396" s="23">
        <v>393</v>
      </c>
      <c r="J396" s="24">
        <f>'[1]资源-钻石'!T396</f>
        <v>2020442.110542122</v>
      </c>
      <c r="K396" s="24">
        <f>'[1]资源-钻石'!U396</f>
        <v>2897776.0220258748</v>
      </c>
      <c r="L396" s="24">
        <f>'[1]资源-钻石'!V396</f>
        <v>4897856.7058513593</v>
      </c>
      <c r="M396" s="24">
        <f>'[1]资源-钻石'!W396</f>
        <v>13182522.032858429</v>
      </c>
      <c r="N396" s="24">
        <f>'[1]资源-钻石'!X396</f>
        <v>31432399.047331311</v>
      </c>
    </row>
    <row r="397" spans="9:14" x14ac:dyDescent="0.15">
      <c r="I397" s="23">
        <v>394</v>
      </c>
      <c r="J397" s="24">
        <f>'[1]资源-钻石'!T397</f>
        <v>2024678.6365139841</v>
      </c>
      <c r="K397" s="24">
        <f>'[1]资源-钻石'!U397</f>
        <v>2904444.2782813297</v>
      </c>
      <c r="L397" s="24">
        <f>'[1]资源-钻石'!V397</f>
        <v>4908027.8004970951</v>
      </c>
      <c r="M397" s="24">
        <f>'[1]资源-钻石'!W397</f>
        <v>13208939.796689084</v>
      </c>
      <c r="N397" s="24">
        <f>'[1]资源-钻石'!X397</f>
        <v>31501371.334068354</v>
      </c>
    </row>
    <row r="398" spans="9:14" x14ac:dyDescent="0.15">
      <c r="I398" s="25">
        <v>395</v>
      </c>
      <c r="J398" s="24">
        <f>'[1]资源-钻石'!T398</f>
        <v>2028915.1624858461</v>
      </c>
      <c r="K398" s="24">
        <f>'[1]资源-钻石'!U398</f>
        <v>2911112.5345367845</v>
      </c>
      <c r="L398" s="24">
        <f>'[1]资源-钻石'!V398</f>
        <v>4918198.8951428309</v>
      </c>
      <c r="M398" s="24">
        <f>'[1]资源-钻石'!W398</f>
        <v>13235357.56051974</v>
      </c>
      <c r="N398" s="24">
        <f>'[1]资源-钻石'!X398</f>
        <v>31570343.620805401</v>
      </c>
    </row>
    <row r="399" spans="9:14" x14ac:dyDescent="0.15">
      <c r="I399" s="23">
        <v>396</v>
      </c>
      <c r="J399" s="24">
        <f>'[1]资源-钻石'!T399</f>
        <v>2033151.6884577083</v>
      </c>
      <c r="K399" s="24">
        <f>'[1]资源-钻石'!U399</f>
        <v>2917780.7907922394</v>
      </c>
      <c r="L399" s="24">
        <f>'[1]资源-钻石'!V399</f>
        <v>4928369.9897885658</v>
      </c>
      <c r="M399" s="24">
        <f>'[1]资源-钻石'!W399</f>
        <v>13261775.324350394</v>
      </c>
      <c r="N399" s="24">
        <f>'[1]资源-钻石'!X399</f>
        <v>31639315.907542445</v>
      </c>
    </row>
    <row r="400" spans="9:14" x14ac:dyDescent="0.15">
      <c r="I400" s="23">
        <v>397</v>
      </c>
      <c r="J400" s="24">
        <f>'[1]资源-钻石'!T400</f>
        <v>2037388.2144295704</v>
      </c>
      <c r="K400" s="24">
        <f>'[1]资源-钻石'!U400</f>
        <v>2924449.0470476942</v>
      </c>
      <c r="L400" s="24">
        <f>'[1]资源-钻石'!V400</f>
        <v>4938541.0844343016</v>
      </c>
      <c r="M400" s="24">
        <f>'[1]资源-钻石'!W400</f>
        <v>13288193.088181049</v>
      </c>
      <c r="N400" s="24">
        <f>'[1]资源-钻石'!X400</f>
        <v>31708288.194279492</v>
      </c>
    </row>
    <row r="401" spans="9:14" x14ac:dyDescent="0.15">
      <c r="I401" s="25">
        <v>398</v>
      </c>
      <c r="J401" s="24">
        <f>'[1]资源-钻石'!T401</f>
        <v>2041624.7404014326</v>
      </c>
      <c r="K401" s="24">
        <f>'[1]资源-钻石'!U401</f>
        <v>2931117.3033031491</v>
      </c>
      <c r="L401" s="24">
        <f>'[1]资源-钻石'!V401</f>
        <v>4948712.1790800374</v>
      </c>
      <c r="M401" s="24">
        <f>'[1]资源-钻石'!W401</f>
        <v>13314610.852011705</v>
      </c>
      <c r="N401" s="24">
        <f>'[1]资源-钻石'!X401</f>
        <v>31777260.481016535</v>
      </c>
    </row>
    <row r="402" spans="9:14" x14ac:dyDescent="0.15">
      <c r="I402" s="23">
        <v>399</v>
      </c>
      <c r="J402" s="24">
        <f>'[1]资源-钻石'!T402</f>
        <v>2045861.2663732946</v>
      </c>
      <c r="K402" s="24">
        <f>'[1]资源-钻石'!U402</f>
        <v>2937785.5595586039</v>
      </c>
      <c r="L402" s="24">
        <f>'[1]资源-钻石'!V402</f>
        <v>4958883.2737257732</v>
      </c>
      <c r="M402" s="24">
        <f>'[1]资源-钻石'!W402</f>
        <v>13341028.615842359</v>
      </c>
      <c r="N402" s="24">
        <f>'[1]资源-钻石'!X402</f>
        <v>31846232.767753582</v>
      </c>
    </row>
    <row r="403" spans="9:14" x14ac:dyDescent="0.15">
      <c r="I403" s="23">
        <v>400</v>
      </c>
      <c r="J403" s="24">
        <f>'[1]资源-钻石'!T403</f>
        <v>2050097.7923451567</v>
      </c>
      <c r="K403" s="24">
        <f>'[1]资源-钻石'!U403</f>
        <v>2944453.8158140583</v>
      </c>
      <c r="L403" s="24">
        <f>'[1]资源-钻石'!V403</f>
        <v>4969054.368371509</v>
      </c>
      <c r="M403" s="24">
        <f>'[1]资源-钻石'!W403</f>
        <v>13367446.379673013</v>
      </c>
      <c r="N403" s="24">
        <f>'[1]资源-钻石'!X403</f>
        <v>31915205.054490626</v>
      </c>
    </row>
    <row r="404" spans="9:14" x14ac:dyDescent="0.15">
      <c r="I404" s="23">
        <v>401</v>
      </c>
      <c r="J404" s="24">
        <f>'[1]资源-钻石'!T404</f>
        <v>2054334.3183170189</v>
      </c>
      <c r="K404" s="24">
        <f>'[1]资源-钻石'!U404</f>
        <v>2951122.0720695131</v>
      </c>
      <c r="L404" s="24">
        <f>'[1]资源-钻石'!V404</f>
        <v>4979225.4630172439</v>
      </c>
      <c r="M404" s="24">
        <f>'[1]资源-钻石'!W404</f>
        <v>13393864.14350367</v>
      </c>
      <c r="N404" s="24">
        <f>'[1]资源-钻石'!X404</f>
        <v>31984177.341227669</v>
      </c>
    </row>
    <row r="405" spans="9:14" x14ac:dyDescent="0.15">
      <c r="I405" s="23">
        <v>402</v>
      </c>
      <c r="J405" s="24">
        <f>'[1]资源-钻石'!T405</f>
        <v>2058570.8442888809</v>
      </c>
      <c r="K405" s="24">
        <f>'[1]资源-钻石'!U405</f>
        <v>2957790.328324968</v>
      </c>
      <c r="L405" s="24">
        <f>'[1]资源-钻石'!V405</f>
        <v>4989396.5576629797</v>
      </c>
      <c r="M405" s="24">
        <f>'[1]资源-钻石'!W405</f>
        <v>13420281.907334324</v>
      </c>
      <c r="N405" s="24">
        <f>'[1]资源-钻石'!X405</f>
        <v>32053149.627964716</v>
      </c>
    </row>
    <row r="406" spans="9:14" x14ac:dyDescent="0.15">
      <c r="I406" s="23">
        <v>403</v>
      </c>
      <c r="J406" s="24">
        <f>'[1]资源-钻石'!T406</f>
        <v>2062807.370260743</v>
      </c>
      <c r="K406" s="24">
        <f>'[1]资源-钻石'!U406</f>
        <v>2964458.5845804228</v>
      </c>
      <c r="L406" s="24">
        <f>'[1]资源-钻石'!V406</f>
        <v>4999567.6523087155</v>
      </c>
      <c r="M406" s="24">
        <f>'[1]资源-钻石'!W406</f>
        <v>13446699.671164978</v>
      </c>
      <c r="N406" s="24">
        <f>'[1]资源-钻石'!X406</f>
        <v>32122121.91470176</v>
      </c>
    </row>
    <row r="407" spans="9:14" x14ac:dyDescent="0.15">
      <c r="I407" s="25">
        <v>404</v>
      </c>
      <c r="J407" s="24">
        <f>'[1]资源-钻石'!T407</f>
        <v>2067043.8962326052</v>
      </c>
      <c r="K407" s="24">
        <f>'[1]资源-钻石'!U407</f>
        <v>2971126.8408358777</v>
      </c>
      <c r="L407" s="24">
        <f>'[1]资源-钻石'!V407</f>
        <v>5009738.7469544513</v>
      </c>
      <c r="M407" s="24">
        <f>'[1]资源-钻石'!W407</f>
        <v>13473117.434995633</v>
      </c>
      <c r="N407" s="24">
        <f>'[1]资源-钻石'!X407</f>
        <v>32191094.201438807</v>
      </c>
    </row>
    <row r="408" spans="9:14" x14ac:dyDescent="0.15">
      <c r="I408" s="23">
        <v>405</v>
      </c>
      <c r="J408" s="24">
        <f>'[1]资源-钻石'!T408</f>
        <v>2071280.4222044672</v>
      </c>
      <c r="K408" s="24">
        <f>'[1]资源-钻石'!U408</f>
        <v>2977795.0970913325</v>
      </c>
      <c r="L408" s="24">
        <f>'[1]资源-钻石'!V408</f>
        <v>5019909.8416001871</v>
      </c>
      <c r="M408" s="24">
        <f>'[1]资源-钻石'!W408</f>
        <v>13499535.198826289</v>
      </c>
      <c r="N408" s="24">
        <f>'[1]资源-钻石'!X408</f>
        <v>32260066.48817585</v>
      </c>
    </row>
    <row r="409" spans="9:14" x14ac:dyDescent="0.15">
      <c r="I409" s="23">
        <v>406</v>
      </c>
      <c r="J409" s="24">
        <f>'[1]资源-钻石'!T409</f>
        <v>2075516.9481763295</v>
      </c>
      <c r="K409" s="24">
        <f>'[1]资源-钻石'!U409</f>
        <v>2984463.3533467874</v>
      </c>
      <c r="L409" s="24">
        <f>'[1]资源-钻石'!V409</f>
        <v>5029494.1120295366</v>
      </c>
      <c r="M409" s="24">
        <f>'[1]资源-钻石'!W409</f>
        <v>13525952.962656943</v>
      </c>
      <c r="N409" s="24">
        <f>'[1]资源-钻石'!X409</f>
        <v>32329038.774912897</v>
      </c>
    </row>
    <row r="410" spans="9:14" x14ac:dyDescent="0.15">
      <c r="I410" s="25">
        <v>407</v>
      </c>
      <c r="J410" s="24">
        <f>'[1]资源-钻石'!T410</f>
        <v>2079753.4741481915</v>
      </c>
      <c r="K410" s="24">
        <f>'[1]资源-钻石'!U410</f>
        <v>2991131.6096022422</v>
      </c>
      <c r="L410" s="24">
        <f>'[1]资源-钻石'!V410</f>
        <v>5038996.7240634738</v>
      </c>
      <c r="M410" s="24">
        <f>'[1]资源-钻石'!W410</f>
        <v>13552370.726487597</v>
      </c>
      <c r="N410" s="24">
        <f>'[1]资源-钻石'!X410</f>
        <v>32398011.061649941</v>
      </c>
    </row>
    <row r="411" spans="9:14" x14ac:dyDescent="0.15">
      <c r="I411" s="23">
        <v>408</v>
      </c>
      <c r="J411" s="24">
        <f>'[1]资源-钻石'!T411</f>
        <v>2083990.0001200535</v>
      </c>
      <c r="K411" s="24">
        <f>'[1]资源-钻石'!U411</f>
        <v>2997799.8658576971</v>
      </c>
      <c r="L411" s="24">
        <f>'[1]资源-钻石'!V411</f>
        <v>5048499.3360974109</v>
      </c>
      <c r="M411" s="24">
        <f>'[1]资源-钻石'!W411</f>
        <v>13578788.490318254</v>
      </c>
      <c r="N411" s="24">
        <f>'[1]资源-钻石'!X411</f>
        <v>32466983.348386988</v>
      </c>
    </row>
    <row r="412" spans="9:14" x14ac:dyDescent="0.15">
      <c r="I412" s="23">
        <v>409</v>
      </c>
      <c r="J412" s="24">
        <f>'[1]资源-钻石'!T412</f>
        <v>2088226.5260919158</v>
      </c>
      <c r="K412" s="24">
        <f>'[1]资源-钻石'!U412</f>
        <v>3004468.1221131519</v>
      </c>
      <c r="L412" s="24">
        <f>'[1]资源-钻石'!V412</f>
        <v>5058001.9481313471</v>
      </c>
      <c r="M412" s="24">
        <f>'[1]资源-钻石'!W412</f>
        <v>13605206.254148908</v>
      </c>
      <c r="N412" s="24">
        <f>'[1]资源-钻石'!X412</f>
        <v>32535955.635124031</v>
      </c>
    </row>
    <row r="413" spans="9:14" x14ac:dyDescent="0.15">
      <c r="I413" s="23">
        <v>410</v>
      </c>
      <c r="J413" s="24">
        <f>'[1]资源-钻石'!T413</f>
        <v>2092463.0520637778</v>
      </c>
      <c r="K413" s="24">
        <f>'[1]资源-钻石'!U413</f>
        <v>3011136.3783686068</v>
      </c>
      <c r="L413" s="24">
        <f>'[1]资源-钻石'!V413</f>
        <v>5067504.5601652842</v>
      </c>
      <c r="M413" s="24">
        <f>'[1]资源-钻石'!W413</f>
        <v>13631145.855705317</v>
      </c>
      <c r="N413" s="24">
        <f>'[1]资源-钻石'!X413</f>
        <v>32604927.921861079</v>
      </c>
    </row>
    <row r="414" spans="9:14" x14ac:dyDescent="0.15">
      <c r="I414" s="23">
        <v>411</v>
      </c>
      <c r="J414" s="24">
        <f>'[1]资源-钻石'!T414</f>
        <v>2096699.5780356401</v>
      </c>
      <c r="K414" s="24">
        <f>'[1]资源-钻石'!U414</f>
        <v>3017804.6346240616</v>
      </c>
      <c r="L414" s="24">
        <f>'[1]资源-钻石'!V414</f>
        <v>5077007.1721992213</v>
      </c>
      <c r="M414" s="24">
        <f>'[1]资源-钻石'!W414</f>
        <v>13655083.194198923</v>
      </c>
      <c r="N414" s="24">
        <f>'[1]资源-钻石'!X414</f>
        <v>32673900.208598122</v>
      </c>
    </row>
    <row r="415" spans="9:14" x14ac:dyDescent="0.15">
      <c r="I415" s="23">
        <v>412</v>
      </c>
      <c r="J415" s="24">
        <f>'[1]资源-钻石'!T415</f>
        <v>2100936.1040075021</v>
      </c>
      <c r="K415" s="24">
        <f>'[1]资源-钻石'!U415</f>
        <v>3024509.1132693649</v>
      </c>
      <c r="L415" s="24">
        <f>'[1]资源-钻石'!V415</f>
        <v>5086509.7842331585</v>
      </c>
      <c r="M415" s="24">
        <f>'[1]资源-钻石'!W415</f>
        <v>13679020.532692531</v>
      </c>
      <c r="N415" s="24">
        <f>'[1]资源-钻石'!X415</f>
        <v>32742872.495335169</v>
      </c>
    </row>
    <row r="416" spans="9:14" x14ac:dyDescent="0.15">
      <c r="I416" s="25">
        <v>413</v>
      </c>
      <c r="J416" s="24">
        <f>'[1]资源-钻石'!T416</f>
        <v>2105172.6299793641</v>
      </c>
      <c r="K416" s="24">
        <f>'[1]资源-钻石'!U416</f>
        <v>3031345.5296327369</v>
      </c>
      <c r="L416" s="24">
        <f>'[1]资源-钻石'!V416</f>
        <v>5096012.3962670956</v>
      </c>
      <c r="M416" s="24">
        <f>'[1]资源-钻石'!W416</f>
        <v>13702957.871186137</v>
      </c>
      <c r="N416" s="24">
        <f>'[1]资源-钻石'!X416</f>
        <v>32810378.273403153</v>
      </c>
    </row>
    <row r="417" spans="9:14" x14ac:dyDescent="0.15">
      <c r="I417" s="23">
        <v>414</v>
      </c>
      <c r="J417" s="24">
        <f>'[1]资源-钻石'!T417</f>
        <v>2109409.1559512261</v>
      </c>
      <c r="K417" s="24">
        <f>'[1]资源-钻石'!U417</f>
        <v>3038181.9459961085</v>
      </c>
      <c r="L417" s="24">
        <f>'[1]资源-钻石'!V417</f>
        <v>5105515.0083010327</v>
      </c>
      <c r="M417" s="24">
        <f>'[1]资源-钻石'!W417</f>
        <v>13726895.209679743</v>
      </c>
      <c r="N417" s="24">
        <f>'[1]资源-钻石'!X417</f>
        <v>32875765.47932345</v>
      </c>
    </row>
    <row r="418" spans="9:14" x14ac:dyDescent="0.15">
      <c r="I418" s="23">
        <v>415</v>
      </c>
      <c r="J418" s="24">
        <f>'[1]资源-钻石'!T418</f>
        <v>2113609.715457303</v>
      </c>
      <c r="K418" s="24">
        <f>'[1]资源-钻石'!U418</f>
        <v>3045018.3623594805</v>
      </c>
      <c r="L418" s="24">
        <f>'[1]资源-钻石'!V418</f>
        <v>5115017.6203349698</v>
      </c>
      <c r="M418" s="24">
        <f>'[1]资源-钻石'!W418</f>
        <v>13750832.548173351</v>
      </c>
      <c r="N418" s="24">
        <f>'[1]资源-钻石'!X418</f>
        <v>32941152.685243748</v>
      </c>
    </row>
    <row r="419" spans="9:14" x14ac:dyDescent="0.15">
      <c r="I419" s="25">
        <v>416</v>
      </c>
      <c r="J419" s="24">
        <f>'[1]资源-钻石'!T419</f>
        <v>2117562.5339585529</v>
      </c>
      <c r="K419" s="24">
        <f>'[1]资源-钻石'!U419</f>
        <v>3051854.778722852</v>
      </c>
      <c r="L419" s="24">
        <f>'[1]资源-钻石'!V419</f>
        <v>5124520.232368906</v>
      </c>
      <c r="M419" s="24">
        <f>'[1]资源-钻石'!W419</f>
        <v>13774769.886666957</v>
      </c>
      <c r="N419" s="24">
        <f>'[1]资源-钻石'!X419</f>
        <v>33006539.891164046</v>
      </c>
    </row>
    <row r="420" spans="9:14" x14ac:dyDescent="0.15">
      <c r="I420" s="23">
        <v>417</v>
      </c>
      <c r="J420" s="24">
        <f>'[1]资源-钻石'!T420</f>
        <v>2121515.3524598028</v>
      </c>
      <c r="K420" s="24">
        <f>'[1]资源-钻石'!U420</f>
        <v>3058691.195086224</v>
      </c>
      <c r="L420" s="24">
        <f>'[1]资源-钻石'!V420</f>
        <v>5134022.8444028432</v>
      </c>
      <c r="M420" s="24">
        <f>'[1]资源-钻石'!W420</f>
        <v>13798707.225160563</v>
      </c>
      <c r="N420" s="24">
        <f>'[1]资源-钻石'!X420</f>
        <v>33071927.097084343</v>
      </c>
    </row>
    <row r="421" spans="9:14" x14ac:dyDescent="0.15">
      <c r="I421" s="23">
        <v>418</v>
      </c>
      <c r="J421" s="24">
        <f>'[1]资源-钻石'!T421</f>
        <v>2125468.1709610522</v>
      </c>
      <c r="K421" s="24">
        <f>'[1]资源-钻石'!U421</f>
        <v>3065527.611449596</v>
      </c>
      <c r="L421" s="24">
        <f>'[1]资源-钻石'!V421</f>
        <v>5143525.4564367803</v>
      </c>
      <c r="M421" s="24">
        <f>'[1]资源-钻石'!W421</f>
        <v>13822644.563654169</v>
      </c>
      <c r="N421" s="24">
        <f>'[1]资源-钻石'!X421</f>
        <v>33137314.303004641</v>
      </c>
    </row>
    <row r="422" spans="9:14" x14ac:dyDescent="0.15">
      <c r="I422" s="23">
        <v>419</v>
      </c>
      <c r="J422" s="24">
        <f>'[1]资源-钻石'!T422</f>
        <v>2129420.9894623021</v>
      </c>
      <c r="K422" s="24">
        <f>'[1]资源-钻石'!U422</f>
        <v>3072364.0278129675</v>
      </c>
      <c r="L422" s="24">
        <f>'[1]资源-钻石'!V422</f>
        <v>5153028.0684707174</v>
      </c>
      <c r="M422" s="24">
        <f>'[1]资源-钻石'!W422</f>
        <v>13846581.902147777</v>
      </c>
      <c r="N422" s="24">
        <f>'[1]资源-钻石'!X422</f>
        <v>33202701.508924939</v>
      </c>
    </row>
    <row r="423" spans="9:14" x14ac:dyDescent="0.15">
      <c r="I423" s="23">
        <v>420</v>
      </c>
      <c r="J423" s="24">
        <f>'[1]资源-钻石'!T423</f>
        <v>2133373.807963552</v>
      </c>
      <c r="K423" s="24">
        <f>'[1]资源-钻石'!U423</f>
        <v>3079200.4441763395</v>
      </c>
      <c r="L423" s="24">
        <f>'[1]资源-钻石'!V423</f>
        <v>5162530.6805046545</v>
      </c>
      <c r="M423" s="24">
        <f>'[1]资源-钻石'!W423</f>
        <v>13870519.240641383</v>
      </c>
      <c r="N423" s="24">
        <f>'[1]资源-钻石'!X423</f>
        <v>33268088.714845236</v>
      </c>
    </row>
    <row r="424" spans="9:14" x14ac:dyDescent="0.15">
      <c r="I424" s="23">
        <v>421</v>
      </c>
      <c r="J424" s="24">
        <f>'[1]资源-钻石'!T424</f>
        <v>2137326.6264648018</v>
      </c>
      <c r="K424" s="24">
        <f>'[1]资源-钻石'!U424</f>
        <v>3086036.8605397115</v>
      </c>
      <c r="L424" s="24">
        <f>'[1]资源-钻石'!V424</f>
        <v>5172033.2925385917</v>
      </c>
      <c r="M424" s="24">
        <f>'[1]资源-钻石'!W424</f>
        <v>13894456.57913499</v>
      </c>
      <c r="N424" s="24">
        <f>'[1]资源-钻石'!X424</f>
        <v>33333475.920765534</v>
      </c>
    </row>
    <row r="425" spans="9:14" x14ac:dyDescent="0.15">
      <c r="I425" s="25">
        <v>422</v>
      </c>
      <c r="J425" s="24">
        <f>'[1]资源-钻石'!T425</f>
        <v>2141279.4449660517</v>
      </c>
      <c r="K425" s="24">
        <f>'[1]资源-钻石'!U425</f>
        <v>3092873.2769030831</v>
      </c>
      <c r="L425" s="24">
        <f>'[1]资源-钻石'!V425</f>
        <v>5181535.9045725288</v>
      </c>
      <c r="M425" s="24">
        <f>'[1]资源-钻石'!W425</f>
        <v>13918393.917628597</v>
      </c>
      <c r="N425" s="24">
        <f>'[1]资源-钻石'!X425</f>
        <v>33398863.126685832</v>
      </c>
    </row>
    <row r="426" spans="9:14" x14ac:dyDescent="0.15">
      <c r="I426" s="23">
        <v>423</v>
      </c>
      <c r="J426" s="24">
        <f>'[1]资源-钻石'!T426</f>
        <v>2145232.2634673011</v>
      </c>
      <c r="K426" s="24">
        <f>'[1]资源-钻石'!U426</f>
        <v>3099709.6932664551</v>
      </c>
      <c r="L426" s="24">
        <f>'[1]资源-钻石'!V426</f>
        <v>5191038.5166064659</v>
      </c>
      <c r="M426" s="24">
        <f>'[1]资源-钻石'!W426</f>
        <v>13942331.256122204</v>
      </c>
      <c r="N426" s="24">
        <f>'[1]资源-钻石'!X426</f>
        <v>33464250.332606129</v>
      </c>
    </row>
    <row r="427" spans="9:14" x14ac:dyDescent="0.15">
      <c r="I427" s="23">
        <v>424</v>
      </c>
      <c r="J427" s="24">
        <f>'[1]资源-钻石'!T427</f>
        <v>2149185.081968551</v>
      </c>
      <c r="K427" s="24">
        <f>'[1]资源-钻石'!U427</f>
        <v>3106546.1096298271</v>
      </c>
      <c r="L427" s="24">
        <f>'[1]资源-钻石'!V427</f>
        <v>5200541.1286404021</v>
      </c>
      <c r="M427" s="24">
        <f>'[1]资源-钻石'!W427</f>
        <v>13966268.59461581</v>
      </c>
      <c r="N427" s="24">
        <f>'[1]资源-钻石'!X427</f>
        <v>33529637.538526427</v>
      </c>
    </row>
    <row r="428" spans="9:14" x14ac:dyDescent="0.15">
      <c r="I428" s="25">
        <v>425</v>
      </c>
      <c r="J428" s="24">
        <f>'[1]资源-钻石'!T428</f>
        <v>2153137.9004698009</v>
      </c>
      <c r="K428" s="24">
        <f>'[1]资源-钻石'!U428</f>
        <v>3113382.5259931986</v>
      </c>
      <c r="L428" s="24">
        <f>'[1]资源-钻石'!V428</f>
        <v>5210043.7406743392</v>
      </c>
      <c r="M428" s="24">
        <f>'[1]资源-钻石'!W428</f>
        <v>13990205.933109418</v>
      </c>
      <c r="N428" s="24">
        <f>'[1]资源-钻石'!X428</f>
        <v>33595024.744446725</v>
      </c>
    </row>
    <row r="429" spans="9:14" x14ac:dyDescent="0.15">
      <c r="I429" s="23">
        <v>426</v>
      </c>
      <c r="J429" s="24">
        <f>'[1]资源-钻石'!T429</f>
        <v>2157090.7189710508</v>
      </c>
      <c r="K429" s="24">
        <f>'[1]资源-钻石'!U429</f>
        <v>3120218.9423565706</v>
      </c>
      <c r="L429" s="24">
        <f>'[1]资源-钻石'!V429</f>
        <v>5219546.3527082764</v>
      </c>
      <c r="M429" s="24">
        <f>'[1]资源-钻石'!W429</f>
        <v>14014143.271603024</v>
      </c>
      <c r="N429" s="24">
        <f>'[1]资源-钻石'!X429</f>
        <v>33660411.950367026</v>
      </c>
    </row>
    <row r="430" spans="9:14" x14ac:dyDescent="0.15">
      <c r="I430" s="23">
        <v>427</v>
      </c>
      <c r="J430" s="24">
        <f>'[1]资源-钻石'!T430</f>
        <v>2161043.5374723002</v>
      </c>
      <c r="K430" s="24">
        <f>'[1]资源-钻石'!U430</f>
        <v>3127055.3587199426</v>
      </c>
      <c r="L430" s="24">
        <f>'[1]资源-钻石'!V430</f>
        <v>5229048.9647422135</v>
      </c>
      <c r="M430" s="24">
        <f>'[1]资源-钻石'!W430</f>
        <v>14038080.61009663</v>
      </c>
      <c r="N430" s="24">
        <f>'[1]资源-钻石'!X430</f>
        <v>33725799.15628732</v>
      </c>
    </row>
    <row r="431" spans="9:14" x14ac:dyDescent="0.15">
      <c r="I431" s="23">
        <v>428</v>
      </c>
      <c r="J431" s="24">
        <f>'[1]资源-钻石'!T431</f>
        <v>2164996.3559735501</v>
      </c>
      <c r="K431" s="24">
        <f>'[1]资源-钻石'!U431</f>
        <v>3133891.7750833142</v>
      </c>
      <c r="L431" s="24">
        <f>'[1]资源-钻石'!V431</f>
        <v>5238551.5767761506</v>
      </c>
      <c r="M431" s="24">
        <f>'[1]资源-钻石'!W431</f>
        <v>14062017.948590236</v>
      </c>
      <c r="N431" s="24">
        <f>'[1]资源-钻石'!X431</f>
        <v>33791186.362207621</v>
      </c>
    </row>
    <row r="432" spans="9:14" x14ac:dyDescent="0.15">
      <c r="I432" s="23">
        <v>429</v>
      </c>
      <c r="J432" s="24">
        <f>'[1]资源-钻石'!T432</f>
        <v>2168949.1744748</v>
      </c>
      <c r="K432" s="24">
        <f>'[1]资源-钻石'!U432</f>
        <v>3140728.1914466862</v>
      </c>
      <c r="L432" s="24">
        <f>'[1]资源-钻石'!V432</f>
        <v>5248054.1888100877</v>
      </c>
      <c r="M432" s="24">
        <f>'[1]资源-钻石'!W432</f>
        <v>14085955.287083844</v>
      </c>
      <c r="N432" s="24">
        <f>'[1]资源-钻石'!X432</f>
        <v>33856573.568127915</v>
      </c>
    </row>
    <row r="433" spans="9:14" x14ac:dyDescent="0.15">
      <c r="I433" s="23">
        <v>430</v>
      </c>
      <c r="J433" s="24">
        <f>'[1]资源-钻石'!T433</f>
        <v>2172901.9929760499</v>
      </c>
      <c r="K433" s="24">
        <f>'[1]资源-钻石'!U433</f>
        <v>3147564.6078100582</v>
      </c>
      <c r="L433" s="24">
        <f>'[1]资源-钻石'!V433</f>
        <v>5257556.8008440249</v>
      </c>
      <c r="M433" s="24">
        <f>'[1]资源-钻石'!W433</f>
        <v>14109892.62557745</v>
      </c>
      <c r="N433" s="24">
        <f>'[1]资源-钻石'!X433</f>
        <v>33921960.774048217</v>
      </c>
    </row>
    <row r="434" spans="9:14" x14ac:dyDescent="0.15">
      <c r="I434" s="25">
        <v>431</v>
      </c>
      <c r="J434" s="24">
        <f>'[1]资源-钻石'!T434</f>
        <v>2176854.8114772993</v>
      </c>
      <c r="K434" s="24">
        <f>'[1]资源-钻石'!U434</f>
        <v>3154401.0241734297</v>
      </c>
      <c r="L434" s="24">
        <f>'[1]资源-钻石'!V434</f>
        <v>5267059.4128779611</v>
      </c>
      <c r="M434" s="24">
        <f>'[1]资源-钻石'!W434</f>
        <v>14133829.964071056</v>
      </c>
      <c r="N434" s="24">
        <f>'[1]资源-钻石'!X434</f>
        <v>33987347.979968511</v>
      </c>
    </row>
    <row r="435" spans="9:14" x14ac:dyDescent="0.15">
      <c r="I435" s="23">
        <v>432</v>
      </c>
      <c r="J435" s="24">
        <f>'[1]资源-钻石'!T435</f>
        <v>2180807.6299785492</v>
      </c>
      <c r="K435" s="24">
        <f>'[1]资源-钻石'!U435</f>
        <v>3161237.4405368017</v>
      </c>
      <c r="L435" s="24">
        <f>'[1]资源-钻石'!V435</f>
        <v>5276562.0249118982</v>
      </c>
      <c r="M435" s="24">
        <f>'[1]资源-钻石'!W435</f>
        <v>14157767.302564664</v>
      </c>
      <c r="N435" s="24">
        <f>'[1]资源-钻石'!X435</f>
        <v>34052735.185888812</v>
      </c>
    </row>
    <row r="436" spans="9:14" x14ac:dyDescent="0.15">
      <c r="I436" s="23">
        <v>433</v>
      </c>
      <c r="J436" s="24">
        <f>'[1]资源-钻石'!T436</f>
        <v>2184760.4484797991</v>
      </c>
      <c r="K436" s="24">
        <f>'[1]资源-钻石'!U436</f>
        <v>3168073.8569001732</v>
      </c>
      <c r="L436" s="24">
        <f>'[1]资源-钻石'!V436</f>
        <v>5286064.6369458353</v>
      </c>
      <c r="M436" s="24">
        <f>'[1]资源-钻石'!W436</f>
        <v>14181704.64105827</v>
      </c>
      <c r="N436" s="24">
        <f>'[1]资源-钻石'!X436</f>
        <v>34118122.391809106</v>
      </c>
    </row>
    <row r="437" spans="9:14" x14ac:dyDescent="0.15">
      <c r="I437" s="25">
        <v>434</v>
      </c>
      <c r="J437" s="24">
        <f>'[1]资源-钻石'!T437</f>
        <v>2188713.266981049</v>
      </c>
      <c r="K437" s="24">
        <f>'[1]资源-钻石'!U437</f>
        <v>3174910.2732635452</v>
      </c>
      <c r="L437" s="24">
        <f>'[1]资源-钻石'!V437</f>
        <v>5295387.624845257</v>
      </c>
      <c r="M437" s="24">
        <f>'[1]资源-钻石'!W437</f>
        <v>14205641.979551876</v>
      </c>
      <c r="N437" s="24">
        <f>'[1]资源-钻石'!X437</f>
        <v>34183509.597729407</v>
      </c>
    </row>
    <row r="438" spans="9:14" x14ac:dyDescent="0.15">
      <c r="I438" s="23">
        <v>435</v>
      </c>
      <c r="J438" s="24">
        <f>'[1]资源-钻石'!T438</f>
        <v>2192666.0854822989</v>
      </c>
      <c r="K438" s="24">
        <f>'[1]资源-钻石'!U438</f>
        <v>3181746.6896269172</v>
      </c>
      <c r="L438" s="24">
        <f>'[1]资源-钻石'!V438</f>
        <v>5304324.8708570916</v>
      </c>
      <c r="M438" s="24">
        <f>'[1]资源-钻石'!W438</f>
        <v>14229579.318045484</v>
      </c>
      <c r="N438" s="24">
        <f>'[1]资源-钻石'!X438</f>
        <v>34248896.803649701</v>
      </c>
    </row>
    <row r="439" spans="9:14" x14ac:dyDescent="0.15">
      <c r="I439" s="23">
        <v>436</v>
      </c>
      <c r="J439" s="24">
        <f>'[1]资源-钻石'!T439</f>
        <v>2196618.9039835483</v>
      </c>
      <c r="K439" s="24">
        <f>'[1]资源-钻石'!U439</f>
        <v>3188583.1059902888</v>
      </c>
      <c r="L439" s="24">
        <f>'[1]资源-钻石'!V439</f>
        <v>5313262.1168689253</v>
      </c>
      <c r="M439" s="24">
        <f>'[1]资源-钻石'!W439</f>
        <v>14253516.65653909</v>
      </c>
      <c r="N439" s="24">
        <f>'[1]资源-钻石'!X439</f>
        <v>34314284.009570003</v>
      </c>
    </row>
    <row r="440" spans="9:14" x14ac:dyDescent="0.15">
      <c r="I440" s="23">
        <v>437</v>
      </c>
      <c r="J440" s="24">
        <f>'[1]资源-钻石'!T440</f>
        <v>2200571.7224847982</v>
      </c>
      <c r="K440" s="24">
        <f>'[1]资源-钻石'!U440</f>
        <v>3195419.5223536608</v>
      </c>
      <c r="L440" s="24">
        <f>'[1]资源-钻石'!V440</f>
        <v>5322199.3628807599</v>
      </c>
      <c r="M440" s="24">
        <f>'[1]资源-钻石'!W440</f>
        <v>14277453.995032696</v>
      </c>
      <c r="N440" s="24">
        <f>'[1]资源-钻石'!X440</f>
        <v>34379671.215490296</v>
      </c>
    </row>
    <row r="441" spans="9:14" x14ac:dyDescent="0.15">
      <c r="I441" s="23">
        <v>438</v>
      </c>
      <c r="J441" s="24">
        <f>'[1]资源-钻石'!T441</f>
        <v>2204524.5409860481</v>
      </c>
      <c r="K441" s="24">
        <f>'[1]资源-钻石'!U441</f>
        <v>3202255.9387170328</v>
      </c>
      <c r="L441" s="24">
        <f>'[1]资源-钻石'!V441</f>
        <v>5331136.6088925945</v>
      </c>
      <c r="M441" s="24">
        <f>'[1]资源-钻石'!W441</f>
        <v>14301391.333526302</v>
      </c>
      <c r="N441" s="24">
        <f>'[1]资源-钻石'!X441</f>
        <v>34445058.42141059</v>
      </c>
    </row>
    <row r="442" spans="9:14" x14ac:dyDescent="0.15">
      <c r="I442" s="23">
        <v>439</v>
      </c>
      <c r="J442" s="24">
        <f>'[1]资源-钻石'!T442</f>
        <v>2208477.3594872979</v>
      </c>
      <c r="K442" s="24">
        <f>'[1]资源-钻石'!U442</f>
        <v>3208119.6975105465</v>
      </c>
      <c r="L442" s="24">
        <f>'[1]资源-钻石'!V442</f>
        <v>5340073.8549044281</v>
      </c>
      <c r="M442" s="24">
        <f>'[1]资源-钻石'!W442</f>
        <v>14325328.67201991</v>
      </c>
      <c r="N442" s="24">
        <f>'[1]资源-钻石'!X442</f>
        <v>34510445.627330892</v>
      </c>
    </row>
    <row r="443" spans="9:14" x14ac:dyDescent="0.15">
      <c r="I443" s="25">
        <v>440</v>
      </c>
      <c r="J443" s="24">
        <f>'[1]资源-钻石'!T443</f>
        <v>2212430.1779885474</v>
      </c>
      <c r="K443" s="24">
        <f>'[1]资源-钻石'!U443</f>
        <v>3213836.3146914886</v>
      </c>
      <c r="L443" s="24">
        <f>'[1]资源-钻石'!V443</f>
        <v>5349011.1009162627</v>
      </c>
      <c r="M443" s="24">
        <f>'[1]资源-钻石'!W443</f>
        <v>14349266.010513516</v>
      </c>
      <c r="N443" s="24">
        <f>'[1]资源-钻石'!X443</f>
        <v>34575832.833251186</v>
      </c>
    </row>
    <row r="444" spans="9:14" x14ac:dyDescent="0.15">
      <c r="I444" s="23">
        <v>441</v>
      </c>
      <c r="J444" s="24">
        <f>'[1]资源-钻石'!T444</f>
        <v>2216382.9964897973</v>
      </c>
      <c r="K444" s="24">
        <f>'[1]资源-钻石'!U444</f>
        <v>3219552.9318724312</v>
      </c>
      <c r="L444" s="24">
        <f>'[1]资源-钻石'!V444</f>
        <v>5357948.3469280964</v>
      </c>
      <c r="M444" s="24">
        <f>'[1]资源-钻石'!W444</f>
        <v>14373203.349007122</v>
      </c>
      <c r="N444" s="24">
        <f>'[1]资源-钻石'!X444</f>
        <v>34635886.362450413</v>
      </c>
    </row>
    <row r="445" spans="9:14" x14ac:dyDescent="0.15">
      <c r="I445" s="23">
        <v>442</v>
      </c>
      <c r="J445" s="24">
        <f>'[1]资源-钻石'!T445</f>
        <v>2220335.8149910471</v>
      </c>
      <c r="K445" s="24">
        <f>'[1]资源-钻石'!U445</f>
        <v>3225269.5490533737</v>
      </c>
      <c r="L445" s="24">
        <f>'[1]资源-钻石'!V445</f>
        <v>5366885.592939931</v>
      </c>
      <c r="M445" s="24">
        <f>'[1]资源-钻石'!W445</f>
        <v>14397070.333089471</v>
      </c>
      <c r="N445" s="24">
        <f>'[1]资源-钻石'!X445</f>
        <v>34694363.568984501</v>
      </c>
    </row>
    <row r="446" spans="9:14" x14ac:dyDescent="0.15">
      <c r="I446" s="25">
        <v>443</v>
      </c>
      <c r="J446" s="24">
        <f>'[1]资源-钻石'!T446</f>
        <v>2224288.633492297</v>
      </c>
      <c r="K446" s="24">
        <f>'[1]资源-钻石'!U446</f>
        <v>3230986.1662343163</v>
      </c>
      <c r="L446" s="24">
        <f>'[1]资源-钻石'!V446</f>
        <v>5375822.8389517646</v>
      </c>
      <c r="M446" s="24">
        <f>'[1]资源-钻石'!W446</f>
        <v>14420040.64804671</v>
      </c>
      <c r="N446" s="24">
        <f>'[1]资源-钻石'!X446</f>
        <v>34752840.775518596</v>
      </c>
    </row>
    <row r="447" spans="9:14" x14ac:dyDescent="0.15">
      <c r="I447" s="23">
        <v>444</v>
      </c>
      <c r="J447" s="24">
        <f>'[1]资源-钻石'!T447</f>
        <v>2228241.4519935469</v>
      </c>
      <c r="K447" s="24">
        <f>'[1]资源-钻石'!U447</f>
        <v>3236702.7834152584</v>
      </c>
      <c r="L447" s="24">
        <f>'[1]资源-钻石'!V447</f>
        <v>5384760.0849635992</v>
      </c>
      <c r="M447" s="24">
        <f>'[1]资源-钻石'!W447</f>
        <v>14443010.963003948</v>
      </c>
      <c r="N447" s="24">
        <f>'[1]资源-钻石'!X447</f>
        <v>34811317.982052684</v>
      </c>
    </row>
    <row r="448" spans="9:14" x14ac:dyDescent="0.15">
      <c r="I448" s="23">
        <v>445</v>
      </c>
      <c r="J448" s="24">
        <f>'[1]资源-钻石'!T448</f>
        <v>2232120.6520118043</v>
      </c>
      <c r="K448" s="24">
        <f>'[1]资源-钻石'!U448</f>
        <v>3242419.400596201</v>
      </c>
      <c r="L448" s="24">
        <f>'[1]资源-钻石'!V448</f>
        <v>5393697.3309754338</v>
      </c>
      <c r="M448" s="24">
        <f>'[1]资源-钻石'!W448</f>
        <v>14465981.277961187</v>
      </c>
      <c r="N448" s="24">
        <f>'[1]资源-钻石'!X448</f>
        <v>34869795.188586771</v>
      </c>
    </row>
    <row r="449" spans="9:14" x14ac:dyDescent="0.15">
      <c r="I449" s="23">
        <v>446</v>
      </c>
      <c r="J449" s="24">
        <f>'[1]资源-钻石'!T449</f>
        <v>2235808.7620830275</v>
      </c>
      <c r="K449" s="24">
        <f>'[1]资源-钻石'!U449</f>
        <v>3248136.0177771435</v>
      </c>
      <c r="L449" s="24">
        <f>'[1]资源-钻石'!V449</f>
        <v>5402634.5769872675</v>
      </c>
      <c r="M449" s="24">
        <f>'[1]资源-钻石'!W449</f>
        <v>14488951.592918426</v>
      </c>
      <c r="N449" s="24">
        <f>'[1]资源-钻石'!X449</f>
        <v>34928272.395120859</v>
      </c>
    </row>
    <row r="450" spans="9:14" x14ac:dyDescent="0.15">
      <c r="I450" s="23">
        <v>447</v>
      </c>
      <c r="J450" s="24">
        <f>'[1]资源-钻石'!T450</f>
        <v>2239496.8721542507</v>
      </c>
      <c r="K450" s="24">
        <f>'[1]资源-钻石'!U450</f>
        <v>3253852.6349580861</v>
      </c>
      <c r="L450" s="24">
        <f>'[1]资源-钻石'!V450</f>
        <v>5411571.8229991021</v>
      </c>
      <c r="M450" s="24">
        <f>'[1]资源-钻石'!W450</f>
        <v>14511921.907875665</v>
      </c>
      <c r="N450" s="24">
        <f>'[1]资源-钻石'!X450</f>
        <v>34986749.601654954</v>
      </c>
    </row>
    <row r="451" spans="9:14" x14ac:dyDescent="0.15">
      <c r="I451" s="23">
        <v>448</v>
      </c>
      <c r="J451" s="24">
        <f>'[1]资源-钻石'!T451</f>
        <v>2243184.9822254735</v>
      </c>
      <c r="K451" s="24">
        <f>'[1]资源-钻石'!U451</f>
        <v>3259569.2521390282</v>
      </c>
      <c r="L451" s="24">
        <f>'[1]资源-钻石'!V451</f>
        <v>5420509.0690109357</v>
      </c>
      <c r="M451" s="24">
        <f>'[1]资源-钻石'!W451</f>
        <v>14534892.222832901</v>
      </c>
      <c r="N451" s="24">
        <f>'[1]资源-钻石'!X451</f>
        <v>35045226.808189042</v>
      </c>
    </row>
    <row r="452" spans="9:14" x14ac:dyDescent="0.15">
      <c r="I452" s="25">
        <v>449</v>
      </c>
      <c r="J452" s="24">
        <f>'[1]资源-钻石'!T452</f>
        <v>2246873.0922966967</v>
      </c>
      <c r="K452" s="24">
        <f>'[1]资源-钻石'!U452</f>
        <v>3265285.8693199707</v>
      </c>
      <c r="L452" s="24">
        <f>'[1]资源-钻石'!V452</f>
        <v>5429446.3150227703</v>
      </c>
      <c r="M452" s="24">
        <f>'[1]资源-钻石'!W452</f>
        <v>14557862.53779014</v>
      </c>
      <c r="N452" s="24">
        <f>'[1]资源-钻石'!X452</f>
        <v>35103704.01472313</v>
      </c>
    </row>
    <row r="453" spans="9:14" x14ac:dyDescent="0.15">
      <c r="I453" s="23">
        <v>450</v>
      </c>
      <c r="J453" s="24">
        <f>'[1]资源-钻石'!T453</f>
        <v>2250561.20236792</v>
      </c>
      <c r="K453" s="24">
        <f>'[1]资源-钻石'!U453</f>
        <v>3271002.4865009133</v>
      </c>
      <c r="L453" s="24">
        <f>'[1]资源-钻石'!V453</f>
        <v>5438383.5610346049</v>
      </c>
      <c r="M453" s="24">
        <f>'[1]资源-钻石'!W453</f>
        <v>14580832.852747379</v>
      </c>
      <c r="N453" s="24">
        <f>'[1]资源-钻石'!X453</f>
        <v>35162181.221257217</v>
      </c>
    </row>
    <row r="454" spans="9:14" x14ac:dyDescent="0.15">
      <c r="I454" s="23">
        <v>451</v>
      </c>
      <c r="J454" s="24">
        <f>'[1]资源-钻石'!T454</f>
        <v>2254249.3124391432</v>
      </c>
      <c r="K454" s="24">
        <f>'[1]资源-钻石'!U454</f>
        <v>3276719.1036818558</v>
      </c>
      <c r="L454" s="24">
        <f>'[1]资源-钻石'!V454</f>
        <v>5447320.8070464386</v>
      </c>
      <c r="M454" s="24">
        <f>'[1]资源-钻石'!W454</f>
        <v>14603803.167704618</v>
      </c>
      <c r="N454" s="24">
        <f>'[1]资源-钻石'!X454</f>
        <v>35220658.427791312</v>
      </c>
    </row>
    <row r="455" spans="9:14" x14ac:dyDescent="0.15">
      <c r="I455" s="25">
        <v>452</v>
      </c>
      <c r="J455" s="24">
        <f>'[1]资源-钻石'!T455</f>
        <v>2257937.4225103664</v>
      </c>
      <c r="K455" s="24">
        <f>'[1]资源-钻石'!U455</f>
        <v>3282435.7208627979</v>
      </c>
      <c r="L455" s="24">
        <f>'[1]资源-钻石'!V455</f>
        <v>5456258.0530582732</v>
      </c>
      <c r="M455" s="24">
        <f>'[1]资源-钻石'!W455</f>
        <v>14626773.482661856</v>
      </c>
      <c r="N455" s="24">
        <f>'[1]资源-钻石'!X455</f>
        <v>35279135.6343254</v>
      </c>
    </row>
    <row r="456" spans="9:14" x14ac:dyDescent="0.15">
      <c r="I456" s="23">
        <v>453</v>
      </c>
      <c r="J456" s="24">
        <f>'[1]资源-钻石'!T456</f>
        <v>2261625.5325815897</v>
      </c>
      <c r="K456" s="24">
        <f>'[1]资源-钻石'!U456</f>
        <v>3288152.3380437405</v>
      </c>
      <c r="L456" s="24">
        <f>'[1]资源-钻石'!V456</f>
        <v>5465195.2990701068</v>
      </c>
      <c r="M456" s="24">
        <f>'[1]资源-钻石'!W456</f>
        <v>14649743.797619095</v>
      </c>
      <c r="N456" s="24">
        <f>'[1]资源-钻石'!X456</f>
        <v>35337612.840859488</v>
      </c>
    </row>
    <row r="457" spans="9:14" x14ac:dyDescent="0.15">
      <c r="I457" s="23">
        <v>454</v>
      </c>
      <c r="J457" s="24">
        <f>'[1]资源-钻石'!T457</f>
        <v>2265313.6426528129</v>
      </c>
      <c r="K457" s="24">
        <f>'[1]资源-钻石'!U457</f>
        <v>3293868.955224683</v>
      </c>
      <c r="L457" s="24">
        <f>'[1]资源-钻石'!V457</f>
        <v>5474132.5450819414</v>
      </c>
      <c r="M457" s="24">
        <f>'[1]资源-钻石'!W457</f>
        <v>14672714.112576332</v>
      </c>
      <c r="N457" s="24">
        <f>'[1]资源-钻石'!X457</f>
        <v>35396090.047393575</v>
      </c>
    </row>
    <row r="458" spans="9:14" x14ac:dyDescent="0.15">
      <c r="I458" s="23">
        <v>455</v>
      </c>
      <c r="J458" s="24">
        <f>'[1]资源-钻石'!T458</f>
        <v>2269001.7527240356</v>
      </c>
      <c r="K458" s="24">
        <f>'[1]资源-钻石'!U458</f>
        <v>3299585.5724056256</v>
      </c>
      <c r="L458" s="24">
        <f>'[1]资源-钻石'!V458</f>
        <v>5483069.7910937751</v>
      </c>
      <c r="M458" s="24">
        <f>'[1]资源-钻石'!W458</f>
        <v>14695684.427533571</v>
      </c>
      <c r="N458" s="24">
        <f>'[1]资源-钻石'!X458</f>
        <v>35454567.25392767</v>
      </c>
    </row>
    <row r="459" spans="9:14" x14ac:dyDescent="0.15">
      <c r="I459" s="23">
        <v>456</v>
      </c>
      <c r="J459" s="24">
        <f>'[1]资源-钻石'!T459</f>
        <v>2272689.8627952589</v>
      </c>
      <c r="K459" s="24">
        <f>'[1]资源-钻石'!U459</f>
        <v>3305302.1895865677</v>
      </c>
      <c r="L459" s="24">
        <f>'[1]资源-钻石'!V459</f>
        <v>5492007.0371056097</v>
      </c>
      <c r="M459" s="24">
        <f>'[1]资源-钻石'!W459</f>
        <v>14718654.742490809</v>
      </c>
      <c r="N459" s="24">
        <f>'[1]资源-钻石'!X459</f>
        <v>35513044.460461758</v>
      </c>
    </row>
    <row r="460" spans="9:14" x14ac:dyDescent="0.15">
      <c r="I460" s="23">
        <v>457</v>
      </c>
      <c r="J460" s="24">
        <f>'[1]资源-钻石'!T460</f>
        <v>2276377.9728664821</v>
      </c>
      <c r="K460" s="24">
        <f>'[1]资源-钻石'!U460</f>
        <v>3311018.8067675103</v>
      </c>
      <c r="L460" s="24">
        <f>'[1]资源-钻石'!V460</f>
        <v>5500944.2831174443</v>
      </c>
      <c r="M460" s="24">
        <f>'[1]资源-钻石'!W460</f>
        <v>14741625.057448048</v>
      </c>
      <c r="N460" s="24">
        <f>'[1]资源-钻石'!X460</f>
        <v>35571521.666995846</v>
      </c>
    </row>
    <row r="461" spans="9:14" x14ac:dyDescent="0.15">
      <c r="I461" s="25">
        <v>458</v>
      </c>
      <c r="J461" s="24">
        <f>'[1]资源-钻石'!T461</f>
        <v>2280066.0829377053</v>
      </c>
      <c r="K461" s="24">
        <f>'[1]资源-钻石'!U461</f>
        <v>3316735.4239484528</v>
      </c>
      <c r="L461" s="24">
        <f>'[1]资源-钻石'!V461</f>
        <v>5509881.5291292779</v>
      </c>
      <c r="M461" s="24">
        <f>'[1]资源-钻石'!W461</f>
        <v>14764595.372405287</v>
      </c>
      <c r="N461" s="24">
        <f>'[1]资源-钻石'!X461</f>
        <v>35629998.873529933</v>
      </c>
    </row>
    <row r="462" spans="9:14" x14ac:dyDescent="0.15">
      <c r="I462" s="23">
        <v>459</v>
      </c>
      <c r="J462" s="24">
        <f>'[1]资源-钻石'!T462</f>
        <v>2283754.1930089286</v>
      </c>
      <c r="K462" s="24">
        <f>'[1]资源-钻石'!U462</f>
        <v>3322452.0411293954</v>
      </c>
      <c r="L462" s="24">
        <f>'[1]资源-钻石'!V462</f>
        <v>5518818.7751411125</v>
      </c>
      <c r="M462" s="24">
        <f>'[1]资源-钻石'!W462</f>
        <v>14787565.687362526</v>
      </c>
      <c r="N462" s="24">
        <f>'[1]资源-钻石'!X462</f>
        <v>35688476.080064029</v>
      </c>
    </row>
    <row r="463" spans="9:14" x14ac:dyDescent="0.15">
      <c r="I463" s="23">
        <v>460</v>
      </c>
      <c r="J463" s="24">
        <f>'[1]资源-钻石'!T463</f>
        <v>2287442.3030801518</v>
      </c>
      <c r="K463" s="24">
        <f>'[1]资源-钻石'!U463</f>
        <v>3328168.6583103379</v>
      </c>
      <c r="L463" s="24">
        <f>'[1]资源-钻石'!V463</f>
        <v>5527756.0211529462</v>
      </c>
      <c r="M463" s="24">
        <f>'[1]资源-钻石'!W463</f>
        <v>14810536.002319762</v>
      </c>
      <c r="N463" s="24">
        <f>'[1]资源-钻石'!X463</f>
        <v>35746953.286598116</v>
      </c>
    </row>
    <row r="464" spans="9:14" x14ac:dyDescent="0.15">
      <c r="I464" s="25">
        <v>461</v>
      </c>
      <c r="J464" s="24">
        <f>'[1]资源-钻石'!T464</f>
        <v>2291130.413151375</v>
      </c>
      <c r="K464" s="24">
        <f>'[1]资源-钻石'!U464</f>
        <v>3333885.27549128</v>
      </c>
      <c r="L464" s="24">
        <f>'[1]资源-钻石'!V464</f>
        <v>5536693.2671647808</v>
      </c>
      <c r="M464" s="24">
        <f>'[1]资源-钻石'!W464</f>
        <v>14833506.317277001</v>
      </c>
      <c r="N464" s="24">
        <f>'[1]资源-钻石'!X464</f>
        <v>35805430.493132204</v>
      </c>
    </row>
    <row r="465" spans="9:14" x14ac:dyDescent="0.15">
      <c r="I465" s="23">
        <v>462</v>
      </c>
      <c r="J465" s="24">
        <f>'[1]资源-钻石'!T465</f>
        <v>2294818.5232225982</v>
      </c>
      <c r="K465" s="24">
        <f>'[1]资源-钻石'!U465</f>
        <v>3339601.8926722226</v>
      </c>
      <c r="L465" s="24">
        <f>'[1]资源-钻石'!V465</f>
        <v>5545630.5131766153</v>
      </c>
      <c r="M465" s="24">
        <f>'[1]资源-钻石'!W465</f>
        <v>14856476.63223424</v>
      </c>
      <c r="N465" s="24">
        <f>'[1]资源-钻石'!X465</f>
        <v>35863907.699666291</v>
      </c>
    </row>
    <row r="466" spans="9:14" x14ac:dyDescent="0.15">
      <c r="I466" s="23">
        <v>463</v>
      </c>
      <c r="J466" s="24">
        <f>'[1]资源-钻石'!T466</f>
        <v>2298506.633293821</v>
      </c>
      <c r="K466" s="24">
        <f>'[1]资源-钻石'!U466</f>
        <v>3345318.5098531651</v>
      </c>
      <c r="L466" s="24">
        <f>'[1]资源-钻石'!V466</f>
        <v>5554567.759188449</v>
      </c>
      <c r="M466" s="24">
        <f>'[1]资源-钻石'!W466</f>
        <v>14879446.947191479</v>
      </c>
      <c r="N466" s="24">
        <f>'[1]资源-钻石'!X466</f>
        <v>35922384.906200379</v>
      </c>
    </row>
    <row r="467" spans="9:14" x14ac:dyDescent="0.15">
      <c r="I467" s="23">
        <v>464</v>
      </c>
      <c r="J467" s="24">
        <f>'[1]资源-钻石'!T467</f>
        <v>2302194.7433650442</v>
      </c>
      <c r="K467" s="24">
        <f>'[1]资源-钻石'!U467</f>
        <v>3351035.1270341077</v>
      </c>
      <c r="L467" s="24">
        <f>'[1]资源-钻石'!V467</f>
        <v>5563505.0052002836</v>
      </c>
      <c r="M467" s="24">
        <f>'[1]资源-钻石'!W467</f>
        <v>14902417.262148717</v>
      </c>
      <c r="N467" s="24">
        <f>'[1]资源-钻石'!X467</f>
        <v>35980862.112734474</v>
      </c>
    </row>
    <row r="468" spans="9:14" x14ac:dyDescent="0.15">
      <c r="I468" s="23">
        <v>465</v>
      </c>
      <c r="J468" s="24">
        <f>'[1]资源-钻石'!T468</f>
        <v>2305882.8534362675</v>
      </c>
      <c r="K468" s="24">
        <f>'[1]资源-钻石'!U468</f>
        <v>3356751.7442150498</v>
      </c>
      <c r="L468" s="24">
        <f>'[1]资源-钻石'!V468</f>
        <v>5572031.3696180033</v>
      </c>
      <c r="M468" s="24">
        <f>'[1]资源-钻石'!W468</f>
        <v>14925387.577105956</v>
      </c>
      <c r="N468" s="24">
        <f>'[1]资源-钻石'!X468</f>
        <v>36039339.319268562</v>
      </c>
    </row>
    <row r="469" spans="9:14" x14ac:dyDescent="0.15">
      <c r="I469" s="23">
        <v>466</v>
      </c>
      <c r="J469" s="24">
        <f>'[1]资源-钻石'!T469</f>
        <v>2309570.9635074907</v>
      </c>
      <c r="K469" s="24">
        <f>'[1]资源-钻石'!U469</f>
        <v>3362468.3613959923</v>
      </c>
      <c r="L469" s="24">
        <f>'[1]资源-钻石'!V469</f>
        <v>5580536.5090412479</v>
      </c>
      <c r="M469" s="24">
        <f>'[1]资源-钻石'!W469</f>
        <v>14948357.892063193</v>
      </c>
      <c r="N469" s="24">
        <f>'[1]资源-钻石'!X469</f>
        <v>36097816.52580265</v>
      </c>
    </row>
    <row r="470" spans="9:14" x14ac:dyDescent="0.15">
      <c r="I470" s="25">
        <v>467</v>
      </c>
      <c r="J470" s="24">
        <f>'[1]资源-钻石'!T470</f>
        <v>2313259.0735787139</v>
      </c>
      <c r="K470" s="24">
        <f>'[1]资源-钻石'!U470</f>
        <v>3368184.9785769349</v>
      </c>
      <c r="L470" s="24">
        <f>'[1]资源-钻石'!V470</f>
        <v>5589041.6484644935</v>
      </c>
      <c r="M470" s="24">
        <f>'[1]资源-钻石'!W470</f>
        <v>14971328.207020432</v>
      </c>
      <c r="N470" s="24">
        <f>'[1]资源-钻石'!X470</f>
        <v>36156293.732336737</v>
      </c>
    </row>
    <row r="471" spans="9:14" x14ac:dyDescent="0.15">
      <c r="I471" s="23">
        <v>468</v>
      </c>
      <c r="J471" s="24">
        <f>'[1]资源-钻石'!T471</f>
        <v>2316947.1836499372</v>
      </c>
      <c r="K471" s="24">
        <f>'[1]资源-钻石'!U471</f>
        <v>3373901.5957578775</v>
      </c>
      <c r="L471" s="24">
        <f>'[1]资源-钻石'!V471</f>
        <v>5597546.7878877381</v>
      </c>
      <c r="M471" s="24">
        <f>'[1]资源-钻石'!W471</f>
        <v>14994298.52197767</v>
      </c>
      <c r="N471" s="24">
        <f>'[1]资源-钻石'!X471</f>
        <v>36214770.938870832</v>
      </c>
    </row>
    <row r="472" spans="9:14" x14ac:dyDescent="0.15">
      <c r="I472" s="23">
        <v>469</v>
      </c>
      <c r="J472" s="24">
        <f>'[1]资源-钻石'!T472</f>
        <v>2320635.2937211604</v>
      </c>
      <c r="K472" s="24">
        <f>'[1]资源-钻石'!U472</f>
        <v>3379618.2129388195</v>
      </c>
      <c r="L472" s="24">
        <f>'[1]资源-钻石'!V472</f>
        <v>5606051.9273109827</v>
      </c>
      <c r="M472" s="24">
        <f>'[1]资源-钻石'!W472</f>
        <v>15017268.836934909</v>
      </c>
      <c r="N472" s="24">
        <f>'[1]资源-钻石'!X472</f>
        <v>36273248.14540492</v>
      </c>
    </row>
    <row r="473" spans="9:14" x14ac:dyDescent="0.15">
      <c r="I473" s="25">
        <v>470</v>
      </c>
      <c r="J473" s="24">
        <f>'[1]资源-钻石'!T473</f>
        <v>2324323.4037923831</v>
      </c>
      <c r="K473" s="24">
        <f>'[1]资源-钻石'!U473</f>
        <v>3385262.4410309549</v>
      </c>
      <c r="L473" s="24">
        <f>'[1]资源-钻石'!V473</f>
        <v>5614557.0667342274</v>
      </c>
      <c r="M473" s="24">
        <f>'[1]资源-钻石'!W473</f>
        <v>15040239.151892148</v>
      </c>
      <c r="N473" s="24">
        <f>'[1]资源-钻石'!X473</f>
        <v>36331725.351939008</v>
      </c>
    </row>
    <row r="474" spans="9:14" x14ac:dyDescent="0.15">
      <c r="I474" s="23">
        <v>471</v>
      </c>
      <c r="J474" s="24">
        <f>'[1]资源-钻石'!T474</f>
        <v>2328011.5138636064</v>
      </c>
      <c r="K474" s="24">
        <f>'[1]资源-钻石'!U474</f>
        <v>3390778.4531831234</v>
      </c>
      <c r="L474" s="24">
        <f>'[1]资源-钻石'!V474</f>
        <v>5623062.206157472</v>
      </c>
      <c r="M474" s="24">
        <f>'[1]资源-钻石'!W474</f>
        <v>15063209.466849387</v>
      </c>
      <c r="N474" s="24">
        <f>'[1]资源-钻石'!X474</f>
        <v>36390202.558473095</v>
      </c>
    </row>
    <row r="475" spans="9:14" x14ac:dyDescent="0.15">
      <c r="I475" s="23">
        <v>472</v>
      </c>
      <c r="J475" s="24">
        <f>'[1]资源-钻石'!T475</f>
        <v>2331699.6239348296</v>
      </c>
      <c r="K475" s="24">
        <f>'[1]资源-钻石'!U475</f>
        <v>3396294.4653352918</v>
      </c>
      <c r="L475" s="24">
        <f>'[1]资源-钻石'!V475</f>
        <v>5631567.3455807175</v>
      </c>
      <c r="M475" s="24">
        <f>'[1]资源-钻石'!W475</f>
        <v>15086179.781806624</v>
      </c>
      <c r="N475" s="24">
        <f>'[1]资源-钻石'!X475</f>
        <v>36444808.225819327</v>
      </c>
    </row>
    <row r="476" spans="9:14" x14ac:dyDescent="0.15">
      <c r="I476" s="23">
        <v>473</v>
      </c>
      <c r="J476" s="24">
        <f>'[1]资源-钻石'!T476</f>
        <v>2335387.7340060528</v>
      </c>
      <c r="K476" s="24">
        <f>'[1]资源-钻石'!U476</f>
        <v>3401810.4774874602</v>
      </c>
      <c r="L476" s="24">
        <f>'[1]资源-钻石'!V476</f>
        <v>5640072.4850039622</v>
      </c>
      <c r="M476" s="24">
        <f>'[1]资源-钻石'!W476</f>
        <v>15109150.096763862</v>
      </c>
      <c r="N476" s="24">
        <f>'[1]资源-钻石'!X476</f>
        <v>36498829.911731653</v>
      </c>
    </row>
    <row r="477" spans="9:14" x14ac:dyDescent="0.15">
      <c r="I477" s="23">
        <v>474</v>
      </c>
      <c r="J477" s="24">
        <f>'[1]资源-钻石'!T477</f>
        <v>2339075.8440772761</v>
      </c>
      <c r="K477" s="24">
        <f>'[1]资源-钻石'!U477</f>
        <v>3407326.4896396287</v>
      </c>
      <c r="L477" s="24">
        <f>'[1]资源-钻石'!V477</f>
        <v>5648577.6244272068</v>
      </c>
      <c r="M477" s="24">
        <f>'[1]资源-钻石'!W477</f>
        <v>15132120.411721101</v>
      </c>
      <c r="N477" s="24">
        <f>'[1]资源-钻石'!X477</f>
        <v>36552851.597643986</v>
      </c>
    </row>
    <row r="478" spans="9:14" x14ac:dyDescent="0.15">
      <c r="I478" s="23">
        <v>475</v>
      </c>
      <c r="J478" s="24">
        <f>'[1]资源-钻石'!T478</f>
        <v>2342763.9541484993</v>
      </c>
      <c r="K478" s="24">
        <f>'[1]资源-钻石'!U478</f>
        <v>3412842.5017917976</v>
      </c>
      <c r="L478" s="24">
        <f>'[1]资源-钻石'!V478</f>
        <v>5657082.7638504514</v>
      </c>
      <c r="M478" s="24">
        <f>'[1]资源-钻石'!W478</f>
        <v>15155090.72667834</v>
      </c>
      <c r="N478" s="24">
        <f>'[1]资源-钻石'!X478</f>
        <v>36606873.283556312</v>
      </c>
    </row>
    <row r="479" spans="9:14" x14ac:dyDescent="0.15">
      <c r="I479" s="25">
        <v>476</v>
      </c>
      <c r="J479" s="24">
        <f>'[1]资源-钻石'!T479</f>
        <v>2346452.0642197225</v>
      </c>
      <c r="K479" s="24">
        <f>'[1]资源-钻石'!U479</f>
        <v>3418358.513943966</v>
      </c>
      <c r="L479" s="24">
        <f>'[1]资源-钻石'!V479</f>
        <v>5665587.9032736961</v>
      </c>
      <c r="M479" s="24">
        <f>'[1]资源-钻石'!W479</f>
        <v>15178332.208605535</v>
      </c>
      <c r="N479" s="24">
        <f>'[1]资源-钻石'!X479</f>
        <v>36660894.969468646</v>
      </c>
    </row>
    <row r="480" spans="9:14" x14ac:dyDescent="0.15">
      <c r="I480" s="23">
        <v>477</v>
      </c>
      <c r="J480" s="24">
        <f>'[1]资源-钻石'!T480</f>
        <v>2350069.2637872119</v>
      </c>
      <c r="K480" s="24">
        <f>'[1]资源-钻石'!U480</f>
        <v>3423874.5260961344</v>
      </c>
      <c r="L480" s="24">
        <f>'[1]资源-钻石'!V480</f>
        <v>5674093.0426969407</v>
      </c>
      <c r="M480" s="24">
        <f>'[1]资源-钻石'!W480</f>
        <v>15201754.079180326</v>
      </c>
      <c r="N480" s="24">
        <f>'[1]资源-钻石'!X480</f>
        <v>36714916.655380972</v>
      </c>
    </row>
    <row r="481" spans="9:14" x14ac:dyDescent="0.15">
      <c r="I481" s="23">
        <v>478</v>
      </c>
      <c r="J481" s="24">
        <f>'[1]资源-钻石'!T481</f>
        <v>2353510.3921600822</v>
      </c>
      <c r="K481" s="24">
        <f>'[1]资源-钻石'!U481</f>
        <v>3429390.5382483029</v>
      </c>
      <c r="L481" s="24">
        <f>'[1]资源-钻石'!V481</f>
        <v>5682598.1821201863</v>
      </c>
      <c r="M481" s="24">
        <f>'[1]资源-钻石'!W481</f>
        <v>15225175.949755119</v>
      </c>
      <c r="N481" s="24">
        <f>'[1]资源-钻石'!X481</f>
        <v>36768938.341293305</v>
      </c>
    </row>
    <row r="482" spans="9:14" x14ac:dyDescent="0.15">
      <c r="I482" s="25">
        <v>479</v>
      </c>
      <c r="J482" s="24">
        <f>'[1]资源-钻石'!T482</f>
        <v>2356951.5205329526</v>
      </c>
      <c r="K482" s="24">
        <f>'[1]资源-钻石'!U482</f>
        <v>3434906.5504004713</v>
      </c>
      <c r="L482" s="24">
        <f>'[1]资源-钻石'!V482</f>
        <v>5691103.3215434309</v>
      </c>
      <c r="M482" s="24">
        <f>'[1]资源-钻石'!W482</f>
        <v>15248597.820329912</v>
      </c>
      <c r="N482" s="24">
        <f>'[1]资源-钻石'!X482</f>
        <v>36822960.027205631</v>
      </c>
    </row>
    <row r="483" spans="9:14" x14ac:dyDescent="0.15">
      <c r="I483" s="23">
        <v>480</v>
      </c>
      <c r="J483" s="24">
        <f>'[1]资源-钻石'!T483</f>
        <v>2360392.648905823</v>
      </c>
      <c r="K483" s="24">
        <f>'[1]资源-钻石'!U483</f>
        <v>3440422.5625526402</v>
      </c>
      <c r="L483" s="24">
        <f>'[1]资源-钻石'!V483</f>
        <v>5699608.4609666755</v>
      </c>
      <c r="M483" s="24">
        <f>'[1]资源-钻石'!W483</f>
        <v>15272019.690904705</v>
      </c>
      <c r="N483" s="24">
        <f>'[1]资源-钻石'!X483</f>
        <v>36876981.713117965</v>
      </c>
    </row>
    <row r="484" spans="9:14" x14ac:dyDescent="0.15">
      <c r="I484" s="23">
        <v>481</v>
      </c>
      <c r="J484" s="24">
        <f>'[1]资源-钻石'!T484</f>
        <v>2363833.7772786934</v>
      </c>
      <c r="K484" s="24">
        <f>'[1]资源-钻石'!U484</f>
        <v>3445938.5747048086</v>
      </c>
      <c r="L484" s="24">
        <f>'[1]资源-钻石'!V484</f>
        <v>5708113.6003899202</v>
      </c>
      <c r="M484" s="24">
        <f>'[1]资源-钻石'!W484</f>
        <v>15295441.561479496</v>
      </c>
      <c r="N484" s="24">
        <f>'[1]资源-钻石'!X484</f>
        <v>36931003.399030291</v>
      </c>
    </row>
    <row r="485" spans="9:14" x14ac:dyDescent="0.15">
      <c r="I485" s="23">
        <v>482</v>
      </c>
      <c r="J485" s="24">
        <f>'[1]资源-钻石'!T485</f>
        <v>2367274.9056515638</v>
      </c>
      <c r="K485" s="24">
        <f>'[1]资源-钻石'!U485</f>
        <v>3451454.5868569771</v>
      </c>
      <c r="L485" s="24">
        <f>'[1]资源-钻石'!V485</f>
        <v>5716618.7398131648</v>
      </c>
      <c r="M485" s="24">
        <f>'[1]资源-钻石'!W485</f>
        <v>15318863.432054289</v>
      </c>
      <c r="N485" s="24">
        <f>'[1]资源-钻石'!X485</f>
        <v>36985025.084942624</v>
      </c>
    </row>
    <row r="486" spans="9:14" x14ac:dyDescent="0.15">
      <c r="I486" s="23">
        <v>483</v>
      </c>
      <c r="J486" s="24">
        <f>'[1]资源-钻石'!T486</f>
        <v>2370716.0340244342</v>
      </c>
      <c r="K486" s="24">
        <f>'[1]资源-钻石'!U486</f>
        <v>3456970.5990091455</v>
      </c>
      <c r="L486" s="24">
        <f>'[1]资源-钻石'!V486</f>
        <v>5725123.8792364094</v>
      </c>
      <c r="M486" s="24">
        <f>'[1]资源-钻石'!W486</f>
        <v>15342285.302629082</v>
      </c>
      <c r="N486" s="24">
        <f>'[1]资源-钻石'!X486</f>
        <v>37039046.77085495</v>
      </c>
    </row>
    <row r="487" spans="9:14" x14ac:dyDescent="0.15">
      <c r="I487" s="23">
        <v>484</v>
      </c>
      <c r="J487" s="24">
        <f>'[1]资源-钻石'!T487</f>
        <v>2374157.1623973045</v>
      </c>
      <c r="K487" s="24">
        <f>'[1]资源-钻石'!U487</f>
        <v>3462486.6111613144</v>
      </c>
      <c r="L487" s="24">
        <f>'[1]资源-钻石'!V487</f>
        <v>5733629.018659655</v>
      </c>
      <c r="M487" s="24">
        <f>'[1]资源-钻石'!W487</f>
        <v>15365707.173203874</v>
      </c>
      <c r="N487" s="24">
        <f>'[1]资源-钻石'!X487</f>
        <v>37093068.456767283</v>
      </c>
    </row>
    <row r="488" spans="9:14" x14ac:dyDescent="0.15">
      <c r="I488" s="25">
        <v>485</v>
      </c>
      <c r="J488" s="24">
        <f>'[1]资源-钻石'!T488</f>
        <v>2377598.2907701749</v>
      </c>
      <c r="K488" s="24">
        <f>'[1]资源-钻石'!U488</f>
        <v>3468002.6233134829</v>
      </c>
      <c r="L488" s="24">
        <f>'[1]资源-钻石'!V488</f>
        <v>5742134.1580828996</v>
      </c>
      <c r="M488" s="24">
        <f>'[1]资源-钻石'!W488</f>
        <v>15389129.043778665</v>
      </c>
      <c r="N488" s="24">
        <f>'[1]资源-钻石'!X488</f>
        <v>37147090.142679609</v>
      </c>
    </row>
    <row r="489" spans="9:14" x14ac:dyDescent="0.15">
      <c r="I489" s="23">
        <v>486</v>
      </c>
      <c r="J489" s="24">
        <f>'[1]资源-钻石'!T489</f>
        <v>2381039.4191430453</v>
      </c>
      <c r="K489" s="24">
        <f>'[1]资源-钻石'!U489</f>
        <v>3473518.6354656513</v>
      </c>
      <c r="L489" s="24">
        <f>'[1]资源-钻石'!V489</f>
        <v>5750639.2975061443</v>
      </c>
      <c r="M489" s="24">
        <f>'[1]资源-钻石'!W489</f>
        <v>15412550.914353458</v>
      </c>
      <c r="N489" s="24">
        <f>'[1]资源-钻石'!X489</f>
        <v>37201111.828591943</v>
      </c>
    </row>
    <row r="490" spans="9:14" x14ac:dyDescent="0.15">
      <c r="I490" s="23">
        <v>487</v>
      </c>
      <c r="J490" s="24">
        <f>'[1]资源-钻石'!T490</f>
        <v>2384480.5475159157</v>
      </c>
      <c r="K490" s="24">
        <f>'[1]资源-钻石'!U490</f>
        <v>3479034.6476178197</v>
      </c>
      <c r="L490" s="24">
        <f>'[1]资源-钻石'!V490</f>
        <v>5759144.4369293889</v>
      </c>
      <c r="M490" s="24">
        <f>'[1]资源-钻石'!W490</f>
        <v>15435972.784928251</v>
      </c>
      <c r="N490" s="24">
        <f>'[1]资源-钻石'!X490</f>
        <v>37255133.514504269</v>
      </c>
    </row>
    <row r="491" spans="9:14" x14ac:dyDescent="0.15">
      <c r="I491" s="25">
        <v>488</v>
      </c>
      <c r="J491" s="24">
        <f>'[1]资源-钻石'!T491</f>
        <v>2387921.6758887861</v>
      </c>
      <c r="K491" s="24">
        <f>'[1]资源-钻石'!U491</f>
        <v>3484550.6597699882</v>
      </c>
      <c r="L491" s="24">
        <f>'[1]资源-钻石'!V491</f>
        <v>5767649.5763526335</v>
      </c>
      <c r="M491" s="24">
        <f>'[1]资源-钻石'!W491</f>
        <v>15459394.655503044</v>
      </c>
      <c r="N491" s="24">
        <f>'[1]资源-钻石'!X491</f>
        <v>37309155.200416595</v>
      </c>
    </row>
    <row r="492" spans="9:14" x14ac:dyDescent="0.15">
      <c r="I492" s="23">
        <v>489</v>
      </c>
      <c r="J492" s="24">
        <f>'[1]资源-钻石'!T492</f>
        <v>2391362.8042616565</v>
      </c>
      <c r="K492" s="24">
        <f>'[1]资源-钻石'!U492</f>
        <v>3490066.6719221571</v>
      </c>
      <c r="L492" s="24">
        <f>'[1]资源-钻石'!V492</f>
        <v>5776154.7157758782</v>
      </c>
      <c r="M492" s="24">
        <f>'[1]资源-钻石'!W492</f>
        <v>15482816.526077837</v>
      </c>
      <c r="N492" s="24">
        <f>'[1]资源-钻石'!X492</f>
        <v>37363176.886328928</v>
      </c>
    </row>
    <row r="493" spans="9:14" x14ac:dyDescent="0.15">
      <c r="I493" s="23">
        <v>490</v>
      </c>
      <c r="J493" s="24">
        <f>'[1]资源-钻石'!T493</f>
        <v>2394803.9326345269</v>
      </c>
      <c r="K493" s="24">
        <f>'[1]资源-钻石'!U493</f>
        <v>3495582.6840743255</v>
      </c>
      <c r="L493" s="24">
        <f>'[1]资源-钻石'!V493</f>
        <v>5784659.8551991237</v>
      </c>
      <c r="M493" s="24">
        <f>'[1]资源-钻石'!W493</f>
        <v>15506238.396652628</v>
      </c>
      <c r="N493" s="24">
        <f>'[1]资源-钻石'!X493</f>
        <v>37417198.572241254</v>
      </c>
    </row>
    <row r="494" spans="9:14" x14ac:dyDescent="0.15">
      <c r="I494" s="23">
        <v>491</v>
      </c>
      <c r="J494" s="24">
        <f>'[1]资源-钻石'!T494</f>
        <v>2398245.0610073968</v>
      </c>
      <c r="K494" s="24">
        <f>'[1]资源-钻石'!U494</f>
        <v>3501098.6962264939</v>
      </c>
      <c r="L494" s="24">
        <f>'[1]资源-钻石'!V494</f>
        <v>5793164.9946223684</v>
      </c>
      <c r="M494" s="24">
        <f>'[1]资源-钻石'!W494</f>
        <v>15529660.267227421</v>
      </c>
      <c r="N494" s="24">
        <f>'[1]资源-钻石'!X494</f>
        <v>37471220.258153588</v>
      </c>
    </row>
    <row r="495" spans="9:14" x14ac:dyDescent="0.15">
      <c r="I495" s="23">
        <v>492</v>
      </c>
      <c r="J495" s="24">
        <f>'[1]资源-钻石'!T495</f>
        <v>2401686.1893802672</v>
      </c>
      <c r="K495" s="24">
        <f>'[1]资源-钻石'!U495</f>
        <v>3506614.7083786624</v>
      </c>
      <c r="L495" s="24">
        <f>'[1]资源-钻石'!V495</f>
        <v>5801670.134045613</v>
      </c>
      <c r="M495" s="24">
        <f>'[1]资源-钻石'!W495</f>
        <v>15553082.137802213</v>
      </c>
      <c r="N495" s="24">
        <f>'[1]资源-钻石'!X495</f>
        <v>37525241.944065914</v>
      </c>
    </row>
    <row r="496" spans="9:14" x14ac:dyDescent="0.15">
      <c r="I496" s="23">
        <v>493</v>
      </c>
      <c r="J496" s="24">
        <f>'[1]资源-钻石'!T496</f>
        <v>2405127.3177531376</v>
      </c>
      <c r="K496" s="24">
        <f>'[1]资源-钻石'!U496</f>
        <v>3512130.7205308308</v>
      </c>
      <c r="L496" s="24">
        <f>'[1]资源-钻石'!V496</f>
        <v>5810175.2734688576</v>
      </c>
      <c r="M496" s="24">
        <f>'[1]资源-钻石'!W496</f>
        <v>15576504.008377006</v>
      </c>
      <c r="N496" s="24">
        <f>'[1]资源-钻石'!X496</f>
        <v>37579263.629978247</v>
      </c>
    </row>
    <row r="497" spans="9:14" x14ac:dyDescent="0.15">
      <c r="I497" s="25">
        <v>494</v>
      </c>
      <c r="J497" s="24">
        <f>'[1]资源-钻石'!T497</f>
        <v>2408568.4461260079</v>
      </c>
      <c r="K497" s="24">
        <f>'[1]资源-钻石'!U497</f>
        <v>3517646.7326829997</v>
      </c>
      <c r="L497" s="24">
        <f>'[1]资源-钻石'!V497</f>
        <v>5818680.4128921023</v>
      </c>
      <c r="M497" s="24">
        <f>'[1]资源-钻石'!W497</f>
        <v>15599925.878951797</v>
      </c>
      <c r="N497" s="24">
        <f>'[1]资源-钻石'!X497</f>
        <v>37633285.315890573</v>
      </c>
    </row>
    <row r="498" spans="9:14" x14ac:dyDescent="0.15">
      <c r="I498" s="23">
        <v>495</v>
      </c>
      <c r="J498" s="24">
        <f>'[1]资源-钻石'!T498</f>
        <v>2412009.5744988783</v>
      </c>
      <c r="K498" s="24">
        <f>'[1]资源-钻石'!U498</f>
        <v>3523162.7448351681</v>
      </c>
      <c r="L498" s="24">
        <f>'[1]资源-钻石'!V498</f>
        <v>5827185.5523153469</v>
      </c>
      <c r="M498" s="24">
        <f>'[1]资源-钻石'!W498</f>
        <v>15623347.74952659</v>
      </c>
      <c r="N498" s="24">
        <f>'[1]资源-钻石'!X498</f>
        <v>37687307.001802906</v>
      </c>
    </row>
    <row r="499" spans="9:14" x14ac:dyDescent="0.15">
      <c r="I499" s="23">
        <v>496</v>
      </c>
      <c r="J499" s="24">
        <f>'[1]资源-钻石'!T499</f>
        <v>2415450.7028717487</v>
      </c>
      <c r="K499" s="24">
        <f>'[1]资源-钻石'!U499</f>
        <v>3528678.7569873366</v>
      </c>
      <c r="L499" s="24">
        <f>'[1]资源-钻石'!V499</f>
        <v>5835668.9446732635</v>
      </c>
      <c r="M499" s="24">
        <f>'[1]资源-钻石'!W499</f>
        <v>15646769.620101383</v>
      </c>
      <c r="N499" s="24">
        <f>'[1]资源-钻石'!X499</f>
        <v>37741328.687715232</v>
      </c>
    </row>
    <row r="500" spans="9:14" x14ac:dyDescent="0.15">
      <c r="I500" s="25">
        <v>497</v>
      </c>
      <c r="J500" s="24">
        <f>'[1]资源-钻石'!T500</f>
        <v>2418891.8312446191</v>
      </c>
      <c r="K500" s="24">
        <f>'[1]资源-钻石'!U500</f>
        <v>3534194.769139505</v>
      </c>
      <c r="L500" s="24">
        <f>'[1]资源-钻石'!V500</f>
        <v>5843646.8798923073</v>
      </c>
      <c r="M500" s="24">
        <f>'[1]资源-钻石'!W500</f>
        <v>15670191.490676176</v>
      </c>
      <c r="N500" s="24">
        <f>'[1]资源-钻石'!X500</f>
        <v>37795350.373627566</v>
      </c>
    </row>
    <row r="501" spans="9:14" x14ac:dyDescent="0.15">
      <c r="I501" s="23">
        <v>498</v>
      </c>
      <c r="J501" s="24">
        <f>'[1]资源-钻石'!T501</f>
        <v>2422332.9596174895</v>
      </c>
      <c r="K501" s="24">
        <f>'[1]资源-钻石'!U501</f>
        <v>3539710.7812916734</v>
      </c>
      <c r="L501" s="24">
        <f>'[1]资源-钻石'!V501</f>
        <v>5851624.8151113512</v>
      </c>
      <c r="M501" s="24">
        <f>'[1]资源-钻石'!W501</f>
        <v>15693613.361250969</v>
      </c>
      <c r="N501" s="24">
        <f>'[1]资源-钻石'!X501</f>
        <v>37849372.059539892</v>
      </c>
    </row>
    <row r="502" spans="9:14" x14ac:dyDescent="0.15">
      <c r="I502" s="23">
        <v>499</v>
      </c>
      <c r="J502" s="24">
        <f>'[1]资源-钻石'!T502</f>
        <v>2425774.0879903599</v>
      </c>
      <c r="K502" s="24">
        <f>'[1]资源-钻石'!U502</f>
        <v>3545226.7934438423</v>
      </c>
      <c r="L502" s="24">
        <f>'[1]资源-钻石'!V502</f>
        <v>5859602.7503303941</v>
      </c>
      <c r="M502" s="24">
        <f>'[1]资源-钻石'!W502</f>
        <v>15717035.23182576</v>
      </c>
      <c r="N502" s="24">
        <f>'[1]资源-钻石'!X502</f>
        <v>37903393.745452225</v>
      </c>
    </row>
    <row r="503" spans="9:14" x14ac:dyDescent="0.15">
      <c r="I503" s="23">
        <v>500</v>
      </c>
      <c r="J503" s="24">
        <f>'[1]资源-钻石'!T503</f>
        <v>2429215.2163632303</v>
      </c>
      <c r="K503" s="24">
        <f>'[1]资源-钻石'!U503</f>
        <v>3550742.8055960108</v>
      </c>
      <c r="L503" s="24">
        <f>'[1]资源-钻石'!V503</f>
        <v>5867580.685549438</v>
      </c>
      <c r="M503" s="24">
        <f>'[1]资源-钻石'!W503</f>
        <v>15740457.102400552</v>
      </c>
      <c r="N503" s="24">
        <f>'[1]资源-钻石'!X503</f>
        <v>37957415.431364551</v>
      </c>
    </row>
  </sheetData>
  <mergeCells count="23">
    <mergeCell ref="AL139:AM140"/>
    <mergeCell ref="AO140:AS140"/>
    <mergeCell ref="AL184:AM185"/>
    <mergeCell ref="AO185:AS185"/>
    <mergeCell ref="AL4:AM5"/>
    <mergeCell ref="AO5:AS5"/>
    <mergeCell ref="AL49:AM50"/>
    <mergeCell ref="AO50:AS50"/>
    <mergeCell ref="AL94:AM95"/>
    <mergeCell ref="AO95:AS95"/>
    <mergeCell ref="CU4:CY4"/>
    <mergeCell ref="DC4:DG4"/>
    <mergeCell ref="AX5:BB5"/>
    <mergeCell ref="B2:G2"/>
    <mergeCell ref="I2:N2"/>
    <mergeCell ref="Q2:U2"/>
    <mergeCell ref="V2:Z2"/>
    <mergeCell ref="AD2:AH2"/>
    <mergeCell ref="BW4:CA4"/>
    <mergeCell ref="CE4:CI4"/>
    <mergeCell ref="CM4:CQ4"/>
    <mergeCell ref="BO4:BS4"/>
    <mergeCell ref="BF5:BG5"/>
  </mergeCells>
  <phoneticPr fontId="1" type="noConversion"/>
  <pageMargins left="0.7" right="0.7" top="0.75" bottom="0.75" header="0.3" footer="0.3"/>
  <pageSetup paperSize="9" orientation="portrait" horizontalDpi="360" verticalDpi="36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17EFC-1C51-4997-8D6D-102E7092AE42}">
  <dimension ref="A1:C6"/>
  <sheetViews>
    <sheetView workbookViewId="0">
      <selection activeCell="H12" sqref="H12"/>
    </sheetView>
  </sheetViews>
  <sheetFormatPr defaultRowHeight="11.25" x14ac:dyDescent="0.15"/>
  <cols>
    <col min="1" max="16384" width="9" style="17"/>
  </cols>
  <sheetData>
    <row r="1" spans="1:3" x14ac:dyDescent="0.15">
      <c r="A1" s="17" t="s">
        <v>184</v>
      </c>
    </row>
    <row r="2" spans="1:3" x14ac:dyDescent="0.15">
      <c r="A2" s="17" t="s">
        <v>185</v>
      </c>
    </row>
    <row r="3" spans="1:3" x14ac:dyDescent="0.15">
      <c r="A3" s="17" t="s">
        <v>198</v>
      </c>
    </row>
    <row r="4" spans="1:3" x14ac:dyDescent="0.15">
      <c r="A4" s="17" t="s">
        <v>199</v>
      </c>
    </row>
    <row r="5" spans="1:3" x14ac:dyDescent="0.15">
      <c r="B5" s="17" t="s">
        <v>200</v>
      </c>
      <c r="C5" s="17">
        <v>60</v>
      </c>
    </row>
    <row r="6" spans="1:3" x14ac:dyDescent="0.15">
      <c r="B6" s="17" t="s">
        <v>201</v>
      </c>
      <c r="C6" s="17">
        <v>40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94CFB-9ED5-49B8-9D6F-6809A51167CB}">
  <dimension ref="A1:BA80"/>
  <sheetViews>
    <sheetView tabSelected="1" topLeftCell="AK22" workbookViewId="0">
      <selection activeCell="BA3" sqref="BA3"/>
    </sheetView>
  </sheetViews>
  <sheetFormatPr defaultRowHeight="11.25" x14ac:dyDescent="0.15"/>
  <cols>
    <col min="1" max="1" width="10.5" style="44" bestFit="1" customWidth="1"/>
    <col min="2" max="3" width="9" style="44"/>
    <col min="4" max="4" width="13.875" style="44" customWidth="1"/>
    <col min="5" max="11" width="9" style="44"/>
    <col min="12" max="12" width="5" style="48" customWidth="1"/>
    <col min="13" max="14" width="9" style="44"/>
    <col min="15" max="15" width="10.5" style="44" bestFit="1" customWidth="1"/>
    <col min="16" max="22" width="9" style="44"/>
    <col min="23" max="23" width="5" style="48" customWidth="1"/>
    <col min="24" max="25" width="9" style="44"/>
    <col min="26" max="26" width="10.5" style="44" bestFit="1" customWidth="1"/>
    <col min="27" max="33" width="9" style="44"/>
    <col min="34" max="34" width="5" style="48" customWidth="1"/>
    <col min="35" max="36" width="9" style="47"/>
    <col min="37" max="37" width="10.5" style="47" bestFit="1" customWidth="1"/>
    <col min="38" max="44" width="9" style="47"/>
    <col min="45" max="45" width="5" style="48" customWidth="1"/>
    <col min="46" max="47" width="9" style="47"/>
    <col min="48" max="48" width="10.5" style="47" bestFit="1" customWidth="1"/>
    <col min="49" max="53" width="9" style="47"/>
    <col min="54" max="16384" width="9" style="44"/>
  </cols>
  <sheetData>
    <row r="1" spans="1:53" x14ac:dyDescent="0.15">
      <c r="A1" s="54"/>
      <c r="B1" s="54"/>
      <c r="C1" s="54"/>
      <c r="M1" s="44" t="s">
        <v>187</v>
      </c>
      <c r="O1" s="44" t="s">
        <v>196</v>
      </c>
      <c r="P1" s="55">
        <v>0.1</v>
      </c>
      <c r="Q1" s="55">
        <v>0.2</v>
      </c>
      <c r="R1" s="55">
        <v>0.3</v>
      </c>
      <c r="S1" s="55">
        <v>0.4</v>
      </c>
      <c r="T1" s="55">
        <v>0.5</v>
      </c>
      <c r="X1" s="44" t="s">
        <v>197</v>
      </c>
      <c r="Z1" s="44" t="s">
        <v>196</v>
      </c>
      <c r="AA1" s="55">
        <v>0.1</v>
      </c>
      <c r="AB1" s="55">
        <v>0.2</v>
      </c>
      <c r="AC1" s="55">
        <v>0.3</v>
      </c>
      <c r="AD1" s="55">
        <v>0.4</v>
      </c>
      <c r="AE1" s="55">
        <v>0.5</v>
      </c>
      <c r="AI1" s="47" t="s">
        <v>209</v>
      </c>
      <c r="AK1" s="47" t="s">
        <v>196</v>
      </c>
      <c r="AL1" s="55">
        <v>0.05</v>
      </c>
      <c r="AM1" s="55">
        <v>0.15</v>
      </c>
      <c r="AN1" s="55">
        <v>0.25</v>
      </c>
      <c r="AO1" s="55">
        <v>0.375</v>
      </c>
      <c r="AP1" s="55">
        <v>0.5</v>
      </c>
      <c r="AT1" s="47" t="s">
        <v>210</v>
      </c>
      <c r="AV1" s="47" t="s">
        <v>196</v>
      </c>
      <c r="AW1" s="55">
        <v>0.05</v>
      </c>
      <c r="AX1" s="55">
        <v>0.15</v>
      </c>
      <c r="AY1" s="55">
        <v>0.25</v>
      </c>
      <c r="AZ1" s="55">
        <v>0.375</v>
      </c>
      <c r="BA1" s="55">
        <v>0.5</v>
      </c>
    </row>
    <row r="2" spans="1:53" x14ac:dyDescent="0.15">
      <c r="O2" s="44" t="s">
        <v>220</v>
      </c>
      <c r="P2" s="55">
        <v>0.05</v>
      </c>
      <c r="Q2" s="55">
        <v>0.05</v>
      </c>
      <c r="R2" s="55">
        <v>0.05</v>
      </c>
      <c r="S2" s="55">
        <v>0.05</v>
      </c>
      <c r="T2" s="55">
        <v>0.05</v>
      </c>
      <c r="Z2" s="57" t="s">
        <v>220</v>
      </c>
      <c r="AA2" s="55">
        <v>0.05</v>
      </c>
      <c r="AB2" s="55">
        <v>0.05</v>
      </c>
      <c r="AC2" s="55">
        <v>0.05</v>
      </c>
      <c r="AD2" s="55">
        <v>0.05</v>
      </c>
      <c r="AE2" s="55">
        <v>0.05</v>
      </c>
      <c r="AK2" s="57" t="s">
        <v>220</v>
      </c>
      <c r="AL2" s="55">
        <v>0.05</v>
      </c>
      <c r="AM2" s="55">
        <v>0.05</v>
      </c>
      <c r="AN2" s="55">
        <v>0.05</v>
      </c>
      <c r="AO2" s="55">
        <v>0.05</v>
      </c>
      <c r="AP2" s="55">
        <v>0.05</v>
      </c>
      <c r="AV2" s="57" t="s">
        <v>220</v>
      </c>
      <c r="AW2" s="55">
        <v>0.05</v>
      </c>
      <c r="AX2" s="55">
        <v>0.05</v>
      </c>
      <c r="AY2" s="55">
        <v>0.1</v>
      </c>
      <c r="AZ2" s="55">
        <v>0.15</v>
      </c>
      <c r="BA2" s="55">
        <v>0.2</v>
      </c>
    </row>
    <row r="4" spans="1:53" x14ac:dyDescent="0.15">
      <c r="AK4" s="47" t="s">
        <v>221</v>
      </c>
      <c r="AL4" s="47">
        <v>0.4</v>
      </c>
      <c r="AV4" s="58" t="s">
        <v>221</v>
      </c>
      <c r="AW4" s="58">
        <v>0.4</v>
      </c>
    </row>
    <row r="6" spans="1:53" x14ac:dyDescent="0.15">
      <c r="E6" s="65" t="s">
        <v>191</v>
      </c>
      <c r="F6" s="65"/>
      <c r="G6" s="65"/>
      <c r="H6" s="65"/>
      <c r="I6" s="65"/>
      <c r="P6" s="65" t="s">
        <v>193</v>
      </c>
      <c r="Q6" s="65"/>
      <c r="R6" s="65"/>
      <c r="S6" s="65"/>
      <c r="T6" s="65"/>
      <c r="AA6" s="65" t="s">
        <v>205</v>
      </c>
      <c r="AB6" s="65"/>
      <c r="AC6" s="65"/>
      <c r="AD6" s="65"/>
      <c r="AE6" s="65"/>
      <c r="AL6" s="65" t="s">
        <v>211</v>
      </c>
      <c r="AM6" s="65"/>
      <c r="AN6" s="65"/>
      <c r="AO6" s="65"/>
      <c r="AP6" s="65"/>
      <c r="AW6" s="65" t="s">
        <v>219</v>
      </c>
      <c r="AX6" s="65"/>
      <c r="AY6" s="65"/>
      <c r="AZ6" s="65"/>
      <c r="BA6" s="65"/>
    </row>
    <row r="7" spans="1:53" x14ac:dyDescent="0.15">
      <c r="D7" s="44" t="s">
        <v>186</v>
      </c>
      <c r="E7" s="44">
        <v>0</v>
      </c>
      <c r="F7" s="44">
        <v>5</v>
      </c>
      <c r="G7" s="44">
        <v>10</v>
      </c>
      <c r="H7" s="44">
        <v>15</v>
      </c>
      <c r="I7" s="44">
        <v>20</v>
      </c>
      <c r="O7" s="44" t="s">
        <v>186</v>
      </c>
      <c r="P7" s="44">
        <v>0</v>
      </c>
      <c r="Q7" s="44">
        <v>5</v>
      </c>
      <c r="R7" s="44">
        <v>10</v>
      </c>
      <c r="S7" s="44">
        <v>15</v>
      </c>
      <c r="T7" s="44">
        <v>20</v>
      </c>
      <c r="Z7" s="44" t="s">
        <v>186</v>
      </c>
      <c r="AA7" s="44">
        <v>0</v>
      </c>
      <c r="AB7" s="44">
        <v>5</v>
      </c>
      <c r="AC7" s="44">
        <v>10</v>
      </c>
      <c r="AD7" s="44">
        <v>15</v>
      </c>
      <c r="AE7" s="44">
        <v>20</v>
      </c>
      <c r="AK7" s="47" t="s">
        <v>186</v>
      </c>
      <c r="AL7" s="47">
        <v>0</v>
      </c>
      <c r="AM7" s="47">
        <v>5</v>
      </c>
      <c r="AN7" s="47">
        <v>10</v>
      </c>
      <c r="AO7" s="47">
        <v>15</v>
      </c>
      <c r="AP7" s="47">
        <v>20</v>
      </c>
      <c r="AV7" s="47" t="s">
        <v>186</v>
      </c>
      <c r="AW7" s="47">
        <v>0</v>
      </c>
      <c r="AX7" s="47">
        <v>5</v>
      </c>
      <c r="AY7" s="47">
        <v>10</v>
      </c>
      <c r="AZ7" s="47">
        <v>15</v>
      </c>
      <c r="BA7" s="47">
        <v>20</v>
      </c>
    </row>
    <row r="8" spans="1:53" x14ac:dyDescent="0.15">
      <c r="D8" s="44">
        <v>20</v>
      </c>
      <c r="E8" s="50">
        <f>求节点(节奏总纲!$AL$4:$AL$83,节奏总纲!$AM$4:$AM$83,$D8-E$7)</f>
        <v>5.25</v>
      </c>
      <c r="F8" s="50">
        <f>求节点(节奏总纲!$AL$4:$AL$83,节奏总纲!$AM$4:$AM$83,$D8-F$7)</f>
        <v>2.1</v>
      </c>
      <c r="G8" s="50">
        <f>求节点(节奏总纲!$AL$4:$AL$83,节奏总纲!$AM$4:$AM$83,$D8-G$7)</f>
        <v>0.75</v>
      </c>
      <c r="H8" s="50">
        <f>求节点(节奏总纲!$AL$4:$AL$83,节奏总纲!$AM$4:$AM$83,$D8-H$7)</f>
        <v>0.15</v>
      </c>
      <c r="I8" s="50">
        <f>求节点(节奏总纲!$AL$4:$AL$83,节奏总纲!$AM$4:$AM$83,$D8-I$7)</f>
        <v>0</v>
      </c>
      <c r="O8" s="44">
        <v>20</v>
      </c>
      <c r="P8" s="44">
        <v>0</v>
      </c>
      <c r="Q8" s="44">
        <f>求节点(其他调用!$BN$6:$BN$165,其他调用!$BO$6:$BO$165,E28)-求节点(其他调用!$BN$6:$BN$165,其他调用!$BO$6:$BO$165,F68)</f>
        <v>3366282.8463773802</v>
      </c>
      <c r="R8" s="44">
        <f>求节点(其他调用!$BN$6:$BN$165,其他调用!$BO$6:$BO$165,F28)-求节点(其他调用!$BN$6:$BN$165,其他调用!$BO$6:$BO$165,G68)</f>
        <v>2029928.1394698583</v>
      </c>
      <c r="S8" s="44">
        <f>求节点(其他调用!$BN$6:$BN$165,其他调用!$BO$6:$BO$165,G28)-求节点(其他调用!$BN$6:$BN$165,其他调用!$BO$6:$BO$165,H68)</f>
        <v>989178.58220829535</v>
      </c>
      <c r="T8" s="44">
        <f>求节点(其他调用!$BN$6:$BN$165,其他调用!$BO$6:$BO$165,H28)-求节点(其他调用!$BN$6:$BN$165,其他调用!$BO$6:$BO$165,I68)</f>
        <v>154249.28403136859</v>
      </c>
      <c r="Z8" s="44">
        <v>20</v>
      </c>
      <c r="AA8" s="44">
        <v>0</v>
      </c>
      <c r="AB8" s="44">
        <f>求节点(其他调用!$CD$6:$CD$165,其他调用!$CE$6:$CE$165,E28)-求节点(其他调用!$CD$6:$CD$165,其他调用!$CE$6:$CE$165,F68)</f>
        <v>0</v>
      </c>
      <c r="AC8" s="44">
        <f>求节点(其他调用!$CD$6:$CD$165,其他调用!$CE$6:$CE$165,F28)-求节点(其他调用!$CD$6:$CD$165,其他调用!$CE$6:$CE$165,G68)</f>
        <v>0</v>
      </c>
      <c r="AD8" s="44">
        <f>求节点(其他调用!$CD$6:$CD$165,其他调用!$CE$6:$CE$165,G28)-求节点(其他调用!$CD$6:$CD$165,其他调用!$CE$6:$CE$165,H68)</f>
        <v>0</v>
      </c>
      <c r="AE8" s="44">
        <f>求节点(其他调用!$CD$6:$CD$165,其他调用!$CE$6:$CE$165,H28)-求节点(其他调用!$CD$6:$CD$165,其他调用!$CE$6:$CE$165,I68)</f>
        <v>0</v>
      </c>
      <c r="AK8" s="47">
        <v>20</v>
      </c>
      <c r="AL8" s="47">
        <v>0</v>
      </c>
      <c r="AM8" s="47">
        <f>求节点(其他调用!$CT$6:$CT$165,其他调用!$CU$6:$CU$165,E28)-求节点(其他调用!$CT$6:$CT$165,其他调用!$CU$6:$CU$165,F68)</f>
        <v>133039.60567937675</v>
      </c>
      <c r="AN8" s="47">
        <f>求节点(其他调用!$CT$6:$CT$165,其他调用!$CU$6:$CU$165,F28)-求节点(其他调用!$CT$6:$CT$165,其他调用!$CU$6:$CU$165,G68)</f>
        <v>96459.945560886408</v>
      </c>
      <c r="AO8" s="47">
        <f>求节点(其他调用!$CT$6:$CT$165,其他调用!$CU$6:$CU$165,G28)-求节点(其他调用!$CT$6:$CT$165,其他调用!$CU$6:$CU$165,H68)</f>
        <v>129375.28100468649</v>
      </c>
      <c r="AP8" s="47">
        <f>求节点(其他调用!$CT$6:$CT$165,其他调用!$CU$6:$CU$165,H28)-求节点(其他调用!$CT$6:$CT$165,其他调用!$CU$6:$CU$165,I68)</f>
        <v>8883.5097714588519</v>
      </c>
      <c r="AV8" s="47">
        <v>20</v>
      </c>
      <c r="AW8" s="47">
        <v>0</v>
      </c>
      <c r="AX8" s="47">
        <f>求节点(其他调用!$DB$6:$DB$165,其他调用!$DC$6:$DC$165,E28)-求节点(其他调用!$DB$6:$DB$165,其他调用!$DC$6:$DC$165,F68)</f>
        <v>37420.021159585565</v>
      </c>
      <c r="AY8" s="47">
        <f>求节点(其他调用!$DB$6:$DB$165,其他调用!$DC$6:$DC$165,F28)-求节点(其他调用!$DB$6:$DB$165,其他调用!$DC$6:$DC$165,G68)</f>
        <v>17959.356012509437</v>
      </c>
      <c r="AZ8" s="47">
        <f>求节点(其他调用!$DB$6:$DB$165,其他调用!$DC$6:$DC$165,G28)-求节点(其他调用!$DB$6:$DB$165,其他调用!$DC$6:$DC$165,H68)</f>
        <v>8590.6528990022452</v>
      </c>
      <c r="BA8" s="47">
        <f>求节点(其他调用!$DB$6:$DB$165,其他调用!$DC$6:$DC$165,H28)-求节点(其他调用!$DB$6:$DB$165,其他调用!$DC$6:$DC$165,I68)</f>
        <v>3574.0020735168173</v>
      </c>
    </row>
    <row r="9" spans="1:53" x14ac:dyDescent="0.15">
      <c r="D9" s="44">
        <v>25</v>
      </c>
      <c r="E9" s="50">
        <f>求节点(节奏总纲!$AL$4:$AL$83,节奏总纲!$AM$4:$AM$83,$D9-E$7)</f>
        <v>12.4</v>
      </c>
      <c r="F9" s="50">
        <f>求节点(节奏总纲!$AL$4:$AL$83,节奏总纲!$AM$4:$AM$83,$D9-F$7)</f>
        <v>5.25</v>
      </c>
      <c r="G9" s="50">
        <f>求节点(节奏总纲!$AL$4:$AL$83,节奏总纲!$AM$4:$AM$83,$D9-G$7)</f>
        <v>2.1</v>
      </c>
      <c r="H9" s="50">
        <f>求节点(节奏总纲!$AL$4:$AL$83,节奏总纲!$AM$4:$AM$83,$D9-H$7)</f>
        <v>0.75</v>
      </c>
      <c r="I9" s="50">
        <f>求节点(节奏总纲!$AL$4:$AL$83,节奏总纲!$AM$4:$AM$83,$D9-I$7)</f>
        <v>0.15</v>
      </c>
      <c r="O9" s="44">
        <v>25</v>
      </c>
      <c r="P9" s="44">
        <v>0</v>
      </c>
      <c r="Q9" s="44">
        <f>求节点(其他调用!$BN$6:$BN$165,其他调用!$BO$6:$BO$165,E29)-求节点(其他调用!$BN$6:$BN$165,其他调用!$BO$6:$BO$165,F69)</f>
        <v>12413066.610391095</v>
      </c>
      <c r="R9" s="44">
        <f>求节点(其他调用!$BN$6:$BN$165,其他调用!$BO$6:$BO$165,F29)-求节点(其他调用!$BN$6:$BN$165,其他调用!$BO$6:$BO$165,G69)</f>
        <v>6598851.9745633826</v>
      </c>
      <c r="S9" s="44">
        <f>求节点(其他调用!$BN$6:$BN$165,其他调用!$BO$6:$BO$165,G29)-求节点(其他调用!$BN$6:$BN$165,其他调用!$BO$6:$BO$165,H69)</f>
        <v>3669114.3838539599</v>
      </c>
      <c r="T9" s="44">
        <f>求节点(其他调用!$BN$6:$BN$165,其他调用!$BO$6:$BO$165,H29)-求节点(其他调用!$BN$6:$BN$165,其他调用!$BO$6:$BO$165,I69)</f>
        <v>1439053.7358450328</v>
      </c>
      <c r="Z9" s="44">
        <v>25</v>
      </c>
      <c r="AA9" s="44">
        <v>0</v>
      </c>
      <c r="AB9" s="44">
        <f>求节点(其他调用!$CD$6:$CD$165,其他调用!$CE$6:$CE$165,E29)-求节点(其他调用!$CD$6:$CD$165,其他调用!$CE$6:$CE$165,F69)</f>
        <v>3038.7831341481101</v>
      </c>
      <c r="AC9" s="44">
        <f>求节点(其他调用!$CD$6:$CD$165,其他调用!$CE$6:$CE$165,F29)-求节点(其他调用!$CD$6:$CD$165,其他调用!$CE$6:$CE$165,G69)</f>
        <v>0</v>
      </c>
      <c r="AD9" s="44">
        <f>求节点(其他调用!$CD$6:$CD$165,其他调用!$CE$6:$CE$165,G29)-求节点(其他调用!$CD$6:$CD$165,其他调用!$CE$6:$CE$165,H69)</f>
        <v>0</v>
      </c>
      <c r="AE9" s="44">
        <f>求节点(其他调用!$CD$6:$CD$165,其他调用!$CE$6:$CE$165,H29)-求节点(其他调用!$CD$6:$CD$165,其他调用!$CE$6:$CE$165,I69)</f>
        <v>0</v>
      </c>
      <c r="AK9" s="47">
        <v>25</v>
      </c>
      <c r="AL9" s="47">
        <v>0</v>
      </c>
      <c r="AM9" s="47">
        <f>求节点(其他调用!$CT$6:$CT$165,其他调用!$CU$6:$CU$165,E29)-求节点(其他调用!$CT$6:$CT$165,其他调用!$CU$6:$CU$165,F69)</f>
        <v>340369.58164026216</v>
      </c>
      <c r="AN9" s="47">
        <f>求节点(其他调用!$CT$6:$CT$165,其他调用!$CU$6:$CU$165,F29)-求节点(其他调用!$CT$6:$CT$165,其他调用!$CU$6:$CU$165,G69)</f>
        <v>264985.78829103406</v>
      </c>
      <c r="AO9" s="47">
        <f>求节点(其他调用!$CT$6:$CT$165,其他调用!$CU$6:$CU$165,G29)-求节点(其他调用!$CT$6:$CT$165,其他调用!$CU$6:$CU$165,H69)</f>
        <v>188402.39677608164</v>
      </c>
      <c r="AP9" s="47">
        <f>求节点(其他调用!$CT$6:$CT$165,其他调用!$CU$6:$CU$165,H29)-求节点(其他调用!$CT$6:$CT$165,其他调用!$CU$6:$CU$165,I69)</f>
        <v>182372.14510227641</v>
      </c>
      <c r="AV9" s="47">
        <v>25</v>
      </c>
      <c r="AW9" s="47">
        <v>0</v>
      </c>
      <c r="AX9" s="47">
        <f>求节点(其他调用!$DB$6:$DB$165,其他调用!$DC$6:$DC$165,E29)-求节点(其他调用!$DB$6:$DB$165,其他调用!$DC$6:$DC$165,F69)</f>
        <v>84279.831748023396</v>
      </c>
      <c r="AY9" s="47">
        <f>求节点(其他调用!$DB$6:$DB$165,其他调用!$DC$6:$DC$165,F29)-求节点(其他调用!$DB$6:$DB$165,其他调用!$DC$6:$DC$165,G69)</f>
        <v>71636.797324377636</v>
      </c>
      <c r="AZ9" s="47">
        <f>求节点(其他调用!$DB$6:$DB$165,其他调用!$DC$6:$DC$165,G29)-求节点(其他调用!$DB$6:$DB$165,其他调用!$DC$6:$DC$165,H69)</f>
        <v>36011.289276557727</v>
      </c>
      <c r="BA9" s="47">
        <f>求节点(其他调用!$DB$6:$DB$165,其他调用!$DC$6:$DC$165,H29)-求节点(其他调用!$DB$6:$DB$165,其他调用!$DC$6:$DC$165,I69)</f>
        <v>13252.590264716007</v>
      </c>
    </row>
    <row r="10" spans="1:53" x14ac:dyDescent="0.15">
      <c r="D10" s="44">
        <v>30</v>
      </c>
      <c r="E10" s="50">
        <f>求节点(节奏总纲!$AL$4:$AL$83,节奏总纲!$AM$4:$AM$83,$D10-E$7)</f>
        <v>28.35</v>
      </c>
      <c r="F10" s="50">
        <f>求节点(节奏总纲!$AL$4:$AL$83,节奏总纲!$AM$4:$AM$83,$D10-F$7)</f>
        <v>12.4</v>
      </c>
      <c r="G10" s="50">
        <f>求节点(节奏总纲!$AL$4:$AL$83,节奏总纲!$AM$4:$AM$83,$D10-G$7)</f>
        <v>5.25</v>
      </c>
      <c r="H10" s="50">
        <f>求节点(节奏总纲!$AL$4:$AL$83,节奏总纲!$AM$4:$AM$83,$D10-H$7)</f>
        <v>2.1</v>
      </c>
      <c r="I10" s="50">
        <f>求节点(节奏总纲!$AL$4:$AL$83,节奏总纲!$AM$4:$AM$83,$D10-I$7)</f>
        <v>0.75</v>
      </c>
      <c r="O10" s="44">
        <v>30</v>
      </c>
      <c r="P10" s="44">
        <v>0</v>
      </c>
      <c r="Q10" s="44">
        <f>求节点(其他调用!$BN$6:$BN$165,其他调用!$BO$6:$BO$165,E30)-求节点(其他调用!$BN$6:$BN$165,其他调用!$BO$6:$BO$165,F70)</f>
        <v>42787070.646086633</v>
      </c>
      <c r="R10" s="44">
        <f>求节点(其他调用!$BN$6:$BN$165,其他调用!$BO$6:$BO$165,F30)-求节点(其他调用!$BN$6:$BN$165,其他调用!$BO$6:$BO$165,G70)</f>
        <v>24502357.920896903</v>
      </c>
      <c r="S10" s="44">
        <f>求节点(其他调用!$BN$6:$BN$165,其他调用!$BO$6:$BO$165,G30)-求节点(其他调用!$BN$6:$BN$165,其他调用!$BO$6:$BO$165,H70)</f>
        <v>12787164.21594822</v>
      </c>
      <c r="T10" s="44">
        <f>求节点(其他调用!$BN$6:$BN$165,其他调用!$BO$6:$BO$165,H30)-求节点(其他调用!$BN$6:$BN$165,其他调用!$BO$6:$BO$165,I70)</f>
        <v>5260448.933336257</v>
      </c>
      <c r="Z10" s="44">
        <v>30</v>
      </c>
      <c r="AA10" s="44">
        <v>0</v>
      </c>
      <c r="AB10" s="44">
        <f>求节点(其他调用!$CD$6:$CD$165,其他调用!$CE$6:$CE$165,E30)-求节点(其他调用!$CD$6:$CD$165,其他调用!$CE$6:$CE$165,F70)</f>
        <v>1404430.4505542628</v>
      </c>
      <c r="AC10" s="44">
        <f>求节点(其他调用!$CD$6:$CD$165,其他调用!$CE$6:$CE$165,F30)-求节点(其他调用!$CD$6:$CD$165,其他调用!$CE$6:$CE$165,G70)</f>
        <v>3038.7831341481101</v>
      </c>
      <c r="AD10" s="44">
        <f>求节点(其他调用!$CD$6:$CD$165,其他调用!$CE$6:$CE$165,G30)-求节点(其他调用!$CD$6:$CD$165,其他调用!$CE$6:$CE$165,H70)</f>
        <v>0</v>
      </c>
      <c r="AE10" s="44">
        <f>求节点(其他调用!$CD$6:$CD$165,其他调用!$CE$6:$CE$165,H30)-求节点(其他调用!$CD$6:$CD$165,其他调用!$CE$6:$CE$165,I70)</f>
        <v>0</v>
      </c>
      <c r="AK10" s="47">
        <v>30</v>
      </c>
      <c r="AL10" s="47">
        <v>0</v>
      </c>
      <c r="AM10" s="47">
        <f>求节点(其他调用!$CT$6:$CT$165,其他调用!$CU$6:$CU$165,E30)-求节点(其他调用!$CT$6:$CT$165,其他调用!$CU$6:$CU$165,F70)</f>
        <v>842480.87971990928</v>
      </c>
      <c r="AN10" s="47">
        <f>求节点(其他调用!$CT$6:$CT$165,其他调用!$CU$6:$CU$165,F30)-求节点(其他调用!$CT$6:$CT$165,其他调用!$CU$6:$CU$165,G70)</f>
        <v>677390.83871656097</v>
      </c>
      <c r="AO10" s="47">
        <f>求节点(其他调用!$CT$6:$CT$165,其他调用!$CU$6:$CU$165,G30)-求节点(其他调用!$CT$6:$CT$165,其他调用!$CU$6:$CU$165,H70)</f>
        <v>524454.01227066386</v>
      </c>
      <c r="AP10" s="47">
        <f>求节点(其他调用!$CT$6:$CT$165,其他调用!$CU$6:$CU$165,H30)-求节点(其他调用!$CT$6:$CT$165,其他调用!$CU$6:$CU$165,I70)</f>
        <v>280535.59782549378</v>
      </c>
      <c r="AV10" s="47">
        <v>30</v>
      </c>
      <c r="AW10" s="47">
        <v>0</v>
      </c>
      <c r="AX10" s="47">
        <f>求节点(其他调用!$DB$6:$DB$165,其他调用!$DC$6:$DC$165,E30)-求节点(其他调用!$DB$6:$DB$165,其他调用!$DC$6:$DC$165,F70)</f>
        <v>276600.89280234324</v>
      </c>
      <c r="AY10" s="47">
        <f>求节点(其他调用!$DB$6:$DB$165,其他调用!$DC$6:$DC$165,F30)-求节点(其他调用!$DB$6:$DB$165,其他调用!$DC$6:$DC$165,G70)</f>
        <v>161950.42489109072</v>
      </c>
      <c r="AZ10" s="47">
        <f>求节点(其他调用!$DB$6:$DB$165,其他调用!$DC$6:$DC$165,G30)-求节点(其他调用!$DB$6:$DB$165,其他调用!$DC$6:$DC$165,H70)</f>
        <v>147259.3704395488</v>
      </c>
      <c r="BA10" s="47">
        <f>求节点(其他调用!$DB$6:$DB$165,其他调用!$DC$6:$DC$165,H30)-求节点(其他调用!$DB$6:$DB$165,其他调用!$DC$6:$DC$165,I70)</f>
        <v>50440.122260438715</v>
      </c>
    </row>
    <row r="11" spans="1:53" x14ac:dyDescent="0.15">
      <c r="D11" s="44">
        <v>35</v>
      </c>
      <c r="E11" s="50">
        <f>求节点(节奏总纲!$AL$4:$AL$83,节奏总纲!$AM$4:$AM$83,$D11-E$7)</f>
        <v>63.5</v>
      </c>
      <c r="F11" s="50">
        <f>求节点(节奏总纲!$AL$4:$AL$83,节奏总纲!$AM$4:$AM$83,$D11-F$7)</f>
        <v>28.35</v>
      </c>
      <c r="G11" s="50">
        <f>求节点(节奏总纲!$AL$4:$AL$83,节奏总纲!$AM$4:$AM$83,$D11-G$7)</f>
        <v>12.4</v>
      </c>
      <c r="H11" s="50">
        <f>求节点(节奏总纲!$AL$4:$AL$83,节奏总纲!$AM$4:$AM$83,$D11-H$7)</f>
        <v>5.25</v>
      </c>
      <c r="I11" s="50">
        <f>求节点(节奏总纲!$AL$4:$AL$83,节奏总纲!$AM$4:$AM$83,$D11-I$7)</f>
        <v>2.1</v>
      </c>
      <c r="O11" s="44">
        <v>35</v>
      </c>
      <c r="P11" s="44">
        <v>0</v>
      </c>
      <c r="Q11" s="44">
        <f>求节点(其他调用!$BN$6:$BN$165,其他调用!$BO$6:$BO$165,E31)-求节点(其他调用!$BN$6:$BN$165,其他调用!$BO$6:$BO$165,F71)</f>
        <v>132774385.08695006</v>
      </c>
      <c r="R11" s="44">
        <f>求节点(其他调用!$BN$6:$BN$165,其他调用!$BO$6:$BO$165,F31)-求节点(其他调用!$BN$6:$BN$165,其他调用!$BO$6:$BO$165,G71)</f>
        <v>84151723.472848654</v>
      </c>
      <c r="S11" s="44">
        <f>求节点(其他调用!$BN$6:$BN$165,其他调用!$BO$6:$BO$165,G31)-求节点(其他调用!$BN$6:$BN$165,其他调用!$BO$6:$BO$165,H71)</f>
        <v>47641002.295459285</v>
      </c>
      <c r="T11" s="44">
        <f>求节点(其他调用!$BN$6:$BN$165,其他调用!$BO$6:$BO$165,H31)-求节点(其他调用!$BN$6:$BN$165,其他调用!$BO$6:$BO$165,I71)</f>
        <v>18082332.895882245</v>
      </c>
      <c r="Z11" s="44">
        <v>35</v>
      </c>
      <c r="AA11" s="44">
        <v>0</v>
      </c>
      <c r="AB11" s="44">
        <f>求节点(其他调用!$CD$6:$CD$165,其他调用!$CE$6:$CE$165,E31)-求节点(其他调用!$CD$6:$CD$165,其他调用!$CE$6:$CE$165,F71)</f>
        <v>27988742.380743593</v>
      </c>
      <c r="AC11" s="44">
        <f>求节点(其他调用!$CD$6:$CD$165,其他调用!$CE$6:$CE$165,F31)-求节点(其他调用!$CD$6:$CD$165,其他调用!$CE$6:$CE$165,G71)</f>
        <v>2262219.8602195401</v>
      </c>
      <c r="AD11" s="44">
        <f>求节点(其他调用!$CD$6:$CD$165,其他调用!$CE$6:$CE$165,G31)-求节点(其他调用!$CD$6:$CD$165,其他调用!$CE$6:$CE$165,H71)</f>
        <v>3038.7831341481101</v>
      </c>
      <c r="AE11" s="44">
        <f>求节点(其他调用!$CD$6:$CD$165,其他调用!$CE$6:$CE$165,H31)-求节点(其他调用!$CD$6:$CD$165,其他调用!$CE$6:$CE$165,I71)</f>
        <v>0</v>
      </c>
      <c r="AK11" s="47">
        <v>35</v>
      </c>
      <c r="AL11" s="47">
        <v>0</v>
      </c>
      <c r="AM11" s="47">
        <f>求节点(其他调用!$CT$6:$CT$165,其他调用!$CU$6:$CU$165,E31)-求节点(其他调用!$CT$6:$CT$165,其他调用!$CU$6:$CU$165,F71)</f>
        <v>2013099.4275812432</v>
      </c>
      <c r="AN11" s="47">
        <f>求节点(其他调用!$CT$6:$CT$165,其他调用!$CU$6:$CU$165,F31)-求节点(其他调用!$CT$6:$CT$165,其他调用!$CU$6:$CU$165,G71)</f>
        <v>1681610.7096066512</v>
      </c>
      <c r="AO11" s="47">
        <f>求节点(其他调用!$CT$6:$CT$165,其他调用!$CU$6:$CU$165,G31)-求节点(其他调用!$CT$6:$CT$165,其他调用!$CU$6:$CU$165,H71)</f>
        <v>1342891.1941616801</v>
      </c>
      <c r="AP11" s="47">
        <f>求节点(其他调用!$CT$6:$CT$165,其他调用!$CU$6:$CU$165,H31)-求节点(其他调用!$CT$6:$CT$165,其他调用!$CU$6:$CU$165,I71)</f>
        <v>778738.82283222373</v>
      </c>
      <c r="AV11" s="47">
        <v>35</v>
      </c>
      <c r="AW11" s="47">
        <v>0</v>
      </c>
      <c r="AX11" s="47">
        <f>求节点(其他调用!$DB$6:$DB$165,其他调用!$DC$6:$DC$165,E31)-求节点(其他调用!$DB$6:$DB$165,其他调用!$DC$6:$DC$165,F71)</f>
        <v>638501.9645925872</v>
      </c>
      <c r="AY11" s="47">
        <f>求节点(其他调用!$DB$6:$DB$165,其他调用!$DC$6:$DC$165,F31)-求节点(其他调用!$DB$6:$DB$165,其他调用!$DC$6:$DC$165,G71)</f>
        <v>554028.93730153842</v>
      </c>
      <c r="AZ11" s="47">
        <f>求节点(其他调用!$DB$6:$DB$165,其他调用!$DC$6:$DC$165,G31)-求节点(其他调用!$DB$6:$DB$165,其他调用!$DC$6:$DC$165,H71)</f>
        <v>333167.20246577205</v>
      </c>
      <c r="BA11" s="47">
        <f>求节点(其他调用!$DB$6:$DB$165,其他调用!$DC$6:$DC$165,H31)-求节点(其他调用!$DB$6:$DB$165,其他调用!$DC$6:$DC$165,I71)</f>
        <v>227454.145755745</v>
      </c>
    </row>
    <row r="12" spans="1:53" x14ac:dyDescent="0.15">
      <c r="D12" s="44">
        <v>40</v>
      </c>
      <c r="E12" s="50">
        <f>求节点(节奏总纲!$AL$4:$AL$83,节奏总纲!$AM$4:$AM$83,$D12-E$7)</f>
        <v>133.875</v>
      </c>
      <c r="F12" s="50">
        <f>求节点(节奏总纲!$AL$4:$AL$83,节奏总纲!$AM$4:$AM$83,$D12-F$7)</f>
        <v>63.5</v>
      </c>
      <c r="G12" s="50">
        <f>求节点(节奏总纲!$AL$4:$AL$83,节奏总纲!$AM$4:$AM$83,$D12-G$7)</f>
        <v>28.35</v>
      </c>
      <c r="H12" s="50">
        <f>求节点(节奏总纲!$AL$4:$AL$83,节奏总纲!$AM$4:$AM$83,$D12-H$7)</f>
        <v>12.4</v>
      </c>
      <c r="I12" s="50">
        <f>求节点(节奏总纲!$AL$4:$AL$83,节奏总纲!$AM$4:$AM$83,$D12-I$7)</f>
        <v>5.25</v>
      </c>
      <c r="O12" s="44">
        <v>40</v>
      </c>
      <c r="P12" s="44">
        <v>0</v>
      </c>
      <c r="Q12" s="44">
        <f>求节点(其他调用!$BN$6:$BN$165,其他调用!$BO$6:$BO$165,E32)-求节点(其他调用!$BN$6:$BN$165,其他调用!$BO$6:$BO$165,F72)</f>
        <v>374513143.21975231</v>
      </c>
      <c r="R12" s="44">
        <f>求节点(其他调用!$BN$6:$BN$165,其他调用!$BO$6:$BO$165,F32)-求节点(其他调用!$BN$6:$BN$165,其他调用!$BO$6:$BO$165,G72)</f>
        <v>262104443.76575446</v>
      </c>
      <c r="S12" s="44">
        <f>求节点(其他调用!$BN$6:$BN$165,其他调用!$BO$6:$BO$165,G32)-求节点(其他调用!$BN$6:$BN$165,其他调用!$BO$6:$BO$165,H72)</f>
        <v>163249522.24663591</v>
      </c>
      <c r="T12" s="44">
        <f>求节点(其他调用!$BN$6:$BN$165,其他调用!$BO$6:$BO$165,H32)-求节点(其他调用!$BN$6:$BN$165,其他调用!$BO$6:$BO$165,I72)</f>
        <v>69205037.907497466</v>
      </c>
      <c r="Z12" s="44">
        <v>40</v>
      </c>
      <c r="AA12" s="44">
        <v>0</v>
      </c>
      <c r="AB12" s="44">
        <f>求节点(其他调用!$CD$6:$CD$165,其他调用!$CE$6:$CE$165,E32)-求节点(其他调用!$CD$6:$CD$165,其他调用!$CE$6:$CE$165,F72)</f>
        <v>89294410.970022202</v>
      </c>
      <c r="AC12" s="44">
        <f>求节点(其他调用!$CD$6:$CD$165,其他调用!$CE$6:$CE$165,F32)-求节点(其他调用!$CD$6:$CD$165,其他调用!$CE$6:$CE$165,G72)</f>
        <v>55049814.029949337</v>
      </c>
      <c r="AD12" s="44">
        <f>求节点(其他调用!$CD$6:$CD$165,其他调用!$CE$6:$CE$165,G32)-求节点(其他调用!$CD$6:$CD$165,其他调用!$CE$6:$CE$165,H72)</f>
        <v>3053855.2474640654</v>
      </c>
      <c r="AE12" s="44">
        <f>求节点(其他调用!$CD$6:$CD$165,其他调用!$CE$6:$CE$165,H32)-求节点(其他调用!$CD$6:$CD$165,其他调用!$CE$6:$CE$165,I72)</f>
        <v>3038.7831341481101</v>
      </c>
      <c r="AK12" s="47">
        <v>40</v>
      </c>
      <c r="AL12" s="47">
        <v>0</v>
      </c>
      <c r="AM12" s="47">
        <f>求节点(其他调用!$CT$6:$CT$165,其他调用!$CU$6:$CU$165,E32)-求节点(其他调用!$CT$6:$CT$165,其他调用!$CU$6:$CU$165,F72)</f>
        <v>4322218.4078286886</v>
      </c>
      <c r="AN12" s="47">
        <f>求节点(其他调用!$CT$6:$CT$165,其他调用!$CU$6:$CU$165,F32)-求节点(其他调用!$CT$6:$CT$165,其他调用!$CU$6:$CU$165,G72)</f>
        <v>4021243.9133194014</v>
      </c>
      <c r="AO12" s="47">
        <f>求节点(其他调用!$CT$6:$CT$165,其他调用!$CU$6:$CU$165,G32)-求节点(其他调用!$CT$6:$CT$165,其他调用!$CU$6:$CU$165,H72)</f>
        <v>3339388.6079548281</v>
      </c>
      <c r="AP12" s="47">
        <f>求节点(其他调用!$CT$6:$CT$165,其他调用!$CU$6:$CU$165,H32)-求节点(其他调用!$CT$6:$CT$165,其他调用!$CU$6:$CU$165,I72)</f>
        <v>1989915.9600052061</v>
      </c>
      <c r="AV12" s="47">
        <v>40</v>
      </c>
      <c r="AW12" s="47">
        <v>0</v>
      </c>
      <c r="AX12" s="47">
        <f>求节点(其他调用!$DB$6:$DB$165,其他调用!$DC$6:$DC$165,E32)-求节点(其他调用!$DB$6:$DB$165,其他调用!$DC$6:$DC$165,F72)</f>
        <v>1339400.1297420003</v>
      </c>
      <c r="AY12" s="47">
        <f>求节点(其他调用!$DB$6:$DB$165,其他调用!$DC$6:$DC$165,F32)-求节点(其他调用!$DB$6:$DB$165,其他调用!$DC$6:$DC$165,G72)</f>
        <v>1271720.6985974684</v>
      </c>
      <c r="AZ12" s="47">
        <f>求节点(其他调用!$DB$6:$DB$165,其他调用!$DC$6:$DC$165,G32)-求节点(其他调用!$DB$6:$DB$165,其他调用!$DC$6:$DC$165,H72)</f>
        <v>1104609.6542891851</v>
      </c>
      <c r="BA12" s="47">
        <f>求节点(其他调用!$DB$6:$DB$165,其他调用!$DC$6:$DC$165,H32)-求节点(其他调用!$DB$6:$DB$165,其他调用!$DC$6:$DC$165,I72)</f>
        <v>513103.21103025763</v>
      </c>
    </row>
    <row r="13" spans="1:53" x14ac:dyDescent="0.15">
      <c r="D13" s="44">
        <v>45</v>
      </c>
      <c r="E13" s="50">
        <f>求节点(节奏总纲!$AL$4:$AL$83,节奏总纲!$AM$4:$AM$83,$D13-E$7)</f>
        <v>281.05</v>
      </c>
      <c r="F13" s="50">
        <f>求节点(节奏总纲!$AL$4:$AL$83,节奏总纲!$AM$4:$AM$83,$D13-F$7)</f>
        <v>133.875</v>
      </c>
      <c r="G13" s="50">
        <f>求节点(节奏总纲!$AL$4:$AL$83,节奏总纲!$AM$4:$AM$83,$D13-G$7)</f>
        <v>63.5</v>
      </c>
      <c r="H13" s="50">
        <f>求节点(节奏总纲!$AL$4:$AL$83,节奏总纲!$AM$4:$AM$83,$D13-H$7)</f>
        <v>28.35</v>
      </c>
      <c r="I13" s="50">
        <f>求节点(节奏总纲!$AL$4:$AL$83,节奏总纲!$AM$4:$AM$83,$D13-I$7)</f>
        <v>12.4</v>
      </c>
      <c r="O13" s="44">
        <v>45</v>
      </c>
      <c r="P13" s="44">
        <v>0</v>
      </c>
      <c r="Q13" s="44">
        <f>求节点(其他调用!$BN$6:$BN$165,其他调用!$BO$6:$BO$165,E33)-求节点(其他调用!$BN$6:$BN$165,其他调用!$BO$6:$BO$165,F73)</f>
        <v>1659244723.2106819</v>
      </c>
      <c r="R13" s="44">
        <f>求节点(其他调用!$BN$6:$BN$165,其他调用!$BO$6:$BO$165,F33)-求节点(其他调用!$BN$6:$BN$165,其他调用!$BO$6:$BO$165,G73)</f>
        <v>733841220.56066608</v>
      </c>
      <c r="S13" s="44">
        <f>求节点(其他调用!$BN$6:$BN$165,其他调用!$BO$6:$BO$165,G33)-求节点(其他调用!$BN$6:$BN$165,其他调用!$BO$6:$BO$165,H73)</f>
        <v>508763261.74988246</v>
      </c>
      <c r="T13" s="44">
        <f>求节点(其他调用!$BN$6:$BN$165,其他调用!$BO$6:$BO$165,H33)-求节点(其他调用!$BN$6:$BN$165,其他调用!$BO$6:$BO$165,I73)</f>
        <v>237546386.6057657</v>
      </c>
      <c r="Z13" s="44">
        <v>45</v>
      </c>
      <c r="AA13" s="44">
        <v>0</v>
      </c>
      <c r="AB13" s="44">
        <f>求节点(其他调用!$CD$6:$CD$165,其他调用!$CE$6:$CE$165,E33)-求节点(其他调用!$CD$6:$CD$165,其他调用!$CE$6:$CE$165,F73)</f>
        <v>170030304.9021883</v>
      </c>
      <c r="AC13" s="44">
        <f>求节点(其他调用!$CD$6:$CD$165,其他调用!$CE$6:$CE$165,F33)-求节点(其他调用!$CD$6:$CD$165,其他调用!$CE$6:$CE$165,G73)</f>
        <v>178750486.23579037</v>
      </c>
      <c r="AD13" s="44">
        <f>求节点(其他调用!$CD$6:$CD$165,其他调用!$CE$6:$CE$165,G33)-求节点(其他调用!$CD$6:$CD$165,其他调用!$CE$6:$CE$165,H73)</f>
        <v>99286143.562955275</v>
      </c>
      <c r="AE13" s="44">
        <f>求节点(其他调用!$CD$6:$CD$165,其他调用!$CE$6:$CE$165,H33)-求节点(其他调用!$CD$6:$CD$165,其他调用!$CE$6:$CE$165,I73)</f>
        <v>3311792.5623841337</v>
      </c>
      <c r="AK13" s="47">
        <v>45</v>
      </c>
      <c r="AL13" s="47">
        <v>0</v>
      </c>
      <c r="AM13" s="47">
        <f>求节点(其他调用!$CT$6:$CT$165,其他调用!$CU$6:$CU$165,E33)-求节点(其他调用!$CT$6:$CT$165,其他调用!$CU$6:$CU$165,F73)</f>
        <v>9565399.2448180318</v>
      </c>
      <c r="AN13" s="47">
        <f>求节点(其他调用!$CT$6:$CT$165,其他调用!$CU$6:$CU$165,F33)-求节点(其他调用!$CT$6:$CT$165,其他调用!$CU$6:$CU$165,G73)</f>
        <v>8632103.9596894756</v>
      </c>
      <c r="AO13" s="47">
        <f>求节点(其他调用!$CT$6:$CT$165,其他调用!$CU$6:$CU$165,G33)-求节点(其他调用!$CT$6:$CT$165,其他调用!$CU$6:$CU$165,H73)</f>
        <v>7991387.6323579066</v>
      </c>
      <c r="AP13" s="47">
        <f>求节点(其他调用!$CT$6:$CT$165,其他调用!$CU$6:$CU$165,H33)-求节点(其他调用!$CT$6:$CT$165,其他调用!$CU$6:$CU$165,I73)</f>
        <v>4974195.8400290348</v>
      </c>
      <c r="AV13" s="47">
        <v>45</v>
      </c>
      <c r="AW13" s="47">
        <v>0</v>
      </c>
      <c r="AX13" s="47">
        <f>求节点(其他调用!$DB$6:$DB$165,其他调用!$DC$6:$DC$165,E33)-求节点(其他调用!$DB$6:$DB$165,其他调用!$DC$6:$DC$165,F73)</f>
        <v>2802247.3514144048</v>
      </c>
      <c r="AY13" s="47">
        <f>求节点(其他调用!$DB$6:$DB$165,其他调用!$DC$6:$DC$165,F33)-求节点(其他调用!$DB$6:$DB$165,其他调用!$DC$6:$DC$165,G73)</f>
        <v>2682376.5580470487</v>
      </c>
      <c r="AZ13" s="47">
        <f>求节点(其他调用!$DB$6:$DB$165,其他调用!$DC$6:$DC$165,G33)-求节点(其他调用!$DB$6:$DB$165,其他调用!$DC$6:$DC$165,H73)</f>
        <v>2569393.9162963508</v>
      </c>
      <c r="BA13" s="47">
        <f>求节点(其他调用!$DB$6:$DB$165,其他调用!$DC$6:$DC$165,H33)-求节点(其他调用!$DB$6:$DB$165,其他调用!$DC$6:$DC$165,I73)</f>
        <v>1619124.6601458406</v>
      </c>
    </row>
    <row r="14" spans="1:53" x14ac:dyDescent="0.15">
      <c r="D14" s="44">
        <v>50</v>
      </c>
      <c r="E14" s="50">
        <f>求节点(节奏总纲!$AL$4:$AL$83,节奏总纲!$AM$4:$AM$83,$D14-E$7)</f>
        <v>588.22499999999991</v>
      </c>
      <c r="F14" s="50">
        <f>求节点(节奏总纲!$AL$4:$AL$83,节奏总纲!$AM$4:$AM$83,$D14-F$7)</f>
        <v>281.05</v>
      </c>
      <c r="G14" s="50">
        <f>求节点(节奏总纲!$AL$4:$AL$83,节奏总纲!$AM$4:$AM$83,$D14-G$7)</f>
        <v>133.875</v>
      </c>
      <c r="H14" s="50">
        <f>求节点(节奏总纲!$AL$4:$AL$83,节奏总纲!$AM$4:$AM$83,$D14-H$7)</f>
        <v>63.5</v>
      </c>
      <c r="I14" s="50">
        <f>求节点(节奏总纲!$AL$4:$AL$83,节奏总纲!$AM$4:$AM$83,$D14-I$7)</f>
        <v>28.35</v>
      </c>
      <c r="O14" s="44">
        <v>50</v>
      </c>
      <c r="P14" s="44">
        <v>0</v>
      </c>
      <c r="Q14" s="44">
        <f>求节点(其他调用!$BN$6:$BN$165,其他调用!$BO$6:$BO$165,E34)-求节点(其他调用!$BN$6:$BN$165,其他调用!$BO$6:$BO$165,F74)</f>
        <v>2778432876.7653122</v>
      </c>
      <c r="R14" s="44">
        <f>求节点(其他调用!$BN$6:$BN$165,其他调用!$BO$6:$BO$165,F34)-求节点(其他调用!$BN$6:$BN$165,其他调用!$BO$6:$BO$165,G74)</f>
        <v>3296039520.0065651</v>
      </c>
      <c r="S14" s="44">
        <f>求节点(其他调用!$BN$6:$BN$165,其他调用!$BO$6:$BO$165,G34)-求节点(其他调用!$BN$6:$BN$165,其他调用!$BO$6:$BO$165,H74)</f>
        <v>1433036090.2221637</v>
      </c>
      <c r="T14" s="44">
        <f>求节点(其他调用!$BN$6:$BN$165,其他调用!$BO$6:$BO$165,H34)-求节点(其他调用!$BN$6:$BN$165,其他调用!$BO$6:$BO$165,I74)</f>
        <v>740970772.76874483</v>
      </c>
      <c r="Z14" s="44">
        <v>50</v>
      </c>
      <c r="AA14" s="44">
        <v>0</v>
      </c>
      <c r="AB14" s="44">
        <f>求节点(其他调用!$CD$6:$CD$165,其他调用!$CE$6:$CE$165,E34)-求节点(其他调用!$CD$6:$CD$165,其他调用!$CE$6:$CE$165,F74)</f>
        <v>614577541.08308697</v>
      </c>
      <c r="AC14" s="44">
        <f>求节点(其他调用!$CD$6:$CD$165,其他调用!$CE$6:$CE$165,F34)-求节点(其他调用!$CD$6:$CD$165,其他调用!$CE$6:$CE$165,G74)</f>
        <v>342376361.6113987</v>
      </c>
      <c r="AD14" s="44">
        <f>求节点(其他调用!$CD$6:$CD$165,其他调用!$CE$6:$CE$165,G34)-求节点(其他调用!$CD$6:$CD$165,其他调用!$CE$6:$CE$165,H74)</f>
        <v>353971964.66670716</v>
      </c>
      <c r="AE14" s="44">
        <f>求节点(其他调用!$CD$6:$CD$165,其他调用!$CE$6:$CE$165,H34)-求节点(其他调用!$CD$6:$CD$165,其他调用!$CE$6:$CE$165,I74)</f>
        <v>134858290.54671413</v>
      </c>
      <c r="AK14" s="47">
        <v>50</v>
      </c>
      <c r="AL14" s="47">
        <v>0</v>
      </c>
      <c r="AM14" s="47">
        <f>求节点(其他调用!$CT$6:$CT$165,其他调用!$CU$6:$CU$165,E34)-求节点(其他调用!$CT$6:$CT$165,其他调用!$CU$6:$CU$165,F74)</f>
        <v>21048197.523891985</v>
      </c>
      <c r="AN14" s="47">
        <f>求节点(其他调用!$CT$6:$CT$165,其他调用!$CU$6:$CU$165,F34)-求节点(其他调用!$CT$6:$CT$165,其他调用!$CU$6:$CU$165,G74)</f>
        <v>19091322.245067179</v>
      </c>
      <c r="AO14" s="47">
        <f>求节点(其他调用!$CT$6:$CT$165,其他调用!$CU$6:$CU$165,G34)-求节点(其他调用!$CT$6:$CT$165,其他调用!$CU$6:$CU$165,H74)</f>
        <v>17182286.945467949</v>
      </c>
      <c r="AP14" s="47">
        <f>求节点(其他调用!$CT$6:$CT$165,其他调用!$CU$6:$CU$165,H34)-求节点(其他调用!$CT$6:$CT$165,其他调用!$CU$6:$CU$165,I74)</f>
        <v>11904882.471428085</v>
      </c>
      <c r="AV14" s="47">
        <v>50</v>
      </c>
      <c r="AW14" s="47">
        <v>0</v>
      </c>
      <c r="AX14" s="47">
        <f>求节点(其他调用!$DB$6:$DB$165,其他调用!$DC$6:$DC$165,E34)-求节点(其他调用!$DB$6:$DB$165,其他调用!$DC$6:$DC$165,F74)</f>
        <v>6160953.8249400705</v>
      </c>
      <c r="AY14" s="47">
        <f>求节点(其他调用!$DB$6:$DB$165,其他调用!$DC$6:$DC$165,F34)-求节点(其他调用!$DB$6:$DB$165,其他调用!$DC$6:$DC$165,G74)</f>
        <v>5581286.6944717318</v>
      </c>
      <c r="AZ14" s="47">
        <f>求节点(其他调用!$DB$6:$DB$165,其他调用!$DC$6:$DC$165,G34)-求节点(其他调用!$DB$6:$DB$165,其他调用!$DC$6:$DC$165,H74)</f>
        <v>5348727.356507618</v>
      </c>
      <c r="BA14" s="47">
        <f>求节点(其他调用!$DB$6:$DB$165,其他调用!$DC$6:$DC$165,H34)-求节点(其他调用!$DB$6:$DB$165,其他调用!$DC$6:$DC$165,I74)</f>
        <v>3896964.0409189267</v>
      </c>
    </row>
    <row r="15" spans="1:53" x14ac:dyDescent="0.15">
      <c r="D15" s="44">
        <v>55</v>
      </c>
      <c r="E15" s="50">
        <f>求节点(节奏总纲!$AL$4:$AL$83,节奏总纲!$AM$4:$AM$83,$D15-E$7)</f>
        <v>1228.2</v>
      </c>
      <c r="F15" s="50">
        <f>求节点(节奏总纲!$AL$4:$AL$83,节奏总纲!$AM$4:$AM$83,$D15-F$7)</f>
        <v>588.22499999999991</v>
      </c>
      <c r="G15" s="50">
        <f>求节点(节奏总纲!$AL$4:$AL$83,节奏总纲!$AM$4:$AM$83,$D15-G$7)</f>
        <v>281.05</v>
      </c>
      <c r="H15" s="50">
        <f>求节点(节奏总纲!$AL$4:$AL$83,节奏总纲!$AM$4:$AM$83,$D15-H$7)</f>
        <v>133.875</v>
      </c>
      <c r="I15" s="50">
        <f>求节点(节奏总纲!$AL$4:$AL$83,节奏总纲!$AM$4:$AM$83,$D15-I$7)</f>
        <v>63.5</v>
      </c>
      <c r="O15" s="44">
        <v>55</v>
      </c>
      <c r="P15" s="44">
        <v>0</v>
      </c>
      <c r="Q15" s="44">
        <f>求节点(其他调用!$BN$6:$BN$165,其他调用!$BO$6:$BO$165,E35)-求节点(其他调用!$BN$6:$BN$165,其他调用!$BO$6:$BO$165,F75)</f>
        <v>8003706332.8770294</v>
      </c>
      <c r="R15" s="44">
        <f>求节点(其他调用!$BN$6:$BN$165,其他调用!$BO$6:$BO$165,F35)-求节点(其他调用!$BN$6:$BN$165,其他调用!$BO$6:$BO$165,G75)</f>
        <v>5547287105.0924911</v>
      </c>
      <c r="S15" s="44">
        <f>求节点(其他调用!$BN$6:$BN$165,其他调用!$BO$6:$BO$165,G35)-求节点(其他调用!$BN$6:$BN$165,其他调用!$BO$6:$BO$165,H75)</f>
        <v>6355683550.1648235</v>
      </c>
      <c r="T15" s="44">
        <f>求节点(其他调用!$BN$6:$BN$165,其他调用!$BO$6:$BO$165,H35)-求节点(其他调用!$BN$6:$BN$165,其他调用!$BO$6:$BO$165,I75)</f>
        <v>2096858462.2279897</v>
      </c>
      <c r="Z15" s="44">
        <v>55</v>
      </c>
      <c r="AA15" s="44">
        <v>0</v>
      </c>
      <c r="AB15" s="44">
        <f>求节点(其他调用!$CD$6:$CD$165,其他调用!$CE$6:$CE$165,E35)-求节点(其他调用!$CD$6:$CD$165,其他调用!$CE$6:$CE$165,F75)</f>
        <v>1703844084.5629997</v>
      </c>
      <c r="AC15" s="44">
        <f>求节点(其他调用!$CD$6:$CD$165,其他调用!$CE$6:$CE$165,F35)-求节点(其他调用!$CD$6:$CD$165,其他调用!$CE$6:$CE$165,G75)</f>
        <v>1224412978.7222519</v>
      </c>
      <c r="AD15" s="44">
        <f>求节点(其他调用!$CD$6:$CD$165,其他调用!$CE$6:$CE$165,G35)-求节点(其他调用!$CD$6:$CD$165,其他调用!$CE$6:$CE$165,H75)</f>
        <v>682430809.76045632</v>
      </c>
      <c r="AE15" s="44">
        <f>求节点(其他调用!$CD$6:$CD$165,其他调用!$CE$6:$CE$165,H35)-求节点(其他调用!$CD$6:$CD$165,其他调用!$CE$6:$CE$165,I75)</f>
        <v>523737316.89650309</v>
      </c>
      <c r="AK15" s="47">
        <v>55</v>
      </c>
      <c r="AL15" s="47">
        <v>0</v>
      </c>
      <c r="AM15" s="47">
        <f>求节点(其他调用!$CT$6:$CT$165,其他调用!$CU$6:$CU$165,E35)-求节点(其他调用!$CT$6:$CT$165,其他调用!$CU$6:$CU$165,F75)</f>
        <v>33229791.065879107</v>
      </c>
      <c r="AN15" s="47">
        <f>求节点(其他调用!$CT$6:$CT$165,其他调用!$CU$6:$CU$165,F35)-求节点(其他调用!$CT$6:$CT$165,其他调用!$CU$6:$CU$165,G75)</f>
        <v>42184459.244751871</v>
      </c>
      <c r="AO15" s="47">
        <f>求节点(其他调用!$CT$6:$CT$165,其他调用!$CU$6:$CU$165,G35)-求节点(其他调用!$CT$6:$CT$165,其他调用!$CU$6:$CU$165,H75)</f>
        <v>38021856.313341722</v>
      </c>
      <c r="AP15" s="47">
        <f>求节点(其他调用!$CT$6:$CT$165,其他调用!$CU$6:$CU$165,H35)-求节点(其他调用!$CT$6:$CT$165,其他调用!$CU$6:$CU$165,I75)</f>
        <v>25648064.223358735</v>
      </c>
      <c r="AV15" s="47">
        <v>55</v>
      </c>
      <c r="AW15" s="47">
        <v>0</v>
      </c>
      <c r="AX15" s="47">
        <f>求节点(其他调用!$DB$6:$DB$165,其他调用!$DC$6:$DC$165,E35)-求节点(其他调用!$DB$6:$DB$165,其他调用!$DC$6:$DC$165,F75)</f>
        <v>26275047.740704596</v>
      </c>
      <c r="AY15" s="47">
        <f>求节点(其他调用!$DB$6:$DB$165,其他调用!$DC$6:$DC$165,F35)-求节点(其他调用!$DB$6:$DB$165,其他调用!$DC$6:$DC$165,G75)</f>
        <v>12015293.448173553</v>
      </c>
      <c r="AZ15" s="47">
        <f>求节点(其他调用!$DB$6:$DB$165,其他调用!$DC$6:$DC$165,G35)-求节点(其他调用!$DB$6:$DB$165,其他调用!$DC$6:$DC$165,H75)</f>
        <v>11175392.817248426</v>
      </c>
      <c r="BA15" s="47">
        <f>求节点(其他调用!$DB$6:$DB$165,其他调用!$DC$6:$DC$165,H35)-求节点(其他调用!$DB$6:$DB$165,其他调用!$DC$6:$DC$165,I75)</f>
        <v>8022133.5789163839</v>
      </c>
    </row>
    <row r="16" spans="1:53" x14ac:dyDescent="0.15">
      <c r="D16" s="44">
        <v>60</v>
      </c>
      <c r="E16" s="50">
        <f>求节点(节奏总纲!$AL$4:$AL$83,节奏总纲!$AM$4:$AM$83,$D16-E$7)</f>
        <v>2559.375</v>
      </c>
      <c r="F16" s="50">
        <f>求节点(节奏总纲!$AL$4:$AL$83,节奏总纲!$AM$4:$AM$83,$D16-F$7)</f>
        <v>1228.2</v>
      </c>
      <c r="G16" s="50">
        <f>求节点(节奏总纲!$AL$4:$AL$83,节奏总纲!$AM$4:$AM$83,$D16-G$7)</f>
        <v>588.22499999999991</v>
      </c>
      <c r="H16" s="50">
        <f>求节点(节奏总纲!$AL$4:$AL$83,节奏总纲!$AM$4:$AM$83,$D16-H$7)</f>
        <v>281.05</v>
      </c>
      <c r="I16" s="50">
        <f>求节点(节奏总纲!$AL$4:$AL$83,节奏总纲!$AM$4:$AM$83,$D16-I$7)</f>
        <v>133.875</v>
      </c>
      <c r="O16" s="44">
        <v>60</v>
      </c>
      <c r="P16" s="44">
        <v>0</v>
      </c>
      <c r="Q16" s="44">
        <f>求节点(其他调用!$BN$6:$BN$165,其他调用!$BO$6:$BO$165,E36)-求节点(其他调用!$BN$6:$BN$165,其他调用!$BO$6:$BO$165,F76)</f>
        <v>21095720242.399536</v>
      </c>
      <c r="R16" s="44">
        <f>求节点(其他调用!$BN$6:$BN$165,其他调用!$BO$6:$BO$165,F36)-求节点(其他调用!$BN$6:$BN$165,其他调用!$BO$6:$BO$165,G76)</f>
        <v>15895413757.418701</v>
      </c>
      <c r="S16" s="44">
        <f>求节点(其他调用!$BN$6:$BN$165,其他调用!$BO$6:$BO$165,G36)-求节点(其他调用!$BN$6:$BN$165,其他调用!$BO$6:$BO$165,H76)</f>
        <v>10940673925.486275</v>
      </c>
      <c r="T16" s="44">
        <f>求节点(其他调用!$BN$6:$BN$165,其他调用!$BO$6:$BO$165,H36)-求节点(其他调用!$BN$6:$BN$165,其他调用!$BO$6:$BO$165,I76)</f>
        <v>8299665013.3111382</v>
      </c>
      <c r="Z16" s="44">
        <v>60</v>
      </c>
      <c r="AA16" s="44">
        <v>0</v>
      </c>
      <c r="AB16" s="44">
        <f>求节点(其他调用!$CD$6:$CD$165,其他调用!$CE$6:$CE$165,E36)-求节点(其他调用!$CD$6:$CD$165,其他调用!$CE$6:$CE$165,F76)</f>
        <v>5451933363.6506195</v>
      </c>
      <c r="AC16" s="44">
        <f>求节点(其他调用!$CD$6:$CD$165,其他调用!$CE$6:$CE$165,F36)-求节点(其他调用!$CD$6:$CD$165,其他调用!$CE$6:$CE$165,G76)</f>
        <v>3375895549.4217606</v>
      </c>
      <c r="AD16" s="44">
        <f>求节点(其他调用!$CD$6:$CD$165,其他调用!$CE$6:$CE$165,G36)-求节点(其他调用!$CD$6:$CD$165,其他调用!$CE$6:$CE$165,H76)</f>
        <v>2576548928.6963997</v>
      </c>
      <c r="AE16" s="44">
        <f>求节点(其他调用!$CD$6:$CD$165,其他调用!$CE$6:$CE$165,H36)-求节点(其他调用!$CD$6:$CD$165,其他调用!$CE$6:$CE$165,I76)</f>
        <v>1027122320.9803994</v>
      </c>
      <c r="AK16" s="47">
        <v>60</v>
      </c>
      <c r="AL16" s="47">
        <v>0</v>
      </c>
      <c r="AM16" s="47">
        <f>求节点(其他调用!$CT$6:$CT$165,其他调用!$CU$6:$CU$165,E36)-求节点(其他调用!$CT$6:$CT$165,其他调用!$CU$6:$CU$165,F76)</f>
        <v>80440636.981895685</v>
      </c>
      <c r="AN16" s="47">
        <f>求节点(其他调用!$CT$6:$CT$165,其他调用!$CU$6:$CU$165,F36)-求节点(其他调用!$CT$6:$CT$165,其他调用!$CU$6:$CU$165,G76)</f>
        <v>64366914.087746978</v>
      </c>
      <c r="AO16" s="47">
        <f>求节点(其他调用!$CT$6:$CT$165,其他调用!$CU$6:$CU$165,G36)-求节点(其他调用!$CT$6:$CT$165,其他调用!$CU$6:$CU$165,H76)</f>
        <v>84092139.646690011</v>
      </c>
      <c r="AP16" s="47">
        <f>求节点(其他调用!$CT$6:$CT$165,其他调用!$CU$6:$CU$165,H36)-求节点(其他调用!$CT$6:$CT$165,其他调用!$CU$6:$CU$165,I76)</f>
        <v>56764536.974133924</v>
      </c>
      <c r="AV16" s="47">
        <v>60</v>
      </c>
      <c r="AW16" s="47">
        <v>0</v>
      </c>
      <c r="AX16" s="47">
        <f>求节点(其他调用!$DB$6:$DB$165,其他调用!$DC$6:$DC$165,E36)-求节点(其他调用!$DB$6:$DB$165,其他调用!$DC$6:$DC$165,F76)</f>
        <v>80975366.091041446</v>
      </c>
      <c r="AY16" s="47">
        <f>求节点(其他调用!$DB$6:$DB$165,其他调用!$DC$6:$DC$165,F36)-求节点(其他调用!$DB$6:$DB$165,其他调用!$DC$6:$DC$165,G76)</f>
        <v>51706121.792216837</v>
      </c>
      <c r="AZ16" s="47">
        <f>求节点(其他调用!$DB$6:$DB$165,其他调用!$DC$6:$DC$165,G36)-求节点(其他调用!$DB$6:$DB$165,其他调用!$DC$6:$DC$165,H76)</f>
        <v>24996472.538493648</v>
      </c>
      <c r="BA16" s="47">
        <f>求节点(其他调用!$DB$6:$DB$165,其他调用!$DC$6:$DC$165,H36)-求节点(其他调用!$DB$6:$DB$165,其他调用!$DC$6:$DC$165,I76)</f>
        <v>16757435.774067216</v>
      </c>
    </row>
    <row r="17" spans="4:53" x14ac:dyDescent="0.15">
      <c r="D17" s="44">
        <v>65</v>
      </c>
      <c r="E17" s="50">
        <f>求节点(节奏总纲!$AL$4:$AL$83,节奏总纲!$AM$4:$AM$83,$D17-E$7)</f>
        <v>5324.1500000000005</v>
      </c>
      <c r="F17" s="50">
        <f>求节点(节奏总纲!$AL$4:$AL$83,节奏总纲!$AM$4:$AM$83,$D17-F$7)</f>
        <v>2559.375</v>
      </c>
      <c r="G17" s="50">
        <f>求节点(节奏总纲!$AL$4:$AL$83,节奏总纲!$AM$4:$AM$83,$D17-G$7)</f>
        <v>1228.2</v>
      </c>
      <c r="H17" s="50">
        <f>求节点(节奏总纲!$AL$4:$AL$83,节奏总纲!$AM$4:$AM$83,$D17-H$7)</f>
        <v>588.22499999999991</v>
      </c>
      <c r="I17" s="50">
        <f>求节点(节奏总纲!$AL$4:$AL$83,节奏总纲!$AM$4:$AM$83,$D17-I$7)</f>
        <v>281.05</v>
      </c>
      <c r="O17" s="44">
        <v>65</v>
      </c>
      <c r="P17" s="44">
        <v>0</v>
      </c>
      <c r="Q17" s="44">
        <f>求节点(其他调用!$BN$6:$BN$165,其他调用!$BO$6:$BO$165,E37)-求节点(其他调用!$BN$6:$BN$165,其他调用!$BO$6:$BO$165,F77)</f>
        <v>56583114121.394165</v>
      </c>
      <c r="R17" s="44">
        <f>求节点(其他调用!$BN$6:$BN$165,其他调用!$BO$6:$BO$165,F37)-求节点(其他调用!$BN$6:$BN$165,其他调用!$BO$6:$BO$165,G77)</f>
        <v>41724645605.173096</v>
      </c>
      <c r="S17" s="44">
        <f>求节点(其他调用!$BN$6:$BN$165,其他调用!$BO$6:$BO$165,G37)-求节点(其他调用!$BN$6:$BN$165,其他调用!$BO$6:$BO$165,H77)</f>
        <v>30412394720.565857</v>
      </c>
      <c r="T17" s="44">
        <f>求节点(其他调用!$BN$6:$BN$165,其他调用!$BO$6:$BO$165,H37)-求节点(其他调用!$BN$6:$BN$165,其他调用!$BO$6:$BO$165,I77)</f>
        <v>16183488969.915359</v>
      </c>
      <c r="Z17" s="44">
        <v>65</v>
      </c>
      <c r="AA17" s="44">
        <v>0</v>
      </c>
      <c r="AB17" s="44">
        <f>求节点(其他调用!$CD$6:$CD$165,其他调用!$CE$6:$CE$165,E37)-求节点(其他调用!$CD$6:$CD$165,其他调用!$CE$6:$CE$165,F77)</f>
        <v>14228074420.465759</v>
      </c>
      <c r="AC17" s="44">
        <f>求节点(其他调用!$CD$6:$CD$165,其他调用!$CE$6:$CE$165,F37)-求节点(其他调用!$CD$6:$CD$165,其他调用!$CE$6:$CE$165,G77)</f>
        <v>10628791171.515099</v>
      </c>
      <c r="AD17" s="44">
        <f>求节点(其他调用!$CD$6:$CD$165,其他调用!$CE$6:$CE$165,G37)-求节点(其他调用!$CD$6:$CD$165,其他调用!$CE$6:$CE$165,H77)</f>
        <v>6735684880.1690178</v>
      </c>
      <c r="AE17" s="44">
        <f>求节点(其他调用!$CD$6:$CD$165,其他调用!$CE$6:$CE$165,H37)-求节点(其他调用!$CD$6:$CD$165,其他调用!$CE$6:$CE$165,I77)</f>
        <v>3567195795.4457464</v>
      </c>
      <c r="AK17" s="47">
        <v>65</v>
      </c>
      <c r="AL17" s="47">
        <v>0</v>
      </c>
      <c r="AM17" s="47">
        <f>求节点(其他调用!$CT$6:$CT$165,其他调用!$CU$6:$CU$165,E37)-求节点(其他调用!$CT$6:$CT$165,其他调用!$CU$6:$CU$165,F77)</f>
        <v>171261136.00835991</v>
      </c>
      <c r="AN17" s="47">
        <f>求节点(其他调用!$CT$6:$CT$165,其他调用!$CU$6:$CU$165,F37)-求节点(其他调用!$CT$6:$CT$165,其他调用!$CU$6:$CU$165,G77)</f>
        <v>160780490.45981312</v>
      </c>
      <c r="AO17" s="47">
        <f>求节点(其他调用!$CT$6:$CT$165,其他调用!$CU$6:$CU$165,G37)-求节点(其他调用!$CT$6:$CT$165,其他调用!$CU$6:$CU$165,H77)</f>
        <v>124966332.57863808</v>
      </c>
      <c r="AP17" s="47">
        <f>求节点(其他调用!$CT$6:$CT$165,其他调用!$CU$6:$CU$165,H37)-求节点(其他调用!$CT$6:$CT$165,其他调用!$CU$6:$CU$165,I77)</f>
        <v>125544734.62410635</v>
      </c>
      <c r="AV17" s="47">
        <v>65</v>
      </c>
      <c r="AW17" s="47">
        <v>0</v>
      </c>
      <c r="AX17" s="47">
        <f>求节点(其他调用!$DB$6:$DB$165,其他调用!$DC$6:$DC$165,E37)-求节点(其他调用!$DB$6:$DB$165,其他调用!$DC$6:$DC$165,F77)</f>
        <v>250503944.14709854</v>
      </c>
      <c r="AY17" s="47">
        <f>求节点(其他调用!$DB$6:$DB$165,其他调用!$DC$6:$DC$165,F37)-求节点(其他调用!$DB$6:$DB$165,其他调用!$DC$6:$DC$165,G77)</f>
        <v>159566689.92128718</v>
      </c>
      <c r="AZ17" s="47">
        <f>求节点(其他调用!$DB$6:$DB$165,其他调用!$DC$6:$DC$165,G37)-求节点(其他调用!$DB$6:$DB$165,其他调用!$DC$6:$DC$165,H77)</f>
        <v>101718680.99726057</v>
      </c>
      <c r="BA17" s="47">
        <f>求节点(其他调用!$DB$6:$DB$165,其他调用!$DC$6:$DC$165,H37)-求节点(其他调用!$DB$6:$DB$165,其他调用!$DC$6:$DC$165,I77)</f>
        <v>36759663.150971398</v>
      </c>
    </row>
    <row r="18" spans="4:53" x14ac:dyDescent="0.15">
      <c r="D18" s="44">
        <v>70</v>
      </c>
      <c r="E18" s="50">
        <f>求节点(节奏总纲!$AL$4:$AL$83,节奏总纲!$AM$4:$AM$83,$D18-E$7)</f>
        <v>11058.525000000001</v>
      </c>
      <c r="F18" s="50">
        <f>求节点(节奏总纲!$AL$4:$AL$83,节奏总纲!$AM$4:$AM$83,$D18-F$7)</f>
        <v>5324.1500000000005</v>
      </c>
      <c r="G18" s="50">
        <f>求节点(节奏总纲!$AL$4:$AL$83,节奏总纲!$AM$4:$AM$83,$D18-G$7)</f>
        <v>2559.375</v>
      </c>
      <c r="H18" s="50">
        <f>求节点(节奏总纲!$AL$4:$AL$83,节奏总纲!$AM$4:$AM$83,$D18-H$7)</f>
        <v>1228.2</v>
      </c>
      <c r="I18" s="50">
        <f>求节点(节奏总纲!$AL$4:$AL$83,节奏总纲!$AM$4:$AM$83,$D18-I$7)</f>
        <v>588.22499999999991</v>
      </c>
      <c r="O18" s="44">
        <v>70</v>
      </c>
      <c r="P18" s="44">
        <v>0</v>
      </c>
      <c r="Q18" s="44">
        <f>求节点(其他调用!$BN$6:$BN$165,其他调用!$BO$6:$BO$165,E38)-求节点(其他调用!$BN$6:$BN$165,其他调用!$BO$6:$BO$165,F78)</f>
        <v>151837607022.9043</v>
      </c>
      <c r="R18" s="44">
        <f>求节点(其他调用!$BN$6:$BN$165,其他调用!$BO$6:$BO$165,F38)-求节点(其他调用!$BN$6:$BN$165,其他调用!$BO$6:$BO$165,G78)</f>
        <v>111723398887.40234</v>
      </c>
      <c r="S18" s="44">
        <f>求节点(其他调用!$BN$6:$BN$165,其他调用!$BO$6:$BO$165,G38)-求节点(其他调用!$BN$6:$BN$165,其他调用!$BO$6:$BO$165,H78)</f>
        <v>81964770217.743835</v>
      </c>
      <c r="T18" s="44">
        <f>求节点(其他调用!$BN$6:$BN$165,其他调用!$BO$6:$BO$165,H38)-求节点(其他调用!$BN$6:$BN$165,其他调用!$BO$6:$BO$165,I78)</f>
        <v>44869905325.685837</v>
      </c>
      <c r="Z18" s="44">
        <v>70</v>
      </c>
      <c r="AA18" s="44">
        <v>0</v>
      </c>
      <c r="AB18" s="44">
        <f>求节点(其他调用!$CD$6:$CD$165,其他调用!$CE$6:$CE$165,E38)-求节点(其他调用!$CD$6:$CD$165,其他调用!$CE$6:$CE$165,F78)</f>
        <v>7906050181.2889404</v>
      </c>
      <c r="AC18" s="44">
        <f>求节点(其他调用!$CD$6:$CD$165,其他调用!$CE$6:$CE$165,F38)-求节点(其他调用!$CD$6:$CD$165,其他调用!$CE$6:$CE$165,G78)</f>
        <v>26969852869.263855</v>
      </c>
      <c r="AD18" s="44">
        <f>求节点(其他调用!$CD$6:$CD$165,其他调用!$CE$6:$CE$165,G38)-求节点(其他调用!$CD$6:$CD$165,其他调用!$CE$6:$CE$165,H78)</f>
        <v>19950259404.973633</v>
      </c>
      <c r="AE18" s="44">
        <f>求节点(其他调用!$CD$6:$CD$165,其他调用!$CE$6:$CE$165,H38)-求节点(其他调用!$CD$6:$CD$165,其他调用!$CE$6:$CE$165,I78)</f>
        <v>10230804588.598238</v>
      </c>
      <c r="AK18" s="47">
        <v>70</v>
      </c>
      <c r="AL18" s="47">
        <v>0</v>
      </c>
      <c r="AM18" s="47">
        <f>求节点(其他调用!$CT$6:$CT$165,其他调用!$CU$6:$CU$165,E38)-求节点(其他调用!$CT$6:$CT$165,其他调用!$CU$6:$CU$165,F78)</f>
        <v>364022804.80322742</v>
      </c>
      <c r="AN18" s="47">
        <f>求节点(其他调用!$CT$6:$CT$165,其他调用!$CU$6:$CU$165,F38)-求节点(其他调用!$CT$6:$CT$165,其他调用!$CU$6:$CU$165,G78)</f>
        <v>342264653.68831444</v>
      </c>
      <c r="AO18" s="47">
        <f>求节点(其他调用!$CT$6:$CT$165,其他调用!$CU$6:$CU$165,G38)-求节点(其他调用!$CT$6:$CT$165,其他调用!$CU$6:$CU$165,H78)</f>
        <v>320997828.60275793</v>
      </c>
      <c r="AP18" s="47">
        <f>求节点(其他调用!$CT$6:$CT$165,其他调用!$CU$6:$CU$165,H38)-求节点(其他调用!$CT$6:$CT$165,其他调用!$CU$6:$CU$165,I78)</f>
        <v>186719077.2788896</v>
      </c>
      <c r="AV18" s="47">
        <v>70</v>
      </c>
      <c r="AW18" s="47">
        <v>0</v>
      </c>
      <c r="AX18" s="47">
        <f>求节点(其他调用!$DB$6:$DB$165,其他调用!$DC$6:$DC$165,E38)-求节点(其他调用!$DB$6:$DB$165,其他调用!$DC$6:$DC$165,F78)</f>
        <v>0</v>
      </c>
      <c r="AY18" s="47">
        <f>求节点(其他调用!$DB$6:$DB$165,其他调用!$DC$6:$DC$165,F38)-求节点(其他调用!$DB$6:$DB$165,其他调用!$DC$6:$DC$165,G78)</f>
        <v>504986364.84234285</v>
      </c>
      <c r="AZ18" s="47">
        <f>求节点(其他调用!$DB$6:$DB$165,其他调用!$DC$6:$DC$165,G38)-求节点(其他调用!$DB$6:$DB$165,其他调用!$DC$6:$DC$165,H78)</f>
        <v>301155722.21341407</v>
      </c>
      <c r="BA18" s="47">
        <f>求节点(其他调用!$DB$6:$DB$165,其他调用!$DC$6:$DC$165,H38)-求节点(其他调用!$DB$6:$DB$165,其他调用!$DC$6:$DC$165,I78)</f>
        <v>149743906.3031871</v>
      </c>
    </row>
    <row r="19" spans="4:53" x14ac:dyDescent="0.15">
      <c r="D19" s="44">
        <v>75</v>
      </c>
      <c r="E19" s="50">
        <f>求节点(节奏总纲!$AL$4:$AL$83,节奏总纲!$AM$4:$AM$83,$D19-E$7)</f>
        <v>22936.899999999998</v>
      </c>
      <c r="F19" s="50">
        <f>求节点(节奏总纲!$AL$4:$AL$83,节奏总纲!$AM$4:$AM$83,$D19-F$7)</f>
        <v>11058.525000000001</v>
      </c>
      <c r="G19" s="50">
        <f>求节点(节奏总纲!$AL$4:$AL$83,节奏总纲!$AM$4:$AM$83,$D19-G$7)</f>
        <v>5324.1500000000005</v>
      </c>
      <c r="H19" s="50">
        <f>求节点(节奏总纲!$AL$4:$AL$83,节奏总纲!$AM$4:$AM$83,$D19-H$7)</f>
        <v>2559.375</v>
      </c>
      <c r="I19" s="50">
        <f>求节点(节奏总纲!$AL$4:$AL$83,节奏总纲!$AM$4:$AM$83,$D19-I$7)</f>
        <v>1228.2</v>
      </c>
      <c r="O19" s="44">
        <v>75</v>
      </c>
      <c r="P19" s="44">
        <v>0</v>
      </c>
      <c r="Q19" s="44">
        <f>求节点(其他调用!$BN$6:$BN$165,其他调用!$BO$6:$BO$165,E39)-求节点(其他调用!$BN$6:$BN$165,其他调用!$BO$6:$BO$165,F79)</f>
        <v>396621944982.08398</v>
      </c>
      <c r="R19" s="44">
        <f>求节点(其他调用!$BN$6:$BN$165,其他调用!$BO$6:$BO$165,F39)-求节点(其他调用!$BN$6:$BN$165,其他调用!$BO$6:$BO$165,G79)</f>
        <v>301324835833.0686</v>
      </c>
      <c r="S19" s="44">
        <f>求节点(其他调用!$BN$6:$BN$165,其他调用!$BO$6:$BO$165,G39)-求节点(其他调用!$BN$6:$BN$165,其他调用!$BO$6:$BO$165,H79)</f>
        <v>219838595778.922</v>
      </c>
      <c r="T19" s="44">
        <f>求节点(其他调用!$BN$6:$BN$165,其他调用!$BO$6:$BO$165,H39)-求节点(其他调用!$BN$6:$BN$165,其他调用!$BO$6:$BO$165,I79)</f>
        <v>120763619541.95901</v>
      </c>
      <c r="Z19" s="44">
        <v>75</v>
      </c>
      <c r="AA19" s="44">
        <v>0</v>
      </c>
      <c r="AB19" s="44">
        <f>求节点(其他调用!$CD$6:$CD$165,其他调用!$CE$6:$CE$165,E39)-求节点(其他调用!$CD$6:$CD$165,其他调用!$CE$6:$CE$165,F79)</f>
        <v>14675238069.836426</v>
      </c>
      <c r="AC19" s="44">
        <f>求节点(其他调用!$CD$6:$CD$165,其他调用!$CE$6:$CE$165,F39)-求节点(其他调用!$CD$6:$CD$165,其他调用!$CE$6:$CE$165,G79)</f>
        <v>15946754350.895813</v>
      </c>
      <c r="AD19" s="44">
        <f>求节点(其他调用!$CD$6:$CD$165,其他调用!$CE$6:$CE$165,G39)-求节点(其他调用!$CD$6:$CD$165,其他调用!$CE$6:$CE$165,H79)</f>
        <v>53708212753.305511</v>
      </c>
      <c r="AE19" s="44">
        <f>求节点(其他调用!$CD$6:$CD$165,其他调用!$CE$6:$CE$165,H39)-求节点(其他调用!$CD$6:$CD$165,其他调用!$CE$6:$CE$165,I79)</f>
        <v>28866681003.899109</v>
      </c>
      <c r="AK19" s="47">
        <v>75</v>
      </c>
      <c r="AL19" s="47">
        <v>0</v>
      </c>
      <c r="AM19" s="47">
        <f>求节点(其他调用!$CT$6:$CT$165,其他调用!$CU$6:$CU$165,E39)-求节点(其他调用!$CT$6:$CT$165,其他调用!$CU$6:$CU$165,F79)</f>
        <v>770047466.28621674</v>
      </c>
      <c r="AN19" s="47">
        <f>求节点(其他调用!$CT$6:$CT$165,其他调用!$CU$6:$CU$165,F39)-求节点(其他调用!$CT$6:$CT$165,其他调用!$CU$6:$CU$165,G79)</f>
        <v>727471745.68907261</v>
      </c>
      <c r="AO19" s="47">
        <f>求节点(其他调用!$CT$6:$CT$165,其他调用!$CU$6:$CU$165,G39)-求节点(其他调用!$CT$6:$CT$165,其他调用!$CU$6:$CU$165,H79)</f>
        <v>682824428.05000734</v>
      </c>
      <c r="AP19" s="47">
        <f>求节点(其他调用!$CT$6:$CT$165,其他调用!$CU$6:$CU$165,H39)-求节点(其他调用!$CT$6:$CT$165,其他调用!$CU$6:$CU$165,I79)</f>
        <v>480545573.3853755</v>
      </c>
      <c r="AV19" s="47">
        <v>75</v>
      </c>
      <c r="AW19" s="47">
        <v>0</v>
      </c>
      <c r="AX19" s="47">
        <f>求节点(其他调用!$DB$6:$DB$165,其他调用!$DC$6:$DC$165,E39)-求节点(其他调用!$DB$6:$DB$165,其他调用!$DC$6:$DC$165,F79)</f>
        <v>0</v>
      </c>
      <c r="AY19" s="47">
        <f>求节点(其他调用!$DB$6:$DB$165,其他调用!$DC$6:$DC$165,F39)-求节点(其他调用!$DB$6:$DB$165,其他调用!$DC$6:$DC$165,G79)</f>
        <v>0</v>
      </c>
      <c r="AZ19" s="47">
        <f>求节点(其他调用!$DB$6:$DB$165,其他调用!$DC$6:$DC$165,G39)-求节点(其他调用!$DB$6:$DB$165,其他调用!$DC$6:$DC$165,H79)</f>
        <v>970057865.13207054</v>
      </c>
      <c r="BA19" s="47">
        <f>求节点(其他调用!$DB$6:$DB$165,其他调用!$DC$6:$DC$165,H39)-求节点(其他调用!$DB$6:$DB$165,其他调用!$DC$6:$DC$165,I79)</f>
        <v>432816078.34402549</v>
      </c>
    </row>
    <row r="20" spans="4:53" x14ac:dyDescent="0.15">
      <c r="D20" s="44">
        <v>80</v>
      </c>
      <c r="E20" s="50">
        <f>求节点(节奏总纲!$AL$4:$AL$83,节奏总纲!$AM$4:$AM$83,$D20-E$7)</f>
        <v>47512.875</v>
      </c>
      <c r="F20" s="50">
        <f>求节点(节奏总纲!$AL$4:$AL$83,节奏总纲!$AM$4:$AM$83,$D20-F$7)</f>
        <v>22936.899999999998</v>
      </c>
      <c r="G20" s="50">
        <f>求节点(节奏总纲!$AL$4:$AL$83,节奏总纲!$AM$4:$AM$83,$D20-G$7)</f>
        <v>11058.525000000001</v>
      </c>
      <c r="H20" s="50">
        <f>求节点(节奏总纲!$AL$4:$AL$83,节奏总纲!$AM$4:$AM$83,$D20-H$7)</f>
        <v>5324.1500000000005</v>
      </c>
      <c r="I20" s="50">
        <f>求节点(节奏总纲!$AL$4:$AL$83,节奏总纲!$AM$4:$AM$83,$D20-I$7)</f>
        <v>2559.375</v>
      </c>
      <c r="O20" s="44">
        <v>80</v>
      </c>
      <c r="P20" s="44">
        <v>0</v>
      </c>
      <c r="Q20" s="44">
        <f>求节点(其他调用!$BN$6:$BN$165,其他调用!$BO$6:$BO$165,E40)-求节点(其他调用!$BN$6:$BN$165,其他调用!$BO$6:$BO$165,F80)</f>
        <v>1025600718759.0137</v>
      </c>
      <c r="R20" s="44">
        <f>求节点(其他调用!$BN$6:$BN$165,其他调用!$BO$6:$BO$165,F40)-求节点(其他调用!$BN$6:$BN$165,其他调用!$BO$6:$BO$165,G80)</f>
        <v>783694437343.28906</v>
      </c>
      <c r="S20" s="44">
        <f>求节点(其他调用!$BN$6:$BN$165,其他调用!$BO$6:$BO$165,G40)-求节点(其他调用!$BN$6:$BN$165,其他调用!$BO$6:$BO$165,H80)</f>
        <v>589615799357.19653</v>
      </c>
      <c r="T20" s="44">
        <f>求节点(其他调用!$BN$6:$BN$165,其他调用!$BO$6:$BO$165,H40)-求节点(其他调用!$BN$6:$BN$165,其他调用!$BO$6:$BO$165,I80)</f>
        <v>322749137260.53265</v>
      </c>
      <c r="Z20" s="44">
        <v>80</v>
      </c>
      <c r="AA20" s="44">
        <v>0</v>
      </c>
      <c r="AB20" s="44">
        <f>求节点(其他调用!$CD$6:$CD$165,其他调用!$CE$6:$CE$165,E40)-求节点(其他调用!$CD$6:$CD$165,其他调用!$CE$6:$CE$165,F80)</f>
        <v>21526592634.098267</v>
      </c>
      <c r="AC20" s="44">
        <f>求节点(其他调用!$CD$6:$CD$165,其他调用!$CE$6:$CE$165,F40)-求节点(其他调用!$CD$6:$CD$165,其他调用!$CE$6:$CE$165,G80)</f>
        <v>29361561088.187378</v>
      </c>
      <c r="AD20" s="44">
        <f>求节点(其他调用!$CD$6:$CD$165,其他调用!$CE$6:$CE$165,G40)-求节点(其他调用!$CD$6:$CD$165,其他调用!$CE$6:$CE$165,H80)</f>
        <v>28552017178.884705</v>
      </c>
      <c r="AE20" s="44">
        <f>求节点(其他调用!$CD$6:$CD$165,其他调用!$CE$6:$CE$165,H40)-求节点(其他调用!$CD$6:$CD$165,其他调用!$CE$6:$CE$165,I80)</f>
        <v>80620883153.534409</v>
      </c>
      <c r="AK20" s="47">
        <v>80</v>
      </c>
      <c r="AL20" s="47">
        <v>0</v>
      </c>
      <c r="AM20" s="47">
        <f>求节点(其他调用!$CT$6:$CT$165,其他调用!$CU$6:$CU$165,E40)-求节点(其他调用!$CT$6:$CT$165,其他调用!$CU$6:$CU$165,F80)</f>
        <v>1126060604.1417656</v>
      </c>
      <c r="AN20" s="47">
        <f>求节点(其他调用!$CT$6:$CT$165,其他调用!$CU$6:$CU$165,F40)-求节点(其他调用!$CT$6:$CT$165,其他调用!$CU$6:$CU$165,G80)</f>
        <v>1539656709.3822308</v>
      </c>
      <c r="AO20" s="47">
        <f>求节点(其他调用!$CT$6:$CT$165,其他调用!$CU$6:$CU$165,G40)-求节点(其他调用!$CT$6:$CT$165,其他调用!$CU$6:$CU$165,H80)</f>
        <v>1452485935.4553118</v>
      </c>
      <c r="AP20" s="47">
        <f>求节点(其他调用!$CT$6:$CT$165,其他调用!$CU$6:$CU$165,H40)-求节点(其他调用!$CT$6:$CT$165,其他调用!$CU$6:$CU$165,I80)</f>
        <v>1021880483.0443149</v>
      </c>
      <c r="AV20" s="47">
        <v>80</v>
      </c>
      <c r="AW20" s="47">
        <v>0</v>
      </c>
      <c r="AX20" s="47">
        <f>求节点(其他调用!$DB$6:$DB$165,其他调用!$DC$6:$DC$165,E40)-求节点(其他调用!$DB$6:$DB$165,其他调用!$DC$6:$DC$165,F80)</f>
        <v>0</v>
      </c>
      <c r="AY20" s="47">
        <f>求节点(其他调用!$DB$6:$DB$165,其他调用!$DC$6:$DC$165,F40)-求节点(其他调用!$DB$6:$DB$165,其他调用!$DC$6:$DC$165,G80)</f>
        <v>0</v>
      </c>
      <c r="AZ20" s="47">
        <f>求节点(其他调用!$DB$6:$DB$165,其他调用!$DC$6:$DC$165,G40)-求节点(其他调用!$DB$6:$DB$165,其他调用!$DC$6:$DC$165,H80)</f>
        <v>538363.2676410675</v>
      </c>
      <c r="BA20" s="47">
        <f>求节点(其他调用!$DB$6:$DB$165,其他调用!$DC$6:$DC$165,H40)-求节点(其他调用!$DB$6:$DB$165,其他调用!$DC$6:$DC$165,I80)</f>
        <v>1361513889.6377957</v>
      </c>
    </row>
    <row r="26" spans="4:53" x14ac:dyDescent="0.15">
      <c r="E26" s="65" t="s">
        <v>189</v>
      </c>
      <c r="F26" s="65"/>
      <c r="G26" s="65"/>
      <c r="H26" s="65"/>
      <c r="I26" s="65"/>
      <c r="P26" s="65" t="s">
        <v>207</v>
      </c>
      <c r="Q26" s="65"/>
      <c r="R26" s="65"/>
      <c r="S26" s="65"/>
      <c r="T26" s="65"/>
      <c r="AA26" s="65" t="s">
        <v>206</v>
      </c>
      <c r="AB26" s="65"/>
      <c r="AC26" s="65"/>
      <c r="AD26" s="65"/>
      <c r="AE26" s="65"/>
      <c r="AL26" s="65" t="s">
        <v>212</v>
      </c>
      <c r="AM26" s="65"/>
      <c r="AN26" s="65"/>
      <c r="AO26" s="65"/>
      <c r="AP26" s="65"/>
      <c r="AW26" s="65" t="s">
        <v>218</v>
      </c>
      <c r="AX26" s="65"/>
      <c r="AY26" s="65"/>
      <c r="AZ26" s="65"/>
      <c r="BA26" s="65"/>
    </row>
    <row r="27" spans="4:53" x14ac:dyDescent="0.15">
      <c r="D27" s="44" t="s">
        <v>186</v>
      </c>
      <c r="E27" s="44">
        <v>0</v>
      </c>
      <c r="F27" s="44">
        <v>5</v>
      </c>
      <c r="G27" s="44">
        <v>10</v>
      </c>
      <c r="H27" s="44">
        <v>15</v>
      </c>
      <c r="I27" s="44">
        <v>20</v>
      </c>
      <c r="O27" s="44" t="s">
        <v>186</v>
      </c>
      <c r="P27" s="44">
        <v>0</v>
      </c>
      <c r="Q27" s="44">
        <v>5</v>
      </c>
      <c r="R27" s="44">
        <v>10</v>
      </c>
      <c r="S27" s="44">
        <v>15</v>
      </c>
      <c r="T27" s="44">
        <v>20</v>
      </c>
      <c r="Z27" s="44" t="s">
        <v>186</v>
      </c>
      <c r="AA27" s="44">
        <v>0</v>
      </c>
      <c r="AB27" s="44">
        <v>5</v>
      </c>
      <c r="AC27" s="44">
        <v>10</v>
      </c>
      <c r="AD27" s="44">
        <v>15</v>
      </c>
      <c r="AE27" s="44">
        <v>20</v>
      </c>
      <c r="AK27" s="47" t="s">
        <v>186</v>
      </c>
      <c r="AL27" s="47">
        <v>0</v>
      </c>
      <c r="AM27" s="47">
        <v>5</v>
      </c>
      <c r="AN27" s="47">
        <v>10</v>
      </c>
      <c r="AO27" s="47">
        <v>15</v>
      </c>
      <c r="AP27" s="47">
        <v>20</v>
      </c>
      <c r="AV27" s="47" t="s">
        <v>186</v>
      </c>
      <c r="AW27" s="47">
        <v>0</v>
      </c>
      <c r="AX27" s="47">
        <v>5</v>
      </c>
      <c r="AY27" s="47">
        <v>10</v>
      </c>
      <c r="AZ27" s="47">
        <v>15</v>
      </c>
      <c r="BA27" s="47">
        <v>20</v>
      </c>
    </row>
    <row r="28" spans="4:53" x14ac:dyDescent="0.15">
      <c r="D28" s="44">
        <v>20</v>
      </c>
      <c r="E28" s="50">
        <f>求节点(节奏总纲!$P$4:$P$163,节奏总纲!$O$4:$O$163,E8)</f>
        <v>26.430041330048915</v>
      </c>
      <c r="F28" s="50">
        <f>求节点(节奏总纲!$P$4:$P$163,节奏总纲!$O$4:$O$163,F8)</f>
        <v>16.315139190025224</v>
      </c>
      <c r="G28" s="50">
        <f>求节点(节奏总纲!$P$4:$P$163,节奏总纲!$O$4:$O$163,G8)</f>
        <v>8.071211008105136</v>
      </c>
      <c r="H28" s="50">
        <f>求节点(节奏总纲!$P$4:$P$163,节奏总纲!$O$4:$O$163,H8)</f>
        <v>2.0157878378790723</v>
      </c>
      <c r="I28" s="50">
        <f>求节点(节奏总纲!$P$4:$P$163,节奏总纲!$O$4:$O$163,I8)</f>
        <v>0</v>
      </c>
      <c r="O28" s="44">
        <v>20</v>
      </c>
      <c r="P28" s="44">
        <v>0</v>
      </c>
      <c r="Q28" s="44">
        <f>求节点(其他调用!$BV$6:$BV$165,其他调用!$BW$6:$BW$165,F68)-求节点(其他调用!$BV$6:$BV$165,其他调用!$BW$6:$BW$165,F28)</f>
        <v>13110736.731046943</v>
      </c>
      <c r="R28" s="44">
        <f>求节点(其他调用!$BV$6:$BV$165,其他调用!$BW$6:$BW$165,G68)-求节点(其他调用!$BV$6:$BV$165,其他调用!$BW$6:$BW$165,G28)</f>
        <v>2029148.2235853283</v>
      </c>
      <c r="S28" s="44">
        <f>求节点(其他调用!$BV$6:$BV$165,其他调用!$BW$6:$BW$165,H68)-求节点(其他调用!$BV$6:$BV$165,其他调用!$BW$6:$BW$165,H28)</f>
        <v>301171.0330368306</v>
      </c>
      <c r="T28" s="44">
        <f>求节点(其他调用!$BV$6:$BV$165,其他调用!$BW$6:$BW$165,I68)-求节点(其他调用!$BV$6:$BV$165,其他调用!$BW$6:$BW$165,I28)</f>
        <v>13680.473096957463</v>
      </c>
      <c r="Z28" s="44">
        <v>20</v>
      </c>
      <c r="AA28" s="44">
        <v>0</v>
      </c>
      <c r="AB28" s="44">
        <f>求节点(其他调用!$CL$6:$CL$165,其他调用!$CM$6:$CM$165,F68)-求节点(其他调用!$CL$6:$CL$165,其他调用!$CM$6:$CM$165,F28)</f>
        <v>0</v>
      </c>
      <c r="AC28" s="44">
        <f>求节点(其他调用!$CL$6:$CL$165,其他调用!$CM$6:$CM$165,G68)-求节点(其他调用!$CL$6:$CL$165,其他调用!$CM$6:$CM$165,G28)</f>
        <v>0</v>
      </c>
      <c r="AD28" s="44">
        <f>求节点(其他调用!$CL$6:$CL$165,其他调用!$CM$6:$CM$165,H68)-求节点(其他调用!$CL$6:$CL$165,其他调用!$CM$6:$CM$165,H28)</f>
        <v>0</v>
      </c>
      <c r="AE28" s="44">
        <f>求节点(其他调用!$CL$6:$CL$165,其他调用!$CM$6:$CM$165,I68)-求节点(其他调用!$CL$6:$CL$165,其他调用!$CM$6:$CM$165,I28)</f>
        <v>0</v>
      </c>
      <c r="AK28" s="47">
        <v>20</v>
      </c>
      <c r="AL28" s="47">
        <v>0</v>
      </c>
      <c r="AM28" s="47">
        <f>求节点(其他调用!$CT$6:$CT$165,其他调用!$CU$6:$CU$165,F68)-求节点(其他调用!$CT$6:$CT$165,其他调用!$CU$6:$CU$165,F28)</f>
        <v>1152842.0546967003</v>
      </c>
      <c r="AN28" s="47">
        <f>求节点(其他调用!$CT$6:$CT$165,其他调用!$CU$6:$CU$165,G68)-求节点(其他调用!$CT$6:$CT$165,其他调用!$CU$6:$CU$165,G28)</f>
        <v>419842.17560978141</v>
      </c>
      <c r="AO28" s="47">
        <f>求节点(其他调用!$CT$6:$CT$165,其他调用!$CU$6:$CU$165,H68)-求节点(其他调用!$CT$6:$CT$165,其他调用!$CU$6:$CU$165,H28)</f>
        <v>102579.5504145447</v>
      </c>
      <c r="AP28" s="47">
        <f>求节点(其他调用!$CT$6:$CT$165,其他调用!$CU$6:$CU$165,I68)-求节点(其他调用!$CT$6:$CT$165,其他调用!$CU$6:$CU$165,I28)</f>
        <v>3801.5845551709422</v>
      </c>
      <c r="AV28" s="47">
        <v>20</v>
      </c>
      <c r="AW28" s="47">
        <v>0</v>
      </c>
      <c r="AX28" s="47">
        <f>求节点(其他调用!$DB$6:$DB$165,其他调用!$DC$6:$DC$165,F68)-求节点(其他调用!$DB$6:$DB$165,其他调用!$DC$6:$DC$165,F28)</f>
        <v>333823.11045717332</v>
      </c>
      <c r="AY28" s="47">
        <f>求节点(其他调用!$DB$6:$DB$165,其他调用!$DC$6:$DC$165,G68)-求节点(其他调用!$DB$6:$DB$165,其他调用!$DC$6:$DC$165,G28)</f>
        <v>53414.65414592062</v>
      </c>
      <c r="AZ28" s="47">
        <f>求节点(其他调用!$DB$6:$DB$165,其他调用!$DC$6:$DC$165,H68)-求节点(其他调用!$DB$6:$DB$165,其他调用!$DC$6:$DC$165,H28)</f>
        <v>12639.638429313072</v>
      </c>
      <c r="BA28" s="47">
        <f>求节点(其他调用!$DB$6:$DB$165,其他调用!$DC$6:$DC$165,I68)-求节点(其他调用!$DB$6:$DB$165,其他调用!$DC$6:$DC$165,I28)</f>
        <v>5986.0338941549753</v>
      </c>
    </row>
    <row r="29" spans="4:53" x14ac:dyDescent="0.15">
      <c r="D29" s="44">
        <v>25</v>
      </c>
      <c r="E29" s="50">
        <f>求节点(节奏总纲!$P$4:$P$163,节奏总纲!$O$4:$O$163,E9)</f>
        <v>37.433077144085807</v>
      </c>
      <c r="F29" s="50">
        <f>求节点(节奏总纲!$P$4:$P$163,节奏总纲!$O$4:$O$163,F9)</f>
        <v>26.430041330048915</v>
      </c>
      <c r="G29" s="50">
        <f>求节点(节奏总纲!$P$4:$P$163,节奏总纲!$O$4:$O$163,G9)</f>
        <v>16.315139190025224</v>
      </c>
      <c r="H29" s="50">
        <f>求节点(节奏总纲!$P$4:$P$163,节奏总纲!$O$4:$O$163,H9)</f>
        <v>8.071211008105136</v>
      </c>
      <c r="I29" s="50">
        <f>求节点(节奏总纲!$P$4:$P$163,节奏总纲!$O$4:$O$163,I9)</f>
        <v>2.0157878378790723</v>
      </c>
      <c r="O29" s="44">
        <v>25</v>
      </c>
      <c r="P29" s="44">
        <v>0</v>
      </c>
      <c r="Q29" s="44">
        <f>求节点(其他调用!$BV$6:$BV$165,其他调用!$BW$6:$BW$165,F69)-求节点(其他调用!$BV$6:$BV$165,其他调用!$BW$6:$BW$165,F29)</f>
        <v>52606202.723644286</v>
      </c>
      <c r="R29" s="44">
        <f>求节点(其他调用!$BV$6:$BV$165,其他调用!$BW$6:$BW$165,G69)-求节点(其他调用!$BV$6:$BV$165,其他调用!$BW$6:$BW$165,G29)</f>
        <v>11262935.664117444</v>
      </c>
      <c r="S29" s="44">
        <f>求节点(其他调用!$BV$6:$BV$165,其他调用!$BW$6:$BW$165,H69)-求节点(其他调用!$BV$6:$BV$165,其他调用!$BW$6:$BW$165,H29)</f>
        <v>1413864.1887391428</v>
      </c>
      <c r="T29" s="44">
        <f>求节点(其他调用!$BV$6:$BV$165,其他调用!$BW$6:$BW$165,I69)-求节点(其他调用!$BV$6:$BV$165,其他调用!$BW$6:$BW$165,I29)</f>
        <v>168256.21888903924</v>
      </c>
      <c r="Z29" s="44">
        <v>25</v>
      </c>
      <c r="AA29" s="44">
        <v>0</v>
      </c>
      <c r="AB29" s="44">
        <f>求节点(其他调用!$CL$6:$CL$165,其他调用!$CM$6:$CM$165,F69)-求节点(其他调用!$CL$6:$CL$165,其他调用!$CM$6:$CM$165,F29)</f>
        <v>0</v>
      </c>
      <c r="AC29" s="44">
        <f>求节点(其他调用!$CL$6:$CL$165,其他调用!$CM$6:$CM$165,G69)-求节点(其他调用!$CL$6:$CL$165,其他调用!$CM$6:$CM$165,G29)</f>
        <v>0</v>
      </c>
      <c r="AD29" s="44">
        <f>求节点(其他调用!$CL$6:$CL$165,其他调用!$CM$6:$CM$165,H69)-求节点(其他调用!$CL$6:$CL$165,其他调用!$CM$6:$CM$165,H29)</f>
        <v>0</v>
      </c>
      <c r="AE29" s="44">
        <f>求节点(其他调用!$CL$6:$CL$165,其他调用!$CM$6:$CM$165,I69)-求节点(其他调用!$CL$6:$CL$165,其他调用!$CM$6:$CM$165,I29)</f>
        <v>0</v>
      </c>
      <c r="AK29" s="47">
        <v>25</v>
      </c>
      <c r="AL29" s="47">
        <v>0</v>
      </c>
      <c r="AM29" s="47">
        <f>求节点(其他调用!$CT$6:$CT$165,其他调用!$CU$6:$CU$165,F69)-求节点(其他调用!$CT$6:$CT$165,其他调用!$CU$6:$CU$165,F29)</f>
        <v>2896416.297890963</v>
      </c>
      <c r="AN29" s="47">
        <f>求节点(其他调用!$CT$6:$CT$165,其他调用!$CU$6:$CU$165,G69)-求节点(其他调用!$CT$6:$CT$165,其他调用!$CU$6:$CU$165,G29)</f>
        <v>1020895.872085043</v>
      </c>
      <c r="AO29" s="47">
        <f>求节点(其他调用!$CT$6:$CT$165,其他调用!$CU$6:$CU$165,H69)-求节点(其他调用!$CT$6:$CT$165,其他调用!$CU$6:$CU$165,H29)</f>
        <v>327899.72439458617</v>
      </c>
      <c r="AP29" s="47">
        <f>求节点(其他调用!$CT$6:$CT$165,其他调用!$CU$6:$CU$165,I69)-求节点(其他调用!$CT$6:$CT$165,其他调用!$CU$6:$CU$165,I29)</f>
        <v>49582.686316954772</v>
      </c>
      <c r="AV29" s="47">
        <v>25</v>
      </c>
      <c r="AW29" s="47">
        <v>0</v>
      </c>
      <c r="AX29" s="47">
        <f>求节点(其他调用!$DB$6:$DB$165,其他调用!$DC$6:$DC$165,F69)-求节点(其他调用!$DB$6:$DB$165,其他调用!$DC$6:$DC$165,F29)</f>
        <v>790856.00111666624</v>
      </c>
      <c r="AY29" s="47">
        <f>求节点(其他调用!$DB$6:$DB$165,其他调用!$DC$6:$DC$165,G69)-求节点(其他调用!$DB$6:$DB$165,其他调用!$DC$6:$DC$165,G29)</f>
        <v>299606.3342923813</v>
      </c>
      <c r="AZ29" s="47">
        <f>求节点(其他调用!$DB$6:$DB$165,其他调用!$DC$6:$DC$165,H69)-求节点(其他调用!$DB$6:$DB$165,其他调用!$DC$6:$DC$165,H29)</f>
        <v>35362.72088187233</v>
      </c>
      <c r="BA29" s="47">
        <f>求节点(其他调用!$DB$6:$DB$165,其他调用!$DC$6:$DC$165,I69)-求节点(其他调用!$DB$6:$DB$165,其他调用!$DC$6:$DC$165,I29)</f>
        <v>7977.7010635993101</v>
      </c>
    </row>
    <row r="30" spans="4:53" x14ac:dyDescent="0.15">
      <c r="D30" s="44">
        <v>30</v>
      </c>
      <c r="E30" s="50">
        <f>求节点(节奏总纲!$P$4:$P$163,节奏总纲!$O$4:$O$163,E10)</f>
        <v>48.746400836475651</v>
      </c>
      <c r="F30" s="50">
        <f>求节点(节奏总纲!$P$4:$P$163,节奏总纲!$O$4:$O$163,F10)</f>
        <v>37.433077144085807</v>
      </c>
      <c r="G30" s="50">
        <f>求节点(节奏总纲!$P$4:$P$163,节奏总纲!$O$4:$O$163,G10)</f>
        <v>26.430041330048915</v>
      </c>
      <c r="H30" s="50">
        <f>求节点(节奏总纲!$P$4:$P$163,节奏总纲!$O$4:$O$163,H10)</f>
        <v>16.315139190025224</v>
      </c>
      <c r="I30" s="50">
        <f>求节点(节奏总纲!$P$4:$P$163,节奏总纲!$O$4:$O$163,I10)</f>
        <v>8.071211008105136</v>
      </c>
      <c r="O30" s="44">
        <v>30</v>
      </c>
      <c r="P30" s="44">
        <v>0</v>
      </c>
      <c r="Q30" s="44">
        <f>求节点(其他调用!$BV$6:$BV$165,其他调用!$BW$6:$BW$165,F70)-求节点(其他调用!$BV$6:$BV$165,其他调用!$BW$6:$BW$165,F30)</f>
        <v>201942642.70100144</v>
      </c>
      <c r="R30" s="44">
        <f>求节点(其他调用!$BV$6:$BV$165,其他调用!$BW$6:$BW$165,G70)-求节点(其他调用!$BV$6:$BV$165,其他调用!$BW$6:$BW$165,G30)</f>
        <v>45616639.350286767</v>
      </c>
      <c r="S30" s="44">
        <f>求节点(其他调用!$BV$6:$BV$165,其他调用!$BW$6:$BW$165,H70)-求节点(其他调用!$BV$6:$BV$165,其他调用!$BW$6:$BW$165,H30)</f>
        <v>7814893.2415840309</v>
      </c>
      <c r="T30" s="44">
        <f>求节点(其他调用!$BV$6:$BV$165,其他调用!$BW$6:$BW$165,I70)-求节点(其他调用!$BV$6:$BV$165,其他调用!$BW$6:$BW$165,I30)</f>
        <v>873740.0676335271</v>
      </c>
      <c r="Z30" s="44">
        <v>30</v>
      </c>
      <c r="AA30" s="44">
        <v>0</v>
      </c>
      <c r="AB30" s="44">
        <f>求节点(其他调用!$CL$6:$CL$165,其他调用!$CM$6:$CM$165,F70)-求节点(其他调用!$CL$6:$CL$165,其他调用!$CM$6:$CM$165,F30)</f>
        <v>1732884.4009052247</v>
      </c>
      <c r="AC30" s="44">
        <f>求节点(其他调用!$CL$6:$CL$165,其他调用!$CM$6:$CM$165,G70)-求节点(其他调用!$CL$6:$CL$165,其他调用!$CM$6:$CM$165,G30)</f>
        <v>0</v>
      </c>
      <c r="AD30" s="44">
        <f>求节点(其他调用!$CL$6:$CL$165,其他调用!$CM$6:$CM$165,H70)-求节点(其他调用!$CL$6:$CL$165,其他调用!$CM$6:$CM$165,H30)</f>
        <v>0</v>
      </c>
      <c r="AE30" s="44">
        <f>求节点(其他调用!$CL$6:$CL$165,其他调用!$CM$6:$CM$165,I70)-求节点(其他调用!$CL$6:$CL$165,其他调用!$CM$6:$CM$165,I30)</f>
        <v>0</v>
      </c>
      <c r="AK30" s="47">
        <v>30</v>
      </c>
      <c r="AL30" s="47">
        <v>0</v>
      </c>
      <c r="AM30" s="47">
        <f>求节点(其他调用!$CT$6:$CT$165,其他调用!$CU$6:$CU$165,F70)-求节点(其他调用!$CT$6:$CT$165,其他调用!$CU$6:$CU$165,F30)</f>
        <v>7292326.2169518387</v>
      </c>
      <c r="AN30" s="47">
        <f>求节点(其他调用!$CT$6:$CT$165,其他调用!$CU$6:$CU$165,G70)-求节点(其他调用!$CT$6:$CT$165,其他调用!$CU$6:$CU$165,G30)</f>
        <v>2559395.0408146642</v>
      </c>
      <c r="AO30" s="47">
        <f>求节点(其他调用!$CT$6:$CT$165,其他调用!$CU$6:$CU$165,H70)-求节点(其他调用!$CT$6:$CT$165,其他调用!$CU$6:$CU$165,H30)</f>
        <v>761427.64810541319</v>
      </c>
      <c r="AP30" s="47">
        <f>求节点(其他调用!$CT$6:$CT$165,其他调用!$CU$6:$CU$165,I70)-求节点(其他调用!$CT$6:$CT$165,其他调用!$CU$6:$CU$165,I30)</f>
        <v>235766.52334517406</v>
      </c>
      <c r="AV30" s="47">
        <v>30</v>
      </c>
      <c r="AW30" s="47">
        <v>0</v>
      </c>
      <c r="AX30" s="47">
        <f>求节点(其他调用!$DB$6:$DB$165,其他调用!$DC$6:$DC$165,F70)-求节点(其他调用!$DB$6:$DB$165,其他调用!$DC$6:$DC$165,F30)</f>
        <v>2186672.3380485233</v>
      </c>
      <c r="AY30" s="47">
        <f>求节点(其他调用!$DB$6:$DB$165,其他调用!$DC$6:$DC$165,G70)-求节点(其他调用!$DB$6:$DB$165,其他调用!$DC$6:$DC$165,G30)</f>
        <v>713185.40797359892</v>
      </c>
      <c r="AZ30" s="47">
        <f>求节点(其他调用!$DB$6:$DB$165,其他调用!$DC$6:$DC$165,H70)-求节点(其他调用!$DB$6:$DB$165,其他调用!$DC$6:$DC$165,H30)</f>
        <v>223983.76117721011</v>
      </c>
      <c r="BA30" s="47">
        <f>求节点(其他调用!$DB$6:$DB$165,其他调用!$DC$6:$DC$165,I70)-求节点(其他调用!$DB$6:$DB$165,其他调用!$DC$6:$DC$165,I30)</f>
        <v>20933.887897991342</v>
      </c>
    </row>
    <row r="31" spans="4:53" x14ac:dyDescent="0.15">
      <c r="D31" s="44">
        <v>35</v>
      </c>
      <c r="E31" s="50">
        <f>求节点(节奏总纲!$P$4:$P$163,节奏总纲!$O$4:$O$163,E11)</f>
        <v>60.108849423225884</v>
      </c>
      <c r="F31" s="50">
        <f>求节点(节奏总纲!$P$4:$P$163,节奏总纲!$O$4:$O$163,F11)</f>
        <v>48.746400836475651</v>
      </c>
      <c r="G31" s="50">
        <f>求节点(节奏总纲!$P$4:$P$163,节奏总纲!$O$4:$O$163,G11)</f>
        <v>37.433077144085807</v>
      </c>
      <c r="H31" s="50">
        <f>求节点(节奏总纲!$P$4:$P$163,节奏总纲!$O$4:$O$163,H11)</f>
        <v>26.430041330048915</v>
      </c>
      <c r="I31" s="50">
        <f>求节点(节奏总纲!$P$4:$P$163,节奏总纲!$O$4:$O$163,I11)</f>
        <v>16.315139190025224</v>
      </c>
      <c r="O31" s="44">
        <v>35</v>
      </c>
      <c r="P31" s="44">
        <v>0</v>
      </c>
      <c r="Q31" s="44">
        <f>求节点(其他调用!$BV$6:$BV$165,其他调用!$BW$6:$BW$165,F71)-求节点(其他调用!$BV$6:$BV$165,其他调用!$BW$6:$BW$165,F31)</f>
        <v>663399256.86727893</v>
      </c>
      <c r="R31" s="44">
        <f>求节点(其他调用!$BV$6:$BV$165,其他调用!$BW$6:$BW$165,G71)-求节点(其他调用!$BV$6:$BV$165,其他调用!$BW$6:$BW$165,G31)</f>
        <v>175418403.93302771</v>
      </c>
      <c r="S31" s="44">
        <f>求节点(其他调用!$BV$6:$BV$165,其他调用!$BW$6:$BW$165,H71)-求节点(其他调用!$BV$6:$BV$165,其他调用!$BW$6:$BW$165,H31)</f>
        <v>32425041.144187797</v>
      </c>
      <c r="T31" s="44">
        <f>求节点(其他调用!$BV$6:$BV$165,其他调用!$BW$6:$BW$165,I71)-求节点(其他调用!$BV$6:$BV$165,其他调用!$BW$6:$BW$165,I31)</f>
        <v>4753647.7311447319</v>
      </c>
      <c r="Z31" s="44">
        <v>35</v>
      </c>
      <c r="AA31" s="44">
        <v>0</v>
      </c>
      <c r="AB31" s="44">
        <f>求节点(其他调用!$CL$6:$CL$165,其他调用!$CM$6:$CM$165,F71)-求节点(其他调用!$CL$6:$CL$165,其他调用!$CM$6:$CM$165,F31)</f>
        <v>100253323.45262553</v>
      </c>
      <c r="AC31" s="44">
        <f>求节点(其他调用!$CL$6:$CL$165,其他调用!$CM$6:$CM$165,G71)-求节点(其他调用!$CL$6:$CL$165,其他调用!$CM$6:$CM$165,G31)</f>
        <v>1395718.1641501719</v>
      </c>
      <c r="AD31" s="44">
        <f>求节点(其他调用!$CL$6:$CL$165,其他调用!$CM$6:$CM$165,H71)-求节点(其他调用!$CL$6:$CL$165,其他调用!$CM$6:$CM$165,H31)</f>
        <v>0</v>
      </c>
      <c r="AE31" s="44">
        <f>求节点(其他调用!$CL$6:$CL$165,其他调用!$CM$6:$CM$165,I71)-求节点(其他调用!$CL$6:$CL$165,其他调用!$CM$6:$CM$165,I31)</f>
        <v>0</v>
      </c>
      <c r="AK31" s="47">
        <v>35</v>
      </c>
      <c r="AL31" s="47">
        <v>0</v>
      </c>
      <c r="AM31" s="47">
        <f>求节点(其他调用!$CT$6:$CT$165,其他调用!$CU$6:$CU$165,F71)-求节点(其他调用!$CT$6:$CT$165,其他调用!$CU$6:$CU$165,F31)</f>
        <v>17518927.036997102</v>
      </c>
      <c r="AN31" s="47">
        <f>求节点(其他调用!$CT$6:$CT$165,其他调用!$CU$6:$CU$165,G71)-求节点(其他调用!$CT$6:$CT$165,其他调用!$CU$6:$CU$165,G31)</f>
        <v>6453196.3870650968</v>
      </c>
      <c r="AO31" s="47">
        <f>求节点(其他调用!$CT$6:$CT$165,其他调用!$CU$6:$CU$165,H71)-求节点(其他调用!$CT$6:$CT$165,其他调用!$CU$6:$CU$165,H31)</f>
        <v>1893894.6853695454</v>
      </c>
      <c r="AP31" s="47">
        <f>求节点(其他调用!$CT$6:$CT$165,其他调用!$CU$6:$CU$165,I71)-求节点(其他调用!$CT$6:$CT$165,其他调用!$CU$6:$CU$165,I31)</f>
        <v>507142.83754385333</v>
      </c>
      <c r="AV31" s="47">
        <v>35</v>
      </c>
      <c r="AW31" s="47">
        <v>0</v>
      </c>
      <c r="AX31" s="47">
        <f>求节点(其他调用!$DB$6:$DB$165,其他调用!$DC$6:$DC$165,F71)-求节点(其他调用!$DB$6:$DB$165,其他调用!$DC$6:$DC$165,F31)</f>
        <v>5811735.8786737882</v>
      </c>
      <c r="AY31" s="47">
        <f>求节点(其他调用!$DB$6:$DB$165,其他调用!$DC$6:$DC$165,G71)-求节点(其他调用!$DB$6:$DB$165,其他调用!$DC$6:$DC$165,G31)</f>
        <v>1909244.2935493279</v>
      </c>
      <c r="AZ31" s="47">
        <f>求节点(其他调用!$DB$6:$DB$165,其他调用!$DC$6:$DC$165,H71)-求节点(其他调用!$DB$6:$DB$165,其他调用!$DC$6:$DC$165,H31)</f>
        <v>541968.63039891771</v>
      </c>
      <c r="BA31" s="47">
        <f>求节点(其他调用!$DB$6:$DB$165,其他调用!$DC$6:$DC$165,I71)-求节点(其他调用!$DB$6:$DB$165,其他调用!$DC$6:$DC$165,I31)</f>
        <v>143788.98586101391</v>
      </c>
    </row>
    <row r="32" spans="4:53" x14ac:dyDescent="0.15">
      <c r="D32" s="44">
        <v>40</v>
      </c>
      <c r="E32" s="50">
        <f>求节点(节奏总纲!$P$4:$P$163,节奏总纲!$O$4:$O$163,E12)</f>
        <v>70.748339784677938</v>
      </c>
      <c r="F32" s="50">
        <f>求节点(节奏总纲!$P$4:$P$163,节奏总纲!$O$4:$O$163,F12)</f>
        <v>60.108849423225884</v>
      </c>
      <c r="G32" s="50">
        <f>求节点(节奏总纲!$P$4:$P$163,节奏总纲!$O$4:$O$163,G12)</f>
        <v>48.746400836475651</v>
      </c>
      <c r="H32" s="50">
        <f>求节点(节奏总纲!$P$4:$P$163,节奏总纲!$O$4:$O$163,H12)</f>
        <v>37.433077144085807</v>
      </c>
      <c r="I32" s="50">
        <f>求节点(节奏总纲!$P$4:$P$163,节奏总纲!$O$4:$O$163,I12)</f>
        <v>26.430041330048915</v>
      </c>
      <c r="O32" s="44">
        <v>40</v>
      </c>
      <c r="P32" s="44">
        <v>0</v>
      </c>
      <c r="Q32" s="44">
        <f>求节点(其他调用!$BV$6:$BV$165,其他调用!$BW$6:$BW$165,F72)-求节点(其他调用!$BV$6:$BV$165,其他调用!$BW$6:$BW$165,F32)</f>
        <v>1970549934.8700995</v>
      </c>
      <c r="R32" s="44">
        <f>求节点(其他调用!$BV$6:$BV$165,其他调用!$BW$6:$BW$165,G72)-求节点(其他调用!$BV$6:$BV$165,其他调用!$BW$6:$BW$165,G32)</f>
        <v>579027907.0368855</v>
      </c>
      <c r="S32" s="44">
        <f>求节点(其他调用!$BV$6:$BV$165,其他调用!$BW$6:$BW$165,H72)-求节点(其他调用!$BV$6:$BV$165,其他调用!$BW$6:$BW$165,H32)</f>
        <v>124795766.16385525</v>
      </c>
      <c r="T32" s="44">
        <f>求节点(其他调用!$BV$6:$BV$165,其他调用!$BW$6:$BW$165,I72)-求节点(其他调用!$BV$6:$BV$165,其他调用!$BW$6:$BW$165,I32)</f>
        <v>20411021.998749424</v>
      </c>
      <c r="Z32" s="44">
        <v>40</v>
      </c>
      <c r="AA32" s="44">
        <v>0</v>
      </c>
      <c r="AB32" s="44">
        <f>求节点(其他调用!$CL$6:$CL$165,其他调用!$CM$6:$CM$165,F72)-求节点(其他调用!$CL$6:$CL$165,其他调用!$CM$6:$CM$165,F32)</f>
        <v>466674952.76677513</v>
      </c>
      <c r="AC32" s="44">
        <f>求节点(其他调用!$CL$6:$CL$165,其他调用!$CM$6:$CM$165,G72)-求节点(其他调用!$CL$6:$CL$165,其他调用!$CM$6:$CM$165,G32)</f>
        <v>81775915.104134679</v>
      </c>
      <c r="AD32" s="44">
        <f>求节点(其他调用!$CL$6:$CL$165,其他调用!$CM$6:$CM$165,H72)-求节点(其他调用!$CL$6:$CL$165,其他调用!$CM$6:$CM$165,H32)</f>
        <v>786108.56277052395</v>
      </c>
      <c r="AE32" s="44">
        <f>求节点(其他调用!$CL$6:$CL$165,其他调用!$CM$6:$CM$165,I72)-求节点(其他调用!$CL$6:$CL$165,其他调用!$CM$6:$CM$165,I32)</f>
        <v>0</v>
      </c>
      <c r="AK32" s="47">
        <v>40</v>
      </c>
      <c r="AL32" s="47">
        <v>0</v>
      </c>
      <c r="AM32" s="47">
        <f>求节点(其他调用!$CT$6:$CT$165,其他调用!$CU$6:$CU$165,F72)-求节点(其他调用!$CT$6:$CT$165,其他调用!$CU$6:$CU$165,F32)</f>
        <v>37906481.829832047</v>
      </c>
      <c r="AN32" s="47">
        <f>求节点(其他调用!$CT$6:$CT$165,其他调用!$CU$6:$CU$165,G72)-求节点(其他调用!$CT$6:$CT$165,其他调用!$CU$6:$CU$165,G32)</f>
        <v>15510782.551258942</v>
      </c>
      <c r="AO32" s="47">
        <f>求节点(其他调用!$CT$6:$CT$165,其他调用!$CU$6:$CU$165,H72)-求节点(其他调用!$CT$6:$CT$165,其他调用!$CU$6:$CU$165,H32)</f>
        <v>4795418.4887169199</v>
      </c>
      <c r="AP32" s="47">
        <f>求节点(其他调用!$CT$6:$CT$165,其他调用!$CU$6:$CU$165,I72)-求节点(其他调用!$CT$6:$CT$165,其他调用!$CU$6:$CU$165,I32)</f>
        <v>1246869.9195260194</v>
      </c>
      <c r="AV32" s="47">
        <v>40</v>
      </c>
      <c r="AW32" s="47">
        <v>0</v>
      </c>
      <c r="AX32" s="47">
        <f>求节点(其他调用!$DB$6:$DB$165,其他调用!$DC$6:$DC$165,F72)-求节点(其他调用!$DB$6:$DB$165,其他调用!$DC$6:$DC$165,F32)</f>
        <v>12037895.403823512</v>
      </c>
      <c r="AY32" s="47">
        <f>求节点(其他调用!$DB$6:$DB$165,其他调用!$DC$6:$DC$165,G72)-求节点(其他调用!$DB$6:$DB$165,其他调用!$DC$6:$DC$165,G32)</f>
        <v>5178517.1446689069</v>
      </c>
      <c r="AZ32" s="47">
        <f>求节点(其他调用!$DB$6:$DB$165,其他调用!$DC$6:$DC$165,H72)-求节点(其他调用!$DB$6:$DB$165,其他调用!$DC$6:$DC$165,H32)</f>
        <v>1358663.5765616812</v>
      </c>
      <c r="BA32" s="47">
        <f>求节点(其他调用!$DB$6:$DB$165,其他调用!$DC$6:$DC$165,I72)-求节点(其他调用!$DB$6:$DB$165,其他调用!$DC$6:$DC$165,I32)</f>
        <v>362032.62183443207</v>
      </c>
    </row>
    <row r="33" spans="4:53" x14ac:dyDescent="0.15">
      <c r="D33" s="44">
        <v>45</v>
      </c>
      <c r="E33" s="50">
        <f>求节点(节奏总纲!$P$4:$P$163,节奏总纲!$O$4:$O$163,E13)</f>
        <v>81.389787349771211</v>
      </c>
      <c r="F33" s="50">
        <f>求节点(节奏总纲!$P$4:$P$163,节奏总纲!$O$4:$O$163,F13)</f>
        <v>70.748339784677938</v>
      </c>
      <c r="G33" s="50">
        <f>求节点(节奏总纲!$P$4:$P$163,节奏总纲!$O$4:$O$163,G13)</f>
        <v>60.108849423225884</v>
      </c>
      <c r="H33" s="50">
        <f>求节点(节奏总纲!$P$4:$P$163,节奏总纲!$O$4:$O$163,H13)</f>
        <v>48.746400836475651</v>
      </c>
      <c r="I33" s="50">
        <f>求节点(节奏总纲!$P$4:$P$163,节奏总纲!$O$4:$O$163,I13)</f>
        <v>37.433077144085807</v>
      </c>
      <c r="O33" s="44">
        <v>45</v>
      </c>
      <c r="P33" s="44">
        <v>0</v>
      </c>
      <c r="Q33" s="44">
        <f>求节点(其他调用!$BV$6:$BV$165,其他调用!$BW$6:$BW$165,F73)-求节点(其他调用!$BV$6:$BV$165,其他调用!$BW$6:$BW$165,F33)</f>
        <v>5866647226.422245</v>
      </c>
      <c r="R33" s="44">
        <f>求节点(其他调用!$BV$6:$BV$165,其他调用!$BW$6:$BW$165,G73)-求节点(其他调用!$BV$6:$BV$165,其他调用!$BW$6:$BW$165,G33)</f>
        <v>1717222618.4312391</v>
      </c>
      <c r="S33" s="44">
        <f>求节点(其他调用!$BV$6:$BV$165,其他调用!$BW$6:$BW$165,H73)-求节点(其他调用!$BV$6:$BV$165,其他调用!$BW$6:$BW$165,H33)</f>
        <v>418975890.28485119</v>
      </c>
      <c r="T33" s="44">
        <f>求节点(其他调用!$BV$6:$BV$165,其他调用!$BW$6:$BW$165,I73)-求节点(其他调用!$BV$6:$BV$165,其他调用!$BW$6:$BW$165,I33)</f>
        <v>78266232.661759913</v>
      </c>
      <c r="Z33" s="44">
        <v>45</v>
      </c>
      <c r="AA33" s="44">
        <v>0</v>
      </c>
      <c r="AB33" s="44">
        <f>求节点(其他调用!$CL$6:$CL$165,其他调用!$CM$6:$CM$165,F73)-求节点(其他调用!$CL$6:$CL$165,其他调用!$CM$6:$CM$165,F33)</f>
        <v>1467128970.4391594</v>
      </c>
      <c r="AC33" s="44">
        <f>求节点(其他调用!$CL$6:$CL$165,其他调用!$CM$6:$CM$165,G73)-求节点(其他调用!$CL$6:$CL$165,其他调用!$CM$6:$CM$165,G33)</f>
        <v>403208994.08011329</v>
      </c>
      <c r="AD33" s="44">
        <f>求节点(其他调用!$CL$6:$CL$165,其他调用!$CM$6:$CM$165,H73)-求节点(其他调用!$CL$6:$CL$165,其他调用!$CM$6:$CM$165,H33)</f>
        <v>47292284.09581057</v>
      </c>
      <c r="AE33" s="44">
        <f>求节点(其他调用!$CL$6:$CL$165,其他调用!$CM$6:$CM$165,I73)-求节点(其他调用!$CL$6:$CL$165,其他调用!$CM$6:$CM$165,I33)</f>
        <v>238666.99422276454</v>
      </c>
      <c r="AK33" s="47">
        <v>45</v>
      </c>
      <c r="AL33" s="47">
        <v>0</v>
      </c>
      <c r="AM33" s="47">
        <f>求节点(其他调用!$CT$6:$CT$165,其他调用!$CU$6:$CU$165,F73)-求节点(其他调用!$CT$6:$CT$165,其他调用!$CU$6:$CU$165,F33)</f>
        <v>84011148.638687387</v>
      </c>
      <c r="AN33" s="47">
        <f>求节点(其他调用!$CT$6:$CT$165,其他调用!$CU$6:$CU$165,G73)-求节点(其他调用!$CT$6:$CT$165,其他调用!$CU$6:$CU$165,G33)</f>
        <v>33596596.277971268</v>
      </c>
      <c r="AO33" s="47">
        <f>求节点(其他调用!$CT$6:$CT$165,其他调用!$CU$6:$CU$165,H73)-求节点(其他调用!$CT$6:$CT$165,其他调用!$CU$6:$CU$165,H33)</f>
        <v>11540638.832220437</v>
      </c>
      <c r="AP33" s="47">
        <f>求节点(其他调用!$CT$6:$CT$165,其他调用!$CU$6:$CU$165,I73)-求节点(其他调用!$CT$6:$CT$165,其他调用!$CU$6:$CU$165,I33)</f>
        <v>3160611.2566427132</v>
      </c>
      <c r="AV33" s="47">
        <v>45</v>
      </c>
      <c r="AW33" s="47">
        <v>0</v>
      </c>
      <c r="AX33" s="47">
        <f>求节点(其他调用!$DB$6:$DB$165,其他调用!$DC$6:$DC$165,F73)-求节点(其他调用!$DB$6:$DB$165,其他调用!$DC$6:$DC$165,F33)</f>
        <v>25121355.481998939</v>
      </c>
      <c r="AY33" s="47">
        <f>求节点(其他调用!$DB$6:$DB$165,其他调用!$DC$6:$DC$165,G73)-求节点(其他调用!$DB$6:$DB$165,其他调用!$DC$6:$DC$165,G33)</f>
        <v>10694918.975518463</v>
      </c>
      <c r="AZ33" s="47">
        <f>求节点(其他调用!$DB$6:$DB$165,其他调用!$DC$6:$DC$165,H73)-求节点(其他调用!$DB$6:$DB$165,其他调用!$DC$6:$DC$165,H33)</f>
        <v>3880843.9269700251</v>
      </c>
      <c r="BA33" s="47">
        <f>求节点(其他调用!$DB$6:$DB$165,其他调用!$DC$6:$DC$165,I73)-求节点(其他调用!$DB$6:$DB$165,其他调用!$DC$6:$DC$165,I33)</f>
        <v>844148.57070502569</v>
      </c>
    </row>
    <row r="34" spans="4:53" x14ac:dyDescent="0.15">
      <c r="D34" s="44">
        <v>50</v>
      </c>
      <c r="E34" s="50">
        <f>求节点(节奏总纲!$P$4:$P$163,节奏总纲!$O$4:$O$163,E14)</f>
        <v>92.02585597384136</v>
      </c>
      <c r="F34" s="50">
        <f>求节点(节奏总纲!$P$4:$P$163,节奏总纲!$O$4:$O$163,F14)</f>
        <v>81.389787349771211</v>
      </c>
      <c r="G34" s="50">
        <f>求节点(节奏总纲!$P$4:$P$163,节奏总纲!$O$4:$O$163,G14)</f>
        <v>70.748339784677938</v>
      </c>
      <c r="H34" s="50">
        <f>求节点(节奏总纲!$P$4:$P$163,节奏总纲!$O$4:$O$163,H14)</f>
        <v>60.108849423225884</v>
      </c>
      <c r="I34" s="50">
        <f>求节点(节奏总纲!$P$4:$P$163,节奏总纲!$O$4:$O$163,I14)</f>
        <v>48.746400836475651</v>
      </c>
      <c r="O34" s="44">
        <v>50</v>
      </c>
      <c r="P34" s="44">
        <v>0</v>
      </c>
      <c r="Q34" s="44">
        <f>求节点(其他调用!$BV$6:$BV$165,其他调用!$BW$6:$BW$165,F74)-求节点(其他调用!$BV$6:$BV$165,其他调用!$BW$6:$BW$165,F34)</f>
        <v>16723623919.346828</v>
      </c>
      <c r="R34" s="44">
        <f>求节点(其他调用!$BV$6:$BV$165,其他调用!$BW$6:$BW$165,G74)-求节点(其他调用!$BV$6:$BV$165,其他调用!$BW$6:$BW$165,G34)</f>
        <v>5118424972.3795624</v>
      </c>
      <c r="S34" s="44">
        <f>求节点(其他调用!$BV$6:$BV$165,其他调用!$BW$6:$BW$165,H74)-求节点(其他调用!$BV$6:$BV$165,其他调用!$BW$6:$BW$165,H34)</f>
        <v>1229404888.5801153</v>
      </c>
      <c r="T34" s="44">
        <f>求节点(其他调用!$BV$6:$BV$165,其他调用!$BW$6:$BW$165,I74)-求节点(其他调用!$BV$6:$BV$165,其他调用!$BW$6:$BW$165,I34)</f>
        <v>272037211.80203021</v>
      </c>
      <c r="Z34" s="44">
        <v>50</v>
      </c>
      <c r="AA34" s="44">
        <v>0</v>
      </c>
      <c r="AB34" s="44">
        <f>求节点(其他调用!$CL$6:$CL$165,其他调用!$CM$6:$CM$165,F74)-求节点(其他调用!$CL$6:$CL$165,其他调用!$CM$6:$CM$165,F34)</f>
        <v>5323979483.4997473</v>
      </c>
      <c r="AC34" s="44">
        <f>求节点(其他调用!$CL$6:$CL$165,其他调用!$CM$6:$CM$165,G74)-求节点(其他调用!$CL$6:$CL$165,其他调用!$CM$6:$CM$165,G34)</f>
        <v>1282515296.6135859</v>
      </c>
      <c r="AD34" s="44">
        <f>求节点(其他调用!$CL$6:$CL$165,其他调用!$CM$6:$CM$165,H74)-求节点(其他调用!$CL$6:$CL$165,其他调用!$CM$6:$CM$165,H34)</f>
        <v>281208510.84762788</v>
      </c>
      <c r="AE34" s="44">
        <f>求节点(其他调用!$CL$6:$CL$165,其他调用!$CM$6:$CM$165,I74)-求节点(其他调用!$CL$6:$CL$165,其他调用!$CM$6:$CM$165,I34)</f>
        <v>19990972.108763207</v>
      </c>
      <c r="AK34" s="47">
        <v>50</v>
      </c>
      <c r="AL34" s="47">
        <v>0</v>
      </c>
      <c r="AM34" s="47">
        <f>求节点(其他调用!$CT$6:$CT$165,其他调用!$CU$6:$CU$165,F74)-求节点(其他调用!$CT$6:$CT$165,其他调用!$CU$6:$CU$165,F34)</f>
        <v>185730913.17584407</v>
      </c>
      <c r="AN34" s="47">
        <f>求节点(其他调用!$CT$6:$CT$165,其他调用!$CU$6:$CU$165,G74)-求节点(其他调用!$CT$6:$CT$165,其他调用!$CU$6:$CU$165,G34)</f>
        <v>74485225.63843824</v>
      </c>
      <c r="AO34" s="47">
        <f>求节点(其他调用!$CT$6:$CT$165,其他调用!$CU$6:$CU$165,H74)-求节点(其他调用!$CT$6:$CT$165,其他调用!$CU$6:$CU$165,H34)</f>
        <v>25046413.292192791</v>
      </c>
      <c r="AP34" s="47">
        <f>求节点(其他调用!$CT$6:$CT$165,其他调用!$CU$6:$CU$165,I74)-求节点(其他调用!$CT$6:$CT$165,其他调用!$CU$6:$CU$165,I34)</f>
        <v>7627143.9931502584</v>
      </c>
      <c r="AV34" s="47">
        <v>50</v>
      </c>
      <c r="AW34" s="47">
        <v>0</v>
      </c>
      <c r="AX34" s="47">
        <f>求节点(其他调用!$DB$6:$DB$165,其他调用!$DC$6:$DC$165,F74)-求节点(其他调用!$DB$6:$DB$165,其他调用!$DC$6:$DC$165,F34)</f>
        <v>53749444.732389778</v>
      </c>
      <c r="AY34" s="47">
        <f>求节点(其他调用!$DB$6:$DB$165,其他调用!$DC$6:$DC$165,G74)-求节点(其他调用!$DB$6:$DB$165,其他调用!$DC$6:$DC$165,G34)</f>
        <v>22342316.138941612</v>
      </c>
      <c r="AZ34" s="47">
        <f>求节点(其他调用!$DB$6:$DB$165,其他调用!$DC$6:$DC$165,H74)-求节点(其他调用!$DB$6:$DB$165,其他调用!$DC$6:$DC$165,H34)</f>
        <v>8028568.1770578939</v>
      </c>
      <c r="BA34" s="47">
        <f>求节点(其他调用!$DB$6:$DB$165,其他调用!$DC$6:$DC$165,I74)-求节点(其他调用!$DB$6:$DB$165,其他调用!$DC$6:$DC$165,I34)</f>
        <v>2553273.8023474491</v>
      </c>
    </row>
    <row r="35" spans="4:53" x14ac:dyDescent="0.15">
      <c r="D35" s="44">
        <v>55</v>
      </c>
      <c r="E35" s="50">
        <f>求节点(节奏总纲!$P$4:$P$163,节奏总纲!$O$4:$O$163,E15)</f>
        <v>102.62698291511826</v>
      </c>
      <c r="F35" s="50">
        <f>求节点(节奏总纲!$P$4:$P$163,节奏总纲!$O$4:$O$163,F15)</f>
        <v>92.02585597384136</v>
      </c>
      <c r="G35" s="50">
        <f>求节点(节奏总纲!$P$4:$P$163,节奏总纲!$O$4:$O$163,G15)</f>
        <v>81.389787349771211</v>
      </c>
      <c r="H35" s="50">
        <f>求节点(节奏总纲!$P$4:$P$163,节奏总纲!$O$4:$O$163,H15)</f>
        <v>70.748339784677938</v>
      </c>
      <c r="I35" s="50">
        <f>求节点(节奏总纲!$P$4:$P$163,节奏总纲!$O$4:$O$163,I15)</f>
        <v>60.108849423225884</v>
      </c>
      <c r="O35" s="44">
        <v>55</v>
      </c>
      <c r="P35" s="44">
        <v>0</v>
      </c>
      <c r="Q35" s="44">
        <f>求节点(其他调用!$BV$6:$BV$165,其他调用!$BW$6:$BW$165,F75)-求节点(其他调用!$BV$6:$BV$165,其他调用!$BW$6:$BW$165,F35)</f>
        <v>61589222996.662918</v>
      </c>
      <c r="R35" s="44">
        <f>求节点(其他调用!$BV$6:$BV$165,其他调用!$BW$6:$BW$165,G75)-求节点(其他调用!$BV$6:$BV$165,其他调用!$BW$6:$BW$165,G35)</f>
        <v>14578911358.87434</v>
      </c>
      <c r="S35" s="44">
        <f>求节点(其他调用!$BV$6:$BV$165,其他调用!$BW$6:$BW$165,H75)-求节点(其他调用!$BV$6:$BV$165,其他调用!$BW$6:$BW$165,H35)</f>
        <v>3698499303.5976892</v>
      </c>
      <c r="T35" s="44">
        <f>求节点(其他调用!$BV$6:$BV$165,其他调用!$BW$6:$BW$165,I75)-求节点(其他调用!$BV$6:$BV$165,其他调用!$BW$6:$BW$165,I35)</f>
        <v>776584448.83216131</v>
      </c>
      <c r="Z35" s="44">
        <v>55</v>
      </c>
      <c r="AA35" s="44">
        <v>0</v>
      </c>
      <c r="AB35" s="44">
        <f>求节点(其他调用!$CL$6:$CL$165,其他调用!$CM$6:$CM$165,F75)-求节点(其他调用!$CL$6:$CL$165,其他调用!$CM$6:$CM$165,F35)</f>
        <v>18971897939.366421</v>
      </c>
      <c r="AC35" s="44">
        <f>求节点(其他调用!$CL$6:$CL$165,其他调用!$CM$6:$CM$165,G75)-求节点(其他调用!$CL$6:$CL$165,其他调用!$CM$6:$CM$165,G35)</f>
        <v>4634017479.2492466</v>
      </c>
      <c r="AD35" s="44">
        <f>求节点(其他调用!$CL$6:$CL$165,其他调用!$CM$6:$CM$165,H75)-求节点(其他调用!$CL$6:$CL$165,其他调用!$CM$6:$CM$165,H35)</f>
        <v>929263581.34214842</v>
      </c>
      <c r="AE35" s="44">
        <f>求节点(其他调用!$CL$6:$CL$165,其他调用!$CM$6:$CM$165,I75)-求节点(其他调用!$CL$6:$CL$165,其他调用!$CM$6:$CM$165,I35)</f>
        <v>171864596.17322946</v>
      </c>
      <c r="AK35" s="47">
        <v>55</v>
      </c>
      <c r="AL35" s="47">
        <v>0</v>
      </c>
      <c r="AM35" s="47">
        <f>求节点(其他调用!$CT$6:$CT$165,其他调用!$CU$6:$CU$165,F75)-求节点(其他调用!$CT$6:$CT$165,其他调用!$CU$6:$CU$165,F35)</f>
        <v>295661242.17803574</v>
      </c>
      <c r="AN35" s="47">
        <f>求节点(其他调用!$CT$6:$CT$165,其他调用!$CU$6:$CU$165,G75)-求节点(其他调用!$CT$6:$CT$165,其他调用!$CU$6:$CU$165,G35)</f>
        <v>164594651.45498419</v>
      </c>
      <c r="AO35" s="47">
        <f>求节点(其他调用!$CT$6:$CT$165,其他调用!$CU$6:$CU$165,H75)-求节点(其他调用!$CT$6:$CT$165,其他调用!$CU$6:$CU$165,H35)</f>
        <v>55554691.570163697</v>
      </c>
      <c r="AP35" s="47">
        <f>求节点(其他调用!$CT$6:$CT$165,其他调用!$CU$6:$CU$165,I75)-求节点(其他调用!$CT$6:$CT$165,其他调用!$CU$6:$CU$165,I35)</f>
        <v>16580636.014302004</v>
      </c>
      <c r="AV35" s="47">
        <v>55</v>
      </c>
      <c r="AW35" s="47">
        <v>0</v>
      </c>
      <c r="AX35" s="47">
        <f>求节点(其他调用!$DB$6:$DB$165,其他调用!$DC$6:$DC$165,F75)-求节点(其他调用!$DB$6:$DB$165,其他调用!$DC$6:$DC$165,F35)</f>
        <v>233012311.74678093</v>
      </c>
      <c r="AY35" s="47">
        <f>求节点(其他调用!$DB$6:$DB$165,其他调用!$DC$6:$DC$165,G75)-求节点(其他调用!$DB$6:$DB$165,其他调用!$DC$6:$DC$165,G35)</f>
        <v>47895105.109156296</v>
      </c>
      <c r="AZ35" s="47">
        <f>求节点(其他调用!$DB$6:$DB$165,其他调用!$DC$6:$DC$165,H75)-求节点(其他调用!$DB$6:$DB$165,其他调用!$DC$6:$DC$165,H35)</f>
        <v>16748210.016164917</v>
      </c>
      <c r="BA35" s="47">
        <f>求节点(其他调用!$DB$6:$DB$165,其他调用!$DC$6:$DC$165,I75)-求节点(其他调用!$DB$6:$DB$165,其他调用!$DC$6:$DC$165,I35)</f>
        <v>5355161.954649128</v>
      </c>
    </row>
    <row r="36" spans="4:53" x14ac:dyDescent="0.15">
      <c r="D36" s="44">
        <v>60</v>
      </c>
      <c r="E36" s="50">
        <f>求节点(节奏总纲!$P$4:$P$163,节奏总纲!$O$4:$O$163,E16)</f>
        <v>113.21545878873063</v>
      </c>
      <c r="F36" s="50">
        <f>求节点(节奏总纲!$P$4:$P$163,节奏总纲!$O$4:$O$163,F16)</f>
        <v>102.62698291511826</v>
      </c>
      <c r="G36" s="50">
        <f>求节点(节奏总纲!$P$4:$P$163,节奏总纲!$O$4:$O$163,G16)</f>
        <v>92.02585597384136</v>
      </c>
      <c r="H36" s="50">
        <f>求节点(节奏总纲!$P$4:$P$163,节奏总纲!$O$4:$O$163,H16)</f>
        <v>81.389787349771211</v>
      </c>
      <c r="I36" s="50">
        <f>求节点(节奏总纲!$P$4:$P$163,节奏总纲!$O$4:$O$163,I16)</f>
        <v>70.748339784677938</v>
      </c>
      <c r="O36" s="44">
        <v>60</v>
      </c>
      <c r="P36" s="44">
        <v>0</v>
      </c>
      <c r="Q36" s="44">
        <f>求节点(其他调用!$BV$6:$BV$165,其他调用!$BW$6:$BW$165,F76)-求节点(其他调用!$BV$6:$BV$165,其他调用!$BW$6:$BW$165,F36)</f>
        <v>155252562421.70941</v>
      </c>
      <c r="R36" s="44">
        <f>求节点(其他调用!$BV$6:$BV$165,其他调用!$BW$6:$BW$165,G76)-求节点(其他调用!$BV$6:$BV$165,其他调用!$BW$6:$BW$165,G36)</f>
        <v>53761689801.236404</v>
      </c>
      <c r="S36" s="44">
        <f>求节点(其他调用!$BV$6:$BV$165,其他调用!$BW$6:$BW$165,H76)-求节点(其他调用!$BV$6:$BV$165,其他调用!$BW$6:$BW$165,H36)</f>
        <v>10680762779.410057</v>
      </c>
      <c r="T36" s="44">
        <f>求节点(其他调用!$BV$6:$BV$165,其他调用!$BW$6:$BW$165,I76)-求节点(其他调用!$BV$6:$BV$165,其他调用!$BW$6:$BW$165,I36)</f>
        <v>2380065659.671</v>
      </c>
      <c r="Z36" s="44">
        <v>60</v>
      </c>
      <c r="AA36" s="44">
        <v>0</v>
      </c>
      <c r="AB36" s="44">
        <f>求节点(其他调用!$CL$6:$CL$165,其他调用!$CM$6:$CM$165,F76)-求节点(其他调用!$CL$6:$CL$165,其他调用!$CM$6:$CM$165,F36)</f>
        <v>48859911035.980942</v>
      </c>
      <c r="AC36" s="44">
        <f>求节点(其他调用!$CL$6:$CL$165,其他调用!$CM$6:$CM$165,G76)-求节点(其他调用!$CL$6:$CL$165,其他调用!$CM$6:$CM$165,G36)</f>
        <v>16592996136.148228</v>
      </c>
      <c r="AD36" s="44">
        <f>求节点(其他调用!$CL$6:$CL$165,其他调用!$CM$6:$CM$165,H76)-求节点(其他调用!$CL$6:$CL$165,其他调用!$CM$6:$CM$165,H36)</f>
        <v>3367201120.9774227</v>
      </c>
      <c r="AE36" s="44">
        <f>求节点(其他调用!$CL$6:$CL$165,其他调用!$CM$6:$CM$165,I76)-求节点(其他调用!$CL$6:$CL$165,其他调用!$CM$6:$CM$165,I36)</f>
        <v>597454721.43614686</v>
      </c>
      <c r="AK36" s="47">
        <v>60</v>
      </c>
      <c r="AL36" s="47">
        <v>0</v>
      </c>
      <c r="AM36" s="47">
        <f>求节点(其他调用!$CT$6:$CT$165,其他调用!$CU$6:$CU$165,F76)-求节点(其他调用!$CT$6:$CT$165,其他调用!$CU$6:$CU$165,F36)</f>
        <v>714752559.76767099</v>
      </c>
      <c r="AN36" s="47">
        <f>求节点(其他调用!$CT$6:$CT$165,其他调用!$CU$6:$CU$165,G76)-求节点(其他调用!$CT$6:$CT$165,其他调用!$CU$6:$CU$165,G36)</f>
        <v>264524119.15616786</v>
      </c>
      <c r="AO36" s="47">
        <f>求节点(其他调用!$CT$6:$CT$165,其他调用!$CU$6:$CU$165,H76)-求节点(其他调用!$CT$6:$CT$165,其他调用!$CU$6:$CU$165,H36)</f>
        <v>122686971.05304605</v>
      </c>
      <c r="AP36" s="47">
        <f>求节点(其他调用!$CT$6:$CT$165,其他调用!$CU$6:$CU$165,I76)-求节点(其他调用!$CT$6:$CT$165,其他调用!$CU$6:$CU$165,I36)</f>
        <v>36812010.909371495</v>
      </c>
      <c r="AV36" s="47">
        <v>60</v>
      </c>
      <c r="AW36" s="47">
        <v>0</v>
      </c>
      <c r="AX36" s="47">
        <f>求节点(其他调用!$DB$6:$DB$165,其他调用!$DC$6:$DC$165,F76)-求节点(其他调用!$DB$6:$DB$165,其他调用!$DC$6:$DC$165,F36)</f>
        <v>596311772.72972894</v>
      </c>
      <c r="AY36" s="47">
        <f>求节点(其他调用!$DB$6:$DB$165,其他调用!$DC$6:$DC$165,G76)-求节点(其他调用!$DB$6:$DB$165,其他调用!$DC$6:$DC$165,G36)</f>
        <v>207581237.69526869</v>
      </c>
      <c r="AZ36" s="47">
        <f>求节点(其他调用!$DB$6:$DB$165,其他调用!$DC$6:$DC$165,H76)-求节点(其他调用!$DB$6:$DB$165,其他调用!$DC$6:$DC$165,H36)</f>
        <v>34913926.0188362</v>
      </c>
      <c r="BA36" s="47">
        <f>求节点(其他调用!$DB$6:$DB$165,其他调用!$DC$6:$DC$165,I76)-求节点(其他调用!$DB$6:$DB$165,其他调用!$DC$6:$DC$165,I36)</f>
        <v>11166167.059346128</v>
      </c>
    </row>
    <row r="37" spans="4:53" x14ac:dyDescent="0.15">
      <c r="D37" s="44">
        <v>65</v>
      </c>
      <c r="E37" s="50">
        <f>求节点(节奏总纲!$P$4:$P$163,节奏总纲!$O$4:$O$163,E17)</f>
        <v>123.78019813475611</v>
      </c>
      <c r="F37" s="50">
        <f>求节点(节奏总纲!$P$4:$P$163,节奏总纲!$O$4:$O$163,F17)</f>
        <v>113.21545878873063</v>
      </c>
      <c r="G37" s="50">
        <f>求节点(节奏总纲!$P$4:$P$163,节奏总纲!$O$4:$O$163,G17)</f>
        <v>102.62698291511826</v>
      </c>
      <c r="H37" s="50">
        <f>求节点(节奏总纲!$P$4:$P$163,节奏总纲!$O$4:$O$163,H17)</f>
        <v>92.02585597384136</v>
      </c>
      <c r="I37" s="50">
        <f>求节点(节奏总纲!$P$4:$P$163,节奏总纲!$O$4:$O$163,I17)</f>
        <v>81.389787349771211</v>
      </c>
      <c r="O37" s="44">
        <v>65</v>
      </c>
      <c r="P37" s="44">
        <v>0</v>
      </c>
      <c r="Q37" s="44">
        <f>求节点(其他调用!$BV$6:$BV$165,其他调用!$BW$6:$BW$165,F77)-求节点(其他调用!$BV$6:$BV$165,其他调用!$BW$6:$BW$165,F37)</f>
        <v>337827921998.74579</v>
      </c>
      <c r="R37" s="44">
        <f>求节点(其他调用!$BV$6:$BV$165,其他调用!$BW$6:$BW$165,G77)-求节点(其他调用!$BV$6:$BV$165,其他调用!$BW$6:$BW$165,G37)</f>
        <v>137659513881.23322</v>
      </c>
      <c r="S37" s="44">
        <f>求节点(其他调用!$BV$6:$BV$165,其他调用!$BW$6:$BW$165,H77)-求节点(其他调用!$BV$6:$BV$165,其他调用!$BW$6:$BW$165,H37)</f>
        <v>38206283870.445343</v>
      </c>
      <c r="T37" s="44">
        <f>求节点(其他调用!$BV$6:$BV$165,其他调用!$BW$6:$BW$165,I77)-求节点(其他调用!$BV$6:$BV$165,其他调用!$BW$6:$BW$165,I37)</f>
        <v>6965895749.5486641</v>
      </c>
      <c r="Z37" s="44">
        <v>65</v>
      </c>
      <c r="AA37" s="44">
        <v>0</v>
      </c>
      <c r="AB37" s="44">
        <f>求节点(其他调用!$CL$6:$CL$165,其他调用!$CM$6:$CM$165,F77)-求节点(其他调用!$CL$6:$CL$165,其他调用!$CM$6:$CM$165,F37)</f>
        <v>107523069876.3223</v>
      </c>
      <c r="AC37" s="44">
        <f>求节点(其他调用!$CL$6:$CL$165,其他调用!$CM$6:$CM$165,G77)-求节点(其他调用!$CL$6:$CL$165,其他调用!$CM$6:$CM$165,G37)</f>
        <v>43288390662.261993</v>
      </c>
      <c r="AD37" s="44">
        <f>求节点(其他调用!$CL$6:$CL$165,其他调用!$CM$6:$CM$165,H77)-求节点(其他调用!$CL$6:$CL$165,其他调用!$CM$6:$CM$165,H37)</f>
        <v>11870736614.431046</v>
      </c>
      <c r="AE37" s="44">
        <f>求节点(其他调用!$CL$6:$CL$165,其他调用!$CM$6:$CM$165,I77)-求节点(其他调用!$CL$6:$CL$165,其他调用!$CM$6:$CM$165,I37)</f>
        <v>2156618737.2984295</v>
      </c>
      <c r="AK37" s="47">
        <v>65</v>
      </c>
      <c r="AL37" s="47">
        <v>0</v>
      </c>
      <c r="AM37" s="47">
        <f>求节点(其他调用!$CT$6:$CT$165,其他调用!$CU$6:$CU$165,F77)-求节点(其他调用!$CT$6:$CT$165,其他调用!$CU$6:$CU$165,F37)</f>
        <v>1523746587.4887209</v>
      </c>
      <c r="AN37" s="47">
        <f>求节点(其他调用!$CT$6:$CT$165,其他调用!$CU$6:$CU$165,G77)-求节点(其他调用!$CT$6:$CT$165,其他调用!$CU$6:$CU$165,G37)</f>
        <v>634412706.28975356</v>
      </c>
      <c r="AO37" s="47">
        <f>求节点(其他调用!$CT$6:$CT$165,其他调用!$CU$6:$CU$165,H77)-求节点(其他调用!$CT$6:$CT$165,其他调用!$CU$6:$CU$165,H37)</f>
        <v>203924700.66527677</v>
      </c>
      <c r="AP37" s="47">
        <f>求节点(其他调用!$CT$6:$CT$165,其他调用!$CU$6:$CU$165,I77)-求节点(其他调用!$CT$6:$CT$165,其他调用!$CU$6:$CU$165,I37)</f>
        <v>81234376.075629711</v>
      </c>
      <c r="AV37" s="47">
        <v>65</v>
      </c>
      <c r="AW37" s="47">
        <v>0</v>
      </c>
      <c r="AX37" s="47">
        <f>求节点(其他调用!$DB$6:$DB$165,其他调用!$DC$6:$DC$165,F77)-求节点(其他调用!$DB$6:$DB$165,其他调用!$DC$6:$DC$165,F37)</f>
        <v>1823837814.0055413</v>
      </c>
      <c r="AY37" s="47">
        <f>求节点(其他调用!$DB$6:$DB$165,其他调用!$DC$6:$DC$165,G77)-求节点(其他调用!$DB$6:$DB$165,其他调用!$DC$6:$DC$165,G37)</f>
        <v>517720448.89948314</v>
      </c>
      <c r="AZ37" s="47">
        <f>求节点(其他调用!$DB$6:$DB$165,其他调用!$DC$6:$DC$165,H77)-求节点(其他调用!$DB$6:$DB$165,其他调用!$DC$6:$DC$165,H37)</f>
        <v>157568678.49022496</v>
      </c>
      <c r="BA37" s="47">
        <f>求节点(其他调用!$DB$6:$DB$165,其他调用!$DC$6:$DC$165,I77)-求节点(其他调用!$DB$6:$DB$165,其他调用!$DC$6:$DC$165,I37)</f>
        <v>23150735.406358451</v>
      </c>
    </row>
    <row r="38" spans="4:53" x14ac:dyDescent="0.15">
      <c r="D38" s="44">
        <v>70</v>
      </c>
      <c r="E38" s="50">
        <f>求节点(节奏总纲!$P$4:$P$163,节奏总纲!$O$4:$O$163,E18)</f>
        <v>134.32238585092639</v>
      </c>
      <c r="F38" s="50">
        <f>求节点(节奏总纲!$P$4:$P$163,节奏总纲!$O$4:$O$163,F18)</f>
        <v>123.78019813475611</v>
      </c>
      <c r="G38" s="50">
        <f>求节点(节奏总纲!$P$4:$P$163,节奏总纲!$O$4:$O$163,G18)</f>
        <v>113.21545878873063</v>
      </c>
      <c r="H38" s="50">
        <f>求节点(节奏总纲!$P$4:$P$163,节奏总纲!$O$4:$O$163,H18)</f>
        <v>102.62698291511826</v>
      </c>
      <c r="I38" s="50">
        <f>求节点(节奏总纲!$P$4:$P$163,节奏总纲!$O$4:$O$163,I18)</f>
        <v>92.02585597384136</v>
      </c>
      <c r="O38" s="44">
        <v>70</v>
      </c>
      <c r="P38" s="44">
        <v>0</v>
      </c>
      <c r="Q38" s="44">
        <f>求节点(其他调用!$BV$6:$BV$165,其他调用!$BW$6:$BW$165,F78)-求节点(其他调用!$BV$6:$BV$165,其他调用!$BW$6:$BW$165,F38)</f>
        <v>752504114787.86829</v>
      </c>
      <c r="R38" s="44">
        <f>求节点(其他调用!$BV$6:$BV$165,其他调用!$BW$6:$BW$165,G78)-求节点(其他调用!$BV$6:$BV$165,其他调用!$BW$6:$BW$165,G38)</f>
        <v>299677198613.79657</v>
      </c>
      <c r="S38" s="44">
        <f>求节点(其他调用!$BV$6:$BV$165,其他调用!$BW$6:$BW$165,H78)-求节点(其他调用!$BV$6:$BV$165,其他调用!$BW$6:$BW$165,H38)</f>
        <v>102661694071.90977</v>
      </c>
      <c r="T38" s="44">
        <f>求节点(其他调用!$BV$6:$BV$165,其他调用!$BW$6:$BW$165,I78)-求节点(其他调用!$BV$6:$BV$165,其他调用!$BW$6:$BW$165,I38)</f>
        <v>23674442111.889645</v>
      </c>
      <c r="Z38" s="44">
        <v>70</v>
      </c>
      <c r="AA38" s="44">
        <v>0</v>
      </c>
      <c r="AB38" s="44">
        <f>求节点(其他调用!$CL$6:$CL$165,其他调用!$CM$6:$CM$165,F78)-求节点(其他调用!$CL$6:$CL$165,其他调用!$CM$6:$CM$165,F38)</f>
        <v>240981797635.32635</v>
      </c>
      <c r="AC38" s="44">
        <f>求节点(其他调用!$CL$6:$CL$165,其他调用!$CM$6:$CM$165,G78)-求节点(其他调用!$CL$6:$CL$165,其他调用!$CM$6:$CM$165,G38)</f>
        <v>95346400602.467102</v>
      </c>
      <c r="AD38" s="44">
        <f>求节点(其他调用!$CL$6:$CL$165,其他调用!$CM$6:$CM$165,H78)-求节点(其他调用!$CL$6:$CL$165,其他调用!$CM$6:$CM$165,H38)</f>
        <v>32216963456.772049</v>
      </c>
      <c r="AE38" s="44">
        <f>求节点(其他调用!$CL$6:$CL$165,其他调用!$CM$6:$CM$165,I78)-求节点(其他调用!$CL$6:$CL$165,其他调用!$CM$6:$CM$165,I38)</f>
        <v>7422999642.0907717</v>
      </c>
      <c r="AK38" s="47">
        <v>70</v>
      </c>
      <c r="AL38" s="47">
        <v>0</v>
      </c>
      <c r="AM38" s="47">
        <f>求节点(其他调用!$CT$6:$CT$165,其他调用!$CU$6:$CU$165,F78)-求节点(其他调用!$CT$6:$CT$165,其他调用!$CU$6:$CU$165,F38)</f>
        <v>3244330092.8082933</v>
      </c>
      <c r="AN38" s="47">
        <f>求节点(其他调用!$CT$6:$CT$165,其他调用!$CU$6:$CU$165,G78)-求节点(其他调用!$CT$6:$CT$165,其他调用!$CU$6:$CU$165,G38)</f>
        <v>1352743069.8087664</v>
      </c>
      <c r="AO38" s="47">
        <f>求节点(其他调用!$CT$6:$CT$165,其他调用!$CU$6:$CU$165,H78)-求节点(其他调用!$CT$6:$CT$165,其他调用!$CU$6:$CU$165,H38)</f>
        <v>474195368.14680874</v>
      </c>
      <c r="AP38" s="47">
        <f>求节点(其他调用!$CT$6:$CT$165,其他调用!$CU$6:$CU$165,I78)-求节点(其他调用!$CT$6:$CT$165,其他调用!$CU$6:$CU$165,I38)</f>
        <v>142171955.96502525</v>
      </c>
      <c r="AV38" s="47">
        <v>70</v>
      </c>
      <c r="AW38" s="47">
        <v>0</v>
      </c>
      <c r="AX38" s="47">
        <f>求节点(其他调用!$DB$6:$DB$165,其他调用!$DC$6:$DC$165,F78)-求节点(其他调用!$DB$6:$DB$165,其他调用!$DC$6:$DC$165,F38)</f>
        <v>1867902129.3373981</v>
      </c>
      <c r="AY38" s="47">
        <f>求节点(其他调用!$DB$6:$DB$165,其他调用!$DC$6:$DC$165,G78)-求节点(其他调用!$DB$6:$DB$165,其他调用!$DC$6:$DC$165,G38)</f>
        <v>1569355393.310297</v>
      </c>
      <c r="AZ38" s="47">
        <f>求节点(其他调用!$DB$6:$DB$165,其他调用!$DC$6:$DC$165,H78)-求节点(其他调用!$DB$6:$DB$165,其他调用!$DC$6:$DC$165,H38)</f>
        <v>376131416.60735625</v>
      </c>
      <c r="BA38" s="47">
        <f>求节点(其他调用!$DB$6:$DB$165,其他调用!$DC$6:$DC$165,I78)-求节点(其他调用!$DB$6:$DB$165,其他调用!$DC$6:$DC$165,I38)</f>
        <v>109543453.18429843</v>
      </c>
    </row>
    <row r="39" spans="4:53" x14ac:dyDescent="0.15">
      <c r="D39" s="44">
        <v>75</v>
      </c>
      <c r="E39" s="50">
        <f>求节点(节奏总纲!$P$4:$P$163,节奏总纲!$O$4:$O$163,E19)</f>
        <v>144.85011188259233</v>
      </c>
      <c r="F39" s="50">
        <f>求节点(节奏总纲!$P$4:$P$163,节奏总纲!$O$4:$O$163,F19)</f>
        <v>134.32238585092639</v>
      </c>
      <c r="G39" s="50">
        <f>求节点(节奏总纲!$P$4:$P$163,节奏总纲!$O$4:$O$163,G19)</f>
        <v>123.78019813475611</v>
      </c>
      <c r="H39" s="50">
        <f>求节点(节奏总纲!$P$4:$P$163,节奏总纲!$O$4:$O$163,H19)</f>
        <v>113.21545878873063</v>
      </c>
      <c r="I39" s="50">
        <f>求节点(节奏总纲!$P$4:$P$163,节奏总纲!$O$4:$O$163,I19)</f>
        <v>102.62698291511826</v>
      </c>
      <c r="O39" s="44">
        <v>75</v>
      </c>
      <c r="P39" s="44">
        <v>0</v>
      </c>
      <c r="Q39" s="44">
        <f>求节点(其他调用!$BV$6:$BV$165,其他调用!$BW$6:$BW$165,F79)-求节点(其他调用!$BV$6:$BV$165,其他调用!$BW$6:$BW$165,F39)</f>
        <v>1647485306622.3816</v>
      </c>
      <c r="R39" s="44">
        <f>求节点(其他调用!$BV$6:$BV$165,其他调用!$BW$6:$BW$165,G79)-求节点(其他调用!$BV$6:$BV$165,其他调用!$BW$6:$BW$165,G39)</f>
        <v>666294908849.32678</v>
      </c>
      <c r="S39" s="44">
        <f>求节点(其他调用!$BV$6:$BV$165,其他调用!$BW$6:$BW$165,H79)-求节点(其他调用!$BV$6:$BV$165,其他调用!$BW$6:$BW$165,H39)</f>
        <v>223823921296.36432</v>
      </c>
      <c r="T39" s="44">
        <f>求节点(其他调用!$BV$6:$BV$165,其他调用!$BW$6:$BW$165,I79)-求节点(其他调用!$BV$6:$BV$165,其他调用!$BW$6:$BW$165,I39)</f>
        <v>67938339729.861496</v>
      </c>
      <c r="Z39" s="44">
        <v>75</v>
      </c>
      <c r="AA39" s="44">
        <v>0</v>
      </c>
      <c r="AB39" s="44">
        <f>求节点(其他调用!$CL$6:$CL$165,其他调用!$CM$6:$CM$165,F79)-求节点(其他调用!$CL$6:$CL$165,其他调用!$CM$6:$CM$165,F39)</f>
        <v>541072495428.7121</v>
      </c>
      <c r="AC39" s="44">
        <f>求节点(其他调用!$CL$6:$CL$165,其他调用!$CM$6:$CM$165,G79)-求节点(其他调用!$CL$6:$CL$165,其他调用!$CM$6:$CM$165,G39)</f>
        <v>212794578871.14551</v>
      </c>
      <c r="AD39" s="44">
        <f>求节点(其他调用!$CL$6:$CL$165,其他调用!$CM$6:$CM$165,H79)-求节点(其他调用!$CL$6:$CL$165,其他调用!$CM$6:$CM$165,H39)</f>
        <v>71159257036.938446</v>
      </c>
      <c r="AE39" s="44">
        <f>求节点(其他调用!$CL$6:$CL$165,其他调用!$CM$6:$CM$165,I79)-求节点(其他调用!$CL$6:$CL$165,其他调用!$CM$6:$CM$165,I39)</f>
        <v>21248124385.69381</v>
      </c>
      <c r="AK39" s="47">
        <v>75</v>
      </c>
      <c r="AL39" s="47">
        <v>0</v>
      </c>
      <c r="AM39" s="47">
        <f>求节点(其他调用!$CT$6:$CT$165,其他调用!$CU$6:$CU$165,F79)-求节点(其他调用!$CT$6:$CT$165,其他调用!$CU$6:$CU$165,F39)</f>
        <v>6869165950.2710791</v>
      </c>
      <c r="AN39" s="47">
        <f>求节点(其他调用!$CT$6:$CT$165,其他调用!$CU$6:$CU$165,G79)-求节点(其他调用!$CT$6:$CT$165,其他调用!$CU$6:$CU$165,G39)</f>
        <v>2880881151.9224482</v>
      </c>
      <c r="AO39" s="47">
        <f>求节点(其他调用!$CT$6:$CT$165,其他调用!$CU$6:$CU$165,H79)-求节点(其他调用!$CT$6:$CT$165,其他调用!$CU$6:$CU$165,H39)</f>
        <v>1012183295.4470735</v>
      </c>
      <c r="AP39" s="47">
        <f>求节点(其他调用!$CT$6:$CT$165,其他调用!$CU$6:$CU$165,I79)-求节点(其他调用!$CT$6:$CT$165,其他调用!$CU$6:$CU$165,I39)</f>
        <v>314647623.36419117</v>
      </c>
      <c r="AV39" s="47">
        <v>75</v>
      </c>
      <c r="AW39" s="47">
        <v>0</v>
      </c>
      <c r="AX39" s="47">
        <f>求节点(其他调用!$DB$6:$DB$165,其他调用!$DC$6:$DC$165,F79)-求节点(其他调用!$DB$6:$DB$165,其他调用!$DC$6:$DC$165,F39)</f>
        <v>0</v>
      </c>
      <c r="AY39" s="47">
        <f>求节点(其他调用!$DB$6:$DB$165,其他调用!$DC$6:$DC$165,G79)-求节点(其他调用!$DB$6:$DB$165,其他调用!$DC$6:$DC$165,G39)</f>
        <v>1867902129.3373981</v>
      </c>
      <c r="AZ39" s="47">
        <f>求节点(其他调用!$DB$6:$DB$165,其他调用!$DC$6:$DC$165,H79)-求节点(其他调用!$DB$6:$DB$165,其他调用!$DC$6:$DC$165,H39)</f>
        <v>1104283893.0205693</v>
      </c>
      <c r="BA39" s="47">
        <f>求节点(其他调用!$DB$6:$DB$165,其他调用!$DC$6:$DC$165,I79)-求节点(其他调用!$DB$6:$DB$165,其他调用!$DC$6:$DC$165,I39)</f>
        <v>244471060.47674483</v>
      </c>
    </row>
    <row r="40" spans="4:53" x14ac:dyDescent="0.15">
      <c r="D40" s="44">
        <v>80</v>
      </c>
      <c r="E40" s="50">
        <f>求节点(节奏总纲!$P$4:$P$163,节奏总纲!$O$4:$O$163,E20)</f>
        <v>155.35264798579232</v>
      </c>
      <c r="F40" s="50">
        <f>求节点(节奏总纲!$P$4:$P$163,节奏总纲!$O$4:$O$163,F20)</f>
        <v>144.85011188259233</v>
      </c>
      <c r="G40" s="50">
        <f>求节点(节奏总纲!$P$4:$P$163,节奏总纲!$O$4:$O$163,G20)</f>
        <v>134.32238585092639</v>
      </c>
      <c r="H40" s="50">
        <f>求节点(节奏总纲!$P$4:$P$163,节奏总纲!$O$4:$O$163,H20)</f>
        <v>123.78019813475611</v>
      </c>
      <c r="I40" s="50">
        <f>求节点(节奏总纲!$P$4:$P$163,节奏总纲!$O$4:$O$163,I20)</f>
        <v>113.21545878873063</v>
      </c>
      <c r="O40" s="44">
        <v>80</v>
      </c>
      <c r="P40" s="44">
        <v>0</v>
      </c>
      <c r="Q40" s="44">
        <f>求节点(其他调用!$BV$6:$BV$165,其他调用!$BW$6:$BW$165,F80)-求节点(其他调用!$BV$6:$BV$165,其他调用!$BW$6:$BW$165,F40)</f>
        <v>3593268645725.4502</v>
      </c>
      <c r="R40" s="44">
        <f>求节点(其他调用!$BV$6:$BV$165,其他调用!$BW$6:$BW$165,G80)-求节点(其他调用!$BV$6:$BV$165,其他调用!$BW$6:$BW$165,G40)</f>
        <v>1461710365542.4744</v>
      </c>
      <c r="S40" s="44">
        <f>求节点(其他调用!$BV$6:$BV$165,其他调用!$BW$6:$BW$165,H80)-求节点(其他调用!$BV$6:$BV$165,其他调用!$BW$6:$BW$165,H40)</f>
        <v>494696757409.93127</v>
      </c>
      <c r="T40" s="44">
        <f>求节点(其他调用!$BV$6:$BV$165,其他调用!$BW$6:$BW$165,I80)-求节点(其他调用!$BV$6:$BV$165,其他调用!$BW$6:$BW$165,I40)</f>
        <v>148525046648.94208</v>
      </c>
      <c r="Z40" s="44">
        <v>80</v>
      </c>
      <c r="AA40" s="44">
        <v>0</v>
      </c>
      <c r="AB40" s="44">
        <f>求节点(其他调用!$CL$6:$CL$165,其他调用!$CM$6:$CM$165,F80)-求节点(其他调用!$CL$6:$CL$165,其他调用!$CM$6:$CM$165,F40)</f>
        <v>1194161450024.4482</v>
      </c>
      <c r="AC40" s="44">
        <f>求节点(其他调用!$CL$6:$CL$165,其他调用!$CM$6:$CM$165,G80)-求节点(其他调用!$CL$6:$CL$165,其他调用!$CM$6:$CM$165,G40)</f>
        <v>479891211471.65985</v>
      </c>
      <c r="AD40" s="44">
        <f>求节点(其他调用!$CL$6:$CL$165,其他调用!$CM$6:$CM$165,H80)-求节点(其他调用!$CL$6:$CL$165,其他调用!$CM$6:$CM$165,H40)</f>
        <v>156734774384.24628</v>
      </c>
      <c r="AE40" s="44">
        <f>求节点(其他调用!$CL$6:$CL$165,其他调用!$CM$6:$CM$165,I80)-求节点(其他调用!$CL$6:$CL$165,其他调用!$CM$6:$CM$165,I40)</f>
        <v>47179846029.495712</v>
      </c>
      <c r="AK40" s="47">
        <v>80</v>
      </c>
      <c r="AL40" s="47">
        <v>0</v>
      </c>
      <c r="AM40" s="47">
        <f>求节点(其他调用!$CT$6:$CT$165,其他调用!$CU$6:$CU$165,F80)-求节点(其他调用!$CT$6:$CT$165,其他调用!$CU$6:$CU$165,F40)</f>
        <v>14538371011.132013</v>
      </c>
      <c r="AN40" s="47">
        <f>求节点(其他调用!$CT$6:$CT$165,其他调用!$CU$6:$CU$165,G80)-求节点(其他调用!$CT$6:$CT$165,其他调用!$CU$6:$CU$165,G40)</f>
        <v>6099556707.175065</v>
      </c>
      <c r="AO40" s="47">
        <f>求节点(其他调用!$CT$6:$CT$165,其他调用!$CU$6:$CU$165,H80)-求节点(其他调用!$CT$6:$CT$165,其他调用!$CU$6:$CU$165,H40)</f>
        <v>2155866962.156209</v>
      </c>
      <c r="AP40" s="47">
        <f>求节点(其他调用!$CT$6:$CT$165,其他调用!$CU$6:$CU$165,I80)-求节点(其他调用!$CT$6:$CT$165,其他调用!$CU$6:$CU$165,I40)</f>
        <v>673127240.45276594</v>
      </c>
      <c r="AV40" s="47">
        <v>80</v>
      </c>
      <c r="AW40" s="47">
        <v>0</v>
      </c>
      <c r="AX40" s="47">
        <f>求节点(其他调用!$DB$6:$DB$165,其他调用!$DC$6:$DC$165,F80)-求节点(其他调用!$DB$6:$DB$165,其他调用!$DC$6:$DC$165,F40)</f>
        <v>0</v>
      </c>
      <c r="AY40" s="47">
        <f>求节点(其他调用!$DB$6:$DB$165,其他调用!$DC$6:$DC$165,G80)-求节点(其他调用!$DB$6:$DB$165,其他调用!$DC$6:$DC$165,G40)</f>
        <v>0</v>
      </c>
      <c r="AZ40" s="47">
        <f>求节点(其他调用!$DB$6:$DB$165,其他调用!$DC$6:$DC$165,H80)-求节点(其他调用!$DB$6:$DB$165,其他调用!$DC$6:$DC$165,H40)</f>
        <v>1867363766.069757</v>
      </c>
      <c r="BA40" s="47">
        <f>求节点(其他调用!$DB$6:$DB$165,其他调用!$DC$6:$DC$165,I80)-求节点(其他调用!$DB$6:$DB$165,其他调用!$DC$6:$DC$165,I40)</f>
        <v>712827868.5148443</v>
      </c>
    </row>
    <row r="44" spans="4:53" x14ac:dyDescent="0.15">
      <c r="D44" s="53" t="s">
        <v>194</v>
      </c>
      <c r="E44" s="53">
        <v>1</v>
      </c>
      <c r="F44" s="53">
        <v>0.9</v>
      </c>
      <c r="G44" s="53">
        <v>0.8</v>
      </c>
      <c r="H44" s="53">
        <v>0.6</v>
      </c>
      <c r="I44" s="53">
        <v>0.4</v>
      </c>
    </row>
    <row r="45" spans="4:53" x14ac:dyDescent="0.15">
      <c r="D45" s="52" t="s">
        <v>195</v>
      </c>
    </row>
    <row r="46" spans="4:53" x14ac:dyDescent="0.15">
      <c r="E46" s="65" t="s">
        <v>190</v>
      </c>
      <c r="F46" s="65"/>
      <c r="G46" s="65"/>
      <c r="H46" s="65"/>
      <c r="I46" s="65"/>
      <c r="P46" s="65" t="s">
        <v>208</v>
      </c>
      <c r="Q46" s="65"/>
      <c r="R46" s="65"/>
      <c r="S46" s="65"/>
      <c r="T46" s="65"/>
      <c r="AA46" s="65" t="s">
        <v>213</v>
      </c>
      <c r="AB46" s="65"/>
      <c r="AC46" s="65"/>
      <c r="AD46" s="65"/>
      <c r="AE46" s="65"/>
      <c r="AL46" s="65" t="s">
        <v>216</v>
      </c>
      <c r="AM46" s="65"/>
      <c r="AN46" s="65"/>
      <c r="AO46" s="65"/>
      <c r="AP46" s="65"/>
      <c r="AW46" s="65" t="s">
        <v>217</v>
      </c>
      <c r="AX46" s="65"/>
      <c r="AY46" s="65"/>
      <c r="AZ46" s="65"/>
      <c r="BA46" s="65"/>
    </row>
    <row r="47" spans="4:53" x14ac:dyDescent="0.15">
      <c r="D47" s="44" t="s">
        <v>186</v>
      </c>
      <c r="E47" s="44">
        <v>0</v>
      </c>
      <c r="F47" s="44">
        <v>5</v>
      </c>
      <c r="G47" s="44">
        <v>10</v>
      </c>
      <c r="H47" s="44">
        <v>15</v>
      </c>
      <c r="I47" s="44">
        <v>20</v>
      </c>
      <c r="O47" s="44" t="s">
        <v>186</v>
      </c>
      <c r="P47" s="44">
        <v>0</v>
      </c>
      <c r="Q47" s="44">
        <v>5</v>
      </c>
      <c r="R47" s="44">
        <v>10</v>
      </c>
      <c r="S47" s="44">
        <v>15</v>
      </c>
      <c r="T47" s="44">
        <v>20</v>
      </c>
      <c r="Z47" s="44" t="s">
        <v>186</v>
      </c>
      <c r="AA47" s="44">
        <v>0</v>
      </c>
      <c r="AB47" s="44">
        <v>5</v>
      </c>
      <c r="AC47" s="44">
        <v>10</v>
      </c>
      <c r="AD47" s="44">
        <v>15</v>
      </c>
      <c r="AE47" s="44">
        <v>20</v>
      </c>
      <c r="AK47" s="47" t="s">
        <v>186</v>
      </c>
      <c r="AL47" s="47">
        <v>0</v>
      </c>
      <c r="AM47" s="47">
        <v>5</v>
      </c>
      <c r="AN47" s="47">
        <v>10</v>
      </c>
      <c r="AO47" s="47">
        <v>15</v>
      </c>
      <c r="AP47" s="47">
        <v>20</v>
      </c>
      <c r="AV47" s="47" t="s">
        <v>186</v>
      </c>
      <c r="AW47" s="47">
        <v>0</v>
      </c>
      <c r="AX47" s="47">
        <v>5</v>
      </c>
      <c r="AY47" s="47">
        <v>10</v>
      </c>
      <c r="AZ47" s="47">
        <v>15</v>
      </c>
      <c r="BA47" s="47">
        <v>20</v>
      </c>
    </row>
    <row r="48" spans="4:53" x14ac:dyDescent="0.15">
      <c r="D48" s="44">
        <v>20</v>
      </c>
      <c r="E48" s="44">
        <v>0</v>
      </c>
      <c r="F48" s="50">
        <f>(E8-F8)*F$44+F8</f>
        <v>4.9350000000000005</v>
      </c>
      <c r="G48" s="50">
        <f t="shared" ref="G48:I48" si="0">(F8-G8)*G$44+G8</f>
        <v>1.83</v>
      </c>
      <c r="H48" s="50">
        <f t="shared" si="0"/>
        <v>0.51</v>
      </c>
      <c r="I48" s="50">
        <f t="shared" si="0"/>
        <v>0.06</v>
      </c>
      <c r="O48" s="44">
        <v>20</v>
      </c>
      <c r="P48" s="44">
        <v>0</v>
      </c>
      <c r="Q48" s="51">
        <f>MAX(MIN(Q8/Q28,Q$1),Q$2)</f>
        <v>0.2</v>
      </c>
      <c r="R48" s="51">
        <f t="shared" ref="R48:T48" si="1">MAX(MIN(R8/R28,R$1),R$2)</f>
        <v>0.3</v>
      </c>
      <c r="S48" s="51">
        <f t="shared" si="1"/>
        <v>0.4</v>
      </c>
      <c r="T48" s="51">
        <f t="shared" si="1"/>
        <v>0.5</v>
      </c>
      <c r="Z48" s="44">
        <v>20</v>
      </c>
      <c r="AA48" s="44">
        <v>0</v>
      </c>
      <c r="AB48" s="51">
        <f>IFERROR(MAX(MIN(AB8/AB28,AB$1),AB$2),AB$1)</f>
        <v>0.2</v>
      </c>
      <c r="AC48" s="51">
        <f t="shared" ref="AC48:AE48" si="2">IFERROR(MAX(MIN(AC8/AC28,AC$1),AC$2),AC$1)</f>
        <v>0.3</v>
      </c>
      <c r="AD48" s="51">
        <f t="shared" si="2"/>
        <v>0.4</v>
      </c>
      <c r="AE48" s="51">
        <f t="shared" si="2"/>
        <v>0.5</v>
      </c>
      <c r="AK48" s="47">
        <v>20</v>
      </c>
      <c r="AL48" s="47">
        <v>0</v>
      </c>
      <c r="AM48" s="51">
        <f>IFERROR(MAX(MIN(AM8/AM28,AM$1)*$AL$4,AM$2),AM$2)</f>
        <v>0.05</v>
      </c>
      <c r="AN48" s="51">
        <f t="shared" ref="AN48:AP48" si="3">IFERROR(MAX(MIN(AN8/AN28,AN$1)*$AL$4,AN$2),AN$2)</f>
        <v>9.1901148731222515E-2</v>
      </c>
      <c r="AO48" s="51">
        <f t="shared" si="3"/>
        <v>0.15000000000000002</v>
      </c>
      <c r="AP48" s="51">
        <f t="shared" si="3"/>
        <v>0.2</v>
      </c>
      <c r="AV48" s="47">
        <v>20</v>
      </c>
      <c r="AW48" s="47">
        <v>0</v>
      </c>
      <c r="AX48" s="51">
        <f>IFERROR(MAX(MIN(AX8/AX28,AX$1)*$AW$4,AX$2),AX$2)</f>
        <v>0.05</v>
      </c>
      <c r="AY48" s="51">
        <f t="shared" ref="AY48:BA48" si="4">IFERROR(MAX(MIN(AY8/AY28,AY$1)*$AW$4,AY$2),AY$2)</f>
        <v>0.1</v>
      </c>
      <c r="AZ48" s="51">
        <f t="shared" si="4"/>
        <v>0.15000000000000002</v>
      </c>
      <c r="BA48" s="51">
        <f t="shared" si="4"/>
        <v>0.2</v>
      </c>
    </row>
    <row r="49" spans="4:53" x14ac:dyDescent="0.15">
      <c r="D49" s="44">
        <v>25</v>
      </c>
      <c r="E49" s="44">
        <v>0</v>
      </c>
      <c r="F49" s="50">
        <f t="shared" ref="F49" si="5">(E9-F9)*F$44+F9</f>
        <v>11.685</v>
      </c>
      <c r="G49" s="50">
        <f t="shared" ref="G49:I49" si="6">(F9-G9)*G$44+G9</f>
        <v>4.62</v>
      </c>
      <c r="H49" s="50">
        <f t="shared" si="6"/>
        <v>1.56</v>
      </c>
      <c r="I49" s="50">
        <f t="shared" si="6"/>
        <v>0.39</v>
      </c>
      <c r="O49" s="44">
        <v>25</v>
      </c>
      <c r="P49" s="44">
        <v>0</v>
      </c>
      <c r="Q49" s="51">
        <f t="shared" ref="Q49:T49" si="7">MAX(MIN(Q9/Q29,Q$1),Q$2)</f>
        <v>0.2</v>
      </c>
      <c r="R49" s="51">
        <f t="shared" si="7"/>
        <v>0.3</v>
      </c>
      <c r="S49" s="51">
        <f t="shared" si="7"/>
        <v>0.4</v>
      </c>
      <c r="T49" s="51">
        <f t="shared" si="7"/>
        <v>0.5</v>
      </c>
      <c r="Z49" s="44">
        <v>25</v>
      </c>
      <c r="AA49" s="44">
        <v>0</v>
      </c>
      <c r="AB49" s="51">
        <f t="shared" ref="AB49:AE49" si="8">IFERROR(MAX(MIN(AB9/AB29,AB$1),AB$2),AB$1)</f>
        <v>0.2</v>
      </c>
      <c r="AC49" s="51">
        <f t="shared" si="8"/>
        <v>0.3</v>
      </c>
      <c r="AD49" s="51">
        <f t="shared" si="8"/>
        <v>0.4</v>
      </c>
      <c r="AE49" s="51">
        <f t="shared" si="8"/>
        <v>0.5</v>
      </c>
      <c r="AK49" s="47">
        <v>25</v>
      </c>
      <c r="AL49" s="47">
        <v>0</v>
      </c>
      <c r="AM49" s="51">
        <f t="shared" ref="AM49:AP49" si="9">IFERROR(MAX(MIN(AM9/AM29,AM$1)*$AL$4,AM$2),AM$2)</f>
        <v>0.05</v>
      </c>
      <c r="AN49" s="51">
        <f t="shared" si="9"/>
        <v>0.1</v>
      </c>
      <c r="AO49" s="51">
        <f t="shared" si="9"/>
        <v>0.15000000000000002</v>
      </c>
      <c r="AP49" s="51">
        <f t="shared" si="9"/>
        <v>0.2</v>
      </c>
      <c r="AV49" s="47">
        <v>25</v>
      </c>
      <c r="AW49" s="47">
        <v>0</v>
      </c>
      <c r="AX49" s="51">
        <f t="shared" ref="AX49:BA49" si="10">IFERROR(MAX(MIN(AX9/AX29,AX$1)*$AW$4,AX$2),AX$2)</f>
        <v>0.05</v>
      </c>
      <c r="AY49" s="51">
        <f t="shared" si="10"/>
        <v>0.1</v>
      </c>
      <c r="AZ49" s="51">
        <f t="shared" si="10"/>
        <v>0.15000000000000002</v>
      </c>
      <c r="BA49" s="51">
        <f t="shared" si="10"/>
        <v>0.2</v>
      </c>
    </row>
    <row r="50" spans="4:53" x14ac:dyDescent="0.15">
      <c r="D50" s="44">
        <v>30</v>
      </c>
      <c r="E50" s="44">
        <v>0</v>
      </c>
      <c r="F50" s="50">
        <f t="shared" ref="F50" si="11">(E10-F10)*F$44+F10</f>
        <v>26.755000000000003</v>
      </c>
      <c r="G50" s="50">
        <f t="shared" ref="G50:I50" si="12">(F10-G10)*G$44+G10</f>
        <v>10.97</v>
      </c>
      <c r="H50" s="50">
        <f t="shared" si="12"/>
        <v>3.99</v>
      </c>
      <c r="I50" s="50">
        <f t="shared" si="12"/>
        <v>1.29</v>
      </c>
      <c r="O50" s="44">
        <v>30</v>
      </c>
      <c r="P50" s="44">
        <v>0</v>
      </c>
      <c r="Q50" s="51">
        <f t="shared" ref="Q50:T50" si="13">MAX(MIN(Q10/Q30,Q$1),Q$2)</f>
        <v>0.2</v>
      </c>
      <c r="R50" s="51">
        <f t="shared" si="13"/>
        <v>0.3</v>
      </c>
      <c r="S50" s="51">
        <f t="shared" si="13"/>
        <v>0.4</v>
      </c>
      <c r="T50" s="51">
        <f t="shared" si="13"/>
        <v>0.5</v>
      </c>
      <c r="Z50" s="44">
        <v>30</v>
      </c>
      <c r="AA50" s="44">
        <v>0</v>
      </c>
      <c r="AB50" s="51">
        <f t="shared" ref="AB50:AE50" si="14">IFERROR(MAX(MIN(AB10/AB30,AB$1),AB$2),AB$1)</f>
        <v>0.2</v>
      </c>
      <c r="AC50" s="51">
        <f t="shared" si="14"/>
        <v>0.3</v>
      </c>
      <c r="AD50" s="51">
        <f t="shared" si="14"/>
        <v>0.4</v>
      </c>
      <c r="AE50" s="51">
        <f t="shared" si="14"/>
        <v>0.5</v>
      </c>
      <c r="AK50" s="47">
        <v>30</v>
      </c>
      <c r="AL50" s="47">
        <v>0</v>
      </c>
      <c r="AM50" s="51">
        <f t="shared" ref="AM50:AP50" si="15">IFERROR(MAX(MIN(AM10/AM30,AM$1)*$AL$4,AM$2),AM$2)</f>
        <v>0.05</v>
      </c>
      <c r="AN50" s="51">
        <f t="shared" si="15"/>
        <v>0.1</v>
      </c>
      <c r="AO50" s="51">
        <f t="shared" si="15"/>
        <v>0.15000000000000002</v>
      </c>
      <c r="AP50" s="51">
        <f t="shared" si="15"/>
        <v>0.2</v>
      </c>
      <c r="AV50" s="47">
        <v>30</v>
      </c>
      <c r="AW50" s="47">
        <v>0</v>
      </c>
      <c r="AX50" s="51">
        <f t="shared" ref="AX50:BA50" si="16">IFERROR(MAX(MIN(AX10/AX30,AX$1)*$AW$4,AX$2),AX$2)</f>
        <v>5.0597593062194829E-2</v>
      </c>
      <c r="AY50" s="51">
        <f t="shared" si="16"/>
        <v>0.1</v>
      </c>
      <c r="AZ50" s="51">
        <f t="shared" si="16"/>
        <v>0.15000000000000002</v>
      </c>
      <c r="BA50" s="51">
        <f t="shared" si="16"/>
        <v>0.2</v>
      </c>
    </row>
    <row r="51" spans="4:53" x14ac:dyDescent="0.15">
      <c r="D51" s="44">
        <v>35</v>
      </c>
      <c r="E51" s="44">
        <v>0</v>
      </c>
      <c r="F51" s="50">
        <f t="shared" ref="F51" si="17">(E11-F11)*F$44+F11</f>
        <v>59.984999999999999</v>
      </c>
      <c r="G51" s="50">
        <f t="shared" ref="G51:I51" si="18">(F11-G11)*G$44+G11</f>
        <v>25.160000000000004</v>
      </c>
      <c r="H51" s="50">
        <f t="shared" si="18"/>
        <v>9.5399999999999991</v>
      </c>
      <c r="I51" s="50">
        <f t="shared" si="18"/>
        <v>3.3600000000000003</v>
      </c>
      <c r="O51" s="44">
        <v>35</v>
      </c>
      <c r="P51" s="44">
        <v>0</v>
      </c>
      <c r="Q51" s="51">
        <f t="shared" ref="Q51:T51" si="19">MAX(MIN(Q11/Q31,Q$1),Q$2)</f>
        <v>0.2</v>
      </c>
      <c r="R51" s="51">
        <f t="shared" si="19"/>
        <v>0.3</v>
      </c>
      <c r="S51" s="51">
        <f t="shared" si="19"/>
        <v>0.4</v>
      </c>
      <c r="T51" s="51">
        <f t="shared" si="19"/>
        <v>0.5</v>
      </c>
      <c r="Z51" s="44">
        <v>35</v>
      </c>
      <c r="AA51" s="44">
        <v>0</v>
      </c>
      <c r="AB51" s="51">
        <f t="shared" ref="AB51:AE51" si="20">IFERROR(MAX(MIN(AB11/AB31,AB$1),AB$2),AB$1)</f>
        <v>0.2</v>
      </c>
      <c r="AC51" s="51">
        <f t="shared" si="20"/>
        <v>0.3</v>
      </c>
      <c r="AD51" s="51">
        <f t="shared" si="20"/>
        <v>0.4</v>
      </c>
      <c r="AE51" s="51">
        <f t="shared" si="20"/>
        <v>0.5</v>
      </c>
      <c r="AK51" s="47">
        <v>35</v>
      </c>
      <c r="AL51" s="47">
        <v>0</v>
      </c>
      <c r="AM51" s="51">
        <f t="shared" ref="AM51:AP51" si="21">IFERROR(MAX(MIN(AM11/AM31,AM$1)*$AL$4,AM$2),AM$2)</f>
        <v>0.05</v>
      </c>
      <c r="AN51" s="51">
        <f t="shared" si="21"/>
        <v>0.1</v>
      </c>
      <c r="AO51" s="51">
        <f t="shared" si="21"/>
        <v>0.15000000000000002</v>
      </c>
      <c r="AP51" s="51">
        <f t="shared" si="21"/>
        <v>0.2</v>
      </c>
      <c r="AV51" s="47">
        <v>35</v>
      </c>
      <c r="AW51" s="47">
        <v>0</v>
      </c>
      <c r="AX51" s="51">
        <f t="shared" ref="AX51:BA51" si="22">IFERROR(MAX(MIN(AX11/AX31,AX$1)*$AW$4,AX$2),AX$2)</f>
        <v>0.05</v>
      </c>
      <c r="AY51" s="51">
        <f t="shared" si="22"/>
        <v>0.1</v>
      </c>
      <c r="AZ51" s="51">
        <f t="shared" si="22"/>
        <v>0.15000000000000002</v>
      </c>
      <c r="BA51" s="51">
        <f t="shared" si="22"/>
        <v>0.2</v>
      </c>
    </row>
    <row r="52" spans="4:53" x14ac:dyDescent="0.15">
      <c r="D52" s="44">
        <v>40</v>
      </c>
      <c r="E52" s="44">
        <v>0</v>
      </c>
      <c r="F52" s="50">
        <f t="shared" ref="F52" si="23">(E12-F12)*F$44+F12</f>
        <v>126.83750000000001</v>
      </c>
      <c r="G52" s="50">
        <f t="shared" ref="G52:I52" si="24">(F12-G12)*G$44+G12</f>
        <v>56.47</v>
      </c>
      <c r="H52" s="50">
        <f t="shared" si="24"/>
        <v>21.97</v>
      </c>
      <c r="I52" s="50">
        <f t="shared" si="24"/>
        <v>8.11</v>
      </c>
      <c r="O52" s="44">
        <v>40</v>
      </c>
      <c r="P52" s="44">
        <v>0</v>
      </c>
      <c r="Q52" s="51">
        <f t="shared" ref="Q52:T52" si="25">MAX(MIN(Q12/Q32,Q$1),Q$2)</f>
        <v>0.19005513973155955</v>
      </c>
      <c r="R52" s="51">
        <f t="shared" si="25"/>
        <v>0.3</v>
      </c>
      <c r="S52" s="51">
        <f t="shared" si="25"/>
        <v>0.4</v>
      </c>
      <c r="T52" s="51">
        <f t="shared" si="25"/>
        <v>0.5</v>
      </c>
      <c r="Z52" s="44">
        <v>40</v>
      </c>
      <c r="AA52" s="44">
        <v>0</v>
      </c>
      <c r="AB52" s="51">
        <f t="shared" ref="AB52:AE52" si="26">IFERROR(MAX(MIN(AB12/AB32,AB$1),AB$2),AB$1)</f>
        <v>0.19134176891350727</v>
      </c>
      <c r="AC52" s="51">
        <f t="shared" si="26"/>
        <v>0.3</v>
      </c>
      <c r="AD52" s="51">
        <f t="shared" si="26"/>
        <v>0.4</v>
      </c>
      <c r="AE52" s="51">
        <f t="shared" si="26"/>
        <v>0.5</v>
      </c>
      <c r="AK52" s="47">
        <v>40</v>
      </c>
      <c r="AL52" s="47">
        <v>0</v>
      </c>
      <c r="AM52" s="51">
        <f t="shared" ref="AM52:AP52" si="27">IFERROR(MAX(MIN(AM12/AM32,AM$1)*$AL$4,AM$2),AM$2)</f>
        <v>0.05</v>
      </c>
      <c r="AN52" s="51">
        <f t="shared" si="27"/>
        <v>0.1</v>
      </c>
      <c r="AO52" s="51">
        <f t="shared" si="27"/>
        <v>0.15000000000000002</v>
      </c>
      <c r="AP52" s="51">
        <f t="shared" si="27"/>
        <v>0.2</v>
      </c>
      <c r="AV52" s="47">
        <v>40</v>
      </c>
      <c r="AW52" s="47">
        <v>0</v>
      </c>
      <c r="AX52" s="51">
        <f t="shared" ref="AX52:BA52" si="28">IFERROR(MAX(MIN(AX12/AX32,AX$1)*$AW$4,AX$2),AX$2)</f>
        <v>0.05</v>
      </c>
      <c r="AY52" s="51">
        <f t="shared" si="28"/>
        <v>0.1</v>
      </c>
      <c r="AZ52" s="51">
        <f t="shared" si="28"/>
        <v>0.15000000000000002</v>
      </c>
      <c r="BA52" s="51">
        <f t="shared" si="28"/>
        <v>0.2</v>
      </c>
    </row>
    <row r="53" spans="4:53" x14ac:dyDescent="0.15">
      <c r="D53" s="44">
        <v>45</v>
      </c>
      <c r="E53" s="44">
        <v>0</v>
      </c>
      <c r="F53" s="50">
        <f t="shared" ref="F53" si="29">(E13-F13)*F$44+F13</f>
        <v>266.33249999999998</v>
      </c>
      <c r="G53" s="50">
        <f t="shared" ref="G53:I53" si="30">(F13-G13)*G$44+G13</f>
        <v>119.80000000000001</v>
      </c>
      <c r="H53" s="50">
        <f t="shared" si="30"/>
        <v>49.44</v>
      </c>
      <c r="I53" s="50">
        <f t="shared" si="30"/>
        <v>18.78</v>
      </c>
      <c r="O53" s="44">
        <v>45</v>
      </c>
      <c r="P53" s="44">
        <v>0</v>
      </c>
      <c r="Q53" s="51">
        <f t="shared" ref="Q53:T53" si="31">MAX(MIN(Q13/Q33,Q$1),Q$2)</f>
        <v>0.2</v>
      </c>
      <c r="R53" s="51">
        <f t="shared" si="31"/>
        <v>0.3</v>
      </c>
      <c r="S53" s="51">
        <f t="shared" si="31"/>
        <v>0.4</v>
      </c>
      <c r="T53" s="51">
        <f t="shared" si="31"/>
        <v>0.5</v>
      </c>
      <c r="Z53" s="44">
        <v>45</v>
      </c>
      <c r="AA53" s="44">
        <v>0</v>
      </c>
      <c r="AB53" s="51">
        <f t="shared" ref="AB53:AE53" si="32">IFERROR(MAX(MIN(AB13/AB33,AB$1),AB$2),AB$1)</f>
        <v>0.11589322297363722</v>
      </c>
      <c r="AC53" s="51">
        <f t="shared" si="32"/>
        <v>0.3</v>
      </c>
      <c r="AD53" s="51">
        <f t="shared" si="32"/>
        <v>0.4</v>
      </c>
      <c r="AE53" s="51">
        <f t="shared" si="32"/>
        <v>0.5</v>
      </c>
      <c r="AK53" s="47">
        <v>45</v>
      </c>
      <c r="AL53" s="47">
        <v>0</v>
      </c>
      <c r="AM53" s="51">
        <f t="shared" ref="AM53:AP53" si="33">IFERROR(MAX(MIN(AM13/AM33,AM$1)*$AL$4,AM$2),AM$2)</f>
        <v>0.05</v>
      </c>
      <c r="AN53" s="51">
        <f t="shared" si="33"/>
        <v>0.1</v>
      </c>
      <c r="AO53" s="51">
        <f t="shared" si="33"/>
        <v>0.15000000000000002</v>
      </c>
      <c r="AP53" s="51">
        <f t="shared" si="33"/>
        <v>0.2</v>
      </c>
      <c r="AV53" s="47">
        <v>45</v>
      </c>
      <c r="AW53" s="47">
        <v>0</v>
      </c>
      <c r="AX53" s="51">
        <f t="shared" ref="AX53:BA53" si="34">IFERROR(MAX(MIN(AX13/AX33,AX$1)*$AW$4,AX$2),AX$2)</f>
        <v>0.05</v>
      </c>
      <c r="AY53" s="51">
        <f t="shared" si="34"/>
        <v>0.1</v>
      </c>
      <c r="AZ53" s="51">
        <f t="shared" si="34"/>
        <v>0.15000000000000002</v>
      </c>
      <c r="BA53" s="51">
        <f t="shared" si="34"/>
        <v>0.2</v>
      </c>
    </row>
    <row r="54" spans="4:53" x14ac:dyDescent="0.15">
      <c r="D54" s="44">
        <v>50</v>
      </c>
      <c r="E54" s="44">
        <v>0</v>
      </c>
      <c r="F54" s="50">
        <f t="shared" ref="F54" si="35">(E14-F14)*F$44+F14</f>
        <v>557.50749999999994</v>
      </c>
      <c r="G54" s="50">
        <f t="shared" ref="G54:I54" si="36">(F14-G14)*G$44+G14</f>
        <v>251.61500000000001</v>
      </c>
      <c r="H54" s="50">
        <f t="shared" si="36"/>
        <v>105.72499999999999</v>
      </c>
      <c r="I54" s="50">
        <f t="shared" si="36"/>
        <v>42.410000000000004</v>
      </c>
      <c r="O54" s="44">
        <v>50</v>
      </c>
      <c r="P54" s="44">
        <v>0</v>
      </c>
      <c r="Q54" s="51">
        <f t="shared" ref="Q54:T54" si="37">MAX(MIN(Q14/Q34,Q$1),Q$2)</f>
        <v>0.16613820605897892</v>
      </c>
      <c r="R54" s="51">
        <f t="shared" si="37"/>
        <v>0.3</v>
      </c>
      <c r="S54" s="51">
        <f t="shared" si="37"/>
        <v>0.4</v>
      </c>
      <c r="T54" s="51">
        <f t="shared" si="37"/>
        <v>0.5</v>
      </c>
      <c r="Z54" s="44">
        <v>50</v>
      </c>
      <c r="AA54" s="44">
        <v>0</v>
      </c>
      <c r="AB54" s="51">
        <f t="shared" ref="AB54:AE54" si="38">IFERROR(MAX(MIN(AB14/AB34,AB$1),AB$2),AB$1)</f>
        <v>0.1154357455711101</v>
      </c>
      <c r="AC54" s="51">
        <f t="shared" si="38"/>
        <v>0.26695694196819753</v>
      </c>
      <c r="AD54" s="51">
        <f t="shared" si="38"/>
        <v>0.4</v>
      </c>
      <c r="AE54" s="51">
        <f t="shared" si="38"/>
        <v>0.5</v>
      </c>
      <c r="AK54" s="47">
        <v>50</v>
      </c>
      <c r="AL54" s="47">
        <v>0</v>
      </c>
      <c r="AM54" s="51">
        <f t="shared" ref="AM54:AP54" si="39">IFERROR(MAX(MIN(AM14/AM34,AM$1)*$AL$4,AM$2),AM$2)</f>
        <v>0.05</v>
      </c>
      <c r="AN54" s="51">
        <f t="shared" si="39"/>
        <v>0.1</v>
      </c>
      <c r="AO54" s="51">
        <f t="shared" si="39"/>
        <v>0.15000000000000002</v>
      </c>
      <c r="AP54" s="51">
        <f t="shared" si="39"/>
        <v>0.2</v>
      </c>
      <c r="AV54" s="47">
        <v>50</v>
      </c>
      <c r="AW54" s="47">
        <v>0</v>
      </c>
      <c r="AX54" s="51">
        <f t="shared" ref="AX54:BA54" si="40">IFERROR(MAX(MIN(AX14/AX34,AX$1)*$AW$4,AX$2),AX$2)</f>
        <v>0.05</v>
      </c>
      <c r="AY54" s="51">
        <f t="shared" si="40"/>
        <v>0.1</v>
      </c>
      <c r="AZ54" s="51">
        <f t="shared" si="40"/>
        <v>0.15000000000000002</v>
      </c>
      <c r="BA54" s="51">
        <f t="shared" si="40"/>
        <v>0.2</v>
      </c>
    </row>
    <row r="55" spans="4:53" x14ac:dyDescent="0.15">
      <c r="D55" s="44">
        <v>55</v>
      </c>
      <c r="E55" s="44">
        <v>0</v>
      </c>
      <c r="F55" s="50">
        <f t="shared" ref="F55" si="41">(E15-F15)*F$44+F15</f>
        <v>1164.2025000000001</v>
      </c>
      <c r="G55" s="50">
        <f t="shared" ref="G55:I55" si="42">(F15-G15)*G$44+G15</f>
        <v>526.79</v>
      </c>
      <c r="H55" s="50">
        <f t="shared" si="42"/>
        <v>222.18</v>
      </c>
      <c r="I55" s="50">
        <f t="shared" si="42"/>
        <v>91.65</v>
      </c>
      <c r="O55" s="44">
        <v>55</v>
      </c>
      <c r="P55" s="44">
        <v>0</v>
      </c>
      <c r="Q55" s="51">
        <f t="shared" ref="Q55:T55" si="43">MAX(MIN(Q15/Q35,Q$1),Q$2)</f>
        <v>0.12995303307058595</v>
      </c>
      <c r="R55" s="51">
        <f t="shared" si="43"/>
        <v>0.3</v>
      </c>
      <c r="S55" s="51">
        <f t="shared" si="43"/>
        <v>0.4</v>
      </c>
      <c r="T55" s="51">
        <f t="shared" si="43"/>
        <v>0.5</v>
      </c>
      <c r="Z55" s="44">
        <v>55</v>
      </c>
      <c r="AA55" s="44">
        <v>0</v>
      </c>
      <c r="AB55" s="51">
        <f t="shared" ref="AB55:AE55" si="44">IFERROR(MAX(MIN(AB15/AB35,AB$1),AB$2),AB$1)</f>
        <v>8.9808836733595701E-2</v>
      </c>
      <c r="AC55" s="51">
        <f t="shared" si="44"/>
        <v>0.26422277952232026</v>
      </c>
      <c r="AD55" s="51">
        <f t="shared" si="44"/>
        <v>0.4</v>
      </c>
      <c r="AE55" s="51">
        <f t="shared" si="44"/>
        <v>0.5</v>
      </c>
      <c r="AK55" s="47">
        <v>55</v>
      </c>
      <c r="AL55" s="47">
        <v>0</v>
      </c>
      <c r="AM55" s="51">
        <f t="shared" ref="AM55:AP55" si="45">IFERROR(MAX(MIN(AM15/AM35,AM$1)*$AL$4,AM$2),AM$2)</f>
        <v>0.05</v>
      </c>
      <c r="AN55" s="51">
        <f t="shared" si="45"/>
        <v>0.1</v>
      </c>
      <c r="AO55" s="51">
        <f t="shared" si="45"/>
        <v>0.15000000000000002</v>
      </c>
      <c r="AP55" s="51">
        <f t="shared" si="45"/>
        <v>0.2</v>
      </c>
      <c r="AV55" s="47">
        <v>55</v>
      </c>
      <c r="AW55" s="47">
        <v>0</v>
      </c>
      <c r="AX55" s="51">
        <f t="shared" ref="AX55:BA55" si="46">IFERROR(MAX(MIN(AX15/AX35,AX$1)*$AW$4,AX$2),AX$2)</f>
        <v>0.05</v>
      </c>
      <c r="AY55" s="51">
        <f t="shared" si="46"/>
        <v>0.1</v>
      </c>
      <c r="AZ55" s="51">
        <f t="shared" si="46"/>
        <v>0.15000000000000002</v>
      </c>
      <c r="BA55" s="51">
        <f t="shared" si="46"/>
        <v>0.2</v>
      </c>
    </row>
    <row r="56" spans="4:53" x14ac:dyDescent="0.15">
      <c r="D56" s="44">
        <v>60</v>
      </c>
      <c r="E56" s="44">
        <v>0</v>
      </c>
      <c r="F56" s="50">
        <f t="shared" ref="F56" si="47">(E16-F16)*F$44+F16</f>
        <v>2426.2574999999997</v>
      </c>
      <c r="G56" s="50">
        <f t="shared" ref="G56:I56" si="48">(F16-G16)*G$44+G16</f>
        <v>1100.2049999999999</v>
      </c>
      <c r="H56" s="50">
        <f t="shared" si="48"/>
        <v>465.3549999999999</v>
      </c>
      <c r="I56" s="50">
        <f t="shared" si="48"/>
        <v>192.745</v>
      </c>
      <c r="O56" s="44">
        <v>60</v>
      </c>
      <c r="P56" s="44">
        <v>0</v>
      </c>
      <c r="Q56" s="51">
        <f t="shared" ref="Q56:T56" si="49">MAX(MIN(Q16/Q36,Q$1),Q$2)</f>
        <v>0.13588001327216523</v>
      </c>
      <c r="R56" s="51">
        <f t="shared" si="49"/>
        <v>0.29566432558548672</v>
      </c>
      <c r="S56" s="51">
        <f t="shared" si="49"/>
        <v>0.4</v>
      </c>
      <c r="T56" s="51">
        <f t="shared" si="49"/>
        <v>0.5</v>
      </c>
      <c r="Z56" s="44">
        <v>60</v>
      </c>
      <c r="AA56" s="44">
        <v>0</v>
      </c>
      <c r="AB56" s="51">
        <f t="shared" ref="AB56:AE56" si="50">IFERROR(MAX(MIN(AB16/AB36,AB$1),AB$2),AB$1)</f>
        <v>0.11158295723534493</v>
      </c>
      <c r="AC56" s="51">
        <f t="shared" si="50"/>
        <v>0.20345304258025432</v>
      </c>
      <c r="AD56" s="51">
        <f t="shared" si="50"/>
        <v>0.4</v>
      </c>
      <c r="AE56" s="51">
        <f t="shared" si="50"/>
        <v>0.5</v>
      </c>
      <c r="AK56" s="47">
        <v>60</v>
      </c>
      <c r="AL56" s="47">
        <v>0</v>
      </c>
      <c r="AM56" s="51">
        <f t="shared" ref="AM56:AP56" si="51">IFERROR(MAX(MIN(AM16/AM36,AM$1)*$AL$4,AM$2),AM$2)</f>
        <v>0.05</v>
      </c>
      <c r="AN56" s="51">
        <f t="shared" si="51"/>
        <v>9.7332393421178359E-2</v>
      </c>
      <c r="AO56" s="51">
        <f t="shared" si="51"/>
        <v>0.15000000000000002</v>
      </c>
      <c r="AP56" s="51">
        <f t="shared" si="51"/>
        <v>0.2</v>
      </c>
      <c r="AV56" s="47">
        <v>60</v>
      </c>
      <c r="AW56" s="47">
        <v>0</v>
      </c>
      <c r="AX56" s="51">
        <f t="shared" ref="AX56:BA56" si="52">IFERROR(MAX(MIN(AX16/AX36,AX$1)*$AW$4,AX$2),AX$2)</f>
        <v>5.4317469346856273E-2</v>
      </c>
      <c r="AY56" s="51">
        <f t="shared" si="52"/>
        <v>0.1</v>
      </c>
      <c r="AZ56" s="51">
        <f t="shared" si="52"/>
        <v>0.15000000000000002</v>
      </c>
      <c r="BA56" s="51">
        <f t="shared" si="52"/>
        <v>0.2</v>
      </c>
    </row>
    <row r="57" spans="4:53" x14ac:dyDescent="0.15">
      <c r="D57" s="44">
        <v>65</v>
      </c>
      <c r="E57" s="44">
        <v>0</v>
      </c>
      <c r="F57" s="50">
        <f t="shared" ref="F57" si="53">(E17-F17)*F$44+F17</f>
        <v>5047.6725000000006</v>
      </c>
      <c r="G57" s="50">
        <f t="shared" ref="G57:I57" si="54">(F17-G17)*G$44+G17</f>
        <v>2293.1400000000003</v>
      </c>
      <c r="H57" s="50">
        <f t="shared" si="54"/>
        <v>972.21</v>
      </c>
      <c r="I57" s="50">
        <f t="shared" si="54"/>
        <v>403.91999999999996</v>
      </c>
      <c r="O57" s="44">
        <v>65</v>
      </c>
      <c r="P57" s="44">
        <v>0</v>
      </c>
      <c r="Q57" s="51">
        <f t="shared" ref="Q57:T57" si="55">MAX(MIN(Q17/Q37,Q$1),Q$2)</f>
        <v>0.16749093380624777</v>
      </c>
      <c r="R57" s="51">
        <f t="shared" si="55"/>
        <v>0.3</v>
      </c>
      <c r="S57" s="51">
        <f t="shared" si="55"/>
        <v>0.4</v>
      </c>
      <c r="T57" s="51">
        <f t="shared" si="55"/>
        <v>0.5</v>
      </c>
      <c r="Z57" s="44">
        <v>65</v>
      </c>
      <c r="AA57" s="44">
        <v>0</v>
      </c>
      <c r="AB57" s="51">
        <f t="shared" ref="AB57:AE57" si="56">IFERROR(MAX(MIN(AB17/AB37,AB$1),AB$2),AB$1)</f>
        <v>0.13232578307921741</v>
      </c>
      <c r="AC57" s="51">
        <f t="shared" si="56"/>
        <v>0.2455344495119122</v>
      </c>
      <c r="AD57" s="51">
        <f t="shared" si="56"/>
        <v>0.4</v>
      </c>
      <c r="AE57" s="51">
        <f t="shared" si="56"/>
        <v>0.5</v>
      </c>
      <c r="AK57" s="47">
        <v>65</v>
      </c>
      <c r="AL57" s="47">
        <v>0</v>
      </c>
      <c r="AM57" s="51">
        <f t="shared" ref="AM57:AP57" si="57">IFERROR(MAX(MIN(AM17/AM37,AM$1)*$AL$4,AM$2),AM$2)</f>
        <v>0.05</v>
      </c>
      <c r="AN57" s="51">
        <f t="shared" si="57"/>
        <v>0.1</v>
      </c>
      <c r="AO57" s="51">
        <f t="shared" si="57"/>
        <v>0.15000000000000002</v>
      </c>
      <c r="AP57" s="51">
        <f t="shared" si="57"/>
        <v>0.2</v>
      </c>
      <c r="AV57" s="47">
        <v>65</v>
      </c>
      <c r="AW57" s="47">
        <v>0</v>
      </c>
      <c r="AX57" s="51">
        <f t="shared" ref="AX57:BA57" si="58">IFERROR(MAX(MIN(AX17/AX37,AX$1)*$AW$4,AX$2),AX$2)</f>
        <v>5.4939960609093376E-2</v>
      </c>
      <c r="AY57" s="51">
        <f t="shared" si="58"/>
        <v>0.1</v>
      </c>
      <c r="AZ57" s="51">
        <f t="shared" si="58"/>
        <v>0.15000000000000002</v>
      </c>
      <c r="BA57" s="51">
        <f t="shared" si="58"/>
        <v>0.2</v>
      </c>
    </row>
    <row r="58" spans="4:53" x14ac:dyDescent="0.15">
      <c r="D58" s="44">
        <v>70</v>
      </c>
      <c r="E58" s="44">
        <v>0</v>
      </c>
      <c r="F58" s="50">
        <f t="shared" ref="F58" si="59">(E18-F18)*F$44+F18</f>
        <v>10485.087500000001</v>
      </c>
      <c r="G58" s="50">
        <f t="shared" ref="G58:I58" si="60">(F18-G18)*G$44+G18</f>
        <v>4771.1950000000006</v>
      </c>
      <c r="H58" s="50">
        <f t="shared" si="60"/>
        <v>2026.905</v>
      </c>
      <c r="I58" s="50">
        <f t="shared" si="60"/>
        <v>844.21499999999992</v>
      </c>
      <c r="O58" s="44">
        <v>70</v>
      </c>
      <c r="P58" s="44">
        <v>0</v>
      </c>
      <c r="Q58" s="51">
        <f t="shared" ref="Q58:T58" si="61">MAX(MIN(Q18/Q38,Q$1),Q$2)</f>
        <v>0.2</v>
      </c>
      <c r="R58" s="51">
        <f t="shared" si="61"/>
        <v>0.3</v>
      </c>
      <c r="S58" s="51">
        <f t="shared" si="61"/>
        <v>0.4</v>
      </c>
      <c r="T58" s="51">
        <f t="shared" si="61"/>
        <v>0.5</v>
      </c>
      <c r="Z58" s="44">
        <v>70</v>
      </c>
      <c r="AA58" s="44">
        <v>0</v>
      </c>
      <c r="AB58" s="51">
        <f t="shared" ref="AB58:AE58" si="62">IFERROR(MAX(MIN(AB18/AB38,AB$1),AB$2),AB$1)</f>
        <v>0.05</v>
      </c>
      <c r="AC58" s="51">
        <f t="shared" si="62"/>
        <v>0.28286178291837905</v>
      </c>
      <c r="AD58" s="51">
        <f t="shared" si="62"/>
        <v>0.4</v>
      </c>
      <c r="AE58" s="51">
        <f t="shared" si="62"/>
        <v>0.5</v>
      </c>
      <c r="AK58" s="47">
        <v>70</v>
      </c>
      <c r="AL58" s="47">
        <v>0</v>
      </c>
      <c r="AM58" s="51">
        <f t="shared" ref="AM58:AP58" si="63">IFERROR(MAX(MIN(AM18/AM38,AM$1)*$AL$4,AM$2),AM$2)</f>
        <v>0.05</v>
      </c>
      <c r="AN58" s="51">
        <f t="shared" si="63"/>
        <v>0.1</v>
      </c>
      <c r="AO58" s="51">
        <f t="shared" si="63"/>
        <v>0.15000000000000002</v>
      </c>
      <c r="AP58" s="51">
        <f t="shared" si="63"/>
        <v>0.2</v>
      </c>
      <c r="AV58" s="47">
        <v>70</v>
      </c>
      <c r="AW58" s="47">
        <v>0</v>
      </c>
      <c r="AX58" s="51">
        <f t="shared" ref="AX58:BA58" si="64">IFERROR(MAX(MIN(AX18/AX38,AX$1)*$AW$4,AX$2),AX$2)</f>
        <v>0.05</v>
      </c>
      <c r="AY58" s="51">
        <f t="shared" si="64"/>
        <v>0.1</v>
      </c>
      <c r="AZ58" s="51">
        <f t="shared" si="64"/>
        <v>0.15000000000000002</v>
      </c>
      <c r="BA58" s="51">
        <f t="shared" si="64"/>
        <v>0.2</v>
      </c>
    </row>
    <row r="59" spans="4:53" x14ac:dyDescent="0.15">
      <c r="D59" s="44">
        <v>75</v>
      </c>
      <c r="E59" s="44">
        <v>0</v>
      </c>
      <c r="F59" s="50">
        <f t="shared" ref="F59" si="65">(E19-F19)*F$44+F19</f>
        <v>21749.0625</v>
      </c>
      <c r="G59" s="50">
        <f t="shared" ref="G59:I59" si="66">(F19-G19)*G$44+G19</f>
        <v>9911.6500000000015</v>
      </c>
      <c r="H59" s="50">
        <f t="shared" si="66"/>
        <v>4218.24</v>
      </c>
      <c r="I59" s="50">
        <f t="shared" si="66"/>
        <v>1760.67</v>
      </c>
      <c r="O59" s="44">
        <v>75</v>
      </c>
      <c r="P59" s="44">
        <v>0</v>
      </c>
      <c r="Q59" s="51">
        <f t="shared" ref="Q59:T59" si="67">MAX(MIN(Q19/Q39,Q$1),Q$2)</f>
        <v>0.2</v>
      </c>
      <c r="R59" s="51">
        <f t="shared" si="67"/>
        <v>0.3</v>
      </c>
      <c r="S59" s="51">
        <f t="shared" si="67"/>
        <v>0.4</v>
      </c>
      <c r="T59" s="51">
        <f t="shared" si="67"/>
        <v>0.5</v>
      </c>
      <c r="Z59" s="44">
        <v>75</v>
      </c>
      <c r="AA59" s="44">
        <v>0</v>
      </c>
      <c r="AB59" s="51">
        <f t="shared" ref="AB59:AE59" si="68">IFERROR(MAX(MIN(AB19/AB39,AB$1),AB$2),AB$1)</f>
        <v>0.05</v>
      </c>
      <c r="AC59" s="51">
        <f t="shared" si="68"/>
        <v>7.4939664513503063E-2</v>
      </c>
      <c r="AD59" s="51">
        <f t="shared" si="68"/>
        <v>0.4</v>
      </c>
      <c r="AE59" s="51">
        <f t="shared" si="68"/>
        <v>0.5</v>
      </c>
      <c r="AK59" s="47">
        <v>75</v>
      </c>
      <c r="AL59" s="47">
        <v>0</v>
      </c>
      <c r="AM59" s="51">
        <f t="shared" ref="AM59:AP59" si="69">IFERROR(MAX(MIN(AM19/AM39,AM$1)*$AL$4,AM$2),AM$2)</f>
        <v>0.05</v>
      </c>
      <c r="AN59" s="51">
        <f t="shared" si="69"/>
        <v>0.1</v>
      </c>
      <c r="AO59" s="51">
        <f t="shared" si="69"/>
        <v>0.15000000000000002</v>
      </c>
      <c r="AP59" s="51">
        <f t="shared" si="69"/>
        <v>0.2</v>
      </c>
      <c r="AV59" s="47">
        <v>75</v>
      </c>
      <c r="AW59" s="47">
        <v>0</v>
      </c>
      <c r="AX59" s="51">
        <f t="shared" ref="AX59:BA59" si="70">IFERROR(MAX(MIN(AX19/AX39,AX$1)*$AW$4,AX$2),AX$2)</f>
        <v>0.05</v>
      </c>
      <c r="AY59" s="51">
        <f t="shared" si="70"/>
        <v>0.1</v>
      </c>
      <c r="AZ59" s="51">
        <f t="shared" si="70"/>
        <v>0.15000000000000002</v>
      </c>
      <c r="BA59" s="51">
        <f t="shared" si="70"/>
        <v>0.2</v>
      </c>
    </row>
    <row r="60" spans="4:53" x14ac:dyDescent="0.15">
      <c r="D60" s="44">
        <v>80</v>
      </c>
      <c r="E60" s="44">
        <v>0</v>
      </c>
      <c r="F60" s="50">
        <f t="shared" ref="F60" si="71">(E20-F20)*F$44+F20</f>
        <v>45055.277499999997</v>
      </c>
      <c r="G60" s="50">
        <f t="shared" ref="G60:I60" si="72">(F20-G20)*G$44+G20</f>
        <v>20561.224999999999</v>
      </c>
      <c r="H60" s="50">
        <f t="shared" si="72"/>
        <v>8764.7750000000015</v>
      </c>
      <c r="I60" s="50">
        <f t="shared" si="72"/>
        <v>3665.2850000000003</v>
      </c>
      <c r="O60" s="44">
        <v>80</v>
      </c>
      <c r="P60" s="44">
        <v>0</v>
      </c>
      <c r="Q60" s="51">
        <f t="shared" ref="Q60:T60" si="73">MAX(MIN(Q20/Q40,Q$1),Q$2)</f>
        <v>0.2</v>
      </c>
      <c r="R60" s="51">
        <f t="shared" si="73"/>
        <v>0.3</v>
      </c>
      <c r="S60" s="51">
        <f t="shared" si="73"/>
        <v>0.4</v>
      </c>
      <c r="T60" s="51">
        <f t="shared" si="73"/>
        <v>0.5</v>
      </c>
      <c r="Z60" s="44">
        <v>80</v>
      </c>
      <c r="AA60" s="44">
        <v>0</v>
      </c>
      <c r="AB60" s="51">
        <f t="shared" ref="AB60:AE60" si="74">IFERROR(MAX(MIN(AB20/AB40,AB$1),AB$2),AB$1)</f>
        <v>0.05</v>
      </c>
      <c r="AC60" s="51">
        <f t="shared" si="74"/>
        <v>6.1183785796255066E-2</v>
      </c>
      <c r="AD60" s="51">
        <f t="shared" si="74"/>
        <v>0.18216772436783835</v>
      </c>
      <c r="AE60" s="51">
        <f t="shared" si="74"/>
        <v>0.5</v>
      </c>
      <c r="AK60" s="47">
        <v>80</v>
      </c>
      <c r="AL60" s="47">
        <v>0</v>
      </c>
      <c r="AM60" s="51">
        <f t="shared" ref="AM60:AP60" si="75">IFERROR(MAX(MIN(AM20/AM40,AM$1)*$AL$4,AM$2),AM$2)</f>
        <v>0.05</v>
      </c>
      <c r="AN60" s="51">
        <f t="shared" si="75"/>
        <v>0.1</v>
      </c>
      <c r="AO60" s="51">
        <f t="shared" si="75"/>
        <v>0.15000000000000002</v>
      </c>
      <c r="AP60" s="51">
        <f t="shared" si="75"/>
        <v>0.2</v>
      </c>
      <c r="AV60" s="47">
        <v>80</v>
      </c>
      <c r="AW60" s="47">
        <v>0</v>
      </c>
      <c r="AX60" s="51">
        <f t="shared" ref="AX60:BA60" si="76">IFERROR(MAX(MIN(AX20/AX40,AX$1)*$AW$4,AX$2),AX$2)</f>
        <v>0.05</v>
      </c>
      <c r="AY60" s="51">
        <f t="shared" si="76"/>
        <v>0.1</v>
      </c>
      <c r="AZ60" s="51">
        <f t="shared" si="76"/>
        <v>0.15</v>
      </c>
      <c r="BA60" s="51">
        <f t="shared" si="76"/>
        <v>0.2</v>
      </c>
    </row>
    <row r="66" spans="4:9" x14ac:dyDescent="0.15">
      <c r="E66" s="65" t="s">
        <v>192</v>
      </c>
      <c r="F66" s="65"/>
      <c r="G66" s="65"/>
      <c r="H66" s="65"/>
      <c r="I66" s="65"/>
    </row>
    <row r="67" spans="4:9" x14ac:dyDescent="0.15">
      <c r="D67" s="44" t="s">
        <v>186</v>
      </c>
      <c r="E67" s="44">
        <v>0</v>
      </c>
      <c r="F67" s="44">
        <v>5</v>
      </c>
      <c r="G67" s="44">
        <v>10</v>
      </c>
      <c r="H67" s="44">
        <v>15</v>
      </c>
      <c r="I67" s="44">
        <v>20</v>
      </c>
    </row>
    <row r="68" spans="4:9" x14ac:dyDescent="0.15">
      <c r="D68" s="44">
        <v>20</v>
      </c>
      <c r="E68" s="50">
        <f>求节点(节奏总纲!$P$4:$P$163,节奏总纲!$O$4:$O$163,E48)</f>
        <v>0</v>
      </c>
      <c r="F68" s="50">
        <f>求节点(节奏总纲!$P$4:$P$163,节奏总纲!$O$4:$O$163,F48)</f>
        <v>25.685067779204282</v>
      </c>
      <c r="G68" s="50">
        <f>求节点(节奏总纲!$P$4:$P$163,节奏总纲!$O$4:$O$163,G48)</f>
        <v>15.007747924641139</v>
      </c>
      <c r="H68" s="50">
        <f>求节点(节奏总纲!$P$4:$P$163,节奏总纲!$O$4:$O$163,H48)</f>
        <v>5.9436808145829341</v>
      </c>
      <c r="I68" s="50">
        <f>求节点(节奏总纲!$P$4:$P$163,节奏总纲!$O$4:$O$163,I48)</f>
        <v>0.83596357037477831</v>
      </c>
    </row>
    <row r="69" spans="4:9" x14ac:dyDescent="0.15">
      <c r="D69" s="44">
        <v>25</v>
      </c>
      <c r="E69" s="50">
        <f>求节点(节奏总纲!$P$4:$P$163,节奏总纲!$O$4:$O$163,E49)</f>
        <v>0</v>
      </c>
      <c r="F69" s="50">
        <f>求节点(节奏总纲!$P$4:$P$163,节奏总纲!$O$4:$O$163,F49)</f>
        <v>36.642610289092758</v>
      </c>
      <c r="G69" s="50">
        <f>求节点(节奏总纲!$P$4:$P$163,节奏总纲!$O$4:$O$163,G49)</f>
        <v>24.902713700635417</v>
      </c>
      <c r="H69" s="50">
        <f>求节点(节奏总纲!$P$4:$P$163,节奏总纲!$O$4:$O$163,H49)</f>
        <v>13.552893310893497</v>
      </c>
      <c r="I69" s="50">
        <f>求节点(节奏总纲!$P$4:$P$163,节奏总纲!$O$4:$O$163,I49)</f>
        <v>4.7443282215583871</v>
      </c>
    </row>
    <row r="70" spans="4:9" x14ac:dyDescent="0.15">
      <c r="D70" s="44">
        <v>30</v>
      </c>
      <c r="E70" s="50">
        <f>求节点(节奏总纲!$P$4:$P$163,节奏总纲!$O$4:$O$163,E50)</f>
        <v>0</v>
      </c>
      <c r="F70" s="50">
        <f>求节点(节奏总纲!$P$4:$P$163,节奏总纲!$O$4:$O$163,F50)</f>
        <v>47.944992896613186</v>
      </c>
      <c r="G70" s="50">
        <f>求节点(节奏总纲!$P$4:$P$163,节奏总纲!$O$4:$O$163,G50)</f>
        <v>35.808216843670309</v>
      </c>
      <c r="H70" s="50">
        <f>求节点(节奏总纲!$P$4:$P$163,节奏总纲!$O$4:$O$163,H50)</f>
        <v>23.185094378687477</v>
      </c>
      <c r="I70" s="50">
        <f>求节点(节奏总纲!$P$4:$P$163,节奏总纲!$O$4:$O$163,I50)</f>
        <v>11.951922519762734</v>
      </c>
    </row>
    <row r="71" spans="4:9" x14ac:dyDescent="0.15">
      <c r="D71" s="44">
        <v>35</v>
      </c>
      <c r="E71" s="50">
        <f>求节点(节奏总纲!$P$4:$P$163,节奏总纲!$O$4:$O$163,E51)</f>
        <v>0</v>
      </c>
      <c r="F71" s="50">
        <f>求节点(节奏总纲!$P$4:$P$163,节奏总纲!$O$4:$O$163,F51)</f>
        <v>59.296528602947923</v>
      </c>
      <c r="G71" s="50">
        <f>求节点(节奏总纲!$P$4:$P$163,节奏总纲!$O$4:$O$163,G51)</f>
        <v>47.090013184276884</v>
      </c>
      <c r="H71" s="50">
        <f>求节点(节奏总纲!$P$4:$P$163,节奏总纲!$O$4:$O$163,H51)</f>
        <v>33.977276694208143</v>
      </c>
      <c r="I71" s="50">
        <f>求节点(节奏总纲!$P$4:$P$163,节奏总纲!$O$4:$O$163,I51)</f>
        <v>21.236939394787047</v>
      </c>
    </row>
    <row r="72" spans="4:9" x14ac:dyDescent="0.15">
      <c r="D72" s="44">
        <v>40</v>
      </c>
      <c r="E72" s="50">
        <f>求节点(节奏总纲!$P$4:$P$163,节奏总纲!$O$4:$O$163,E52)</f>
        <v>0</v>
      </c>
      <c r="F72" s="50">
        <f>求节点(节奏总纲!$P$4:$P$163,节奏总纲!$O$4:$O$163,F52)</f>
        <v>69.981042437475793</v>
      </c>
      <c r="G72" s="50">
        <f>求节点(节奏总纲!$P$4:$P$163,节奏总纲!$O$4:$O$163,G52)</f>
        <v>58.438814359106864</v>
      </c>
      <c r="H72" s="50">
        <f>求节点(节奏总纲!$P$4:$P$163,节奏总纲!$O$4:$O$163,H52)</f>
        <v>45.210943881010081</v>
      </c>
      <c r="I72" s="50">
        <f>求节点(节奏总纲!$P$4:$P$163,节奏总纲!$O$4:$O$163,I52)</f>
        <v>31.870674437379137</v>
      </c>
    </row>
    <row r="73" spans="4:9" x14ac:dyDescent="0.15">
      <c r="D73" s="44">
        <v>45</v>
      </c>
      <c r="E73" s="50">
        <f>求节点(节奏总纲!$P$4:$P$163,节奏总纲!$O$4:$O$163,E53)</f>
        <v>0</v>
      </c>
      <c r="F73" s="50">
        <f>求节点(节奏总纲!$P$4:$P$163,节奏总纲!$O$4:$O$163,F53)</f>
        <v>80.616768044353663</v>
      </c>
      <c r="G73" s="50">
        <f>求节点(节奏总纲!$P$4:$P$163,节奏总纲!$O$4:$O$163,G53)</f>
        <v>69.160034152773648</v>
      </c>
      <c r="H73" s="50">
        <f>求节点(节奏总纲!$P$4:$P$163,节奏总纲!$O$4:$O$163,H53)</f>
        <v>56.556433684074982</v>
      </c>
      <c r="I73" s="50">
        <f>求节点(节奏总纲!$P$4:$P$163,节奏总纲!$O$4:$O$163,I53)</f>
        <v>43.057779363693079</v>
      </c>
    </row>
    <row r="74" spans="4:9" x14ac:dyDescent="0.15">
      <c r="D74" s="44">
        <v>50</v>
      </c>
      <c r="E74" s="50">
        <f>求节点(节奏总纲!$P$4:$P$163,节奏总纲!$O$4:$O$163,E54)</f>
        <v>0</v>
      </c>
      <c r="F74" s="50">
        <f>求节点(节奏总纲!$P$4:$P$163,节奏总纲!$O$4:$O$163,F54)</f>
        <v>91.247793630792984</v>
      </c>
      <c r="G74" s="50">
        <f>求节点(节奏总纲!$P$4:$P$163,节奏总纲!$O$4:$O$163,G54)</f>
        <v>79.802549694940197</v>
      </c>
      <c r="H74" s="50">
        <f>求节点(节奏总纲!$P$4:$P$163,节奏总纲!$O$4:$O$163,H54)</f>
        <v>67.369422698418134</v>
      </c>
      <c r="I74" s="50">
        <f>求节点(节奏总纲!$P$4:$P$163,节奏总纲!$O$4:$O$163,I54)</f>
        <v>54.391260591115845</v>
      </c>
    </row>
    <row r="75" spans="4:9" x14ac:dyDescent="0.15">
      <c r="D75" s="44">
        <v>55</v>
      </c>
      <c r="E75" s="50">
        <f>求节点(节奏总纲!$P$4:$P$163,节奏总纲!$O$4:$O$163,E55)</f>
        <v>0</v>
      </c>
      <c r="F75" s="50">
        <f>求节点(节奏总纲!$P$4:$P$163,节奏总纲!$O$4:$O$163,F55)</f>
        <v>101.85953456358358</v>
      </c>
      <c r="G75" s="50">
        <f>求节点(节奏总纲!$P$4:$P$163,节奏总纲!$O$4:$O$163,G55)</f>
        <v>90.429683098184171</v>
      </c>
      <c r="H75" s="50">
        <f>求节点(节奏总纲!$P$4:$P$163,节奏总纲!$O$4:$O$163,H55)</f>
        <v>78.019946595210342</v>
      </c>
      <c r="I75" s="50">
        <f>求节点(节奏总纲!$P$4:$P$163,节奏总纲!$O$4:$O$163,I55)</f>
        <v>65.32947485555863</v>
      </c>
    </row>
    <row r="76" spans="4:9" x14ac:dyDescent="0.15">
      <c r="D76" s="44">
        <v>60</v>
      </c>
      <c r="E76" s="50">
        <f>求节点(节奏总纲!$P$4:$P$163,节奏总纲!$O$4:$O$163,E56)</f>
        <v>0</v>
      </c>
      <c r="F76" s="50">
        <f>求节点(节奏总纲!$P$4:$P$163,节奏总纲!$O$4:$O$163,F56)</f>
        <v>112.4425435479388</v>
      </c>
      <c r="G76" s="50">
        <f>求节点(节奏总纲!$P$4:$P$163,节奏总纲!$O$4:$O$163,G56)</f>
        <v>101.04708547727975</v>
      </c>
      <c r="H76" s="50">
        <f>求节点(节奏总纲!$P$4:$P$163,节奏总纲!$O$4:$O$163,H56)</f>
        <v>88.644966068278322</v>
      </c>
      <c r="I76" s="50">
        <f>求节点(节奏总纲!$P$4:$P$163,节奏总纲!$O$4:$O$163,I56)</f>
        <v>75.97947101144338</v>
      </c>
    </row>
    <row r="77" spans="4:9" x14ac:dyDescent="0.15">
      <c r="D77" s="44">
        <v>65</v>
      </c>
      <c r="E77" s="50">
        <f>求节点(节奏总纲!$P$4:$P$163,节奏总纲!$O$4:$O$163,E57)</f>
        <v>0</v>
      </c>
      <c r="F77" s="50">
        <f>求节点(节奏总纲!$P$4:$P$163,节奏总纲!$O$4:$O$163,F57)</f>
        <v>123.01631495207137</v>
      </c>
      <c r="G77" s="50">
        <f>求节点(节奏总纲!$P$4:$P$163,节奏总纲!$O$4:$O$163,G57)</f>
        <v>111.62934224267411</v>
      </c>
      <c r="H77" s="50">
        <f>求节点(节奏总纲!$P$4:$P$163,节奏总纲!$O$4:$O$163,H57)</f>
        <v>99.259342614919674</v>
      </c>
      <c r="I77" s="50">
        <f>求节点(节奏总纲!$P$4:$P$163,节奏总纲!$O$4:$O$163,I57)</f>
        <v>86.606703370335353</v>
      </c>
    </row>
    <row r="78" spans="4:9" x14ac:dyDescent="0.15">
      <c r="D78" s="44">
        <v>70</v>
      </c>
      <c r="E78" s="50">
        <f>求节点(节奏总纲!$P$4:$P$163,节奏总纲!$O$4:$O$163,E58)</f>
        <v>0</v>
      </c>
      <c r="F78" s="50">
        <f>求节点(节奏总纲!$P$4:$P$163,节奏总纲!$O$4:$O$163,F58)</f>
        <v>133.55334573784023</v>
      </c>
      <c r="G78" s="50">
        <f>求节点(节奏总纲!$P$4:$P$163,节奏总纲!$O$4:$O$163,G58)</f>
        <v>122.19877620899341</v>
      </c>
      <c r="H78" s="50">
        <f>求节点(节奏总纲!$P$4:$P$163,节奏总纲!$O$4:$O$163,H58)</f>
        <v>109.85347991579849</v>
      </c>
      <c r="I78" s="50">
        <f>求节点(节奏总纲!$P$4:$P$163,节奏总纲!$O$4:$O$163,I58)</f>
        <v>97.225613904718941</v>
      </c>
    </row>
    <row r="79" spans="4:9" x14ac:dyDescent="0.15">
      <c r="D79" s="44">
        <v>75</v>
      </c>
      <c r="E79" s="50">
        <f>求节点(节奏总纲!$P$4:$P$163,节奏总纲!$O$4:$O$163,E59)</f>
        <v>0</v>
      </c>
      <c r="F79" s="50">
        <f>求节点(节奏总纲!$P$4:$P$163,节奏总纲!$O$4:$O$163,F59)</f>
        <v>144.08458367823377</v>
      </c>
      <c r="G79" s="50">
        <f>求节点(节奏总纲!$P$4:$P$163,节奏总纲!$O$4:$O$163,G59)</f>
        <v>132.74402499567969</v>
      </c>
      <c r="H79" s="50">
        <f>求节点(节奏总纲!$P$4:$P$163,节奏总纲!$O$4:$O$163,H59)</f>
        <v>120.41920634119867</v>
      </c>
      <c r="I79" s="50">
        <f>求节点(节奏总纲!$P$4:$P$163,节奏总纲!$O$4:$O$163,I59)</f>
        <v>107.8222905770038</v>
      </c>
    </row>
    <row r="80" spans="4:9" x14ac:dyDescent="0.15">
      <c r="D80" s="44">
        <v>80</v>
      </c>
      <c r="E80" s="50">
        <f>求节点(节奏总纲!$P$4:$P$163,节奏总纲!$O$4:$O$163,E60)</f>
        <v>0</v>
      </c>
      <c r="F80" s="50">
        <f>求节点(节奏总纲!$P$4:$P$163,节奏总纲!$O$4:$O$163,F60)</f>
        <v>154.58603216299414</v>
      </c>
      <c r="G80" s="50">
        <f>求节点(节奏总纲!$P$4:$P$163,节奏总纲!$O$4:$O$163,G60)</f>
        <v>143.2701817274401</v>
      </c>
      <c r="H80" s="50">
        <f>求节点(节奏总纲!$P$4:$P$163,节奏总纲!$O$4:$O$163,H60)</f>
        <v>130.97586059080359</v>
      </c>
      <c r="I80" s="50">
        <f>求节点(节奏总纲!$P$4:$P$163,节奏总纲!$O$4:$O$163,I60)</f>
        <v>118.3927271830326</v>
      </c>
    </row>
  </sheetData>
  <mergeCells count="16">
    <mergeCell ref="P46:T46"/>
    <mergeCell ref="E26:I26"/>
    <mergeCell ref="E46:I46"/>
    <mergeCell ref="E66:I66"/>
    <mergeCell ref="AA6:AE6"/>
    <mergeCell ref="AA26:AE26"/>
    <mergeCell ref="AA46:AE46"/>
    <mergeCell ref="E6:I6"/>
    <mergeCell ref="P6:T6"/>
    <mergeCell ref="P26:T26"/>
    <mergeCell ref="AL6:AP6"/>
    <mergeCell ref="AL26:AP26"/>
    <mergeCell ref="AL46:AP46"/>
    <mergeCell ref="AW6:BA6"/>
    <mergeCell ref="AW26:BA26"/>
    <mergeCell ref="AW46:BA46"/>
  </mergeCells>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dimension ref="B4:AN106"/>
  <sheetViews>
    <sheetView workbookViewId="0">
      <selection activeCell="C6" sqref="C6:C12"/>
    </sheetView>
  </sheetViews>
  <sheetFormatPr defaultRowHeight="12" x14ac:dyDescent="0.15"/>
  <cols>
    <col min="1" max="1" width="9" style="5"/>
    <col min="2" max="6" width="9" style="3"/>
    <col min="7" max="39" width="9" style="5"/>
    <col min="40" max="40" width="9" style="16"/>
    <col min="41" max="16384" width="9" style="5"/>
  </cols>
  <sheetData>
    <row r="4" spans="2:38" x14ac:dyDescent="0.15">
      <c r="B4" s="14"/>
      <c r="C4" s="14" t="s">
        <v>139</v>
      </c>
      <c r="D4" s="14"/>
      <c r="G4" s="3"/>
    </row>
    <row r="5" spans="2:38" x14ac:dyDescent="0.15">
      <c r="B5" s="14" t="s">
        <v>3</v>
      </c>
      <c r="C5" s="14" t="s">
        <v>4</v>
      </c>
      <c r="D5" s="14" t="s">
        <v>5</v>
      </c>
      <c r="G5" s="3"/>
      <c r="J5" s="67" t="s">
        <v>88</v>
      </c>
      <c r="K5" s="67"/>
      <c r="L5" s="67"/>
      <c r="M5" s="67"/>
      <c r="N5" s="67"/>
      <c r="P5" s="67" t="s">
        <v>89</v>
      </c>
      <c r="Q5" s="67"/>
      <c r="R5" s="67"/>
      <c r="S5" s="67"/>
      <c r="T5" s="67"/>
      <c r="Z5" s="67" t="s">
        <v>100</v>
      </c>
      <c r="AA5" s="67"/>
      <c r="AB5" s="67"/>
      <c r="AC5" s="67"/>
      <c r="AD5" s="67"/>
      <c r="AE5" s="15"/>
      <c r="AF5" s="7"/>
      <c r="AG5" s="13"/>
      <c r="AH5" s="67" t="s">
        <v>159</v>
      </c>
      <c r="AI5" s="67"/>
      <c r="AJ5" s="67"/>
      <c r="AK5" s="67"/>
      <c r="AL5" s="67"/>
    </row>
    <row r="6" spans="2:38" x14ac:dyDescent="0.15">
      <c r="B6" s="14">
        <v>1</v>
      </c>
      <c r="C6" s="14">
        <v>1</v>
      </c>
      <c r="D6" s="14">
        <f>SUM($C$6:C6)</f>
        <v>1</v>
      </c>
      <c r="G6" s="3"/>
      <c r="I6" s="5" t="s">
        <v>95</v>
      </c>
      <c r="J6" s="13" t="s">
        <v>84</v>
      </c>
      <c r="K6" s="13" t="s">
        <v>85</v>
      </c>
      <c r="L6" s="13" t="s">
        <v>86</v>
      </c>
      <c r="M6" s="13" t="s">
        <v>0</v>
      </c>
      <c r="N6" s="13" t="s">
        <v>87</v>
      </c>
      <c r="P6" s="13" t="s">
        <v>84</v>
      </c>
      <c r="Q6" s="13" t="s">
        <v>85</v>
      </c>
      <c r="R6" s="13" t="s">
        <v>86</v>
      </c>
      <c r="S6" s="13" t="s">
        <v>0</v>
      </c>
      <c r="T6" s="13" t="s">
        <v>87</v>
      </c>
      <c r="V6" s="13" t="s">
        <v>101</v>
      </c>
      <c r="W6" s="13" t="s">
        <v>90</v>
      </c>
      <c r="X6" s="13" t="s">
        <v>94</v>
      </c>
      <c r="Z6" s="13" t="s">
        <v>84</v>
      </c>
      <c r="AA6" s="13" t="s">
        <v>85</v>
      </c>
      <c r="AB6" s="13" t="s">
        <v>86</v>
      </c>
      <c r="AC6" s="13" t="s">
        <v>0</v>
      </c>
      <c r="AD6" s="13" t="s">
        <v>87</v>
      </c>
      <c r="AE6" s="13" t="s">
        <v>93</v>
      </c>
      <c r="AG6" s="13" t="s">
        <v>99</v>
      </c>
      <c r="AH6" s="13" t="s">
        <v>102</v>
      </c>
      <c r="AI6" s="13" t="s">
        <v>103</v>
      </c>
      <c r="AJ6" s="13" t="s">
        <v>104</v>
      </c>
      <c r="AK6" s="13" t="s">
        <v>105</v>
      </c>
      <c r="AL6" s="13" t="s">
        <v>106</v>
      </c>
    </row>
    <row r="7" spans="2:38" x14ac:dyDescent="0.15">
      <c r="B7" s="14">
        <v>2</v>
      </c>
      <c r="C7" s="14">
        <v>1</v>
      </c>
      <c r="D7" s="14">
        <f>SUM($C$6:C7)</f>
        <v>2</v>
      </c>
      <c r="G7" s="3"/>
      <c r="J7" s="13"/>
      <c r="K7" s="13">
        <v>5</v>
      </c>
      <c r="L7" s="13">
        <v>1</v>
      </c>
      <c r="M7" s="13"/>
      <c r="N7" s="13"/>
      <c r="P7" s="13"/>
      <c r="Q7" s="13">
        <v>0</v>
      </c>
      <c r="R7" s="13">
        <v>0</v>
      </c>
      <c r="S7" s="13"/>
      <c r="T7" s="13"/>
      <c r="V7" s="13">
        <v>6</v>
      </c>
      <c r="W7" s="13">
        <f>INDEX(节奏总纲!P:P,MATCH(V7,节奏总纲!O:O,0))</f>
        <v>0.51571656651039799</v>
      </c>
      <c r="X7" s="13">
        <f>W7</f>
        <v>0.51571656651039799</v>
      </c>
      <c r="Z7" s="13">
        <f t="shared" ref="Z7:Z20" si="0">J7*INDEX($D$19:$D$26,P7+1,1)</f>
        <v>0</v>
      </c>
      <c r="AA7" s="13">
        <f t="shared" ref="AA7:AA20" si="1">K7*INDEX($D$19:$D$26,Q7+1,1)</f>
        <v>5</v>
      </c>
      <c r="AB7" s="13">
        <f t="shared" ref="AB7:AB20" si="2">L7*INDEX($D$19:$D$26,R7+1,1)</f>
        <v>1</v>
      </c>
      <c r="AC7" s="13">
        <f t="shared" ref="AC7:AC20" si="3">M7*INDEX($D$19:$D$26,S7+1,1)</f>
        <v>0</v>
      </c>
      <c r="AD7" s="13">
        <f t="shared" ref="AD7:AD20" si="4">N7*INDEX($D$19:$D$26,T7+1,1)</f>
        <v>0</v>
      </c>
      <c r="AE7" s="13">
        <f t="shared" ref="AE7:AE20" si="5">SUMPRODUCT(Z7:AD7,$C$35:$G$35)</f>
        <v>1000</v>
      </c>
      <c r="AG7" s="13">
        <v>1</v>
      </c>
      <c r="AH7" s="13">
        <f>求节点($V$7:$V$20,$AE$7:$AE$20,AG7)</f>
        <v>166.66666666666674</v>
      </c>
      <c r="AI7" s="13">
        <f>求节点($V$27:$V$39,$AE$27:$AE$39,AG7)</f>
        <v>333.33333333333348</v>
      </c>
      <c r="AJ7" s="13">
        <f>求节点($V$43:$V$54,$AE$43:$AE$54,AG7)</f>
        <v>450</v>
      </c>
      <c r="AK7" s="13">
        <f>求节点($V$58:$V$68,$AE$58:$AE$68,AG7)</f>
        <v>500</v>
      </c>
      <c r="AL7" s="13">
        <f>求节点($V$72:$V$80,$AE$72:$AE$80,AG7)</f>
        <v>1500</v>
      </c>
    </row>
    <row r="8" spans="2:38" x14ac:dyDescent="0.15">
      <c r="B8" s="14">
        <v>3</v>
      </c>
      <c r="C8" s="14">
        <v>1</v>
      </c>
      <c r="D8" s="14">
        <f>SUM($C$6:C8)</f>
        <v>3</v>
      </c>
      <c r="J8" s="13"/>
      <c r="K8" s="13"/>
      <c r="L8" s="13">
        <v>5</v>
      </c>
      <c r="M8" s="13">
        <v>1</v>
      </c>
      <c r="N8" s="13"/>
      <c r="P8" s="13"/>
      <c r="Q8" s="13"/>
      <c r="R8" s="13">
        <v>0</v>
      </c>
      <c r="S8" s="13">
        <v>0</v>
      </c>
      <c r="T8" s="13"/>
      <c r="V8" s="13">
        <v>20</v>
      </c>
      <c r="W8" s="13">
        <f>INDEX(节奏总纲!P:P,MATCH(V8,节奏总纲!O:O,0))</f>
        <v>3</v>
      </c>
      <c r="X8" s="13">
        <f t="shared" ref="X8:X14" si="6">W8-W7</f>
        <v>2.484283433489602</v>
      </c>
      <c r="Z8" s="13">
        <f t="shared" si="0"/>
        <v>0</v>
      </c>
      <c r="AA8" s="13">
        <f t="shared" si="1"/>
        <v>0</v>
      </c>
      <c r="AB8" s="13">
        <f t="shared" si="2"/>
        <v>5</v>
      </c>
      <c r="AC8" s="13">
        <f t="shared" si="3"/>
        <v>1</v>
      </c>
      <c r="AD8" s="13">
        <f t="shared" si="4"/>
        <v>0</v>
      </c>
      <c r="AE8" s="13">
        <f t="shared" si="5"/>
        <v>5000</v>
      </c>
      <c r="AG8" s="13">
        <v>2</v>
      </c>
      <c r="AH8" s="13">
        <f t="shared" ref="AH8:AH71" si="7">求节点($V$7:$V$20,$AE$7:$AE$20,AG8)</f>
        <v>333.33333333333337</v>
      </c>
      <c r="AI8" s="13">
        <f t="shared" ref="AI8:AI71" si="8">求节点($V$27:$V$39,$AE$27:$AE$39,AG8)</f>
        <v>666.66666666666674</v>
      </c>
      <c r="AJ8" s="13">
        <f t="shared" ref="AJ8:AJ71" si="9">求节点($V$43:$V$54,$AE$43:$AE$54,AG8)</f>
        <v>900</v>
      </c>
      <c r="AK8" s="13">
        <f t="shared" ref="AK8:AK71" si="10">求节点($V$58:$V$68,$AE$58:$AE$68,AG8)</f>
        <v>1000</v>
      </c>
      <c r="AL8" s="13">
        <f t="shared" ref="AL8:AL71" si="11">求节点($V$72:$V$80,$AE$72:$AE$80,AG8)</f>
        <v>3000</v>
      </c>
    </row>
    <row r="9" spans="2:38" x14ac:dyDescent="0.15">
      <c r="B9" s="14">
        <v>4</v>
      </c>
      <c r="C9" s="14">
        <v>2</v>
      </c>
      <c r="D9" s="14">
        <f>SUM($C$6:C9)</f>
        <v>5</v>
      </c>
      <c r="J9" s="13"/>
      <c r="K9" s="13"/>
      <c r="L9" s="13">
        <v>3</v>
      </c>
      <c r="M9" s="13">
        <v>3</v>
      </c>
      <c r="N9" s="13"/>
      <c r="P9" s="13"/>
      <c r="Q9" s="13"/>
      <c r="R9" s="13">
        <v>1</v>
      </c>
      <c r="S9" s="13">
        <v>0</v>
      </c>
      <c r="T9" s="13"/>
      <c r="V9" s="13">
        <v>30</v>
      </c>
      <c r="W9" s="13">
        <f>INDEX(节奏总纲!P:P,MATCH(V9,节奏总纲!O:O,0))</f>
        <v>7</v>
      </c>
      <c r="X9" s="13">
        <f t="shared" si="6"/>
        <v>4</v>
      </c>
      <c r="Z9" s="13">
        <f t="shared" si="0"/>
        <v>0</v>
      </c>
      <c r="AA9" s="13">
        <f t="shared" si="1"/>
        <v>0</v>
      </c>
      <c r="AB9" s="13">
        <f t="shared" si="2"/>
        <v>6</v>
      </c>
      <c r="AC9" s="13">
        <f t="shared" si="3"/>
        <v>3</v>
      </c>
      <c r="AD9" s="13">
        <f t="shared" si="4"/>
        <v>0</v>
      </c>
      <c r="AE9" s="13">
        <f t="shared" si="5"/>
        <v>10500</v>
      </c>
      <c r="AG9" s="13">
        <v>3</v>
      </c>
      <c r="AH9" s="13">
        <f t="shared" si="7"/>
        <v>500</v>
      </c>
      <c r="AI9" s="13">
        <f t="shared" si="8"/>
        <v>1000</v>
      </c>
      <c r="AJ9" s="13">
        <f t="shared" si="9"/>
        <v>1350</v>
      </c>
      <c r="AK9" s="13">
        <f t="shared" si="10"/>
        <v>1500</v>
      </c>
      <c r="AL9" s="13">
        <f t="shared" si="11"/>
        <v>4500</v>
      </c>
    </row>
    <row r="10" spans="2:38" x14ac:dyDescent="0.15">
      <c r="B10" s="14">
        <v>5</v>
      </c>
      <c r="C10" s="14">
        <v>2</v>
      </c>
      <c r="D10" s="14">
        <f>SUM($C$6:C10)</f>
        <v>7</v>
      </c>
      <c r="J10" s="13"/>
      <c r="K10" s="13"/>
      <c r="L10" s="13">
        <v>1</v>
      </c>
      <c r="M10" s="13">
        <v>5</v>
      </c>
      <c r="N10" s="13"/>
      <c r="P10" s="13"/>
      <c r="Q10" s="13"/>
      <c r="R10" s="13">
        <v>3</v>
      </c>
      <c r="S10" s="13">
        <v>0</v>
      </c>
      <c r="T10" s="13"/>
      <c r="V10" s="13">
        <v>35</v>
      </c>
      <c r="W10" s="13">
        <f>INDEX(节奏总纲!P:P,MATCH(V10,节奏总纲!O:O,0))</f>
        <v>10.313708498984759</v>
      </c>
      <c r="X10" s="13">
        <f t="shared" si="6"/>
        <v>3.3137084989847594</v>
      </c>
      <c r="Z10" s="13">
        <f t="shared" si="0"/>
        <v>0</v>
      </c>
      <c r="AA10" s="13">
        <f t="shared" si="1"/>
        <v>0</v>
      </c>
      <c r="AB10" s="13">
        <f t="shared" si="2"/>
        <v>4</v>
      </c>
      <c r="AC10" s="13">
        <f t="shared" si="3"/>
        <v>5</v>
      </c>
      <c r="AD10" s="13">
        <f t="shared" si="4"/>
        <v>0</v>
      </c>
      <c r="AE10" s="13">
        <f t="shared" si="5"/>
        <v>14500</v>
      </c>
      <c r="AG10" s="13">
        <v>4</v>
      </c>
      <c r="AH10" s="13">
        <f t="shared" si="7"/>
        <v>666.66666666666674</v>
      </c>
      <c r="AI10" s="13">
        <f t="shared" si="8"/>
        <v>1333.3333333333335</v>
      </c>
      <c r="AJ10" s="13">
        <f t="shared" si="9"/>
        <v>1800</v>
      </c>
      <c r="AK10" s="13">
        <f t="shared" si="10"/>
        <v>2000</v>
      </c>
      <c r="AL10" s="13">
        <f t="shared" si="11"/>
        <v>6000</v>
      </c>
    </row>
    <row r="11" spans="2:38" x14ac:dyDescent="0.15">
      <c r="B11" s="14">
        <v>6</v>
      </c>
      <c r="C11" s="14">
        <v>2</v>
      </c>
      <c r="D11" s="14">
        <f>SUM($C$6:C11)</f>
        <v>9</v>
      </c>
      <c r="J11" s="13"/>
      <c r="K11" s="13"/>
      <c r="L11" s="13"/>
      <c r="M11" s="13">
        <v>6</v>
      </c>
      <c r="N11" s="13"/>
      <c r="P11" s="13"/>
      <c r="Q11" s="13"/>
      <c r="R11" s="13"/>
      <c r="S11" s="13">
        <v>0</v>
      </c>
      <c r="T11" s="13"/>
      <c r="V11" s="13">
        <v>38</v>
      </c>
      <c r="W11" s="13">
        <f>INDEX(节奏总纲!P:P,MATCH(V11,节奏总纲!O:O,0))</f>
        <v>12.928809012737984</v>
      </c>
      <c r="X11" s="13">
        <f t="shared" si="6"/>
        <v>2.6151005137532248</v>
      </c>
      <c r="Z11" s="13">
        <f t="shared" si="0"/>
        <v>0</v>
      </c>
      <c r="AA11" s="13">
        <f t="shared" si="1"/>
        <v>0</v>
      </c>
      <c r="AB11" s="13">
        <f t="shared" si="2"/>
        <v>0</v>
      </c>
      <c r="AC11" s="13">
        <f t="shared" si="3"/>
        <v>6</v>
      </c>
      <c r="AD11" s="13">
        <f t="shared" si="4"/>
        <v>0</v>
      </c>
      <c r="AE11" s="13">
        <f t="shared" si="5"/>
        <v>15000</v>
      </c>
      <c r="AG11" s="13">
        <v>5</v>
      </c>
      <c r="AH11" s="13">
        <f t="shared" si="7"/>
        <v>833.33333333333337</v>
      </c>
      <c r="AI11" s="13">
        <f t="shared" si="8"/>
        <v>1666.6666666666667</v>
      </c>
      <c r="AJ11" s="13">
        <f t="shared" si="9"/>
        <v>2250</v>
      </c>
      <c r="AK11" s="13">
        <f t="shared" si="10"/>
        <v>2500</v>
      </c>
      <c r="AL11" s="13">
        <f t="shared" si="11"/>
        <v>7500</v>
      </c>
    </row>
    <row r="12" spans="2:38" x14ac:dyDescent="0.15">
      <c r="B12" s="14">
        <v>7</v>
      </c>
      <c r="C12" s="14">
        <v>3</v>
      </c>
      <c r="D12" s="14">
        <f>SUM($C$6:C12)</f>
        <v>12</v>
      </c>
      <c r="J12" s="13"/>
      <c r="K12" s="13"/>
      <c r="L12" s="13"/>
      <c r="M12" s="13">
        <v>6</v>
      </c>
      <c r="N12" s="13"/>
      <c r="P12" s="13"/>
      <c r="Q12" s="13"/>
      <c r="R12" s="13"/>
      <c r="S12" s="13">
        <v>1</v>
      </c>
      <c r="T12" s="13"/>
      <c r="V12" s="13">
        <v>46</v>
      </c>
      <c r="W12" s="13">
        <f>INDEX(节奏总纲!P:P,MATCH(V12,节奏总纲!O:O,0))</f>
        <v>23.251465064166357</v>
      </c>
      <c r="X12" s="13">
        <f t="shared" si="6"/>
        <v>10.322656051428373</v>
      </c>
      <c r="Z12" s="13">
        <f t="shared" si="0"/>
        <v>0</v>
      </c>
      <c r="AA12" s="13">
        <f t="shared" si="1"/>
        <v>0</v>
      </c>
      <c r="AB12" s="13">
        <f t="shared" si="2"/>
        <v>0</v>
      </c>
      <c r="AC12" s="13">
        <f t="shared" si="3"/>
        <v>12</v>
      </c>
      <c r="AD12" s="13">
        <f t="shared" si="4"/>
        <v>0</v>
      </c>
      <c r="AE12" s="13">
        <f t="shared" si="5"/>
        <v>30000</v>
      </c>
      <c r="AG12" s="13">
        <v>6</v>
      </c>
      <c r="AH12" s="13">
        <f t="shared" si="7"/>
        <v>1000</v>
      </c>
      <c r="AI12" s="13">
        <f t="shared" si="8"/>
        <v>2000</v>
      </c>
      <c r="AJ12" s="13">
        <f t="shared" si="9"/>
        <v>2700</v>
      </c>
      <c r="AK12" s="13">
        <f t="shared" si="10"/>
        <v>3000</v>
      </c>
      <c r="AL12" s="13">
        <f t="shared" si="11"/>
        <v>9000</v>
      </c>
    </row>
    <row r="13" spans="2:38" x14ac:dyDescent="0.15">
      <c r="B13" s="14">
        <v>8</v>
      </c>
      <c r="C13" s="14">
        <v>3</v>
      </c>
      <c r="D13" s="14">
        <f>SUM($C$6:C13)</f>
        <v>15</v>
      </c>
      <c r="J13" s="13"/>
      <c r="K13" s="13"/>
      <c r="L13" s="13"/>
      <c r="M13" s="13">
        <v>6</v>
      </c>
      <c r="N13" s="13"/>
      <c r="P13" s="13"/>
      <c r="Q13" s="13"/>
      <c r="R13" s="13"/>
      <c r="S13" s="13">
        <v>3</v>
      </c>
      <c r="T13" s="13"/>
      <c r="V13" s="13">
        <v>58</v>
      </c>
      <c r="W13" s="13">
        <f>INDEX(节奏总纲!P:P,MATCH(V13,节奏总纲!O:O,0))</f>
        <v>54.715236050951923</v>
      </c>
      <c r="X13" s="13">
        <f t="shared" si="6"/>
        <v>31.463770986785565</v>
      </c>
      <c r="Z13" s="13">
        <f t="shared" si="0"/>
        <v>0</v>
      </c>
      <c r="AA13" s="13">
        <f t="shared" si="1"/>
        <v>0</v>
      </c>
      <c r="AB13" s="13">
        <f t="shared" si="2"/>
        <v>0</v>
      </c>
      <c r="AC13" s="13">
        <f t="shared" si="3"/>
        <v>24</v>
      </c>
      <c r="AD13" s="13">
        <f t="shared" si="4"/>
        <v>0</v>
      </c>
      <c r="AE13" s="13">
        <f t="shared" si="5"/>
        <v>60000</v>
      </c>
      <c r="AG13" s="13">
        <v>7</v>
      </c>
      <c r="AH13" s="13">
        <f t="shared" si="7"/>
        <v>1285.7142857142858</v>
      </c>
      <c r="AI13" s="13">
        <f t="shared" si="8"/>
        <v>2807.6923076923076</v>
      </c>
      <c r="AJ13" s="13">
        <f t="shared" si="9"/>
        <v>3150</v>
      </c>
      <c r="AK13" s="13">
        <f t="shared" si="10"/>
        <v>3500</v>
      </c>
      <c r="AL13" s="13">
        <f t="shared" si="11"/>
        <v>10500</v>
      </c>
    </row>
    <row r="14" spans="2:38" x14ac:dyDescent="0.15">
      <c r="J14" s="13"/>
      <c r="K14" s="13"/>
      <c r="L14" s="13"/>
      <c r="M14" s="13">
        <v>6</v>
      </c>
      <c r="N14" s="13"/>
      <c r="P14" s="13"/>
      <c r="Q14" s="13"/>
      <c r="R14" s="13"/>
      <c r="S14" s="13">
        <v>6</v>
      </c>
      <c r="T14" s="13"/>
      <c r="V14" s="13">
        <v>67</v>
      </c>
      <c r="W14" s="13">
        <f>INDEX(节奏总纲!P:P,MATCH(V14,节奏总纲!O:O,0))</f>
        <v>102.96830673359811</v>
      </c>
      <c r="X14" s="13">
        <f t="shared" si="6"/>
        <v>48.253070682646189</v>
      </c>
      <c r="Z14" s="13">
        <f t="shared" si="0"/>
        <v>0</v>
      </c>
      <c r="AA14" s="13">
        <f t="shared" si="1"/>
        <v>0</v>
      </c>
      <c r="AB14" s="13">
        <f t="shared" si="2"/>
        <v>0</v>
      </c>
      <c r="AC14" s="13">
        <f t="shared" si="3"/>
        <v>42</v>
      </c>
      <c r="AD14" s="13">
        <f t="shared" si="4"/>
        <v>0</v>
      </c>
      <c r="AE14" s="13">
        <f t="shared" si="5"/>
        <v>105000</v>
      </c>
      <c r="AG14" s="13">
        <v>8</v>
      </c>
      <c r="AH14" s="13">
        <f t="shared" si="7"/>
        <v>1571.4285714285716</v>
      </c>
      <c r="AI14" s="13">
        <f t="shared" si="8"/>
        <v>3615.3846153846152</v>
      </c>
      <c r="AJ14" s="13">
        <f t="shared" si="9"/>
        <v>3600</v>
      </c>
      <c r="AK14" s="13">
        <f t="shared" si="10"/>
        <v>4000</v>
      </c>
      <c r="AL14" s="13">
        <f t="shared" si="11"/>
        <v>12000</v>
      </c>
    </row>
    <row r="15" spans="2:38" x14ac:dyDescent="0.15">
      <c r="J15" s="13"/>
      <c r="K15" s="13"/>
      <c r="L15" s="13"/>
      <c r="M15" s="13"/>
      <c r="N15" s="13">
        <v>1</v>
      </c>
      <c r="P15" s="13"/>
      <c r="Q15" s="13"/>
      <c r="R15" s="13"/>
      <c r="S15" s="13"/>
      <c r="T15" s="13">
        <v>0</v>
      </c>
      <c r="V15" s="13">
        <v>68</v>
      </c>
      <c r="W15" s="13">
        <f>INDEX(节奏总纲!P:P,MATCH(V15,节奏总纲!O:O,0))</f>
        <v>110.43047210190386</v>
      </c>
      <c r="X15" s="13">
        <f t="shared" ref="X15:X20" si="12">W15-W14</f>
        <v>7.4621653683057474</v>
      </c>
      <c r="Z15" s="13">
        <f t="shared" si="0"/>
        <v>0</v>
      </c>
      <c r="AA15" s="13">
        <f t="shared" si="1"/>
        <v>0</v>
      </c>
      <c r="AB15" s="13">
        <f t="shared" si="2"/>
        <v>0</v>
      </c>
      <c r="AC15" s="13">
        <f t="shared" si="3"/>
        <v>0</v>
      </c>
      <c r="AD15" s="13">
        <f t="shared" si="4"/>
        <v>1</v>
      </c>
      <c r="AE15" s="13">
        <f t="shared" si="5"/>
        <v>25000</v>
      </c>
      <c r="AG15" s="13">
        <v>9</v>
      </c>
      <c r="AH15" s="13">
        <f t="shared" si="7"/>
        <v>1857.1428571428571</v>
      </c>
      <c r="AI15" s="13">
        <f t="shared" si="8"/>
        <v>4423.0769230769238</v>
      </c>
      <c r="AJ15" s="13">
        <f t="shared" si="9"/>
        <v>4240</v>
      </c>
      <c r="AK15" s="13">
        <f t="shared" si="10"/>
        <v>4500</v>
      </c>
      <c r="AL15" s="13">
        <f t="shared" si="11"/>
        <v>13500</v>
      </c>
    </row>
    <row r="16" spans="2:38" x14ac:dyDescent="0.15">
      <c r="J16" s="13"/>
      <c r="K16" s="13"/>
      <c r="L16" s="13"/>
      <c r="M16" s="13"/>
      <c r="N16" s="13">
        <v>2</v>
      </c>
      <c r="P16" s="13"/>
      <c r="Q16" s="13"/>
      <c r="R16" s="13"/>
      <c r="S16" s="13"/>
      <c r="T16" s="13">
        <v>0</v>
      </c>
      <c r="V16" s="13">
        <v>75</v>
      </c>
      <c r="W16" s="13">
        <f>INDEX(节奏总纲!P:P,MATCH(V16,节奏总纲!O:O,0))</f>
        <v>180.01933598375612</v>
      </c>
      <c r="X16" s="13">
        <f t="shared" si="12"/>
        <v>69.588863881852262</v>
      </c>
      <c r="Z16" s="13">
        <f t="shared" si="0"/>
        <v>0</v>
      </c>
      <c r="AA16" s="13">
        <f t="shared" si="1"/>
        <v>0</v>
      </c>
      <c r="AB16" s="13">
        <f t="shared" si="2"/>
        <v>0</v>
      </c>
      <c r="AC16" s="13">
        <f t="shared" si="3"/>
        <v>0</v>
      </c>
      <c r="AD16" s="13">
        <f t="shared" si="4"/>
        <v>2</v>
      </c>
      <c r="AE16" s="13">
        <f t="shared" si="5"/>
        <v>50000</v>
      </c>
      <c r="AG16" s="13">
        <v>10</v>
      </c>
      <c r="AH16" s="13">
        <f t="shared" si="7"/>
        <v>2142.8571428571431</v>
      </c>
      <c r="AI16" s="13">
        <f t="shared" si="8"/>
        <v>5230.7692307692305</v>
      </c>
      <c r="AJ16" s="13">
        <f t="shared" si="9"/>
        <v>4880</v>
      </c>
      <c r="AK16" s="13">
        <f t="shared" si="10"/>
        <v>5000</v>
      </c>
      <c r="AL16" s="13">
        <f t="shared" si="11"/>
        <v>15000</v>
      </c>
    </row>
    <row r="17" spans="2:38" x14ac:dyDescent="0.15">
      <c r="B17" s="14"/>
      <c r="C17" s="14" t="s">
        <v>140</v>
      </c>
      <c r="D17" s="14"/>
      <c r="J17" s="13"/>
      <c r="K17" s="13"/>
      <c r="L17" s="13"/>
      <c r="M17" s="13"/>
      <c r="N17" s="13">
        <v>3</v>
      </c>
      <c r="P17" s="13"/>
      <c r="Q17" s="13"/>
      <c r="R17" s="13"/>
      <c r="S17" s="13"/>
      <c r="T17" s="13">
        <v>0</v>
      </c>
      <c r="V17" s="13">
        <v>80</v>
      </c>
      <c r="W17" s="13">
        <f>INDEX(节奏总纲!P:P,MATCH(V17,节奏总纲!O:O,0))</f>
        <v>255</v>
      </c>
      <c r="X17" s="13">
        <f t="shared" si="12"/>
        <v>74.980664016243878</v>
      </c>
      <c r="Z17" s="13">
        <f t="shared" si="0"/>
        <v>0</v>
      </c>
      <c r="AA17" s="13">
        <f t="shared" si="1"/>
        <v>0</v>
      </c>
      <c r="AB17" s="13">
        <f t="shared" si="2"/>
        <v>0</v>
      </c>
      <c r="AC17" s="13">
        <f t="shared" si="3"/>
        <v>0</v>
      </c>
      <c r="AD17" s="13">
        <f t="shared" si="4"/>
        <v>3</v>
      </c>
      <c r="AE17" s="13">
        <f t="shared" si="5"/>
        <v>75000</v>
      </c>
      <c r="AG17" s="13">
        <v>11</v>
      </c>
      <c r="AH17" s="13">
        <f t="shared" si="7"/>
        <v>2428.5714285714284</v>
      </c>
      <c r="AI17" s="13">
        <f t="shared" si="8"/>
        <v>6038.461538461539</v>
      </c>
      <c r="AJ17" s="13">
        <f t="shared" si="9"/>
        <v>5520</v>
      </c>
      <c r="AK17" s="13">
        <f t="shared" si="10"/>
        <v>5307.6923076923076</v>
      </c>
      <c r="AL17" s="13">
        <f t="shared" si="11"/>
        <v>16500</v>
      </c>
    </row>
    <row r="18" spans="2:38" x14ac:dyDescent="0.15">
      <c r="B18" s="14" t="s">
        <v>6</v>
      </c>
      <c r="C18" s="14" t="s">
        <v>4</v>
      </c>
      <c r="D18" s="14" t="s">
        <v>5</v>
      </c>
      <c r="J18" s="13"/>
      <c r="K18" s="13"/>
      <c r="L18" s="13"/>
      <c r="M18" s="13"/>
      <c r="N18" s="13">
        <v>4</v>
      </c>
      <c r="P18" s="13"/>
      <c r="Q18" s="13"/>
      <c r="R18" s="13"/>
      <c r="S18" s="13"/>
      <c r="T18" s="13">
        <v>0</v>
      </c>
      <c r="V18" s="13">
        <v>84</v>
      </c>
      <c r="W18" s="13">
        <f>INDEX(节奏总纲!P:P,MATCH(V18,节奏总纲!O:O,0))</f>
        <v>336.79402515786086</v>
      </c>
      <c r="X18" s="13">
        <f t="shared" si="12"/>
        <v>81.794025157860858</v>
      </c>
      <c r="Z18" s="13">
        <f t="shared" si="0"/>
        <v>0</v>
      </c>
      <c r="AA18" s="13">
        <f t="shared" si="1"/>
        <v>0</v>
      </c>
      <c r="AB18" s="13">
        <f t="shared" si="2"/>
        <v>0</v>
      </c>
      <c r="AC18" s="13">
        <f t="shared" si="3"/>
        <v>0</v>
      </c>
      <c r="AD18" s="13">
        <f t="shared" si="4"/>
        <v>4</v>
      </c>
      <c r="AE18" s="13">
        <f t="shared" si="5"/>
        <v>100000</v>
      </c>
      <c r="AG18" s="13">
        <v>12</v>
      </c>
      <c r="AH18" s="13">
        <f t="shared" si="7"/>
        <v>2714.2857142857142</v>
      </c>
      <c r="AI18" s="13">
        <f t="shared" si="8"/>
        <v>6846.1538461538466</v>
      </c>
      <c r="AJ18" s="13">
        <f t="shared" si="9"/>
        <v>6160</v>
      </c>
      <c r="AK18" s="13">
        <f t="shared" si="10"/>
        <v>5615.3846153846152</v>
      </c>
      <c r="AL18" s="13">
        <f t="shared" si="11"/>
        <v>18000</v>
      </c>
    </row>
    <row r="19" spans="2:38" x14ac:dyDescent="0.15">
      <c r="B19" s="14">
        <v>0</v>
      </c>
      <c r="C19" s="14">
        <v>1</v>
      </c>
      <c r="D19" s="14">
        <f>SUM($C19:C$19)</f>
        <v>1</v>
      </c>
      <c r="J19" s="13"/>
      <c r="K19" s="13"/>
      <c r="L19" s="13"/>
      <c r="M19" s="13"/>
      <c r="N19" s="13">
        <v>5</v>
      </c>
      <c r="P19" s="13"/>
      <c r="Q19" s="13"/>
      <c r="R19" s="13"/>
      <c r="S19" s="13"/>
      <c r="T19" s="13">
        <v>0</v>
      </c>
      <c r="V19" s="13">
        <v>88</v>
      </c>
      <c r="W19" s="13">
        <f>INDEX(节奏总纲!P:P,MATCH(V19,节奏总纲!O:O,0))</f>
        <v>444.72188840761549</v>
      </c>
      <c r="X19" s="13">
        <f t="shared" si="12"/>
        <v>107.92786324975464</v>
      </c>
      <c r="Z19" s="13">
        <f t="shared" si="0"/>
        <v>0</v>
      </c>
      <c r="AA19" s="13">
        <f t="shared" si="1"/>
        <v>0</v>
      </c>
      <c r="AB19" s="13">
        <f t="shared" si="2"/>
        <v>0</v>
      </c>
      <c r="AC19" s="13">
        <f t="shared" si="3"/>
        <v>0</v>
      </c>
      <c r="AD19" s="13">
        <f t="shared" si="4"/>
        <v>5</v>
      </c>
      <c r="AE19" s="13">
        <f t="shared" si="5"/>
        <v>125000</v>
      </c>
      <c r="AG19" s="13">
        <v>13</v>
      </c>
      <c r="AH19" s="13">
        <f t="shared" si="7"/>
        <v>3000</v>
      </c>
      <c r="AI19" s="13">
        <f t="shared" si="8"/>
        <v>7653.8461538461543</v>
      </c>
      <c r="AJ19" s="13">
        <f t="shared" si="9"/>
        <v>6800</v>
      </c>
      <c r="AK19" s="13">
        <f t="shared" si="10"/>
        <v>5923.0769230769229</v>
      </c>
      <c r="AL19" s="13">
        <f t="shared" si="11"/>
        <v>19500</v>
      </c>
    </row>
    <row r="20" spans="2:38" x14ac:dyDescent="0.15">
      <c r="B20" s="14">
        <v>1</v>
      </c>
      <c r="C20" s="14">
        <v>1</v>
      </c>
      <c r="D20" s="14">
        <f>SUM($C$19:C20)</f>
        <v>2</v>
      </c>
      <c r="J20" s="13"/>
      <c r="K20" s="13"/>
      <c r="L20" s="13"/>
      <c r="M20" s="13"/>
      <c r="N20" s="13">
        <v>6</v>
      </c>
      <c r="P20" s="13"/>
      <c r="Q20" s="13"/>
      <c r="R20" s="13"/>
      <c r="S20" s="13"/>
      <c r="T20" s="13">
        <v>0</v>
      </c>
      <c r="V20" s="13">
        <v>91</v>
      </c>
      <c r="W20" s="13">
        <f>INDEX(节奏总纲!P:P,MATCH(V20,节奏总纲!O:O,0))</f>
        <v>547.74801281858208</v>
      </c>
      <c r="X20" s="13">
        <f t="shared" si="12"/>
        <v>103.02612441096659</v>
      </c>
      <c r="Z20" s="13">
        <f t="shared" si="0"/>
        <v>0</v>
      </c>
      <c r="AA20" s="13">
        <f t="shared" si="1"/>
        <v>0</v>
      </c>
      <c r="AB20" s="13">
        <f t="shared" si="2"/>
        <v>0</v>
      </c>
      <c r="AC20" s="13">
        <f t="shared" si="3"/>
        <v>0</v>
      </c>
      <c r="AD20" s="13">
        <f t="shared" si="4"/>
        <v>6</v>
      </c>
      <c r="AE20" s="13">
        <f t="shared" si="5"/>
        <v>150000</v>
      </c>
      <c r="AG20" s="13">
        <v>14</v>
      </c>
      <c r="AH20" s="13">
        <f t="shared" si="7"/>
        <v>3285.7142857142858</v>
      </c>
      <c r="AI20" s="13">
        <f t="shared" si="8"/>
        <v>8461.538461538461</v>
      </c>
      <c r="AJ20" s="13">
        <f t="shared" si="9"/>
        <v>7440</v>
      </c>
      <c r="AK20" s="13">
        <f t="shared" si="10"/>
        <v>6230.7692307692305</v>
      </c>
      <c r="AL20" s="13">
        <f t="shared" si="11"/>
        <v>21000</v>
      </c>
    </row>
    <row r="21" spans="2:38" x14ac:dyDescent="0.15">
      <c r="B21" s="14">
        <v>2</v>
      </c>
      <c r="C21" s="14">
        <v>1</v>
      </c>
      <c r="D21" s="14">
        <f>SUM($C$19:C21)</f>
        <v>3</v>
      </c>
      <c r="AG21" s="13">
        <v>15</v>
      </c>
      <c r="AH21" s="13">
        <f t="shared" si="7"/>
        <v>3571.4285714285716</v>
      </c>
      <c r="AI21" s="13">
        <f t="shared" si="8"/>
        <v>9269.2307692307695</v>
      </c>
      <c r="AJ21" s="13">
        <f t="shared" si="9"/>
        <v>8080</v>
      </c>
      <c r="AK21" s="13">
        <f t="shared" si="10"/>
        <v>6538.4615384615381</v>
      </c>
      <c r="AL21" s="13">
        <f t="shared" si="11"/>
        <v>22500</v>
      </c>
    </row>
    <row r="22" spans="2:38" x14ac:dyDescent="0.15">
      <c r="B22" s="14">
        <v>3</v>
      </c>
      <c r="C22" s="14">
        <v>1</v>
      </c>
      <c r="D22" s="14">
        <f>SUM($C$19:C22)</f>
        <v>4</v>
      </c>
      <c r="AG22" s="13">
        <v>16</v>
      </c>
      <c r="AH22" s="13">
        <f t="shared" si="7"/>
        <v>3857.1428571428573</v>
      </c>
      <c r="AI22" s="13">
        <f t="shared" si="8"/>
        <v>10076.923076923078</v>
      </c>
      <c r="AJ22" s="13">
        <f t="shared" si="9"/>
        <v>8720</v>
      </c>
      <c r="AK22" s="13">
        <f t="shared" si="10"/>
        <v>6846.1538461538457</v>
      </c>
      <c r="AL22" s="13">
        <f t="shared" si="11"/>
        <v>24000</v>
      </c>
    </row>
    <row r="23" spans="2:38" x14ac:dyDescent="0.15">
      <c r="B23" s="14">
        <v>4</v>
      </c>
      <c r="C23" s="14">
        <v>1</v>
      </c>
      <c r="D23" s="14">
        <f>SUM($C$19:C23)</f>
        <v>5</v>
      </c>
      <c r="AG23" s="13">
        <v>17</v>
      </c>
      <c r="AH23" s="13">
        <f t="shared" si="7"/>
        <v>4142.8571428571431</v>
      </c>
      <c r="AI23" s="13">
        <f t="shared" si="8"/>
        <v>10884.615384615385</v>
      </c>
      <c r="AJ23" s="13">
        <f t="shared" si="9"/>
        <v>9360</v>
      </c>
      <c r="AK23" s="13">
        <f t="shared" si="10"/>
        <v>7153.8461538461543</v>
      </c>
      <c r="AL23" s="13">
        <f t="shared" si="11"/>
        <v>25500</v>
      </c>
    </row>
    <row r="24" spans="2:38" x14ac:dyDescent="0.15">
      <c r="B24" s="14">
        <v>5</v>
      </c>
      <c r="C24" s="14">
        <v>1</v>
      </c>
      <c r="D24" s="14">
        <f>SUM($C$19:C24)</f>
        <v>6</v>
      </c>
      <c r="AG24" s="13">
        <v>18</v>
      </c>
      <c r="AH24" s="13">
        <f t="shared" si="7"/>
        <v>4428.5714285714284</v>
      </c>
      <c r="AI24" s="13">
        <f t="shared" si="8"/>
        <v>11692.307692307693</v>
      </c>
      <c r="AJ24" s="13">
        <f t="shared" si="9"/>
        <v>10000</v>
      </c>
      <c r="AK24" s="13">
        <f t="shared" si="10"/>
        <v>7461.538461538461</v>
      </c>
      <c r="AL24" s="13">
        <f t="shared" si="11"/>
        <v>27000</v>
      </c>
    </row>
    <row r="25" spans="2:38" x14ac:dyDescent="0.15">
      <c r="B25" s="14">
        <v>6</v>
      </c>
      <c r="C25" s="14">
        <v>1</v>
      </c>
      <c r="D25" s="14">
        <f>SUM($C$19:C25)</f>
        <v>7</v>
      </c>
      <c r="J25" s="67" t="s">
        <v>88</v>
      </c>
      <c r="K25" s="67"/>
      <c r="L25" s="67"/>
      <c r="M25" s="67"/>
      <c r="N25" s="67"/>
      <c r="P25" s="67" t="s">
        <v>89</v>
      </c>
      <c r="Q25" s="67"/>
      <c r="R25" s="67"/>
      <c r="S25" s="67"/>
      <c r="T25" s="67"/>
      <c r="Z25" s="67" t="s">
        <v>100</v>
      </c>
      <c r="AA25" s="67"/>
      <c r="AB25" s="67"/>
      <c r="AC25" s="67"/>
      <c r="AD25" s="67"/>
      <c r="AE25" s="15"/>
      <c r="AG25" s="13">
        <v>19</v>
      </c>
      <c r="AH25" s="13">
        <f t="shared" si="7"/>
        <v>4714.2857142857138</v>
      </c>
      <c r="AI25" s="13">
        <f t="shared" si="8"/>
        <v>12500</v>
      </c>
      <c r="AJ25" s="13">
        <f t="shared" si="9"/>
        <v>11136.363636363636</v>
      </c>
      <c r="AK25" s="13">
        <f t="shared" si="10"/>
        <v>7769.2307692307695</v>
      </c>
      <c r="AL25" s="13">
        <f t="shared" si="11"/>
        <v>28500</v>
      </c>
    </row>
    <row r="26" spans="2:38" x14ac:dyDescent="0.15">
      <c r="B26" s="14">
        <v>7</v>
      </c>
      <c r="C26" s="14">
        <v>1</v>
      </c>
      <c r="D26" s="14">
        <f>SUM($C$19:C26)</f>
        <v>8</v>
      </c>
      <c r="I26" s="5" t="s">
        <v>96</v>
      </c>
      <c r="J26" s="13" t="s">
        <v>84</v>
      </c>
      <c r="K26" s="13" t="s">
        <v>85</v>
      </c>
      <c r="L26" s="13" t="s">
        <v>86</v>
      </c>
      <c r="M26" s="13" t="s">
        <v>0</v>
      </c>
      <c r="N26" s="13" t="s">
        <v>87</v>
      </c>
      <c r="P26" s="13" t="s">
        <v>84</v>
      </c>
      <c r="Q26" s="13" t="s">
        <v>85</v>
      </c>
      <c r="R26" s="13" t="s">
        <v>86</v>
      </c>
      <c r="S26" s="13" t="s">
        <v>0</v>
      </c>
      <c r="T26" s="13" t="s">
        <v>87</v>
      </c>
      <c r="V26" s="13" t="s">
        <v>101</v>
      </c>
      <c r="W26" s="13" t="s">
        <v>90</v>
      </c>
      <c r="X26" s="13" t="s">
        <v>12</v>
      </c>
      <c r="Z26" s="13" t="s">
        <v>84</v>
      </c>
      <c r="AA26" s="13" t="s">
        <v>85</v>
      </c>
      <c r="AB26" s="13" t="s">
        <v>86</v>
      </c>
      <c r="AC26" s="13" t="s">
        <v>0</v>
      </c>
      <c r="AD26" s="13" t="s">
        <v>87</v>
      </c>
      <c r="AE26" s="13" t="s">
        <v>93</v>
      </c>
      <c r="AG26" s="13">
        <v>20</v>
      </c>
      <c r="AH26" s="13">
        <f t="shared" si="7"/>
        <v>5000</v>
      </c>
      <c r="AI26" s="13">
        <f t="shared" si="8"/>
        <v>13909.090909090908</v>
      </c>
      <c r="AJ26" s="13">
        <f t="shared" si="9"/>
        <v>12272.727272727272</v>
      </c>
      <c r="AK26" s="13">
        <f t="shared" si="10"/>
        <v>8076.9230769230762</v>
      </c>
      <c r="AL26" s="13">
        <f t="shared" si="11"/>
        <v>30000</v>
      </c>
    </row>
    <row r="27" spans="2:38" x14ac:dyDescent="0.15">
      <c r="J27" s="13"/>
      <c r="K27" s="13">
        <v>5</v>
      </c>
      <c r="L27" s="13">
        <v>1</v>
      </c>
      <c r="M27" s="13"/>
      <c r="N27" s="13"/>
      <c r="P27" s="13"/>
      <c r="Q27" s="13">
        <v>0</v>
      </c>
      <c r="R27" s="13">
        <v>0</v>
      </c>
      <c r="S27" s="13"/>
      <c r="T27" s="13"/>
      <c r="V27" s="13">
        <v>6</v>
      </c>
      <c r="W27" s="13">
        <f>INDEX(节奏总纲!Q:Q,MATCH(V27,节奏总纲!O:O,0))</f>
        <v>0.43939051466685908</v>
      </c>
      <c r="X27" s="13">
        <f>W27</f>
        <v>0.43939051466685908</v>
      </c>
      <c r="Z27" s="13">
        <f t="shared" ref="Z27:AD34" si="13">J27*INDEX($D$20:$D$26,P27+1,1)</f>
        <v>0</v>
      </c>
      <c r="AA27" s="13">
        <f t="shared" si="13"/>
        <v>10</v>
      </c>
      <c r="AB27" s="13">
        <f t="shared" si="13"/>
        <v>2</v>
      </c>
      <c r="AC27" s="13">
        <f t="shared" si="13"/>
        <v>0</v>
      </c>
      <c r="AD27" s="13">
        <f t="shared" si="13"/>
        <v>0</v>
      </c>
      <c r="AE27" s="13">
        <f t="shared" ref="AE27:AE39" si="14">SUMPRODUCT(Z27:AD27,$C$35:$G$35)</f>
        <v>2000</v>
      </c>
      <c r="AG27" s="13">
        <v>21</v>
      </c>
      <c r="AH27" s="13">
        <f t="shared" si="7"/>
        <v>5550</v>
      </c>
      <c r="AI27" s="13">
        <f t="shared" si="8"/>
        <v>15318.181818181818</v>
      </c>
      <c r="AJ27" s="13">
        <f t="shared" si="9"/>
        <v>13409.090909090908</v>
      </c>
      <c r="AK27" s="13">
        <f t="shared" si="10"/>
        <v>8384.6153846153848</v>
      </c>
      <c r="AL27" s="13">
        <f t="shared" si="11"/>
        <v>33000</v>
      </c>
    </row>
    <row r="28" spans="2:38" x14ac:dyDescent="0.15">
      <c r="B28" s="14"/>
      <c r="C28" s="14" t="s">
        <v>141</v>
      </c>
      <c r="D28" s="14"/>
      <c r="J28" s="13"/>
      <c r="K28" s="13"/>
      <c r="L28" s="13">
        <v>5</v>
      </c>
      <c r="M28" s="13">
        <v>1</v>
      </c>
      <c r="N28" s="13"/>
      <c r="P28" s="13"/>
      <c r="Q28" s="13"/>
      <c r="R28" s="13">
        <v>1</v>
      </c>
      <c r="S28" s="13">
        <v>0</v>
      </c>
      <c r="T28" s="13"/>
      <c r="V28" s="13">
        <v>19</v>
      </c>
      <c r="W28" s="13">
        <f>INDEX(节奏总纲!Q:Q,MATCH(V28,节奏总纲!O:O,0))</f>
        <v>2.3734030389920986</v>
      </c>
      <c r="X28" s="13">
        <f t="shared" ref="X28:X39" si="15">W28</f>
        <v>2.3734030389920986</v>
      </c>
      <c r="Z28" s="13">
        <f t="shared" si="13"/>
        <v>0</v>
      </c>
      <c r="AA28" s="13">
        <f t="shared" si="13"/>
        <v>0</v>
      </c>
      <c r="AB28" s="13">
        <f t="shared" si="13"/>
        <v>15</v>
      </c>
      <c r="AC28" s="13">
        <f t="shared" si="13"/>
        <v>2</v>
      </c>
      <c r="AD28" s="13">
        <f t="shared" si="13"/>
        <v>0</v>
      </c>
      <c r="AE28" s="13">
        <f t="shared" si="14"/>
        <v>12500</v>
      </c>
      <c r="AG28" s="13">
        <v>22</v>
      </c>
      <c r="AH28" s="13">
        <f t="shared" si="7"/>
        <v>6100</v>
      </c>
      <c r="AI28" s="13">
        <f t="shared" si="8"/>
        <v>16727.272727272728</v>
      </c>
      <c r="AJ28" s="13">
        <f t="shared" si="9"/>
        <v>14545.454545454544</v>
      </c>
      <c r="AK28" s="13">
        <f t="shared" si="10"/>
        <v>8692.3076923076915</v>
      </c>
      <c r="AL28" s="13">
        <f t="shared" si="11"/>
        <v>36000</v>
      </c>
    </row>
    <row r="29" spans="2:38" x14ac:dyDescent="0.15">
      <c r="B29" s="14" t="s">
        <v>13</v>
      </c>
      <c r="C29" s="14" t="s">
        <v>14</v>
      </c>
      <c r="D29" s="14" t="s">
        <v>15</v>
      </c>
      <c r="J29" s="13"/>
      <c r="K29" s="13"/>
      <c r="L29" s="13">
        <v>1</v>
      </c>
      <c r="M29" s="13">
        <v>5</v>
      </c>
      <c r="N29" s="13"/>
      <c r="P29" s="13"/>
      <c r="Q29" s="13"/>
      <c r="R29" s="13">
        <v>4</v>
      </c>
      <c r="S29" s="13">
        <v>0</v>
      </c>
      <c r="T29" s="13"/>
      <c r="V29" s="13">
        <v>30</v>
      </c>
      <c r="W29" s="13">
        <f>INDEX(节奏总纲!Q:Q,MATCH(V29,节奏总纲!O:O,0))</f>
        <v>6.1025999999999998</v>
      </c>
      <c r="X29" s="13">
        <f t="shared" si="15"/>
        <v>6.1025999999999998</v>
      </c>
      <c r="Z29" s="13">
        <f t="shared" si="13"/>
        <v>0</v>
      </c>
      <c r="AA29" s="13">
        <f t="shared" si="13"/>
        <v>0</v>
      </c>
      <c r="AB29" s="13">
        <f t="shared" si="13"/>
        <v>6</v>
      </c>
      <c r="AC29" s="13">
        <f t="shared" si="13"/>
        <v>10</v>
      </c>
      <c r="AD29" s="13">
        <f t="shared" si="13"/>
        <v>0</v>
      </c>
      <c r="AE29" s="13">
        <f t="shared" si="14"/>
        <v>28000</v>
      </c>
      <c r="AG29" s="13">
        <v>23</v>
      </c>
      <c r="AH29" s="13">
        <f t="shared" si="7"/>
        <v>6650</v>
      </c>
      <c r="AI29" s="13">
        <f t="shared" si="8"/>
        <v>18136.363636363636</v>
      </c>
      <c r="AJ29" s="13">
        <f t="shared" si="9"/>
        <v>15681.81818181818</v>
      </c>
      <c r="AK29" s="13">
        <f t="shared" si="10"/>
        <v>9000</v>
      </c>
      <c r="AL29" s="13">
        <f t="shared" si="11"/>
        <v>39000</v>
      </c>
    </row>
    <row r="30" spans="2:38" x14ac:dyDescent="0.15">
      <c r="B30" s="14">
        <v>1</v>
      </c>
      <c r="C30" s="14">
        <v>0</v>
      </c>
      <c r="D30" s="14">
        <v>0</v>
      </c>
      <c r="J30" s="13"/>
      <c r="K30" s="13"/>
      <c r="L30" s="13"/>
      <c r="M30" s="13">
        <v>6</v>
      </c>
      <c r="N30" s="13"/>
      <c r="P30" s="13"/>
      <c r="Q30" s="13"/>
      <c r="R30" s="13"/>
      <c r="S30" s="13">
        <v>0</v>
      </c>
      <c r="T30" s="13"/>
      <c r="V30" s="13">
        <v>38</v>
      </c>
      <c r="W30" s="13">
        <f>INDEX(节奏总纲!Q:Q,MATCH(V30,节奏总纲!O:O,0))</f>
        <v>11.292021791725356</v>
      </c>
      <c r="X30" s="13">
        <f t="shared" si="15"/>
        <v>11.292021791725356</v>
      </c>
      <c r="Z30" s="13">
        <f t="shared" si="13"/>
        <v>0</v>
      </c>
      <c r="AA30" s="13">
        <f t="shared" si="13"/>
        <v>0</v>
      </c>
      <c r="AB30" s="13">
        <f t="shared" si="13"/>
        <v>0</v>
      </c>
      <c r="AC30" s="13">
        <f t="shared" si="13"/>
        <v>12</v>
      </c>
      <c r="AD30" s="13">
        <f t="shared" si="13"/>
        <v>0</v>
      </c>
      <c r="AE30" s="13">
        <f t="shared" si="14"/>
        <v>30000</v>
      </c>
      <c r="AG30" s="13">
        <v>24</v>
      </c>
      <c r="AH30" s="13">
        <f t="shared" si="7"/>
        <v>7200</v>
      </c>
      <c r="AI30" s="13">
        <f t="shared" si="8"/>
        <v>19545.454545454544</v>
      </c>
      <c r="AJ30" s="13">
        <f t="shared" si="9"/>
        <v>16818.181818181816</v>
      </c>
      <c r="AK30" s="13">
        <f t="shared" si="10"/>
        <v>9666.6666666666661</v>
      </c>
      <c r="AL30" s="13">
        <f t="shared" si="11"/>
        <v>42000</v>
      </c>
    </row>
    <row r="31" spans="2:38" x14ac:dyDescent="0.15">
      <c r="B31" s="14">
        <v>2</v>
      </c>
      <c r="C31" s="14">
        <v>3</v>
      </c>
      <c r="D31" s="14">
        <v>3</v>
      </c>
      <c r="J31" s="13"/>
      <c r="K31" s="13"/>
      <c r="L31" s="13"/>
      <c r="M31" s="13">
        <v>6</v>
      </c>
      <c r="N31" s="13"/>
      <c r="P31" s="13"/>
      <c r="Q31" s="13"/>
      <c r="R31" s="13"/>
      <c r="S31" s="13">
        <v>1</v>
      </c>
      <c r="T31" s="13"/>
      <c r="V31" s="13">
        <v>46</v>
      </c>
      <c r="W31" s="13">
        <f>INDEX(节奏总纲!Q:Q,MATCH(V31,节奏总纲!O:O,0))</f>
        <v>20.310154733549314</v>
      </c>
      <c r="X31" s="13">
        <f t="shared" si="15"/>
        <v>20.310154733549314</v>
      </c>
      <c r="Z31" s="13">
        <f t="shared" si="13"/>
        <v>0</v>
      </c>
      <c r="AA31" s="13">
        <f t="shared" si="13"/>
        <v>0</v>
      </c>
      <c r="AB31" s="13">
        <f t="shared" si="13"/>
        <v>0</v>
      </c>
      <c r="AC31" s="13">
        <f t="shared" si="13"/>
        <v>18</v>
      </c>
      <c r="AD31" s="13">
        <f t="shared" si="13"/>
        <v>0</v>
      </c>
      <c r="AE31" s="13">
        <f t="shared" si="14"/>
        <v>45000</v>
      </c>
      <c r="AG31" s="13">
        <v>25</v>
      </c>
      <c r="AH31" s="13">
        <f t="shared" si="7"/>
        <v>7750</v>
      </c>
      <c r="AI31" s="13">
        <f t="shared" si="8"/>
        <v>20954.545454545456</v>
      </c>
      <c r="AJ31" s="13">
        <f t="shared" si="9"/>
        <v>17954.545454545456</v>
      </c>
      <c r="AK31" s="13">
        <f t="shared" si="10"/>
        <v>10333.333333333334</v>
      </c>
      <c r="AL31" s="13">
        <f t="shared" si="11"/>
        <v>45000</v>
      </c>
    </row>
    <row r="32" spans="2:38" x14ac:dyDescent="0.15">
      <c r="J32" s="13"/>
      <c r="K32" s="13"/>
      <c r="L32" s="13"/>
      <c r="M32" s="13">
        <v>6</v>
      </c>
      <c r="N32" s="13"/>
      <c r="P32" s="13"/>
      <c r="Q32" s="13"/>
      <c r="R32" s="13"/>
      <c r="S32" s="13">
        <v>3</v>
      </c>
      <c r="T32" s="13"/>
      <c r="V32" s="13">
        <v>58</v>
      </c>
      <c r="W32" s="13">
        <f>INDEX(节奏总纲!Q:Q,MATCH(V32,节奏总纲!O:O,0))</f>
        <v>47.459995750595695</v>
      </c>
      <c r="X32" s="13">
        <f t="shared" si="15"/>
        <v>47.459995750595695</v>
      </c>
      <c r="Z32" s="13">
        <f t="shared" si="13"/>
        <v>0</v>
      </c>
      <c r="AA32" s="13">
        <f t="shared" si="13"/>
        <v>0</v>
      </c>
      <c r="AB32" s="13">
        <f t="shared" si="13"/>
        <v>0</v>
      </c>
      <c r="AC32" s="13">
        <f t="shared" si="13"/>
        <v>30</v>
      </c>
      <c r="AD32" s="13">
        <f t="shared" si="13"/>
        <v>0</v>
      </c>
      <c r="AE32" s="13">
        <f t="shared" si="14"/>
        <v>75000</v>
      </c>
      <c r="AG32" s="13">
        <v>26</v>
      </c>
      <c r="AH32" s="13">
        <f t="shared" si="7"/>
        <v>8300</v>
      </c>
      <c r="AI32" s="13">
        <f t="shared" si="8"/>
        <v>22363.636363636364</v>
      </c>
      <c r="AJ32" s="13">
        <f t="shared" si="9"/>
        <v>19090.909090909088</v>
      </c>
      <c r="AK32" s="13">
        <f t="shared" si="10"/>
        <v>11000</v>
      </c>
      <c r="AL32" s="13">
        <f t="shared" si="11"/>
        <v>48000</v>
      </c>
    </row>
    <row r="33" spans="2:38" x14ac:dyDescent="0.15">
      <c r="J33" s="13"/>
      <c r="K33" s="13"/>
      <c r="L33" s="13"/>
      <c r="M33" s="13">
        <v>4</v>
      </c>
      <c r="N33" s="13"/>
      <c r="P33" s="13"/>
      <c r="Q33" s="13"/>
      <c r="R33" s="13"/>
      <c r="S33" s="13">
        <v>6</v>
      </c>
      <c r="T33" s="13"/>
      <c r="V33" s="13">
        <v>67</v>
      </c>
      <c r="W33" s="13">
        <f>INDEX(节奏总纲!Q:Q,MATCH(V33,节奏总纲!O:O,0))</f>
        <v>89.469161720823394</v>
      </c>
      <c r="X33" s="13">
        <f t="shared" si="15"/>
        <v>89.469161720823394</v>
      </c>
      <c r="Z33" s="13">
        <f t="shared" si="13"/>
        <v>0</v>
      </c>
      <c r="AA33" s="13">
        <f t="shared" si="13"/>
        <v>0</v>
      </c>
      <c r="AB33" s="13">
        <f t="shared" si="13"/>
        <v>0</v>
      </c>
      <c r="AC33" s="13">
        <f t="shared" si="13"/>
        <v>32</v>
      </c>
      <c r="AD33" s="13">
        <f t="shared" si="13"/>
        <v>0</v>
      </c>
      <c r="AE33" s="13">
        <f t="shared" si="14"/>
        <v>80000</v>
      </c>
      <c r="AG33" s="13">
        <v>27</v>
      </c>
      <c r="AH33" s="13">
        <f t="shared" si="7"/>
        <v>8850</v>
      </c>
      <c r="AI33" s="13">
        <f t="shared" si="8"/>
        <v>23772.727272727272</v>
      </c>
      <c r="AJ33" s="13">
        <f t="shared" si="9"/>
        <v>20227.272727272728</v>
      </c>
      <c r="AK33" s="13">
        <f t="shared" si="10"/>
        <v>11666.666666666666</v>
      </c>
      <c r="AL33" s="13">
        <f t="shared" si="11"/>
        <v>51000</v>
      </c>
    </row>
    <row r="34" spans="2:38" x14ac:dyDescent="0.15">
      <c r="B34" s="14" t="s">
        <v>91</v>
      </c>
      <c r="C34" s="14" t="s">
        <v>82</v>
      </c>
      <c r="D34" s="14" t="s">
        <v>79</v>
      </c>
      <c r="E34" s="14" t="s">
        <v>80</v>
      </c>
      <c r="F34" s="14" t="s">
        <v>81</v>
      </c>
      <c r="G34" s="14" t="s">
        <v>83</v>
      </c>
      <c r="J34" s="13"/>
      <c r="K34" s="13"/>
      <c r="L34" s="13"/>
      <c r="M34" s="13">
        <v>5</v>
      </c>
      <c r="N34" s="13">
        <v>1</v>
      </c>
      <c r="P34" s="13"/>
      <c r="Q34" s="13"/>
      <c r="R34" s="13"/>
      <c r="S34" s="13">
        <v>6</v>
      </c>
      <c r="T34" s="13">
        <v>0</v>
      </c>
      <c r="V34" s="13">
        <v>68</v>
      </c>
      <c r="W34" s="13">
        <f>INDEX(节奏总纲!Q:Q,MATCH(V34,节奏总纲!O:O,0))</f>
        <v>95.831563690032169</v>
      </c>
      <c r="X34" s="13">
        <f t="shared" si="15"/>
        <v>95.831563690032169</v>
      </c>
      <c r="Z34" s="13">
        <f t="shared" si="13"/>
        <v>0</v>
      </c>
      <c r="AA34" s="13">
        <f t="shared" si="13"/>
        <v>0</v>
      </c>
      <c r="AB34" s="13">
        <f t="shared" si="13"/>
        <v>0</v>
      </c>
      <c r="AC34" s="13">
        <f t="shared" si="13"/>
        <v>40</v>
      </c>
      <c r="AD34" s="13">
        <f t="shared" si="13"/>
        <v>2</v>
      </c>
      <c r="AE34" s="13">
        <f t="shared" si="14"/>
        <v>150000</v>
      </c>
      <c r="AG34" s="13">
        <v>28</v>
      </c>
      <c r="AH34" s="13">
        <f t="shared" si="7"/>
        <v>9400</v>
      </c>
      <c r="AI34" s="13">
        <f t="shared" si="8"/>
        <v>25181.81818181818</v>
      </c>
      <c r="AJ34" s="13">
        <f t="shared" si="9"/>
        <v>21363.63636363636</v>
      </c>
      <c r="AK34" s="13">
        <f t="shared" si="10"/>
        <v>12333.333333333332</v>
      </c>
      <c r="AL34" s="13">
        <f t="shared" si="11"/>
        <v>54000</v>
      </c>
    </row>
    <row r="35" spans="2:38" x14ac:dyDescent="0.15">
      <c r="B35" s="14" t="s">
        <v>92</v>
      </c>
      <c r="C35" s="14">
        <v>50</v>
      </c>
      <c r="D35" s="14">
        <v>100</v>
      </c>
      <c r="E35" s="14">
        <v>500</v>
      </c>
      <c r="F35" s="14">
        <v>2500</v>
      </c>
      <c r="G35" s="14">
        <v>25000</v>
      </c>
      <c r="I35" s="6"/>
      <c r="J35" s="13"/>
      <c r="K35" s="13"/>
      <c r="L35" s="13"/>
      <c r="M35" s="13"/>
      <c r="N35" s="13">
        <v>2</v>
      </c>
      <c r="O35" s="6"/>
      <c r="P35" s="13"/>
      <c r="Q35" s="13"/>
      <c r="R35" s="13"/>
      <c r="S35" s="13"/>
      <c r="T35" s="13">
        <v>0</v>
      </c>
      <c r="U35" s="6"/>
      <c r="V35" s="13">
        <v>75</v>
      </c>
      <c r="W35" s="13">
        <f>INDEX(节奏总纲!Q:Q,MATCH(V35,节奏总纲!O:O,0))</f>
        <v>155.75272949314578</v>
      </c>
      <c r="X35" s="13">
        <f t="shared" si="15"/>
        <v>155.75272949314578</v>
      </c>
      <c r="Y35" s="6"/>
      <c r="Z35" s="13">
        <f t="shared" ref="Z35:AD39" si="16">J35*INDEX($D$19:$D$26,P35+1,1)</f>
        <v>0</v>
      </c>
      <c r="AA35" s="13">
        <f t="shared" si="16"/>
        <v>0</v>
      </c>
      <c r="AB35" s="13">
        <f t="shared" si="16"/>
        <v>0</v>
      </c>
      <c r="AC35" s="13">
        <f t="shared" si="16"/>
        <v>0</v>
      </c>
      <c r="AD35" s="13">
        <f t="shared" si="16"/>
        <v>2</v>
      </c>
      <c r="AE35" s="13">
        <f t="shared" si="14"/>
        <v>50000</v>
      </c>
      <c r="AG35" s="13">
        <v>29</v>
      </c>
      <c r="AH35" s="13">
        <f t="shared" si="7"/>
        <v>9950</v>
      </c>
      <c r="AI35" s="13">
        <f t="shared" si="8"/>
        <v>26590.909090909088</v>
      </c>
      <c r="AJ35" s="13">
        <f t="shared" si="9"/>
        <v>22500</v>
      </c>
      <c r="AK35" s="13">
        <f t="shared" si="10"/>
        <v>13000</v>
      </c>
      <c r="AL35" s="13">
        <f t="shared" si="11"/>
        <v>57000</v>
      </c>
    </row>
    <row r="36" spans="2:38" x14ac:dyDescent="0.15">
      <c r="I36" s="6"/>
      <c r="J36" s="13"/>
      <c r="K36" s="13"/>
      <c r="L36" s="13"/>
      <c r="M36" s="13"/>
      <c r="N36" s="13">
        <v>3</v>
      </c>
      <c r="O36" s="6"/>
      <c r="P36" s="13"/>
      <c r="Q36" s="13"/>
      <c r="R36" s="13"/>
      <c r="S36" s="13"/>
      <c r="T36" s="13">
        <v>0</v>
      </c>
      <c r="U36" s="6"/>
      <c r="V36" s="13">
        <v>80</v>
      </c>
      <c r="W36" s="13">
        <f>INDEX(节奏总纲!Q:Q,MATCH(V36,节奏总纲!O:O,0))</f>
        <v>221.08500000000001</v>
      </c>
      <c r="X36" s="13">
        <f t="shared" si="15"/>
        <v>221.08500000000001</v>
      </c>
      <c r="Y36" s="6"/>
      <c r="Z36" s="13">
        <f t="shared" si="16"/>
        <v>0</v>
      </c>
      <c r="AA36" s="13">
        <f t="shared" si="16"/>
        <v>0</v>
      </c>
      <c r="AB36" s="13">
        <f t="shared" si="16"/>
        <v>0</v>
      </c>
      <c r="AC36" s="13">
        <f t="shared" si="16"/>
        <v>0</v>
      </c>
      <c r="AD36" s="13">
        <f t="shared" si="16"/>
        <v>3</v>
      </c>
      <c r="AE36" s="13">
        <f t="shared" si="14"/>
        <v>75000</v>
      </c>
      <c r="AG36" s="13">
        <v>30</v>
      </c>
      <c r="AH36" s="13">
        <f t="shared" si="7"/>
        <v>10500</v>
      </c>
      <c r="AI36" s="13">
        <f t="shared" si="8"/>
        <v>28000</v>
      </c>
      <c r="AJ36" s="13">
        <f t="shared" si="9"/>
        <v>23111.111111111109</v>
      </c>
      <c r="AK36" s="13">
        <f t="shared" si="10"/>
        <v>13666.666666666666</v>
      </c>
      <c r="AL36" s="13">
        <f t="shared" si="11"/>
        <v>60000</v>
      </c>
    </row>
    <row r="37" spans="2:38" x14ac:dyDescent="0.15">
      <c r="I37" s="6"/>
      <c r="J37" s="13"/>
      <c r="K37" s="13"/>
      <c r="L37" s="13"/>
      <c r="M37" s="13"/>
      <c r="N37" s="13">
        <v>4</v>
      </c>
      <c r="O37" s="6"/>
      <c r="P37" s="13"/>
      <c r="Q37" s="13"/>
      <c r="R37" s="13"/>
      <c r="S37" s="13"/>
      <c r="T37" s="13">
        <v>0</v>
      </c>
      <c r="U37" s="6"/>
      <c r="V37" s="13">
        <v>84</v>
      </c>
      <c r="W37" s="13">
        <f>INDEX(节奏总纲!Q:Q,MATCH(V37,节奏总纲!O:O,0))</f>
        <v>291.2594729565181</v>
      </c>
      <c r="X37" s="13">
        <f t="shared" si="15"/>
        <v>291.2594729565181</v>
      </c>
      <c r="Y37" s="6"/>
      <c r="Z37" s="13">
        <f t="shared" si="16"/>
        <v>0</v>
      </c>
      <c r="AA37" s="13">
        <f t="shared" si="16"/>
        <v>0</v>
      </c>
      <c r="AB37" s="13">
        <f t="shared" si="16"/>
        <v>0</v>
      </c>
      <c r="AC37" s="13">
        <f t="shared" si="16"/>
        <v>0</v>
      </c>
      <c r="AD37" s="13">
        <f t="shared" si="16"/>
        <v>4</v>
      </c>
      <c r="AE37" s="13">
        <f t="shared" si="14"/>
        <v>100000</v>
      </c>
      <c r="AG37" s="13">
        <v>31</v>
      </c>
      <c r="AH37" s="13">
        <f t="shared" si="7"/>
        <v>11300</v>
      </c>
      <c r="AI37" s="13">
        <f t="shared" si="8"/>
        <v>28250</v>
      </c>
      <c r="AJ37" s="13">
        <f t="shared" si="9"/>
        <v>23722.222222222223</v>
      </c>
      <c r="AK37" s="13">
        <f t="shared" si="10"/>
        <v>14333.333333333332</v>
      </c>
      <c r="AL37" s="13">
        <f t="shared" si="11"/>
        <v>62750</v>
      </c>
    </row>
    <row r="38" spans="2:38" x14ac:dyDescent="0.15">
      <c r="I38" s="6"/>
      <c r="J38" s="13"/>
      <c r="K38" s="13"/>
      <c r="L38" s="13"/>
      <c r="M38" s="13"/>
      <c r="N38" s="13">
        <v>5</v>
      </c>
      <c r="O38" s="6"/>
      <c r="P38" s="13"/>
      <c r="Q38" s="13"/>
      <c r="R38" s="13"/>
      <c r="S38" s="13"/>
      <c r="T38" s="13">
        <v>0</v>
      </c>
      <c r="U38" s="6"/>
      <c r="V38" s="13">
        <v>88</v>
      </c>
      <c r="W38" s="13">
        <f>INDEX(节奏总纲!Q:Q,MATCH(V38,节奏总纲!O:O,0))</f>
        <v>384.7733778502689</v>
      </c>
      <c r="X38" s="13">
        <f t="shared" si="15"/>
        <v>384.7733778502689</v>
      </c>
      <c r="Y38" s="6"/>
      <c r="Z38" s="13">
        <f t="shared" si="16"/>
        <v>0</v>
      </c>
      <c r="AA38" s="13">
        <f t="shared" si="16"/>
        <v>0</v>
      </c>
      <c r="AB38" s="13">
        <f t="shared" si="16"/>
        <v>0</v>
      </c>
      <c r="AC38" s="13">
        <f t="shared" si="16"/>
        <v>0</v>
      </c>
      <c r="AD38" s="13">
        <f t="shared" si="16"/>
        <v>5</v>
      </c>
      <c r="AE38" s="13">
        <f t="shared" si="14"/>
        <v>125000</v>
      </c>
      <c r="AG38" s="13">
        <v>32</v>
      </c>
      <c r="AH38" s="13">
        <f t="shared" si="7"/>
        <v>12100</v>
      </c>
      <c r="AI38" s="13">
        <f t="shared" si="8"/>
        <v>28500</v>
      </c>
      <c r="AJ38" s="13">
        <f t="shared" si="9"/>
        <v>24333.333333333332</v>
      </c>
      <c r="AK38" s="13">
        <f t="shared" si="10"/>
        <v>15000</v>
      </c>
      <c r="AL38" s="13">
        <f t="shared" si="11"/>
        <v>65500</v>
      </c>
    </row>
    <row r="39" spans="2:38" x14ac:dyDescent="0.15">
      <c r="G39" s="3"/>
      <c r="I39" s="6"/>
      <c r="J39" s="13"/>
      <c r="K39" s="13"/>
      <c r="L39" s="13"/>
      <c r="M39" s="13"/>
      <c r="N39" s="13">
        <v>6</v>
      </c>
      <c r="O39" s="6"/>
      <c r="P39" s="13"/>
      <c r="Q39" s="13"/>
      <c r="R39" s="13"/>
      <c r="S39" s="13"/>
      <c r="T39" s="13">
        <v>0</v>
      </c>
      <c r="U39" s="6"/>
      <c r="V39" s="13">
        <v>91</v>
      </c>
      <c r="W39" s="13">
        <f>INDEX(节奏总纲!Q:Q,MATCH(V39,节奏总纲!O:O,0))</f>
        <v>469.6391461906523</v>
      </c>
      <c r="X39" s="13">
        <f t="shared" si="15"/>
        <v>469.6391461906523</v>
      </c>
      <c r="Y39" s="6"/>
      <c r="Z39" s="13">
        <f t="shared" si="16"/>
        <v>0</v>
      </c>
      <c r="AA39" s="13">
        <f t="shared" si="16"/>
        <v>0</v>
      </c>
      <c r="AB39" s="13">
        <f t="shared" si="16"/>
        <v>0</v>
      </c>
      <c r="AC39" s="13">
        <f t="shared" si="16"/>
        <v>0</v>
      </c>
      <c r="AD39" s="13">
        <f t="shared" si="16"/>
        <v>6</v>
      </c>
      <c r="AE39" s="13">
        <f t="shared" si="14"/>
        <v>150000</v>
      </c>
      <c r="AG39" s="13">
        <v>33</v>
      </c>
      <c r="AH39" s="13">
        <f t="shared" si="7"/>
        <v>12900</v>
      </c>
      <c r="AI39" s="13">
        <f t="shared" si="8"/>
        <v>28750</v>
      </c>
      <c r="AJ39" s="13">
        <f t="shared" si="9"/>
        <v>24944.444444444445</v>
      </c>
      <c r="AK39" s="13">
        <f t="shared" si="10"/>
        <v>17142.857142857141</v>
      </c>
      <c r="AL39" s="13">
        <f t="shared" si="11"/>
        <v>68250</v>
      </c>
    </row>
    <row r="40" spans="2:38" x14ac:dyDescent="0.15">
      <c r="G40" s="3"/>
      <c r="AG40" s="13">
        <v>34</v>
      </c>
      <c r="AH40" s="13">
        <f t="shared" si="7"/>
        <v>13700</v>
      </c>
      <c r="AI40" s="13">
        <f t="shared" si="8"/>
        <v>29000</v>
      </c>
      <c r="AJ40" s="13">
        <f t="shared" si="9"/>
        <v>25555.555555555555</v>
      </c>
      <c r="AK40" s="13">
        <f t="shared" si="10"/>
        <v>19285.714285714286</v>
      </c>
      <c r="AL40" s="13">
        <f t="shared" si="11"/>
        <v>71000</v>
      </c>
    </row>
    <row r="41" spans="2:38" x14ac:dyDescent="0.15">
      <c r="G41" s="3"/>
      <c r="J41" s="67" t="s">
        <v>88</v>
      </c>
      <c r="K41" s="67"/>
      <c r="L41" s="67"/>
      <c r="M41" s="67"/>
      <c r="N41" s="67"/>
      <c r="P41" s="67" t="s">
        <v>89</v>
      </c>
      <c r="Q41" s="67"/>
      <c r="R41" s="67"/>
      <c r="S41" s="67"/>
      <c r="T41" s="67"/>
      <c r="Z41" s="67" t="s">
        <v>100</v>
      </c>
      <c r="AA41" s="67"/>
      <c r="AB41" s="67"/>
      <c r="AC41" s="67"/>
      <c r="AD41" s="67"/>
      <c r="AE41" s="15"/>
      <c r="AG41" s="13">
        <v>35</v>
      </c>
      <c r="AH41" s="13">
        <f t="shared" si="7"/>
        <v>14500</v>
      </c>
      <c r="AI41" s="13">
        <f t="shared" si="8"/>
        <v>29250</v>
      </c>
      <c r="AJ41" s="13">
        <f t="shared" si="9"/>
        <v>26166.666666666668</v>
      </c>
      <c r="AK41" s="13">
        <f t="shared" si="10"/>
        <v>21428.571428571428</v>
      </c>
      <c r="AL41" s="13">
        <f t="shared" si="11"/>
        <v>73750</v>
      </c>
    </row>
    <row r="42" spans="2:38" x14ac:dyDescent="0.15">
      <c r="G42" s="3"/>
      <c r="I42" s="5" t="s">
        <v>97</v>
      </c>
      <c r="J42" s="13" t="s">
        <v>84</v>
      </c>
      <c r="K42" s="13" t="s">
        <v>85</v>
      </c>
      <c r="L42" s="13" t="s">
        <v>86</v>
      </c>
      <c r="M42" s="13" t="s">
        <v>0</v>
      </c>
      <c r="N42" s="13" t="s">
        <v>87</v>
      </c>
      <c r="P42" s="13" t="s">
        <v>84</v>
      </c>
      <c r="Q42" s="13" t="s">
        <v>85</v>
      </c>
      <c r="R42" s="13" t="s">
        <v>86</v>
      </c>
      <c r="S42" s="13" t="s">
        <v>0</v>
      </c>
      <c r="T42" s="13" t="s">
        <v>87</v>
      </c>
      <c r="V42" s="13" t="s">
        <v>101</v>
      </c>
      <c r="W42" s="13" t="s">
        <v>90</v>
      </c>
      <c r="X42" s="13" t="s">
        <v>12</v>
      </c>
      <c r="Z42" s="13" t="s">
        <v>84</v>
      </c>
      <c r="AA42" s="13" t="s">
        <v>85</v>
      </c>
      <c r="AB42" s="13" t="s">
        <v>86</v>
      </c>
      <c r="AC42" s="13" t="s">
        <v>0</v>
      </c>
      <c r="AD42" s="13" t="s">
        <v>87</v>
      </c>
      <c r="AE42" s="13" t="s">
        <v>93</v>
      </c>
      <c r="AG42" s="13">
        <v>36</v>
      </c>
      <c r="AH42" s="13">
        <f t="shared" si="7"/>
        <v>14666.666666666666</v>
      </c>
      <c r="AI42" s="13">
        <f t="shared" si="8"/>
        <v>29500</v>
      </c>
      <c r="AJ42" s="13">
        <f t="shared" si="9"/>
        <v>26777.777777777777</v>
      </c>
      <c r="AK42" s="13">
        <f t="shared" si="10"/>
        <v>23571.428571428572</v>
      </c>
      <c r="AL42" s="13">
        <f t="shared" si="11"/>
        <v>76500</v>
      </c>
    </row>
    <row r="43" spans="2:38" x14ac:dyDescent="0.15">
      <c r="G43" s="3"/>
      <c r="J43" s="13"/>
      <c r="K43" s="13">
        <v>3</v>
      </c>
      <c r="L43" s="13">
        <v>3</v>
      </c>
      <c r="M43" s="13"/>
      <c r="N43" s="13"/>
      <c r="P43" s="13"/>
      <c r="Q43" s="13">
        <v>0</v>
      </c>
      <c r="R43" s="13">
        <v>0</v>
      </c>
      <c r="S43" s="13"/>
      <c r="T43" s="13"/>
      <c r="V43" s="13">
        <v>8</v>
      </c>
      <c r="W43" s="13">
        <f>INDEX(节奏总纲!R:R,MATCH(V43,节奏总纲!O:O,0))</f>
        <v>0.50550507844857251</v>
      </c>
      <c r="X43" s="13">
        <f>W43</f>
        <v>0.50550507844857251</v>
      </c>
      <c r="Z43" s="13">
        <f t="shared" ref="Z43:Z54" si="17">J43*INDEX($D$20:$D$26,P43+1,1)</f>
        <v>0</v>
      </c>
      <c r="AA43" s="13">
        <f t="shared" ref="AA43:AA54" si="18">K43*INDEX($D$20:$D$26,Q43+1,1)</f>
        <v>6</v>
      </c>
      <c r="AB43" s="13">
        <f t="shared" ref="AB43:AB54" si="19">L43*INDEX($D$20:$D$26,R43+1,1)</f>
        <v>6</v>
      </c>
      <c r="AC43" s="13">
        <f t="shared" ref="AC43:AC54" si="20">M43*INDEX($D$20:$D$26,S43+1,1)</f>
        <v>0</v>
      </c>
      <c r="AD43" s="13">
        <f t="shared" ref="AD43:AD54" si="21">N43*INDEX($D$20:$D$26,T43+1,1)</f>
        <v>0</v>
      </c>
      <c r="AE43" s="13">
        <f t="shared" ref="AE43:AE54" si="22">SUMPRODUCT(Z43:AD43,$C$35:$G$35)</f>
        <v>3600</v>
      </c>
      <c r="AG43" s="13">
        <v>37</v>
      </c>
      <c r="AH43" s="13">
        <f t="shared" si="7"/>
        <v>14833.333333333334</v>
      </c>
      <c r="AI43" s="13">
        <f t="shared" si="8"/>
        <v>29750</v>
      </c>
      <c r="AJ43" s="13">
        <f t="shared" si="9"/>
        <v>27388.888888888891</v>
      </c>
      <c r="AK43" s="13">
        <f t="shared" si="10"/>
        <v>25714.285714285714</v>
      </c>
      <c r="AL43" s="13">
        <f t="shared" si="11"/>
        <v>79250</v>
      </c>
    </row>
    <row r="44" spans="2:38" x14ac:dyDescent="0.15">
      <c r="G44" s="3"/>
      <c r="J44" s="13"/>
      <c r="K44" s="13"/>
      <c r="L44" s="13">
        <v>5</v>
      </c>
      <c r="M44" s="13">
        <v>1</v>
      </c>
      <c r="N44" s="13"/>
      <c r="P44" s="13"/>
      <c r="Q44" s="13"/>
      <c r="R44" s="13">
        <v>0</v>
      </c>
      <c r="S44" s="13">
        <v>0</v>
      </c>
      <c r="T44" s="13"/>
      <c r="V44" s="13">
        <v>18</v>
      </c>
      <c r="W44" s="13">
        <f>INDEX(节奏总纲!R:R,MATCH(V44,节奏总纲!O:O,0))</f>
        <v>1.7690655458445907</v>
      </c>
      <c r="X44" s="13">
        <f>W44-W43</f>
        <v>1.2635604673960183</v>
      </c>
      <c r="Z44" s="13">
        <f t="shared" si="17"/>
        <v>0</v>
      </c>
      <c r="AA44" s="13">
        <f t="shared" si="18"/>
        <v>0</v>
      </c>
      <c r="AB44" s="13">
        <f t="shared" si="19"/>
        <v>10</v>
      </c>
      <c r="AC44" s="13">
        <f t="shared" si="20"/>
        <v>2</v>
      </c>
      <c r="AD44" s="13">
        <f t="shared" si="21"/>
        <v>0</v>
      </c>
      <c r="AE44" s="13">
        <f t="shared" si="22"/>
        <v>10000</v>
      </c>
      <c r="AG44" s="13">
        <v>38</v>
      </c>
      <c r="AH44" s="13">
        <f t="shared" si="7"/>
        <v>15000</v>
      </c>
      <c r="AI44" s="13">
        <f t="shared" si="8"/>
        <v>30000</v>
      </c>
      <c r="AJ44" s="13">
        <f t="shared" si="9"/>
        <v>28000</v>
      </c>
      <c r="AK44" s="13">
        <f t="shared" si="10"/>
        <v>27857.142857142855</v>
      </c>
      <c r="AL44" s="13">
        <f t="shared" si="11"/>
        <v>82000</v>
      </c>
    </row>
    <row r="45" spans="2:38" x14ac:dyDescent="0.15">
      <c r="G45" s="3"/>
      <c r="J45" s="13"/>
      <c r="K45" s="13"/>
      <c r="L45" s="13">
        <v>3</v>
      </c>
      <c r="M45" s="13">
        <v>3</v>
      </c>
      <c r="N45" s="13"/>
      <c r="P45" s="13"/>
      <c r="Q45" s="13"/>
      <c r="R45" s="13">
        <v>3</v>
      </c>
      <c r="S45" s="13">
        <v>0</v>
      </c>
      <c r="T45" s="13"/>
      <c r="V45" s="13">
        <v>29</v>
      </c>
      <c r="W45" s="13">
        <f>INDEX(节奏总纲!R:R,MATCH(V45,节奏总纲!O:O,0))</f>
        <v>4.6510378992858623</v>
      </c>
      <c r="X45" s="13">
        <f t="shared" ref="X45:X54" si="23">W45-W44</f>
        <v>2.8819723534412716</v>
      </c>
      <c r="Z45" s="13">
        <f t="shared" si="17"/>
        <v>0</v>
      </c>
      <c r="AA45" s="13">
        <f t="shared" si="18"/>
        <v>0</v>
      </c>
      <c r="AB45" s="13">
        <f t="shared" si="19"/>
        <v>15</v>
      </c>
      <c r="AC45" s="13">
        <f t="shared" si="20"/>
        <v>6</v>
      </c>
      <c r="AD45" s="13">
        <f t="shared" si="21"/>
        <v>0</v>
      </c>
      <c r="AE45" s="13">
        <f t="shared" si="22"/>
        <v>22500</v>
      </c>
      <c r="AG45" s="13">
        <v>39</v>
      </c>
      <c r="AH45" s="13">
        <f t="shared" si="7"/>
        <v>16875</v>
      </c>
      <c r="AI45" s="13">
        <f t="shared" si="8"/>
        <v>31875</v>
      </c>
      <c r="AJ45" s="13">
        <f t="shared" si="9"/>
        <v>28285.714285714286</v>
      </c>
      <c r="AK45" s="13">
        <f t="shared" si="10"/>
        <v>30000</v>
      </c>
      <c r="AL45" s="13">
        <f t="shared" si="11"/>
        <v>84750</v>
      </c>
    </row>
    <row r="46" spans="2:38" x14ac:dyDescent="0.15">
      <c r="J46" s="13"/>
      <c r="K46" s="13"/>
      <c r="L46" s="13">
        <v>1</v>
      </c>
      <c r="M46" s="13">
        <v>5</v>
      </c>
      <c r="N46" s="13"/>
      <c r="P46" s="13"/>
      <c r="Q46" s="13"/>
      <c r="R46" s="13">
        <v>4</v>
      </c>
      <c r="S46" s="13">
        <v>0</v>
      </c>
      <c r="T46" s="13"/>
      <c r="V46" s="13">
        <v>38</v>
      </c>
      <c r="W46" s="13">
        <f>INDEX(节奏总纲!R:R,MATCH(V46,节奏总纲!O:O,0))</f>
        <v>9.3190855363815395</v>
      </c>
      <c r="X46" s="13">
        <f t="shared" si="23"/>
        <v>4.6680476370956772</v>
      </c>
      <c r="Z46" s="13">
        <f t="shared" si="17"/>
        <v>0</v>
      </c>
      <c r="AA46" s="13">
        <f t="shared" si="18"/>
        <v>0</v>
      </c>
      <c r="AB46" s="13">
        <f t="shared" si="19"/>
        <v>6</v>
      </c>
      <c r="AC46" s="13">
        <f t="shared" si="20"/>
        <v>10</v>
      </c>
      <c r="AD46" s="13">
        <f t="shared" si="21"/>
        <v>0</v>
      </c>
      <c r="AE46" s="13">
        <f t="shared" si="22"/>
        <v>28000</v>
      </c>
      <c r="AG46" s="13">
        <v>40</v>
      </c>
      <c r="AH46" s="13">
        <f t="shared" si="7"/>
        <v>18750</v>
      </c>
      <c r="AI46" s="13">
        <f t="shared" si="8"/>
        <v>33750</v>
      </c>
      <c r="AJ46" s="13">
        <f t="shared" si="9"/>
        <v>28571.428571428572</v>
      </c>
      <c r="AK46" s="13">
        <f t="shared" si="10"/>
        <v>34285.714285714283</v>
      </c>
      <c r="AL46" s="13">
        <f t="shared" si="11"/>
        <v>87500</v>
      </c>
    </row>
    <row r="47" spans="2:38" x14ac:dyDescent="0.15">
      <c r="G47" s="19"/>
      <c r="J47" s="13"/>
      <c r="K47" s="13"/>
      <c r="L47" s="13"/>
      <c r="M47" s="13">
        <v>6</v>
      </c>
      <c r="N47" s="13"/>
      <c r="P47" s="13"/>
      <c r="Q47" s="13"/>
      <c r="R47" s="13"/>
      <c r="S47" s="13">
        <v>0</v>
      </c>
      <c r="T47" s="13"/>
      <c r="V47" s="13">
        <v>45</v>
      </c>
      <c r="W47" s="13">
        <f>INDEX(节奏总纲!R:R,MATCH(V47,节奏总纲!O:O,0))</f>
        <v>15.604181364035009</v>
      </c>
      <c r="X47" s="13">
        <f t="shared" si="23"/>
        <v>6.2850958276534694</v>
      </c>
      <c r="Z47" s="13">
        <f t="shared" si="17"/>
        <v>0</v>
      </c>
      <c r="AA47" s="13">
        <f t="shared" si="18"/>
        <v>0</v>
      </c>
      <c r="AB47" s="13">
        <f t="shared" si="19"/>
        <v>0</v>
      </c>
      <c r="AC47" s="13">
        <f t="shared" si="20"/>
        <v>12</v>
      </c>
      <c r="AD47" s="13">
        <f t="shared" si="21"/>
        <v>0</v>
      </c>
      <c r="AE47" s="13">
        <f t="shared" si="22"/>
        <v>30000</v>
      </c>
      <c r="AG47" s="13">
        <v>41</v>
      </c>
      <c r="AH47" s="13">
        <f t="shared" si="7"/>
        <v>20625</v>
      </c>
      <c r="AI47" s="13">
        <f t="shared" si="8"/>
        <v>35625</v>
      </c>
      <c r="AJ47" s="13">
        <f t="shared" si="9"/>
        <v>28857.142857142859</v>
      </c>
      <c r="AK47" s="13">
        <f t="shared" si="10"/>
        <v>38571.428571428572</v>
      </c>
      <c r="AL47" s="13">
        <f t="shared" si="11"/>
        <v>91500</v>
      </c>
    </row>
    <row r="48" spans="2:38" x14ac:dyDescent="0.15">
      <c r="G48" s="3"/>
      <c r="I48" s="8"/>
      <c r="J48" s="13"/>
      <c r="K48" s="13"/>
      <c r="L48" s="13"/>
      <c r="M48" s="13">
        <v>6</v>
      </c>
      <c r="N48" s="13"/>
      <c r="O48" s="8"/>
      <c r="P48" s="13"/>
      <c r="Q48" s="13"/>
      <c r="R48" s="13"/>
      <c r="S48" s="13">
        <v>1</v>
      </c>
      <c r="T48" s="13"/>
      <c r="U48" s="8"/>
      <c r="V48" s="13">
        <v>52</v>
      </c>
      <c r="W48" s="13">
        <f>INDEX(节奏总纲!R:R,MATCH(V48,节奏总纲!O:O,0))</f>
        <v>25.606552544428059</v>
      </c>
      <c r="X48" s="13">
        <f t="shared" si="23"/>
        <v>10.00237118039305</v>
      </c>
      <c r="Y48" s="8"/>
      <c r="Z48" s="13">
        <f t="shared" si="17"/>
        <v>0</v>
      </c>
      <c r="AA48" s="13">
        <f t="shared" si="18"/>
        <v>0</v>
      </c>
      <c r="AB48" s="13">
        <f t="shared" si="19"/>
        <v>0</v>
      </c>
      <c r="AC48" s="13">
        <f t="shared" si="20"/>
        <v>18</v>
      </c>
      <c r="AD48" s="13">
        <f t="shared" si="21"/>
        <v>0</v>
      </c>
      <c r="AE48" s="13">
        <f t="shared" si="22"/>
        <v>45000</v>
      </c>
      <c r="AG48" s="13">
        <v>42</v>
      </c>
      <c r="AH48" s="13">
        <f t="shared" si="7"/>
        <v>22500</v>
      </c>
      <c r="AI48" s="13">
        <f t="shared" si="8"/>
        <v>37500</v>
      </c>
      <c r="AJ48" s="13">
        <f t="shared" si="9"/>
        <v>29142.857142857141</v>
      </c>
      <c r="AK48" s="13">
        <f t="shared" si="10"/>
        <v>42857.142857142855</v>
      </c>
      <c r="AL48" s="13">
        <f t="shared" si="11"/>
        <v>95500</v>
      </c>
    </row>
    <row r="49" spans="7:38" x14ac:dyDescent="0.15">
      <c r="G49" s="3"/>
      <c r="I49" s="8"/>
      <c r="J49" s="13"/>
      <c r="K49" s="13"/>
      <c r="L49" s="13"/>
      <c r="M49" s="13">
        <v>6</v>
      </c>
      <c r="N49" s="13"/>
      <c r="O49" s="8"/>
      <c r="P49" s="13"/>
      <c r="Q49" s="13"/>
      <c r="R49" s="13"/>
      <c r="S49" s="13">
        <v>3</v>
      </c>
      <c r="T49" s="13"/>
      <c r="U49" s="8"/>
      <c r="V49" s="13">
        <v>58</v>
      </c>
      <c r="W49" s="13">
        <f>INDEX(节奏总纲!R:R,MATCH(V49,节奏总纲!O:O,0))</f>
        <v>38.913475879437009</v>
      </c>
      <c r="X49" s="13">
        <f t="shared" si="23"/>
        <v>13.30692333500895</v>
      </c>
      <c r="Y49" s="8"/>
      <c r="Z49" s="13">
        <f t="shared" si="17"/>
        <v>0</v>
      </c>
      <c r="AA49" s="13">
        <f t="shared" si="18"/>
        <v>0</v>
      </c>
      <c r="AB49" s="13">
        <f t="shared" si="19"/>
        <v>0</v>
      </c>
      <c r="AC49" s="13">
        <f t="shared" si="20"/>
        <v>30</v>
      </c>
      <c r="AD49" s="13">
        <f t="shared" si="21"/>
        <v>0</v>
      </c>
      <c r="AE49" s="13">
        <f t="shared" si="22"/>
        <v>75000</v>
      </c>
      <c r="AG49" s="13">
        <v>43</v>
      </c>
      <c r="AH49" s="13">
        <f t="shared" si="7"/>
        <v>24375</v>
      </c>
      <c r="AI49" s="13">
        <f t="shared" si="8"/>
        <v>39375</v>
      </c>
      <c r="AJ49" s="13">
        <f t="shared" si="9"/>
        <v>29428.571428571428</v>
      </c>
      <c r="AK49" s="13">
        <f t="shared" si="10"/>
        <v>47142.857142857145</v>
      </c>
      <c r="AL49" s="13">
        <f t="shared" si="11"/>
        <v>99500</v>
      </c>
    </row>
    <row r="50" spans="7:38" x14ac:dyDescent="0.15">
      <c r="G50" s="3"/>
      <c r="J50" s="13"/>
      <c r="K50" s="13"/>
      <c r="L50" s="13"/>
      <c r="M50" s="13">
        <v>5</v>
      </c>
      <c r="N50" s="13">
        <v>1</v>
      </c>
      <c r="P50" s="13"/>
      <c r="Q50" s="13"/>
      <c r="R50" s="13"/>
      <c r="S50" s="13">
        <v>3</v>
      </c>
      <c r="T50" s="13">
        <v>0</v>
      </c>
      <c r="V50" s="13">
        <v>63</v>
      </c>
      <c r="W50" s="13">
        <f>INDEX(节奏总纲!R:R,MATCH(V50,节奏总纲!O:O,0))</f>
        <v>55.27987808786542</v>
      </c>
      <c r="X50" s="13">
        <f t="shared" si="23"/>
        <v>16.366402208428411</v>
      </c>
      <c r="Z50" s="13">
        <f t="shared" si="17"/>
        <v>0</v>
      </c>
      <c r="AA50" s="13">
        <f t="shared" si="18"/>
        <v>0</v>
      </c>
      <c r="AB50" s="13">
        <f t="shared" si="19"/>
        <v>0</v>
      </c>
      <c r="AC50" s="13">
        <f t="shared" si="20"/>
        <v>25</v>
      </c>
      <c r="AD50" s="13">
        <f t="shared" si="21"/>
        <v>2</v>
      </c>
      <c r="AE50" s="13">
        <f t="shared" si="22"/>
        <v>112500</v>
      </c>
      <c r="AG50" s="13">
        <v>44</v>
      </c>
      <c r="AH50" s="13">
        <f t="shared" si="7"/>
        <v>26250</v>
      </c>
      <c r="AI50" s="13">
        <f t="shared" si="8"/>
        <v>41250</v>
      </c>
      <c r="AJ50" s="13">
        <f t="shared" si="9"/>
        <v>29714.285714285714</v>
      </c>
      <c r="AK50" s="13">
        <f t="shared" si="10"/>
        <v>51428.571428571428</v>
      </c>
      <c r="AL50" s="13">
        <f t="shared" si="11"/>
        <v>103500</v>
      </c>
    </row>
    <row r="51" spans="7:38" x14ac:dyDescent="0.15">
      <c r="G51" s="3"/>
      <c r="J51" s="13"/>
      <c r="K51" s="13"/>
      <c r="L51" s="13"/>
      <c r="M51" s="13">
        <v>5</v>
      </c>
      <c r="N51" s="13">
        <v>3</v>
      </c>
      <c r="P51" s="13"/>
      <c r="Q51" s="13"/>
      <c r="R51" s="13"/>
      <c r="S51" s="13">
        <v>5</v>
      </c>
      <c r="T51" s="13">
        <v>0</v>
      </c>
      <c r="V51" s="13">
        <v>69</v>
      </c>
      <c r="W51" s="13">
        <f>INDEX(节奏总纲!R:R,MATCH(V51,节奏总纲!O:O,0))</f>
        <v>83.894553114198303</v>
      </c>
      <c r="X51" s="13">
        <f t="shared" si="23"/>
        <v>28.614675026332883</v>
      </c>
      <c r="Z51" s="13">
        <f t="shared" si="17"/>
        <v>0</v>
      </c>
      <c r="AA51" s="13">
        <f t="shared" si="18"/>
        <v>0</v>
      </c>
      <c r="AB51" s="13">
        <f t="shared" si="19"/>
        <v>0</v>
      </c>
      <c r="AC51" s="13">
        <f t="shared" si="20"/>
        <v>35</v>
      </c>
      <c r="AD51" s="13">
        <f t="shared" si="21"/>
        <v>6</v>
      </c>
      <c r="AE51" s="13">
        <f t="shared" si="22"/>
        <v>237500</v>
      </c>
      <c r="AG51" s="13">
        <v>45</v>
      </c>
      <c r="AH51" s="13">
        <f t="shared" si="7"/>
        <v>28125</v>
      </c>
      <c r="AI51" s="13">
        <f t="shared" si="8"/>
        <v>43125</v>
      </c>
      <c r="AJ51" s="13">
        <f t="shared" si="9"/>
        <v>30000</v>
      </c>
      <c r="AK51" s="13">
        <f t="shared" si="10"/>
        <v>55714.28571428571</v>
      </c>
      <c r="AL51" s="13">
        <f t="shared" si="11"/>
        <v>107500</v>
      </c>
    </row>
    <row r="52" spans="7:38" x14ac:dyDescent="0.15">
      <c r="G52" s="3"/>
      <c r="J52" s="13"/>
      <c r="K52" s="13"/>
      <c r="L52" s="13"/>
      <c r="M52" s="13">
        <v>0</v>
      </c>
      <c r="N52" s="13">
        <v>6</v>
      </c>
      <c r="O52" s="6"/>
      <c r="P52" s="13"/>
      <c r="Q52" s="13"/>
      <c r="R52" s="13"/>
      <c r="S52" s="13"/>
      <c r="T52" s="13">
        <v>0</v>
      </c>
      <c r="U52" s="6"/>
      <c r="V52" s="13">
        <v>75</v>
      </c>
      <c r="W52" s="13">
        <f>INDEX(节奏总纲!R:R,MATCH(V52,节奏总纲!O:O,0))</f>
        <v>127.38168214210583</v>
      </c>
      <c r="X52" s="13">
        <f t="shared" si="23"/>
        <v>43.487129027907528</v>
      </c>
      <c r="Y52" s="6"/>
      <c r="Z52" s="13">
        <f t="shared" si="17"/>
        <v>0</v>
      </c>
      <c r="AA52" s="13">
        <f t="shared" si="18"/>
        <v>0</v>
      </c>
      <c r="AB52" s="13">
        <f t="shared" si="19"/>
        <v>0</v>
      </c>
      <c r="AC52" s="13">
        <f t="shared" si="20"/>
        <v>0</v>
      </c>
      <c r="AD52" s="13">
        <f t="shared" si="21"/>
        <v>12</v>
      </c>
      <c r="AE52" s="13">
        <f t="shared" si="22"/>
        <v>300000</v>
      </c>
      <c r="AG52" s="13">
        <v>46</v>
      </c>
      <c r="AH52" s="13">
        <f t="shared" si="7"/>
        <v>30000</v>
      </c>
      <c r="AI52" s="13">
        <f t="shared" si="8"/>
        <v>45000</v>
      </c>
      <c r="AJ52" s="13">
        <f t="shared" si="9"/>
        <v>32142.857142857141</v>
      </c>
      <c r="AK52" s="13">
        <f t="shared" si="10"/>
        <v>60000</v>
      </c>
      <c r="AL52" s="13">
        <f t="shared" si="11"/>
        <v>111500</v>
      </c>
    </row>
    <row r="53" spans="7:38" x14ac:dyDescent="0.15">
      <c r="G53" s="3"/>
      <c r="J53" s="13"/>
      <c r="K53" s="13"/>
      <c r="L53" s="13"/>
      <c r="M53" s="13"/>
      <c r="N53" s="13">
        <v>6</v>
      </c>
      <c r="O53" s="6"/>
      <c r="P53" s="13"/>
      <c r="Q53" s="13"/>
      <c r="R53" s="13"/>
      <c r="S53" s="13"/>
      <c r="T53" s="13">
        <v>1</v>
      </c>
      <c r="U53" s="6"/>
      <c r="V53" s="13">
        <v>84</v>
      </c>
      <c r="W53" s="13">
        <f>INDEX(节奏总纲!R:R,MATCH(V53,节奏总纲!O:O,0))</f>
        <v>237.27139072371298</v>
      </c>
      <c r="X53" s="13">
        <f t="shared" si="23"/>
        <v>109.88970858160715</v>
      </c>
      <c r="Y53" s="6"/>
      <c r="Z53" s="13">
        <f t="shared" si="17"/>
        <v>0</v>
      </c>
      <c r="AA53" s="13">
        <f t="shared" si="18"/>
        <v>0</v>
      </c>
      <c r="AB53" s="13">
        <f t="shared" si="19"/>
        <v>0</v>
      </c>
      <c r="AC53" s="13">
        <f t="shared" si="20"/>
        <v>0</v>
      </c>
      <c r="AD53" s="13">
        <f t="shared" si="21"/>
        <v>18</v>
      </c>
      <c r="AE53" s="13">
        <f t="shared" si="22"/>
        <v>450000</v>
      </c>
      <c r="AF53" s="6"/>
      <c r="AG53" s="13">
        <v>47</v>
      </c>
      <c r="AH53" s="13">
        <f t="shared" si="7"/>
        <v>32500</v>
      </c>
      <c r="AI53" s="13">
        <f t="shared" si="8"/>
        <v>47500</v>
      </c>
      <c r="AJ53" s="13">
        <f t="shared" si="9"/>
        <v>34285.714285714283</v>
      </c>
      <c r="AK53" s="13">
        <f t="shared" si="10"/>
        <v>65500</v>
      </c>
      <c r="AL53" s="13">
        <f t="shared" si="11"/>
        <v>115500</v>
      </c>
    </row>
    <row r="54" spans="7:38" x14ac:dyDescent="0.15">
      <c r="G54" s="3"/>
      <c r="I54" s="6"/>
      <c r="J54" s="13"/>
      <c r="K54" s="13"/>
      <c r="L54" s="13"/>
      <c r="M54" s="13"/>
      <c r="N54" s="13">
        <v>6</v>
      </c>
      <c r="O54" s="6"/>
      <c r="P54" s="13"/>
      <c r="Q54" s="13"/>
      <c r="R54" s="13"/>
      <c r="S54" s="13"/>
      <c r="T54" s="13">
        <v>3</v>
      </c>
      <c r="U54" s="6"/>
      <c r="V54" s="13">
        <v>91</v>
      </c>
      <c r="W54" s="13">
        <f>INDEX(节奏总纲!R:R,MATCH(V54,节奏总纲!O:O,0))</f>
        <v>378.43910205635837</v>
      </c>
      <c r="X54" s="13">
        <f t="shared" si="23"/>
        <v>141.16771133264538</v>
      </c>
      <c r="Y54" s="6"/>
      <c r="Z54" s="13">
        <f t="shared" si="17"/>
        <v>0</v>
      </c>
      <c r="AA54" s="13">
        <f t="shared" si="18"/>
        <v>0</v>
      </c>
      <c r="AB54" s="13">
        <f t="shared" si="19"/>
        <v>0</v>
      </c>
      <c r="AC54" s="13">
        <f t="shared" si="20"/>
        <v>0</v>
      </c>
      <c r="AD54" s="13">
        <f t="shared" si="21"/>
        <v>30</v>
      </c>
      <c r="AE54" s="13">
        <f t="shared" si="22"/>
        <v>750000</v>
      </c>
      <c r="AG54" s="13">
        <v>48</v>
      </c>
      <c r="AH54" s="13">
        <f t="shared" si="7"/>
        <v>35000</v>
      </c>
      <c r="AI54" s="13">
        <f t="shared" si="8"/>
        <v>50000</v>
      </c>
      <c r="AJ54" s="13">
        <f t="shared" si="9"/>
        <v>36428.571428571428</v>
      </c>
      <c r="AK54" s="13">
        <f t="shared" si="10"/>
        <v>71000</v>
      </c>
      <c r="AL54" s="13">
        <f t="shared" si="11"/>
        <v>119500</v>
      </c>
    </row>
    <row r="55" spans="7:38" x14ac:dyDescent="0.15">
      <c r="AG55" s="13">
        <v>49</v>
      </c>
      <c r="AH55" s="13">
        <f t="shared" si="7"/>
        <v>37500</v>
      </c>
      <c r="AI55" s="13">
        <f t="shared" si="8"/>
        <v>52500</v>
      </c>
      <c r="AJ55" s="13">
        <f t="shared" si="9"/>
        <v>38571.428571428572</v>
      </c>
      <c r="AK55" s="13">
        <f t="shared" si="10"/>
        <v>76500</v>
      </c>
      <c r="AL55" s="13">
        <f t="shared" si="11"/>
        <v>123500</v>
      </c>
    </row>
    <row r="56" spans="7:38" x14ac:dyDescent="0.15">
      <c r="J56" s="67" t="s">
        <v>88</v>
      </c>
      <c r="K56" s="67"/>
      <c r="L56" s="67"/>
      <c r="M56" s="67"/>
      <c r="N56" s="67"/>
      <c r="P56" s="67" t="s">
        <v>89</v>
      </c>
      <c r="Q56" s="67"/>
      <c r="R56" s="67"/>
      <c r="S56" s="67"/>
      <c r="T56" s="67"/>
      <c r="Z56" s="67" t="s">
        <v>100</v>
      </c>
      <c r="AA56" s="67"/>
      <c r="AB56" s="67"/>
      <c r="AC56" s="67"/>
      <c r="AD56" s="67"/>
      <c r="AE56" s="15"/>
      <c r="AG56" s="13">
        <v>50</v>
      </c>
      <c r="AH56" s="13">
        <f t="shared" si="7"/>
        <v>40000</v>
      </c>
      <c r="AI56" s="13">
        <f t="shared" si="8"/>
        <v>55000</v>
      </c>
      <c r="AJ56" s="13">
        <f t="shared" si="9"/>
        <v>40714.28571428571</v>
      </c>
      <c r="AK56" s="13">
        <f t="shared" si="10"/>
        <v>82000</v>
      </c>
      <c r="AL56" s="13">
        <f t="shared" si="11"/>
        <v>127500</v>
      </c>
    </row>
    <row r="57" spans="7:38" x14ac:dyDescent="0.15">
      <c r="I57" s="5" t="s">
        <v>98</v>
      </c>
      <c r="J57" s="13" t="s">
        <v>84</v>
      </c>
      <c r="K57" s="13" t="s">
        <v>85</v>
      </c>
      <c r="L57" s="13" t="s">
        <v>86</v>
      </c>
      <c r="M57" s="13" t="s">
        <v>0</v>
      </c>
      <c r="N57" s="13" t="s">
        <v>87</v>
      </c>
      <c r="P57" s="13" t="s">
        <v>84</v>
      </c>
      <c r="Q57" s="13" t="s">
        <v>85</v>
      </c>
      <c r="R57" s="13" t="s">
        <v>86</v>
      </c>
      <c r="S57" s="13" t="s">
        <v>0</v>
      </c>
      <c r="T57" s="13" t="s">
        <v>87</v>
      </c>
      <c r="V57" s="13" t="s">
        <v>101</v>
      </c>
      <c r="W57" s="13" t="s">
        <v>90</v>
      </c>
      <c r="X57" s="13" t="s">
        <v>12</v>
      </c>
      <c r="Z57" s="13" t="s">
        <v>84</v>
      </c>
      <c r="AA57" s="13" t="s">
        <v>85</v>
      </c>
      <c r="AB57" s="13" t="s">
        <v>86</v>
      </c>
      <c r="AC57" s="13" t="s">
        <v>0</v>
      </c>
      <c r="AD57" s="13" t="s">
        <v>87</v>
      </c>
      <c r="AE57" s="13" t="s">
        <v>93</v>
      </c>
      <c r="AG57" s="13">
        <v>51</v>
      </c>
      <c r="AH57" s="13">
        <f t="shared" si="7"/>
        <v>42500</v>
      </c>
      <c r="AI57" s="13">
        <f t="shared" si="8"/>
        <v>57500</v>
      </c>
      <c r="AJ57" s="13">
        <f t="shared" si="9"/>
        <v>42857.142857142855</v>
      </c>
      <c r="AK57" s="13">
        <f t="shared" si="10"/>
        <v>87500</v>
      </c>
      <c r="AL57" s="13">
        <f t="shared" si="11"/>
        <v>130312.5</v>
      </c>
    </row>
    <row r="58" spans="7:38" x14ac:dyDescent="0.15">
      <c r="J58" s="13"/>
      <c r="K58" s="13"/>
      <c r="L58" s="13">
        <v>5</v>
      </c>
      <c r="M58" s="13">
        <v>1</v>
      </c>
      <c r="N58" s="13"/>
      <c r="P58" s="13"/>
      <c r="Q58" s="13"/>
      <c r="R58" s="13">
        <v>0</v>
      </c>
      <c r="S58" s="13">
        <v>0</v>
      </c>
      <c r="T58" s="13"/>
      <c r="V58" s="13">
        <v>10</v>
      </c>
      <c r="W58" s="13">
        <f>INDEX(节奏总纲!S:S,MATCH(V58,节奏总纲!O:O,0))</f>
        <v>0.49980000000000002</v>
      </c>
      <c r="X58" s="13">
        <f>W58</f>
        <v>0.49980000000000002</v>
      </c>
      <c r="Z58" s="13">
        <f t="shared" ref="Z58:Z68" si="24">J58*INDEX($D$19:$D$26,P58+1,1)</f>
        <v>0</v>
      </c>
      <c r="AA58" s="13">
        <f t="shared" ref="AA58:AA68" si="25">K58*INDEX($D$19:$D$26,Q58+1,1)</f>
        <v>0</v>
      </c>
      <c r="AB58" s="13">
        <f t="shared" ref="AB58:AB68" si="26">L58*INDEX($D$19:$D$26,R58+1,1)</f>
        <v>5</v>
      </c>
      <c r="AC58" s="13">
        <f t="shared" ref="AC58:AC68" si="27">M58*INDEX($D$19:$D$26,S58+1,1)</f>
        <v>1</v>
      </c>
      <c r="AD58" s="13">
        <f t="shared" ref="AD58:AD68" si="28">N58*INDEX($D$19:$D$26,T58+1,1)</f>
        <v>0</v>
      </c>
      <c r="AE58" s="13">
        <f t="shared" ref="AE58:AE68" si="29">SUMPRODUCT(Z58:AD58,$C$35:$G$35)</f>
        <v>5000</v>
      </c>
      <c r="AG58" s="13">
        <v>52</v>
      </c>
      <c r="AH58" s="13">
        <f t="shared" si="7"/>
        <v>45000</v>
      </c>
      <c r="AI58" s="13">
        <f t="shared" si="8"/>
        <v>60000</v>
      </c>
      <c r="AJ58" s="13">
        <f t="shared" si="9"/>
        <v>45000</v>
      </c>
      <c r="AK58" s="13">
        <f t="shared" si="10"/>
        <v>93214.28571428571</v>
      </c>
      <c r="AL58" s="13">
        <f t="shared" si="11"/>
        <v>133125</v>
      </c>
    </row>
    <row r="59" spans="7:38" x14ac:dyDescent="0.15">
      <c r="J59" s="13"/>
      <c r="K59" s="13"/>
      <c r="L59" s="13">
        <v>3</v>
      </c>
      <c r="M59" s="13">
        <v>3</v>
      </c>
      <c r="N59" s="13"/>
      <c r="P59" s="13"/>
      <c r="Q59" s="13"/>
      <c r="R59" s="13">
        <v>0</v>
      </c>
      <c r="S59" s="13">
        <v>0</v>
      </c>
      <c r="T59" s="13"/>
      <c r="V59" s="13">
        <v>23</v>
      </c>
      <c r="W59" s="13">
        <f>INDEX(节奏总纲!T:T,MATCH(V59,节奏总纲!O:O,0))</f>
        <v>1.1608900698697047</v>
      </c>
      <c r="X59" s="13">
        <f>W59-W58</f>
        <v>0.66109006986970464</v>
      </c>
      <c r="Z59" s="13">
        <f t="shared" si="24"/>
        <v>0</v>
      </c>
      <c r="AA59" s="13">
        <f t="shared" si="25"/>
        <v>0</v>
      </c>
      <c r="AB59" s="13">
        <f t="shared" si="26"/>
        <v>3</v>
      </c>
      <c r="AC59" s="13">
        <f t="shared" si="27"/>
        <v>3</v>
      </c>
      <c r="AD59" s="13">
        <f t="shared" si="28"/>
        <v>0</v>
      </c>
      <c r="AE59" s="13">
        <f t="shared" si="29"/>
        <v>9000</v>
      </c>
      <c r="AG59" s="13">
        <v>53</v>
      </c>
      <c r="AH59" s="13">
        <f t="shared" si="7"/>
        <v>47500</v>
      </c>
      <c r="AI59" s="13">
        <f t="shared" si="8"/>
        <v>62500</v>
      </c>
      <c r="AJ59" s="13">
        <f t="shared" si="9"/>
        <v>50000</v>
      </c>
      <c r="AK59" s="13">
        <f t="shared" si="10"/>
        <v>98928.571428571435</v>
      </c>
      <c r="AL59" s="13">
        <f t="shared" si="11"/>
        <v>135937.5</v>
      </c>
    </row>
    <row r="60" spans="7:38" x14ac:dyDescent="0.15">
      <c r="J60" s="13"/>
      <c r="K60" s="13"/>
      <c r="L60" s="13"/>
      <c r="M60" s="13">
        <v>6</v>
      </c>
      <c r="N60" s="13"/>
      <c r="P60" s="13"/>
      <c r="Q60" s="13"/>
      <c r="R60" s="13"/>
      <c r="S60" s="13">
        <v>0</v>
      </c>
      <c r="T60" s="13"/>
      <c r="V60" s="13">
        <v>32</v>
      </c>
      <c r="W60" s="13">
        <f>INDEX(节奏总纲!T:T,MATCH(V60,节奏总纲!O:O,0))</f>
        <v>2.46506563883286</v>
      </c>
      <c r="X60" s="13">
        <f t="shared" ref="X60:X68" si="30">W60-W59</f>
        <v>1.3041755689631553</v>
      </c>
      <c r="Z60" s="13">
        <f t="shared" si="24"/>
        <v>0</v>
      </c>
      <c r="AA60" s="13">
        <f t="shared" si="25"/>
        <v>0</v>
      </c>
      <c r="AB60" s="13">
        <f t="shared" si="26"/>
        <v>0</v>
      </c>
      <c r="AC60" s="13">
        <f t="shared" si="27"/>
        <v>6</v>
      </c>
      <c r="AD60" s="13">
        <f t="shared" si="28"/>
        <v>0</v>
      </c>
      <c r="AE60" s="13">
        <f t="shared" si="29"/>
        <v>15000</v>
      </c>
      <c r="AG60" s="13">
        <v>54</v>
      </c>
      <c r="AH60" s="13">
        <f t="shared" si="7"/>
        <v>50000</v>
      </c>
      <c r="AI60" s="13">
        <f t="shared" si="8"/>
        <v>65000</v>
      </c>
      <c r="AJ60" s="13">
        <f t="shared" si="9"/>
        <v>55000</v>
      </c>
      <c r="AK60" s="13">
        <f t="shared" si="10"/>
        <v>104642.85714285714</v>
      </c>
      <c r="AL60" s="13">
        <f t="shared" si="11"/>
        <v>138750</v>
      </c>
    </row>
    <row r="61" spans="7:38" x14ac:dyDescent="0.15">
      <c r="J61" s="13"/>
      <c r="K61" s="13"/>
      <c r="L61" s="13"/>
      <c r="M61" s="13">
        <v>6</v>
      </c>
      <c r="N61" s="13"/>
      <c r="P61" s="13"/>
      <c r="Q61" s="13"/>
      <c r="R61" s="13"/>
      <c r="S61" s="13">
        <v>1</v>
      </c>
      <c r="T61" s="13"/>
      <c r="V61" s="13">
        <v>39</v>
      </c>
      <c r="W61" s="13">
        <f>INDEX(节奏总纲!T:T,MATCH(V61,节奏总纲!O:O,0))</f>
        <v>4.1702012426579218</v>
      </c>
      <c r="X61" s="13">
        <f t="shared" si="30"/>
        <v>1.7051356038250618</v>
      </c>
      <c r="Z61" s="13">
        <f t="shared" si="24"/>
        <v>0</v>
      </c>
      <c r="AA61" s="13">
        <f t="shared" si="25"/>
        <v>0</v>
      </c>
      <c r="AB61" s="13">
        <f t="shared" si="26"/>
        <v>0</v>
      </c>
      <c r="AC61" s="13">
        <f t="shared" si="27"/>
        <v>12</v>
      </c>
      <c r="AD61" s="13">
        <f t="shared" si="28"/>
        <v>0</v>
      </c>
      <c r="AE61" s="13">
        <f t="shared" si="29"/>
        <v>30000</v>
      </c>
      <c r="AG61" s="13">
        <v>55</v>
      </c>
      <c r="AH61" s="13">
        <f t="shared" si="7"/>
        <v>52500</v>
      </c>
      <c r="AI61" s="13">
        <f t="shared" si="8"/>
        <v>67500</v>
      </c>
      <c r="AJ61" s="13">
        <f t="shared" si="9"/>
        <v>60000</v>
      </c>
      <c r="AK61" s="13">
        <f t="shared" si="10"/>
        <v>110357.14285714286</v>
      </c>
      <c r="AL61" s="13">
        <f t="shared" si="11"/>
        <v>141562.5</v>
      </c>
    </row>
    <row r="62" spans="7:38" x14ac:dyDescent="0.15">
      <c r="J62" s="13"/>
      <c r="K62" s="13"/>
      <c r="L62" s="13"/>
      <c r="M62" s="13">
        <v>6</v>
      </c>
      <c r="N62" s="13"/>
      <c r="P62" s="13"/>
      <c r="Q62" s="13"/>
      <c r="R62" s="13"/>
      <c r="S62" s="13">
        <v>3</v>
      </c>
      <c r="T62" s="13"/>
      <c r="V62" s="13">
        <v>46</v>
      </c>
      <c r="W62" s="13">
        <f>INDEX(节奏总纲!T:T,MATCH(V62,节奏总纲!O:O,0))</f>
        <v>6.9545132006921566</v>
      </c>
      <c r="X62" s="13">
        <f t="shared" si="30"/>
        <v>2.7843119580342348</v>
      </c>
      <c r="Z62" s="13">
        <f t="shared" si="24"/>
        <v>0</v>
      </c>
      <c r="AA62" s="13">
        <f t="shared" si="25"/>
        <v>0</v>
      </c>
      <c r="AB62" s="13">
        <f t="shared" si="26"/>
        <v>0</v>
      </c>
      <c r="AC62" s="13">
        <f t="shared" si="27"/>
        <v>24</v>
      </c>
      <c r="AD62" s="13">
        <f t="shared" si="28"/>
        <v>0</v>
      </c>
      <c r="AE62" s="13">
        <f t="shared" si="29"/>
        <v>60000</v>
      </c>
      <c r="AG62" s="13">
        <v>56</v>
      </c>
      <c r="AH62" s="13">
        <f t="shared" si="7"/>
        <v>55000</v>
      </c>
      <c r="AI62" s="13">
        <f t="shared" si="8"/>
        <v>70000</v>
      </c>
      <c r="AJ62" s="13">
        <f t="shared" si="9"/>
        <v>65000</v>
      </c>
      <c r="AK62" s="13">
        <f t="shared" si="10"/>
        <v>116071.42857142858</v>
      </c>
      <c r="AL62" s="13">
        <f t="shared" si="11"/>
        <v>144375</v>
      </c>
    </row>
    <row r="63" spans="7:38" x14ac:dyDescent="0.15">
      <c r="J63" s="13"/>
      <c r="K63" s="13"/>
      <c r="L63" s="13"/>
      <c r="M63" s="13">
        <v>5</v>
      </c>
      <c r="N63" s="13">
        <v>1</v>
      </c>
      <c r="P63" s="13"/>
      <c r="Q63" s="13"/>
      <c r="R63" s="13"/>
      <c r="S63" s="13">
        <v>4</v>
      </c>
      <c r="T63" s="13">
        <v>0</v>
      </c>
      <c r="V63" s="13">
        <v>51</v>
      </c>
      <c r="W63" s="13">
        <f>INDEX(节奏总纲!T:T,MATCH(V63,节奏总纲!O:O,0))</f>
        <v>9.8458492119034169</v>
      </c>
      <c r="X63" s="13">
        <f t="shared" si="30"/>
        <v>2.8913360112112603</v>
      </c>
      <c r="Z63" s="13">
        <f t="shared" si="24"/>
        <v>0</v>
      </c>
      <c r="AA63" s="13">
        <f t="shared" si="25"/>
        <v>0</v>
      </c>
      <c r="AB63" s="13">
        <f t="shared" si="26"/>
        <v>0</v>
      </c>
      <c r="AC63" s="13">
        <f t="shared" si="27"/>
        <v>25</v>
      </c>
      <c r="AD63" s="13">
        <f t="shared" si="28"/>
        <v>1</v>
      </c>
      <c r="AE63" s="13">
        <f t="shared" si="29"/>
        <v>87500</v>
      </c>
      <c r="AG63" s="13">
        <v>57</v>
      </c>
      <c r="AH63" s="13">
        <f t="shared" si="7"/>
        <v>57500</v>
      </c>
      <c r="AI63" s="13">
        <f t="shared" si="8"/>
        <v>72500</v>
      </c>
      <c r="AJ63" s="13">
        <f t="shared" si="9"/>
        <v>70000</v>
      </c>
      <c r="AK63" s="13">
        <f t="shared" si="10"/>
        <v>121785.71428571429</v>
      </c>
      <c r="AL63" s="13">
        <f t="shared" si="11"/>
        <v>147187.5</v>
      </c>
    </row>
    <row r="64" spans="7:38" x14ac:dyDescent="0.15">
      <c r="J64" s="13"/>
      <c r="K64" s="13"/>
      <c r="L64" s="13"/>
      <c r="M64" s="13">
        <v>3</v>
      </c>
      <c r="N64" s="13">
        <v>3</v>
      </c>
      <c r="P64" s="13"/>
      <c r="Q64" s="13"/>
      <c r="R64" s="13"/>
      <c r="S64" s="13">
        <v>6</v>
      </c>
      <c r="T64" s="13">
        <v>0</v>
      </c>
      <c r="V64" s="13">
        <v>58</v>
      </c>
      <c r="W64" s="13">
        <f>INDEX(节奏总纲!T:T,MATCH(V64,节奏总纲!O:O,0))</f>
        <v>15.856475407565867</v>
      </c>
      <c r="X64" s="13">
        <f t="shared" si="30"/>
        <v>6.01062619566245</v>
      </c>
      <c r="Z64" s="13">
        <f t="shared" si="24"/>
        <v>0</v>
      </c>
      <c r="AA64" s="13">
        <f t="shared" si="25"/>
        <v>0</v>
      </c>
      <c r="AB64" s="13">
        <f t="shared" si="26"/>
        <v>0</v>
      </c>
      <c r="AC64" s="13">
        <f t="shared" si="27"/>
        <v>21</v>
      </c>
      <c r="AD64" s="13">
        <f t="shared" si="28"/>
        <v>3</v>
      </c>
      <c r="AE64" s="13">
        <f t="shared" si="29"/>
        <v>127500</v>
      </c>
      <c r="AG64" s="13">
        <v>58</v>
      </c>
      <c r="AH64" s="13">
        <f t="shared" si="7"/>
        <v>60000</v>
      </c>
      <c r="AI64" s="13">
        <f t="shared" si="8"/>
        <v>75000</v>
      </c>
      <c r="AJ64" s="13">
        <f t="shared" si="9"/>
        <v>75000</v>
      </c>
      <c r="AK64" s="13">
        <f t="shared" si="10"/>
        <v>127500</v>
      </c>
      <c r="AL64" s="13">
        <f t="shared" si="11"/>
        <v>150000</v>
      </c>
    </row>
    <row r="65" spans="9:38" x14ac:dyDescent="0.15">
      <c r="I65" s="6"/>
      <c r="J65" s="13"/>
      <c r="K65" s="13"/>
      <c r="L65" s="13"/>
      <c r="M65" s="13">
        <v>0</v>
      </c>
      <c r="N65" s="13">
        <v>6</v>
      </c>
      <c r="P65" s="13"/>
      <c r="Q65" s="13"/>
      <c r="R65" s="13"/>
      <c r="S65" s="13"/>
      <c r="T65" s="13">
        <v>0</v>
      </c>
      <c r="V65" s="13">
        <v>64</v>
      </c>
      <c r="W65" s="13">
        <f>INDEX(节奏总纲!T:T,MATCH(V65,节奏总纲!O:O,0))</f>
        <v>24.341929284637001</v>
      </c>
      <c r="X65" s="13">
        <f t="shared" si="30"/>
        <v>8.4854538770711336</v>
      </c>
      <c r="Z65" s="13">
        <f t="shared" si="24"/>
        <v>0</v>
      </c>
      <c r="AA65" s="13">
        <f t="shared" si="25"/>
        <v>0</v>
      </c>
      <c r="AB65" s="13">
        <f t="shared" si="26"/>
        <v>0</v>
      </c>
      <c r="AC65" s="13">
        <f t="shared" si="27"/>
        <v>0</v>
      </c>
      <c r="AD65" s="13">
        <f t="shared" si="28"/>
        <v>6</v>
      </c>
      <c r="AE65" s="13">
        <f t="shared" si="29"/>
        <v>150000</v>
      </c>
      <c r="AG65" s="13">
        <v>59</v>
      </c>
      <c r="AH65" s="13">
        <f t="shared" si="7"/>
        <v>65000</v>
      </c>
      <c r="AI65" s="13">
        <f t="shared" si="8"/>
        <v>75555.555555555562</v>
      </c>
      <c r="AJ65" s="13">
        <f t="shared" si="9"/>
        <v>82500</v>
      </c>
      <c r="AK65" s="13">
        <f t="shared" si="10"/>
        <v>131250</v>
      </c>
      <c r="AL65" s="13">
        <f t="shared" si="11"/>
        <v>168750</v>
      </c>
    </row>
    <row r="66" spans="9:38" x14ac:dyDescent="0.15">
      <c r="I66" s="6"/>
      <c r="J66" s="13"/>
      <c r="K66" s="13"/>
      <c r="L66" s="13"/>
      <c r="M66" s="13"/>
      <c r="N66" s="13">
        <v>6</v>
      </c>
      <c r="P66" s="13"/>
      <c r="Q66" s="13"/>
      <c r="R66" s="13"/>
      <c r="S66" s="13"/>
      <c r="T66" s="13">
        <v>1</v>
      </c>
      <c r="V66" s="13">
        <v>70</v>
      </c>
      <c r="W66" s="13">
        <f>INDEX(节奏总纲!T:T,MATCH(V66,节奏总纲!O:O,0))</f>
        <v>36.4998</v>
      </c>
      <c r="X66" s="13">
        <f t="shared" si="30"/>
        <v>12.157870715363</v>
      </c>
      <c r="Z66" s="13">
        <f t="shared" si="24"/>
        <v>0</v>
      </c>
      <c r="AA66" s="13">
        <f t="shared" si="25"/>
        <v>0</v>
      </c>
      <c r="AB66" s="13">
        <f t="shared" si="26"/>
        <v>0</v>
      </c>
      <c r="AC66" s="13">
        <f t="shared" si="27"/>
        <v>0</v>
      </c>
      <c r="AD66" s="13">
        <f t="shared" si="28"/>
        <v>12</v>
      </c>
      <c r="AE66" s="13">
        <f t="shared" si="29"/>
        <v>300000</v>
      </c>
      <c r="AG66" s="13">
        <v>60</v>
      </c>
      <c r="AH66" s="13">
        <f t="shared" si="7"/>
        <v>70000</v>
      </c>
      <c r="AI66" s="13">
        <f t="shared" si="8"/>
        <v>76111.111111111109</v>
      </c>
      <c r="AJ66" s="13">
        <f t="shared" si="9"/>
        <v>90000</v>
      </c>
      <c r="AK66" s="13">
        <f t="shared" si="10"/>
        <v>135000</v>
      </c>
      <c r="AL66" s="13">
        <f t="shared" si="11"/>
        <v>187500</v>
      </c>
    </row>
    <row r="67" spans="9:38" x14ac:dyDescent="0.15">
      <c r="J67" s="13"/>
      <c r="K67" s="13"/>
      <c r="L67" s="13"/>
      <c r="M67" s="13"/>
      <c r="N67" s="13">
        <v>6</v>
      </c>
      <c r="O67" s="6"/>
      <c r="P67" s="13"/>
      <c r="Q67" s="13"/>
      <c r="R67" s="13"/>
      <c r="S67" s="13"/>
      <c r="T67" s="13">
        <v>3</v>
      </c>
      <c r="U67" s="6"/>
      <c r="V67" s="13">
        <v>75</v>
      </c>
      <c r="W67" s="13">
        <f>INDEX(节奏总纲!T:T,MATCH(V67,节奏总纲!O:O,0))</f>
        <v>51.755559095329879</v>
      </c>
      <c r="X67" s="13">
        <f t="shared" si="30"/>
        <v>15.255759095329879</v>
      </c>
      <c r="Y67" s="6"/>
      <c r="Z67" s="13">
        <f t="shared" si="24"/>
        <v>0</v>
      </c>
      <c r="AA67" s="13">
        <f t="shared" si="25"/>
        <v>0</v>
      </c>
      <c r="AB67" s="13">
        <f t="shared" si="26"/>
        <v>0</v>
      </c>
      <c r="AC67" s="13">
        <f t="shared" si="27"/>
        <v>0</v>
      </c>
      <c r="AD67" s="13">
        <f t="shared" si="28"/>
        <v>24</v>
      </c>
      <c r="AE67" s="13">
        <f t="shared" si="29"/>
        <v>600000</v>
      </c>
      <c r="AG67" s="13">
        <v>61</v>
      </c>
      <c r="AH67" s="13">
        <f t="shared" si="7"/>
        <v>75000</v>
      </c>
      <c r="AI67" s="13">
        <f t="shared" si="8"/>
        <v>76666.666666666672</v>
      </c>
      <c r="AJ67" s="13">
        <f t="shared" si="9"/>
        <v>97500</v>
      </c>
      <c r="AK67" s="13">
        <f t="shared" si="10"/>
        <v>138750</v>
      </c>
      <c r="AL67" s="13">
        <f t="shared" si="11"/>
        <v>206250</v>
      </c>
    </row>
    <row r="68" spans="9:38" x14ac:dyDescent="0.15">
      <c r="J68" s="13"/>
      <c r="K68" s="13"/>
      <c r="L68" s="13"/>
      <c r="M68" s="13"/>
      <c r="N68" s="13">
        <v>6</v>
      </c>
      <c r="O68" s="6"/>
      <c r="P68" s="13"/>
      <c r="Q68" s="13"/>
      <c r="R68" s="13"/>
      <c r="S68" s="13"/>
      <c r="T68" s="13">
        <v>7</v>
      </c>
      <c r="U68" s="6"/>
      <c r="V68" s="13">
        <v>82</v>
      </c>
      <c r="W68" s="13">
        <f>INDEX(节奏总纲!T:T,MATCH(V68,节奏总纲!O:O,0))</f>
        <v>83.230965201704336</v>
      </c>
      <c r="X68" s="13">
        <f t="shared" si="30"/>
        <v>31.475406106374457</v>
      </c>
      <c r="Y68" s="6"/>
      <c r="Z68" s="13">
        <f t="shared" si="24"/>
        <v>0</v>
      </c>
      <c r="AA68" s="13">
        <f t="shared" si="25"/>
        <v>0</v>
      </c>
      <c r="AB68" s="13">
        <f t="shared" si="26"/>
        <v>0</v>
      </c>
      <c r="AC68" s="13">
        <f t="shared" si="27"/>
        <v>0</v>
      </c>
      <c r="AD68" s="13">
        <f t="shared" si="28"/>
        <v>48</v>
      </c>
      <c r="AE68" s="13">
        <f t="shared" si="29"/>
        <v>1200000</v>
      </c>
      <c r="AG68" s="13">
        <v>62</v>
      </c>
      <c r="AH68" s="13">
        <f t="shared" si="7"/>
        <v>80000</v>
      </c>
      <c r="AI68" s="13">
        <f t="shared" si="8"/>
        <v>77222.222222222219</v>
      </c>
      <c r="AJ68" s="13">
        <f t="shared" si="9"/>
        <v>105000</v>
      </c>
      <c r="AK68" s="13">
        <f t="shared" si="10"/>
        <v>142500</v>
      </c>
      <c r="AL68" s="13">
        <f t="shared" si="11"/>
        <v>225000</v>
      </c>
    </row>
    <row r="69" spans="9:38" x14ac:dyDescent="0.15">
      <c r="AG69" s="13">
        <v>63</v>
      </c>
      <c r="AH69" s="13">
        <f t="shared" si="7"/>
        <v>85000</v>
      </c>
      <c r="AI69" s="13">
        <f t="shared" si="8"/>
        <v>77777.777777777781</v>
      </c>
      <c r="AJ69" s="13">
        <f t="shared" si="9"/>
        <v>112500</v>
      </c>
      <c r="AK69" s="13">
        <f t="shared" si="10"/>
        <v>146250</v>
      </c>
      <c r="AL69" s="13">
        <f t="shared" si="11"/>
        <v>243750</v>
      </c>
    </row>
    <row r="70" spans="9:38" x14ac:dyDescent="0.15">
      <c r="J70" s="67" t="s">
        <v>88</v>
      </c>
      <c r="K70" s="67"/>
      <c r="L70" s="67"/>
      <c r="M70" s="67"/>
      <c r="N70" s="67"/>
      <c r="P70" s="67" t="s">
        <v>89</v>
      </c>
      <c r="Q70" s="67"/>
      <c r="R70" s="67"/>
      <c r="S70" s="67"/>
      <c r="T70" s="67"/>
      <c r="Z70" s="67" t="s">
        <v>100</v>
      </c>
      <c r="AA70" s="67"/>
      <c r="AB70" s="67"/>
      <c r="AC70" s="67"/>
      <c r="AD70" s="67"/>
      <c r="AE70" s="15"/>
      <c r="AG70" s="13">
        <v>64</v>
      </c>
      <c r="AH70" s="13">
        <f t="shared" si="7"/>
        <v>90000</v>
      </c>
      <c r="AI70" s="13">
        <f t="shared" si="8"/>
        <v>78333.333333333328</v>
      </c>
      <c r="AJ70" s="13">
        <f t="shared" si="9"/>
        <v>133333.33333333334</v>
      </c>
      <c r="AK70" s="13">
        <f t="shared" si="10"/>
        <v>150000</v>
      </c>
      <c r="AL70" s="13">
        <f t="shared" si="11"/>
        <v>262500</v>
      </c>
    </row>
    <row r="71" spans="9:38" x14ac:dyDescent="0.15">
      <c r="I71" s="5" t="s">
        <v>107</v>
      </c>
      <c r="J71" s="13" t="s">
        <v>84</v>
      </c>
      <c r="K71" s="13" t="s">
        <v>85</v>
      </c>
      <c r="L71" s="13" t="s">
        <v>86</v>
      </c>
      <c r="M71" s="13" t="s">
        <v>0</v>
      </c>
      <c r="N71" s="13" t="s">
        <v>87</v>
      </c>
      <c r="P71" s="13" t="s">
        <v>84</v>
      </c>
      <c r="Q71" s="13" t="s">
        <v>85</v>
      </c>
      <c r="R71" s="13" t="s">
        <v>86</v>
      </c>
      <c r="S71" s="13" t="s">
        <v>0</v>
      </c>
      <c r="T71" s="13" t="s">
        <v>87</v>
      </c>
      <c r="V71" s="13" t="s">
        <v>101</v>
      </c>
      <c r="W71" s="13" t="s">
        <v>90</v>
      </c>
      <c r="X71" s="13" t="s">
        <v>94</v>
      </c>
      <c r="Z71" s="13" t="s">
        <v>84</v>
      </c>
      <c r="AA71" s="13" t="s">
        <v>85</v>
      </c>
      <c r="AB71" s="13" t="s">
        <v>86</v>
      </c>
      <c r="AC71" s="13" t="s">
        <v>0</v>
      </c>
      <c r="AD71" s="13" t="s">
        <v>87</v>
      </c>
      <c r="AE71" s="13" t="s">
        <v>93</v>
      </c>
      <c r="AG71" s="13">
        <v>65</v>
      </c>
      <c r="AH71" s="13">
        <f t="shared" si="7"/>
        <v>95000</v>
      </c>
      <c r="AI71" s="13">
        <f t="shared" si="8"/>
        <v>78888.888888888891</v>
      </c>
      <c r="AJ71" s="13">
        <f t="shared" si="9"/>
        <v>154166.66666666666</v>
      </c>
      <c r="AK71" s="13">
        <f t="shared" si="10"/>
        <v>175000</v>
      </c>
      <c r="AL71" s="13">
        <f t="shared" si="11"/>
        <v>281250</v>
      </c>
    </row>
    <row r="72" spans="9:38" x14ac:dyDescent="0.15">
      <c r="J72" s="13"/>
      <c r="K72" s="13"/>
      <c r="L72" s="13">
        <v>0</v>
      </c>
      <c r="M72" s="13">
        <v>6</v>
      </c>
      <c r="N72" s="13"/>
      <c r="P72" s="13"/>
      <c r="Q72" s="13"/>
      <c r="R72" s="13"/>
      <c r="S72" s="13">
        <v>0</v>
      </c>
      <c r="T72" s="13"/>
      <c r="V72" s="13">
        <v>10</v>
      </c>
      <c r="W72" s="13">
        <f>INDEX(节奏总纲!T:T,MATCH(V72,节奏总纲!O:O,0))</f>
        <v>0.2732</v>
      </c>
      <c r="X72" s="13">
        <f>W72</f>
        <v>0.2732</v>
      </c>
      <c r="Z72" s="13">
        <f t="shared" ref="Z72:Z80" si="31">J72*INDEX($D$19:$D$26,P72+1,1)</f>
        <v>0</v>
      </c>
      <c r="AA72" s="13">
        <f t="shared" ref="AA72:AA80" si="32">K72*INDEX($D$19:$D$26,Q72+1,1)</f>
        <v>0</v>
      </c>
      <c r="AB72" s="13">
        <f t="shared" ref="AB72:AB80" si="33">L72*INDEX($D$19:$D$26,R72+1,1)</f>
        <v>0</v>
      </c>
      <c r="AC72" s="13">
        <f t="shared" ref="AC72:AC80" si="34">M72*INDEX($D$19:$D$26,S72+1,1)</f>
        <v>6</v>
      </c>
      <c r="AD72" s="13">
        <f t="shared" ref="AD72:AD80" si="35">N72*INDEX($D$19:$D$26,T72+1,1)</f>
        <v>0</v>
      </c>
      <c r="AE72" s="13">
        <f t="shared" ref="AE72:AE80" si="36">SUMPRODUCT(Z72:AD72,$C$35:$G$35)</f>
        <v>15000</v>
      </c>
      <c r="AG72" s="13">
        <v>66</v>
      </c>
      <c r="AH72" s="13">
        <f t="shared" ref="AH72:AH106" si="37">求节点($V$7:$V$20,$AE$7:$AE$20,AG72)</f>
        <v>100000</v>
      </c>
      <c r="AI72" s="13">
        <f t="shared" ref="AI72:AI106" si="38">求节点($V$27:$V$39,$AE$27:$AE$39,AG72)</f>
        <v>79444.444444444438</v>
      </c>
      <c r="AJ72" s="13">
        <f t="shared" ref="AJ72:AJ106" si="39">求节点($V$43:$V$54,$AE$43:$AE$54,AG72)</f>
        <v>175000</v>
      </c>
      <c r="AK72" s="13">
        <f t="shared" ref="AK72:AK106" si="40">求节点($V$58:$V$68,$AE$58:$AE$68,AG72)</f>
        <v>200000</v>
      </c>
      <c r="AL72" s="13">
        <f t="shared" ref="AL72:AL106" si="41">求节点($V$72:$V$80,$AE$72:$AE$80,AG72)</f>
        <v>300000</v>
      </c>
    </row>
    <row r="73" spans="9:38" x14ac:dyDescent="0.15">
      <c r="J73" s="13"/>
      <c r="K73" s="13"/>
      <c r="L73" s="13"/>
      <c r="M73" s="13">
        <v>6</v>
      </c>
      <c r="N73" s="13"/>
      <c r="P73" s="13"/>
      <c r="Q73" s="13"/>
      <c r="R73" s="13"/>
      <c r="S73" s="13">
        <v>1</v>
      </c>
      <c r="T73" s="13"/>
      <c r="V73" s="13">
        <v>20</v>
      </c>
      <c r="W73" s="13">
        <f>INDEX(节奏总纲!T:T,MATCH(V73,节奏总纲!O:O,0))</f>
        <v>0.87990000000000002</v>
      </c>
      <c r="X73" s="13">
        <f>W73-W72</f>
        <v>0.60670000000000002</v>
      </c>
      <c r="Z73" s="13">
        <f t="shared" si="31"/>
        <v>0</v>
      </c>
      <c r="AA73" s="13">
        <f t="shared" si="32"/>
        <v>0</v>
      </c>
      <c r="AB73" s="13">
        <f t="shared" si="33"/>
        <v>0</v>
      </c>
      <c r="AC73" s="13">
        <f t="shared" si="34"/>
        <v>12</v>
      </c>
      <c r="AD73" s="13">
        <f t="shared" si="35"/>
        <v>0</v>
      </c>
      <c r="AE73" s="13">
        <f t="shared" si="36"/>
        <v>30000</v>
      </c>
      <c r="AG73" s="13">
        <v>67</v>
      </c>
      <c r="AH73" s="13">
        <f t="shared" si="37"/>
        <v>105000</v>
      </c>
      <c r="AI73" s="13">
        <f t="shared" si="38"/>
        <v>80000</v>
      </c>
      <c r="AJ73" s="13">
        <f t="shared" si="39"/>
        <v>195833.33333333331</v>
      </c>
      <c r="AK73" s="13">
        <f t="shared" si="40"/>
        <v>225000</v>
      </c>
      <c r="AL73" s="13">
        <f t="shared" si="41"/>
        <v>350000</v>
      </c>
    </row>
    <row r="74" spans="9:38" x14ac:dyDescent="0.15">
      <c r="J74" s="13"/>
      <c r="K74" s="13"/>
      <c r="L74" s="13"/>
      <c r="M74" s="13">
        <v>6</v>
      </c>
      <c r="N74" s="13"/>
      <c r="P74" s="13"/>
      <c r="Q74" s="13"/>
      <c r="R74" s="13"/>
      <c r="S74" s="13">
        <v>3</v>
      </c>
      <c r="T74" s="13"/>
      <c r="V74" s="13">
        <v>30</v>
      </c>
      <c r="W74" s="13">
        <f>INDEX(节奏总纲!T:T,MATCH(V74,节奏总纲!O:O,0))</f>
        <v>2.1006999999999998</v>
      </c>
      <c r="X74" s="13">
        <f t="shared" ref="X74:X80" si="42">W74-W73</f>
        <v>1.2207999999999997</v>
      </c>
      <c r="Z74" s="13">
        <f t="shared" si="31"/>
        <v>0</v>
      </c>
      <c r="AA74" s="13">
        <f t="shared" si="32"/>
        <v>0</v>
      </c>
      <c r="AB74" s="13">
        <f t="shared" si="33"/>
        <v>0</v>
      </c>
      <c r="AC74" s="13">
        <f t="shared" si="34"/>
        <v>24</v>
      </c>
      <c r="AD74" s="13">
        <f t="shared" si="35"/>
        <v>0</v>
      </c>
      <c r="AE74" s="13">
        <f t="shared" si="36"/>
        <v>60000</v>
      </c>
      <c r="AG74" s="13">
        <v>68</v>
      </c>
      <c r="AH74" s="13">
        <f t="shared" si="37"/>
        <v>25000</v>
      </c>
      <c r="AI74" s="13">
        <f t="shared" si="38"/>
        <v>150000</v>
      </c>
      <c r="AJ74" s="13">
        <f t="shared" si="39"/>
        <v>216666.66666666666</v>
      </c>
      <c r="AK74" s="13">
        <f t="shared" si="40"/>
        <v>250000</v>
      </c>
      <c r="AL74" s="13">
        <f t="shared" si="41"/>
        <v>400000</v>
      </c>
    </row>
    <row r="75" spans="9:38" x14ac:dyDescent="0.15">
      <c r="J75" s="13"/>
      <c r="K75" s="13"/>
      <c r="L75" s="13"/>
      <c r="M75" s="13">
        <v>5</v>
      </c>
      <c r="N75" s="13">
        <v>1</v>
      </c>
      <c r="P75" s="13"/>
      <c r="Q75" s="13"/>
      <c r="R75" s="13"/>
      <c r="S75" s="13">
        <v>4</v>
      </c>
      <c r="T75" s="13">
        <v>0</v>
      </c>
      <c r="V75" s="13">
        <v>40</v>
      </c>
      <c r="W75" s="13">
        <f>INDEX(节奏总纲!T:T,MATCH(V75,节奏总纲!O:O,0))</f>
        <v>4.5</v>
      </c>
      <c r="X75" s="13">
        <f t="shared" si="42"/>
        <v>2.3993000000000002</v>
      </c>
      <c r="Z75" s="13">
        <f t="shared" si="31"/>
        <v>0</v>
      </c>
      <c r="AA75" s="13">
        <f t="shared" si="32"/>
        <v>0</v>
      </c>
      <c r="AB75" s="13">
        <f t="shared" si="33"/>
        <v>0</v>
      </c>
      <c r="AC75" s="13">
        <f t="shared" si="34"/>
        <v>25</v>
      </c>
      <c r="AD75" s="13">
        <f t="shared" si="35"/>
        <v>1</v>
      </c>
      <c r="AE75" s="13">
        <f t="shared" si="36"/>
        <v>87500</v>
      </c>
      <c r="AG75" s="13">
        <v>69</v>
      </c>
      <c r="AH75" s="13">
        <f t="shared" si="37"/>
        <v>28571.428571428572</v>
      </c>
      <c r="AI75" s="13">
        <f t="shared" si="38"/>
        <v>135714.28571428571</v>
      </c>
      <c r="AJ75" s="13">
        <f t="shared" si="39"/>
        <v>237500</v>
      </c>
      <c r="AK75" s="13">
        <f t="shared" si="40"/>
        <v>275000</v>
      </c>
      <c r="AL75" s="13">
        <f t="shared" si="41"/>
        <v>450000</v>
      </c>
    </row>
    <row r="76" spans="9:38" x14ac:dyDescent="0.15">
      <c r="J76" s="13"/>
      <c r="K76" s="13"/>
      <c r="L76" s="13"/>
      <c r="M76" s="13">
        <v>3</v>
      </c>
      <c r="N76" s="13">
        <v>3</v>
      </c>
      <c r="P76" s="13"/>
      <c r="Q76" s="13"/>
      <c r="R76" s="13"/>
      <c r="S76" s="13">
        <v>6</v>
      </c>
      <c r="T76" s="13">
        <v>0</v>
      </c>
      <c r="V76" s="13">
        <v>50</v>
      </c>
      <c r="W76" s="13">
        <f>INDEX(节奏总纲!T:T,MATCH(V76,节奏总纲!O:O,0))</f>
        <v>9.1883999999999997</v>
      </c>
      <c r="X76" s="13">
        <f t="shared" si="42"/>
        <v>4.6883999999999997</v>
      </c>
      <c r="Z76" s="13">
        <f t="shared" si="31"/>
        <v>0</v>
      </c>
      <c r="AA76" s="13">
        <f t="shared" si="32"/>
        <v>0</v>
      </c>
      <c r="AB76" s="13">
        <f t="shared" si="33"/>
        <v>0</v>
      </c>
      <c r="AC76" s="13">
        <f t="shared" si="34"/>
        <v>21</v>
      </c>
      <c r="AD76" s="13">
        <f t="shared" si="35"/>
        <v>3</v>
      </c>
      <c r="AE76" s="13">
        <f t="shared" si="36"/>
        <v>127500</v>
      </c>
      <c r="AG76" s="13">
        <v>70</v>
      </c>
      <c r="AH76" s="13">
        <f t="shared" si="37"/>
        <v>32142.857142857145</v>
      </c>
      <c r="AI76" s="13">
        <f t="shared" si="38"/>
        <v>121428.57142857142</v>
      </c>
      <c r="AJ76" s="13">
        <f t="shared" si="39"/>
        <v>247916.66666666666</v>
      </c>
      <c r="AK76" s="13">
        <f t="shared" si="40"/>
        <v>300000</v>
      </c>
      <c r="AL76" s="13">
        <f t="shared" si="41"/>
        <v>500000</v>
      </c>
    </row>
    <row r="77" spans="9:38" x14ac:dyDescent="0.15">
      <c r="J77" s="13"/>
      <c r="K77" s="13"/>
      <c r="L77" s="13"/>
      <c r="M77" s="13"/>
      <c r="N77" s="13">
        <v>6</v>
      </c>
      <c r="P77" s="13"/>
      <c r="Q77" s="13"/>
      <c r="R77" s="13"/>
      <c r="S77" s="13"/>
      <c r="T77" s="13">
        <v>0</v>
      </c>
      <c r="V77" s="13">
        <v>58</v>
      </c>
      <c r="W77" s="13">
        <f>INDEX(节奏总纲!T:T,MATCH(V77,节奏总纲!O:O,0))</f>
        <v>15.856475407565867</v>
      </c>
      <c r="X77" s="13">
        <f t="shared" si="42"/>
        <v>6.6680754075658673</v>
      </c>
      <c r="Z77" s="13">
        <f t="shared" si="31"/>
        <v>0</v>
      </c>
      <c r="AA77" s="13">
        <f t="shared" si="32"/>
        <v>0</v>
      </c>
      <c r="AB77" s="13">
        <f t="shared" si="33"/>
        <v>0</v>
      </c>
      <c r="AC77" s="13">
        <f t="shared" si="34"/>
        <v>0</v>
      </c>
      <c r="AD77" s="13">
        <f t="shared" si="35"/>
        <v>6</v>
      </c>
      <c r="AE77" s="13">
        <f t="shared" si="36"/>
        <v>150000</v>
      </c>
      <c r="AG77" s="13">
        <v>71</v>
      </c>
      <c r="AH77" s="13">
        <f t="shared" si="37"/>
        <v>35714.28571428571</v>
      </c>
      <c r="AI77" s="13">
        <f t="shared" si="38"/>
        <v>107142.85714285714</v>
      </c>
      <c r="AJ77" s="13">
        <f t="shared" si="39"/>
        <v>258333.33333333334</v>
      </c>
      <c r="AK77" s="13">
        <f t="shared" si="40"/>
        <v>360000</v>
      </c>
      <c r="AL77" s="13">
        <f t="shared" si="41"/>
        <v>550000</v>
      </c>
    </row>
    <row r="78" spans="9:38" x14ac:dyDescent="0.15">
      <c r="J78" s="13"/>
      <c r="K78" s="13"/>
      <c r="L78" s="13"/>
      <c r="M78" s="13"/>
      <c r="N78" s="13">
        <v>6</v>
      </c>
      <c r="P78" s="13"/>
      <c r="Q78" s="13"/>
      <c r="R78" s="13"/>
      <c r="S78" s="13"/>
      <c r="T78" s="13">
        <v>1</v>
      </c>
      <c r="V78" s="13">
        <v>66</v>
      </c>
      <c r="W78" s="13">
        <f>INDEX(节奏总纲!T:T,MATCH(V78,节奏总纲!O:O,0))</f>
        <v>27.851300060458648</v>
      </c>
      <c r="X78" s="13">
        <f t="shared" si="42"/>
        <v>11.994824652892781</v>
      </c>
      <c r="Z78" s="13">
        <f t="shared" si="31"/>
        <v>0</v>
      </c>
      <c r="AA78" s="13">
        <f t="shared" si="32"/>
        <v>0</v>
      </c>
      <c r="AB78" s="13">
        <f t="shared" si="33"/>
        <v>0</v>
      </c>
      <c r="AC78" s="13">
        <f t="shared" si="34"/>
        <v>0</v>
      </c>
      <c r="AD78" s="13">
        <f t="shared" si="35"/>
        <v>12</v>
      </c>
      <c r="AE78" s="13">
        <f t="shared" si="36"/>
        <v>300000</v>
      </c>
      <c r="AG78" s="13">
        <v>72</v>
      </c>
      <c r="AH78" s="13">
        <f t="shared" si="37"/>
        <v>39285.71428571429</v>
      </c>
      <c r="AI78" s="13">
        <f t="shared" si="38"/>
        <v>92857.142857142855</v>
      </c>
      <c r="AJ78" s="13">
        <f t="shared" si="39"/>
        <v>268750</v>
      </c>
      <c r="AK78" s="13">
        <f t="shared" si="40"/>
        <v>420000</v>
      </c>
      <c r="AL78" s="13">
        <f t="shared" si="41"/>
        <v>600000</v>
      </c>
    </row>
    <row r="79" spans="9:38" x14ac:dyDescent="0.15">
      <c r="J79" s="13"/>
      <c r="K79" s="13"/>
      <c r="L79" s="13"/>
      <c r="M79" s="13"/>
      <c r="N79" s="13">
        <v>6</v>
      </c>
      <c r="P79" s="13"/>
      <c r="Q79" s="13"/>
      <c r="R79" s="13"/>
      <c r="S79" s="13"/>
      <c r="T79" s="13">
        <v>3</v>
      </c>
      <c r="V79" s="13">
        <v>72</v>
      </c>
      <c r="W79" s="13">
        <f>INDEX(节奏总纲!T:T,MATCH(V79,节奏总纲!O:O,0))</f>
        <v>41.896979430227098</v>
      </c>
      <c r="X79" s="13">
        <f t="shared" si="42"/>
        <v>14.04567936976845</v>
      </c>
      <c r="Z79" s="13">
        <f t="shared" si="31"/>
        <v>0</v>
      </c>
      <c r="AA79" s="13">
        <f t="shared" si="32"/>
        <v>0</v>
      </c>
      <c r="AB79" s="13">
        <f t="shared" si="33"/>
        <v>0</v>
      </c>
      <c r="AC79" s="13">
        <f t="shared" si="34"/>
        <v>0</v>
      </c>
      <c r="AD79" s="13">
        <f t="shared" si="35"/>
        <v>24</v>
      </c>
      <c r="AE79" s="13">
        <f t="shared" si="36"/>
        <v>600000</v>
      </c>
      <c r="AG79" s="13">
        <v>73</v>
      </c>
      <c r="AH79" s="13">
        <f t="shared" si="37"/>
        <v>42857.142857142855</v>
      </c>
      <c r="AI79" s="13">
        <f t="shared" si="38"/>
        <v>78571.428571428565</v>
      </c>
      <c r="AJ79" s="13">
        <f t="shared" si="39"/>
        <v>279166.66666666669</v>
      </c>
      <c r="AK79" s="13">
        <f t="shared" si="40"/>
        <v>480000</v>
      </c>
      <c r="AL79" s="13">
        <f t="shared" si="41"/>
        <v>720000</v>
      </c>
    </row>
    <row r="80" spans="9:38" x14ac:dyDescent="0.15">
      <c r="J80" s="13"/>
      <c r="K80" s="13"/>
      <c r="L80" s="13"/>
      <c r="M80" s="13"/>
      <c r="N80" s="13">
        <v>6</v>
      </c>
      <c r="P80" s="13"/>
      <c r="Q80" s="13"/>
      <c r="R80" s="13"/>
      <c r="S80" s="13"/>
      <c r="T80" s="13">
        <v>7</v>
      </c>
      <c r="V80" s="13">
        <v>77</v>
      </c>
      <c r="W80" s="13">
        <f>INDEX(节奏总纲!T:T,MATCH(V80,节奏总纲!O:O,0))</f>
        <v>59.535663694512365</v>
      </c>
      <c r="X80" s="13">
        <f t="shared" si="42"/>
        <v>17.638684264285267</v>
      </c>
      <c r="Z80" s="13">
        <f t="shared" si="31"/>
        <v>0</v>
      </c>
      <c r="AA80" s="13">
        <f t="shared" si="32"/>
        <v>0</v>
      </c>
      <c r="AB80" s="13">
        <f t="shared" si="33"/>
        <v>0</v>
      </c>
      <c r="AC80" s="13">
        <f t="shared" si="34"/>
        <v>0</v>
      </c>
      <c r="AD80" s="13">
        <f t="shared" si="35"/>
        <v>48</v>
      </c>
      <c r="AE80" s="13">
        <f t="shared" si="36"/>
        <v>1200000</v>
      </c>
      <c r="AG80" s="13">
        <v>74</v>
      </c>
      <c r="AH80" s="13">
        <f t="shared" si="37"/>
        <v>46428.571428571428</v>
      </c>
      <c r="AI80" s="13">
        <f t="shared" si="38"/>
        <v>64285.71428571429</v>
      </c>
      <c r="AJ80" s="13">
        <f t="shared" si="39"/>
        <v>289583.33333333331</v>
      </c>
      <c r="AK80" s="13">
        <f t="shared" si="40"/>
        <v>540000</v>
      </c>
      <c r="AL80" s="13">
        <f t="shared" si="41"/>
        <v>840000</v>
      </c>
    </row>
    <row r="81" spans="9:38" x14ac:dyDescent="0.15">
      <c r="AG81" s="13">
        <v>75</v>
      </c>
      <c r="AH81" s="13">
        <f t="shared" si="37"/>
        <v>50000</v>
      </c>
      <c r="AI81" s="13">
        <f t="shared" si="38"/>
        <v>50000</v>
      </c>
      <c r="AJ81" s="13">
        <f t="shared" si="39"/>
        <v>300000</v>
      </c>
      <c r="AK81" s="13">
        <f t="shared" si="40"/>
        <v>600000</v>
      </c>
      <c r="AL81" s="13">
        <f t="shared" si="41"/>
        <v>960000</v>
      </c>
    </row>
    <row r="82" spans="9:38" x14ac:dyDescent="0.15">
      <c r="AG82" s="13">
        <v>76</v>
      </c>
      <c r="AH82" s="13">
        <f t="shared" si="37"/>
        <v>55000</v>
      </c>
      <c r="AI82" s="13">
        <f t="shared" si="38"/>
        <v>55000</v>
      </c>
      <c r="AJ82" s="13">
        <f t="shared" si="39"/>
        <v>316666.66666666669</v>
      </c>
      <c r="AK82" s="13">
        <f t="shared" si="40"/>
        <v>685714.28571428568</v>
      </c>
      <c r="AL82" s="13">
        <f t="shared" si="41"/>
        <v>1080000</v>
      </c>
    </row>
    <row r="83" spans="9:38" x14ac:dyDescent="0.15">
      <c r="AG83" s="13">
        <v>77</v>
      </c>
      <c r="AH83" s="13">
        <f t="shared" si="37"/>
        <v>60000</v>
      </c>
      <c r="AI83" s="13">
        <f t="shared" si="38"/>
        <v>60000</v>
      </c>
      <c r="AJ83" s="13">
        <f t="shared" si="39"/>
        <v>333333.33333333331</v>
      </c>
      <c r="AK83" s="13">
        <f t="shared" si="40"/>
        <v>771428.57142857136</v>
      </c>
      <c r="AL83" s="13">
        <f t="shared" si="41"/>
        <v>1200000</v>
      </c>
    </row>
    <row r="84" spans="9:38" x14ac:dyDescent="0.15">
      <c r="AG84" s="13">
        <v>78</v>
      </c>
      <c r="AH84" s="13">
        <f t="shared" si="37"/>
        <v>65000</v>
      </c>
      <c r="AI84" s="13">
        <f t="shared" si="38"/>
        <v>65000</v>
      </c>
      <c r="AJ84" s="13">
        <f t="shared" si="39"/>
        <v>350000</v>
      </c>
      <c r="AK84" s="13">
        <f t="shared" si="40"/>
        <v>857142.85714285716</v>
      </c>
      <c r="AL84" s="13">
        <f t="shared" si="41"/>
        <v>1200000</v>
      </c>
    </row>
    <row r="85" spans="9:38" x14ac:dyDescent="0.15">
      <c r="AG85" s="13">
        <v>79</v>
      </c>
      <c r="AH85" s="13">
        <f t="shared" si="37"/>
        <v>70000</v>
      </c>
      <c r="AI85" s="13">
        <f t="shared" si="38"/>
        <v>70000</v>
      </c>
      <c r="AJ85" s="13">
        <f t="shared" si="39"/>
        <v>366666.66666666669</v>
      </c>
      <c r="AK85" s="13">
        <f t="shared" si="40"/>
        <v>942857.14285714284</v>
      </c>
      <c r="AL85" s="13">
        <f t="shared" si="41"/>
        <v>1200000</v>
      </c>
    </row>
    <row r="86" spans="9:38" x14ac:dyDescent="0.15">
      <c r="AG86" s="13">
        <v>80</v>
      </c>
      <c r="AH86" s="13">
        <f t="shared" si="37"/>
        <v>75000</v>
      </c>
      <c r="AI86" s="13">
        <f t="shared" si="38"/>
        <v>75000</v>
      </c>
      <c r="AJ86" s="13">
        <f t="shared" si="39"/>
        <v>383333.33333333337</v>
      </c>
      <c r="AK86" s="13">
        <f t="shared" si="40"/>
        <v>1028571.4285714285</v>
      </c>
      <c r="AL86" s="13">
        <f t="shared" si="41"/>
        <v>1200000</v>
      </c>
    </row>
    <row r="87" spans="9:38" x14ac:dyDescent="0.15">
      <c r="AG87" s="13">
        <v>81</v>
      </c>
      <c r="AH87" s="13">
        <f t="shared" si="37"/>
        <v>81250</v>
      </c>
      <c r="AI87" s="13">
        <f t="shared" si="38"/>
        <v>81250</v>
      </c>
      <c r="AJ87" s="13">
        <f t="shared" si="39"/>
        <v>400000</v>
      </c>
      <c r="AK87" s="13">
        <f t="shared" si="40"/>
        <v>1114285.7142857143</v>
      </c>
      <c r="AL87" s="13">
        <f t="shared" si="41"/>
        <v>1200000</v>
      </c>
    </row>
    <row r="88" spans="9:38" x14ac:dyDescent="0.15">
      <c r="AG88" s="13">
        <v>82</v>
      </c>
      <c r="AH88" s="13">
        <f t="shared" si="37"/>
        <v>87500</v>
      </c>
      <c r="AI88" s="13">
        <f t="shared" si="38"/>
        <v>87500</v>
      </c>
      <c r="AJ88" s="13">
        <f t="shared" si="39"/>
        <v>416666.66666666669</v>
      </c>
      <c r="AK88" s="13">
        <f t="shared" si="40"/>
        <v>1200000</v>
      </c>
      <c r="AL88" s="13">
        <f t="shared" si="41"/>
        <v>1200000</v>
      </c>
    </row>
    <row r="89" spans="9:38" x14ac:dyDescent="0.15">
      <c r="AG89" s="13">
        <v>83</v>
      </c>
      <c r="AH89" s="13">
        <f t="shared" si="37"/>
        <v>93750</v>
      </c>
      <c r="AI89" s="13">
        <f t="shared" si="38"/>
        <v>93750</v>
      </c>
      <c r="AJ89" s="13">
        <f t="shared" si="39"/>
        <v>433333.33333333337</v>
      </c>
      <c r="AK89" s="13">
        <f t="shared" si="40"/>
        <v>1200000</v>
      </c>
      <c r="AL89" s="13">
        <f t="shared" si="41"/>
        <v>1200000</v>
      </c>
    </row>
    <row r="90" spans="9:38" x14ac:dyDescent="0.15">
      <c r="AG90" s="13">
        <v>84</v>
      </c>
      <c r="AH90" s="13">
        <f t="shared" si="37"/>
        <v>100000</v>
      </c>
      <c r="AI90" s="13">
        <f t="shared" si="38"/>
        <v>100000</v>
      </c>
      <c r="AJ90" s="13">
        <f t="shared" si="39"/>
        <v>450000</v>
      </c>
      <c r="AK90" s="13">
        <f t="shared" si="40"/>
        <v>1200000</v>
      </c>
      <c r="AL90" s="13">
        <f t="shared" si="41"/>
        <v>1200000</v>
      </c>
    </row>
    <row r="91" spans="9:38" x14ac:dyDescent="0.15">
      <c r="I91" s="5">
        <v>6</v>
      </c>
      <c r="AG91" s="13">
        <v>85</v>
      </c>
      <c r="AH91" s="13">
        <f t="shared" si="37"/>
        <v>106250</v>
      </c>
      <c r="AI91" s="13">
        <f t="shared" si="38"/>
        <v>106250</v>
      </c>
      <c r="AJ91" s="13">
        <f t="shared" si="39"/>
        <v>492857.14285714284</v>
      </c>
      <c r="AK91" s="13">
        <f t="shared" si="40"/>
        <v>1200000</v>
      </c>
      <c r="AL91" s="13">
        <f t="shared" si="41"/>
        <v>1200000</v>
      </c>
    </row>
    <row r="92" spans="9:38" x14ac:dyDescent="0.15">
      <c r="AG92" s="13">
        <v>86</v>
      </c>
      <c r="AH92" s="13">
        <f t="shared" si="37"/>
        <v>112500</v>
      </c>
      <c r="AI92" s="13">
        <f t="shared" si="38"/>
        <v>112500</v>
      </c>
      <c r="AJ92" s="13">
        <f t="shared" si="39"/>
        <v>535714.28571428568</v>
      </c>
      <c r="AK92" s="13">
        <f t="shared" si="40"/>
        <v>1200000</v>
      </c>
      <c r="AL92" s="13">
        <f t="shared" si="41"/>
        <v>1200000</v>
      </c>
    </row>
    <row r="93" spans="9:38" x14ac:dyDescent="0.15">
      <c r="AG93" s="13">
        <v>87</v>
      </c>
      <c r="AH93" s="13">
        <f t="shared" si="37"/>
        <v>118750</v>
      </c>
      <c r="AI93" s="13">
        <f t="shared" si="38"/>
        <v>118750</v>
      </c>
      <c r="AJ93" s="13">
        <f t="shared" si="39"/>
        <v>578571.42857142852</v>
      </c>
      <c r="AK93" s="13">
        <f t="shared" si="40"/>
        <v>1200000</v>
      </c>
      <c r="AL93" s="13">
        <f t="shared" si="41"/>
        <v>1200000</v>
      </c>
    </row>
    <row r="94" spans="9:38" x14ac:dyDescent="0.15">
      <c r="AG94" s="13">
        <v>88</v>
      </c>
      <c r="AH94" s="13">
        <f t="shared" si="37"/>
        <v>125000</v>
      </c>
      <c r="AI94" s="13">
        <f t="shared" si="38"/>
        <v>125000</v>
      </c>
      <c r="AJ94" s="13">
        <f t="shared" si="39"/>
        <v>621428.57142857136</v>
      </c>
      <c r="AK94" s="13">
        <f t="shared" si="40"/>
        <v>1200000</v>
      </c>
      <c r="AL94" s="13">
        <f t="shared" si="41"/>
        <v>1200000</v>
      </c>
    </row>
    <row r="95" spans="9:38" x14ac:dyDescent="0.15">
      <c r="AG95" s="13">
        <v>89</v>
      </c>
      <c r="AH95" s="13">
        <f t="shared" si="37"/>
        <v>133333.33333333334</v>
      </c>
      <c r="AI95" s="13">
        <f t="shared" si="38"/>
        <v>133333.33333333334</v>
      </c>
      <c r="AJ95" s="13">
        <f t="shared" si="39"/>
        <v>664285.71428571432</v>
      </c>
      <c r="AK95" s="13">
        <f t="shared" si="40"/>
        <v>1200000</v>
      </c>
      <c r="AL95" s="13">
        <f t="shared" si="41"/>
        <v>1200000</v>
      </c>
    </row>
    <row r="96" spans="9:38" x14ac:dyDescent="0.15">
      <c r="AG96" s="13">
        <v>90</v>
      </c>
      <c r="AH96" s="13">
        <f t="shared" si="37"/>
        <v>141666.66666666666</v>
      </c>
      <c r="AI96" s="13">
        <f t="shared" si="38"/>
        <v>141666.66666666666</v>
      </c>
      <c r="AJ96" s="13">
        <f t="shared" si="39"/>
        <v>707142.85714285716</v>
      </c>
      <c r="AK96" s="13">
        <f t="shared" si="40"/>
        <v>1200000</v>
      </c>
      <c r="AL96" s="13">
        <f t="shared" si="41"/>
        <v>1200000</v>
      </c>
    </row>
    <row r="97" spans="33:38" x14ac:dyDescent="0.15">
      <c r="AG97" s="13">
        <v>91</v>
      </c>
      <c r="AH97" s="13">
        <f t="shared" si="37"/>
        <v>150000</v>
      </c>
      <c r="AI97" s="13">
        <f t="shared" si="38"/>
        <v>150000</v>
      </c>
      <c r="AJ97" s="13">
        <f t="shared" si="39"/>
        <v>750000</v>
      </c>
      <c r="AK97" s="13">
        <f t="shared" si="40"/>
        <v>1200000</v>
      </c>
      <c r="AL97" s="13">
        <f t="shared" si="41"/>
        <v>1200000</v>
      </c>
    </row>
    <row r="98" spans="33:38" x14ac:dyDescent="0.15">
      <c r="AG98" s="13">
        <v>92</v>
      </c>
      <c r="AH98" s="13">
        <f t="shared" si="37"/>
        <v>150000</v>
      </c>
      <c r="AI98" s="13">
        <f t="shared" si="38"/>
        <v>150000</v>
      </c>
      <c r="AJ98" s="13">
        <f t="shared" si="39"/>
        <v>750000</v>
      </c>
      <c r="AK98" s="13">
        <f t="shared" si="40"/>
        <v>1200000</v>
      </c>
      <c r="AL98" s="13">
        <f t="shared" si="41"/>
        <v>1200000</v>
      </c>
    </row>
    <row r="99" spans="33:38" x14ac:dyDescent="0.15">
      <c r="AG99" s="13">
        <v>93</v>
      </c>
      <c r="AH99" s="13">
        <f t="shared" si="37"/>
        <v>150000</v>
      </c>
      <c r="AI99" s="13">
        <f t="shared" si="38"/>
        <v>150000</v>
      </c>
      <c r="AJ99" s="13">
        <f t="shared" si="39"/>
        <v>750000</v>
      </c>
      <c r="AK99" s="13">
        <f t="shared" si="40"/>
        <v>1200000</v>
      </c>
      <c r="AL99" s="13">
        <f t="shared" si="41"/>
        <v>1200000</v>
      </c>
    </row>
    <row r="100" spans="33:38" x14ac:dyDescent="0.15">
      <c r="AG100" s="13">
        <v>94</v>
      </c>
      <c r="AH100" s="13">
        <f t="shared" si="37"/>
        <v>150000</v>
      </c>
      <c r="AI100" s="13">
        <f t="shared" si="38"/>
        <v>150000</v>
      </c>
      <c r="AJ100" s="13">
        <f t="shared" si="39"/>
        <v>750000</v>
      </c>
      <c r="AK100" s="13">
        <f t="shared" si="40"/>
        <v>1200000</v>
      </c>
      <c r="AL100" s="13">
        <f t="shared" si="41"/>
        <v>1200000</v>
      </c>
    </row>
    <row r="101" spans="33:38" x14ac:dyDescent="0.15">
      <c r="AG101" s="13">
        <v>95</v>
      </c>
      <c r="AH101" s="13">
        <f t="shared" si="37"/>
        <v>150000</v>
      </c>
      <c r="AI101" s="13">
        <f t="shared" si="38"/>
        <v>150000</v>
      </c>
      <c r="AJ101" s="13">
        <f t="shared" si="39"/>
        <v>750000</v>
      </c>
      <c r="AK101" s="13">
        <f t="shared" si="40"/>
        <v>1200000</v>
      </c>
      <c r="AL101" s="13">
        <f t="shared" si="41"/>
        <v>1200000</v>
      </c>
    </row>
    <row r="102" spans="33:38" x14ac:dyDescent="0.15">
      <c r="AG102" s="13">
        <v>96</v>
      </c>
      <c r="AH102" s="13">
        <f t="shared" si="37"/>
        <v>150000</v>
      </c>
      <c r="AI102" s="13">
        <f t="shared" si="38"/>
        <v>150000</v>
      </c>
      <c r="AJ102" s="13">
        <f t="shared" si="39"/>
        <v>750000</v>
      </c>
      <c r="AK102" s="13">
        <f t="shared" si="40"/>
        <v>1200000</v>
      </c>
      <c r="AL102" s="13">
        <f t="shared" si="41"/>
        <v>1200000</v>
      </c>
    </row>
    <row r="103" spans="33:38" x14ac:dyDescent="0.15">
      <c r="AG103" s="13">
        <v>97</v>
      </c>
      <c r="AH103" s="13">
        <f t="shared" si="37"/>
        <v>150000</v>
      </c>
      <c r="AI103" s="13">
        <f t="shared" si="38"/>
        <v>150000</v>
      </c>
      <c r="AJ103" s="13">
        <f t="shared" si="39"/>
        <v>750000</v>
      </c>
      <c r="AK103" s="13">
        <f t="shared" si="40"/>
        <v>1200000</v>
      </c>
      <c r="AL103" s="13">
        <f t="shared" si="41"/>
        <v>1200000</v>
      </c>
    </row>
    <row r="104" spans="33:38" x14ac:dyDescent="0.15">
      <c r="AG104" s="13">
        <v>98</v>
      </c>
      <c r="AH104" s="13">
        <f t="shared" si="37"/>
        <v>150000</v>
      </c>
      <c r="AI104" s="13">
        <f t="shared" si="38"/>
        <v>150000</v>
      </c>
      <c r="AJ104" s="13">
        <f t="shared" si="39"/>
        <v>750000</v>
      </c>
      <c r="AK104" s="13">
        <f t="shared" si="40"/>
        <v>1200000</v>
      </c>
      <c r="AL104" s="13">
        <f t="shared" si="41"/>
        <v>1200000</v>
      </c>
    </row>
    <row r="105" spans="33:38" x14ac:dyDescent="0.15">
      <c r="AG105" s="13">
        <v>99</v>
      </c>
      <c r="AH105" s="13">
        <f t="shared" si="37"/>
        <v>150000</v>
      </c>
      <c r="AI105" s="13">
        <f t="shared" si="38"/>
        <v>150000</v>
      </c>
      <c r="AJ105" s="13">
        <f t="shared" si="39"/>
        <v>750000</v>
      </c>
      <c r="AK105" s="13">
        <f t="shared" si="40"/>
        <v>1200000</v>
      </c>
      <c r="AL105" s="13">
        <f t="shared" si="41"/>
        <v>1200000</v>
      </c>
    </row>
    <row r="106" spans="33:38" x14ac:dyDescent="0.15">
      <c r="AG106" s="13">
        <v>100</v>
      </c>
      <c r="AH106" s="13">
        <f t="shared" si="37"/>
        <v>150000</v>
      </c>
      <c r="AI106" s="13">
        <f t="shared" si="38"/>
        <v>150000</v>
      </c>
      <c r="AJ106" s="13">
        <f t="shared" si="39"/>
        <v>750000</v>
      </c>
      <c r="AK106" s="13">
        <f t="shared" si="40"/>
        <v>1200000</v>
      </c>
      <c r="AL106" s="13">
        <f t="shared" si="41"/>
        <v>1200000</v>
      </c>
    </row>
  </sheetData>
  <mergeCells count="16">
    <mergeCell ref="AH5:AL5"/>
    <mergeCell ref="J5:N5"/>
    <mergeCell ref="P5:T5"/>
    <mergeCell ref="Z5:AD5"/>
    <mergeCell ref="J25:N25"/>
    <mergeCell ref="P25:T25"/>
    <mergeCell ref="Z25:AD25"/>
    <mergeCell ref="J70:N70"/>
    <mergeCell ref="P70:T70"/>
    <mergeCell ref="Z70:AD70"/>
    <mergeCell ref="J41:N41"/>
    <mergeCell ref="P41:T41"/>
    <mergeCell ref="Z41:AD41"/>
    <mergeCell ref="J56:N56"/>
    <mergeCell ref="P56:T56"/>
    <mergeCell ref="Z56:AD56"/>
  </mergeCells>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dimension ref="K20:U39"/>
  <sheetViews>
    <sheetView topLeftCell="A10" workbookViewId="0">
      <selection activeCell="J19" sqref="J19"/>
    </sheetView>
  </sheetViews>
  <sheetFormatPr defaultRowHeight="13.5" x14ac:dyDescent="0.15"/>
  <sheetData>
    <row r="20" spans="11:21" x14ac:dyDescent="0.15">
      <c r="K20" s="2" t="s">
        <v>7</v>
      </c>
      <c r="L20" s="2">
        <v>8</v>
      </c>
      <c r="M20" s="4" t="s">
        <v>33</v>
      </c>
      <c r="N20" s="4">
        <v>1</v>
      </c>
      <c r="O20" s="4" t="s">
        <v>32</v>
      </c>
      <c r="P20" s="4">
        <v>5</v>
      </c>
      <c r="Q20" s="4"/>
      <c r="R20" s="4"/>
      <c r="S20" s="4"/>
      <c r="T20" s="2" t="s">
        <v>7</v>
      </c>
      <c r="U20" s="2">
        <v>8</v>
      </c>
    </row>
    <row r="21" spans="11:21" x14ac:dyDescent="0.15">
      <c r="K21" s="2" t="s">
        <v>8</v>
      </c>
      <c r="L21" s="2">
        <v>12</v>
      </c>
      <c r="M21" s="4" t="s">
        <v>33</v>
      </c>
      <c r="N21" s="4">
        <v>3</v>
      </c>
      <c r="O21" s="4" t="s">
        <v>32</v>
      </c>
      <c r="P21" s="4">
        <v>3</v>
      </c>
      <c r="Q21" s="4"/>
      <c r="R21" s="4"/>
      <c r="S21" s="4"/>
      <c r="T21" s="4" t="s">
        <v>55</v>
      </c>
      <c r="U21" s="4">
        <v>10</v>
      </c>
    </row>
    <row r="22" spans="11:21" x14ac:dyDescent="0.15">
      <c r="K22" s="2" t="s">
        <v>9</v>
      </c>
      <c r="L22" s="2">
        <v>16</v>
      </c>
      <c r="M22" s="4" t="s">
        <v>33</v>
      </c>
      <c r="N22" s="4">
        <v>5</v>
      </c>
      <c r="O22" s="4" t="s">
        <v>32</v>
      </c>
      <c r="P22" s="4">
        <v>1</v>
      </c>
      <c r="Q22" s="4"/>
      <c r="R22" s="4"/>
      <c r="S22" s="4"/>
      <c r="T22" s="2" t="s">
        <v>8</v>
      </c>
      <c r="U22" s="2">
        <v>12</v>
      </c>
    </row>
    <row r="23" spans="11:21" x14ac:dyDescent="0.15">
      <c r="K23" s="2" t="s">
        <v>10</v>
      </c>
      <c r="L23" s="2">
        <v>20</v>
      </c>
      <c r="M23" s="4" t="s">
        <v>28</v>
      </c>
      <c r="N23" s="4">
        <v>1</v>
      </c>
      <c r="O23" s="4" t="s">
        <v>33</v>
      </c>
      <c r="P23" s="4">
        <v>5</v>
      </c>
      <c r="Q23" s="4"/>
      <c r="R23" s="4"/>
      <c r="S23" s="4"/>
      <c r="T23" s="2" t="s">
        <v>9</v>
      </c>
      <c r="U23" s="2">
        <v>16</v>
      </c>
    </row>
    <row r="24" spans="11:21" x14ac:dyDescent="0.15">
      <c r="K24" s="2" t="s">
        <v>20</v>
      </c>
      <c r="L24" s="2">
        <v>30</v>
      </c>
      <c r="M24" s="4" t="s">
        <v>28</v>
      </c>
      <c r="N24" s="4">
        <v>4</v>
      </c>
      <c r="O24" s="4" t="s">
        <v>33</v>
      </c>
      <c r="P24" s="4">
        <v>2</v>
      </c>
      <c r="Q24" s="4"/>
      <c r="R24" s="4"/>
      <c r="S24" s="4"/>
      <c r="T24" s="4" t="s">
        <v>56</v>
      </c>
      <c r="U24" s="4">
        <v>20</v>
      </c>
    </row>
    <row r="25" spans="11:21" x14ac:dyDescent="0.15">
      <c r="K25" s="2" t="s">
        <v>21</v>
      </c>
      <c r="L25" s="2">
        <v>32</v>
      </c>
      <c r="M25" s="4" t="s">
        <v>28</v>
      </c>
      <c r="N25" s="4">
        <v>4</v>
      </c>
      <c r="O25" s="4" t="s">
        <v>33</v>
      </c>
      <c r="P25" s="4">
        <v>1</v>
      </c>
      <c r="Q25" s="4" t="s">
        <v>47</v>
      </c>
      <c r="R25" s="4">
        <v>1</v>
      </c>
      <c r="S25" s="4"/>
      <c r="T25" s="4" t="s">
        <v>57</v>
      </c>
      <c r="U25" s="4">
        <v>30</v>
      </c>
    </row>
    <row r="26" spans="11:21" x14ac:dyDescent="0.15">
      <c r="K26" s="2" t="s">
        <v>11</v>
      </c>
      <c r="L26" s="2">
        <v>35</v>
      </c>
      <c r="M26" s="4" t="s">
        <v>28</v>
      </c>
      <c r="N26" s="4">
        <v>6</v>
      </c>
      <c r="O26" s="4"/>
      <c r="P26" s="4"/>
      <c r="Q26" s="4"/>
      <c r="R26" s="4"/>
      <c r="S26" s="4"/>
      <c r="T26" s="2" t="s">
        <v>21</v>
      </c>
      <c r="U26" s="2">
        <v>32</v>
      </c>
    </row>
    <row r="27" spans="11:21" x14ac:dyDescent="0.15">
      <c r="K27" s="2" t="s">
        <v>22</v>
      </c>
      <c r="L27" s="2">
        <v>36</v>
      </c>
      <c r="M27" s="4" t="s">
        <v>48</v>
      </c>
      <c r="N27" s="4">
        <v>1</v>
      </c>
      <c r="O27" s="4" t="s">
        <v>28</v>
      </c>
      <c r="P27" s="4">
        <v>5</v>
      </c>
      <c r="Q27" s="4"/>
      <c r="R27" s="4"/>
      <c r="S27" s="4"/>
      <c r="T27" s="2" t="s">
        <v>11</v>
      </c>
      <c r="U27" s="2">
        <v>35</v>
      </c>
    </row>
    <row r="28" spans="11:21" x14ac:dyDescent="0.15">
      <c r="K28" s="2" t="s">
        <v>16</v>
      </c>
      <c r="L28" s="2">
        <v>44</v>
      </c>
      <c r="M28" s="4" t="s">
        <v>49</v>
      </c>
      <c r="N28" s="4">
        <v>1</v>
      </c>
      <c r="O28" s="4" t="s">
        <v>28</v>
      </c>
      <c r="P28" s="4">
        <v>5</v>
      </c>
      <c r="Q28" s="4"/>
      <c r="R28" s="4"/>
      <c r="S28" s="4"/>
      <c r="T28" s="2" t="s">
        <v>22</v>
      </c>
      <c r="U28" s="2">
        <v>36</v>
      </c>
    </row>
    <row r="29" spans="11:21" x14ac:dyDescent="0.15">
      <c r="K29" s="2" t="s">
        <v>23</v>
      </c>
      <c r="L29" s="2">
        <v>46</v>
      </c>
      <c r="M29" s="4" t="s">
        <v>50</v>
      </c>
      <c r="N29" s="4">
        <v>1</v>
      </c>
      <c r="O29" s="4" t="s">
        <v>48</v>
      </c>
      <c r="P29" s="4">
        <v>5</v>
      </c>
      <c r="Q29" s="4"/>
      <c r="R29" s="4"/>
      <c r="S29" s="4"/>
      <c r="T29" s="4" t="s">
        <v>58</v>
      </c>
      <c r="U29" s="4">
        <v>40</v>
      </c>
    </row>
    <row r="30" spans="11:21" x14ac:dyDescent="0.15">
      <c r="K30" s="2" t="s">
        <v>17</v>
      </c>
      <c r="L30" s="2">
        <v>48</v>
      </c>
      <c r="M30" s="4" t="s">
        <v>51</v>
      </c>
      <c r="N30" s="4">
        <v>6</v>
      </c>
      <c r="O30" s="4"/>
      <c r="P30" s="4"/>
      <c r="Q30" s="4"/>
      <c r="R30" s="4"/>
      <c r="S30" s="4"/>
      <c r="T30" s="2" t="s">
        <v>16</v>
      </c>
      <c r="U30" s="2">
        <v>44</v>
      </c>
    </row>
    <row r="31" spans="11:21" x14ac:dyDescent="0.15">
      <c r="K31" s="2" t="s">
        <v>18</v>
      </c>
      <c r="L31" s="2">
        <v>58</v>
      </c>
      <c r="M31" s="4" t="s">
        <v>52</v>
      </c>
      <c r="N31" s="4">
        <v>6</v>
      </c>
      <c r="O31" s="4"/>
      <c r="P31" s="4"/>
      <c r="Q31" s="4"/>
      <c r="R31" s="4"/>
      <c r="S31" s="4"/>
      <c r="T31" s="2" t="s">
        <v>23</v>
      </c>
      <c r="U31" s="2">
        <v>46</v>
      </c>
    </row>
    <row r="32" spans="11:21" x14ac:dyDescent="0.15">
      <c r="K32" s="2" t="s">
        <v>19</v>
      </c>
      <c r="L32" s="2">
        <v>66</v>
      </c>
      <c r="M32" s="4" t="s">
        <v>53</v>
      </c>
      <c r="N32" s="4">
        <v>6</v>
      </c>
      <c r="O32" s="4"/>
      <c r="P32" s="4"/>
      <c r="Q32" s="4"/>
      <c r="R32" s="4"/>
      <c r="S32" s="4"/>
      <c r="T32" s="2" t="s">
        <v>17</v>
      </c>
      <c r="U32" s="2">
        <v>48</v>
      </c>
    </row>
    <row r="33" spans="11:21" x14ac:dyDescent="0.15">
      <c r="K33" s="4"/>
      <c r="L33" s="4"/>
      <c r="M33" s="4"/>
      <c r="N33" s="4"/>
      <c r="O33" s="4"/>
      <c r="P33" s="4"/>
      <c r="Q33" s="4"/>
      <c r="R33" s="4"/>
      <c r="S33" s="4"/>
      <c r="T33" s="4" t="s">
        <v>59</v>
      </c>
      <c r="U33" s="4">
        <v>50</v>
      </c>
    </row>
    <row r="34" spans="11:21" x14ac:dyDescent="0.15">
      <c r="K34" s="2"/>
      <c r="L34" s="2"/>
      <c r="M34" s="4"/>
      <c r="N34" s="4"/>
      <c r="O34" s="4"/>
      <c r="P34" s="4"/>
      <c r="Q34" s="4"/>
      <c r="R34" s="4"/>
      <c r="S34" s="4"/>
      <c r="T34" s="4" t="s">
        <v>60</v>
      </c>
      <c r="U34" s="4">
        <v>60</v>
      </c>
    </row>
    <row r="35" spans="11:21" x14ac:dyDescent="0.15">
      <c r="K35" s="4"/>
      <c r="L35" s="4"/>
      <c r="M35" s="4"/>
      <c r="N35" s="4"/>
      <c r="O35" s="4"/>
      <c r="P35" s="4"/>
      <c r="Q35" s="4"/>
      <c r="R35" s="4"/>
      <c r="S35" s="4"/>
      <c r="T35" s="2" t="s">
        <v>18</v>
      </c>
      <c r="U35" s="2">
        <v>58</v>
      </c>
    </row>
    <row r="36" spans="11:21" x14ac:dyDescent="0.15">
      <c r="K36" s="4"/>
      <c r="L36" s="4"/>
      <c r="M36" s="4"/>
      <c r="N36" s="4"/>
      <c r="O36" s="4"/>
      <c r="P36" s="4"/>
      <c r="Q36" s="4"/>
      <c r="R36" s="4"/>
      <c r="S36" s="4"/>
      <c r="T36" s="4" t="s">
        <v>61</v>
      </c>
      <c r="U36" s="4">
        <v>70</v>
      </c>
    </row>
    <row r="37" spans="11:21" x14ac:dyDescent="0.15">
      <c r="K37" s="4"/>
      <c r="L37" s="4"/>
      <c r="M37" s="4"/>
      <c r="N37" s="4"/>
      <c r="O37" s="4"/>
      <c r="P37" s="4"/>
      <c r="Q37" s="4"/>
      <c r="R37" s="4"/>
      <c r="S37" s="4"/>
      <c r="T37" s="4" t="s">
        <v>61</v>
      </c>
      <c r="U37" s="4">
        <v>80</v>
      </c>
    </row>
    <row r="38" spans="11:21" x14ac:dyDescent="0.15">
      <c r="K38" s="4"/>
      <c r="L38" s="4"/>
      <c r="M38" s="4"/>
      <c r="N38" s="4"/>
      <c r="O38" s="4"/>
      <c r="P38" s="4"/>
      <c r="Q38" s="4"/>
      <c r="R38" s="4"/>
      <c r="S38" s="4"/>
      <c r="T38" s="4" t="s">
        <v>61</v>
      </c>
      <c r="U38" s="4">
        <v>90</v>
      </c>
    </row>
    <row r="39" spans="11:21" x14ac:dyDescent="0.15">
      <c r="K39" s="4"/>
      <c r="L39" s="4"/>
      <c r="M39" s="4"/>
      <c r="N39" s="4"/>
      <c r="O39" s="4"/>
      <c r="P39" s="4"/>
      <c r="Q39" s="4"/>
      <c r="R39" s="4"/>
      <c r="S39" s="4"/>
      <c r="T39" s="4" t="s">
        <v>61</v>
      </c>
      <c r="U39" s="4">
        <v>100</v>
      </c>
    </row>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
  <dimension ref="A3:AF104"/>
  <sheetViews>
    <sheetView topLeftCell="G1" workbookViewId="0">
      <selection activeCell="S38" sqref="S38"/>
    </sheetView>
  </sheetViews>
  <sheetFormatPr defaultRowHeight="11.25" x14ac:dyDescent="0.15"/>
  <cols>
    <col min="1" max="25" width="9" style="9"/>
    <col min="26" max="26" width="9" style="10"/>
    <col min="27" max="16384" width="9" style="9"/>
  </cols>
  <sheetData>
    <row r="3" spans="2:32" x14ac:dyDescent="0.15">
      <c r="AB3" s="59" t="s">
        <v>136</v>
      </c>
      <c r="AC3" s="59"/>
      <c r="AD3" s="59"/>
      <c r="AE3" s="59"/>
      <c r="AF3" s="59"/>
    </row>
    <row r="4" spans="2:32" x14ac:dyDescent="0.15">
      <c r="AA4" s="9" t="s">
        <v>119</v>
      </c>
      <c r="AB4" s="9" t="s">
        <v>115</v>
      </c>
      <c r="AC4" s="9" t="s">
        <v>116</v>
      </c>
      <c r="AD4" s="9" t="s">
        <v>110</v>
      </c>
      <c r="AE4" s="9" t="s">
        <v>118</v>
      </c>
      <c r="AF4" s="9" t="s">
        <v>111</v>
      </c>
    </row>
    <row r="5" spans="2:32" x14ac:dyDescent="0.15">
      <c r="AA5" s="9">
        <v>1</v>
      </c>
      <c r="AB5" s="9">
        <f>求节点($Q$8:$Q$14,S$8:S$14,$AA5)</f>
        <v>0.12000000000000011</v>
      </c>
      <c r="AC5" s="20">
        <f>求节点($Q$8:$Q$14,T$8:T$14,$AA5)</f>
        <v>4.0000000000000036E-2</v>
      </c>
      <c r="AD5" s="20">
        <f>求节点($Q$8:$Q$14,U$8:U$14,$AA5)</f>
        <v>0</v>
      </c>
      <c r="AE5" s="20">
        <f>求节点($Q$8:$Q$14,V$8:V$14,$AA5)</f>
        <v>0</v>
      </c>
      <c r="AF5" s="20">
        <f>求节点($Q$8:$Q$14,W$8:W$14,$AA5)</f>
        <v>0</v>
      </c>
    </row>
    <row r="6" spans="2:32" x14ac:dyDescent="0.15">
      <c r="C6" s="9" t="s">
        <v>108</v>
      </c>
      <c r="J6" s="13"/>
      <c r="K6" s="13"/>
      <c r="L6" s="67" t="s">
        <v>145</v>
      </c>
      <c r="M6" s="67"/>
      <c r="N6" s="13"/>
      <c r="O6" s="67" t="s">
        <v>146</v>
      </c>
      <c r="P6" s="67"/>
      <c r="Q6" s="13" t="s">
        <v>149</v>
      </c>
      <c r="R6" s="13"/>
      <c r="S6" s="67" t="s">
        <v>147</v>
      </c>
      <c r="T6" s="67"/>
      <c r="U6" s="67"/>
      <c r="V6" s="67"/>
      <c r="W6" s="67"/>
      <c r="X6" s="67" t="s">
        <v>148</v>
      </c>
      <c r="Y6" s="67"/>
      <c r="AA6" s="9">
        <v>2</v>
      </c>
      <c r="AB6" s="20">
        <f t="shared" ref="AB6:AB69" si="0">求节点($Q$8:$Q$14,S$8:S$14,$AA6)</f>
        <v>0.24000000000000021</v>
      </c>
      <c r="AC6" s="20">
        <f t="shared" ref="AC6:AC69" si="1">求节点($Q$8:$Q$14,T$8:T$14,$AA6)</f>
        <v>7.999999999999996E-2</v>
      </c>
      <c r="AD6" s="20">
        <f t="shared" ref="AD6:AD69" si="2">求节点($Q$8:$Q$14,U$8:U$14,$AA6)</f>
        <v>0</v>
      </c>
      <c r="AE6" s="20">
        <f t="shared" ref="AE6:AE69" si="3">求节点($Q$8:$Q$14,V$8:V$14,$AA6)</f>
        <v>0</v>
      </c>
      <c r="AF6" s="20">
        <f t="shared" ref="AF6:AF69" si="4">求节点($Q$8:$Q$14,W$8:W$14,$AA6)</f>
        <v>0</v>
      </c>
    </row>
    <row r="7" spans="2:32" x14ac:dyDescent="0.15">
      <c r="J7" s="13" t="s">
        <v>130</v>
      </c>
      <c r="K7" s="13" t="s">
        <v>129</v>
      </c>
      <c r="L7" s="13" t="s">
        <v>127</v>
      </c>
      <c r="M7" s="13" t="s">
        <v>128</v>
      </c>
      <c r="N7" s="13" t="s">
        <v>129</v>
      </c>
      <c r="O7" s="13" t="s">
        <v>127</v>
      </c>
      <c r="P7" s="13" t="s">
        <v>128</v>
      </c>
      <c r="Q7" s="13" t="s">
        <v>122</v>
      </c>
      <c r="R7" s="13" t="s">
        <v>121</v>
      </c>
      <c r="S7" s="13" t="s">
        <v>115</v>
      </c>
      <c r="T7" s="13" t="s">
        <v>116</v>
      </c>
      <c r="U7" s="13" t="s">
        <v>110</v>
      </c>
      <c r="V7" s="13" t="s">
        <v>118</v>
      </c>
      <c r="W7" s="13" t="s">
        <v>111</v>
      </c>
      <c r="X7" s="13" t="s">
        <v>134</v>
      </c>
      <c r="Y7" s="13" t="s">
        <v>135</v>
      </c>
      <c r="AA7" s="9">
        <v>3</v>
      </c>
      <c r="AB7" s="20">
        <f t="shared" si="0"/>
        <v>0.36000000000000032</v>
      </c>
      <c r="AC7" s="20">
        <f t="shared" si="1"/>
        <v>0.12</v>
      </c>
      <c r="AD7" s="20">
        <f t="shared" si="2"/>
        <v>0</v>
      </c>
      <c r="AE7" s="20">
        <f t="shared" si="3"/>
        <v>0</v>
      </c>
      <c r="AF7" s="20">
        <f t="shared" si="4"/>
        <v>0</v>
      </c>
    </row>
    <row r="8" spans="2:32" x14ac:dyDescent="0.15">
      <c r="J8" s="13" t="s">
        <v>124</v>
      </c>
      <c r="K8" s="13" t="s">
        <v>110</v>
      </c>
      <c r="L8" s="13">
        <v>1</v>
      </c>
      <c r="M8" s="13">
        <v>0</v>
      </c>
      <c r="N8" s="13" t="s">
        <v>111</v>
      </c>
      <c r="O8" s="13">
        <v>0</v>
      </c>
      <c r="P8" s="13">
        <v>0</v>
      </c>
      <c r="Q8" s="13">
        <v>25</v>
      </c>
      <c r="R8" s="13">
        <f>INDEX(节奏总纲!$P:$P,MATCH(Q8,节奏总纲!$O:$O,0))</f>
        <v>4.6568542494923806</v>
      </c>
      <c r="S8" s="13">
        <f t="shared" ref="S8:S14" si="5">L8*C$32</f>
        <v>3</v>
      </c>
      <c r="T8" s="13">
        <f t="shared" ref="T8:T14" si="6">L8*D$32+M8*D$33</f>
        <v>1</v>
      </c>
      <c r="U8" s="13">
        <f t="shared" ref="U8:U14" si="7">M8*E$33+O8*E$34</f>
        <v>0</v>
      </c>
      <c r="V8" s="13">
        <f t="shared" ref="V8:V14" si="8">O8*$F$34+P8*$F$35</f>
        <v>0</v>
      </c>
      <c r="W8" s="13">
        <f t="shared" ref="W8:W14" si="9">P8*$G$35</f>
        <v>0</v>
      </c>
      <c r="X8" s="13">
        <f t="shared" ref="X8:X14" si="10">M8*$H$33</f>
        <v>0</v>
      </c>
      <c r="Y8" s="13">
        <f t="shared" ref="Y8:Y14" si="11">P8*$I$35</f>
        <v>0</v>
      </c>
      <c r="AA8" s="9">
        <v>4</v>
      </c>
      <c r="AB8" s="20">
        <f t="shared" si="0"/>
        <v>0.48</v>
      </c>
      <c r="AC8" s="20">
        <f t="shared" si="1"/>
        <v>0.16000000000000003</v>
      </c>
      <c r="AD8" s="20">
        <f t="shared" si="2"/>
        <v>0</v>
      </c>
      <c r="AE8" s="20">
        <f t="shared" si="3"/>
        <v>0</v>
      </c>
      <c r="AF8" s="20">
        <f t="shared" si="4"/>
        <v>0</v>
      </c>
    </row>
    <row r="9" spans="2:32" x14ac:dyDescent="0.15">
      <c r="D9" s="9" t="s">
        <v>109</v>
      </c>
      <c r="E9" s="9" t="s">
        <v>112</v>
      </c>
      <c r="J9" s="13" t="s">
        <v>123</v>
      </c>
      <c r="K9" s="13" t="s">
        <v>110</v>
      </c>
      <c r="L9" s="13">
        <v>3</v>
      </c>
      <c r="M9" s="13">
        <v>0</v>
      </c>
      <c r="N9" s="13" t="s">
        <v>111</v>
      </c>
      <c r="O9" s="13">
        <v>0</v>
      </c>
      <c r="P9" s="13">
        <v>0</v>
      </c>
      <c r="Q9" s="13">
        <v>34</v>
      </c>
      <c r="R9" s="13">
        <f>INDEX(节奏总纲!$P:$P,MATCH(Q9,节奏总纲!$O:$O,0))</f>
        <v>9.5560632861831518</v>
      </c>
      <c r="S9" s="13">
        <f t="shared" si="5"/>
        <v>9</v>
      </c>
      <c r="T9" s="13">
        <f t="shared" si="6"/>
        <v>3</v>
      </c>
      <c r="U9" s="13">
        <f t="shared" si="7"/>
        <v>0</v>
      </c>
      <c r="V9" s="13">
        <f t="shared" si="8"/>
        <v>0</v>
      </c>
      <c r="W9" s="13">
        <f t="shared" si="9"/>
        <v>0</v>
      </c>
      <c r="X9" s="13">
        <f t="shared" si="10"/>
        <v>0</v>
      </c>
      <c r="Y9" s="13">
        <f t="shared" si="11"/>
        <v>0</v>
      </c>
      <c r="AA9" s="9">
        <v>5</v>
      </c>
      <c r="AB9" s="20">
        <f t="shared" si="0"/>
        <v>0.60000000000000009</v>
      </c>
      <c r="AC9" s="20">
        <f t="shared" si="1"/>
        <v>0.19999999999999996</v>
      </c>
      <c r="AD9" s="20">
        <f t="shared" si="2"/>
        <v>0</v>
      </c>
      <c r="AE9" s="20">
        <f t="shared" si="3"/>
        <v>0</v>
      </c>
      <c r="AF9" s="20">
        <f t="shared" si="4"/>
        <v>0</v>
      </c>
    </row>
    <row r="10" spans="2:32" x14ac:dyDescent="0.15">
      <c r="J10" s="13" t="s">
        <v>125</v>
      </c>
      <c r="K10" s="13" t="s">
        <v>110</v>
      </c>
      <c r="L10" s="13">
        <v>5</v>
      </c>
      <c r="M10" s="13">
        <v>1</v>
      </c>
      <c r="N10" s="13" t="s">
        <v>111</v>
      </c>
      <c r="O10" s="13">
        <v>0</v>
      </c>
      <c r="P10" s="13">
        <v>0</v>
      </c>
      <c r="Q10" s="13">
        <v>40</v>
      </c>
      <c r="R10" s="13">
        <f>INDEX(节奏总纲!$P:$P,MATCH(Q10,节奏总纲!$O:$O,0))</f>
        <v>15</v>
      </c>
      <c r="S10" s="13">
        <f t="shared" si="5"/>
        <v>15</v>
      </c>
      <c r="T10" s="13">
        <f t="shared" si="6"/>
        <v>10</v>
      </c>
      <c r="U10" s="13">
        <f t="shared" si="7"/>
        <v>3</v>
      </c>
      <c r="V10" s="13">
        <f t="shared" si="8"/>
        <v>0</v>
      </c>
      <c r="W10" s="13">
        <f t="shared" si="9"/>
        <v>0</v>
      </c>
      <c r="X10" s="13">
        <f t="shared" si="10"/>
        <v>4</v>
      </c>
      <c r="Y10" s="13">
        <f t="shared" si="11"/>
        <v>0</v>
      </c>
      <c r="AA10" s="9">
        <v>6</v>
      </c>
      <c r="AB10" s="20">
        <f t="shared" si="0"/>
        <v>0.7200000000000002</v>
      </c>
      <c r="AC10" s="20">
        <f t="shared" si="1"/>
        <v>0.24</v>
      </c>
      <c r="AD10" s="20">
        <f t="shared" si="2"/>
        <v>0</v>
      </c>
      <c r="AE10" s="20">
        <f t="shared" si="3"/>
        <v>0</v>
      </c>
      <c r="AF10" s="20">
        <f t="shared" si="4"/>
        <v>0</v>
      </c>
    </row>
    <row r="11" spans="2:32" x14ac:dyDescent="0.15">
      <c r="J11" s="13" t="s">
        <v>126</v>
      </c>
      <c r="K11" s="13" t="s">
        <v>110</v>
      </c>
      <c r="L11" s="13">
        <v>6</v>
      </c>
      <c r="M11" s="13">
        <v>3</v>
      </c>
      <c r="N11" s="13" t="s">
        <v>111</v>
      </c>
      <c r="O11" s="13">
        <v>0</v>
      </c>
      <c r="P11" s="13">
        <v>0</v>
      </c>
      <c r="Q11" s="13">
        <v>48</v>
      </c>
      <c r="R11" s="13">
        <f>INDEX(节奏总纲!$P:$P,MATCH(Q11,节奏总纲!$O:$O,0))</f>
        <v>26.857618025475972</v>
      </c>
      <c r="S11" s="13">
        <f t="shared" si="5"/>
        <v>18</v>
      </c>
      <c r="T11" s="13">
        <f t="shared" si="6"/>
        <v>21</v>
      </c>
      <c r="U11" s="13">
        <f t="shared" si="7"/>
        <v>9</v>
      </c>
      <c r="V11" s="13">
        <f t="shared" si="8"/>
        <v>0</v>
      </c>
      <c r="W11" s="13">
        <f t="shared" si="9"/>
        <v>0</v>
      </c>
      <c r="X11" s="13">
        <f t="shared" si="10"/>
        <v>12</v>
      </c>
      <c r="Y11" s="13">
        <f t="shared" si="11"/>
        <v>0</v>
      </c>
      <c r="AA11" s="9">
        <v>7</v>
      </c>
      <c r="AB11" s="20">
        <f t="shared" si="0"/>
        <v>0.83999999999999986</v>
      </c>
      <c r="AC11" s="20">
        <f t="shared" si="1"/>
        <v>0.28000000000000003</v>
      </c>
      <c r="AD11" s="20">
        <f t="shared" si="2"/>
        <v>0</v>
      </c>
      <c r="AE11" s="20">
        <f t="shared" si="3"/>
        <v>0</v>
      </c>
      <c r="AF11" s="20">
        <f t="shared" si="4"/>
        <v>0</v>
      </c>
    </row>
    <row r="12" spans="2:32" x14ac:dyDescent="0.15">
      <c r="B12" s="9" t="s">
        <v>113</v>
      </c>
      <c r="C12" s="9" t="s">
        <v>110</v>
      </c>
      <c r="J12" s="13" t="s">
        <v>133</v>
      </c>
      <c r="K12" s="13" t="s">
        <v>110</v>
      </c>
      <c r="L12" s="13">
        <v>5</v>
      </c>
      <c r="M12" s="13">
        <v>5</v>
      </c>
      <c r="N12" s="13" t="s">
        <v>111</v>
      </c>
      <c r="O12" s="13">
        <v>0</v>
      </c>
      <c r="P12" s="13">
        <v>0</v>
      </c>
      <c r="Q12" s="13">
        <v>53</v>
      </c>
      <c r="R12" s="13">
        <f>INDEX(节奏总纲!$P:$P,MATCH(Q12,节奏总纲!$O:$O,0))</f>
        <v>38.396621227037308</v>
      </c>
      <c r="S12" s="13">
        <f t="shared" si="5"/>
        <v>15</v>
      </c>
      <c r="T12" s="13">
        <f t="shared" si="6"/>
        <v>30</v>
      </c>
      <c r="U12" s="13">
        <f t="shared" si="7"/>
        <v>15</v>
      </c>
      <c r="V12" s="13">
        <f t="shared" si="8"/>
        <v>0</v>
      </c>
      <c r="W12" s="13">
        <f t="shared" si="9"/>
        <v>0</v>
      </c>
      <c r="X12" s="13">
        <f t="shared" si="10"/>
        <v>20</v>
      </c>
      <c r="Y12" s="13">
        <f t="shared" si="11"/>
        <v>0</v>
      </c>
      <c r="AA12" s="9">
        <v>8</v>
      </c>
      <c r="AB12" s="20">
        <f t="shared" si="0"/>
        <v>0.96</v>
      </c>
      <c r="AC12" s="20">
        <f t="shared" si="1"/>
        <v>0.31999999999999995</v>
      </c>
      <c r="AD12" s="20">
        <f t="shared" si="2"/>
        <v>0</v>
      </c>
      <c r="AE12" s="20">
        <f t="shared" si="3"/>
        <v>0</v>
      </c>
      <c r="AF12" s="20">
        <f t="shared" si="4"/>
        <v>0</v>
      </c>
    </row>
    <row r="13" spans="2:32" x14ac:dyDescent="0.15">
      <c r="C13" s="9" t="s">
        <v>111</v>
      </c>
      <c r="J13" s="13" t="s">
        <v>137</v>
      </c>
      <c r="K13" s="13" t="s">
        <v>110</v>
      </c>
      <c r="L13" s="13">
        <v>6</v>
      </c>
      <c r="M13" s="13">
        <v>6</v>
      </c>
      <c r="N13" s="13" t="s">
        <v>111</v>
      </c>
      <c r="O13" s="13">
        <v>1</v>
      </c>
      <c r="P13" s="13">
        <v>0</v>
      </c>
      <c r="Q13" s="13">
        <v>68</v>
      </c>
      <c r="R13" s="13">
        <f>INDEX(节奏总纲!$P:$P,MATCH(Q13,节奏总纲!$O:$O,0))</f>
        <v>110.43047210190386</v>
      </c>
      <c r="S13" s="13">
        <f t="shared" si="5"/>
        <v>18</v>
      </c>
      <c r="T13" s="13">
        <f t="shared" si="6"/>
        <v>36</v>
      </c>
      <c r="U13" s="13">
        <f t="shared" si="7"/>
        <v>28</v>
      </c>
      <c r="V13" s="13">
        <f t="shared" si="8"/>
        <v>5</v>
      </c>
      <c r="W13" s="13">
        <f t="shared" si="9"/>
        <v>0</v>
      </c>
      <c r="X13" s="13">
        <f t="shared" si="10"/>
        <v>24</v>
      </c>
      <c r="Y13" s="13">
        <f t="shared" si="11"/>
        <v>0</v>
      </c>
      <c r="AA13" s="9">
        <v>9</v>
      </c>
      <c r="AB13" s="20">
        <f t="shared" si="0"/>
        <v>1.08</v>
      </c>
      <c r="AC13" s="20">
        <f t="shared" si="1"/>
        <v>0.36</v>
      </c>
      <c r="AD13" s="20">
        <f t="shared" si="2"/>
        <v>0</v>
      </c>
      <c r="AE13" s="20">
        <f t="shared" si="3"/>
        <v>0</v>
      </c>
      <c r="AF13" s="20">
        <f t="shared" si="4"/>
        <v>0</v>
      </c>
    </row>
    <row r="14" spans="2:32" x14ac:dyDescent="0.15">
      <c r="J14" s="13" t="s">
        <v>138</v>
      </c>
      <c r="K14" s="13" t="s">
        <v>110</v>
      </c>
      <c r="L14" s="13">
        <v>11</v>
      </c>
      <c r="M14" s="13">
        <v>11</v>
      </c>
      <c r="N14" s="13" t="s">
        <v>111</v>
      </c>
      <c r="O14" s="13">
        <v>1</v>
      </c>
      <c r="P14" s="13">
        <v>1</v>
      </c>
      <c r="Q14" s="13">
        <v>84</v>
      </c>
      <c r="R14" s="13">
        <f>INDEX(节奏总纲!$P:$P,MATCH(Q14,节奏总纲!$O:$O,0))</f>
        <v>336.79402515786086</v>
      </c>
      <c r="S14" s="13">
        <f t="shared" si="5"/>
        <v>33</v>
      </c>
      <c r="T14" s="13">
        <f t="shared" si="6"/>
        <v>66</v>
      </c>
      <c r="U14" s="13">
        <f t="shared" si="7"/>
        <v>43</v>
      </c>
      <c r="V14" s="13">
        <f t="shared" si="8"/>
        <v>25</v>
      </c>
      <c r="W14" s="13">
        <f t="shared" si="9"/>
        <v>7</v>
      </c>
      <c r="X14" s="13">
        <f t="shared" si="10"/>
        <v>44</v>
      </c>
      <c r="Y14" s="13">
        <f t="shared" si="11"/>
        <v>4</v>
      </c>
      <c r="AA14" s="9">
        <v>10</v>
      </c>
      <c r="AB14" s="20">
        <f t="shared" si="0"/>
        <v>1.2000000000000002</v>
      </c>
      <c r="AC14" s="20">
        <f t="shared" si="1"/>
        <v>0.4</v>
      </c>
      <c r="AD14" s="20">
        <f t="shared" si="2"/>
        <v>0</v>
      </c>
      <c r="AE14" s="20">
        <f t="shared" si="3"/>
        <v>0</v>
      </c>
      <c r="AF14" s="20">
        <f t="shared" si="4"/>
        <v>0</v>
      </c>
    </row>
    <row r="15" spans="2:32" x14ac:dyDescent="0.15">
      <c r="B15" s="9" t="s">
        <v>120</v>
      </c>
      <c r="C15" s="9">
        <v>6</v>
      </c>
      <c r="AA15" s="9">
        <v>11</v>
      </c>
      <c r="AB15" s="20">
        <f t="shared" si="0"/>
        <v>1.32</v>
      </c>
      <c r="AC15" s="20">
        <f t="shared" si="1"/>
        <v>0.43999999999999995</v>
      </c>
      <c r="AD15" s="20">
        <f t="shared" si="2"/>
        <v>0</v>
      </c>
      <c r="AE15" s="20">
        <f t="shared" si="3"/>
        <v>0</v>
      </c>
      <c r="AF15" s="20">
        <f t="shared" si="4"/>
        <v>0</v>
      </c>
    </row>
    <row r="16" spans="2:32" x14ac:dyDescent="0.15">
      <c r="AA16" s="9">
        <v>12</v>
      </c>
      <c r="AB16" s="20">
        <f t="shared" si="0"/>
        <v>1.44</v>
      </c>
      <c r="AC16" s="20">
        <f t="shared" si="1"/>
        <v>0.48</v>
      </c>
      <c r="AD16" s="20">
        <f t="shared" si="2"/>
        <v>0</v>
      </c>
      <c r="AE16" s="20">
        <f t="shared" si="3"/>
        <v>0</v>
      </c>
      <c r="AF16" s="20">
        <f t="shared" si="4"/>
        <v>0</v>
      </c>
    </row>
    <row r="17" spans="1:32" x14ac:dyDescent="0.15">
      <c r="AA17" s="9">
        <v>13</v>
      </c>
      <c r="AB17" s="20">
        <f t="shared" si="0"/>
        <v>1.56</v>
      </c>
      <c r="AC17" s="20">
        <f t="shared" si="1"/>
        <v>0.52</v>
      </c>
      <c r="AD17" s="20">
        <f t="shared" si="2"/>
        <v>0</v>
      </c>
      <c r="AE17" s="20">
        <f t="shared" si="3"/>
        <v>0</v>
      </c>
      <c r="AF17" s="20">
        <f t="shared" si="4"/>
        <v>0</v>
      </c>
    </row>
    <row r="18" spans="1:32" x14ac:dyDescent="0.15">
      <c r="AA18" s="9">
        <v>14</v>
      </c>
      <c r="AB18" s="20">
        <f t="shared" si="0"/>
        <v>1.6800000000000002</v>
      </c>
      <c r="AC18" s="20">
        <f t="shared" si="1"/>
        <v>0.56000000000000005</v>
      </c>
      <c r="AD18" s="20">
        <f t="shared" si="2"/>
        <v>0</v>
      </c>
      <c r="AE18" s="20">
        <f t="shared" si="3"/>
        <v>0</v>
      </c>
      <c r="AF18" s="20">
        <f t="shared" si="4"/>
        <v>0</v>
      </c>
    </row>
    <row r="19" spans="1:32" x14ac:dyDescent="0.15">
      <c r="AA19" s="9">
        <v>15</v>
      </c>
      <c r="AB19" s="20">
        <f t="shared" si="0"/>
        <v>1.8</v>
      </c>
      <c r="AC19" s="20">
        <f t="shared" si="1"/>
        <v>0.6</v>
      </c>
      <c r="AD19" s="20">
        <f t="shared" si="2"/>
        <v>0</v>
      </c>
      <c r="AE19" s="20">
        <f t="shared" si="3"/>
        <v>0</v>
      </c>
      <c r="AF19" s="20">
        <f t="shared" si="4"/>
        <v>0</v>
      </c>
    </row>
    <row r="20" spans="1:32" x14ac:dyDescent="0.15">
      <c r="AA20" s="9">
        <v>16</v>
      </c>
      <c r="AB20" s="20">
        <f t="shared" si="0"/>
        <v>1.92</v>
      </c>
      <c r="AC20" s="20">
        <f t="shared" si="1"/>
        <v>0.64</v>
      </c>
      <c r="AD20" s="20">
        <f t="shared" si="2"/>
        <v>0</v>
      </c>
      <c r="AE20" s="20">
        <f t="shared" si="3"/>
        <v>0</v>
      </c>
      <c r="AF20" s="20">
        <f t="shared" si="4"/>
        <v>0</v>
      </c>
    </row>
    <row r="21" spans="1:32" x14ac:dyDescent="0.15">
      <c r="AA21" s="9">
        <v>17</v>
      </c>
      <c r="AB21" s="20">
        <f t="shared" si="0"/>
        <v>2.04</v>
      </c>
      <c r="AC21" s="20">
        <f t="shared" si="1"/>
        <v>0.67999999999999994</v>
      </c>
      <c r="AD21" s="20">
        <f t="shared" si="2"/>
        <v>0</v>
      </c>
      <c r="AE21" s="20">
        <f t="shared" si="3"/>
        <v>0</v>
      </c>
      <c r="AF21" s="20">
        <f t="shared" si="4"/>
        <v>0</v>
      </c>
    </row>
    <row r="22" spans="1:32" x14ac:dyDescent="0.15">
      <c r="AA22" s="9">
        <v>18</v>
      </c>
      <c r="AB22" s="20">
        <f t="shared" si="0"/>
        <v>2.16</v>
      </c>
      <c r="AC22" s="20">
        <f t="shared" si="1"/>
        <v>0.72</v>
      </c>
      <c r="AD22" s="20">
        <f t="shared" si="2"/>
        <v>0</v>
      </c>
      <c r="AE22" s="20">
        <f t="shared" si="3"/>
        <v>0</v>
      </c>
      <c r="AF22" s="20">
        <f t="shared" si="4"/>
        <v>0</v>
      </c>
    </row>
    <row r="23" spans="1:32" x14ac:dyDescent="0.15">
      <c r="AA23" s="9">
        <v>19</v>
      </c>
      <c r="AB23" s="20">
        <f t="shared" si="0"/>
        <v>2.2800000000000002</v>
      </c>
      <c r="AC23" s="20">
        <f t="shared" si="1"/>
        <v>0.76</v>
      </c>
      <c r="AD23" s="20">
        <f t="shared" si="2"/>
        <v>0</v>
      </c>
      <c r="AE23" s="20">
        <f t="shared" si="3"/>
        <v>0</v>
      </c>
      <c r="AF23" s="20">
        <f t="shared" si="4"/>
        <v>0</v>
      </c>
    </row>
    <row r="24" spans="1:32" x14ac:dyDescent="0.15">
      <c r="AA24" s="9">
        <v>20</v>
      </c>
      <c r="AB24" s="20">
        <f t="shared" si="0"/>
        <v>2.4</v>
      </c>
      <c r="AC24" s="20">
        <f t="shared" si="1"/>
        <v>0.8</v>
      </c>
      <c r="AD24" s="20">
        <f t="shared" si="2"/>
        <v>0</v>
      </c>
      <c r="AE24" s="20">
        <f t="shared" si="3"/>
        <v>0</v>
      </c>
      <c r="AF24" s="20">
        <f t="shared" si="4"/>
        <v>0</v>
      </c>
    </row>
    <row r="25" spans="1:32" x14ac:dyDescent="0.15">
      <c r="B25" s="13" t="s">
        <v>143</v>
      </c>
      <c r="C25" s="67" t="s">
        <v>144</v>
      </c>
      <c r="D25" s="67"/>
      <c r="E25" s="13" t="s">
        <v>119</v>
      </c>
      <c r="F25" s="67" t="s">
        <v>142</v>
      </c>
      <c r="G25" s="67"/>
      <c r="AA25" s="9">
        <v>21</v>
      </c>
      <c r="AB25" s="20">
        <f t="shared" si="0"/>
        <v>2.52</v>
      </c>
      <c r="AC25" s="20">
        <f t="shared" si="1"/>
        <v>0.84</v>
      </c>
      <c r="AD25" s="20">
        <f t="shared" si="2"/>
        <v>0</v>
      </c>
      <c r="AE25" s="20">
        <f t="shared" si="3"/>
        <v>0</v>
      </c>
      <c r="AF25" s="20">
        <f t="shared" si="4"/>
        <v>0</v>
      </c>
    </row>
    <row r="26" spans="1:32" x14ac:dyDescent="0.15">
      <c r="B26" s="13" t="s">
        <v>114</v>
      </c>
      <c r="C26" s="13" t="s">
        <v>115</v>
      </c>
      <c r="D26" s="13" t="s">
        <v>116</v>
      </c>
      <c r="E26" s="13">
        <v>25</v>
      </c>
      <c r="F26" s="13">
        <v>3</v>
      </c>
      <c r="G26" s="13">
        <v>1</v>
      </c>
      <c r="AA26" s="9">
        <v>22</v>
      </c>
      <c r="AB26" s="20">
        <f t="shared" si="0"/>
        <v>2.64</v>
      </c>
      <c r="AC26" s="20">
        <f t="shared" si="1"/>
        <v>0.88</v>
      </c>
      <c r="AD26" s="20">
        <f t="shared" si="2"/>
        <v>0</v>
      </c>
      <c r="AE26" s="20">
        <f t="shared" si="3"/>
        <v>0</v>
      </c>
      <c r="AF26" s="20">
        <f t="shared" si="4"/>
        <v>0</v>
      </c>
    </row>
    <row r="27" spans="1:32" x14ac:dyDescent="0.15">
      <c r="B27" s="13"/>
      <c r="C27" s="13" t="s">
        <v>116</v>
      </c>
      <c r="D27" s="13" t="s">
        <v>110</v>
      </c>
      <c r="E27" s="13">
        <v>40</v>
      </c>
      <c r="F27" s="13">
        <v>5</v>
      </c>
      <c r="G27" s="13">
        <v>3</v>
      </c>
      <c r="AA27" s="9">
        <v>23</v>
      </c>
      <c r="AB27" s="20">
        <f t="shared" si="0"/>
        <v>2.76</v>
      </c>
      <c r="AC27" s="20">
        <f t="shared" si="1"/>
        <v>0.92</v>
      </c>
      <c r="AD27" s="20">
        <f t="shared" si="2"/>
        <v>0</v>
      </c>
      <c r="AE27" s="20">
        <f t="shared" si="3"/>
        <v>0</v>
      </c>
      <c r="AF27" s="20">
        <f t="shared" si="4"/>
        <v>0</v>
      </c>
    </row>
    <row r="28" spans="1:32" x14ac:dyDescent="0.15">
      <c r="B28" s="13" t="s">
        <v>117</v>
      </c>
      <c r="C28" s="13" t="s">
        <v>110</v>
      </c>
      <c r="D28" s="13" t="s">
        <v>118</v>
      </c>
      <c r="E28" s="13">
        <v>60</v>
      </c>
      <c r="F28" s="13">
        <v>10</v>
      </c>
      <c r="G28" s="13">
        <v>5</v>
      </c>
      <c r="AA28" s="9">
        <v>24</v>
      </c>
      <c r="AB28" s="20">
        <f t="shared" si="0"/>
        <v>2.88</v>
      </c>
      <c r="AC28" s="20">
        <f t="shared" si="1"/>
        <v>0.96</v>
      </c>
      <c r="AD28" s="20">
        <f t="shared" si="2"/>
        <v>0</v>
      </c>
      <c r="AE28" s="20">
        <f t="shared" si="3"/>
        <v>0</v>
      </c>
      <c r="AF28" s="20">
        <f t="shared" si="4"/>
        <v>0</v>
      </c>
    </row>
    <row r="29" spans="1:32" x14ac:dyDescent="0.15">
      <c r="B29" s="13"/>
      <c r="C29" s="13" t="s">
        <v>118</v>
      </c>
      <c r="D29" s="13" t="s">
        <v>111</v>
      </c>
      <c r="E29" s="13">
        <v>75</v>
      </c>
      <c r="F29" s="13">
        <v>20</v>
      </c>
      <c r="G29" s="13">
        <v>7</v>
      </c>
      <c r="AA29" s="9">
        <v>25</v>
      </c>
      <c r="AB29" s="20">
        <f t="shared" si="0"/>
        <v>3</v>
      </c>
      <c r="AC29" s="20">
        <f t="shared" si="1"/>
        <v>1</v>
      </c>
      <c r="AD29" s="20">
        <f t="shared" si="2"/>
        <v>0</v>
      </c>
      <c r="AE29" s="20">
        <f t="shared" si="3"/>
        <v>0</v>
      </c>
      <c r="AF29" s="20">
        <f t="shared" si="4"/>
        <v>0</v>
      </c>
    </row>
    <row r="30" spans="1:32" x14ac:dyDescent="0.15">
      <c r="AA30" s="9">
        <v>26</v>
      </c>
      <c r="AB30" s="20">
        <f t="shared" si="0"/>
        <v>3.6666666666666665</v>
      </c>
      <c r="AC30" s="20">
        <f t="shared" si="1"/>
        <v>1.2222222222222223</v>
      </c>
      <c r="AD30" s="20">
        <f t="shared" si="2"/>
        <v>0</v>
      </c>
      <c r="AE30" s="20">
        <f t="shared" si="3"/>
        <v>0</v>
      </c>
      <c r="AF30" s="20">
        <f t="shared" si="4"/>
        <v>0</v>
      </c>
    </row>
    <row r="31" spans="1:32" x14ac:dyDescent="0.15">
      <c r="A31" s="13" t="s">
        <v>132</v>
      </c>
      <c r="B31" s="13" t="s">
        <v>131</v>
      </c>
      <c r="C31" s="13" t="s">
        <v>115</v>
      </c>
      <c r="D31" s="13" t="s">
        <v>116</v>
      </c>
      <c r="E31" s="13" t="s">
        <v>110</v>
      </c>
      <c r="F31" s="13" t="s">
        <v>118</v>
      </c>
      <c r="G31" s="13" t="s">
        <v>111</v>
      </c>
      <c r="H31" s="13" t="s">
        <v>134</v>
      </c>
      <c r="I31" s="13" t="s">
        <v>135</v>
      </c>
      <c r="AA31" s="9">
        <v>27</v>
      </c>
      <c r="AB31" s="20">
        <f t="shared" si="0"/>
        <v>4.333333333333333</v>
      </c>
      <c r="AC31" s="20">
        <f t="shared" si="1"/>
        <v>1.4444444444444444</v>
      </c>
      <c r="AD31" s="20">
        <f t="shared" si="2"/>
        <v>0</v>
      </c>
      <c r="AE31" s="20">
        <f t="shared" si="3"/>
        <v>0</v>
      </c>
      <c r="AF31" s="20">
        <f t="shared" si="4"/>
        <v>0</v>
      </c>
    </row>
    <row r="32" spans="1:32" x14ac:dyDescent="0.15">
      <c r="A32" s="13" t="s">
        <v>110</v>
      </c>
      <c r="B32" s="13" t="s">
        <v>127</v>
      </c>
      <c r="C32" s="13">
        <v>3</v>
      </c>
      <c r="D32" s="13">
        <v>1</v>
      </c>
      <c r="E32" s="13"/>
      <c r="F32" s="13"/>
      <c r="G32" s="13"/>
      <c r="H32" s="13"/>
      <c r="I32" s="13"/>
      <c r="AA32" s="9">
        <v>28</v>
      </c>
      <c r="AB32" s="20">
        <f t="shared" si="0"/>
        <v>5</v>
      </c>
      <c r="AC32" s="20">
        <f t="shared" si="1"/>
        <v>1.6666666666666665</v>
      </c>
      <c r="AD32" s="20">
        <f t="shared" si="2"/>
        <v>0</v>
      </c>
      <c r="AE32" s="20">
        <f t="shared" si="3"/>
        <v>0</v>
      </c>
      <c r="AF32" s="20">
        <f t="shared" si="4"/>
        <v>0</v>
      </c>
    </row>
    <row r="33" spans="1:32" x14ac:dyDescent="0.15">
      <c r="A33" s="13" t="s">
        <v>110</v>
      </c>
      <c r="B33" s="13" t="s">
        <v>128</v>
      </c>
      <c r="C33" s="13"/>
      <c r="D33" s="13">
        <v>5</v>
      </c>
      <c r="E33" s="13">
        <v>3</v>
      </c>
      <c r="F33" s="13"/>
      <c r="G33" s="13"/>
      <c r="H33" s="13">
        <v>4</v>
      </c>
      <c r="I33" s="13"/>
      <c r="AA33" s="9">
        <v>29</v>
      </c>
      <c r="AB33" s="20">
        <f t="shared" si="0"/>
        <v>5.6666666666666661</v>
      </c>
      <c r="AC33" s="20">
        <f t="shared" si="1"/>
        <v>1.8888888888888888</v>
      </c>
      <c r="AD33" s="20">
        <f t="shared" si="2"/>
        <v>0</v>
      </c>
      <c r="AE33" s="20">
        <f t="shared" si="3"/>
        <v>0</v>
      </c>
      <c r="AF33" s="20">
        <f t="shared" si="4"/>
        <v>0</v>
      </c>
    </row>
    <row r="34" spans="1:32" x14ac:dyDescent="0.15">
      <c r="A34" s="13" t="s">
        <v>111</v>
      </c>
      <c r="B34" s="13" t="s">
        <v>127</v>
      </c>
      <c r="C34" s="13"/>
      <c r="D34" s="13"/>
      <c r="E34" s="13">
        <v>10</v>
      </c>
      <c r="F34" s="13">
        <v>5</v>
      </c>
      <c r="G34" s="13"/>
      <c r="H34" s="13"/>
      <c r="I34" s="13"/>
      <c r="AA34" s="9">
        <v>30</v>
      </c>
      <c r="AB34" s="20">
        <f t="shared" si="0"/>
        <v>6.333333333333333</v>
      </c>
      <c r="AC34" s="20">
        <f t="shared" si="1"/>
        <v>2.1111111111111112</v>
      </c>
      <c r="AD34" s="20">
        <f t="shared" si="2"/>
        <v>0</v>
      </c>
      <c r="AE34" s="20">
        <f t="shared" si="3"/>
        <v>0</v>
      </c>
      <c r="AF34" s="20">
        <f t="shared" si="4"/>
        <v>0</v>
      </c>
    </row>
    <row r="35" spans="1:32" x14ac:dyDescent="0.15">
      <c r="A35" s="13" t="s">
        <v>111</v>
      </c>
      <c r="B35" s="13" t="s">
        <v>128</v>
      </c>
      <c r="C35" s="13"/>
      <c r="D35" s="13"/>
      <c r="E35" s="13"/>
      <c r="F35" s="13">
        <v>20</v>
      </c>
      <c r="G35" s="13">
        <v>7</v>
      </c>
      <c r="H35" s="13"/>
      <c r="I35" s="13">
        <v>4</v>
      </c>
      <c r="AA35" s="9">
        <v>31</v>
      </c>
      <c r="AB35" s="20">
        <f t="shared" si="0"/>
        <v>7</v>
      </c>
      <c r="AC35" s="20">
        <f t="shared" si="1"/>
        <v>2.333333333333333</v>
      </c>
      <c r="AD35" s="20">
        <f t="shared" si="2"/>
        <v>0</v>
      </c>
      <c r="AE35" s="20">
        <f t="shared" si="3"/>
        <v>0</v>
      </c>
      <c r="AF35" s="20">
        <f t="shared" si="4"/>
        <v>0</v>
      </c>
    </row>
    <row r="36" spans="1:32" x14ac:dyDescent="0.15">
      <c r="AA36" s="9">
        <v>32</v>
      </c>
      <c r="AB36" s="20">
        <f t="shared" si="0"/>
        <v>7.6666666666666661</v>
      </c>
      <c r="AC36" s="20">
        <f t="shared" si="1"/>
        <v>2.5555555555555554</v>
      </c>
      <c r="AD36" s="20">
        <f t="shared" si="2"/>
        <v>0</v>
      </c>
      <c r="AE36" s="20">
        <f t="shared" si="3"/>
        <v>0</v>
      </c>
      <c r="AF36" s="20">
        <f t="shared" si="4"/>
        <v>0</v>
      </c>
    </row>
    <row r="37" spans="1:32" x14ac:dyDescent="0.15">
      <c r="AA37" s="9">
        <v>33</v>
      </c>
      <c r="AB37" s="20">
        <f t="shared" si="0"/>
        <v>8.3333333333333321</v>
      </c>
      <c r="AC37" s="20">
        <f t="shared" si="1"/>
        <v>2.7777777777777777</v>
      </c>
      <c r="AD37" s="20">
        <f t="shared" si="2"/>
        <v>0</v>
      </c>
      <c r="AE37" s="20">
        <f t="shared" si="3"/>
        <v>0</v>
      </c>
      <c r="AF37" s="20">
        <f t="shared" si="4"/>
        <v>0</v>
      </c>
    </row>
    <row r="38" spans="1:32" x14ac:dyDescent="0.15">
      <c r="AA38" s="9">
        <v>34</v>
      </c>
      <c r="AB38" s="20">
        <f t="shared" si="0"/>
        <v>9</v>
      </c>
      <c r="AC38" s="20">
        <f t="shared" si="1"/>
        <v>3</v>
      </c>
      <c r="AD38" s="20">
        <f t="shared" si="2"/>
        <v>0</v>
      </c>
      <c r="AE38" s="20">
        <f t="shared" si="3"/>
        <v>0</v>
      </c>
      <c r="AF38" s="20">
        <f t="shared" si="4"/>
        <v>0</v>
      </c>
    </row>
    <row r="39" spans="1:32" x14ac:dyDescent="0.15">
      <c r="AA39" s="9">
        <v>35</v>
      </c>
      <c r="AB39" s="20">
        <f t="shared" si="0"/>
        <v>10</v>
      </c>
      <c r="AC39" s="20">
        <f t="shared" si="1"/>
        <v>4.166666666666667</v>
      </c>
      <c r="AD39" s="20">
        <f t="shared" si="2"/>
        <v>0.5</v>
      </c>
      <c r="AE39" s="20">
        <f t="shared" si="3"/>
        <v>0</v>
      </c>
      <c r="AF39" s="20">
        <f t="shared" si="4"/>
        <v>0</v>
      </c>
    </row>
    <row r="40" spans="1:32" x14ac:dyDescent="0.15">
      <c r="AA40" s="9">
        <v>36</v>
      </c>
      <c r="AB40" s="20">
        <f t="shared" si="0"/>
        <v>11</v>
      </c>
      <c r="AC40" s="20">
        <f t="shared" si="1"/>
        <v>5.3333333333333339</v>
      </c>
      <c r="AD40" s="20">
        <f t="shared" si="2"/>
        <v>1</v>
      </c>
      <c r="AE40" s="20">
        <f t="shared" si="3"/>
        <v>0</v>
      </c>
      <c r="AF40" s="20">
        <f t="shared" si="4"/>
        <v>0</v>
      </c>
    </row>
    <row r="41" spans="1:32" x14ac:dyDescent="0.15">
      <c r="AA41" s="9">
        <v>37</v>
      </c>
      <c r="AB41" s="20">
        <f t="shared" si="0"/>
        <v>12</v>
      </c>
      <c r="AC41" s="20">
        <f t="shared" si="1"/>
        <v>6.5</v>
      </c>
      <c r="AD41" s="20">
        <f t="shared" si="2"/>
        <v>1.5</v>
      </c>
      <c r="AE41" s="20">
        <f t="shared" si="3"/>
        <v>0</v>
      </c>
      <c r="AF41" s="20">
        <f t="shared" si="4"/>
        <v>0</v>
      </c>
    </row>
    <row r="42" spans="1:32" x14ac:dyDescent="0.15">
      <c r="AA42" s="9">
        <v>38</v>
      </c>
      <c r="AB42" s="20">
        <f t="shared" si="0"/>
        <v>13</v>
      </c>
      <c r="AC42" s="20">
        <f t="shared" si="1"/>
        <v>7.666666666666667</v>
      </c>
      <c r="AD42" s="20">
        <f t="shared" si="2"/>
        <v>2</v>
      </c>
      <c r="AE42" s="20">
        <f t="shared" si="3"/>
        <v>0</v>
      </c>
      <c r="AF42" s="20">
        <f t="shared" si="4"/>
        <v>0</v>
      </c>
    </row>
    <row r="43" spans="1:32" x14ac:dyDescent="0.15">
      <c r="AA43" s="9">
        <v>39</v>
      </c>
      <c r="AB43" s="20">
        <f t="shared" si="0"/>
        <v>14</v>
      </c>
      <c r="AC43" s="20">
        <f t="shared" si="1"/>
        <v>8.8333333333333339</v>
      </c>
      <c r="AD43" s="20">
        <f t="shared" si="2"/>
        <v>2.5</v>
      </c>
      <c r="AE43" s="20">
        <f t="shared" si="3"/>
        <v>0</v>
      </c>
      <c r="AF43" s="20">
        <f t="shared" si="4"/>
        <v>0</v>
      </c>
    </row>
    <row r="44" spans="1:32" x14ac:dyDescent="0.15">
      <c r="AA44" s="9">
        <v>40</v>
      </c>
      <c r="AB44" s="20">
        <f t="shared" si="0"/>
        <v>15</v>
      </c>
      <c r="AC44" s="20">
        <f t="shared" si="1"/>
        <v>10</v>
      </c>
      <c r="AD44" s="20">
        <f t="shared" si="2"/>
        <v>3</v>
      </c>
      <c r="AE44" s="20">
        <f t="shared" si="3"/>
        <v>0</v>
      </c>
      <c r="AF44" s="20">
        <f t="shared" si="4"/>
        <v>0</v>
      </c>
    </row>
    <row r="45" spans="1:32" x14ac:dyDescent="0.15">
      <c r="AA45" s="9">
        <v>41</v>
      </c>
      <c r="AB45" s="20">
        <f t="shared" si="0"/>
        <v>15.375</v>
      </c>
      <c r="AC45" s="20">
        <f t="shared" si="1"/>
        <v>11.375</v>
      </c>
      <c r="AD45" s="20">
        <f t="shared" si="2"/>
        <v>3.75</v>
      </c>
      <c r="AE45" s="20">
        <f t="shared" si="3"/>
        <v>0</v>
      </c>
      <c r="AF45" s="20">
        <f t="shared" si="4"/>
        <v>0</v>
      </c>
    </row>
    <row r="46" spans="1:32" x14ac:dyDescent="0.15">
      <c r="AA46" s="9">
        <v>42</v>
      </c>
      <c r="AB46" s="20">
        <f t="shared" si="0"/>
        <v>15.75</v>
      </c>
      <c r="AC46" s="20">
        <f t="shared" si="1"/>
        <v>12.75</v>
      </c>
      <c r="AD46" s="20">
        <f t="shared" si="2"/>
        <v>4.5</v>
      </c>
      <c r="AE46" s="20">
        <f t="shared" si="3"/>
        <v>0</v>
      </c>
      <c r="AF46" s="20">
        <f t="shared" si="4"/>
        <v>0</v>
      </c>
    </row>
    <row r="47" spans="1:32" x14ac:dyDescent="0.15">
      <c r="AA47" s="9">
        <v>43</v>
      </c>
      <c r="AB47" s="20">
        <f t="shared" si="0"/>
        <v>16.125</v>
      </c>
      <c r="AC47" s="20">
        <f t="shared" si="1"/>
        <v>14.125</v>
      </c>
      <c r="AD47" s="20">
        <f t="shared" si="2"/>
        <v>5.25</v>
      </c>
      <c r="AE47" s="20">
        <f t="shared" si="3"/>
        <v>0</v>
      </c>
      <c r="AF47" s="20">
        <f t="shared" si="4"/>
        <v>0</v>
      </c>
    </row>
    <row r="48" spans="1:32" x14ac:dyDescent="0.15">
      <c r="AA48" s="9">
        <v>44</v>
      </c>
      <c r="AB48" s="20">
        <f t="shared" si="0"/>
        <v>16.5</v>
      </c>
      <c r="AC48" s="20">
        <f t="shared" si="1"/>
        <v>15.5</v>
      </c>
      <c r="AD48" s="20">
        <f t="shared" si="2"/>
        <v>6</v>
      </c>
      <c r="AE48" s="20">
        <f t="shared" si="3"/>
        <v>0</v>
      </c>
      <c r="AF48" s="20">
        <f t="shared" si="4"/>
        <v>0</v>
      </c>
    </row>
    <row r="49" spans="26:32" x14ac:dyDescent="0.15">
      <c r="Z49" s="9"/>
      <c r="AA49" s="9">
        <v>45</v>
      </c>
      <c r="AB49" s="20">
        <f t="shared" si="0"/>
        <v>16.875</v>
      </c>
      <c r="AC49" s="20">
        <f t="shared" si="1"/>
        <v>16.875</v>
      </c>
      <c r="AD49" s="20">
        <f t="shared" si="2"/>
        <v>6.75</v>
      </c>
      <c r="AE49" s="20">
        <f t="shared" si="3"/>
        <v>0</v>
      </c>
      <c r="AF49" s="20">
        <f t="shared" si="4"/>
        <v>0</v>
      </c>
    </row>
    <row r="50" spans="26:32" x14ac:dyDescent="0.15">
      <c r="Z50" s="9"/>
      <c r="AA50" s="9">
        <v>46</v>
      </c>
      <c r="AB50" s="20">
        <f t="shared" si="0"/>
        <v>17.25</v>
      </c>
      <c r="AC50" s="20">
        <f t="shared" si="1"/>
        <v>18.25</v>
      </c>
      <c r="AD50" s="20">
        <f t="shared" si="2"/>
        <v>7.5</v>
      </c>
      <c r="AE50" s="20">
        <f t="shared" si="3"/>
        <v>0</v>
      </c>
      <c r="AF50" s="20">
        <f t="shared" si="4"/>
        <v>0</v>
      </c>
    </row>
    <row r="51" spans="26:32" x14ac:dyDescent="0.15">
      <c r="Z51" s="9"/>
      <c r="AA51" s="9">
        <v>47</v>
      </c>
      <c r="AB51" s="20">
        <f t="shared" si="0"/>
        <v>17.625</v>
      </c>
      <c r="AC51" s="20">
        <f t="shared" si="1"/>
        <v>19.625</v>
      </c>
      <c r="AD51" s="20">
        <f t="shared" si="2"/>
        <v>8.25</v>
      </c>
      <c r="AE51" s="20">
        <f t="shared" si="3"/>
        <v>0</v>
      </c>
      <c r="AF51" s="20">
        <f t="shared" si="4"/>
        <v>0</v>
      </c>
    </row>
    <row r="52" spans="26:32" x14ac:dyDescent="0.15">
      <c r="Z52" s="9"/>
      <c r="AA52" s="9">
        <v>48</v>
      </c>
      <c r="AB52" s="20">
        <f t="shared" si="0"/>
        <v>18</v>
      </c>
      <c r="AC52" s="20">
        <f t="shared" si="1"/>
        <v>21</v>
      </c>
      <c r="AD52" s="20">
        <f t="shared" si="2"/>
        <v>9</v>
      </c>
      <c r="AE52" s="20">
        <f t="shared" si="3"/>
        <v>0</v>
      </c>
      <c r="AF52" s="20">
        <f t="shared" si="4"/>
        <v>0</v>
      </c>
    </row>
    <row r="53" spans="26:32" x14ac:dyDescent="0.15">
      <c r="Z53" s="9"/>
      <c r="AA53" s="9">
        <v>49</v>
      </c>
      <c r="AB53" s="20">
        <f t="shared" si="0"/>
        <v>17.399999999999999</v>
      </c>
      <c r="AC53" s="20">
        <f t="shared" si="1"/>
        <v>22.8</v>
      </c>
      <c r="AD53" s="20">
        <f t="shared" si="2"/>
        <v>10.199999999999999</v>
      </c>
      <c r="AE53" s="20">
        <f t="shared" si="3"/>
        <v>0</v>
      </c>
      <c r="AF53" s="20">
        <f t="shared" si="4"/>
        <v>0</v>
      </c>
    </row>
    <row r="54" spans="26:32" x14ac:dyDescent="0.15">
      <c r="Z54" s="9"/>
      <c r="AA54" s="9">
        <v>50</v>
      </c>
      <c r="AB54" s="20">
        <f t="shared" si="0"/>
        <v>16.8</v>
      </c>
      <c r="AC54" s="20">
        <f t="shared" si="1"/>
        <v>24.6</v>
      </c>
      <c r="AD54" s="20">
        <f t="shared" si="2"/>
        <v>11.4</v>
      </c>
      <c r="AE54" s="20">
        <f t="shared" si="3"/>
        <v>0</v>
      </c>
      <c r="AF54" s="20">
        <f t="shared" si="4"/>
        <v>0</v>
      </c>
    </row>
    <row r="55" spans="26:32" x14ac:dyDescent="0.15">
      <c r="Z55" s="9"/>
      <c r="AA55" s="9">
        <v>51</v>
      </c>
      <c r="AB55" s="20">
        <f t="shared" si="0"/>
        <v>16.2</v>
      </c>
      <c r="AC55" s="20">
        <f t="shared" si="1"/>
        <v>26.4</v>
      </c>
      <c r="AD55" s="20">
        <f t="shared" si="2"/>
        <v>12.6</v>
      </c>
      <c r="AE55" s="20">
        <f t="shared" si="3"/>
        <v>0</v>
      </c>
      <c r="AF55" s="20">
        <f t="shared" si="4"/>
        <v>0</v>
      </c>
    </row>
    <row r="56" spans="26:32" x14ac:dyDescent="0.15">
      <c r="Z56" s="9"/>
      <c r="AA56" s="9">
        <v>52</v>
      </c>
      <c r="AB56" s="20">
        <f t="shared" si="0"/>
        <v>15.6</v>
      </c>
      <c r="AC56" s="20">
        <f t="shared" si="1"/>
        <v>28.2</v>
      </c>
      <c r="AD56" s="20">
        <f t="shared" si="2"/>
        <v>13.8</v>
      </c>
      <c r="AE56" s="20">
        <f t="shared" si="3"/>
        <v>0</v>
      </c>
      <c r="AF56" s="20">
        <f t="shared" si="4"/>
        <v>0</v>
      </c>
    </row>
    <row r="57" spans="26:32" x14ac:dyDescent="0.15">
      <c r="Z57" s="9"/>
      <c r="AA57" s="9">
        <v>53</v>
      </c>
      <c r="AB57" s="20">
        <f t="shared" si="0"/>
        <v>15</v>
      </c>
      <c r="AC57" s="20">
        <f t="shared" si="1"/>
        <v>30</v>
      </c>
      <c r="AD57" s="20">
        <f t="shared" si="2"/>
        <v>15</v>
      </c>
      <c r="AE57" s="20">
        <f t="shared" si="3"/>
        <v>0</v>
      </c>
      <c r="AF57" s="20">
        <f t="shared" si="4"/>
        <v>0</v>
      </c>
    </row>
    <row r="58" spans="26:32" x14ac:dyDescent="0.15">
      <c r="Z58" s="9"/>
      <c r="AA58" s="9">
        <v>54</v>
      </c>
      <c r="AB58" s="20">
        <f t="shared" si="0"/>
        <v>15.2</v>
      </c>
      <c r="AC58" s="20">
        <f t="shared" si="1"/>
        <v>30.4</v>
      </c>
      <c r="AD58" s="20">
        <f t="shared" si="2"/>
        <v>15.866666666666667</v>
      </c>
      <c r="AE58" s="20">
        <f t="shared" si="3"/>
        <v>0.33333333333333331</v>
      </c>
      <c r="AF58" s="20">
        <f t="shared" si="4"/>
        <v>0</v>
      </c>
    </row>
    <row r="59" spans="26:32" x14ac:dyDescent="0.15">
      <c r="Z59" s="9"/>
      <c r="AA59" s="9">
        <v>55</v>
      </c>
      <c r="AB59" s="20">
        <f t="shared" si="0"/>
        <v>15.4</v>
      </c>
      <c r="AC59" s="20">
        <f t="shared" si="1"/>
        <v>30.8</v>
      </c>
      <c r="AD59" s="20">
        <f t="shared" si="2"/>
        <v>16.733333333333334</v>
      </c>
      <c r="AE59" s="20">
        <f t="shared" si="3"/>
        <v>0.66666666666666663</v>
      </c>
      <c r="AF59" s="20">
        <f t="shared" si="4"/>
        <v>0</v>
      </c>
    </row>
    <row r="60" spans="26:32" x14ac:dyDescent="0.15">
      <c r="Z60" s="9"/>
      <c r="AA60" s="9">
        <v>56</v>
      </c>
      <c r="AB60" s="20">
        <f t="shared" si="0"/>
        <v>15.6</v>
      </c>
      <c r="AC60" s="20">
        <f t="shared" si="1"/>
        <v>31.2</v>
      </c>
      <c r="AD60" s="20">
        <f t="shared" si="2"/>
        <v>17.600000000000001</v>
      </c>
      <c r="AE60" s="20">
        <f t="shared" si="3"/>
        <v>1</v>
      </c>
      <c r="AF60" s="20">
        <f t="shared" si="4"/>
        <v>0</v>
      </c>
    </row>
    <row r="61" spans="26:32" x14ac:dyDescent="0.15">
      <c r="Z61" s="9"/>
      <c r="AA61" s="9">
        <v>57</v>
      </c>
      <c r="AB61" s="20">
        <f t="shared" si="0"/>
        <v>15.8</v>
      </c>
      <c r="AC61" s="20">
        <f t="shared" si="1"/>
        <v>31.6</v>
      </c>
      <c r="AD61" s="20">
        <f t="shared" si="2"/>
        <v>18.466666666666669</v>
      </c>
      <c r="AE61" s="20">
        <f t="shared" si="3"/>
        <v>1.3333333333333333</v>
      </c>
      <c r="AF61" s="20">
        <f t="shared" si="4"/>
        <v>0</v>
      </c>
    </row>
    <row r="62" spans="26:32" x14ac:dyDescent="0.15">
      <c r="Z62" s="9"/>
      <c r="AA62" s="9">
        <v>58</v>
      </c>
      <c r="AB62" s="20">
        <f t="shared" si="0"/>
        <v>16</v>
      </c>
      <c r="AC62" s="20">
        <f t="shared" si="1"/>
        <v>32</v>
      </c>
      <c r="AD62" s="20">
        <f t="shared" si="2"/>
        <v>19.333333333333336</v>
      </c>
      <c r="AE62" s="20">
        <f t="shared" si="3"/>
        <v>1.6666666666666665</v>
      </c>
      <c r="AF62" s="20">
        <f t="shared" si="4"/>
        <v>0</v>
      </c>
    </row>
    <row r="63" spans="26:32" x14ac:dyDescent="0.15">
      <c r="Z63" s="9"/>
      <c r="AA63" s="9">
        <v>59</v>
      </c>
      <c r="AB63" s="20">
        <f t="shared" si="0"/>
        <v>16.2</v>
      </c>
      <c r="AC63" s="20">
        <f t="shared" si="1"/>
        <v>32.4</v>
      </c>
      <c r="AD63" s="20">
        <f t="shared" si="2"/>
        <v>20.2</v>
      </c>
      <c r="AE63" s="20">
        <f t="shared" si="3"/>
        <v>2</v>
      </c>
      <c r="AF63" s="20">
        <f t="shared" si="4"/>
        <v>0</v>
      </c>
    </row>
    <row r="64" spans="26:32" x14ac:dyDescent="0.15">
      <c r="Z64" s="9"/>
      <c r="AA64" s="9">
        <v>60</v>
      </c>
      <c r="AB64" s="20">
        <f t="shared" si="0"/>
        <v>16.399999999999999</v>
      </c>
      <c r="AC64" s="20">
        <f t="shared" si="1"/>
        <v>32.799999999999997</v>
      </c>
      <c r="AD64" s="20">
        <f t="shared" si="2"/>
        <v>21.066666666666666</v>
      </c>
      <c r="AE64" s="20">
        <f t="shared" si="3"/>
        <v>2.333333333333333</v>
      </c>
      <c r="AF64" s="20">
        <f t="shared" si="4"/>
        <v>0</v>
      </c>
    </row>
    <row r="65" spans="26:32" x14ac:dyDescent="0.15">
      <c r="Z65" s="9"/>
      <c r="AA65" s="9">
        <v>61</v>
      </c>
      <c r="AB65" s="20">
        <f t="shared" si="0"/>
        <v>16.600000000000001</v>
      </c>
      <c r="AC65" s="20">
        <f t="shared" si="1"/>
        <v>33.200000000000003</v>
      </c>
      <c r="AD65" s="20">
        <f t="shared" si="2"/>
        <v>21.933333333333334</v>
      </c>
      <c r="AE65" s="20">
        <f t="shared" si="3"/>
        <v>2.6666666666666665</v>
      </c>
      <c r="AF65" s="20">
        <f t="shared" si="4"/>
        <v>0</v>
      </c>
    </row>
    <row r="66" spans="26:32" x14ac:dyDescent="0.15">
      <c r="Z66" s="9"/>
      <c r="AA66" s="9">
        <v>62</v>
      </c>
      <c r="AB66" s="20">
        <f t="shared" si="0"/>
        <v>16.8</v>
      </c>
      <c r="AC66" s="20">
        <f t="shared" si="1"/>
        <v>33.6</v>
      </c>
      <c r="AD66" s="20">
        <f t="shared" si="2"/>
        <v>22.8</v>
      </c>
      <c r="AE66" s="20">
        <f t="shared" si="3"/>
        <v>3</v>
      </c>
      <c r="AF66" s="20">
        <f t="shared" si="4"/>
        <v>0</v>
      </c>
    </row>
    <row r="67" spans="26:32" x14ac:dyDescent="0.15">
      <c r="Z67" s="9"/>
      <c r="AA67" s="9">
        <v>63</v>
      </c>
      <c r="AB67" s="20">
        <f t="shared" si="0"/>
        <v>17</v>
      </c>
      <c r="AC67" s="20">
        <f t="shared" si="1"/>
        <v>34</v>
      </c>
      <c r="AD67" s="20">
        <f t="shared" si="2"/>
        <v>23.666666666666668</v>
      </c>
      <c r="AE67" s="20">
        <f t="shared" si="3"/>
        <v>3.333333333333333</v>
      </c>
      <c r="AF67" s="20">
        <f t="shared" si="4"/>
        <v>0</v>
      </c>
    </row>
    <row r="68" spans="26:32" x14ac:dyDescent="0.15">
      <c r="Z68" s="9"/>
      <c r="AA68" s="9">
        <v>64</v>
      </c>
      <c r="AB68" s="20">
        <f t="shared" si="0"/>
        <v>17.2</v>
      </c>
      <c r="AC68" s="20">
        <f t="shared" si="1"/>
        <v>34.4</v>
      </c>
      <c r="AD68" s="20">
        <f t="shared" si="2"/>
        <v>24.533333333333331</v>
      </c>
      <c r="AE68" s="20">
        <f t="shared" si="3"/>
        <v>3.6666666666666665</v>
      </c>
      <c r="AF68" s="20">
        <f t="shared" si="4"/>
        <v>0</v>
      </c>
    </row>
    <row r="69" spans="26:32" x14ac:dyDescent="0.15">
      <c r="Z69" s="9"/>
      <c r="AA69" s="9">
        <v>65</v>
      </c>
      <c r="AB69" s="20">
        <f t="shared" si="0"/>
        <v>17.399999999999999</v>
      </c>
      <c r="AC69" s="20">
        <f t="shared" si="1"/>
        <v>34.799999999999997</v>
      </c>
      <c r="AD69" s="20">
        <f t="shared" si="2"/>
        <v>25.4</v>
      </c>
      <c r="AE69" s="20">
        <f t="shared" si="3"/>
        <v>4</v>
      </c>
      <c r="AF69" s="20">
        <f t="shared" si="4"/>
        <v>0</v>
      </c>
    </row>
    <row r="70" spans="26:32" x14ac:dyDescent="0.15">
      <c r="Z70" s="9"/>
      <c r="AA70" s="9">
        <v>66</v>
      </c>
      <c r="AB70" s="20">
        <f t="shared" ref="AB70:AB104" si="12">求节点($Q$8:$Q$14,S$8:S$14,$AA70)</f>
        <v>17.600000000000001</v>
      </c>
      <c r="AC70" s="20">
        <f t="shared" ref="AC70:AC104" si="13">求节点($Q$8:$Q$14,T$8:T$14,$AA70)</f>
        <v>35.200000000000003</v>
      </c>
      <c r="AD70" s="20">
        <f t="shared" ref="AD70:AD104" si="14">求节点($Q$8:$Q$14,U$8:U$14,$AA70)</f>
        <v>26.266666666666666</v>
      </c>
      <c r="AE70" s="20">
        <f t="shared" ref="AE70:AE104" si="15">求节点($Q$8:$Q$14,V$8:V$14,$AA70)</f>
        <v>4.333333333333333</v>
      </c>
      <c r="AF70" s="20">
        <f t="shared" ref="AF70:AF104" si="16">求节点($Q$8:$Q$14,W$8:W$14,$AA70)</f>
        <v>0</v>
      </c>
    </row>
    <row r="71" spans="26:32" x14ac:dyDescent="0.15">
      <c r="Z71" s="9"/>
      <c r="AA71" s="9">
        <v>67</v>
      </c>
      <c r="AB71" s="20">
        <f t="shared" si="12"/>
        <v>17.8</v>
      </c>
      <c r="AC71" s="20">
        <f t="shared" si="13"/>
        <v>35.6</v>
      </c>
      <c r="AD71" s="20">
        <f t="shared" si="14"/>
        <v>27.133333333333333</v>
      </c>
      <c r="AE71" s="20">
        <f t="shared" si="15"/>
        <v>4.6666666666666661</v>
      </c>
      <c r="AF71" s="20">
        <f t="shared" si="16"/>
        <v>0</v>
      </c>
    </row>
    <row r="72" spans="26:32" x14ac:dyDescent="0.15">
      <c r="Z72" s="9"/>
      <c r="AA72" s="9">
        <v>68</v>
      </c>
      <c r="AB72" s="20">
        <f t="shared" si="12"/>
        <v>18</v>
      </c>
      <c r="AC72" s="20">
        <f t="shared" si="13"/>
        <v>36</v>
      </c>
      <c r="AD72" s="20">
        <f t="shared" si="14"/>
        <v>28</v>
      </c>
      <c r="AE72" s="20">
        <f t="shared" si="15"/>
        <v>5</v>
      </c>
      <c r="AF72" s="20">
        <f t="shared" si="16"/>
        <v>0</v>
      </c>
    </row>
    <row r="73" spans="26:32" x14ac:dyDescent="0.15">
      <c r="Z73" s="9"/>
      <c r="AA73" s="9">
        <v>69</v>
      </c>
      <c r="AB73" s="20">
        <f t="shared" si="12"/>
        <v>18.9375</v>
      </c>
      <c r="AC73" s="20">
        <f t="shared" si="13"/>
        <v>37.875</v>
      </c>
      <c r="AD73" s="20">
        <f t="shared" si="14"/>
        <v>28.9375</v>
      </c>
      <c r="AE73" s="20">
        <f t="shared" si="15"/>
        <v>6.25</v>
      </c>
      <c r="AF73" s="20">
        <f t="shared" si="16"/>
        <v>0.4375</v>
      </c>
    </row>
    <row r="74" spans="26:32" x14ac:dyDescent="0.15">
      <c r="Z74" s="9"/>
      <c r="AA74" s="9">
        <v>70</v>
      </c>
      <c r="AB74" s="20">
        <f t="shared" si="12"/>
        <v>19.875</v>
      </c>
      <c r="AC74" s="20">
        <f t="shared" si="13"/>
        <v>39.75</v>
      </c>
      <c r="AD74" s="20">
        <f t="shared" si="14"/>
        <v>29.875</v>
      </c>
      <c r="AE74" s="20">
        <f t="shared" si="15"/>
        <v>7.5</v>
      </c>
      <c r="AF74" s="20">
        <f t="shared" si="16"/>
        <v>0.875</v>
      </c>
    </row>
    <row r="75" spans="26:32" x14ac:dyDescent="0.15">
      <c r="Z75" s="9"/>
      <c r="AA75" s="9">
        <v>71</v>
      </c>
      <c r="AB75" s="20">
        <f t="shared" si="12"/>
        <v>20.8125</v>
      </c>
      <c r="AC75" s="20">
        <f t="shared" si="13"/>
        <v>41.625</v>
      </c>
      <c r="AD75" s="20">
        <f t="shared" si="14"/>
        <v>30.8125</v>
      </c>
      <c r="AE75" s="20">
        <f t="shared" si="15"/>
        <v>8.75</v>
      </c>
      <c r="AF75" s="20">
        <f t="shared" si="16"/>
        <v>1.3125</v>
      </c>
    </row>
    <row r="76" spans="26:32" x14ac:dyDescent="0.15">
      <c r="Z76" s="9"/>
      <c r="AA76" s="9">
        <v>72</v>
      </c>
      <c r="AB76" s="20">
        <f t="shared" si="12"/>
        <v>21.75</v>
      </c>
      <c r="AC76" s="20">
        <f t="shared" si="13"/>
        <v>43.5</v>
      </c>
      <c r="AD76" s="20">
        <f t="shared" si="14"/>
        <v>31.75</v>
      </c>
      <c r="AE76" s="20">
        <f t="shared" si="15"/>
        <v>10</v>
      </c>
      <c r="AF76" s="20">
        <f t="shared" si="16"/>
        <v>1.75</v>
      </c>
    </row>
    <row r="77" spans="26:32" x14ac:dyDescent="0.15">
      <c r="Z77" s="9"/>
      <c r="AA77" s="9">
        <v>73</v>
      </c>
      <c r="AB77" s="20">
        <f t="shared" si="12"/>
        <v>22.6875</v>
      </c>
      <c r="AC77" s="20">
        <f t="shared" si="13"/>
        <v>45.375</v>
      </c>
      <c r="AD77" s="20">
        <f t="shared" si="14"/>
        <v>32.6875</v>
      </c>
      <c r="AE77" s="20">
        <f t="shared" si="15"/>
        <v>11.25</v>
      </c>
      <c r="AF77" s="20">
        <f t="shared" si="16"/>
        <v>2.1875</v>
      </c>
    </row>
    <row r="78" spans="26:32" x14ac:dyDescent="0.15">
      <c r="Z78" s="9"/>
      <c r="AA78" s="9">
        <v>74</v>
      </c>
      <c r="AB78" s="20">
        <f t="shared" si="12"/>
        <v>23.625</v>
      </c>
      <c r="AC78" s="20">
        <f t="shared" si="13"/>
        <v>47.25</v>
      </c>
      <c r="AD78" s="20">
        <f t="shared" si="14"/>
        <v>33.625</v>
      </c>
      <c r="AE78" s="20">
        <f t="shared" si="15"/>
        <v>12.5</v>
      </c>
      <c r="AF78" s="20">
        <f t="shared" si="16"/>
        <v>2.625</v>
      </c>
    </row>
    <row r="79" spans="26:32" x14ac:dyDescent="0.15">
      <c r="Z79" s="9"/>
      <c r="AA79" s="9">
        <v>75</v>
      </c>
      <c r="AB79" s="20">
        <f t="shared" si="12"/>
        <v>24.5625</v>
      </c>
      <c r="AC79" s="20">
        <f t="shared" si="13"/>
        <v>49.125</v>
      </c>
      <c r="AD79" s="20">
        <f t="shared" si="14"/>
        <v>34.5625</v>
      </c>
      <c r="AE79" s="20">
        <f t="shared" si="15"/>
        <v>13.75</v>
      </c>
      <c r="AF79" s="20">
        <f t="shared" si="16"/>
        <v>3.0625</v>
      </c>
    </row>
    <row r="80" spans="26:32" x14ac:dyDescent="0.15">
      <c r="Z80" s="9"/>
      <c r="AA80" s="9">
        <v>76</v>
      </c>
      <c r="AB80" s="20">
        <f t="shared" si="12"/>
        <v>25.5</v>
      </c>
      <c r="AC80" s="20">
        <f t="shared" si="13"/>
        <v>51</v>
      </c>
      <c r="AD80" s="20">
        <f t="shared" si="14"/>
        <v>35.5</v>
      </c>
      <c r="AE80" s="20">
        <f t="shared" si="15"/>
        <v>15</v>
      </c>
      <c r="AF80" s="20">
        <f t="shared" si="16"/>
        <v>3.5</v>
      </c>
    </row>
    <row r="81" spans="26:32" x14ac:dyDescent="0.15">
      <c r="Z81" s="9"/>
      <c r="AA81" s="9">
        <v>77</v>
      </c>
      <c r="AB81" s="20">
        <f t="shared" si="12"/>
        <v>26.4375</v>
      </c>
      <c r="AC81" s="20">
        <f t="shared" si="13"/>
        <v>52.875</v>
      </c>
      <c r="AD81" s="20">
        <f t="shared" si="14"/>
        <v>36.4375</v>
      </c>
      <c r="AE81" s="20">
        <f t="shared" si="15"/>
        <v>16.25</v>
      </c>
      <c r="AF81" s="20">
        <f t="shared" si="16"/>
        <v>3.9375</v>
      </c>
    </row>
    <row r="82" spans="26:32" x14ac:dyDescent="0.15">
      <c r="Z82" s="9"/>
      <c r="AA82" s="9">
        <v>78</v>
      </c>
      <c r="AB82" s="20">
        <f t="shared" si="12"/>
        <v>27.375</v>
      </c>
      <c r="AC82" s="20">
        <f t="shared" si="13"/>
        <v>54.75</v>
      </c>
      <c r="AD82" s="20">
        <f t="shared" si="14"/>
        <v>37.375</v>
      </c>
      <c r="AE82" s="20">
        <f t="shared" si="15"/>
        <v>17.5</v>
      </c>
      <c r="AF82" s="20">
        <f t="shared" si="16"/>
        <v>4.375</v>
      </c>
    </row>
    <row r="83" spans="26:32" x14ac:dyDescent="0.15">
      <c r="Z83" s="9"/>
      <c r="AA83" s="9">
        <v>79</v>
      </c>
      <c r="AB83" s="20">
        <f t="shared" si="12"/>
        <v>28.3125</v>
      </c>
      <c r="AC83" s="20">
        <f t="shared" si="13"/>
        <v>56.625</v>
      </c>
      <c r="AD83" s="20">
        <f t="shared" si="14"/>
        <v>38.3125</v>
      </c>
      <c r="AE83" s="20">
        <f t="shared" si="15"/>
        <v>18.75</v>
      </c>
      <c r="AF83" s="20">
        <f t="shared" si="16"/>
        <v>4.8125</v>
      </c>
    </row>
    <row r="84" spans="26:32" x14ac:dyDescent="0.15">
      <c r="Z84" s="9"/>
      <c r="AA84" s="9">
        <v>80</v>
      </c>
      <c r="AB84" s="20">
        <f t="shared" si="12"/>
        <v>29.25</v>
      </c>
      <c r="AC84" s="20">
        <f t="shared" si="13"/>
        <v>58.5</v>
      </c>
      <c r="AD84" s="20">
        <f t="shared" si="14"/>
        <v>39.25</v>
      </c>
      <c r="AE84" s="20">
        <f t="shared" si="15"/>
        <v>20</v>
      </c>
      <c r="AF84" s="20">
        <f t="shared" si="16"/>
        <v>5.25</v>
      </c>
    </row>
    <row r="85" spans="26:32" x14ac:dyDescent="0.15">
      <c r="Z85" s="9"/>
      <c r="AA85" s="9">
        <v>81</v>
      </c>
      <c r="AB85" s="20">
        <f t="shared" si="12"/>
        <v>30.1875</v>
      </c>
      <c r="AC85" s="20">
        <f t="shared" si="13"/>
        <v>60.375</v>
      </c>
      <c r="AD85" s="20">
        <f t="shared" si="14"/>
        <v>40.1875</v>
      </c>
      <c r="AE85" s="20">
        <f t="shared" si="15"/>
        <v>21.25</v>
      </c>
      <c r="AF85" s="20">
        <f t="shared" si="16"/>
        <v>5.6875</v>
      </c>
    </row>
    <row r="86" spans="26:32" x14ac:dyDescent="0.15">
      <c r="Z86" s="9"/>
      <c r="AA86" s="9">
        <v>82</v>
      </c>
      <c r="AB86" s="20">
        <f t="shared" si="12"/>
        <v>31.125</v>
      </c>
      <c r="AC86" s="20">
        <f t="shared" si="13"/>
        <v>62.25</v>
      </c>
      <c r="AD86" s="20">
        <f t="shared" si="14"/>
        <v>41.125</v>
      </c>
      <c r="AE86" s="20">
        <f t="shared" si="15"/>
        <v>22.5</v>
      </c>
      <c r="AF86" s="20">
        <f t="shared" si="16"/>
        <v>6.125</v>
      </c>
    </row>
    <row r="87" spans="26:32" x14ac:dyDescent="0.15">
      <c r="Z87" s="9"/>
      <c r="AA87" s="9">
        <v>83</v>
      </c>
      <c r="AB87" s="20">
        <f t="shared" si="12"/>
        <v>32.0625</v>
      </c>
      <c r="AC87" s="20">
        <f t="shared" si="13"/>
        <v>64.125</v>
      </c>
      <c r="AD87" s="20">
        <f t="shared" si="14"/>
        <v>42.0625</v>
      </c>
      <c r="AE87" s="20">
        <f t="shared" si="15"/>
        <v>23.75</v>
      </c>
      <c r="AF87" s="20">
        <f t="shared" si="16"/>
        <v>6.5625</v>
      </c>
    </row>
    <row r="88" spans="26:32" x14ac:dyDescent="0.15">
      <c r="Z88" s="9"/>
      <c r="AA88" s="9">
        <v>84</v>
      </c>
      <c r="AB88" s="20">
        <f t="shared" si="12"/>
        <v>33</v>
      </c>
      <c r="AC88" s="20">
        <f t="shared" si="13"/>
        <v>66</v>
      </c>
      <c r="AD88" s="20">
        <f t="shared" si="14"/>
        <v>43</v>
      </c>
      <c r="AE88" s="20">
        <f t="shared" si="15"/>
        <v>25</v>
      </c>
      <c r="AF88" s="20">
        <f t="shared" si="16"/>
        <v>7</v>
      </c>
    </row>
    <row r="89" spans="26:32" x14ac:dyDescent="0.15">
      <c r="Z89" s="9"/>
      <c r="AA89" s="9">
        <v>85</v>
      </c>
      <c r="AB89" s="20">
        <f t="shared" si="12"/>
        <v>33</v>
      </c>
      <c r="AC89" s="20">
        <f t="shared" si="13"/>
        <v>66</v>
      </c>
      <c r="AD89" s="20">
        <f t="shared" si="14"/>
        <v>43</v>
      </c>
      <c r="AE89" s="20">
        <f t="shared" si="15"/>
        <v>25</v>
      </c>
      <c r="AF89" s="20">
        <f t="shared" si="16"/>
        <v>7</v>
      </c>
    </row>
    <row r="90" spans="26:32" x14ac:dyDescent="0.15">
      <c r="Z90" s="9"/>
      <c r="AA90" s="9">
        <v>86</v>
      </c>
      <c r="AB90" s="20">
        <f t="shared" si="12"/>
        <v>33</v>
      </c>
      <c r="AC90" s="20">
        <f t="shared" si="13"/>
        <v>66</v>
      </c>
      <c r="AD90" s="20">
        <f t="shared" si="14"/>
        <v>43</v>
      </c>
      <c r="AE90" s="20">
        <f t="shared" si="15"/>
        <v>25</v>
      </c>
      <c r="AF90" s="20">
        <f t="shared" si="16"/>
        <v>7</v>
      </c>
    </row>
    <row r="91" spans="26:32" x14ac:dyDescent="0.15">
      <c r="Z91" s="9"/>
      <c r="AA91" s="9">
        <v>87</v>
      </c>
      <c r="AB91" s="20">
        <f t="shared" si="12"/>
        <v>33</v>
      </c>
      <c r="AC91" s="20">
        <f t="shared" si="13"/>
        <v>66</v>
      </c>
      <c r="AD91" s="20">
        <f t="shared" si="14"/>
        <v>43</v>
      </c>
      <c r="AE91" s="20">
        <f t="shared" si="15"/>
        <v>25</v>
      </c>
      <c r="AF91" s="20">
        <f t="shared" si="16"/>
        <v>7</v>
      </c>
    </row>
    <row r="92" spans="26:32" x14ac:dyDescent="0.15">
      <c r="Z92" s="9"/>
      <c r="AA92" s="9">
        <v>88</v>
      </c>
      <c r="AB92" s="20">
        <f t="shared" si="12"/>
        <v>33</v>
      </c>
      <c r="AC92" s="20">
        <f t="shared" si="13"/>
        <v>66</v>
      </c>
      <c r="AD92" s="20">
        <f t="shared" si="14"/>
        <v>43</v>
      </c>
      <c r="AE92" s="20">
        <f t="shared" si="15"/>
        <v>25</v>
      </c>
      <c r="AF92" s="20">
        <f t="shared" si="16"/>
        <v>7</v>
      </c>
    </row>
    <row r="93" spans="26:32" x14ac:dyDescent="0.15">
      <c r="Z93" s="9"/>
      <c r="AA93" s="9">
        <v>89</v>
      </c>
      <c r="AB93" s="20">
        <f t="shared" si="12"/>
        <v>33</v>
      </c>
      <c r="AC93" s="20">
        <f t="shared" si="13"/>
        <v>66</v>
      </c>
      <c r="AD93" s="20">
        <f t="shared" si="14"/>
        <v>43</v>
      </c>
      <c r="AE93" s="20">
        <f t="shared" si="15"/>
        <v>25</v>
      </c>
      <c r="AF93" s="20">
        <f t="shared" si="16"/>
        <v>7</v>
      </c>
    </row>
    <row r="94" spans="26:32" x14ac:dyDescent="0.15">
      <c r="Z94" s="9"/>
      <c r="AA94" s="9">
        <v>90</v>
      </c>
      <c r="AB94" s="20">
        <f t="shared" si="12"/>
        <v>33</v>
      </c>
      <c r="AC94" s="20">
        <f t="shared" si="13"/>
        <v>66</v>
      </c>
      <c r="AD94" s="20">
        <f t="shared" si="14"/>
        <v>43</v>
      </c>
      <c r="AE94" s="20">
        <f t="shared" si="15"/>
        <v>25</v>
      </c>
      <c r="AF94" s="20">
        <f t="shared" si="16"/>
        <v>7</v>
      </c>
    </row>
    <row r="95" spans="26:32" x14ac:dyDescent="0.15">
      <c r="Z95" s="9"/>
      <c r="AA95" s="9">
        <v>91</v>
      </c>
      <c r="AB95" s="20">
        <f t="shared" si="12"/>
        <v>33</v>
      </c>
      <c r="AC95" s="20">
        <f t="shared" si="13"/>
        <v>66</v>
      </c>
      <c r="AD95" s="20">
        <f t="shared" si="14"/>
        <v>43</v>
      </c>
      <c r="AE95" s="20">
        <f t="shared" si="15"/>
        <v>25</v>
      </c>
      <c r="AF95" s="20">
        <f t="shared" si="16"/>
        <v>7</v>
      </c>
    </row>
    <row r="96" spans="26:32" x14ac:dyDescent="0.15">
      <c r="Z96" s="9"/>
      <c r="AA96" s="9">
        <v>92</v>
      </c>
      <c r="AB96" s="20">
        <f t="shared" si="12"/>
        <v>33</v>
      </c>
      <c r="AC96" s="20">
        <f t="shared" si="13"/>
        <v>66</v>
      </c>
      <c r="AD96" s="20">
        <f t="shared" si="14"/>
        <v>43</v>
      </c>
      <c r="AE96" s="20">
        <f t="shared" si="15"/>
        <v>25</v>
      </c>
      <c r="AF96" s="20">
        <f t="shared" si="16"/>
        <v>7</v>
      </c>
    </row>
    <row r="97" spans="26:32" x14ac:dyDescent="0.15">
      <c r="Z97" s="9"/>
      <c r="AA97" s="9">
        <v>93</v>
      </c>
      <c r="AB97" s="20">
        <f t="shared" si="12"/>
        <v>33</v>
      </c>
      <c r="AC97" s="20">
        <f t="shared" si="13"/>
        <v>66</v>
      </c>
      <c r="AD97" s="20">
        <f t="shared" si="14"/>
        <v>43</v>
      </c>
      <c r="AE97" s="20">
        <f t="shared" si="15"/>
        <v>25</v>
      </c>
      <c r="AF97" s="20">
        <f t="shared" si="16"/>
        <v>7</v>
      </c>
    </row>
    <row r="98" spans="26:32" x14ac:dyDescent="0.15">
      <c r="Z98" s="9"/>
      <c r="AA98" s="9">
        <v>94</v>
      </c>
      <c r="AB98" s="20">
        <f t="shared" si="12"/>
        <v>33</v>
      </c>
      <c r="AC98" s="20">
        <f t="shared" si="13"/>
        <v>66</v>
      </c>
      <c r="AD98" s="20">
        <f t="shared" si="14"/>
        <v>43</v>
      </c>
      <c r="AE98" s="20">
        <f t="shared" si="15"/>
        <v>25</v>
      </c>
      <c r="AF98" s="20">
        <f t="shared" si="16"/>
        <v>7</v>
      </c>
    </row>
    <row r="99" spans="26:32" x14ac:dyDescent="0.15">
      <c r="Z99" s="9"/>
      <c r="AA99" s="9">
        <v>95</v>
      </c>
      <c r="AB99" s="20">
        <f t="shared" si="12"/>
        <v>33</v>
      </c>
      <c r="AC99" s="20">
        <f t="shared" si="13"/>
        <v>66</v>
      </c>
      <c r="AD99" s="20">
        <f t="shared" si="14"/>
        <v>43</v>
      </c>
      <c r="AE99" s="20">
        <f t="shared" si="15"/>
        <v>25</v>
      </c>
      <c r="AF99" s="20">
        <f t="shared" si="16"/>
        <v>7</v>
      </c>
    </row>
    <row r="100" spans="26:32" x14ac:dyDescent="0.15">
      <c r="Z100" s="9"/>
      <c r="AA100" s="9">
        <v>96</v>
      </c>
      <c r="AB100" s="20">
        <f t="shared" si="12"/>
        <v>33</v>
      </c>
      <c r="AC100" s="20">
        <f t="shared" si="13"/>
        <v>66</v>
      </c>
      <c r="AD100" s="20">
        <f t="shared" si="14"/>
        <v>43</v>
      </c>
      <c r="AE100" s="20">
        <f t="shared" si="15"/>
        <v>25</v>
      </c>
      <c r="AF100" s="20">
        <f t="shared" si="16"/>
        <v>7</v>
      </c>
    </row>
    <row r="101" spans="26:32" x14ac:dyDescent="0.15">
      <c r="Z101" s="9"/>
      <c r="AA101" s="9">
        <v>97</v>
      </c>
      <c r="AB101" s="20">
        <f t="shared" si="12"/>
        <v>33</v>
      </c>
      <c r="AC101" s="20">
        <f t="shared" si="13"/>
        <v>66</v>
      </c>
      <c r="AD101" s="20">
        <f t="shared" si="14"/>
        <v>43</v>
      </c>
      <c r="AE101" s="20">
        <f t="shared" si="15"/>
        <v>25</v>
      </c>
      <c r="AF101" s="20">
        <f t="shared" si="16"/>
        <v>7</v>
      </c>
    </row>
    <row r="102" spans="26:32" x14ac:dyDescent="0.15">
      <c r="Z102" s="9"/>
      <c r="AA102" s="9">
        <v>98</v>
      </c>
      <c r="AB102" s="20">
        <f t="shared" si="12"/>
        <v>33</v>
      </c>
      <c r="AC102" s="20">
        <f t="shared" si="13"/>
        <v>66</v>
      </c>
      <c r="AD102" s="20">
        <f t="shared" si="14"/>
        <v>43</v>
      </c>
      <c r="AE102" s="20">
        <f t="shared" si="15"/>
        <v>25</v>
      </c>
      <c r="AF102" s="20">
        <f t="shared" si="16"/>
        <v>7</v>
      </c>
    </row>
    <row r="103" spans="26:32" x14ac:dyDescent="0.15">
      <c r="Z103" s="9"/>
      <c r="AA103" s="9">
        <v>99</v>
      </c>
      <c r="AB103" s="20">
        <f t="shared" si="12"/>
        <v>33</v>
      </c>
      <c r="AC103" s="20">
        <f t="shared" si="13"/>
        <v>66</v>
      </c>
      <c r="AD103" s="20">
        <f t="shared" si="14"/>
        <v>43</v>
      </c>
      <c r="AE103" s="20">
        <f t="shared" si="15"/>
        <v>25</v>
      </c>
      <c r="AF103" s="20">
        <f t="shared" si="16"/>
        <v>7</v>
      </c>
    </row>
    <row r="104" spans="26:32" x14ac:dyDescent="0.15">
      <c r="Z104" s="9"/>
      <c r="AA104" s="9">
        <v>100</v>
      </c>
      <c r="AB104" s="20">
        <f t="shared" si="12"/>
        <v>33</v>
      </c>
      <c r="AC104" s="20">
        <f t="shared" si="13"/>
        <v>66</v>
      </c>
      <c r="AD104" s="20">
        <f t="shared" si="14"/>
        <v>43</v>
      </c>
      <c r="AE104" s="20">
        <f t="shared" si="15"/>
        <v>25</v>
      </c>
      <c r="AF104" s="20">
        <f t="shared" si="16"/>
        <v>7</v>
      </c>
    </row>
  </sheetData>
  <mergeCells count="7">
    <mergeCell ref="S6:W6"/>
    <mergeCell ref="F25:G25"/>
    <mergeCell ref="AB3:AF3"/>
    <mergeCell ref="C25:D25"/>
    <mergeCell ref="L6:M6"/>
    <mergeCell ref="O6:P6"/>
    <mergeCell ref="X6:Y6"/>
  </mergeCells>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AM185"/>
  <sheetViews>
    <sheetView workbookViewId="0">
      <selection activeCell="E10" sqref="E10"/>
    </sheetView>
  </sheetViews>
  <sheetFormatPr defaultRowHeight="11.25" x14ac:dyDescent="0.15"/>
  <cols>
    <col min="1" max="23" width="9" style="1"/>
    <col min="24" max="25" width="9" style="12"/>
    <col min="26" max="16384" width="9" style="1"/>
  </cols>
  <sheetData>
    <row r="2" spans="2:39" x14ac:dyDescent="0.15">
      <c r="J2" s="1" t="s">
        <v>41</v>
      </c>
      <c r="X2" s="1"/>
      <c r="Y2" s="1"/>
    </row>
    <row r="3" spans="2:39" x14ac:dyDescent="0.15">
      <c r="P3" s="1" t="s">
        <v>43</v>
      </c>
      <c r="Q3" s="1" t="s">
        <v>31</v>
      </c>
      <c r="R3" s="1" t="s">
        <v>32</v>
      </c>
      <c r="S3" s="1" t="s">
        <v>33</v>
      </c>
      <c r="T3" s="1" t="s">
        <v>42</v>
      </c>
      <c r="U3" s="1" t="s">
        <v>34</v>
      </c>
      <c r="X3" s="1"/>
      <c r="Y3" s="1"/>
      <c r="AB3" s="1" t="s">
        <v>44</v>
      </c>
      <c r="AC3" s="1" t="s">
        <v>45</v>
      </c>
      <c r="AD3" s="63" t="s">
        <v>46</v>
      </c>
      <c r="AE3" s="63"/>
      <c r="AF3" s="63"/>
      <c r="AG3" s="63"/>
      <c r="AH3" s="1" t="s">
        <v>54</v>
      </c>
      <c r="AJ3" s="1" t="s">
        <v>24</v>
      </c>
      <c r="AK3" s="1" t="s">
        <v>62</v>
      </c>
      <c r="AL3" s="1" t="s">
        <v>72</v>
      </c>
      <c r="AM3" s="1" t="s">
        <v>73</v>
      </c>
    </row>
    <row r="4" spans="2:39" x14ac:dyDescent="0.15">
      <c r="I4" s="1" t="s">
        <v>24</v>
      </c>
      <c r="J4" s="1" t="s">
        <v>25</v>
      </c>
      <c r="K4" s="1" t="s">
        <v>26</v>
      </c>
      <c r="L4" s="1" t="s">
        <v>27</v>
      </c>
      <c r="M4" s="1" t="s">
        <v>28</v>
      </c>
      <c r="N4" s="1" t="s">
        <v>29</v>
      </c>
      <c r="P4" s="1">
        <v>1</v>
      </c>
      <c r="Q4" s="1">
        <f t="shared" ref="Q4:U7" si="0">$P4*C$12</f>
        <v>0</v>
      </c>
      <c r="R4" s="1">
        <f t="shared" si="0"/>
        <v>0</v>
      </c>
      <c r="S4" s="1">
        <f t="shared" si="0"/>
        <v>0</v>
      </c>
      <c r="T4" s="1">
        <f t="shared" si="0"/>
        <v>0</v>
      </c>
      <c r="U4" s="1">
        <f t="shared" si="0"/>
        <v>0</v>
      </c>
      <c r="X4" s="1"/>
      <c r="Y4" s="1"/>
      <c r="AB4" s="1">
        <v>0</v>
      </c>
      <c r="AC4" s="1">
        <v>0</v>
      </c>
      <c r="AH4" s="1">
        <v>0</v>
      </c>
      <c r="AJ4" s="1">
        <v>1</v>
      </c>
      <c r="AK4" s="1">
        <f>求节点($AC$4:$AC$17,$AH$4:$AH$17,AJ4)</f>
        <v>81.25</v>
      </c>
      <c r="AL4" s="1">
        <f>IF(AJ4&lt;=$AC$26,求节点($AC$21:$AC$26,$AH$21:$AH$26,AJ4),$AH$26)</f>
        <v>0.3125</v>
      </c>
      <c r="AM4" s="1">
        <f>AK4+AL4</f>
        <v>81.5625</v>
      </c>
    </row>
    <row r="5" spans="2:39" x14ac:dyDescent="0.15">
      <c r="C5" s="11"/>
      <c r="D5" s="11"/>
      <c r="E5" s="11"/>
      <c r="F5" s="11"/>
      <c r="I5" s="1">
        <v>1</v>
      </c>
      <c r="J5" s="1">
        <f t="shared" ref="J5:J24" si="1">C$7+C$8*$I5</f>
        <v>15</v>
      </c>
      <c r="K5" s="1">
        <f t="shared" ref="K5:K24" si="2">D$7+D$8*$I5</f>
        <v>30</v>
      </c>
      <c r="L5" s="1">
        <f t="shared" ref="L5:L24" si="3">E$7+E$8*$I5</f>
        <v>45</v>
      </c>
      <c r="M5" s="1">
        <f t="shared" ref="M5:M24" si="4">F$7+F$8*$I5</f>
        <v>60</v>
      </c>
      <c r="N5" s="1">
        <f t="shared" ref="N5:N24" si="5">G$7+G$8*$I5</f>
        <v>75</v>
      </c>
      <c r="P5" s="1">
        <v>2</v>
      </c>
      <c r="Q5" s="1">
        <f t="shared" si="0"/>
        <v>0</v>
      </c>
      <c r="R5" s="1">
        <f t="shared" si="0"/>
        <v>0</v>
      </c>
      <c r="S5" s="1">
        <f t="shared" si="0"/>
        <v>0</v>
      </c>
      <c r="T5" s="1">
        <f t="shared" si="0"/>
        <v>0</v>
      </c>
      <c r="U5" s="1">
        <f t="shared" si="0"/>
        <v>0</v>
      </c>
      <c r="X5" s="1"/>
      <c r="Y5" s="1"/>
      <c r="AB5" s="1" t="s">
        <v>7</v>
      </c>
      <c r="AC5" s="1">
        <v>8</v>
      </c>
      <c r="AD5" s="1" t="s">
        <v>33</v>
      </c>
      <c r="AE5" s="1">
        <v>1</v>
      </c>
      <c r="AF5" s="1" t="s">
        <v>32</v>
      </c>
      <c r="AG5" s="1">
        <v>5</v>
      </c>
      <c r="AH5" s="1">
        <f>IFERROR(INDEX($J:$N,MATCH(AC5,$I:$I,0),MATCH(AD5,$J$4:$N$4,0))*AE5+INDEX($J:$N,MATCH(AC5,$I:$I,0),MATCH(AF5,$J$4:$N$4,0))*AG5,INDEX($J:$N,MATCH(AC5,$I:$I,0),MATCH(AD5,$J$4:$N$4,0))*AE5)</f>
        <v>650</v>
      </c>
      <c r="AJ5" s="1">
        <v>2</v>
      </c>
      <c r="AK5" s="1">
        <f t="shared" ref="AK5:AK68" si="6">求节点($AC$4:$AC$17,$AH$4:$AH$17,AJ5)</f>
        <v>162.5</v>
      </c>
      <c r="AL5" s="1">
        <f t="shared" ref="AL5:AL68" si="7">IF(AJ5&lt;=$AC$26,求节点($AC$21:$AC$26,$AH$21:$AH$26,AJ5),$AH$26)</f>
        <v>0.625</v>
      </c>
      <c r="AM5" s="1">
        <f t="shared" ref="AM5:AM68" si="8">AK5+AL5</f>
        <v>163.125</v>
      </c>
    </row>
    <row r="6" spans="2:39" x14ac:dyDescent="0.15">
      <c r="B6" s="1" t="s">
        <v>30</v>
      </c>
      <c r="C6" s="1" t="s">
        <v>31</v>
      </c>
      <c r="D6" s="1" t="s">
        <v>32</v>
      </c>
      <c r="E6" s="1" t="s">
        <v>33</v>
      </c>
      <c r="F6" s="1" t="s">
        <v>28</v>
      </c>
      <c r="G6" s="1" t="s">
        <v>34</v>
      </c>
      <c r="I6" s="1">
        <v>2</v>
      </c>
      <c r="J6" s="1">
        <f t="shared" si="1"/>
        <v>20</v>
      </c>
      <c r="K6" s="1">
        <f t="shared" si="2"/>
        <v>40</v>
      </c>
      <c r="L6" s="1">
        <f t="shared" si="3"/>
        <v>60</v>
      </c>
      <c r="M6" s="1">
        <f t="shared" si="4"/>
        <v>80</v>
      </c>
      <c r="N6" s="1">
        <f t="shared" si="5"/>
        <v>100</v>
      </c>
      <c r="P6" s="1">
        <v>3</v>
      </c>
      <c r="Q6" s="1">
        <f t="shared" si="0"/>
        <v>0</v>
      </c>
      <c r="R6" s="1">
        <f t="shared" si="0"/>
        <v>0</v>
      </c>
      <c r="S6" s="1">
        <f t="shared" si="0"/>
        <v>0</v>
      </c>
      <c r="T6" s="1">
        <f t="shared" si="0"/>
        <v>0</v>
      </c>
      <c r="U6" s="1">
        <f t="shared" si="0"/>
        <v>0</v>
      </c>
      <c r="X6" s="1"/>
      <c r="Y6" s="1"/>
      <c r="AB6" s="1" t="s">
        <v>8</v>
      </c>
      <c r="AC6" s="1">
        <v>12</v>
      </c>
      <c r="AD6" s="1" t="s">
        <v>33</v>
      </c>
      <c r="AE6" s="1">
        <v>3</v>
      </c>
      <c r="AF6" s="1" t="s">
        <v>32</v>
      </c>
      <c r="AG6" s="1">
        <v>3</v>
      </c>
      <c r="AH6" s="1">
        <f t="shared" ref="AH6:AH17" si="9">IFERROR(INDEX($J:$N,MATCH(AC6,$I:$I,0),MATCH(AD6,$J$4:$N$4,0))*AE6+INDEX($J:$N,MATCH(AC6,$I:$I,0),MATCH(AF6,$J$4:$N$4,0))*AG6,INDEX($J:$N,MATCH(AC6,$I:$I,0),MATCH(AD6,$J$4:$N$4,0))*AE6)</f>
        <v>1050</v>
      </c>
      <c r="AJ6" s="1">
        <v>3</v>
      </c>
      <c r="AK6" s="1">
        <f t="shared" si="6"/>
        <v>243.75</v>
      </c>
      <c r="AL6" s="1">
        <f t="shared" si="7"/>
        <v>0.9375</v>
      </c>
      <c r="AM6" s="1">
        <f t="shared" si="8"/>
        <v>244.6875</v>
      </c>
    </row>
    <row r="7" spans="2:39" x14ac:dyDescent="0.15">
      <c r="B7" s="1" t="s">
        <v>35</v>
      </c>
      <c r="C7" s="1">
        <v>10</v>
      </c>
      <c r="D7" s="1">
        <v>20</v>
      </c>
      <c r="E7" s="1">
        <v>30</v>
      </c>
      <c r="F7" s="1">
        <v>40</v>
      </c>
      <c r="G7" s="1">
        <v>50</v>
      </c>
      <c r="I7" s="1">
        <v>3</v>
      </c>
      <c r="J7" s="1">
        <f t="shared" si="1"/>
        <v>25</v>
      </c>
      <c r="K7" s="1">
        <f t="shared" si="2"/>
        <v>50</v>
      </c>
      <c r="L7" s="1">
        <f t="shared" si="3"/>
        <v>75</v>
      </c>
      <c r="M7" s="1">
        <f t="shared" si="4"/>
        <v>100</v>
      </c>
      <c r="N7" s="1">
        <f t="shared" si="5"/>
        <v>125</v>
      </c>
      <c r="P7" s="1">
        <v>4</v>
      </c>
      <c r="Q7" s="1">
        <f t="shared" si="0"/>
        <v>0</v>
      </c>
      <c r="R7" s="1">
        <f t="shared" si="0"/>
        <v>0</v>
      </c>
      <c r="S7" s="1">
        <f t="shared" si="0"/>
        <v>0</v>
      </c>
      <c r="T7" s="1">
        <f t="shared" si="0"/>
        <v>0</v>
      </c>
      <c r="U7" s="1">
        <f t="shared" si="0"/>
        <v>0</v>
      </c>
      <c r="X7" s="1"/>
      <c r="Y7" s="1"/>
      <c r="AB7" s="1" t="s">
        <v>9</v>
      </c>
      <c r="AC7" s="1">
        <v>16</v>
      </c>
      <c r="AD7" s="1" t="s">
        <v>33</v>
      </c>
      <c r="AE7" s="1">
        <v>5</v>
      </c>
      <c r="AF7" s="1" t="s">
        <v>32</v>
      </c>
      <c r="AG7" s="1">
        <v>1</v>
      </c>
      <c r="AH7" s="1">
        <f t="shared" si="9"/>
        <v>1530</v>
      </c>
      <c r="AJ7" s="1">
        <v>4</v>
      </c>
      <c r="AK7" s="1">
        <f t="shared" si="6"/>
        <v>325</v>
      </c>
      <c r="AL7" s="1">
        <f t="shared" si="7"/>
        <v>1.25</v>
      </c>
      <c r="AM7" s="1">
        <f t="shared" si="8"/>
        <v>326.25</v>
      </c>
    </row>
    <row r="8" spans="2:39" x14ac:dyDescent="0.15">
      <c r="B8" s="1" t="s">
        <v>36</v>
      </c>
      <c r="C8" s="1">
        <v>5</v>
      </c>
      <c r="D8" s="1">
        <v>10</v>
      </c>
      <c r="E8" s="1">
        <v>15</v>
      </c>
      <c r="F8" s="1">
        <v>20</v>
      </c>
      <c r="G8" s="1">
        <v>25</v>
      </c>
      <c r="I8" s="1">
        <v>4</v>
      </c>
      <c r="J8" s="1">
        <f t="shared" si="1"/>
        <v>30</v>
      </c>
      <c r="K8" s="1">
        <f t="shared" si="2"/>
        <v>60</v>
      </c>
      <c r="L8" s="1">
        <f t="shared" si="3"/>
        <v>90</v>
      </c>
      <c r="M8" s="1">
        <f t="shared" si="4"/>
        <v>120</v>
      </c>
      <c r="N8" s="1">
        <f t="shared" si="5"/>
        <v>150</v>
      </c>
      <c r="P8" s="1">
        <v>5</v>
      </c>
      <c r="Q8" s="1">
        <f t="shared" ref="Q8:R10" si="10">$P8*C$12</f>
        <v>0</v>
      </c>
      <c r="R8" s="1">
        <f t="shared" si="10"/>
        <v>0</v>
      </c>
      <c r="S8" s="1">
        <v>40</v>
      </c>
      <c r="T8" s="1">
        <f t="shared" ref="T8:U10" si="11">$P8*F$12</f>
        <v>0</v>
      </c>
      <c r="U8" s="1">
        <f t="shared" si="11"/>
        <v>0</v>
      </c>
      <c r="X8" s="1"/>
      <c r="Y8" s="1"/>
      <c r="AB8" s="1" t="s">
        <v>10</v>
      </c>
      <c r="AC8" s="1">
        <v>20</v>
      </c>
      <c r="AD8" s="1" t="s">
        <v>28</v>
      </c>
      <c r="AE8" s="1">
        <v>1</v>
      </c>
      <c r="AF8" s="1" t="s">
        <v>33</v>
      </c>
      <c r="AG8" s="1">
        <v>5</v>
      </c>
      <c r="AH8" s="1">
        <f t="shared" si="9"/>
        <v>2090</v>
      </c>
      <c r="AJ8" s="1">
        <v>5</v>
      </c>
      <c r="AK8" s="1">
        <f t="shared" si="6"/>
        <v>406.25</v>
      </c>
      <c r="AL8" s="1">
        <f t="shared" si="7"/>
        <v>1.5625</v>
      </c>
      <c r="AM8" s="1">
        <f t="shared" si="8"/>
        <v>407.8125</v>
      </c>
    </row>
    <row r="9" spans="2:39" x14ac:dyDescent="0.15">
      <c r="B9" s="1" t="s">
        <v>37</v>
      </c>
      <c r="C9" s="1">
        <v>0</v>
      </c>
      <c r="D9" s="1">
        <v>8</v>
      </c>
      <c r="E9" s="1">
        <v>8</v>
      </c>
      <c r="F9" s="1">
        <v>8</v>
      </c>
      <c r="G9" s="1">
        <v>8</v>
      </c>
      <c r="I9" s="1">
        <v>5</v>
      </c>
      <c r="J9" s="1">
        <f t="shared" si="1"/>
        <v>35</v>
      </c>
      <c r="K9" s="1">
        <f t="shared" si="2"/>
        <v>70</v>
      </c>
      <c r="L9" s="1">
        <f t="shared" si="3"/>
        <v>105</v>
      </c>
      <c r="M9" s="1">
        <f t="shared" si="4"/>
        <v>140</v>
      </c>
      <c r="N9" s="1">
        <f t="shared" si="5"/>
        <v>175</v>
      </c>
      <c r="P9" s="1">
        <v>6</v>
      </c>
      <c r="Q9" s="1">
        <f t="shared" si="10"/>
        <v>0</v>
      </c>
      <c r="R9" s="1">
        <f t="shared" si="10"/>
        <v>0</v>
      </c>
      <c r="S9" s="1">
        <v>40</v>
      </c>
      <c r="T9" s="1">
        <f t="shared" si="11"/>
        <v>0</v>
      </c>
      <c r="U9" s="1">
        <f t="shared" si="11"/>
        <v>0</v>
      </c>
      <c r="X9" s="1"/>
      <c r="Y9" s="1"/>
      <c r="AB9" s="1" t="s">
        <v>20</v>
      </c>
      <c r="AC9" s="1">
        <v>30</v>
      </c>
      <c r="AD9" s="1" t="s">
        <v>28</v>
      </c>
      <c r="AE9" s="1">
        <v>4</v>
      </c>
      <c r="AF9" s="1" t="s">
        <v>33</v>
      </c>
      <c r="AG9" s="1">
        <v>2</v>
      </c>
      <c r="AH9" s="1">
        <f t="shared" si="9"/>
        <v>3520</v>
      </c>
      <c r="AJ9" s="1">
        <v>6</v>
      </c>
      <c r="AK9" s="1">
        <f t="shared" si="6"/>
        <v>487.5</v>
      </c>
      <c r="AL9" s="1">
        <f t="shared" si="7"/>
        <v>1.875</v>
      </c>
      <c r="AM9" s="1">
        <f t="shared" si="8"/>
        <v>489.375</v>
      </c>
    </row>
    <row r="10" spans="2:39" x14ac:dyDescent="0.15">
      <c r="B10" s="1" t="s">
        <v>38</v>
      </c>
      <c r="C10" s="1">
        <v>0</v>
      </c>
      <c r="D10" s="1">
        <v>0</v>
      </c>
      <c r="E10" s="1">
        <v>0</v>
      </c>
      <c r="F10" s="1">
        <v>0</v>
      </c>
      <c r="G10" s="1">
        <v>0</v>
      </c>
      <c r="I10" s="1">
        <v>6</v>
      </c>
      <c r="J10" s="1">
        <f t="shared" si="1"/>
        <v>40</v>
      </c>
      <c r="K10" s="1">
        <f t="shared" si="2"/>
        <v>80</v>
      </c>
      <c r="L10" s="1">
        <f t="shared" si="3"/>
        <v>120</v>
      </c>
      <c r="M10" s="1">
        <f t="shared" si="4"/>
        <v>160</v>
      </c>
      <c r="N10" s="1">
        <f t="shared" si="5"/>
        <v>200</v>
      </c>
      <c r="P10" s="1">
        <v>7</v>
      </c>
      <c r="Q10" s="1">
        <f t="shared" si="10"/>
        <v>0</v>
      </c>
      <c r="R10" s="1">
        <f t="shared" si="10"/>
        <v>0</v>
      </c>
      <c r="S10" s="1">
        <v>40</v>
      </c>
      <c r="T10" s="1">
        <f t="shared" si="11"/>
        <v>0</v>
      </c>
      <c r="U10" s="1">
        <f t="shared" si="11"/>
        <v>0</v>
      </c>
      <c r="X10" s="1"/>
      <c r="Y10" s="1"/>
      <c r="AB10" s="1" t="s">
        <v>11</v>
      </c>
      <c r="AC10" s="1">
        <v>35</v>
      </c>
      <c r="AD10" s="1" t="s">
        <v>28</v>
      </c>
      <c r="AE10" s="1">
        <v>6</v>
      </c>
      <c r="AH10" s="1">
        <f t="shared" si="9"/>
        <v>4440</v>
      </c>
      <c r="AJ10" s="1">
        <v>7</v>
      </c>
      <c r="AK10" s="1">
        <f t="shared" si="6"/>
        <v>568.75</v>
      </c>
      <c r="AL10" s="1">
        <f t="shared" si="7"/>
        <v>2.1875</v>
      </c>
      <c r="AM10" s="1">
        <f t="shared" si="8"/>
        <v>570.9375</v>
      </c>
    </row>
    <row r="11" spans="2:39" x14ac:dyDescent="0.15">
      <c r="B11" s="1" t="s">
        <v>39</v>
      </c>
      <c r="C11" s="1">
        <v>2</v>
      </c>
      <c r="D11" s="1">
        <v>3</v>
      </c>
      <c r="E11" s="1">
        <v>4</v>
      </c>
      <c r="F11" s="1">
        <v>5</v>
      </c>
      <c r="G11" s="1">
        <v>7</v>
      </c>
      <c r="I11" s="1">
        <v>7</v>
      </c>
      <c r="J11" s="1">
        <f t="shared" si="1"/>
        <v>45</v>
      </c>
      <c r="K11" s="1">
        <f t="shared" si="2"/>
        <v>90</v>
      </c>
      <c r="L11" s="1">
        <f t="shared" si="3"/>
        <v>135</v>
      </c>
      <c r="M11" s="1">
        <f t="shared" si="4"/>
        <v>180</v>
      </c>
      <c r="N11" s="1">
        <f t="shared" si="5"/>
        <v>225</v>
      </c>
      <c r="X11" s="1"/>
      <c r="Y11" s="1"/>
      <c r="AB11" s="1" t="s">
        <v>58</v>
      </c>
      <c r="AC11" s="1">
        <v>40</v>
      </c>
      <c r="AD11" s="1" t="s">
        <v>28</v>
      </c>
      <c r="AE11" s="1">
        <v>6</v>
      </c>
      <c r="AH11" s="1">
        <f t="shared" si="9"/>
        <v>5040</v>
      </c>
      <c r="AJ11" s="1">
        <v>8</v>
      </c>
      <c r="AK11" s="1">
        <f t="shared" si="6"/>
        <v>650</v>
      </c>
      <c r="AL11" s="1">
        <f t="shared" si="7"/>
        <v>2.5</v>
      </c>
      <c r="AM11" s="1">
        <f t="shared" si="8"/>
        <v>652.5</v>
      </c>
    </row>
    <row r="12" spans="2:39" x14ac:dyDescent="0.15">
      <c r="B12" s="1" t="s">
        <v>40</v>
      </c>
      <c r="C12" s="1">
        <v>0</v>
      </c>
      <c r="D12" s="1">
        <v>0</v>
      </c>
      <c r="E12" s="1">
        <v>0</v>
      </c>
      <c r="F12" s="1">
        <v>0</v>
      </c>
      <c r="G12" s="1">
        <v>0</v>
      </c>
      <c r="I12" s="1">
        <v>8</v>
      </c>
      <c r="J12" s="1">
        <f t="shared" si="1"/>
        <v>50</v>
      </c>
      <c r="K12" s="1">
        <f t="shared" si="2"/>
        <v>100</v>
      </c>
      <c r="L12" s="1">
        <f t="shared" si="3"/>
        <v>150</v>
      </c>
      <c r="M12" s="1">
        <f t="shared" si="4"/>
        <v>200</v>
      </c>
      <c r="N12" s="1">
        <f t="shared" si="5"/>
        <v>250</v>
      </c>
      <c r="X12" s="1"/>
      <c r="Y12" s="1"/>
      <c r="AB12" s="1" t="s">
        <v>58</v>
      </c>
      <c r="AC12" s="1">
        <v>50</v>
      </c>
      <c r="AD12" s="1" t="s">
        <v>28</v>
      </c>
      <c r="AE12" s="1">
        <v>6</v>
      </c>
      <c r="AH12" s="1">
        <f t="shared" si="9"/>
        <v>6240</v>
      </c>
      <c r="AJ12" s="1">
        <v>9</v>
      </c>
      <c r="AK12" s="1">
        <f t="shared" si="6"/>
        <v>750</v>
      </c>
      <c r="AL12" s="1">
        <f t="shared" si="7"/>
        <v>2.8125</v>
      </c>
      <c r="AM12" s="1">
        <f t="shared" si="8"/>
        <v>752.8125</v>
      </c>
    </row>
    <row r="13" spans="2:39" x14ac:dyDescent="0.15">
      <c r="I13" s="1">
        <v>9</v>
      </c>
      <c r="J13" s="1">
        <f t="shared" si="1"/>
        <v>55</v>
      </c>
      <c r="K13" s="1">
        <f t="shared" si="2"/>
        <v>110</v>
      </c>
      <c r="L13" s="1">
        <f t="shared" si="3"/>
        <v>165</v>
      </c>
      <c r="M13" s="1">
        <f t="shared" si="4"/>
        <v>220</v>
      </c>
      <c r="N13" s="1">
        <f t="shared" si="5"/>
        <v>275</v>
      </c>
      <c r="X13" s="1"/>
      <c r="Y13" s="1"/>
      <c r="AB13" s="1" t="s">
        <v>58</v>
      </c>
      <c r="AC13" s="1">
        <v>60</v>
      </c>
      <c r="AD13" s="1" t="s">
        <v>28</v>
      </c>
      <c r="AE13" s="1">
        <v>6</v>
      </c>
      <c r="AH13" s="1">
        <f t="shared" si="9"/>
        <v>7440</v>
      </c>
      <c r="AJ13" s="1">
        <v>10</v>
      </c>
      <c r="AK13" s="1">
        <f t="shared" si="6"/>
        <v>850</v>
      </c>
      <c r="AL13" s="1">
        <f t="shared" si="7"/>
        <v>3.125</v>
      </c>
      <c r="AM13" s="1">
        <f t="shared" si="8"/>
        <v>853.125</v>
      </c>
    </row>
    <row r="14" spans="2:39" x14ac:dyDescent="0.15">
      <c r="I14" s="1">
        <v>10</v>
      </c>
      <c r="J14" s="1">
        <f t="shared" si="1"/>
        <v>60</v>
      </c>
      <c r="K14" s="1">
        <f t="shared" si="2"/>
        <v>120</v>
      </c>
      <c r="L14" s="1">
        <f t="shared" si="3"/>
        <v>180</v>
      </c>
      <c r="M14" s="1">
        <f t="shared" si="4"/>
        <v>240</v>
      </c>
      <c r="N14" s="1">
        <f t="shared" si="5"/>
        <v>300</v>
      </c>
      <c r="X14" s="1"/>
      <c r="Y14" s="1"/>
      <c r="AB14" s="1" t="s">
        <v>58</v>
      </c>
      <c r="AC14" s="1">
        <v>70</v>
      </c>
      <c r="AD14" s="1" t="s">
        <v>28</v>
      </c>
      <c r="AE14" s="1">
        <v>6</v>
      </c>
      <c r="AH14" s="1">
        <f t="shared" si="9"/>
        <v>8640</v>
      </c>
      <c r="AJ14" s="1">
        <v>11</v>
      </c>
      <c r="AK14" s="1">
        <f t="shared" si="6"/>
        <v>950</v>
      </c>
      <c r="AL14" s="1">
        <f t="shared" si="7"/>
        <v>3.4375</v>
      </c>
      <c r="AM14" s="1">
        <f t="shared" si="8"/>
        <v>953.4375</v>
      </c>
    </row>
    <row r="15" spans="2:39" x14ac:dyDescent="0.15">
      <c r="I15" s="1">
        <v>11</v>
      </c>
      <c r="J15" s="1">
        <f t="shared" si="1"/>
        <v>65</v>
      </c>
      <c r="K15" s="1">
        <f t="shared" si="2"/>
        <v>130</v>
      </c>
      <c r="L15" s="1">
        <f t="shared" si="3"/>
        <v>195</v>
      </c>
      <c r="M15" s="1">
        <f t="shared" si="4"/>
        <v>260</v>
      </c>
      <c r="N15" s="1">
        <f t="shared" si="5"/>
        <v>325</v>
      </c>
      <c r="X15" s="1"/>
      <c r="Y15" s="1"/>
      <c r="AB15" s="1" t="s">
        <v>58</v>
      </c>
      <c r="AC15" s="1">
        <v>80</v>
      </c>
      <c r="AD15" s="1" t="s">
        <v>28</v>
      </c>
      <c r="AE15" s="1">
        <v>6</v>
      </c>
      <c r="AH15" s="1">
        <f t="shared" si="9"/>
        <v>9840</v>
      </c>
      <c r="AJ15" s="1">
        <v>12</v>
      </c>
      <c r="AK15" s="1">
        <f t="shared" si="6"/>
        <v>1050</v>
      </c>
      <c r="AL15" s="1">
        <f t="shared" si="7"/>
        <v>3.75</v>
      </c>
      <c r="AM15" s="1">
        <f t="shared" si="8"/>
        <v>1053.75</v>
      </c>
    </row>
    <row r="16" spans="2:39" x14ac:dyDescent="0.15">
      <c r="I16" s="1">
        <v>12</v>
      </c>
      <c r="J16" s="1">
        <f t="shared" si="1"/>
        <v>70</v>
      </c>
      <c r="K16" s="1">
        <f t="shared" si="2"/>
        <v>140</v>
      </c>
      <c r="L16" s="1">
        <f t="shared" si="3"/>
        <v>210</v>
      </c>
      <c r="M16" s="1">
        <f t="shared" si="4"/>
        <v>280</v>
      </c>
      <c r="N16" s="1">
        <f t="shared" si="5"/>
        <v>350</v>
      </c>
      <c r="X16" s="1"/>
      <c r="Y16" s="1"/>
      <c r="AB16" s="1" t="s">
        <v>58</v>
      </c>
      <c r="AC16" s="1">
        <v>90</v>
      </c>
      <c r="AD16" s="1" t="s">
        <v>28</v>
      </c>
      <c r="AE16" s="1">
        <v>6</v>
      </c>
      <c r="AH16" s="1">
        <f t="shared" si="9"/>
        <v>11040</v>
      </c>
      <c r="AJ16" s="1">
        <v>13</v>
      </c>
      <c r="AK16" s="1">
        <f t="shared" si="6"/>
        <v>1170</v>
      </c>
      <c r="AL16" s="1">
        <f t="shared" si="7"/>
        <v>4.0625</v>
      </c>
      <c r="AM16" s="1">
        <f t="shared" si="8"/>
        <v>1174.0625</v>
      </c>
    </row>
    <row r="17" spans="9:39" x14ac:dyDescent="0.15">
      <c r="I17" s="1">
        <v>13</v>
      </c>
      <c r="J17" s="1">
        <f t="shared" si="1"/>
        <v>75</v>
      </c>
      <c r="K17" s="1">
        <f t="shared" si="2"/>
        <v>150</v>
      </c>
      <c r="L17" s="1">
        <f t="shared" si="3"/>
        <v>225</v>
      </c>
      <c r="M17" s="1">
        <f t="shared" si="4"/>
        <v>300</v>
      </c>
      <c r="N17" s="1">
        <f t="shared" si="5"/>
        <v>375</v>
      </c>
      <c r="X17" s="1"/>
      <c r="Y17" s="1"/>
      <c r="AB17" s="1" t="s">
        <v>58</v>
      </c>
      <c r="AC17" s="1">
        <v>100</v>
      </c>
      <c r="AD17" s="1" t="s">
        <v>28</v>
      </c>
      <c r="AE17" s="1">
        <v>6</v>
      </c>
      <c r="AH17" s="1">
        <f t="shared" si="9"/>
        <v>12240</v>
      </c>
      <c r="AJ17" s="1">
        <v>14</v>
      </c>
      <c r="AK17" s="1">
        <f t="shared" si="6"/>
        <v>1290</v>
      </c>
      <c r="AL17" s="1">
        <f t="shared" si="7"/>
        <v>4.375</v>
      </c>
      <c r="AM17" s="1">
        <f t="shared" si="8"/>
        <v>1294.375</v>
      </c>
    </row>
    <row r="18" spans="9:39" x14ac:dyDescent="0.15">
      <c r="I18" s="1">
        <v>14</v>
      </c>
      <c r="J18" s="1">
        <f t="shared" si="1"/>
        <v>80</v>
      </c>
      <c r="K18" s="1">
        <f t="shared" si="2"/>
        <v>160</v>
      </c>
      <c r="L18" s="1">
        <f t="shared" si="3"/>
        <v>240</v>
      </c>
      <c r="M18" s="1">
        <f t="shared" si="4"/>
        <v>320</v>
      </c>
      <c r="N18" s="1">
        <f t="shared" si="5"/>
        <v>400</v>
      </c>
      <c r="X18" s="1"/>
      <c r="Y18" s="1"/>
      <c r="AJ18" s="1">
        <v>15</v>
      </c>
      <c r="AK18" s="1">
        <f t="shared" si="6"/>
        <v>1410</v>
      </c>
      <c r="AL18" s="1">
        <f t="shared" si="7"/>
        <v>4.6875</v>
      </c>
      <c r="AM18" s="1">
        <f t="shared" si="8"/>
        <v>1414.6875</v>
      </c>
    </row>
    <row r="19" spans="9:39" x14ac:dyDescent="0.15">
      <c r="I19" s="1">
        <v>15</v>
      </c>
      <c r="J19" s="1">
        <f t="shared" si="1"/>
        <v>85</v>
      </c>
      <c r="K19" s="1">
        <f t="shared" si="2"/>
        <v>170</v>
      </c>
      <c r="L19" s="1">
        <f t="shared" si="3"/>
        <v>255</v>
      </c>
      <c r="M19" s="1">
        <f t="shared" si="4"/>
        <v>340</v>
      </c>
      <c r="N19" s="1">
        <f t="shared" si="5"/>
        <v>425</v>
      </c>
      <c r="X19" s="1"/>
      <c r="Y19" s="1"/>
      <c r="AJ19" s="1">
        <v>16</v>
      </c>
      <c r="AK19" s="1">
        <f t="shared" si="6"/>
        <v>1530</v>
      </c>
      <c r="AL19" s="1">
        <f t="shared" si="7"/>
        <v>5</v>
      </c>
      <c r="AM19" s="1">
        <f t="shared" si="8"/>
        <v>1535</v>
      </c>
    </row>
    <row r="20" spans="9:39" x14ac:dyDescent="0.15">
      <c r="I20" s="1">
        <v>16</v>
      </c>
      <c r="J20" s="1">
        <f t="shared" si="1"/>
        <v>90</v>
      </c>
      <c r="K20" s="1">
        <f t="shared" si="2"/>
        <v>180</v>
      </c>
      <c r="L20" s="1">
        <f t="shared" si="3"/>
        <v>270</v>
      </c>
      <c r="M20" s="1">
        <f t="shared" si="4"/>
        <v>360</v>
      </c>
      <c r="N20" s="1">
        <f t="shared" si="5"/>
        <v>450</v>
      </c>
      <c r="X20" s="1"/>
      <c r="Y20" s="1"/>
      <c r="AB20" s="1" t="s">
        <v>71</v>
      </c>
      <c r="AC20" s="1" t="s">
        <v>45</v>
      </c>
      <c r="AD20" s="63" t="s">
        <v>46</v>
      </c>
      <c r="AE20" s="63"/>
      <c r="AF20" s="63"/>
      <c r="AG20" s="63"/>
      <c r="AH20" s="1" t="s">
        <v>54</v>
      </c>
      <c r="AJ20" s="1">
        <v>17</v>
      </c>
      <c r="AK20" s="1">
        <f t="shared" si="6"/>
        <v>1670</v>
      </c>
      <c r="AL20" s="1">
        <f t="shared" si="7"/>
        <v>5.3125</v>
      </c>
      <c r="AM20" s="1">
        <f t="shared" si="8"/>
        <v>1675.3125</v>
      </c>
    </row>
    <row r="21" spans="9:39" x14ac:dyDescent="0.15">
      <c r="I21" s="1">
        <v>17</v>
      </c>
      <c r="J21" s="1">
        <f t="shared" si="1"/>
        <v>95</v>
      </c>
      <c r="K21" s="1">
        <f t="shared" si="2"/>
        <v>190</v>
      </c>
      <c r="L21" s="1">
        <f t="shared" si="3"/>
        <v>285</v>
      </c>
      <c r="M21" s="1">
        <f t="shared" si="4"/>
        <v>380</v>
      </c>
      <c r="N21" s="1">
        <f t="shared" si="5"/>
        <v>475</v>
      </c>
      <c r="X21" s="1"/>
      <c r="Y21" s="1"/>
      <c r="AB21" s="1">
        <v>0</v>
      </c>
      <c r="AC21" s="1">
        <v>0</v>
      </c>
      <c r="AD21" s="1">
        <v>0</v>
      </c>
      <c r="AE21" s="1">
        <v>0</v>
      </c>
      <c r="AH21" s="1">
        <v>0</v>
      </c>
      <c r="AJ21" s="1">
        <v>18</v>
      </c>
      <c r="AK21" s="1">
        <f t="shared" si="6"/>
        <v>1810</v>
      </c>
      <c r="AL21" s="1">
        <f t="shared" si="7"/>
        <v>5.625</v>
      </c>
      <c r="AM21" s="1">
        <f t="shared" si="8"/>
        <v>1815.625</v>
      </c>
    </row>
    <row r="22" spans="9:39" x14ac:dyDescent="0.15">
      <c r="I22" s="1">
        <v>18</v>
      </c>
      <c r="J22" s="1">
        <f t="shared" si="1"/>
        <v>100</v>
      </c>
      <c r="K22" s="1">
        <f t="shared" si="2"/>
        <v>200</v>
      </c>
      <c r="L22" s="1">
        <f t="shared" si="3"/>
        <v>300</v>
      </c>
      <c r="M22" s="1">
        <f t="shared" si="4"/>
        <v>400</v>
      </c>
      <c r="N22" s="1">
        <f t="shared" si="5"/>
        <v>500</v>
      </c>
      <c r="X22" s="1"/>
      <c r="Y22" s="1"/>
      <c r="AB22" s="1" t="s">
        <v>63</v>
      </c>
      <c r="AC22" s="1">
        <v>32</v>
      </c>
      <c r="AD22" s="1" t="s">
        <v>47</v>
      </c>
      <c r="AE22" s="1">
        <v>1</v>
      </c>
      <c r="AH22" s="1">
        <v>10</v>
      </c>
      <c r="AJ22" s="1">
        <v>19</v>
      </c>
      <c r="AK22" s="1">
        <f t="shared" si="6"/>
        <v>1950</v>
      </c>
      <c r="AL22" s="1">
        <f t="shared" si="7"/>
        <v>5.9375</v>
      </c>
      <c r="AM22" s="1">
        <f t="shared" si="8"/>
        <v>1955.9375</v>
      </c>
    </row>
    <row r="23" spans="9:39" x14ac:dyDescent="0.15">
      <c r="I23" s="1">
        <v>19</v>
      </c>
      <c r="J23" s="1">
        <f t="shared" si="1"/>
        <v>105</v>
      </c>
      <c r="K23" s="1">
        <f t="shared" si="2"/>
        <v>210</v>
      </c>
      <c r="L23" s="1">
        <f t="shared" si="3"/>
        <v>315</v>
      </c>
      <c r="M23" s="1">
        <f t="shared" si="4"/>
        <v>420</v>
      </c>
      <c r="N23" s="1">
        <f t="shared" si="5"/>
        <v>525</v>
      </c>
      <c r="X23" s="1"/>
      <c r="Y23" s="1"/>
      <c r="AB23" s="1" t="s">
        <v>64</v>
      </c>
      <c r="AC23" s="1">
        <v>44</v>
      </c>
      <c r="AD23" s="1" t="s">
        <v>68</v>
      </c>
      <c r="AE23" s="1">
        <v>1</v>
      </c>
      <c r="AH23" s="1">
        <v>20</v>
      </c>
      <c r="AJ23" s="1">
        <v>20</v>
      </c>
      <c r="AK23" s="1">
        <f t="shared" si="6"/>
        <v>2090</v>
      </c>
      <c r="AL23" s="1">
        <f t="shared" si="7"/>
        <v>6.25</v>
      </c>
      <c r="AM23" s="1">
        <f t="shared" si="8"/>
        <v>2096.25</v>
      </c>
    </row>
    <row r="24" spans="9:39" x14ac:dyDescent="0.15">
      <c r="I24" s="1">
        <v>20</v>
      </c>
      <c r="J24" s="1">
        <f t="shared" si="1"/>
        <v>110</v>
      </c>
      <c r="K24" s="1">
        <f t="shared" si="2"/>
        <v>220</v>
      </c>
      <c r="L24" s="1">
        <f t="shared" si="3"/>
        <v>330</v>
      </c>
      <c r="M24" s="1">
        <f t="shared" si="4"/>
        <v>440</v>
      </c>
      <c r="N24" s="1">
        <f t="shared" si="5"/>
        <v>550</v>
      </c>
      <c r="X24" s="1"/>
      <c r="Y24" s="1"/>
      <c r="AB24" s="1" t="s">
        <v>65</v>
      </c>
      <c r="AC24" s="1">
        <v>48</v>
      </c>
      <c r="AD24" s="1" t="s">
        <v>68</v>
      </c>
      <c r="AE24" s="1">
        <v>6</v>
      </c>
      <c r="AH24" s="1">
        <v>120</v>
      </c>
      <c r="AJ24" s="1">
        <v>21</v>
      </c>
      <c r="AK24" s="1">
        <f t="shared" si="6"/>
        <v>2233</v>
      </c>
      <c r="AL24" s="1">
        <f t="shared" si="7"/>
        <v>6.5625</v>
      </c>
      <c r="AM24" s="1">
        <f t="shared" si="8"/>
        <v>2239.5625</v>
      </c>
    </row>
    <row r="25" spans="9:39" x14ac:dyDescent="0.15">
      <c r="I25" s="1">
        <v>21</v>
      </c>
      <c r="K25" s="1">
        <f t="shared" ref="K25:K56" si="12">D$7+D$8*$I25</f>
        <v>230</v>
      </c>
      <c r="L25" s="1">
        <f t="shared" ref="L25:L56" si="13">E$7+E$8*$I25</f>
        <v>345</v>
      </c>
      <c r="M25" s="1">
        <f t="shared" ref="M25:M56" si="14">F$7+F$8*$I25</f>
        <v>460</v>
      </c>
      <c r="N25" s="1">
        <f t="shared" ref="N25:N56" si="15">G$7+G$8*$I25</f>
        <v>575</v>
      </c>
      <c r="X25" s="1"/>
      <c r="Y25" s="1"/>
      <c r="AB25" s="1" t="s">
        <v>66</v>
      </c>
      <c r="AC25" s="1">
        <v>58</v>
      </c>
      <c r="AD25" s="1" t="s">
        <v>69</v>
      </c>
      <c r="AE25" s="1">
        <v>6</v>
      </c>
      <c r="AH25" s="1">
        <v>360</v>
      </c>
      <c r="AJ25" s="1">
        <v>22</v>
      </c>
      <c r="AK25" s="1">
        <f t="shared" si="6"/>
        <v>2376</v>
      </c>
      <c r="AL25" s="1">
        <f t="shared" si="7"/>
        <v>6.875</v>
      </c>
      <c r="AM25" s="1">
        <f t="shared" si="8"/>
        <v>2382.875</v>
      </c>
    </row>
    <row r="26" spans="9:39" x14ac:dyDescent="0.15">
      <c r="I26" s="1">
        <v>22</v>
      </c>
      <c r="K26" s="1">
        <f t="shared" si="12"/>
        <v>240</v>
      </c>
      <c r="L26" s="1">
        <f t="shared" si="13"/>
        <v>360</v>
      </c>
      <c r="M26" s="1">
        <f t="shared" si="14"/>
        <v>480</v>
      </c>
      <c r="N26" s="1">
        <f t="shared" si="15"/>
        <v>600</v>
      </c>
      <c r="X26" s="1"/>
      <c r="Y26" s="1"/>
      <c r="AB26" s="1" t="s">
        <v>67</v>
      </c>
      <c r="AC26" s="1">
        <v>66</v>
      </c>
      <c r="AD26" s="1" t="s">
        <v>70</v>
      </c>
      <c r="AE26" s="1">
        <v>6</v>
      </c>
      <c r="AH26" s="1">
        <v>840</v>
      </c>
      <c r="AJ26" s="1">
        <v>23</v>
      </c>
      <c r="AK26" s="1">
        <f t="shared" si="6"/>
        <v>2519</v>
      </c>
      <c r="AL26" s="1">
        <f t="shared" si="7"/>
        <v>7.1875</v>
      </c>
      <c r="AM26" s="1">
        <f t="shared" si="8"/>
        <v>2526.1875</v>
      </c>
    </row>
    <row r="27" spans="9:39" x14ac:dyDescent="0.15">
      <c r="I27" s="1">
        <v>23</v>
      </c>
      <c r="K27" s="1">
        <f t="shared" si="12"/>
        <v>250</v>
      </c>
      <c r="L27" s="1">
        <f t="shared" si="13"/>
        <v>375</v>
      </c>
      <c r="M27" s="1">
        <f t="shared" si="14"/>
        <v>500</v>
      </c>
      <c r="N27" s="1">
        <f t="shared" si="15"/>
        <v>625</v>
      </c>
      <c r="X27" s="1"/>
      <c r="Y27" s="1"/>
      <c r="AJ27" s="1">
        <v>24</v>
      </c>
      <c r="AK27" s="1">
        <f t="shared" si="6"/>
        <v>2662</v>
      </c>
      <c r="AL27" s="1">
        <f t="shared" si="7"/>
        <v>7.5</v>
      </c>
      <c r="AM27" s="1">
        <f t="shared" si="8"/>
        <v>2669.5</v>
      </c>
    </row>
    <row r="28" spans="9:39" x14ac:dyDescent="0.15">
      <c r="I28" s="1">
        <v>24</v>
      </c>
      <c r="K28" s="1">
        <f t="shared" si="12"/>
        <v>260</v>
      </c>
      <c r="L28" s="1">
        <f t="shared" si="13"/>
        <v>390</v>
      </c>
      <c r="M28" s="1">
        <f t="shared" si="14"/>
        <v>520</v>
      </c>
      <c r="N28" s="1">
        <f t="shared" si="15"/>
        <v>650</v>
      </c>
      <c r="X28" s="1"/>
      <c r="Y28" s="1"/>
      <c r="AJ28" s="1">
        <v>25</v>
      </c>
      <c r="AK28" s="1">
        <f t="shared" si="6"/>
        <v>2805</v>
      </c>
      <c r="AL28" s="1">
        <f t="shared" si="7"/>
        <v>7.8125</v>
      </c>
      <c r="AM28" s="1">
        <f t="shared" si="8"/>
        <v>2812.8125</v>
      </c>
    </row>
    <row r="29" spans="9:39" x14ac:dyDescent="0.15">
      <c r="I29" s="1">
        <v>25</v>
      </c>
      <c r="K29" s="1">
        <f t="shared" si="12"/>
        <v>270</v>
      </c>
      <c r="L29" s="1">
        <f t="shared" si="13"/>
        <v>405</v>
      </c>
      <c r="M29" s="1">
        <f t="shared" si="14"/>
        <v>540</v>
      </c>
      <c r="N29" s="1">
        <f t="shared" si="15"/>
        <v>675</v>
      </c>
      <c r="X29" s="1"/>
      <c r="Y29" s="1"/>
      <c r="AJ29" s="1">
        <v>26</v>
      </c>
      <c r="AK29" s="1">
        <f t="shared" si="6"/>
        <v>2948</v>
      </c>
      <c r="AL29" s="1">
        <f t="shared" si="7"/>
        <v>8.125</v>
      </c>
      <c r="AM29" s="1">
        <f t="shared" si="8"/>
        <v>2956.125</v>
      </c>
    </row>
    <row r="30" spans="9:39" x14ac:dyDescent="0.15">
      <c r="I30" s="1">
        <v>26</v>
      </c>
      <c r="K30" s="1">
        <f t="shared" si="12"/>
        <v>280</v>
      </c>
      <c r="L30" s="1">
        <f t="shared" si="13"/>
        <v>420</v>
      </c>
      <c r="M30" s="1">
        <f t="shared" si="14"/>
        <v>560</v>
      </c>
      <c r="N30" s="1">
        <f t="shared" si="15"/>
        <v>700</v>
      </c>
      <c r="X30" s="1"/>
      <c r="Y30" s="1"/>
      <c r="AJ30" s="1">
        <v>27</v>
      </c>
      <c r="AK30" s="1">
        <f t="shared" si="6"/>
        <v>3091</v>
      </c>
      <c r="AL30" s="1">
        <f t="shared" si="7"/>
        <v>8.4375</v>
      </c>
      <c r="AM30" s="1">
        <f t="shared" si="8"/>
        <v>3099.4375</v>
      </c>
    </row>
    <row r="31" spans="9:39" x14ac:dyDescent="0.15">
      <c r="I31" s="1">
        <v>27</v>
      </c>
      <c r="K31" s="1">
        <f t="shared" si="12"/>
        <v>290</v>
      </c>
      <c r="L31" s="1">
        <f t="shared" si="13"/>
        <v>435</v>
      </c>
      <c r="M31" s="1">
        <f t="shared" si="14"/>
        <v>580</v>
      </c>
      <c r="N31" s="1">
        <f t="shared" si="15"/>
        <v>725</v>
      </c>
      <c r="X31" s="1"/>
      <c r="Y31" s="1"/>
      <c r="AJ31" s="1">
        <v>28</v>
      </c>
      <c r="AK31" s="1">
        <f t="shared" si="6"/>
        <v>3234</v>
      </c>
      <c r="AL31" s="1">
        <f t="shared" si="7"/>
        <v>8.75</v>
      </c>
      <c r="AM31" s="1">
        <f t="shared" si="8"/>
        <v>3242.75</v>
      </c>
    </row>
    <row r="32" spans="9:39" x14ac:dyDescent="0.15">
      <c r="I32" s="1">
        <v>28</v>
      </c>
      <c r="K32" s="1">
        <f t="shared" si="12"/>
        <v>300</v>
      </c>
      <c r="L32" s="1">
        <f t="shared" si="13"/>
        <v>450</v>
      </c>
      <c r="M32" s="1">
        <f t="shared" si="14"/>
        <v>600</v>
      </c>
      <c r="N32" s="1">
        <f t="shared" si="15"/>
        <v>750</v>
      </c>
      <c r="X32" s="1"/>
      <c r="Y32" s="1"/>
      <c r="AJ32" s="1">
        <v>29</v>
      </c>
      <c r="AK32" s="1">
        <f t="shared" si="6"/>
        <v>3377</v>
      </c>
      <c r="AL32" s="1">
        <f t="shared" si="7"/>
        <v>9.0625</v>
      </c>
      <c r="AM32" s="1">
        <f t="shared" si="8"/>
        <v>3386.0625</v>
      </c>
    </row>
    <row r="33" spans="9:39" x14ac:dyDescent="0.15">
      <c r="I33" s="1">
        <v>29</v>
      </c>
      <c r="K33" s="1">
        <f t="shared" si="12"/>
        <v>310</v>
      </c>
      <c r="L33" s="1">
        <f t="shared" si="13"/>
        <v>465</v>
      </c>
      <c r="M33" s="1">
        <f t="shared" si="14"/>
        <v>620</v>
      </c>
      <c r="N33" s="1">
        <f t="shared" si="15"/>
        <v>775</v>
      </c>
      <c r="X33" s="1"/>
      <c r="Y33" s="1"/>
      <c r="AJ33" s="1">
        <v>30</v>
      </c>
      <c r="AK33" s="1">
        <f t="shared" si="6"/>
        <v>3520</v>
      </c>
      <c r="AL33" s="1">
        <f t="shared" si="7"/>
        <v>9.375</v>
      </c>
      <c r="AM33" s="1">
        <f t="shared" si="8"/>
        <v>3529.375</v>
      </c>
    </row>
    <row r="34" spans="9:39" x14ac:dyDescent="0.15">
      <c r="I34" s="1">
        <v>30</v>
      </c>
      <c r="K34" s="1">
        <f t="shared" si="12"/>
        <v>320</v>
      </c>
      <c r="L34" s="1">
        <f t="shared" si="13"/>
        <v>480</v>
      </c>
      <c r="M34" s="1">
        <f t="shared" si="14"/>
        <v>640</v>
      </c>
      <c r="N34" s="1">
        <f t="shared" si="15"/>
        <v>800</v>
      </c>
      <c r="X34" s="1"/>
      <c r="Y34" s="1"/>
      <c r="AJ34" s="1">
        <v>31</v>
      </c>
      <c r="AK34" s="1">
        <f t="shared" si="6"/>
        <v>3704</v>
      </c>
      <c r="AL34" s="1">
        <f t="shared" si="7"/>
        <v>9.6875</v>
      </c>
      <c r="AM34" s="1">
        <f t="shared" si="8"/>
        <v>3713.6875</v>
      </c>
    </row>
    <row r="35" spans="9:39" x14ac:dyDescent="0.15">
      <c r="I35" s="1">
        <v>31</v>
      </c>
      <c r="K35" s="1">
        <f t="shared" si="12"/>
        <v>330</v>
      </c>
      <c r="L35" s="1">
        <f t="shared" si="13"/>
        <v>495</v>
      </c>
      <c r="M35" s="1">
        <f t="shared" si="14"/>
        <v>660</v>
      </c>
      <c r="N35" s="1">
        <f t="shared" si="15"/>
        <v>825</v>
      </c>
      <c r="X35" s="1"/>
      <c r="Y35" s="1"/>
      <c r="AJ35" s="1">
        <v>32</v>
      </c>
      <c r="AK35" s="1">
        <f t="shared" si="6"/>
        <v>3888</v>
      </c>
      <c r="AL35" s="1">
        <f t="shared" si="7"/>
        <v>10</v>
      </c>
      <c r="AM35" s="1">
        <f t="shared" si="8"/>
        <v>3898</v>
      </c>
    </row>
    <row r="36" spans="9:39" x14ac:dyDescent="0.15">
      <c r="I36" s="1">
        <v>32</v>
      </c>
      <c r="K36" s="1">
        <f t="shared" si="12"/>
        <v>340</v>
      </c>
      <c r="L36" s="1">
        <f t="shared" si="13"/>
        <v>510</v>
      </c>
      <c r="M36" s="1">
        <f t="shared" si="14"/>
        <v>680</v>
      </c>
      <c r="N36" s="1">
        <f t="shared" si="15"/>
        <v>850</v>
      </c>
      <c r="X36" s="1"/>
      <c r="Y36" s="1"/>
      <c r="AJ36" s="1">
        <v>33</v>
      </c>
      <c r="AK36" s="1">
        <f t="shared" si="6"/>
        <v>4072</v>
      </c>
      <c r="AL36" s="1">
        <f t="shared" si="7"/>
        <v>10.833333333333334</v>
      </c>
      <c r="AM36" s="1">
        <f t="shared" si="8"/>
        <v>4082.8333333333335</v>
      </c>
    </row>
    <row r="37" spans="9:39" x14ac:dyDescent="0.15">
      <c r="I37" s="1">
        <v>33</v>
      </c>
      <c r="K37" s="1">
        <f t="shared" si="12"/>
        <v>350</v>
      </c>
      <c r="L37" s="1">
        <f t="shared" si="13"/>
        <v>525</v>
      </c>
      <c r="M37" s="1">
        <f t="shared" si="14"/>
        <v>700</v>
      </c>
      <c r="N37" s="1">
        <f t="shared" si="15"/>
        <v>875</v>
      </c>
      <c r="X37" s="1"/>
      <c r="Y37" s="1"/>
      <c r="AJ37" s="1">
        <v>34</v>
      </c>
      <c r="AK37" s="1">
        <f t="shared" si="6"/>
        <v>4256</v>
      </c>
      <c r="AL37" s="1">
        <f t="shared" si="7"/>
        <v>11.666666666666666</v>
      </c>
      <c r="AM37" s="1">
        <f t="shared" si="8"/>
        <v>4267.666666666667</v>
      </c>
    </row>
    <row r="38" spans="9:39" x14ac:dyDescent="0.15">
      <c r="I38" s="1">
        <v>34</v>
      </c>
      <c r="K38" s="1">
        <f t="shared" si="12"/>
        <v>360</v>
      </c>
      <c r="L38" s="1">
        <f t="shared" si="13"/>
        <v>540</v>
      </c>
      <c r="M38" s="1">
        <f t="shared" si="14"/>
        <v>720</v>
      </c>
      <c r="N38" s="1">
        <f t="shared" si="15"/>
        <v>900</v>
      </c>
      <c r="X38" s="1"/>
      <c r="Y38" s="1"/>
      <c r="AJ38" s="1">
        <v>35</v>
      </c>
      <c r="AK38" s="1">
        <f t="shared" si="6"/>
        <v>4440</v>
      </c>
      <c r="AL38" s="1">
        <f t="shared" si="7"/>
        <v>12.5</v>
      </c>
      <c r="AM38" s="1">
        <f t="shared" si="8"/>
        <v>4452.5</v>
      </c>
    </row>
    <row r="39" spans="9:39" x14ac:dyDescent="0.15">
      <c r="I39" s="1">
        <v>35</v>
      </c>
      <c r="K39" s="1">
        <f t="shared" si="12"/>
        <v>370</v>
      </c>
      <c r="L39" s="1">
        <f t="shared" si="13"/>
        <v>555</v>
      </c>
      <c r="M39" s="1">
        <f t="shared" si="14"/>
        <v>740</v>
      </c>
      <c r="N39" s="1">
        <f t="shared" si="15"/>
        <v>925</v>
      </c>
      <c r="X39" s="1"/>
      <c r="Y39" s="1"/>
      <c r="AJ39" s="1">
        <v>36</v>
      </c>
      <c r="AK39" s="1">
        <f t="shared" si="6"/>
        <v>4560</v>
      </c>
      <c r="AL39" s="1">
        <f t="shared" si="7"/>
        <v>13.333333333333334</v>
      </c>
      <c r="AM39" s="1">
        <f t="shared" si="8"/>
        <v>4573.333333333333</v>
      </c>
    </row>
    <row r="40" spans="9:39" x14ac:dyDescent="0.15">
      <c r="I40" s="1">
        <v>36</v>
      </c>
      <c r="K40" s="1">
        <f t="shared" si="12"/>
        <v>380</v>
      </c>
      <c r="L40" s="1">
        <f t="shared" si="13"/>
        <v>570</v>
      </c>
      <c r="M40" s="1">
        <f t="shared" si="14"/>
        <v>760</v>
      </c>
      <c r="N40" s="1">
        <f t="shared" si="15"/>
        <v>950</v>
      </c>
      <c r="X40" s="1"/>
      <c r="Y40" s="1"/>
      <c r="AJ40" s="1">
        <v>37</v>
      </c>
      <c r="AK40" s="1">
        <f t="shared" si="6"/>
        <v>4680</v>
      </c>
      <c r="AL40" s="1">
        <f t="shared" si="7"/>
        <v>14.166666666666668</v>
      </c>
      <c r="AM40" s="1">
        <f t="shared" si="8"/>
        <v>4694.166666666667</v>
      </c>
    </row>
    <row r="41" spans="9:39" x14ac:dyDescent="0.15">
      <c r="I41" s="1">
        <v>37</v>
      </c>
      <c r="K41" s="1">
        <f t="shared" si="12"/>
        <v>390</v>
      </c>
      <c r="L41" s="1">
        <f t="shared" si="13"/>
        <v>585</v>
      </c>
      <c r="M41" s="1">
        <f t="shared" si="14"/>
        <v>780</v>
      </c>
      <c r="N41" s="1">
        <f t="shared" si="15"/>
        <v>975</v>
      </c>
      <c r="X41" s="1"/>
      <c r="Y41" s="1"/>
      <c r="AJ41" s="1">
        <v>38</v>
      </c>
      <c r="AK41" s="1">
        <f t="shared" si="6"/>
        <v>4800</v>
      </c>
      <c r="AL41" s="1">
        <f t="shared" si="7"/>
        <v>15</v>
      </c>
      <c r="AM41" s="1">
        <f t="shared" si="8"/>
        <v>4815</v>
      </c>
    </row>
    <row r="42" spans="9:39" x14ac:dyDescent="0.15">
      <c r="I42" s="1">
        <v>38</v>
      </c>
      <c r="K42" s="1">
        <f t="shared" si="12"/>
        <v>400</v>
      </c>
      <c r="L42" s="1">
        <f t="shared" si="13"/>
        <v>600</v>
      </c>
      <c r="M42" s="1">
        <f t="shared" si="14"/>
        <v>800</v>
      </c>
      <c r="N42" s="1">
        <f t="shared" si="15"/>
        <v>1000</v>
      </c>
      <c r="X42" s="1"/>
      <c r="Y42" s="1"/>
      <c r="AJ42" s="1">
        <v>39</v>
      </c>
      <c r="AK42" s="1">
        <f t="shared" si="6"/>
        <v>4920</v>
      </c>
      <c r="AL42" s="1">
        <f t="shared" si="7"/>
        <v>15.833333333333334</v>
      </c>
      <c r="AM42" s="1">
        <f t="shared" si="8"/>
        <v>4935.833333333333</v>
      </c>
    </row>
    <row r="43" spans="9:39" x14ac:dyDescent="0.15">
      <c r="I43" s="1">
        <v>39</v>
      </c>
      <c r="K43" s="1">
        <f t="shared" si="12"/>
        <v>410</v>
      </c>
      <c r="L43" s="1">
        <f t="shared" si="13"/>
        <v>615</v>
      </c>
      <c r="M43" s="1">
        <f t="shared" si="14"/>
        <v>820</v>
      </c>
      <c r="N43" s="1">
        <f t="shared" si="15"/>
        <v>1025</v>
      </c>
      <c r="X43" s="1"/>
      <c r="Y43" s="1"/>
      <c r="AJ43" s="1">
        <v>40</v>
      </c>
      <c r="AK43" s="1">
        <f t="shared" si="6"/>
        <v>5040</v>
      </c>
      <c r="AL43" s="1">
        <f t="shared" si="7"/>
        <v>16.666666666666668</v>
      </c>
      <c r="AM43" s="1">
        <f t="shared" si="8"/>
        <v>5056.666666666667</v>
      </c>
    </row>
    <row r="44" spans="9:39" x14ac:dyDescent="0.15">
      <c r="I44" s="1">
        <v>40</v>
      </c>
      <c r="K44" s="1">
        <f t="shared" si="12"/>
        <v>420</v>
      </c>
      <c r="L44" s="1">
        <f t="shared" si="13"/>
        <v>630</v>
      </c>
      <c r="M44" s="1">
        <f t="shared" si="14"/>
        <v>840</v>
      </c>
      <c r="N44" s="1">
        <f t="shared" si="15"/>
        <v>1050</v>
      </c>
      <c r="X44" s="1"/>
      <c r="Y44" s="1"/>
      <c r="AJ44" s="1">
        <v>41</v>
      </c>
      <c r="AK44" s="1">
        <f t="shared" si="6"/>
        <v>5160</v>
      </c>
      <c r="AL44" s="1">
        <f t="shared" si="7"/>
        <v>17.5</v>
      </c>
      <c r="AM44" s="1">
        <f t="shared" si="8"/>
        <v>5177.5</v>
      </c>
    </row>
    <row r="45" spans="9:39" x14ac:dyDescent="0.15">
      <c r="I45" s="1">
        <v>41</v>
      </c>
      <c r="K45" s="1">
        <f t="shared" si="12"/>
        <v>430</v>
      </c>
      <c r="L45" s="1">
        <f t="shared" si="13"/>
        <v>645</v>
      </c>
      <c r="M45" s="1">
        <f t="shared" si="14"/>
        <v>860</v>
      </c>
      <c r="N45" s="1">
        <f t="shared" si="15"/>
        <v>1075</v>
      </c>
      <c r="X45" s="1"/>
      <c r="Y45" s="1"/>
      <c r="AJ45" s="1">
        <v>42</v>
      </c>
      <c r="AK45" s="1">
        <f t="shared" si="6"/>
        <v>5280</v>
      </c>
      <c r="AL45" s="1">
        <f t="shared" si="7"/>
        <v>18.333333333333336</v>
      </c>
      <c r="AM45" s="1">
        <f t="shared" si="8"/>
        <v>5298.333333333333</v>
      </c>
    </row>
    <row r="46" spans="9:39" x14ac:dyDescent="0.15">
      <c r="I46" s="1">
        <v>42</v>
      </c>
      <c r="K46" s="1">
        <f t="shared" si="12"/>
        <v>440</v>
      </c>
      <c r="L46" s="1">
        <f t="shared" si="13"/>
        <v>660</v>
      </c>
      <c r="M46" s="1">
        <f t="shared" si="14"/>
        <v>880</v>
      </c>
      <c r="N46" s="1">
        <f t="shared" si="15"/>
        <v>1100</v>
      </c>
      <c r="X46" s="1"/>
      <c r="Y46" s="1"/>
      <c r="AJ46" s="1">
        <v>43</v>
      </c>
      <c r="AK46" s="1">
        <f t="shared" si="6"/>
        <v>5400</v>
      </c>
      <c r="AL46" s="1">
        <f t="shared" si="7"/>
        <v>19.166666666666668</v>
      </c>
      <c r="AM46" s="1">
        <f t="shared" si="8"/>
        <v>5419.166666666667</v>
      </c>
    </row>
    <row r="47" spans="9:39" x14ac:dyDescent="0.15">
      <c r="I47" s="1">
        <v>43</v>
      </c>
      <c r="K47" s="1">
        <f t="shared" si="12"/>
        <v>450</v>
      </c>
      <c r="L47" s="1">
        <f t="shared" si="13"/>
        <v>675</v>
      </c>
      <c r="M47" s="1">
        <f t="shared" si="14"/>
        <v>900</v>
      </c>
      <c r="N47" s="1">
        <f t="shared" si="15"/>
        <v>1125</v>
      </c>
      <c r="X47" s="1"/>
      <c r="Y47" s="1"/>
      <c r="AJ47" s="1">
        <v>44</v>
      </c>
      <c r="AK47" s="1">
        <f t="shared" si="6"/>
        <v>5520</v>
      </c>
      <c r="AL47" s="1">
        <f t="shared" si="7"/>
        <v>20</v>
      </c>
      <c r="AM47" s="1">
        <f t="shared" si="8"/>
        <v>5540</v>
      </c>
    </row>
    <row r="48" spans="9:39" x14ac:dyDescent="0.15">
      <c r="I48" s="1">
        <v>44</v>
      </c>
      <c r="K48" s="1">
        <f t="shared" si="12"/>
        <v>460</v>
      </c>
      <c r="L48" s="1">
        <f t="shared" si="13"/>
        <v>690</v>
      </c>
      <c r="M48" s="1">
        <f t="shared" si="14"/>
        <v>920</v>
      </c>
      <c r="N48" s="1">
        <f t="shared" si="15"/>
        <v>1150</v>
      </c>
      <c r="X48" s="1"/>
      <c r="Y48" s="1"/>
      <c r="AJ48" s="1">
        <v>45</v>
      </c>
      <c r="AK48" s="1">
        <f t="shared" si="6"/>
        <v>5640</v>
      </c>
      <c r="AL48" s="1">
        <f t="shared" si="7"/>
        <v>45</v>
      </c>
      <c r="AM48" s="1">
        <f t="shared" si="8"/>
        <v>5685</v>
      </c>
    </row>
    <row r="49" spans="9:39" x14ac:dyDescent="0.15">
      <c r="I49" s="1">
        <v>45</v>
      </c>
      <c r="K49" s="1">
        <f t="shared" si="12"/>
        <v>470</v>
      </c>
      <c r="L49" s="1">
        <f t="shared" si="13"/>
        <v>705</v>
      </c>
      <c r="M49" s="1">
        <f t="shared" si="14"/>
        <v>940</v>
      </c>
      <c r="N49" s="1">
        <f t="shared" si="15"/>
        <v>1175</v>
      </c>
      <c r="X49" s="1"/>
      <c r="Y49" s="1"/>
      <c r="AJ49" s="1">
        <v>46</v>
      </c>
      <c r="AK49" s="1">
        <f t="shared" si="6"/>
        <v>5760</v>
      </c>
      <c r="AL49" s="1">
        <f t="shared" si="7"/>
        <v>70</v>
      </c>
      <c r="AM49" s="1">
        <f t="shared" si="8"/>
        <v>5830</v>
      </c>
    </row>
    <row r="50" spans="9:39" x14ac:dyDescent="0.15">
      <c r="I50" s="1">
        <v>46</v>
      </c>
      <c r="K50" s="1">
        <f t="shared" si="12"/>
        <v>480</v>
      </c>
      <c r="L50" s="1">
        <f t="shared" si="13"/>
        <v>720</v>
      </c>
      <c r="M50" s="1">
        <f t="shared" si="14"/>
        <v>960</v>
      </c>
      <c r="N50" s="1">
        <f t="shared" si="15"/>
        <v>1200</v>
      </c>
      <c r="X50" s="1"/>
      <c r="Y50" s="1"/>
      <c r="AJ50" s="1">
        <v>47</v>
      </c>
      <c r="AK50" s="1">
        <f t="shared" si="6"/>
        <v>5880</v>
      </c>
      <c r="AL50" s="1">
        <f t="shared" si="7"/>
        <v>95</v>
      </c>
      <c r="AM50" s="1">
        <f t="shared" si="8"/>
        <v>5975</v>
      </c>
    </row>
    <row r="51" spans="9:39" x14ac:dyDescent="0.15">
      <c r="I51" s="1">
        <v>47</v>
      </c>
      <c r="K51" s="1">
        <f t="shared" si="12"/>
        <v>490</v>
      </c>
      <c r="L51" s="1">
        <f t="shared" si="13"/>
        <v>735</v>
      </c>
      <c r="M51" s="1">
        <f t="shared" si="14"/>
        <v>980</v>
      </c>
      <c r="N51" s="1">
        <f t="shared" si="15"/>
        <v>1225</v>
      </c>
      <c r="X51" s="1"/>
      <c r="Y51" s="1"/>
      <c r="AJ51" s="1">
        <v>48</v>
      </c>
      <c r="AK51" s="1">
        <f t="shared" si="6"/>
        <v>6000</v>
      </c>
      <c r="AL51" s="1">
        <f t="shared" si="7"/>
        <v>120</v>
      </c>
      <c r="AM51" s="1">
        <f t="shared" si="8"/>
        <v>6120</v>
      </c>
    </row>
    <row r="52" spans="9:39" x14ac:dyDescent="0.15">
      <c r="I52" s="1">
        <v>48</v>
      </c>
      <c r="K52" s="1">
        <f t="shared" si="12"/>
        <v>500</v>
      </c>
      <c r="L52" s="1">
        <f t="shared" si="13"/>
        <v>750</v>
      </c>
      <c r="M52" s="1">
        <f t="shared" si="14"/>
        <v>1000</v>
      </c>
      <c r="N52" s="1">
        <f t="shared" si="15"/>
        <v>1250</v>
      </c>
      <c r="X52" s="1"/>
      <c r="Y52" s="1"/>
      <c r="AJ52" s="1">
        <v>49</v>
      </c>
      <c r="AK52" s="1">
        <f t="shared" si="6"/>
        <v>6120</v>
      </c>
      <c r="AL52" s="1">
        <f t="shared" si="7"/>
        <v>144</v>
      </c>
      <c r="AM52" s="1">
        <f t="shared" si="8"/>
        <v>6264</v>
      </c>
    </row>
    <row r="53" spans="9:39" x14ac:dyDescent="0.15">
      <c r="I53" s="1">
        <v>49</v>
      </c>
      <c r="K53" s="1">
        <f t="shared" si="12"/>
        <v>510</v>
      </c>
      <c r="L53" s="1">
        <f t="shared" si="13"/>
        <v>765</v>
      </c>
      <c r="M53" s="1">
        <f t="shared" si="14"/>
        <v>1020</v>
      </c>
      <c r="N53" s="1">
        <f t="shared" si="15"/>
        <v>1275</v>
      </c>
      <c r="X53" s="1"/>
      <c r="Y53" s="1"/>
      <c r="AJ53" s="1">
        <v>50</v>
      </c>
      <c r="AK53" s="1">
        <f t="shared" si="6"/>
        <v>6240</v>
      </c>
      <c r="AL53" s="1">
        <f t="shared" si="7"/>
        <v>168</v>
      </c>
      <c r="AM53" s="1">
        <f t="shared" si="8"/>
        <v>6408</v>
      </c>
    </row>
    <row r="54" spans="9:39" x14ac:dyDescent="0.15">
      <c r="I54" s="1">
        <v>50</v>
      </c>
      <c r="K54" s="1">
        <f t="shared" si="12"/>
        <v>520</v>
      </c>
      <c r="L54" s="1">
        <f t="shared" si="13"/>
        <v>780</v>
      </c>
      <c r="M54" s="1">
        <f t="shared" si="14"/>
        <v>1040</v>
      </c>
      <c r="N54" s="1">
        <f t="shared" si="15"/>
        <v>1300</v>
      </c>
      <c r="X54" s="1"/>
      <c r="Y54" s="1"/>
      <c r="AJ54" s="1">
        <v>51</v>
      </c>
      <c r="AK54" s="1">
        <f t="shared" si="6"/>
        <v>6360</v>
      </c>
      <c r="AL54" s="1">
        <f t="shared" si="7"/>
        <v>192</v>
      </c>
      <c r="AM54" s="1">
        <f t="shared" si="8"/>
        <v>6552</v>
      </c>
    </row>
    <row r="55" spans="9:39" x14ac:dyDescent="0.15">
      <c r="I55" s="1">
        <v>51</v>
      </c>
      <c r="K55" s="1">
        <f t="shared" si="12"/>
        <v>530</v>
      </c>
      <c r="L55" s="1">
        <f t="shared" si="13"/>
        <v>795</v>
      </c>
      <c r="M55" s="1">
        <f t="shared" si="14"/>
        <v>1060</v>
      </c>
      <c r="N55" s="1">
        <f t="shared" si="15"/>
        <v>1325</v>
      </c>
      <c r="X55" s="1"/>
      <c r="Y55" s="1"/>
      <c r="AJ55" s="1">
        <v>52</v>
      </c>
      <c r="AK55" s="1">
        <f t="shared" si="6"/>
        <v>6480</v>
      </c>
      <c r="AL55" s="1">
        <f t="shared" si="7"/>
        <v>216</v>
      </c>
      <c r="AM55" s="1">
        <f t="shared" si="8"/>
        <v>6696</v>
      </c>
    </row>
    <row r="56" spans="9:39" x14ac:dyDescent="0.15">
      <c r="I56" s="1">
        <v>52</v>
      </c>
      <c r="K56" s="1">
        <f t="shared" si="12"/>
        <v>540</v>
      </c>
      <c r="L56" s="1">
        <f t="shared" si="13"/>
        <v>810</v>
      </c>
      <c r="M56" s="1">
        <f t="shared" si="14"/>
        <v>1080</v>
      </c>
      <c r="N56" s="1">
        <f t="shared" si="15"/>
        <v>1350</v>
      </c>
      <c r="X56" s="1"/>
      <c r="Y56" s="1"/>
      <c r="AJ56" s="1">
        <v>53</v>
      </c>
      <c r="AK56" s="1">
        <f t="shared" si="6"/>
        <v>6600</v>
      </c>
      <c r="AL56" s="1">
        <f t="shared" si="7"/>
        <v>240</v>
      </c>
      <c r="AM56" s="1">
        <f t="shared" si="8"/>
        <v>6840</v>
      </c>
    </row>
    <row r="57" spans="9:39" x14ac:dyDescent="0.15">
      <c r="I57" s="1">
        <v>53</v>
      </c>
      <c r="K57" s="1">
        <f t="shared" ref="K57:K88" si="16">D$7+D$8*$I57</f>
        <v>550</v>
      </c>
      <c r="L57" s="1">
        <f t="shared" ref="L57:L88" si="17">E$7+E$8*$I57</f>
        <v>825</v>
      </c>
      <c r="M57" s="1">
        <f t="shared" ref="M57:M88" si="18">F$7+F$8*$I57</f>
        <v>1100</v>
      </c>
      <c r="N57" s="1">
        <f t="shared" ref="N57:N88" si="19">G$7+G$8*$I57</f>
        <v>1375</v>
      </c>
      <c r="X57" s="1"/>
      <c r="Y57" s="1"/>
      <c r="AJ57" s="1">
        <v>54</v>
      </c>
      <c r="AK57" s="1">
        <f t="shared" si="6"/>
        <v>6720</v>
      </c>
      <c r="AL57" s="1">
        <f t="shared" si="7"/>
        <v>264</v>
      </c>
      <c r="AM57" s="1">
        <f t="shared" si="8"/>
        <v>6984</v>
      </c>
    </row>
    <row r="58" spans="9:39" x14ac:dyDescent="0.15">
      <c r="I58" s="1">
        <v>54</v>
      </c>
      <c r="K58" s="1">
        <f t="shared" si="16"/>
        <v>560</v>
      </c>
      <c r="L58" s="1">
        <f t="shared" si="17"/>
        <v>840</v>
      </c>
      <c r="M58" s="1">
        <f t="shared" si="18"/>
        <v>1120</v>
      </c>
      <c r="N58" s="1">
        <f t="shared" si="19"/>
        <v>1400</v>
      </c>
      <c r="X58" s="1"/>
      <c r="Y58" s="1"/>
      <c r="AJ58" s="1">
        <v>55</v>
      </c>
      <c r="AK58" s="1">
        <f t="shared" si="6"/>
        <v>6840</v>
      </c>
      <c r="AL58" s="1">
        <f t="shared" si="7"/>
        <v>288</v>
      </c>
      <c r="AM58" s="1">
        <f t="shared" si="8"/>
        <v>7128</v>
      </c>
    </row>
    <row r="59" spans="9:39" x14ac:dyDescent="0.15">
      <c r="I59" s="1">
        <v>55</v>
      </c>
      <c r="K59" s="1">
        <f t="shared" si="16"/>
        <v>570</v>
      </c>
      <c r="L59" s="1">
        <f t="shared" si="17"/>
        <v>855</v>
      </c>
      <c r="M59" s="1">
        <f t="shared" si="18"/>
        <v>1140</v>
      </c>
      <c r="N59" s="1">
        <f t="shared" si="19"/>
        <v>1425</v>
      </c>
      <c r="X59" s="1"/>
      <c r="Y59" s="1"/>
      <c r="AJ59" s="1">
        <v>56</v>
      </c>
      <c r="AK59" s="1">
        <f t="shared" si="6"/>
        <v>6960</v>
      </c>
      <c r="AL59" s="1">
        <f t="shared" si="7"/>
        <v>312</v>
      </c>
      <c r="AM59" s="1">
        <f t="shared" si="8"/>
        <v>7272</v>
      </c>
    </row>
    <row r="60" spans="9:39" x14ac:dyDescent="0.15">
      <c r="I60" s="1">
        <v>56</v>
      </c>
      <c r="K60" s="1">
        <f t="shared" si="16"/>
        <v>580</v>
      </c>
      <c r="L60" s="1">
        <f t="shared" si="17"/>
        <v>870</v>
      </c>
      <c r="M60" s="1">
        <f t="shared" si="18"/>
        <v>1160</v>
      </c>
      <c r="N60" s="1">
        <f t="shared" si="19"/>
        <v>1450</v>
      </c>
      <c r="X60" s="1"/>
      <c r="Y60" s="1"/>
      <c r="AJ60" s="1">
        <v>57</v>
      </c>
      <c r="AK60" s="1">
        <f t="shared" si="6"/>
        <v>7080</v>
      </c>
      <c r="AL60" s="1">
        <f t="shared" si="7"/>
        <v>336</v>
      </c>
      <c r="AM60" s="1">
        <f t="shared" si="8"/>
        <v>7416</v>
      </c>
    </row>
    <row r="61" spans="9:39" x14ac:dyDescent="0.15">
      <c r="I61" s="1">
        <v>57</v>
      </c>
      <c r="K61" s="1">
        <f t="shared" si="16"/>
        <v>590</v>
      </c>
      <c r="L61" s="1">
        <f t="shared" si="17"/>
        <v>885</v>
      </c>
      <c r="M61" s="1">
        <f t="shared" si="18"/>
        <v>1180</v>
      </c>
      <c r="N61" s="1">
        <f t="shared" si="19"/>
        <v>1475</v>
      </c>
      <c r="X61" s="1"/>
      <c r="Y61" s="1"/>
      <c r="AJ61" s="1">
        <v>58</v>
      </c>
      <c r="AK61" s="1">
        <f t="shared" si="6"/>
        <v>7200</v>
      </c>
      <c r="AL61" s="1">
        <f t="shared" si="7"/>
        <v>360</v>
      </c>
      <c r="AM61" s="1">
        <f t="shared" si="8"/>
        <v>7560</v>
      </c>
    </row>
    <row r="62" spans="9:39" x14ac:dyDescent="0.15">
      <c r="I62" s="1">
        <v>58</v>
      </c>
      <c r="K62" s="1">
        <f t="shared" si="16"/>
        <v>600</v>
      </c>
      <c r="L62" s="1">
        <f t="shared" si="17"/>
        <v>900</v>
      </c>
      <c r="M62" s="1">
        <f t="shared" si="18"/>
        <v>1200</v>
      </c>
      <c r="N62" s="1">
        <f t="shared" si="19"/>
        <v>1500</v>
      </c>
      <c r="X62" s="1"/>
      <c r="Y62" s="1"/>
      <c r="AJ62" s="1">
        <v>59</v>
      </c>
      <c r="AK62" s="1">
        <f t="shared" si="6"/>
        <v>7320</v>
      </c>
      <c r="AL62" s="1">
        <f t="shared" si="7"/>
        <v>420</v>
      </c>
      <c r="AM62" s="1">
        <f t="shared" si="8"/>
        <v>7740</v>
      </c>
    </row>
    <row r="63" spans="9:39" x14ac:dyDescent="0.15">
      <c r="I63" s="1">
        <v>59</v>
      </c>
      <c r="K63" s="1">
        <f t="shared" si="16"/>
        <v>610</v>
      </c>
      <c r="L63" s="1">
        <f t="shared" si="17"/>
        <v>915</v>
      </c>
      <c r="M63" s="1">
        <f t="shared" si="18"/>
        <v>1220</v>
      </c>
      <c r="N63" s="1">
        <f t="shared" si="19"/>
        <v>1525</v>
      </c>
      <c r="X63" s="1"/>
      <c r="Y63" s="1"/>
      <c r="AJ63" s="1">
        <v>60</v>
      </c>
      <c r="AK63" s="1">
        <f t="shared" si="6"/>
        <v>7440</v>
      </c>
      <c r="AL63" s="1">
        <f t="shared" si="7"/>
        <v>480</v>
      </c>
      <c r="AM63" s="1">
        <f t="shared" si="8"/>
        <v>7920</v>
      </c>
    </row>
    <row r="64" spans="9:39" x14ac:dyDescent="0.15">
      <c r="I64" s="1">
        <v>60</v>
      </c>
      <c r="K64" s="1">
        <f t="shared" si="16"/>
        <v>620</v>
      </c>
      <c r="L64" s="1">
        <f t="shared" si="17"/>
        <v>930</v>
      </c>
      <c r="M64" s="1">
        <f t="shared" si="18"/>
        <v>1240</v>
      </c>
      <c r="N64" s="1">
        <f t="shared" si="19"/>
        <v>1550</v>
      </c>
      <c r="X64" s="1"/>
      <c r="Y64" s="1"/>
      <c r="AJ64" s="1">
        <v>61</v>
      </c>
      <c r="AK64" s="1">
        <f t="shared" si="6"/>
        <v>7560</v>
      </c>
      <c r="AL64" s="1">
        <f t="shared" si="7"/>
        <v>540</v>
      </c>
      <c r="AM64" s="1">
        <f t="shared" si="8"/>
        <v>8100</v>
      </c>
    </row>
    <row r="65" spans="9:39" x14ac:dyDescent="0.15">
      <c r="I65" s="1">
        <v>61</v>
      </c>
      <c r="K65" s="1">
        <f t="shared" si="16"/>
        <v>630</v>
      </c>
      <c r="L65" s="1">
        <f t="shared" si="17"/>
        <v>945</v>
      </c>
      <c r="M65" s="1">
        <f t="shared" si="18"/>
        <v>1260</v>
      </c>
      <c r="N65" s="1">
        <f t="shared" si="19"/>
        <v>1575</v>
      </c>
      <c r="X65" s="1"/>
      <c r="Y65" s="1"/>
      <c r="AJ65" s="1">
        <v>62</v>
      </c>
      <c r="AK65" s="1">
        <f t="shared" si="6"/>
        <v>7680</v>
      </c>
      <c r="AL65" s="1">
        <f t="shared" si="7"/>
        <v>600</v>
      </c>
      <c r="AM65" s="1">
        <f t="shared" si="8"/>
        <v>8280</v>
      </c>
    </row>
    <row r="66" spans="9:39" x14ac:dyDescent="0.15">
      <c r="I66" s="1">
        <v>62</v>
      </c>
      <c r="K66" s="1">
        <f t="shared" si="16"/>
        <v>640</v>
      </c>
      <c r="L66" s="1">
        <f t="shared" si="17"/>
        <v>960</v>
      </c>
      <c r="M66" s="1">
        <f t="shared" si="18"/>
        <v>1280</v>
      </c>
      <c r="N66" s="1">
        <f t="shared" si="19"/>
        <v>1600</v>
      </c>
      <c r="X66" s="1"/>
      <c r="Y66" s="1"/>
      <c r="AJ66" s="1">
        <v>63</v>
      </c>
      <c r="AK66" s="1">
        <f t="shared" si="6"/>
        <v>7800</v>
      </c>
      <c r="AL66" s="1">
        <f t="shared" si="7"/>
        <v>660</v>
      </c>
      <c r="AM66" s="1">
        <f t="shared" si="8"/>
        <v>8460</v>
      </c>
    </row>
    <row r="67" spans="9:39" x14ac:dyDescent="0.15">
      <c r="I67" s="1">
        <v>63</v>
      </c>
      <c r="K67" s="1">
        <f t="shared" si="16"/>
        <v>650</v>
      </c>
      <c r="L67" s="1">
        <f t="shared" si="17"/>
        <v>975</v>
      </c>
      <c r="M67" s="1">
        <f t="shared" si="18"/>
        <v>1300</v>
      </c>
      <c r="N67" s="1">
        <f t="shared" si="19"/>
        <v>1625</v>
      </c>
      <c r="X67" s="1"/>
      <c r="Y67" s="1"/>
      <c r="AJ67" s="1">
        <v>64</v>
      </c>
      <c r="AK67" s="1">
        <f t="shared" si="6"/>
        <v>7920</v>
      </c>
      <c r="AL67" s="1">
        <f t="shared" si="7"/>
        <v>720</v>
      </c>
      <c r="AM67" s="1">
        <f t="shared" si="8"/>
        <v>8640</v>
      </c>
    </row>
    <row r="68" spans="9:39" x14ac:dyDescent="0.15">
      <c r="I68" s="1">
        <v>64</v>
      </c>
      <c r="K68" s="1">
        <f t="shared" si="16"/>
        <v>660</v>
      </c>
      <c r="L68" s="1">
        <f t="shared" si="17"/>
        <v>990</v>
      </c>
      <c r="M68" s="1">
        <f t="shared" si="18"/>
        <v>1320</v>
      </c>
      <c r="N68" s="1">
        <f t="shared" si="19"/>
        <v>1650</v>
      </c>
      <c r="X68" s="1"/>
      <c r="Y68" s="1"/>
      <c r="AJ68" s="1">
        <v>65</v>
      </c>
      <c r="AK68" s="1">
        <f t="shared" si="6"/>
        <v>8040</v>
      </c>
      <c r="AL68" s="1">
        <f t="shared" si="7"/>
        <v>780</v>
      </c>
      <c r="AM68" s="1">
        <f t="shared" si="8"/>
        <v>8820</v>
      </c>
    </row>
    <row r="69" spans="9:39" x14ac:dyDescent="0.15">
      <c r="I69" s="1">
        <v>65</v>
      </c>
      <c r="K69" s="1">
        <f t="shared" si="16"/>
        <v>670</v>
      </c>
      <c r="L69" s="1">
        <f t="shared" si="17"/>
        <v>1005</v>
      </c>
      <c r="M69" s="1">
        <f t="shared" si="18"/>
        <v>1340</v>
      </c>
      <c r="N69" s="1">
        <f t="shared" si="19"/>
        <v>1675</v>
      </c>
      <c r="X69" s="1"/>
      <c r="Y69" s="1"/>
      <c r="AJ69" s="1">
        <v>66</v>
      </c>
      <c r="AK69" s="1">
        <f t="shared" ref="AK69:AK103" si="20">求节点($AC$4:$AC$17,$AH$4:$AH$17,AJ69)</f>
        <v>8160</v>
      </c>
      <c r="AL69" s="1">
        <f t="shared" ref="AL69:AL103" si="21">IF(AJ69&lt;=$AC$26,求节点($AC$21:$AC$26,$AH$21:$AH$26,AJ69),$AH$26)</f>
        <v>840</v>
      </c>
      <c r="AM69" s="1">
        <f t="shared" ref="AM69:AM103" si="22">AK69+AL69</f>
        <v>9000</v>
      </c>
    </row>
    <row r="70" spans="9:39" x14ac:dyDescent="0.15">
      <c r="I70" s="1">
        <v>66</v>
      </c>
      <c r="K70" s="1">
        <f t="shared" si="16"/>
        <v>680</v>
      </c>
      <c r="L70" s="1">
        <f t="shared" si="17"/>
        <v>1020</v>
      </c>
      <c r="M70" s="1">
        <f t="shared" si="18"/>
        <v>1360</v>
      </c>
      <c r="N70" s="1">
        <f t="shared" si="19"/>
        <v>1700</v>
      </c>
      <c r="X70" s="1"/>
      <c r="Y70" s="1"/>
      <c r="AJ70" s="1">
        <v>67</v>
      </c>
      <c r="AK70" s="1">
        <f t="shared" si="20"/>
        <v>8280</v>
      </c>
      <c r="AL70" s="1">
        <f t="shared" si="21"/>
        <v>840</v>
      </c>
      <c r="AM70" s="1">
        <f t="shared" si="22"/>
        <v>9120</v>
      </c>
    </row>
    <row r="71" spans="9:39" x14ac:dyDescent="0.15">
      <c r="I71" s="1">
        <v>67</v>
      </c>
      <c r="K71" s="1">
        <f t="shared" si="16"/>
        <v>690</v>
      </c>
      <c r="L71" s="1">
        <f t="shared" si="17"/>
        <v>1035</v>
      </c>
      <c r="M71" s="1">
        <f t="shared" si="18"/>
        <v>1380</v>
      </c>
      <c r="N71" s="1">
        <f t="shared" si="19"/>
        <v>1725</v>
      </c>
      <c r="X71" s="1"/>
      <c r="Y71" s="1"/>
      <c r="AJ71" s="1">
        <v>68</v>
      </c>
      <c r="AK71" s="1">
        <f t="shared" si="20"/>
        <v>8400</v>
      </c>
      <c r="AL71" s="1">
        <f t="shared" si="21"/>
        <v>840</v>
      </c>
      <c r="AM71" s="1">
        <f t="shared" si="22"/>
        <v>9240</v>
      </c>
    </row>
    <row r="72" spans="9:39" x14ac:dyDescent="0.15">
      <c r="I72" s="1">
        <v>68</v>
      </c>
      <c r="K72" s="1">
        <f t="shared" si="16"/>
        <v>700</v>
      </c>
      <c r="L72" s="1">
        <f t="shared" si="17"/>
        <v>1050</v>
      </c>
      <c r="M72" s="1">
        <f t="shared" si="18"/>
        <v>1400</v>
      </c>
      <c r="N72" s="1">
        <f t="shared" si="19"/>
        <v>1750</v>
      </c>
      <c r="X72" s="1"/>
      <c r="Y72" s="1"/>
      <c r="AJ72" s="1">
        <v>69</v>
      </c>
      <c r="AK72" s="1">
        <f t="shared" si="20"/>
        <v>8520</v>
      </c>
      <c r="AL72" s="1">
        <f t="shared" si="21"/>
        <v>840</v>
      </c>
      <c r="AM72" s="1">
        <f t="shared" si="22"/>
        <v>9360</v>
      </c>
    </row>
    <row r="73" spans="9:39" x14ac:dyDescent="0.15">
      <c r="I73" s="1">
        <v>69</v>
      </c>
      <c r="K73" s="1">
        <f t="shared" si="16"/>
        <v>710</v>
      </c>
      <c r="L73" s="1">
        <f t="shared" si="17"/>
        <v>1065</v>
      </c>
      <c r="M73" s="1">
        <f t="shared" si="18"/>
        <v>1420</v>
      </c>
      <c r="N73" s="1">
        <f t="shared" si="19"/>
        <v>1775</v>
      </c>
      <c r="X73" s="1"/>
      <c r="Y73" s="1"/>
      <c r="AJ73" s="1">
        <v>70</v>
      </c>
      <c r="AK73" s="1">
        <f t="shared" si="20"/>
        <v>8640</v>
      </c>
      <c r="AL73" s="1">
        <f t="shared" si="21"/>
        <v>840</v>
      </c>
      <c r="AM73" s="1">
        <f t="shared" si="22"/>
        <v>9480</v>
      </c>
    </row>
    <row r="74" spans="9:39" x14ac:dyDescent="0.15">
      <c r="I74" s="1">
        <v>70</v>
      </c>
      <c r="K74" s="1">
        <f t="shared" si="16"/>
        <v>720</v>
      </c>
      <c r="L74" s="1">
        <f t="shared" si="17"/>
        <v>1080</v>
      </c>
      <c r="M74" s="1">
        <f t="shared" si="18"/>
        <v>1440</v>
      </c>
      <c r="N74" s="1">
        <f t="shared" si="19"/>
        <v>1800</v>
      </c>
      <c r="X74" s="1"/>
      <c r="Y74" s="1"/>
      <c r="AJ74" s="1">
        <v>71</v>
      </c>
      <c r="AK74" s="1">
        <f t="shared" si="20"/>
        <v>8760</v>
      </c>
      <c r="AL74" s="1">
        <f t="shared" si="21"/>
        <v>840</v>
      </c>
      <c r="AM74" s="1">
        <f t="shared" si="22"/>
        <v>9600</v>
      </c>
    </row>
    <row r="75" spans="9:39" x14ac:dyDescent="0.15">
      <c r="I75" s="1">
        <v>71</v>
      </c>
      <c r="K75" s="1">
        <f t="shared" si="16"/>
        <v>730</v>
      </c>
      <c r="L75" s="1">
        <f t="shared" si="17"/>
        <v>1095</v>
      </c>
      <c r="M75" s="1">
        <f t="shared" si="18"/>
        <v>1460</v>
      </c>
      <c r="N75" s="1">
        <f t="shared" si="19"/>
        <v>1825</v>
      </c>
      <c r="X75" s="1"/>
      <c r="Y75" s="1"/>
      <c r="AJ75" s="1">
        <v>72</v>
      </c>
      <c r="AK75" s="1">
        <f t="shared" si="20"/>
        <v>8880</v>
      </c>
      <c r="AL75" s="1">
        <f t="shared" si="21"/>
        <v>840</v>
      </c>
      <c r="AM75" s="1">
        <f t="shared" si="22"/>
        <v>9720</v>
      </c>
    </row>
    <row r="76" spans="9:39" x14ac:dyDescent="0.15">
      <c r="I76" s="1">
        <v>72</v>
      </c>
      <c r="K76" s="1">
        <f t="shared" si="16"/>
        <v>740</v>
      </c>
      <c r="L76" s="1">
        <f t="shared" si="17"/>
        <v>1110</v>
      </c>
      <c r="M76" s="1">
        <f t="shared" si="18"/>
        <v>1480</v>
      </c>
      <c r="N76" s="1">
        <f t="shared" si="19"/>
        <v>1850</v>
      </c>
      <c r="X76" s="1"/>
      <c r="Y76" s="1"/>
      <c r="AJ76" s="1">
        <v>73</v>
      </c>
      <c r="AK76" s="1">
        <f t="shared" si="20"/>
        <v>9000</v>
      </c>
      <c r="AL76" s="1">
        <f t="shared" si="21"/>
        <v>840</v>
      </c>
      <c r="AM76" s="1">
        <f t="shared" si="22"/>
        <v>9840</v>
      </c>
    </row>
    <row r="77" spans="9:39" x14ac:dyDescent="0.15">
      <c r="I77" s="1">
        <v>73</v>
      </c>
      <c r="K77" s="1">
        <f t="shared" si="16"/>
        <v>750</v>
      </c>
      <c r="L77" s="1">
        <f t="shared" si="17"/>
        <v>1125</v>
      </c>
      <c r="M77" s="1">
        <f t="shared" si="18"/>
        <v>1500</v>
      </c>
      <c r="N77" s="1">
        <f t="shared" si="19"/>
        <v>1875</v>
      </c>
      <c r="X77" s="1"/>
      <c r="Y77" s="1"/>
      <c r="AJ77" s="1">
        <v>74</v>
      </c>
      <c r="AK77" s="1">
        <f t="shared" si="20"/>
        <v>9120</v>
      </c>
      <c r="AL77" s="1">
        <f t="shared" si="21"/>
        <v>840</v>
      </c>
      <c r="AM77" s="1">
        <f t="shared" si="22"/>
        <v>9960</v>
      </c>
    </row>
    <row r="78" spans="9:39" x14ac:dyDescent="0.15">
      <c r="I78" s="1">
        <v>74</v>
      </c>
      <c r="K78" s="1">
        <f t="shared" si="16"/>
        <v>760</v>
      </c>
      <c r="L78" s="1">
        <f t="shared" si="17"/>
        <v>1140</v>
      </c>
      <c r="M78" s="1">
        <f t="shared" si="18"/>
        <v>1520</v>
      </c>
      <c r="N78" s="1">
        <f t="shared" si="19"/>
        <v>1900</v>
      </c>
      <c r="X78" s="1"/>
      <c r="Y78" s="1"/>
      <c r="AJ78" s="1">
        <v>75</v>
      </c>
      <c r="AK78" s="1">
        <f t="shared" si="20"/>
        <v>9240</v>
      </c>
      <c r="AL78" s="1">
        <f t="shared" si="21"/>
        <v>840</v>
      </c>
      <c r="AM78" s="1">
        <f t="shared" si="22"/>
        <v>10080</v>
      </c>
    </row>
    <row r="79" spans="9:39" x14ac:dyDescent="0.15">
      <c r="I79" s="1">
        <v>75</v>
      </c>
      <c r="K79" s="1">
        <f t="shared" si="16"/>
        <v>770</v>
      </c>
      <c r="L79" s="1">
        <f t="shared" si="17"/>
        <v>1155</v>
      </c>
      <c r="M79" s="1">
        <f t="shared" si="18"/>
        <v>1540</v>
      </c>
      <c r="N79" s="1">
        <f t="shared" si="19"/>
        <v>1925</v>
      </c>
      <c r="X79" s="1"/>
      <c r="Y79" s="1"/>
      <c r="AJ79" s="1">
        <v>76</v>
      </c>
      <c r="AK79" s="1">
        <f t="shared" si="20"/>
        <v>9360</v>
      </c>
      <c r="AL79" s="1">
        <f t="shared" si="21"/>
        <v>840</v>
      </c>
      <c r="AM79" s="1">
        <f t="shared" si="22"/>
        <v>10200</v>
      </c>
    </row>
    <row r="80" spans="9:39" x14ac:dyDescent="0.15">
      <c r="I80" s="1">
        <v>76</v>
      </c>
      <c r="K80" s="1">
        <f t="shared" si="16"/>
        <v>780</v>
      </c>
      <c r="L80" s="1">
        <f t="shared" si="17"/>
        <v>1170</v>
      </c>
      <c r="M80" s="1">
        <f t="shared" si="18"/>
        <v>1560</v>
      </c>
      <c r="N80" s="1">
        <f t="shared" si="19"/>
        <v>1950</v>
      </c>
      <c r="X80" s="1"/>
      <c r="Y80" s="1"/>
      <c r="AJ80" s="1">
        <v>77</v>
      </c>
      <c r="AK80" s="1">
        <f t="shared" si="20"/>
        <v>9480</v>
      </c>
      <c r="AL80" s="1">
        <f t="shared" si="21"/>
        <v>840</v>
      </c>
      <c r="AM80" s="1">
        <f t="shared" si="22"/>
        <v>10320</v>
      </c>
    </row>
    <row r="81" spans="9:39" x14ac:dyDescent="0.15">
      <c r="I81" s="1">
        <v>77</v>
      </c>
      <c r="K81" s="1">
        <f t="shared" si="16"/>
        <v>790</v>
      </c>
      <c r="L81" s="1">
        <f t="shared" si="17"/>
        <v>1185</v>
      </c>
      <c r="M81" s="1">
        <f t="shared" si="18"/>
        <v>1580</v>
      </c>
      <c r="N81" s="1">
        <f t="shared" si="19"/>
        <v>1975</v>
      </c>
      <c r="X81" s="1"/>
      <c r="Y81" s="1"/>
      <c r="AJ81" s="1">
        <v>78</v>
      </c>
      <c r="AK81" s="1">
        <f t="shared" si="20"/>
        <v>9600</v>
      </c>
      <c r="AL81" s="1">
        <f t="shared" si="21"/>
        <v>840</v>
      </c>
      <c r="AM81" s="1">
        <f t="shared" si="22"/>
        <v>10440</v>
      </c>
    </row>
    <row r="82" spans="9:39" x14ac:dyDescent="0.15">
      <c r="I82" s="1">
        <v>78</v>
      </c>
      <c r="K82" s="1">
        <f t="shared" si="16"/>
        <v>800</v>
      </c>
      <c r="L82" s="1">
        <f t="shared" si="17"/>
        <v>1200</v>
      </c>
      <c r="M82" s="1">
        <f t="shared" si="18"/>
        <v>1600</v>
      </c>
      <c r="N82" s="1">
        <f t="shared" si="19"/>
        <v>2000</v>
      </c>
      <c r="X82" s="1"/>
      <c r="Y82" s="1"/>
      <c r="AJ82" s="1">
        <v>79</v>
      </c>
      <c r="AK82" s="1">
        <f t="shared" si="20"/>
        <v>9720</v>
      </c>
      <c r="AL82" s="1">
        <f t="shared" si="21"/>
        <v>840</v>
      </c>
      <c r="AM82" s="1">
        <f t="shared" si="22"/>
        <v>10560</v>
      </c>
    </row>
    <row r="83" spans="9:39" x14ac:dyDescent="0.15">
      <c r="I83" s="1">
        <v>79</v>
      </c>
      <c r="K83" s="1">
        <f t="shared" si="16"/>
        <v>810</v>
      </c>
      <c r="L83" s="1">
        <f t="shared" si="17"/>
        <v>1215</v>
      </c>
      <c r="M83" s="1">
        <f t="shared" si="18"/>
        <v>1620</v>
      </c>
      <c r="N83" s="1">
        <f t="shared" si="19"/>
        <v>2025</v>
      </c>
      <c r="X83" s="1"/>
      <c r="Y83" s="1"/>
      <c r="AJ83" s="1">
        <v>80</v>
      </c>
      <c r="AK83" s="1">
        <f t="shared" si="20"/>
        <v>9840</v>
      </c>
      <c r="AL83" s="1">
        <f t="shared" si="21"/>
        <v>840</v>
      </c>
      <c r="AM83" s="1">
        <f t="shared" si="22"/>
        <v>10680</v>
      </c>
    </row>
    <row r="84" spans="9:39" x14ac:dyDescent="0.15">
      <c r="I84" s="1">
        <v>80</v>
      </c>
      <c r="K84" s="1">
        <f t="shared" si="16"/>
        <v>820</v>
      </c>
      <c r="L84" s="1">
        <f t="shared" si="17"/>
        <v>1230</v>
      </c>
      <c r="M84" s="1">
        <f t="shared" si="18"/>
        <v>1640</v>
      </c>
      <c r="N84" s="1">
        <f t="shared" si="19"/>
        <v>2050</v>
      </c>
      <c r="X84" s="1"/>
      <c r="Y84" s="1"/>
      <c r="AJ84" s="1">
        <v>81</v>
      </c>
      <c r="AK84" s="1">
        <f t="shared" si="20"/>
        <v>9960</v>
      </c>
      <c r="AL84" s="1">
        <f t="shared" si="21"/>
        <v>840</v>
      </c>
      <c r="AM84" s="1">
        <f t="shared" si="22"/>
        <v>10800</v>
      </c>
    </row>
    <row r="85" spans="9:39" x14ac:dyDescent="0.15">
      <c r="I85" s="1">
        <v>81</v>
      </c>
      <c r="K85" s="1">
        <f t="shared" si="16"/>
        <v>830</v>
      </c>
      <c r="L85" s="1">
        <f t="shared" si="17"/>
        <v>1245</v>
      </c>
      <c r="M85" s="1">
        <f t="shared" si="18"/>
        <v>1660</v>
      </c>
      <c r="N85" s="1">
        <f t="shared" si="19"/>
        <v>2075</v>
      </c>
      <c r="X85" s="1"/>
      <c r="Y85" s="1"/>
      <c r="AJ85" s="1">
        <v>82</v>
      </c>
      <c r="AK85" s="1">
        <f t="shared" si="20"/>
        <v>10080</v>
      </c>
      <c r="AL85" s="1">
        <f t="shared" si="21"/>
        <v>840</v>
      </c>
      <c r="AM85" s="1">
        <f t="shared" si="22"/>
        <v>10920</v>
      </c>
    </row>
    <row r="86" spans="9:39" x14ac:dyDescent="0.15">
      <c r="I86" s="1">
        <v>82</v>
      </c>
      <c r="K86" s="1">
        <f t="shared" si="16"/>
        <v>840</v>
      </c>
      <c r="L86" s="1">
        <f t="shared" si="17"/>
        <v>1260</v>
      </c>
      <c r="M86" s="1">
        <f t="shared" si="18"/>
        <v>1680</v>
      </c>
      <c r="N86" s="1">
        <f t="shared" si="19"/>
        <v>2100</v>
      </c>
      <c r="X86" s="1"/>
      <c r="Y86" s="1"/>
      <c r="AJ86" s="1">
        <v>83</v>
      </c>
      <c r="AK86" s="1">
        <f t="shared" si="20"/>
        <v>10200</v>
      </c>
      <c r="AL86" s="1">
        <f t="shared" si="21"/>
        <v>840</v>
      </c>
      <c r="AM86" s="1">
        <f t="shared" si="22"/>
        <v>11040</v>
      </c>
    </row>
    <row r="87" spans="9:39" x14ac:dyDescent="0.15">
      <c r="I87" s="1">
        <v>83</v>
      </c>
      <c r="K87" s="1">
        <f t="shared" si="16"/>
        <v>850</v>
      </c>
      <c r="L87" s="1">
        <f t="shared" si="17"/>
        <v>1275</v>
      </c>
      <c r="M87" s="1">
        <f t="shared" si="18"/>
        <v>1700</v>
      </c>
      <c r="N87" s="1">
        <f t="shared" si="19"/>
        <v>2125</v>
      </c>
      <c r="X87" s="1"/>
      <c r="Y87" s="1"/>
      <c r="AJ87" s="1">
        <v>84</v>
      </c>
      <c r="AK87" s="1">
        <f t="shared" si="20"/>
        <v>10320</v>
      </c>
      <c r="AL87" s="1">
        <f t="shared" si="21"/>
        <v>840</v>
      </c>
      <c r="AM87" s="1">
        <f t="shared" si="22"/>
        <v>11160</v>
      </c>
    </row>
    <row r="88" spans="9:39" x14ac:dyDescent="0.15">
      <c r="I88" s="1">
        <v>84</v>
      </c>
      <c r="K88" s="1">
        <f t="shared" si="16"/>
        <v>860</v>
      </c>
      <c r="L88" s="1">
        <f t="shared" si="17"/>
        <v>1290</v>
      </c>
      <c r="M88" s="1">
        <f t="shared" si="18"/>
        <v>1720</v>
      </c>
      <c r="N88" s="1">
        <f t="shared" si="19"/>
        <v>2150</v>
      </c>
      <c r="X88" s="1"/>
      <c r="Y88" s="1"/>
      <c r="AJ88" s="1">
        <v>85</v>
      </c>
      <c r="AK88" s="1">
        <f t="shared" si="20"/>
        <v>10440</v>
      </c>
      <c r="AL88" s="1">
        <f t="shared" si="21"/>
        <v>840</v>
      </c>
      <c r="AM88" s="1">
        <f t="shared" si="22"/>
        <v>11280</v>
      </c>
    </row>
    <row r="89" spans="9:39" x14ac:dyDescent="0.15">
      <c r="I89" s="1">
        <v>85</v>
      </c>
      <c r="K89" s="1">
        <f t="shared" ref="K89:K104" si="23">D$7+D$8*$I89</f>
        <v>870</v>
      </c>
      <c r="L89" s="1">
        <f t="shared" ref="L89:L104" si="24">E$7+E$8*$I89</f>
        <v>1305</v>
      </c>
      <c r="M89" s="1">
        <f t="shared" ref="M89:M104" si="25">F$7+F$8*$I89</f>
        <v>1740</v>
      </c>
      <c r="N89" s="1">
        <f t="shared" ref="N89:N104" si="26">G$7+G$8*$I89</f>
        <v>2175</v>
      </c>
      <c r="X89" s="1"/>
      <c r="Y89" s="1"/>
      <c r="AJ89" s="1">
        <v>86</v>
      </c>
      <c r="AK89" s="1">
        <f t="shared" si="20"/>
        <v>10560</v>
      </c>
      <c r="AL89" s="1">
        <f t="shared" si="21"/>
        <v>840</v>
      </c>
      <c r="AM89" s="1">
        <f t="shared" si="22"/>
        <v>11400</v>
      </c>
    </row>
    <row r="90" spans="9:39" x14ac:dyDescent="0.15">
      <c r="I90" s="1">
        <v>86</v>
      </c>
      <c r="K90" s="1">
        <f t="shared" si="23"/>
        <v>880</v>
      </c>
      <c r="L90" s="1">
        <f t="shared" si="24"/>
        <v>1320</v>
      </c>
      <c r="M90" s="1">
        <f t="shared" si="25"/>
        <v>1760</v>
      </c>
      <c r="N90" s="1">
        <f t="shared" si="26"/>
        <v>2200</v>
      </c>
      <c r="X90" s="1"/>
      <c r="Y90" s="1"/>
      <c r="AJ90" s="1">
        <v>87</v>
      </c>
      <c r="AK90" s="1">
        <f t="shared" si="20"/>
        <v>10680</v>
      </c>
      <c r="AL90" s="1">
        <f t="shared" si="21"/>
        <v>840</v>
      </c>
      <c r="AM90" s="1">
        <f t="shared" si="22"/>
        <v>11520</v>
      </c>
    </row>
    <row r="91" spans="9:39" x14ac:dyDescent="0.15">
      <c r="I91" s="1">
        <v>87</v>
      </c>
      <c r="K91" s="1">
        <f t="shared" si="23"/>
        <v>890</v>
      </c>
      <c r="L91" s="1">
        <f t="shared" si="24"/>
        <v>1335</v>
      </c>
      <c r="M91" s="1">
        <f t="shared" si="25"/>
        <v>1780</v>
      </c>
      <c r="N91" s="1">
        <f t="shared" si="26"/>
        <v>2225</v>
      </c>
      <c r="X91" s="1"/>
      <c r="Y91" s="1"/>
      <c r="AJ91" s="1">
        <v>88</v>
      </c>
      <c r="AK91" s="1">
        <f t="shared" si="20"/>
        <v>10800</v>
      </c>
      <c r="AL91" s="1">
        <f t="shared" si="21"/>
        <v>840</v>
      </c>
      <c r="AM91" s="1">
        <f t="shared" si="22"/>
        <v>11640</v>
      </c>
    </row>
    <row r="92" spans="9:39" x14ac:dyDescent="0.15">
      <c r="I92" s="1">
        <v>88</v>
      </c>
      <c r="K92" s="1">
        <f t="shared" si="23"/>
        <v>900</v>
      </c>
      <c r="L92" s="1">
        <f t="shared" si="24"/>
        <v>1350</v>
      </c>
      <c r="M92" s="1">
        <f t="shared" si="25"/>
        <v>1800</v>
      </c>
      <c r="N92" s="1">
        <f t="shared" si="26"/>
        <v>2250</v>
      </c>
      <c r="X92" s="1"/>
      <c r="Y92" s="1"/>
      <c r="AJ92" s="1">
        <v>89</v>
      </c>
      <c r="AK92" s="1">
        <f t="shared" si="20"/>
        <v>10920</v>
      </c>
      <c r="AL92" s="1">
        <f t="shared" si="21"/>
        <v>840</v>
      </c>
      <c r="AM92" s="1">
        <f t="shared" si="22"/>
        <v>11760</v>
      </c>
    </row>
    <row r="93" spans="9:39" x14ac:dyDescent="0.15">
      <c r="I93" s="1">
        <v>89</v>
      </c>
      <c r="K93" s="1">
        <f t="shared" si="23"/>
        <v>910</v>
      </c>
      <c r="L93" s="1">
        <f t="shared" si="24"/>
        <v>1365</v>
      </c>
      <c r="M93" s="1">
        <f t="shared" si="25"/>
        <v>1820</v>
      </c>
      <c r="N93" s="1">
        <f t="shared" si="26"/>
        <v>2275</v>
      </c>
      <c r="X93" s="1"/>
      <c r="Y93" s="1"/>
      <c r="AJ93" s="1">
        <v>90</v>
      </c>
      <c r="AK93" s="1">
        <f t="shared" si="20"/>
        <v>11040</v>
      </c>
      <c r="AL93" s="1">
        <f t="shared" si="21"/>
        <v>840</v>
      </c>
      <c r="AM93" s="1">
        <f t="shared" si="22"/>
        <v>11880</v>
      </c>
    </row>
    <row r="94" spans="9:39" x14ac:dyDescent="0.15">
      <c r="I94" s="1">
        <v>90</v>
      </c>
      <c r="K94" s="1">
        <f t="shared" si="23"/>
        <v>920</v>
      </c>
      <c r="L94" s="1">
        <f t="shared" si="24"/>
        <v>1380</v>
      </c>
      <c r="M94" s="1">
        <f t="shared" si="25"/>
        <v>1840</v>
      </c>
      <c r="N94" s="1">
        <f t="shared" si="26"/>
        <v>2300</v>
      </c>
      <c r="X94" s="1"/>
      <c r="Y94" s="1"/>
      <c r="AJ94" s="1">
        <v>91</v>
      </c>
      <c r="AK94" s="1">
        <f t="shared" si="20"/>
        <v>11160</v>
      </c>
      <c r="AL94" s="1">
        <f t="shared" si="21"/>
        <v>840</v>
      </c>
      <c r="AM94" s="1">
        <f t="shared" si="22"/>
        <v>12000</v>
      </c>
    </row>
    <row r="95" spans="9:39" x14ac:dyDescent="0.15">
      <c r="I95" s="1">
        <v>91</v>
      </c>
      <c r="K95" s="1">
        <f t="shared" si="23"/>
        <v>930</v>
      </c>
      <c r="L95" s="1">
        <f t="shared" si="24"/>
        <v>1395</v>
      </c>
      <c r="M95" s="1">
        <f t="shared" si="25"/>
        <v>1860</v>
      </c>
      <c r="N95" s="1">
        <f t="shared" si="26"/>
        <v>2325</v>
      </c>
      <c r="X95" s="1"/>
      <c r="Y95" s="1"/>
      <c r="AJ95" s="1">
        <v>92</v>
      </c>
      <c r="AK95" s="1">
        <f t="shared" si="20"/>
        <v>11280</v>
      </c>
      <c r="AL95" s="1">
        <f t="shared" si="21"/>
        <v>840</v>
      </c>
      <c r="AM95" s="1">
        <f t="shared" si="22"/>
        <v>12120</v>
      </c>
    </row>
    <row r="96" spans="9:39" x14ac:dyDescent="0.15">
      <c r="I96" s="1">
        <v>92</v>
      </c>
      <c r="K96" s="1">
        <f t="shared" si="23"/>
        <v>940</v>
      </c>
      <c r="L96" s="1">
        <f t="shared" si="24"/>
        <v>1410</v>
      </c>
      <c r="M96" s="1">
        <f t="shared" si="25"/>
        <v>1880</v>
      </c>
      <c r="N96" s="1">
        <f t="shared" si="26"/>
        <v>2350</v>
      </c>
      <c r="X96" s="1"/>
      <c r="Y96" s="1"/>
      <c r="AJ96" s="1">
        <v>93</v>
      </c>
      <c r="AK96" s="1">
        <f t="shared" si="20"/>
        <v>11400</v>
      </c>
      <c r="AL96" s="1">
        <f t="shared" si="21"/>
        <v>840</v>
      </c>
      <c r="AM96" s="1">
        <f t="shared" si="22"/>
        <v>12240</v>
      </c>
    </row>
    <row r="97" spans="9:39" x14ac:dyDescent="0.15">
      <c r="I97" s="1">
        <v>93</v>
      </c>
      <c r="K97" s="1">
        <f t="shared" si="23"/>
        <v>950</v>
      </c>
      <c r="L97" s="1">
        <f t="shared" si="24"/>
        <v>1425</v>
      </c>
      <c r="M97" s="1">
        <f t="shared" si="25"/>
        <v>1900</v>
      </c>
      <c r="N97" s="1">
        <f t="shared" si="26"/>
        <v>2375</v>
      </c>
      <c r="X97" s="1"/>
      <c r="Y97" s="1"/>
      <c r="AJ97" s="1">
        <v>94</v>
      </c>
      <c r="AK97" s="1">
        <f t="shared" si="20"/>
        <v>11520</v>
      </c>
      <c r="AL97" s="1">
        <f t="shared" si="21"/>
        <v>840</v>
      </c>
      <c r="AM97" s="1">
        <f t="shared" si="22"/>
        <v>12360</v>
      </c>
    </row>
    <row r="98" spans="9:39" x14ac:dyDescent="0.15">
      <c r="I98" s="1">
        <v>94</v>
      </c>
      <c r="K98" s="1">
        <f t="shared" si="23"/>
        <v>960</v>
      </c>
      <c r="L98" s="1">
        <f t="shared" si="24"/>
        <v>1440</v>
      </c>
      <c r="M98" s="1">
        <f t="shared" si="25"/>
        <v>1920</v>
      </c>
      <c r="N98" s="1">
        <f t="shared" si="26"/>
        <v>2400</v>
      </c>
      <c r="X98" s="1"/>
      <c r="Y98" s="1"/>
      <c r="AJ98" s="1">
        <v>95</v>
      </c>
      <c r="AK98" s="1">
        <f t="shared" si="20"/>
        <v>11640</v>
      </c>
      <c r="AL98" s="1">
        <f t="shared" si="21"/>
        <v>840</v>
      </c>
      <c r="AM98" s="1">
        <f t="shared" si="22"/>
        <v>12480</v>
      </c>
    </row>
    <row r="99" spans="9:39" x14ac:dyDescent="0.15">
      <c r="I99" s="1">
        <v>95</v>
      </c>
      <c r="K99" s="1">
        <f t="shared" si="23"/>
        <v>970</v>
      </c>
      <c r="L99" s="1">
        <f t="shared" si="24"/>
        <v>1455</v>
      </c>
      <c r="M99" s="1">
        <f t="shared" si="25"/>
        <v>1940</v>
      </c>
      <c r="N99" s="1">
        <f t="shared" si="26"/>
        <v>2425</v>
      </c>
      <c r="X99" s="1"/>
      <c r="Y99" s="1"/>
      <c r="AJ99" s="1">
        <v>96</v>
      </c>
      <c r="AK99" s="1">
        <f t="shared" si="20"/>
        <v>11760</v>
      </c>
      <c r="AL99" s="1">
        <f t="shared" si="21"/>
        <v>840</v>
      </c>
      <c r="AM99" s="1">
        <f t="shared" si="22"/>
        <v>12600</v>
      </c>
    </row>
    <row r="100" spans="9:39" x14ac:dyDescent="0.15">
      <c r="I100" s="1">
        <v>96</v>
      </c>
      <c r="K100" s="1">
        <f t="shared" si="23"/>
        <v>980</v>
      </c>
      <c r="L100" s="1">
        <f t="shared" si="24"/>
        <v>1470</v>
      </c>
      <c r="M100" s="1">
        <f t="shared" si="25"/>
        <v>1960</v>
      </c>
      <c r="N100" s="1">
        <f t="shared" si="26"/>
        <v>2450</v>
      </c>
      <c r="X100" s="1"/>
      <c r="Y100" s="1"/>
      <c r="AJ100" s="1">
        <v>97</v>
      </c>
      <c r="AK100" s="1">
        <f t="shared" si="20"/>
        <v>11880</v>
      </c>
      <c r="AL100" s="1">
        <f t="shared" si="21"/>
        <v>840</v>
      </c>
      <c r="AM100" s="1">
        <f t="shared" si="22"/>
        <v>12720</v>
      </c>
    </row>
    <row r="101" spans="9:39" x14ac:dyDescent="0.15">
      <c r="I101" s="1">
        <v>97</v>
      </c>
      <c r="K101" s="1">
        <f t="shared" si="23"/>
        <v>990</v>
      </c>
      <c r="L101" s="1">
        <f t="shared" si="24"/>
        <v>1485</v>
      </c>
      <c r="M101" s="1">
        <f t="shared" si="25"/>
        <v>1980</v>
      </c>
      <c r="N101" s="1">
        <f t="shared" si="26"/>
        <v>2475</v>
      </c>
      <c r="X101" s="1"/>
      <c r="Y101" s="1"/>
      <c r="AJ101" s="1">
        <v>98</v>
      </c>
      <c r="AK101" s="1">
        <f t="shared" si="20"/>
        <v>12000</v>
      </c>
      <c r="AL101" s="1">
        <f t="shared" si="21"/>
        <v>840</v>
      </c>
      <c r="AM101" s="1">
        <f t="shared" si="22"/>
        <v>12840</v>
      </c>
    </row>
    <row r="102" spans="9:39" x14ac:dyDescent="0.15">
      <c r="I102" s="1">
        <v>98</v>
      </c>
      <c r="K102" s="1">
        <f t="shared" si="23"/>
        <v>1000</v>
      </c>
      <c r="L102" s="1">
        <f t="shared" si="24"/>
        <v>1500</v>
      </c>
      <c r="M102" s="1">
        <f t="shared" si="25"/>
        <v>2000</v>
      </c>
      <c r="N102" s="1">
        <f t="shared" si="26"/>
        <v>2500</v>
      </c>
      <c r="X102" s="1"/>
      <c r="Y102" s="1"/>
      <c r="AJ102" s="1">
        <v>99</v>
      </c>
      <c r="AK102" s="1">
        <f t="shared" si="20"/>
        <v>12120</v>
      </c>
      <c r="AL102" s="1">
        <f t="shared" si="21"/>
        <v>840</v>
      </c>
      <c r="AM102" s="1">
        <f t="shared" si="22"/>
        <v>12960</v>
      </c>
    </row>
    <row r="103" spans="9:39" x14ac:dyDescent="0.15">
      <c r="I103" s="1">
        <v>99</v>
      </c>
      <c r="K103" s="1">
        <f t="shared" si="23"/>
        <v>1010</v>
      </c>
      <c r="L103" s="1">
        <f t="shared" si="24"/>
        <v>1515</v>
      </c>
      <c r="M103" s="1">
        <f t="shared" si="25"/>
        <v>2020</v>
      </c>
      <c r="N103" s="1">
        <f t="shared" si="26"/>
        <v>2525</v>
      </c>
      <c r="X103" s="1"/>
      <c r="Y103" s="1"/>
      <c r="AJ103" s="1">
        <v>100</v>
      </c>
      <c r="AK103" s="1">
        <f t="shared" si="20"/>
        <v>12240</v>
      </c>
      <c r="AL103" s="1">
        <f t="shared" si="21"/>
        <v>840</v>
      </c>
      <c r="AM103" s="1">
        <f t="shared" si="22"/>
        <v>13080</v>
      </c>
    </row>
    <row r="104" spans="9:39" x14ac:dyDescent="0.15">
      <c r="I104" s="1">
        <v>100</v>
      </c>
      <c r="K104" s="1">
        <f t="shared" si="23"/>
        <v>1020</v>
      </c>
      <c r="L104" s="1">
        <f t="shared" si="24"/>
        <v>1530</v>
      </c>
      <c r="M104" s="1">
        <f t="shared" si="25"/>
        <v>2040</v>
      </c>
      <c r="N104" s="1">
        <f t="shared" si="26"/>
        <v>2550</v>
      </c>
      <c r="X104" s="1"/>
      <c r="Y104" s="1"/>
    </row>
    <row r="105" spans="9:39" x14ac:dyDescent="0.15">
      <c r="X105" s="1"/>
      <c r="Y105" s="1"/>
    </row>
    <row r="106" spans="9:39" x14ac:dyDescent="0.15">
      <c r="X106" s="1"/>
      <c r="Y106" s="1"/>
    </row>
    <row r="107" spans="9:39" x14ac:dyDescent="0.15">
      <c r="X107" s="1"/>
      <c r="Y107" s="1"/>
    </row>
    <row r="108" spans="9:39" x14ac:dyDescent="0.15">
      <c r="X108" s="1"/>
      <c r="Y108" s="1"/>
    </row>
    <row r="109" spans="9:39" x14ac:dyDescent="0.15">
      <c r="X109" s="1"/>
      <c r="Y109" s="1"/>
    </row>
    <row r="110" spans="9:39" x14ac:dyDescent="0.15">
      <c r="X110" s="1"/>
      <c r="Y110" s="1"/>
    </row>
    <row r="111" spans="9:39" x14ac:dyDescent="0.15">
      <c r="X111" s="1"/>
      <c r="Y111" s="1"/>
    </row>
    <row r="112" spans="9:39" x14ac:dyDescent="0.15">
      <c r="X112" s="1"/>
      <c r="Y112" s="1"/>
    </row>
    <row r="113" s="1" customFormat="1" x14ac:dyDescent="0.15"/>
    <row r="114" s="1" customFormat="1" x14ac:dyDescent="0.15"/>
    <row r="115" s="1" customFormat="1" x14ac:dyDescent="0.15"/>
    <row r="116" s="1" customFormat="1" x14ac:dyDescent="0.15"/>
    <row r="117" s="1" customFormat="1" x14ac:dyDescent="0.15"/>
    <row r="118" s="1" customFormat="1" x14ac:dyDescent="0.15"/>
    <row r="119" s="1" customFormat="1" x14ac:dyDescent="0.15"/>
    <row r="120" s="1" customFormat="1" x14ac:dyDescent="0.15"/>
    <row r="121" s="1" customFormat="1" x14ac:dyDescent="0.15"/>
    <row r="122" s="1" customFormat="1" x14ac:dyDescent="0.15"/>
    <row r="123" s="1" customFormat="1" x14ac:dyDescent="0.15"/>
    <row r="124" s="1" customFormat="1" x14ac:dyDescent="0.15"/>
    <row r="125" s="1" customFormat="1" x14ac:dyDescent="0.15"/>
    <row r="126" s="1" customFormat="1" x14ac:dyDescent="0.15"/>
    <row r="127" s="1" customFormat="1" x14ac:dyDescent="0.15"/>
    <row r="128" s="1" customFormat="1" x14ac:dyDescent="0.15"/>
    <row r="129" s="1" customFormat="1" x14ac:dyDescent="0.15"/>
    <row r="130" s="1" customFormat="1" x14ac:dyDescent="0.15"/>
    <row r="131" s="1" customFormat="1" x14ac:dyDescent="0.15"/>
    <row r="132" s="1" customFormat="1" x14ac:dyDescent="0.15"/>
    <row r="133" s="1" customFormat="1" x14ac:dyDescent="0.15"/>
    <row r="134" s="1" customFormat="1" x14ac:dyDescent="0.15"/>
    <row r="135" s="1" customFormat="1" x14ac:dyDescent="0.15"/>
    <row r="136" s="1" customFormat="1" x14ac:dyDescent="0.15"/>
    <row r="137" s="1" customFormat="1" x14ac:dyDescent="0.15"/>
    <row r="138" s="1" customFormat="1" x14ac:dyDescent="0.15"/>
    <row r="139" s="1" customFormat="1" x14ac:dyDescent="0.15"/>
    <row r="140" s="1" customFormat="1" x14ac:dyDescent="0.15"/>
    <row r="141" s="1" customFormat="1" x14ac:dyDescent="0.15"/>
    <row r="142" s="1" customFormat="1" x14ac:dyDescent="0.15"/>
    <row r="143" s="1" customFormat="1" x14ac:dyDescent="0.15"/>
    <row r="144" s="1" customFormat="1" x14ac:dyDescent="0.15"/>
    <row r="145" s="1" customFormat="1" x14ac:dyDescent="0.15"/>
    <row r="146" s="1" customFormat="1" x14ac:dyDescent="0.15"/>
    <row r="147" s="1" customFormat="1" x14ac:dyDescent="0.15"/>
    <row r="148" s="1" customFormat="1" x14ac:dyDescent="0.15"/>
    <row r="149" s="1" customFormat="1" x14ac:dyDescent="0.15"/>
    <row r="150" s="1" customFormat="1" x14ac:dyDescent="0.15"/>
    <row r="151" s="1" customFormat="1" x14ac:dyDescent="0.15"/>
    <row r="152" s="1" customFormat="1" x14ac:dyDescent="0.15"/>
    <row r="153" s="1" customFormat="1" x14ac:dyDescent="0.15"/>
    <row r="154" s="1" customFormat="1" x14ac:dyDescent="0.15"/>
    <row r="155" s="1" customFormat="1" x14ac:dyDescent="0.15"/>
    <row r="156" s="1" customFormat="1" x14ac:dyDescent="0.15"/>
    <row r="157" s="1" customFormat="1" x14ac:dyDescent="0.15"/>
    <row r="158" s="1" customFormat="1" x14ac:dyDescent="0.15"/>
    <row r="159" s="1" customFormat="1" x14ac:dyDescent="0.15"/>
    <row r="160" s="1" customFormat="1" x14ac:dyDescent="0.15"/>
    <row r="161" s="1" customFormat="1" x14ac:dyDescent="0.15"/>
    <row r="162" s="1" customFormat="1" x14ac:dyDescent="0.15"/>
    <row r="163" s="1" customFormat="1" x14ac:dyDescent="0.15"/>
    <row r="164" s="1" customFormat="1" x14ac:dyDescent="0.15"/>
    <row r="165" s="1" customFormat="1" x14ac:dyDescent="0.15"/>
    <row r="166" s="1" customFormat="1" x14ac:dyDescent="0.15"/>
    <row r="167" s="1" customFormat="1" x14ac:dyDescent="0.15"/>
    <row r="168" s="1" customFormat="1" x14ac:dyDescent="0.15"/>
    <row r="169" s="1" customFormat="1" x14ac:dyDescent="0.15"/>
    <row r="170" s="1" customFormat="1" x14ac:dyDescent="0.15"/>
    <row r="171" s="1" customFormat="1" x14ac:dyDescent="0.15"/>
    <row r="172" s="1" customFormat="1" x14ac:dyDescent="0.15"/>
    <row r="173" s="1" customFormat="1" x14ac:dyDescent="0.15"/>
    <row r="174" s="1" customFormat="1" x14ac:dyDescent="0.15"/>
    <row r="175" s="1" customFormat="1" x14ac:dyDescent="0.15"/>
    <row r="176" s="1" customFormat="1" x14ac:dyDescent="0.15"/>
    <row r="177" s="1" customFormat="1" x14ac:dyDescent="0.15"/>
    <row r="178" s="1" customFormat="1" x14ac:dyDescent="0.15"/>
    <row r="179" s="1" customFormat="1" x14ac:dyDescent="0.15"/>
    <row r="180" s="1" customFormat="1" x14ac:dyDescent="0.15"/>
    <row r="181" s="1" customFormat="1" x14ac:dyDescent="0.15"/>
    <row r="182" s="1" customFormat="1" x14ac:dyDescent="0.15"/>
    <row r="183" s="1" customFormat="1" x14ac:dyDescent="0.15"/>
    <row r="184" s="1" customFormat="1" x14ac:dyDescent="0.15"/>
    <row r="185" s="1" customFormat="1" x14ac:dyDescent="0.15"/>
  </sheetData>
  <mergeCells count="2">
    <mergeCell ref="AD3:AG3"/>
    <mergeCell ref="AD20:AG20"/>
  </mergeCells>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节奏总纲</vt:lpstr>
      <vt:lpstr>其他调用</vt:lpstr>
      <vt:lpstr>设计思路</vt:lpstr>
      <vt:lpstr>BUFF设计</vt:lpstr>
      <vt:lpstr>武将升星（废弃）</vt:lpstr>
      <vt:lpstr>Sheet2</vt:lpstr>
      <vt:lpstr>武将觉醒(废弃）</vt:lpstr>
      <vt:lpstr>属性分配（废弃）</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2006-09-16T00:00:00Z</dcterms:created>
  <dcterms:modified xsi:type="dcterms:W3CDTF">2022-03-07T06:59:32Z</dcterms:modified>
</cp:coreProperties>
</file>