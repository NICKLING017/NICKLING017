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89EBF95E-1DE1-406A-923A-E2CE5F6C8F0B}" xr6:coauthVersionLast="45" xr6:coauthVersionMax="46" xr10:uidLastSave="{00000000-0000-0000-0000-000000000000}"/>
  <bookViews>
    <workbookView xWindow="-120" yWindow="-120" windowWidth="29040" windowHeight="15840" tabRatio="864" activeTab="2" xr2:uid="{00000000-000D-0000-FFFF-FFFF00000000}"/>
  </bookViews>
  <sheets>
    <sheet name="节奏总纲" sheetId="18" r:id="rId1"/>
    <sheet name="昼夜" sheetId="76" r:id="rId2"/>
    <sheet name="天气" sheetId="77" r:id="rId3"/>
    <sheet name="季节" sheetId="78" r:id="rId4"/>
    <sheet name="设计内容（老版）" sheetId="75" r:id="rId5"/>
  </sheets>
  <functionGroups builtInGroupCount="19"/>
  <externalReferences>
    <externalReference r:id="rId6"/>
    <externalReference r:id="rId7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D16" i="75" l="1"/>
  <c r="D9" i="75" l="1"/>
  <c r="D17" i="75" l="1"/>
  <c r="D18" i="75" l="1"/>
  <c r="D15" i="75" l="1"/>
  <c r="N21" i="18" l="1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3" i="18"/>
  <c r="BA5" i="18" l="1"/>
  <c r="BB5" i="18"/>
  <c r="BC5" i="18"/>
  <c r="BD5" i="18"/>
  <c r="BE5" i="18"/>
  <c r="BA6" i="18"/>
  <c r="BB6" i="18"/>
  <c r="BC6" i="18"/>
  <c r="BD6" i="18"/>
  <c r="BE6" i="18"/>
  <c r="BA7" i="18"/>
  <c r="BB7" i="18"/>
  <c r="BC7" i="18"/>
  <c r="BD7" i="18"/>
  <c r="BE7" i="18"/>
  <c r="BA8" i="18"/>
  <c r="BB8" i="18"/>
  <c r="BC8" i="18"/>
  <c r="BD8" i="18"/>
  <c r="BE8" i="18"/>
  <c r="BA9" i="18"/>
  <c r="BB9" i="18"/>
  <c r="BC9" i="18"/>
  <c r="BD9" i="18"/>
  <c r="BE9" i="18"/>
  <c r="BA10" i="18"/>
  <c r="BB10" i="18"/>
  <c r="BC10" i="18"/>
  <c r="BD10" i="18"/>
  <c r="BE10" i="18"/>
  <c r="BA11" i="18"/>
  <c r="BB11" i="18"/>
  <c r="BC11" i="18"/>
  <c r="BD11" i="18"/>
  <c r="BE11" i="18"/>
  <c r="BA12" i="18"/>
  <c r="BB12" i="18"/>
  <c r="BC12" i="18"/>
  <c r="BD12" i="18"/>
  <c r="BE12" i="18"/>
  <c r="BA13" i="18"/>
  <c r="BB13" i="18"/>
  <c r="BC13" i="18"/>
  <c r="BD13" i="18"/>
  <c r="BE13" i="18"/>
  <c r="BA14" i="18"/>
  <c r="BB14" i="18"/>
  <c r="BC14" i="18"/>
  <c r="BD14" i="18"/>
  <c r="BE14" i="18"/>
  <c r="BA15" i="18"/>
  <c r="BB15" i="18"/>
  <c r="BC15" i="18"/>
  <c r="BD15" i="18"/>
  <c r="BE15" i="18"/>
  <c r="BA16" i="18"/>
  <c r="BB16" i="18"/>
  <c r="BC16" i="18"/>
  <c r="BD16" i="18"/>
  <c r="BE16" i="18"/>
  <c r="BA17" i="18"/>
  <c r="BB17" i="18"/>
  <c r="BC17" i="18"/>
  <c r="BD17" i="18"/>
  <c r="BE17" i="18"/>
  <c r="BA18" i="18"/>
  <c r="BB18" i="18"/>
  <c r="BC18" i="18"/>
  <c r="BD18" i="18"/>
  <c r="BE18" i="18"/>
  <c r="BA19" i="18"/>
  <c r="BB19" i="18"/>
  <c r="BC19" i="18"/>
  <c r="BD19" i="18"/>
  <c r="BE19" i="18"/>
  <c r="BA20" i="18"/>
  <c r="BB20" i="18"/>
  <c r="BC20" i="18"/>
  <c r="BD20" i="18"/>
  <c r="BE20" i="18"/>
  <c r="BA21" i="18"/>
  <c r="BB21" i="18"/>
  <c r="BC21" i="18"/>
  <c r="BD21" i="18"/>
  <c r="BE21" i="18"/>
  <c r="BA22" i="18"/>
  <c r="BB22" i="18"/>
  <c r="BC22" i="18"/>
  <c r="BD22" i="18"/>
  <c r="BE22" i="18"/>
  <c r="BA23" i="18"/>
  <c r="BB23" i="18"/>
  <c r="BC23" i="18"/>
  <c r="BD23" i="18"/>
  <c r="BE23" i="18"/>
  <c r="BA24" i="18"/>
  <c r="BB24" i="18"/>
  <c r="BC24" i="18"/>
  <c r="BD24" i="18"/>
  <c r="BE24" i="18"/>
  <c r="BA25" i="18"/>
  <c r="BB25" i="18"/>
  <c r="BC25" i="18"/>
  <c r="BD25" i="18"/>
  <c r="BE25" i="18"/>
  <c r="BA26" i="18"/>
  <c r="BB26" i="18"/>
  <c r="BC26" i="18"/>
  <c r="BD26" i="18"/>
  <c r="BE26" i="18"/>
  <c r="BA27" i="18"/>
  <c r="BB27" i="18"/>
  <c r="BC27" i="18"/>
  <c r="BD27" i="18"/>
  <c r="BE27" i="18"/>
  <c r="BA28" i="18"/>
  <c r="BB28" i="18"/>
  <c r="BC28" i="18"/>
  <c r="BD28" i="18"/>
  <c r="BE28" i="18"/>
  <c r="BA29" i="18"/>
  <c r="BB29" i="18"/>
  <c r="BC29" i="18"/>
  <c r="BD29" i="18"/>
  <c r="BE29" i="18"/>
  <c r="BA30" i="18"/>
  <c r="BB30" i="18"/>
  <c r="BC30" i="18"/>
  <c r="BD30" i="18"/>
  <c r="BE30" i="18"/>
  <c r="BA31" i="18"/>
  <c r="BB31" i="18"/>
  <c r="BC31" i="18"/>
  <c r="BD31" i="18"/>
  <c r="BE31" i="18"/>
  <c r="BA32" i="18"/>
  <c r="BB32" i="18"/>
  <c r="BC32" i="18"/>
  <c r="BD32" i="18"/>
  <c r="BE32" i="18"/>
  <c r="BA33" i="18"/>
  <c r="BB33" i="18"/>
  <c r="BC33" i="18"/>
  <c r="BD33" i="18"/>
  <c r="BE33" i="18"/>
  <c r="BA34" i="18"/>
  <c r="BB34" i="18"/>
  <c r="BC34" i="18"/>
  <c r="BD34" i="18"/>
  <c r="BE34" i="18"/>
  <c r="BA35" i="18"/>
  <c r="BB35" i="18"/>
  <c r="BC35" i="18"/>
  <c r="BD35" i="18"/>
  <c r="BE35" i="18"/>
  <c r="BA36" i="18"/>
  <c r="BB36" i="18"/>
  <c r="BC36" i="18"/>
  <c r="BD36" i="18"/>
  <c r="BE36" i="18"/>
  <c r="BA37" i="18"/>
  <c r="BB37" i="18"/>
  <c r="BC37" i="18"/>
  <c r="BD37" i="18"/>
  <c r="BE37" i="18"/>
  <c r="BA38" i="18"/>
  <c r="BB38" i="18"/>
  <c r="BC38" i="18"/>
  <c r="BD38" i="18"/>
  <c r="BE38" i="18"/>
  <c r="BA39" i="18"/>
  <c r="BB39" i="18"/>
  <c r="BC39" i="18"/>
  <c r="BD39" i="18"/>
  <c r="BE39" i="18"/>
  <c r="BA40" i="18"/>
  <c r="BB40" i="18"/>
  <c r="BC40" i="18"/>
  <c r="BD40" i="18"/>
  <c r="BE40" i="18"/>
  <c r="BA41" i="18"/>
  <c r="BB41" i="18"/>
  <c r="BC41" i="18"/>
  <c r="BD41" i="18"/>
  <c r="BE41" i="18"/>
  <c r="BA42" i="18"/>
  <c r="BB42" i="18"/>
  <c r="BC42" i="18"/>
  <c r="BD42" i="18"/>
  <c r="BE42" i="18"/>
  <c r="BA43" i="18"/>
  <c r="BB43" i="18"/>
  <c r="BC43" i="18"/>
  <c r="BD43" i="18"/>
  <c r="BE43" i="18"/>
  <c r="BA44" i="18"/>
  <c r="BB44" i="18"/>
  <c r="BC44" i="18"/>
  <c r="BD44" i="18"/>
  <c r="BE44" i="18"/>
  <c r="BA45" i="18"/>
  <c r="BB45" i="18"/>
  <c r="BC45" i="18"/>
  <c r="BD45" i="18"/>
  <c r="BE45" i="18"/>
  <c r="BA46" i="18"/>
  <c r="BB46" i="18"/>
  <c r="BC46" i="18"/>
  <c r="BD46" i="18"/>
  <c r="BE46" i="18"/>
  <c r="BA47" i="18"/>
  <c r="BB47" i="18"/>
  <c r="BC47" i="18"/>
  <c r="BD47" i="18"/>
  <c r="BE47" i="18"/>
  <c r="BA48" i="18"/>
  <c r="BB48" i="18"/>
  <c r="BC48" i="18"/>
  <c r="BD48" i="18"/>
  <c r="BE48" i="18"/>
  <c r="BA49" i="18"/>
  <c r="BB49" i="18"/>
  <c r="BC49" i="18"/>
  <c r="BD49" i="18"/>
  <c r="BE49" i="18"/>
  <c r="BA50" i="18"/>
  <c r="BB50" i="18"/>
  <c r="BC50" i="18"/>
  <c r="BD50" i="18"/>
  <c r="BE50" i="18"/>
  <c r="BA51" i="18"/>
  <c r="BB51" i="18"/>
  <c r="BC51" i="18"/>
  <c r="BD51" i="18"/>
  <c r="BE51" i="18"/>
  <c r="BA52" i="18"/>
  <c r="BB52" i="18"/>
  <c r="BC52" i="18"/>
  <c r="BD52" i="18"/>
  <c r="BE52" i="18"/>
  <c r="BA53" i="18"/>
  <c r="BB53" i="18"/>
  <c r="BC53" i="18"/>
  <c r="BD53" i="18"/>
  <c r="BE53" i="18"/>
  <c r="BA54" i="18"/>
  <c r="BB54" i="18"/>
  <c r="BC54" i="18"/>
  <c r="BD54" i="18"/>
  <c r="BE54" i="18"/>
  <c r="BA55" i="18"/>
  <c r="BB55" i="18"/>
  <c r="BC55" i="18"/>
  <c r="BD55" i="18"/>
  <c r="BE55" i="18"/>
  <c r="BA56" i="18"/>
  <c r="BB56" i="18"/>
  <c r="BC56" i="18"/>
  <c r="BD56" i="18"/>
  <c r="BE56" i="18"/>
  <c r="BA57" i="18"/>
  <c r="BB57" i="18"/>
  <c r="BC57" i="18"/>
  <c r="BD57" i="18"/>
  <c r="BE57" i="18"/>
  <c r="BA58" i="18"/>
  <c r="BB58" i="18"/>
  <c r="BC58" i="18"/>
  <c r="BD58" i="18"/>
  <c r="BE58" i="18"/>
  <c r="BA59" i="18"/>
  <c r="BB59" i="18"/>
  <c r="BC59" i="18"/>
  <c r="BD59" i="18"/>
  <c r="BE59" i="18"/>
  <c r="BA60" i="18"/>
  <c r="BB60" i="18"/>
  <c r="BC60" i="18"/>
  <c r="BD60" i="18"/>
  <c r="BE60" i="18"/>
  <c r="BA61" i="18"/>
  <c r="BB61" i="18"/>
  <c r="BC61" i="18"/>
  <c r="BD61" i="18"/>
  <c r="BE61" i="18"/>
  <c r="BA62" i="18"/>
  <c r="BB62" i="18"/>
  <c r="BC62" i="18"/>
  <c r="BD62" i="18"/>
  <c r="BE62" i="18"/>
  <c r="BA63" i="18"/>
  <c r="BB63" i="18"/>
  <c r="BC63" i="18"/>
  <c r="BD63" i="18"/>
  <c r="BE63" i="18"/>
  <c r="BA64" i="18"/>
  <c r="BB64" i="18"/>
  <c r="BC64" i="18"/>
  <c r="BD64" i="18"/>
  <c r="BE64" i="18"/>
  <c r="BA65" i="18"/>
  <c r="BB65" i="18"/>
  <c r="BC65" i="18"/>
  <c r="BD65" i="18"/>
  <c r="BE65" i="18"/>
  <c r="BA66" i="18"/>
  <c r="BB66" i="18"/>
  <c r="BC66" i="18"/>
  <c r="BD66" i="18"/>
  <c r="BE66" i="18"/>
  <c r="BA67" i="18"/>
  <c r="BB67" i="18"/>
  <c r="BC67" i="18"/>
  <c r="BD67" i="18"/>
  <c r="BE67" i="18"/>
  <c r="BA68" i="18"/>
  <c r="BB68" i="18"/>
  <c r="BC68" i="18"/>
  <c r="BD68" i="18"/>
  <c r="BE68" i="18"/>
  <c r="BA69" i="18"/>
  <c r="BB69" i="18"/>
  <c r="BC69" i="18"/>
  <c r="BD69" i="18"/>
  <c r="BE69" i="18"/>
  <c r="BA70" i="18"/>
  <c r="BB70" i="18"/>
  <c r="BC70" i="18"/>
  <c r="BD70" i="18"/>
  <c r="BE70" i="18"/>
  <c r="BA71" i="18"/>
  <c r="BB71" i="18"/>
  <c r="BC71" i="18"/>
  <c r="BD71" i="18"/>
  <c r="BE71" i="18"/>
  <c r="BA72" i="18"/>
  <c r="BB72" i="18"/>
  <c r="BC72" i="18"/>
  <c r="BD72" i="18"/>
  <c r="BE72" i="18"/>
  <c r="BA73" i="18"/>
  <c r="BB73" i="18"/>
  <c r="BC73" i="18"/>
  <c r="BD73" i="18"/>
  <c r="BE73" i="18"/>
  <c r="BA74" i="18"/>
  <c r="BB74" i="18"/>
  <c r="BC74" i="18"/>
  <c r="BD74" i="18"/>
  <c r="BE74" i="18"/>
  <c r="BA75" i="18"/>
  <c r="BB75" i="18"/>
  <c r="BC75" i="18"/>
  <c r="BD75" i="18"/>
  <c r="BE75" i="18"/>
  <c r="BA76" i="18"/>
  <c r="BB76" i="18"/>
  <c r="BC76" i="18"/>
  <c r="BD76" i="18"/>
  <c r="BE76" i="18"/>
  <c r="BA77" i="18"/>
  <c r="BB77" i="18"/>
  <c r="BC77" i="18"/>
  <c r="BD77" i="18"/>
  <c r="BE77" i="18"/>
  <c r="BA78" i="18"/>
  <c r="BB78" i="18"/>
  <c r="BC78" i="18"/>
  <c r="BD78" i="18"/>
  <c r="BE78" i="18"/>
  <c r="BA79" i="18"/>
  <c r="BB79" i="18"/>
  <c r="BC79" i="18"/>
  <c r="BD79" i="18"/>
  <c r="BE79" i="18"/>
  <c r="BA80" i="18"/>
  <c r="BB80" i="18"/>
  <c r="BC80" i="18"/>
  <c r="BD80" i="18"/>
  <c r="BE80" i="18"/>
  <c r="BA81" i="18"/>
  <c r="BB81" i="18"/>
  <c r="BC81" i="18"/>
  <c r="BD81" i="18"/>
  <c r="BE81" i="18"/>
  <c r="BA82" i="18"/>
  <c r="BB82" i="18"/>
  <c r="BC82" i="18"/>
  <c r="BD82" i="18"/>
  <c r="BE82" i="18"/>
  <c r="BA83" i="18"/>
  <c r="BB83" i="18"/>
  <c r="BC83" i="18"/>
  <c r="BD83" i="18"/>
  <c r="BE83" i="18"/>
  <c r="BA84" i="18"/>
  <c r="BB84" i="18"/>
  <c r="BC84" i="18"/>
  <c r="BD84" i="18"/>
  <c r="BE84" i="18"/>
  <c r="BA85" i="18"/>
  <c r="BB85" i="18"/>
  <c r="BC85" i="18"/>
  <c r="BD85" i="18"/>
  <c r="BE85" i="18"/>
  <c r="BA86" i="18"/>
  <c r="BB86" i="18"/>
  <c r="BC86" i="18"/>
  <c r="BD86" i="18"/>
  <c r="BE86" i="18"/>
  <c r="BA87" i="18"/>
  <c r="BB87" i="18"/>
  <c r="BC87" i="18"/>
  <c r="BD87" i="18"/>
  <c r="BE87" i="18"/>
  <c r="BA88" i="18"/>
  <c r="BB88" i="18"/>
  <c r="BC88" i="18"/>
  <c r="BD88" i="18"/>
  <c r="BE88" i="18"/>
  <c r="BA89" i="18"/>
  <c r="BB89" i="18"/>
  <c r="BC89" i="18"/>
  <c r="BD89" i="18"/>
  <c r="BE89" i="18"/>
  <c r="BA90" i="18"/>
  <c r="BB90" i="18"/>
  <c r="BC90" i="18"/>
  <c r="BD90" i="18"/>
  <c r="BE90" i="18"/>
  <c r="BA91" i="18"/>
  <c r="BB91" i="18"/>
  <c r="BC91" i="18"/>
  <c r="BD91" i="18"/>
  <c r="BE91" i="18"/>
  <c r="BA92" i="18"/>
  <c r="BB92" i="18"/>
  <c r="BC92" i="18"/>
  <c r="BD92" i="18"/>
  <c r="BE92" i="18"/>
  <c r="BA93" i="18"/>
  <c r="BB93" i="18"/>
  <c r="BC93" i="18"/>
  <c r="BD93" i="18"/>
  <c r="BE93" i="18"/>
  <c r="BA94" i="18"/>
  <c r="BB94" i="18"/>
  <c r="BC94" i="18"/>
  <c r="BD94" i="18"/>
  <c r="BE94" i="18"/>
  <c r="BA95" i="18"/>
  <c r="BB95" i="18"/>
  <c r="BC95" i="18"/>
  <c r="BD95" i="18"/>
  <c r="BE95" i="18"/>
  <c r="BA96" i="18"/>
  <c r="BB96" i="18"/>
  <c r="BC96" i="18"/>
  <c r="BD96" i="18"/>
  <c r="BE96" i="18"/>
  <c r="BA97" i="18"/>
  <c r="BB97" i="18"/>
  <c r="BC97" i="18"/>
  <c r="BD97" i="18"/>
  <c r="BE97" i="18"/>
  <c r="BA98" i="18"/>
  <c r="BB98" i="18"/>
  <c r="BC98" i="18"/>
  <c r="BD98" i="18"/>
  <c r="BE98" i="18"/>
  <c r="BA99" i="18"/>
  <c r="BB99" i="18"/>
  <c r="BC99" i="18"/>
  <c r="BD99" i="18"/>
  <c r="BE99" i="18"/>
  <c r="BA100" i="18"/>
  <c r="BB100" i="18"/>
  <c r="BC100" i="18"/>
  <c r="BD100" i="18"/>
  <c r="BE100" i="18"/>
  <c r="BA101" i="18"/>
  <c r="BB101" i="18"/>
  <c r="BC101" i="18"/>
  <c r="BD101" i="18"/>
  <c r="BE101" i="18"/>
  <c r="BA102" i="18"/>
  <c r="BB102" i="18"/>
  <c r="BC102" i="18"/>
  <c r="BD102" i="18"/>
  <c r="BE102" i="18"/>
  <c r="BA103" i="18"/>
  <c r="BB103" i="18"/>
  <c r="BC103" i="18"/>
  <c r="BD103" i="18"/>
  <c r="BE103" i="18"/>
  <c r="BA104" i="18"/>
  <c r="BB104" i="18"/>
  <c r="BC104" i="18"/>
  <c r="BD104" i="18"/>
  <c r="BE104" i="18"/>
  <c r="BA105" i="18"/>
  <c r="BB105" i="18"/>
  <c r="BC105" i="18"/>
  <c r="BD105" i="18"/>
  <c r="BE105" i="18"/>
  <c r="BA106" i="18"/>
  <c r="BB106" i="18"/>
  <c r="BC106" i="18"/>
  <c r="BD106" i="18"/>
  <c r="BE106" i="18"/>
  <c r="BA107" i="18"/>
  <c r="BB107" i="18"/>
  <c r="BC107" i="18"/>
  <c r="BD107" i="18"/>
  <c r="BE107" i="18"/>
  <c r="BA108" i="18"/>
  <c r="BB108" i="18"/>
  <c r="BC108" i="18"/>
  <c r="BD108" i="18"/>
  <c r="BE108" i="18"/>
  <c r="BA109" i="18"/>
  <c r="BB109" i="18"/>
  <c r="BC109" i="18"/>
  <c r="BD109" i="18"/>
  <c r="BE109" i="18"/>
  <c r="BA110" i="18"/>
  <c r="BB110" i="18"/>
  <c r="BC110" i="18"/>
  <c r="BD110" i="18"/>
  <c r="BE110" i="18"/>
  <c r="BA111" i="18"/>
  <c r="BB111" i="18"/>
  <c r="BC111" i="18"/>
  <c r="BD111" i="18"/>
  <c r="BE111" i="18"/>
  <c r="BA112" i="18"/>
  <c r="BB112" i="18"/>
  <c r="BC112" i="18"/>
  <c r="BD112" i="18"/>
  <c r="BE112" i="18"/>
  <c r="BA113" i="18"/>
  <c r="BB113" i="18"/>
  <c r="BC113" i="18"/>
  <c r="BD113" i="18"/>
  <c r="BE113" i="18"/>
  <c r="BA114" i="18"/>
  <c r="BB114" i="18"/>
  <c r="BC114" i="18"/>
  <c r="BD114" i="18"/>
  <c r="BE114" i="18"/>
  <c r="BA115" i="18"/>
  <c r="BB115" i="18"/>
  <c r="BC115" i="18"/>
  <c r="BD115" i="18"/>
  <c r="BE115" i="18"/>
  <c r="BA116" i="18"/>
  <c r="BB116" i="18"/>
  <c r="BC116" i="18"/>
  <c r="BD116" i="18"/>
  <c r="BE116" i="18"/>
  <c r="BA117" i="18"/>
  <c r="BB117" i="18"/>
  <c r="BC117" i="18"/>
  <c r="BD117" i="18"/>
  <c r="BE117" i="18"/>
  <c r="BA118" i="18"/>
  <c r="BB118" i="18"/>
  <c r="BC118" i="18"/>
  <c r="BD118" i="18"/>
  <c r="BE118" i="18"/>
  <c r="BA119" i="18"/>
  <c r="BB119" i="18"/>
  <c r="BC119" i="18"/>
  <c r="BD119" i="18"/>
  <c r="BE119" i="18"/>
  <c r="BA120" i="18"/>
  <c r="BB120" i="18"/>
  <c r="BC120" i="18"/>
  <c r="BD120" i="18"/>
  <c r="BE120" i="18"/>
  <c r="BA121" i="18"/>
  <c r="BB121" i="18"/>
  <c r="BC121" i="18"/>
  <c r="BD121" i="18"/>
  <c r="BE121" i="18"/>
  <c r="BA122" i="18"/>
  <c r="BB122" i="18"/>
  <c r="BC122" i="18"/>
  <c r="BD122" i="18"/>
  <c r="BE122" i="18"/>
  <c r="BA123" i="18"/>
  <c r="BB123" i="18"/>
  <c r="BC123" i="18"/>
  <c r="BD123" i="18"/>
  <c r="BE123" i="18"/>
  <c r="BA124" i="18"/>
  <c r="BB124" i="18"/>
  <c r="BC124" i="18"/>
  <c r="BD124" i="18"/>
  <c r="BE124" i="18"/>
  <c r="BA125" i="18"/>
  <c r="BB125" i="18"/>
  <c r="BC125" i="18"/>
  <c r="BD125" i="18"/>
  <c r="BE125" i="18"/>
  <c r="BA126" i="18"/>
  <c r="BB126" i="18"/>
  <c r="BC126" i="18"/>
  <c r="BD126" i="18"/>
  <c r="BE126" i="18"/>
  <c r="BA127" i="18"/>
  <c r="BB127" i="18"/>
  <c r="BC127" i="18"/>
  <c r="BD127" i="18"/>
  <c r="BE127" i="18"/>
  <c r="BA128" i="18"/>
  <c r="BB128" i="18"/>
  <c r="BC128" i="18"/>
  <c r="BD128" i="18"/>
  <c r="BE128" i="18"/>
  <c r="BA129" i="18"/>
  <c r="BB129" i="18"/>
  <c r="BC129" i="18"/>
  <c r="BD129" i="18"/>
  <c r="BE129" i="18"/>
  <c r="BA130" i="18"/>
  <c r="BB130" i="18"/>
  <c r="BC130" i="18"/>
  <c r="BD130" i="18"/>
  <c r="BE130" i="18"/>
  <c r="BA131" i="18"/>
  <c r="BB131" i="18"/>
  <c r="BC131" i="18"/>
  <c r="BD131" i="18"/>
  <c r="BE131" i="18"/>
  <c r="BA132" i="18"/>
  <c r="BB132" i="18"/>
  <c r="BC132" i="18"/>
  <c r="BD132" i="18"/>
  <c r="BE132" i="18"/>
  <c r="BA133" i="18"/>
  <c r="BB133" i="18"/>
  <c r="BC133" i="18"/>
  <c r="BD133" i="18"/>
  <c r="BE133" i="18"/>
  <c r="BA134" i="18"/>
  <c r="BB134" i="18"/>
  <c r="BC134" i="18"/>
  <c r="BD134" i="18"/>
  <c r="BE134" i="18"/>
  <c r="BA135" i="18"/>
  <c r="BB135" i="18"/>
  <c r="BC135" i="18"/>
  <c r="BD135" i="18"/>
  <c r="BE135" i="18"/>
  <c r="BA136" i="18"/>
  <c r="BB136" i="18"/>
  <c r="BC136" i="18"/>
  <c r="BD136" i="18"/>
  <c r="BE136" i="18"/>
  <c r="BA137" i="18"/>
  <c r="BB137" i="18"/>
  <c r="BC137" i="18"/>
  <c r="BD137" i="18"/>
  <c r="BE137" i="18"/>
  <c r="BA138" i="18"/>
  <c r="BB138" i="18"/>
  <c r="BC138" i="18"/>
  <c r="BD138" i="18"/>
  <c r="BE138" i="18"/>
  <c r="BA139" i="18"/>
  <c r="BB139" i="18"/>
  <c r="BC139" i="18"/>
  <c r="BD139" i="18"/>
  <c r="BE139" i="18"/>
  <c r="BA140" i="18"/>
  <c r="BB140" i="18"/>
  <c r="BC140" i="18"/>
  <c r="BD140" i="18"/>
  <c r="BE140" i="18"/>
  <c r="BA141" i="18"/>
  <c r="BB141" i="18"/>
  <c r="BC141" i="18"/>
  <c r="BD141" i="18"/>
  <c r="BE141" i="18"/>
  <c r="BA142" i="18"/>
  <c r="BB142" i="18"/>
  <c r="BC142" i="18"/>
  <c r="BD142" i="18"/>
  <c r="BE142" i="18"/>
  <c r="BA143" i="18"/>
  <c r="BB143" i="18"/>
  <c r="BC143" i="18"/>
  <c r="BD143" i="18"/>
  <c r="BE143" i="18"/>
  <c r="BA144" i="18"/>
  <c r="BB144" i="18"/>
  <c r="BC144" i="18"/>
  <c r="BD144" i="18"/>
  <c r="BE144" i="18"/>
  <c r="BA145" i="18"/>
  <c r="BB145" i="18"/>
  <c r="BC145" i="18"/>
  <c r="BD145" i="18"/>
  <c r="BE145" i="18"/>
  <c r="BA146" i="18"/>
  <c r="BB146" i="18"/>
  <c r="BC146" i="18"/>
  <c r="BD146" i="18"/>
  <c r="BE146" i="18"/>
  <c r="BA147" i="18"/>
  <c r="BB147" i="18"/>
  <c r="BC147" i="18"/>
  <c r="BD147" i="18"/>
  <c r="BE147" i="18"/>
  <c r="BA148" i="18"/>
  <c r="BB148" i="18"/>
  <c r="BC148" i="18"/>
  <c r="BD148" i="18"/>
  <c r="BE148" i="18"/>
  <c r="BA149" i="18"/>
  <c r="BB149" i="18"/>
  <c r="BC149" i="18"/>
  <c r="BD149" i="18"/>
  <c r="BE149" i="18"/>
  <c r="BA150" i="18"/>
  <c r="BB150" i="18"/>
  <c r="BC150" i="18"/>
  <c r="BD150" i="18"/>
  <c r="BE150" i="18"/>
  <c r="BA151" i="18"/>
  <c r="BB151" i="18"/>
  <c r="BC151" i="18"/>
  <c r="BD151" i="18"/>
  <c r="BE151" i="18"/>
  <c r="BA152" i="18"/>
  <c r="BB152" i="18"/>
  <c r="BC152" i="18"/>
  <c r="BD152" i="18"/>
  <c r="BE152" i="18"/>
  <c r="BA153" i="18"/>
  <c r="BB153" i="18"/>
  <c r="BC153" i="18"/>
  <c r="BD153" i="18"/>
  <c r="BE153" i="18"/>
  <c r="BA154" i="18"/>
  <c r="BB154" i="18"/>
  <c r="BC154" i="18"/>
  <c r="BD154" i="18"/>
  <c r="BE154" i="18"/>
  <c r="BA155" i="18"/>
  <c r="BB155" i="18"/>
  <c r="BC155" i="18"/>
  <c r="BD155" i="18"/>
  <c r="BE155" i="18"/>
  <c r="BA156" i="18"/>
  <c r="BB156" i="18"/>
  <c r="BC156" i="18"/>
  <c r="BD156" i="18"/>
  <c r="BE156" i="18"/>
  <c r="BA157" i="18"/>
  <c r="BB157" i="18"/>
  <c r="BC157" i="18"/>
  <c r="BD157" i="18"/>
  <c r="BE157" i="18"/>
  <c r="BA158" i="18"/>
  <c r="BB158" i="18"/>
  <c r="BC158" i="18"/>
  <c r="BD158" i="18"/>
  <c r="BE158" i="18"/>
  <c r="BA159" i="18"/>
  <c r="BB159" i="18"/>
  <c r="BC159" i="18"/>
  <c r="BD159" i="18"/>
  <c r="BE159" i="18"/>
  <c r="BA160" i="18"/>
  <c r="BB160" i="18"/>
  <c r="BC160" i="18"/>
  <c r="BD160" i="18"/>
  <c r="BE160" i="18"/>
  <c r="BA161" i="18"/>
  <c r="BB161" i="18"/>
  <c r="BC161" i="18"/>
  <c r="BD161" i="18"/>
  <c r="BE161" i="18"/>
  <c r="BA162" i="18"/>
  <c r="BB162" i="18"/>
  <c r="BC162" i="18"/>
  <c r="BD162" i="18"/>
  <c r="BE162" i="18"/>
  <c r="BA163" i="18"/>
  <c r="BB163" i="18"/>
  <c r="BC163" i="18"/>
  <c r="BD163" i="18"/>
  <c r="BE163" i="18"/>
  <c r="BA164" i="18"/>
  <c r="BB164" i="18"/>
  <c r="BC164" i="18"/>
  <c r="BD164" i="18"/>
  <c r="BE164" i="18"/>
  <c r="BA165" i="18"/>
  <c r="BB165" i="18"/>
  <c r="BC165" i="18"/>
  <c r="BD165" i="18"/>
  <c r="BE165" i="18"/>
  <c r="BA166" i="18"/>
  <c r="BB166" i="18"/>
  <c r="BC166" i="18"/>
  <c r="BD166" i="18"/>
  <c r="BE166" i="18"/>
  <c r="BA167" i="18"/>
  <c r="BB167" i="18"/>
  <c r="BC167" i="18"/>
  <c r="BD167" i="18"/>
  <c r="BE167" i="18"/>
  <c r="BA168" i="18"/>
  <c r="BB168" i="18"/>
  <c r="BC168" i="18"/>
  <c r="BD168" i="18"/>
  <c r="BE168" i="18"/>
  <c r="BA169" i="18"/>
  <c r="BB169" i="18"/>
  <c r="BC169" i="18"/>
  <c r="BD169" i="18"/>
  <c r="BE169" i="18"/>
  <c r="BA170" i="18"/>
  <c r="BB170" i="18"/>
  <c r="BC170" i="18"/>
  <c r="BD170" i="18"/>
  <c r="BE170" i="18"/>
  <c r="BA171" i="18"/>
  <c r="BB171" i="18"/>
  <c r="BC171" i="18"/>
  <c r="BD171" i="18"/>
  <c r="BE171" i="18"/>
  <c r="BA172" i="18"/>
  <c r="BB172" i="18"/>
  <c r="BC172" i="18"/>
  <c r="BD172" i="18"/>
  <c r="BE172" i="18"/>
  <c r="BA173" i="18"/>
  <c r="BB173" i="18"/>
  <c r="BC173" i="18"/>
  <c r="BD173" i="18"/>
  <c r="BE173" i="18"/>
  <c r="BA174" i="18"/>
  <c r="BB174" i="18"/>
  <c r="BC174" i="18"/>
  <c r="BD174" i="18"/>
  <c r="BE174" i="18"/>
  <c r="BA175" i="18"/>
  <c r="BB175" i="18"/>
  <c r="BC175" i="18"/>
  <c r="BD175" i="18"/>
  <c r="BE175" i="18"/>
  <c r="BA176" i="18"/>
  <c r="BB176" i="18"/>
  <c r="BC176" i="18"/>
  <c r="BD176" i="18"/>
  <c r="BE176" i="18"/>
  <c r="BA177" i="18"/>
  <c r="BB177" i="18"/>
  <c r="BC177" i="18"/>
  <c r="BD177" i="18"/>
  <c r="BE177" i="18"/>
  <c r="BA178" i="18"/>
  <c r="BB178" i="18"/>
  <c r="BC178" i="18"/>
  <c r="BD178" i="18"/>
  <c r="BE178" i="18"/>
  <c r="BA179" i="18"/>
  <c r="BB179" i="18"/>
  <c r="BC179" i="18"/>
  <c r="BD179" i="18"/>
  <c r="BE179" i="18"/>
  <c r="BA180" i="18"/>
  <c r="BB180" i="18"/>
  <c r="BC180" i="18"/>
  <c r="BD180" i="18"/>
  <c r="BE180" i="18"/>
  <c r="BA181" i="18"/>
  <c r="BB181" i="18"/>
  <c r="BC181" i="18"/>
  <c r="BD181" i="18"/>
  <c r="BE181" i="18"/>
  <c r="BA182" i="18"/>
  <c r="BB182" i="18"/>
  <c r="BC182" i="18"/>
  <c r="BD182" i="18"/>
  <c r="BE182" i="18"/>
  <c r="BA183" i="18"/>
  <c r="BB183" i="18"/>
  <c r="BC183" i="18"/>
  <c r="BD183" i="18"/>
  <c r="BE183" i="18"/>
  <c r="BA184" i="18"/>
  <c r="BB184" i="18"/>
  <c r="BC184" i="18"/>
  <c r="BD184" i="18"/>
  <c r="BE184" i="18"/>
  <c r="BA185" i="18"/>
  <c r="BB185" i="18"/>
  <c r="BC185" i="18"/>
  <c r="BD185" i="18"/>
  <c r="BE185" i="18"/>
  <c r="BA186" i="18"/>
  <c r="BB186" i="18"/>
  <c r="BC186" i="18"/>
  <c r="BD186" i="18"/>
  <c r="BE186" i="18"/>
  <c r="BA187" i="18"/>
  <c r="BB187" i="18"/>
  <c r="BC187" i="18"/>
  <c r="BD187" i="18"/>
  <c r="BE187" i="18"/>
  <c r="BA188" i="18"/>
  <c r="BB188" i="18"/>
  <c r="BC188" i="18"/>
  <c r="BD188" i="18"/>
  <c r="BE188" i="18"/>
  <c r="BA189" i="18"/>
  <c r="BB189" i="18"/>
  <c r="BC189" i="18"/>
  <c r="BD189" i="18"/>
  <c r="BE189" i="18"/>
  <c r="BA190" i="18"/>
  <c r="BB190" i="18"/>
  <c r="BC190" i="18"/>
  <c r="BD190" i="18"/>
  <c r="BE190" i="18"/>
  <c r="BA191" i="18"/>
  <c r="BB191" i="18"/>
  <c r="BC191" i="18"/>
  <c r="BD191" i="18"/>
  <c r="BE191" i="18"/>
  <c r="BA192" i="18"/>
  <c r="BB192" i="18"/>
  <c r="BC192" i="18"/>
  <c r="BD192" i="18"/>
  <c r="BE192" i="18"/>
  <c r="BA193" i="18"/>
  <c r="BB193" i="18"/>
  <c r="BC193" i="18"/>
  <c r="BD193" i="18"/>
  <c r="BE193" i="18"/>
  <c r="BA194" i="18"/>
  <c r="BB194" i="18"/>
  <c r="BC194" i="18"/>
  <c r="BD194" i="18"/>
  <c r="BE194" i="18"/>
  <c r="BA195" i="18"/>
  <c r="BB195" i="18"/>
  <c r="BC195" i="18"/>
  <c r="BD195" i="18"/>
  <c r="BE195" i="18"/>
  <c r="BA196" i="18"/>
  <c r="BB196" i="18"/>
  <c r="BC196" i="18"/>
  <c r="BD196" i="18"/>
  <c r="BE196" i="18"/>
  <c r="BA197" i="18"/>
  <c r="BB197" i="18"/>
  <c r="BC197" i="18"/>
  <c r="BD197" i="18"/>
  <c r="BE197" i="18"/>
  <c r="BA198" i="18"/>
  <c r="BB198" i="18"/>
  <c r="BC198" i="18"/>
  <c r="BD198" i="18"/>
  <c r="BE198" i="18"/>
  <c r="BA199" i="18"/>
  <c r="BB199" i="18"/>
  <c r="BC199" i="18"/>
  <c r="BD199" i="18"/>
  <c r="BE199" i="18"/>
  <c r="BA200" i="18"/>
  <c r="BB200" i="18"/>
  <c r="BC200" i="18"/>
  <c r="BD200" i="18"/>
  <c r="BE200" i="18"/>
  <c r="BA201" i="18"/>
  <c r="BB201" i="18"/>
  <c r="BC201" i="18"/>
  <c r="BD201" i="18"/>
  <c r="BE201" i="18"/>
  <c r="BA202" i="18"/>
  <c r="BB202" i="18"/>
  <c r="BC202" i="18"/>
  <c r="BD202" i="18"/>
  <c r="BE202" i="18"/>
  <c r="BA203" i="18"/>
  <c r="BB203" i="18"/>
  <c r="BC203" i="18"/>
  <c r="BD203" i="18"/>
  <c r="BE203" i="18"/>
  <c r="BA204" i="18"/>
  <c r="BB204" i="18"/>
  <c r="BC204" i="18"/>
  <c r="BD204" i="18"/>
  <c r="BE204" i="18"/>
  <c r="BA205" i="18"/>
  <c r="BB205" i="18"/>
  <c r="BC205" i="18"/>
  <c r="BD205" i="18"/>
  <c r="BE205" i="18"/>
  <c r="BA206" i="18"/>
  <c r="BB206" i="18"/>
  <c r="BC206" i="18"/>
  <c r="BD206" i="18"/>
  <c r="BE206" i="18"/>
  <c r="BA207" i="18"/>
  <c r="BB207" i="18"/>
  <c r="BC207" i="18"/>
  <c r="BD207" i="18"/>
  <c r="BE207" i="18"/>
  <c r="BA208" i="18"/>
  <c r="BB208" i="18"/>
  <c r="BC208" i="18"/>
  <c r="BD208" i="18"/>
  <c r="BE208" i="18"/>
  <c r="BA209" i="18"/>
  <c r="BB209" i="18"/>
  <c r="BC209" i="18"/>
  <c r="BD209" i="18"/>
  <c r="BE209" i="18"/>
  <c r="BA210" i="18"/>
  <c r="BB210" i="18"/>
  <c r="BC210" i="18"/>
  <c r="BD210" i="18"/>
  <c r="BE210" i="18"/>
  <c r="BA211" i="18"/>
  <c r="BB211" i="18"/>
  <c r="BC211" i="18"/>
  <c r="BD211" i="18"/>
  <c r="BE211" i="18"/>
  <c r="BA212" i="18"/>
  <c r="BB212" i="18"/>
  <c r="BC212" i="18"/>
  <c r="BD212" i="18"/>
  <c r="BE212" i="18"/>
  <c r="BA213" i="18"/>
  <c r="BB213" i="18"/>
  <c r="BC213" i="18"/>
  <c r="BD213" i="18"/>
  <c r="BE213" i="18"/>
  <c r="BA214" i="18"/>
  <c r="BB214" i="18"/>
  <c r="BC214" i="18"/>
  <c r="BD214" i="18"/>
  <c r="BE214" i="18"/>
  <c r="BA215" i="18"/>
  <c r="BB215" i="18"/>
  <c r="BC215" i="18"/>
  <c r="BD215" i="18"/>
  <c r="BE215" i="18"/>
  <c r="BA216" i="18"/>
  <c r="BB216" i="18"/>
  <c r="BC216" i="18"/>
  <c r="BD216" i="18"/>
  <c r="BE216" i="18"/>
  <c r="BA217" i="18"/>
  <c r="BB217" i="18"/>
  <c r="BC217" i="18"/>
  <c r="BD217" i="18"/>
  <c r="BE217" i="18"/>
  <c r="BA218" i="18"/>
  <c r="BB218" i="18"/>
  <c r="BC218" i="18"/>
  <c r="BD218" i="18"/>
  <c r="BE218" i="18"/>
  <c r="BA219" i="18"/>
  <c r="BB219" i="18"/>
  <c r="BC219" i="18"/>
  <c r="BD219" i="18"/>
  <c r="BE219" i="18"/>
  <c r="BA220" i="18"/>
  <c r="BB220" i="18"/>
  <c r="BC220" i="18"/>
  <c r="BD220" i="18"/>
  <c r="BE220" i="18"/>
  <c r="BA221" i="18"/>
  <c r="BB221" i="18"/>
  <c r="BC221" i="18"/>
  <c r="BD221" i="18"/>
  <c r="BE221" i="18"/>
  <c r="BA222" i="18"/>
  <c r="BB222" i="18"/>
  <c r="BC222" i="18"/>
  <c r="BD222" i="18"/>
  <c r="BE222" i="18"/>
  <c r="BA223" i="18"/>
  <c r="BB223" i="18"/>
  <c r="BC223" i="18"/>
  <c r="BD223" i="18"/>
  <c r="BE223" i="18"/>
  <c r="BA224" i="18"/>
  <c r="BB224" i="18"/>
  <c r="BC224" i="18"/>
  <c r="BD224" i="18"/>
  <c r="BE224" i="18"/>
  <c r="BA225" i="18"/>
  <c r="BB225" i="18"/>
  <c r="BC225" i="18"/>
  <c r="BD225" i="18"/>
  <c r="BE225" i="18"/>
  <c r="BA226" i="18"/>
  <c r="BB226" i="18"/>
  <c r="BC226" i="18"/>
  <c r="BD226" i="18"/>
  <c r="BE226" i="18"/>
  <c r="BA227" i="18"/>
  <c r="BB227" i="18"/>
  <c r="BC227" i="18"/>
  <c r="BD227" i="18"/>
  <c r="BE227" i="18"/>
  <c r="BA228" i="18"/>
  <c r="BB228" i="18"/>
  <c r="BC228" i="18"/>
  <c r="BD228" i="18"/>
  <c r="BE228" i="18"/>
  <c r="BA229" i="18"/>
  <c r="BB229" i="18"/>
  <c r="BC229" i="18"/>
  <c r="BD229" i="18"/>
  <c r="BE229" i="18"/>
  <c r="BA230" i="18"/>
  <c r="BB230" i="18"/>
  <c r="BC230" i="18"/>
  <c r="BD230" i="18"/>
  <c r="BE230" i="18"/>
  <c r="BA231" i="18"/>
  <c r="BB231" i="18"/>
  <c r="BC231" i="18"/>
  <c r="BD231" i="18"/>
  <c r="BE231" i="18"/>
  <c r="BA232" i="18"/>
  <c r="BB232" i="18"/>
  <c r="BC232" i="18"/>
  <c r="BD232" i="18"/>
  <c r="BE232" i="18"/>
  <c r="BA233" i="18"/>
  <c r="BB233" i="18"/>
  <c r="BC233" i="18"/>
  <c r="BD233" i="18"/>
  <c r="BE233" i="18"/>
  <c r="BA234" i="18"/>
  <c r="BB234" i="18"/>
  <c r="BC234" i="18"/>
  <c r="BD234" i="18"/>
  <c r="BE234" i="18"/>
  <c r="BA235" i="18"/>
  <c r="BB235" i="18"/>
  <c r="BC235" i="18"/>
  <c r="BD235" i="18"/>
  <c r="BE235" i="18"/>
  <c r="BA236" i="18"/>
  <c r="BB236" i="18"/>
  <c r="BC236" i="18"/>
  <c r="BD236" i="18"/>
  <c r="BE236" i="18"/>
  <c r="BA237" i="18"/>
  <c r="BB237" i="18"/>
  <c r="BC237" i="18"/>
  <c r="BD237" i="18"/>
  <c r="BE237" i="18"/>
  <c r="BA238" i="18"/>
  <c r="BB238" i="18"/>
  <c r="BC238" i="18"/>
  <c r="BD238" i="18"/>
  <c r="BE238" i="18"/>
  <c r="BA239" i="18"/>
  <c r="BB239" i="18"/>
  <c r="BC239" i="18"/>
  <c r="BD239" i="18"/>
  <c r="BE239" i="18"/>
  <c r="BA240" i="18"/>
  <c r="BB240" i="18"/>
  <c r="BC240" i="18"/>
  <c r="BD240" i="18"/>
  <c r="BE240" i="18"/>
  <c r="BA241" i="18"/>
  <c r="BB241" i="18"/>
  <c r="BC241" i="18"/>
  <c r="BD241" i="18"/>
  <c r="BE241" i="18"/>
  <c r="BA242" i="18"/>
  <c r="BB242" i="18"/>
  <c r="BC242" i="18"/>
  <c r="BD242" i="18"/>
  <c r="BE242" i="18"/>
  <c r="BA243" i="18"/>
  <c r="BB243" i="18"/>
  <c r="BC243" i="18"/>
  <c r="BD243" i="18"/>
  <c r="BE243" i="18"/>
  <c r="BA244" i="18"/>
  <c r="BB244" i="18"/>
  <c r="BC244" i="18"/>
  <c r="BD244" i="18"/>
  <c r="BE244" i="18"/>
  <c r="BA245" i="18"/>
  <c r="BB245" i="18"/>
  <c r="BC245" i="18"/>
  <c r="BD245" i="18"/>
  <c r="BE245" i="18"/>
  <c r="BA246" i="18"/>
  <c r="BB246" i="18"/>
  <c r="BC246" i="18"/>
  <c r="BD246" i="18"/>
  <c r="BE246" i="18"/>
  <c r="BA247" i="18"/>
  <c r="BB247" i="18"/>
  <c r="BC247" i="18"/>
  <c r="BD247" i="18"/>
  <c r="BE247" i="18"/>
  <c r="BA248" i="18"/>
  <c r="BB248" i="18"/>
  <c r="BC248" i="18"/>
  <c r="BD248" i="18"/>
  <c r="BE248" i="18"/>
  <c r="BA249" i="18"/>
  <c r="BB249" i="18"/>
  <c r="BC249" i="18"/>
  <c r="BD249" i="18"/>
  <c r="BE249" i="18"/>
  <c r="BA250" i="18"/>
  <c r="BB250" i="18"/>
  <c r="BC250" i="18"/>
  <c r="BD250" i="18"/>
  <c r="BE250" i="18"/>
  <c r="BA251" i="18"/>
  <c r="BB251" i="18"/>
  <c r="BC251" i="18"/>
  <c r="BD251" i="18"/>
  <c r="BE251" i="18"/>
  <c r="BA252" i="18"/>
  <c r="BB252" i="18"/>
  <c r="BC252" i="18"/>
  <c r="BD252" i="18"/>
  <c r="BE252" i="18"/>
  <c r="BA253" i="18"/>
  <c r="BB253" i="18"/>
  <c r="BC253" i="18"/>
  <c r="BD253" i="18"/>
  <c r="BE253" i="18"/>
  <c r="BA254" i="18"/>
  <c r="BB254" i="18"/>
  <c r="BC254" i="18"/>
  <c r="BD254" i="18"/>
  <c r="BE254" i="18"/>
  <c r="BA255" i="18"/>
  <c r="BB255" i="18"/>
  <c r="BC255" i="18"/>
  <c r="BD255" i="18"/>
  <c r="BE255" i="18"/>
  <c r="BA256" i="18"/>
  <c r="BB256" i="18"/>
  <c r="BC256" i="18"/>
  <c r="BD256" i="18"/>
  <c r="BE256" i="18"/>
  <c r="BA257" i="18"/>
  <c r="BB257" i="18"/>
  <c r="BC257" i="18"/>
  <c r="BD257" i="18"/>
  <c r="BE257" i="18"/>
  <c r="BA258" i="18"/>
  <c r="BB258" i="18"/>
  <c r="BC258" i="18"/>
  <c r="BD258" i="18"/>
  <c r="BE258" i="18"/>
  <c r="BA259" i="18"/>
  <c r="BB259" i="18"/>
  <c r="BC259" i="18"/>
  <c r="BD259" i="18"/>
  <c r="BE259" i="18"/>
  <c r="BA260" i="18"/>
  <c r="BB260" i="18"/>
  <c r="BC260" i="18"/>
  <c r="BD260" i="18"/>
  <c r="BE260" i="18"/>
  <c r="BA261" i="18"/>
  <c r="BB261" i="18"/>
  <c r="BC261" i="18"/>
  <c r="BD261" i="18"/>
  <c r="BE261" i="18"/>
  <c r="BA262" i="18"/>
  <c r="BB262" i="18"/>
  <c r="BC262" i="18"/>
  <c r="BD262" i="18"/>
  <c r="BE262" i="18"/>
  <c r="BA263" i="18"/>
  <c r="BB263" i="18"/>
  <c r="BC263" i="18"/>
  <c r="BD263" i="18"/>
  <c r="BE263" i="18"/>
  <c r="BA264" i="18"/>
  <c r="BB264" i="18"/>
  <c r="BC264" i="18"/>
  <c r="BD264" i="18"/>
  <c r="BE264" i="18"/>
  <c r="BA265" i="18"/>
  <c r="BB265" i="18"/>
  <c r="BC265" i="18"/>
  <c r="BD265" i="18"/>
  <c r="BE265" i="18"/>
  <c r="BA266" i="18"/>
  <c r="BB266" i="18"/>
  <c r="BC266" i="18"/>
  <c r="BD266" i="18"/>
  <c r="BE266" i="18"/>
  <c r="BA267" i="18"/>
  <c r="BB267" i="18"/>
  <c r="BC267" i="18"/>
  <c r="BD267" i="18"/>
  <c r="BE267" i="18"/>
  <c r="BA268" i="18"/>
  <c r="BB268" i="18"/>
  <c r="BC268" i="18"/>
  <c r="BD268" i="18"/>
  <c r="BE268" i="18"/>
  <c r="BA269" i="18"/>
  <c r="BB269" i="18"/>
  <c r="BC269" i="18"/>
  <c r="BD269" i="18"/>
  <c r="BE269" i="18"/>
  <c r="BA270" i="18"/>
  <c r="BB270" i="18"/>
  <c r="BC270" i="18"/>
  <c r="BD270" i="18"/>
  <c r="BE270" i="18"/>
  <c r="BA271" i="18"/>
  <c r="BB271" i="18"/>
  <c r="BC271" i="18"/>
  <c r="BD271" i="18"/>
  <c r="BE271" i="18"/>
  <c r="BA272" i="18"/>
  <c r="BB272" i="18"/>
  <c r="BC272" i="18"/>
  <c r="BD272" i="18"/>
  <c r="BE272" i="18"/>
  <c r="BA273" i="18"/>
  <c r="BB273" i="18"/>
  <c r="BC273" i="18"/>
  <c r="BD273" i="18"/>
  <c r="BE273" i="18"/>
  <c r="BA274" i="18"/>
  <c r="BB274" i="18"/>
  <c r="BC274" i="18"/>
  <c r="BD274" i="18"/>
  <c r="BE274" i="18"/>
  <c r="BA275" i="18"/>
  <c r="BB275" i="18"/>
  <c r="BC275" i="18"/>
  <c r="BD275" i="18"/>
  <c r="BE275" i="18"/>
  <c r="BA276" i="18"/>
  <c r="BB276" i="18"/>
  <c r="BC276" i="18"/>
  <c r="BD276" i="18"/>
  <c r="BE276" i="18"/>
  <c r="BA277" i="18"/>
  <c r="BB277" i="18"/>
  <c r="BC277" i="18"/>
  <c r="BD277" i="18"/>
  <c r="BE277" i="18"/>
  <c r="BA278" i="18"/>
  <c r="BB278" i="18"/>
  <c r="BC278" i="18"/>
  <c r="BD278" i="18"/>
  <c r="BE278" i="18"/>
  <c r="BA279" i="18"/>
  <c r="BB279" i="18"/>
  <c r="BC279" i="18"/>
  <c r="BD279" i="18"/>
  <c r="BE279" i="18"/>
  <c r="BA280" i="18"/>
  <c r="BB280" i="18"/>
  <c r="BC280" i="18"/>
  <c r="BD280" i="18"/>
  <c r="BE280" i="18"/>
  <c r="BA281" i="18"/>
  <c r="BB281" i="18"/>
  <c r="BC281" i="18"/>
  <c r="BD281" i="18"/>
  <c r="BE281" i="18"/>
  <c r="BA282" i="18"/>
  <c r="BB282" i="18"/>
  <c r="BC282" i="18"/>
  <c r="BD282" i="18"/>
  <c r="BE282" i="18"/>
  <c r="BA283" i="18"/>
  <c r="BB283" i="18"/>
  <c r="BC283" i="18"/>
  <c r="BD283" i="18"/>
  <c r="BE283" i="18"/>
  <c r="BA284" i="18"/>
  <c r="BB284" i="18"/>
  <c r="BC284" i="18"/>
  <c r="BD284" i="18"/>
  <c r="BE284" i="18"/>
  <c r="BA285" i="18"/>
  <c r="BB285" i="18"/>
  <c r="BC285" i="18"/>
  <c r="BD285" i="18"/>
  <c r="BE285" i="18"/>
  <c r="BA286" i="18"/>
  <c r="BB286" i="18"/>
  <c r="BC286" i="18"/>
  <c r="BD286" i="18"/>
  <c r="BE286" i="18"/>
  <c r="BA287" i="18"/>
  <c r="BB287" i="18"/>
  <c r="BC287" i="18"/>
  <c r="BD287" i="18"/>
  <c r="BE287" i="18"/>
  <c r="BA288" i="18"/>
  <c r="BB288" i="18"/>
  <c r="BC288" i="18"/>
  <c r="BD288" i="18"/>
  <c r="BE288" i="18"/>
  <c r="BA289" i="18"/>
  <c r="BB289" i="18"/>
  <c r="BC289" i="18"/>
  <c r="BD289" i="18"/>
  <c r="BE289" i="18"/>
  <c r="BA290" i="18"/>
  <c r="BB290" i="18"/>
  <c r="BC290" i="18"/>
  <c r="BD290" i="18"/>
  <c r="BE290" i="18"/>
  <c r="BA291" i="18"/>
  <c r="BB291" i="18"/>
  <c r="BC291" i="18"/>
  <c r="BD291" i="18"/>
  <c r="BE291" i="18"/>
  <c r="BA292" i="18"/>
  <c r="BB292" i="18"/>
  <c r="BC292" i="18"/>
  <c r="BD292" i="18"/>
  <c r="BE292" i="18"/>
  <c r="BA293" i="18"/>
  <c r="BB293" i="18"/>
  <c r="BC293" i="18"/>
  <c r="BD293" i="18"/>
  <c r="BE293" i="18"/>
  <c r="BA294" i="18"/>
  <c r="BB294" i="18"/>
  <c r="BC294" i="18"/>
  <c r="BD294" i="18"/>
  <c r="BE294" i="18"/>
  <c r="BA295" i="18"/>
  <c r="BB295" i="18"/>
  <c r="BC295" i="18"/>
  <c r="BD295" i="18"/>
  <c r="BE295" i="18"/>
  <c r="BA296" i="18"/>
  <c r="BB296" i="18"/>
  <c r="BC296" i="18"/>
  <c r="BD296" i="18"/>
  <c r="BE296" i="18"/>
  <c r="BA297" i="18"/>
  <c r="BB297" i="18"/>
  <c r="BC297" i="18"/>
  <c r="BD297" i="18"/>
  <c r="BE297" i="18"/>
  <c r="BA298" i="18"/>
  <c r="BB298" i="18"/>
  <c r="BC298" i="18"/>
  <c r="BD298" i="18"/>
  <c r="BE298" i="18"/>
  <c r="BA299" i="18"/>
  <c r="BB299" i="18"/>
  <c r="BC299" i="18"/>
  <c r="BD299" i="18"/>
  <c r="BE299" i="18"/>
  <c r="BA300" i="18"/>
  <c r="BB300" i="18"/>
  <c r="BC300" i="18"/>
  <c r="BD300" i="18"/>
  <c r="BE300" i="18"/>
  <c r="BA301" i="18"/>
  <c r="BB301" i="18"/>
  <c r="BC301" i="18"/>
  <c r="BD301" i="18"/>
  <c r="BE301" i="18"/>
  <c r="BA302" i="18"/>
  <c r="BB302" i="18"/>
  <c r="BC302" i="18"/>
  <c r="BD302" i="18"/>
  <c r="BE302" i="18"/>
  <c r="BA303" i="18"/>
  <c r="BB303" i="18"/>
  <c r="BC303" i="18"/>
  <c r="BD303" i="18"/>
  <c r="BE303" i="18"/>
  <c r="BA304" i="18"/>
  <c r="BB304" i="18"/>
  <c r="BC304" i="18"/>
  <c r="BD304" i="18"/>
  <c r="BE304" i="18"/>
  <c r="BA305" i="18"/>
  <c r="BB305" i="18"/>
  <c r="BC305" i="18"/>
  <c r="BD305" i="18"/>
  <c r="BE305" i="18"/>
  <c r="BA306" i="18"/>
  <c r="BB306" i="18"/>
  <c r="BC306" i="18"/>
  <c r="BD306" i="18"/>
  <c r="BE306" i="18"/>
  <c r="BA307" i="18"/>
  <c r="BB307" i="18"/>
  <c r="BC307" i="18"/>
  <c r="BD307" i="18"/>
  <c r="BE307" i="18"/>
  <c r="BA308" i="18"/>
  <c r="BB308" i="18"/>
  <c r="BC308" i="18"/>
  <c r="BD308" i="18"/>
  <c r="BE308" i="18"/>
  <c r="BA309" i="18"/>
  <c r="BB309" i="18"/>
  <c r="BC309" i="18"/>
  <c r="BD309" i="18"/>
  <c r="BE309" i="18"/>
  <c r="BA310" i="18"/>
  <c r="BB310" i="18"/>
  <c r="BC310" i="18"/>
  <c r="BD310" i="18"/>
  <c r="BE310" i="18"/>
  <c r="BA311" i="18"/>
  <c r="BB311" i="18"/>
  <c r="BC311" i="18"/>
  <c r="BD311" i="18"/>
  <c r="BE311" i="18"/>
  <c r="BA312" i="18"/>
  <c r="BB312" i="18"/>
  <c r="BC312" i="18"/>
  <c r="BD312" i="18"/>
  <c r="BE312" i="18"/>
  <c r="BA313" i="18"/>
  <c r="BB313" i="18"/>
  <c r="BC313" i="18"/>
  <c r="BD313" i="18"/>
  <c r="BE313" i="18"/>
  <c r="BA314" i="18"/>
  <c r="BB314" i="18"/>
  <c r="BC314" i="18"/>
  <c r="BD314" i="18"/>
  <c r="BE314" i="18"/>
  <c r="BA315" i="18"/>
  <c r="BB315" i="18"/>
  <c r="BC315" i="18"/>
  <c r="BD315" i="18"/>
  <c r="BE315" i="18"/>
  <c r="BA316" i="18"/>
  <c r="BB316" i="18"/>
  <c r="BC316" i="18"/>
  <c r="BD316" i="18"/>
  <c r="BE316" i="18"/>
  <c r="BA317" i="18"/>
  <c r="BB317" i="18"/>
  <c r="BC317" i="18"/>
  <c r="BD317" i="18"/>
  <c r="BE317" i="18"/>
  <c r="BA318" i="18"/>
  <c r="BB318" i="18"/>
  <c r="BC318" i="18"/>
  <c r="BD318" i="18"/>
  <c r="BE318" i="18"/>
  <c r="BA319" i="18"/>
  <c r="BB319" i="18"/>
  <c r="BC319" i="18"/>
  <c r="BD319" i="18"/>
  <c r="BE319" i="18"/>
  <c r="BA320" i="18"/>
  <c r="BB320" i="18"/>
  <c r="BC320" i="18"/>
  <c r="BD320" i="18"/>
  <c r="BE320" i="18"/>
  <c r="BA321" i="18"/>
  <c r="BB321" i="18"/>
  <c r="BC321" i="18"/>
  <c r="BD321" i="18"/>
  <c r="BE321" i="18"/>
  <c r="BA322" i="18"/>
  <c r="BB322" i="18"/>
  <c r="BC322" i="18"/>
  <c r="BD322" i="18"/>
  <c r="BE322" i="18"/>
  <c r="BA323" i="18"/>
  <c r="BB323" i="18"/>
  <c r="BC323" i="18"/>
  <c r="BD323" i="18"/>
  <c r="BE323" i="18"/>
  <c r="BA324" i="18"/>
  <c r="BB324" i="18"/>
  <c r="BC324" i="18"/>
  <c r="BD324" i="18"/>
  <c r="BE324" i="18"/>
  <c r="BA325" i="18"/>
  <c r="BB325" i="18"/>
  <c r="BC325" i="18"/>
  <c r="BD325" i="18"/>
  <c r="BE325" i="18"/>
  <c r="BA326" i="18"/>
  <c r="BB326" i="18"/>
  <c r="BC326" i="18"/>
  <c r="BD326" i="18"/>
  <c r="BE326" i="18"/>
  <c r="BA327" i="18"/>
  <c r="BB327" i="18"/>
  <c r="BC327" i="18"/>
  <c r="BD327" i="18"/>
  <c r="BE327" i="18"/>
  <c r="BA328" i="18"/>
  <c r="BB328" i="18"/>
  <c r="BC328" i="18"/>
  <c r="BD328" i="18"/>
  <c r="BE328" i="18"/>
  <c r="BA329" i="18"/>
  <c r="BB329" i="18"/>
  <c r="BC329" i="18"/>
  <c r="BD329" i="18"/>
  <c r="BE329" i="18"/>
  <c r="BA330" i="18"/>
  <c r="BB330" i="18"/>
  <c r="BC330" i="18"/>
  <c r="BD330" i="18"/>
  <c r="BE330" i="18"/>
  <c r="BA331" i="18"/>
  <c r="BB331" i="18"/>
  <c r="BC331" i="18"/>
  <c r="BD331" i="18"/>
  <c r="BE331" i="18"/>
  <c r="BA332" i="18"/>
  <c r="BB332" i="18"/>
  <c r="BC332" i="18"/>
  <c r="BD332" i="18"/>
  <c r="BE332" i="18"/>
  <c r="BA333" i="18"/>
  <c r="BB333" i="18"/>
  <c r="BC333" i="18"/>
  <c r="BD333" i="18"/>
  <c r="BE333" i="18"/>
  <c r="BA334" i="18"/>
  <c r="BB334" i="18"/>
  <c r="BC334" i="18"/>
  <c r="BD334" i="18"/>
  <c r="BE334" i="18"/>
  <c r="BA335" i="18"/>
  <c r="BB335" i="18"/>
  <c r="BC335" i="18"/>
  <c r="BD335" i="18"/>
  <c r="BE335" i="18"/>
  <c r="BA336" i="18"/>
  <c r="BB336" i="18"/>
  <c r="BC336" i="18"/>
  <c r="BD336" i="18"/>
  <c r="BE336" i="18"/>
  <c r="BA337" i="18"/>
  <c r="BB337" i="18"/>
  <c r="BC337" i="18"/>
  <c r="BD337" i="18"/>
  <c r="BE337" i="18"/>
  <c r="BA338" i="18"/>
  <c r="BB338" i="18"/>
  <c r="BC338" i="18"/>
  <c r="BD338" i="18"/>
  <c r="BE338" i="18"/>
  <c r="BA339" i="18"/>
  <c r="BB339" i="18"/>
  <c r="BC339" i="18"/>
  <c r="BD339" i="18"/>
  <c r="BE339" i="18"/>
  <c r="BA340" i="18"/>
  <c r="BB340" i="18"/>
  <c r="BC340" i="18"/>
  <c r="BD340" i="18"/>
  <c r="BE340" i="18"/>
  <c r="BA341" i="18"/>
  <c r="BB341" i="18"/>
  <c r="BC341" i="18"/>
  <c r="BD341" i="18"/>
  <c r="BE341" i="18"/>
  <c r="BA342" i="18"/>
  <c r="BB342" i="18"/>
  <c r="BC342" i="18"/>
  <c r="BD342" i="18"/>
  <c r="BE342" i="18"/>
  <c r="BA343" i="18"/>
  <c r="BB343" i="18"/>
  <c r="BC343" i="18"/>
  <c r="BD343" i="18"/>
  <c r="BE343" i="18"/>
  <c r="BA344" i="18"/>
  <c r="BB344" i="18"/>
  <c r="BC344" i="18"/>
  <c r="BD344" i="18"/>
  <c r="BE344" i="18"/>
  <c r="BA345" i="18"/>
  <c r="BB345" i="18"/>
  <c r="BC345" i="18"/>
  <c r="BD345" i="18"/>
  <c r="BE345" i="18"/>
  <c r="BA346" i="18"/>
  <c r="BB346" i="18"/>
  <c r="BC346" i="18"/>
  <c r="BD346" i="18"/>
  <c r="BE346" i="18"/>
  <c r="BA347" i="18"/>
  <c r="BB347" i="18"/>
  <c r="BC347" i="18"/>
  <c r="BD347" i="18"/>
  <c r="BE347" i="18"/>
  <c r="BA348" i="18"/>
  <c r="BB348" i="18"/>
  <c r="BC348" i="18"/>
  <c r="BD348" i="18"/>
  <c r="BE348" i="18"/>
  <c r="BA349" i="18"/>
  <c r="BB349" i="18"/>
  <c r="BC349" i="18"/>
  <c r="BD349" i="18"/>
  <c r="BE349" i="18"/>
  <c r="BA350" i="18"/>
  <c r="BB350" i="18"/>
  <c r="BC350" i="18"/>
  <c r="BD350" i="18"/>
  <c r="BE350" i="18"/>
  <c r="BA351" i="18"/>
  <c r="BB351" i="18"/>
  <c r="BC351" i="18"/>
  <c r="BD351" i="18"/>
  <c r="BE351" i="18"/>
  <c r="BA352" i="18"/>
  <c r="BB352" i="18"/>
  <c r="BC352" i="18"/>
  <c r="BD352" i="18"/>
  <c r="BE352" i="18"/>
  <c r="BA353" i="18"/>
  <c r="BB353" i="18"/>
  <c r="BC353" i="18"/>
  <c r="BD353" i="18"/>
  <c r="BE353" i="18"/>
  <c r="BA354" i="18"/>
  <c r="BB354" i="18"/>
  <c r="BC354" i="18"/>
  <c r="BD354" i="18"/>
  <c r="BE354" i="18"/>
  <c r="BA355" i="18"/>
  <c r="BB355" i="18"/>
  <c r="BC355" i="18"/>
  <c r="BD355" i="18"/>
  <c r="BE355" i="18"/>
  <c r="BA356" i="18"/>
  <c r="BB356" i="18"/>
  <c r="BC356" i="18"/>
  <c r="BD356" i="18"/>
  <c r="BE356" i="18"/>
  <c r="BA357" i="18"/>
  <c r="BB357" i="18"/>
  <c r="BC357" i="18"/>
  <c r="BD357" i="18"/>
  <c r="BE357" i="18"/>
  <c r="BA358" i="18"/>
  <c r="BB358" i="18"/>
  <c r="BC358" i="18"/>
  <c r="BD358" i="18"/>
  <c r="BE358" i="18"/>
  <c r="BA359" i="18"/>
  <c r="BB359" i="18"/>
  <c r="BC359" i="18"/>
  <c r="BD359" i="18"/>
  <c r="BE359" i="18"/>
  <c r="BA360" i="18"/>
  <c r="BB360" i="18"/>
  <c r="BC360" i="18"/>
  <c r="BD360" i="18"/>
  <c r="BE360" i="18"/>
  <c r="BA361" i="18"/>
  <c r="BB361" i="18"/>
  <c r="BC361" i="18"/>
  <c r="BD361" i="18"/>
  <c r="BE361" i="18"/>
  <c r="BA362" i="18"/>
  <c r="BB362" i="18"/>
  <c r="BC362" i="18"/>
  <c r="BD362" i="18"/>
  <c r="BE362" i="18"/>
  <c r="BA363" i="18"/>
  <c r="BB363" i="18"/>
  <c r="BC363" i="18"/>
  <c r="BD363" i="18"/>
  <c r="BE363" i="18"/>
  <c r="AT5" i="18"/>
  <c r="AU5" i="18"/>
  <c r="AV5" i="18"/>
  <c r="AW5" i="18"/>
  <c r="AX5" i="18"/>
  <c r="AT6" i="18"/>
  <c r="AU6" i="18"/>
  <c r="AV6" i="18"/>
  <c r="AW6" i="18"/>
  <c r="AX6" i="18"/>
  <c r="AT7" i="18"/>
  <c r="AU7" i="18"/>
  <c r="AV7" i="18"/>
  <c r="AW7" i="18"/>
  <c r="AX7" i="18"/>
  <c r="AT8" i="18"/>
  <c r="AU8" i="18"/>
  <c r="AV8" i="18"/>
  <c r="AW8" i="18"/>
  <c r="AX8" i="18"/>
  <c r="AT9" i="18"/>
  <c r="AU9" i="18"/>
  <c r="AV9" i="18"/>
  <c r="AW9" i="18"/>
  <c r="AX9" i="18"/>
  <c r="AT10" i="18"/>
  <c r="AU10" i="18"/>
  <c r="AV10" i="18"/>
  <c r="AW10" i="18"/>
  <c r="AX10" i="18"/>
  <c r="AT11" i="18"/>
  <c r="AU11" i="18"/>
  <c r="AV11" i="18"/>
  <c r="AW11" i="18"/>
  <c r="AX11" i="18"/>
  <c r="AT12" i="18"/>
  <c r="AU12" i="18"/>
  <c r="AV12" i="18"/>
  <c r="AW12" i="18"/>
  <c r="AX12" i="18"/>
  <c r="AT13" i="18"/>
  <c r="AU13" i="18"/>
  <c r="AV13" i="18"/>
  <c r="AW13" i="18"/>
  <c r="AX13" i="18"/>
  <c r="AT14" i="18"/>
  <c r="AU14" i="18"/>
  <c r="AV14" i="18"/>
  <c r="AW14" i="18"/>
  <c r="AX14" i="18"/>
  <c r="AT15" i="18"/>
  <c r="AU15" i="18"/>
  <c r="AV15" i="18"/>
  <c r="AW15" i="18"/>
  <c r="AX15" i="18"/>
  <c r="AT16" i="18"/>
  <c r="AU16" i="18"/>
  <c r="AV16" i="18"/>
  <c r="AW16" i="18"/>
  <c r="AX16" i="18"/>
  <c r="AT17" i="18"/>
  <c r="AU17" i="18"/>
  <c r="AV17" i="18"/>
  <c r="AW17" i="18"/>
  <c r="AX17" i="18"/>
  <c r="AT18" i="18"/>
  <c r="AU18" i="18"/>
  <c r="AV18" i="18"/>
  <c r="AW18" i="18"/>
  <c r="AX18" i="18"/>
  <c r="AT19" i="18"/>
  <c r="AU19" i="18"/>
  <c r="AV19" i="18"/>
  <c r="AW19" i="18"/>
  <c r="AX19" i="18"/>
  <c r="AT20" i="18"/>
  <c r="AU20" i="18"/>
  <c r="AV20" i="18"/>
  <c r="AW20" i="18"/>
  <c r="AX20" i="18"/>
  <c r="AT21" i="18"/>
  <c r="AU21" i="18"/>
  <c r="AV21" i="18"/>
  <c r="AW21" i="18"/>
  <c r="AX21" i="18"/>
  <c r="AT22" i="18"/>
  <c r="AU22" i="18"/>
  <c r="AV22" i="18"/>
  <c r="AW22" i="18"/>
  <c r="AX22" i="18"/>
  <c r="AT23" i="18"/>
  <c r="AU23" i="18"/>
  <c r="AV23" i="18"/>
  <c r="AW23" i="18"/>
  <c r="AX23" i="18"/>
  <c r="AT24" i="18"/>
  <c r="AU24" i="18"/>
  <c r="AV24" i="18"/>
  <c r="AW24" i="18"/>
  <c r="AX24" i="18"/>
  <c r="AT25" i="18"/>
  <c r="AU25" i="18"/>
  <c r="AV25" i="18"/>
  <c r="AW25" i="18"/>
  <c r="AX25" i="18"/>
  <c r="AT26" i="18"/>
  <c r="AU26" i="18"/>
  <c r="AV26" i="18"/>
  <c r="AW26" i="18"/>
  <c r="AX26" i="18"/>
  <c r="AT27" i="18"/>
  <c r="AU27" i="18"/>
  <c r="AV27" i="18"/>
  <c r="AW27" i="18"/>
  <c r="AX27" i="18"/>
  <c r="AT28" i="18"/>
  <c r="AU28" i="18"/>
  <c r="AV28" i="18"/>
  <c r="AW28" i="18"/>
  <c r="AX28" i="18"/>
  <c r="AT29" i="18"/>
  <c r="AU29" i="18"/>
  <c r="AV29" i="18"/>
  <c r="AW29" i="18"/>
  <c r="AX29" i="18"/>
  <c r="AT30" i="18"/>
  <c r="AU30" i="18"/>
  <c r="AV30" i="18"/>
  <c r="AW30" i="18"/>
  <c r="AX30" i="18"/>
  <c r="AT31" i="18"/>
  <c r="AU31" i="18"/>
  <c r="AV31" i="18"/>
  <c r="AW31" i="18"/>
  <c r="AX31" i="18"/>
  <c r="AT32" i="18"/>
  <c r="AU32" i="18"/>
  <c r="AV32" i="18"/>
  <c r="AW32" i="18"/>
  <c r="AX32" i="18"/>
  <c r="AT33" i="18"/>
  <c r="AU33" i="18"/>
  <c r="AV33" i="18"/>
  <c r="AW33" i="18"/>
  <c r="AX33" i="18"/>
  <c r="AT34" i="18"/>
  <c r="AU34" i="18"/>
  <c r="AV34" i="18"/>
  <c r="AW34" i="18"/>
  <c r="AX34" i="18"/>
  <c r="AT35" i="18"/>
  <c r="AU35" i="18"/>
  <c r="AV35" i="18"/>
  <c r="AW35" i="18"/>
  <c r="AX35" i="18"/>
  <c r="AT36" i="18"/>
  <c r="AU36" i="18"/>
  <c r="AV36" i="18"/>
  <c r="AW36" i="18"/>
  <c r="AX36" i="18"/>
  <c r="AT37" i="18"/>
  <c r="AU37" i="18"/>
  <c r="AV37" i="18"/>
  <c r="AW37" i="18"/>
  <c r="AX37" i="18"/>
  <c r="AT38" i="18"/>
  <c r="AU38" i="18"/>
  <c r="AV38" i="18"/>
  <c r="AW38" i="18"/>
  <c r="AX38" i="18"/>
  <c r="AT39" i="18"/>
  <c r="AU39" i="18"/>
  <c r="AV39" i="18"/>
  <c r="AW39" i="18"/>
  <c r="AX39" i="18"/>
  <c r="AT40" i="18"/>
  <c r="AU40" i="18"/>
  <c r="AV40" i="18"/>
  <c r="AW40" i="18"/>
  <c r="AX40" i="18"/>
  <c r="AT41" i="18"/>
  <c r="AU41" i="18"/>
  <c r="AV41" i="18"/>
  <c r="AW41" i="18"/>
  <c r="AX41" i="18"/>
  <c r="AT42" i="18"/>
  <c r="AU42" i="18"/>
  <c r="AV42" i="18"/>
  <c r="AW42" i="18"/>
  <c r="AX42" i="18"/>
  <c r="AT43" i="18"/>
  <c r="AU43" i="18"/>
  <c r="AV43" i="18"/>
  <c r="AW43" i="18"/>
  <c r="AX43" i="18"/>
  <c r="AT44" i="18"/>
  <c r="AU44" i="18"/>
  <c r="AV44" i="18"/>
  <c r="AW44" i="18"/>
  <c r="AX44" i="18"/>
  <c r="AT45" i="18"/>
  <c r="AU45" i="18"/>
  <c r="AV45" i="18"/>
  <c r="AW45" i="18"/>
  <c r="AX45" i="18"/>
  <c r="AT46" i="18"/>
  <c r="AU46" i="18"/>
  <c r="AV46" i="18"/>
  <c r="AW46" i="18"/>
  <c r="AX46" i="18"/>
  <c r="AT47" i="18"/>
  <c r="AU47" i="18"/>
  <c r="AV47" i="18"/>
  <c r="AW47" i="18"/>
  <c r="AX47" i="18"/>
  <c r="AT48" i="18"/>
  <c r="AU48" i="18"/>
  <c r="AV48" i="18"/>
  <c r="AW48" i="18"/>
  <c r="AX48" i="18"/>
  <c r="AT49" i="18"/>
  <c r="AU49" i="18"/>
  <c r="AV49" i="18"/>
  <c r="AW49" i="18"/>
  <c r="AX49" i="18"/>
  <c r="AT50" i="18"/>
  <c r="AU50" i="18"/>
  <c r="AV50" i="18"/>
  <c r="AW50" i="18"/>
  <c r="AX50" i="18"/>
  <c r="AT51" i="18"/>
  <c r="AU51" i="18"/>
  <c r="AV51" i="18"/>
  <c r="AW51" i="18"/>
  <c r="AX51" i="18"/>
  <c r="AT52" i="18"/>
  <c r="AU52" i="18"/>
  <c r="AV52" i="18"/>
  <c r="AW52" i="18"/>
  <c r="AX52" i="18"/>
  <c r="AT53" i="18"/>
  <c r="AU53" i="18"/>
  <c r="AV53" i="18"/>
  <c r="AW53" i="18"/>
  <c r="AX53" i="18"/>
  <c r="BE4" i="18"/>
  <c r="BD4" i="18"/>
  <c r="BC4" i="18"/>
  <c r="BB4" i="18"/>
  <c r="BA4" i="18"/>
  <c r="AX4" i="18"/>
  <c r="AW4" i="18"/>
  <c r="AV4" i="18"/>
  <c r="AU4" i="18"/>
  <c r="AT4" i="18"/>
  <c r="AD5" i="18"/>
  <c r="AE5" i="18"/>
  <c r="AF5" i="18"/>
  <c r="AG5" i="18"/>
  <c r="AH5" i="18"/>
  <c r="AD6" i="18"/>
  <c r="AE6" i="18"/>
  <c r="AF6" i="18"/>
  <c r="AG6" i="18"/>
  <c r="AH6" i="18"/>
  <c r="AD7" i="18"/>
  <c r="AE7" i="18"/>
  <c r="AF7" i="18"/>
  <c r="AG7" i="18"/>
  <c r="AH7" i="18"/>
  <c r="AD8" i="18"/>
  <c r="AE8" i="18"/>
  <c r="AF8" i="18"/>
  <c r="AG8" i="18"/>
  <c r="AH8" i="18"/>
  <c r="AD9" i="18"/>
  <c r="AE9" i="18"/>
  <c r="AF9" i="18"/>
  <c r="AG9" i="18"/>
  <c r="AH9" i="18"/>
  <c r="AD10" i="18"/>
  <c r="AE10" i="18"/>
  <c r="AF10" i="18"/>
  <c r="AG10" i="18"/>
  <c r="AH10" i="18"/>
  <c r="AD11" i="18"/>
  <c r="AE11" i="18"/>
  <c r="AF11" i="18"/>
  <c r="AG11" i="18"/>
  <c r="AH11" i="18"/>
  <c r="AD12" i="18"/>
  <c r="AE12" i="18"/>
  <c r="AF12" i="18"/>
  <c r="AG12" i="18"/>
  <c r="AH12" i="18"/>
  <c r="AD13" i="18"/>
  <c r="AE13" i="18"/>
  <c r="AF13" i="18"/>
  <c r="AG13" i="18"/>
  <c r="AH13" i="18"/>
  <c r="AD14" i="18"/>
  <c r="AE14" i="18"/>
  <c r="AF14" i="18"/>
  <c r="AG14" i="18"/>
  <c r="AH14" i="18"/>
  <c r="AD15" i="18"/>
  <c r="AE15" i="18"/>
  <c r="AF15" i="18"/>
  <c r="AG15" i="18"/>
  <c r="AH15" i="18"/>
  <c r="AD16" i="18"/>
  <c r="AE16" i="18"/>
  <c r="AF16" i="18"/>
  <c r="AG16" i="18"/>
  <c r="AH16" i="18"/>
  <c r="AD17" i="18"/>
  <c r="AE17" i="18"/>
  <c r="AF17" i="18"/>
  <c r="AG17" i="18"/>
  <c r="AH17" i="18"/>
  <c r="AD18" i="18"/>
  <c r="AE18" i="18"/>
  <c r="AF18" i="18"/>
  <c r="AG18" i="18"/>
  <c r="AH18" i="18"/>
  <c r="AD19" i="18"/>
  <c r="AE19" i="18"/>
  <c r="AF19" i="18"/>
  <c r="AG19" i="18"/>
  <c r="AH19" i="18"/>
  <c r="AD20" i="18"/>
  <c r="AE20" i="18"/>
  <c r="AF20" i="18"/>
  <c r="AG20" i="18"/>
  <c r="AH20" i="18"/>
  <c r="AD21" i="18"/>
  <c r="AE21" i="18"/>
  <c r="AF21" i="18"/>
  <c r="AG21" i="18"/>
  <c r="AH21" i="18"/>
  <c r="AD22" i="18"/>
  <c r="AE22" i="18"/>
  <c r="AF22" i="18"/>
  <c r="AG22" i="18"/>
  <c r="AH22" i="18"/>
  <c r="AD23" i="18"/>
  <c r="AE23" i="18"/>
  <c r="AF23" i="18"/>
  <c r="AG23" i="18"/>
  <c r="AH23" i="18"/>
  <c r="AD24" i="18"/>
  <c r="AE24" i="18"/>
  <c r="AF24" i="18"/>
  <c r="AG24" i="18"/>
  <c r="AH24" i="18"/>
  <c r="AD25" i="18"/>
  <c r="AE25" i="18"/>
  <c r="AF25" i="18"/>
  <c r="AG25" i="18"/>
  <c r="AH25" i="18"/>
  <c r="AD26" i="18"/>
  <c r="AE26" i="18"/>
  <c r="AF26" i="18"/>
  <c r="AG26" i="18"/>
  <c r="AH26" i="18"/>
  <c r="AD27" i="18"/>
  <c r="AE27" i="18"/>
  <c r="AF27" i="18"/>
  <c r="AG27" i="18"/>
  <c r="AH27" i="18"/>
  <c r="AD28" i="18"/>
  <c r="AE28" i="18"/>
  <c r="AF28" i="18"/>
  <c r="AG28" i="18"/>
  <c r="AH28" i="18"/>
  <c r="AD29" i="18"/>
  <c r="AE29" i="18"/>
  <c r="AF29" i="18"/>
  <c r="AG29" i="18"/>
  <c r="AH29" i="18"/>
  <c r="AD30" i="18"/>
  <c r="AE30" i="18"/>
  <c r="AF30" i="18"/>
  <c r="AG30" i="18"/>
  <c r="AH30" i="18"/>
  <c r="AD31" i="18"/>
  <c r="AE31" i="18"/>
  <c r="AF31" i="18"/>
  <c r="AG31" i="18"/>
  <c r="AH31" i="18"/>
  <c r="AD32" i="18"/>
  <c r="AE32" i="18"/>
  <c r="AF32" i="18"/>
  <c r="AG32" i="18"/>
  <c r="AH32" i="18"/>
  <c r="AD33" i="18"/>
  <c r="AE33" i="18"/>
  <c r="AF33" i="18"/>
  <c r="AG33" i="18"/>
  <c r="AH33" i="18"/>
  <c r="AD34" i="18"/>
  <c r="AE34" i="18"/>
  <c r="AF34" i="18"/>
  <c r="AG34" i="18"/>
  <c r="AH34" i="18"/>
  <c r="AD35" i="18"/>
  <c r="AE35" i="18"/>
  <c r="AF35" i="18"/>
  <c r="AG35" i="18"/>
  <c r="AH35" i="18"/>
  <c r="AD36" i="18"/>
  <c r="AE36" i="18"/>
  <c r="AF36" i="18"/>
  <c r="AG36" i="18"/>
  <c r="AH36" i="18"/>
  <c r="AD37" i="18"/>
  <c r="AE37" i="18"/>
  <c r="AF37" i="18"/>
  <c r="AG37" i="18"/>
  <c r="AH37" i="18"/>
  <c r="AD38" i="18"/>
  <c r="AE38" i="18"/>
  <c r="AF38" i="18"/>
  <c r="AG38" i="18"/>
  <c r="AH38" i="18"/>
  <c r="AD39" i="18"/>
  <c r="AE39" i="18"/>
  <c r="AF39" i="18"/>
  <c r="AG39" i="18"/>
  <c r="AH39" i="18"/>
  <c r="AD40" i="18"/>
  <c r="AE40" i="18"/>
  <c r="AF40" i="18"/>
  <c r="AG40" i="18"/>
  <c r="AH40" i="18"/>
  <c r="AD41" i="18"/>
  <c r="AE41" i="18"/>
  <c r="AF41" i="18"/>
  <c r="AG41" i="18"/>
  <c r="AH41" i="18"/>
  <c r="AD42" i="18"/>
  <c r="AE42" i="18"/>
  <c r="AF42" i="18"/>
  <c r="AG42" i="18"/>
  <c r="AH42" i="18"/>
  <c r="AD43" i="18"/>
  <c r="AE43" i="18"/>
  <c r="AF43" i="18"/>
  <c r="AG43" i="18"/>
  <c r="AH43" i="18"/>
  <c r="AD44" i="18"/>
  <c r="AE44" i="18"/>
  <c r="AF44" i="18"/>
  <c r="AG44" i="18"/>
  <c r="AH44" i="18"/>
  <c r="AD45" i="18"/>
  <c r="AE45" i="18"/>
  <c r="AF45" i="18"/>
  <c r="AG45" i="18"/>
  <c r="AH45" i="18"/>
  <c r="AD46" i="18"/>
  <c r="AE46" i="18"/>
  <c r="AF46" i="18"/>
  <c r="AG46" i="18"/>
  <c r="AH46" i="18"/>
  <c r="AD47" i="18"/>
  <c r="AE47" i="18"/>
  <c r="AF47" i="18"/>
  <c r="AG47" i="18"/>
  <c r="AH47" i="18"/>
  <c r="AD48" i="18"/>
  <c r="AE48" i="18"/>
  <c r="AF48" i="18"/>
  <c r="AG48" i="18"/>
  <c r="AH48" i="18"/>
  <c r="AD49" i="18"/>
  <c r="AE49" i="18"/>
  <c r="AF49" i="18"/>
  <c r="AG49" i="18"/>
  <c r="AH49" i="18"/>
  <c r="AD50" i="18"/>
  <c r="AE50" i="18"/>
  <c r="AF50" i="18"/>
  <c r="AG50" i="18"/>
  <c r="AH50" i="18"/>
  <c r="AD51" i="18"/>
  <c r="AE51" i="18"/>
  <c r="AF51" i="18"/>
  <c r="AG51" i="18"/>
  <c r="AH51" i="18"/>
  <c r="AD52" i="18"/>
  <c r="AE52" i="18"/>
  <c r="AF52" i="18"/>
  <c r="AG52" i="18"/>
  <c r="AH52" i="18"/>
  <c r="AD53" i="18"/>
  <c r="AE53" i="18"/>
  <c r="AF53" i="18"/>
  <c r="AG53" i="18"/>
  <c r="AH53" i="18"/>
  <c r="AD54" i="18"/>
  <c r="AE54" i="18"/>
  <c r="AF54" i="18"/>
  <c r="AG54" i="18"/>
  <c r="AH54" i="18"/>
  <c r="AD55" i="18"/>
  <c r="AE55" i="18"/>
  <c r="AF55" i="18"/>
  <c r="AG55" i="18"/>
  <c r="AH55" i="18"/>
  <c r="AD56" i="18"/>
  <c r="AE56" i="18"/>
  <c r="AF56" i="18"/>
  <c r="AG56" i="18"/>
  <c r="AH56" i="18"/>
  <c r="AD57" i="18"/>
  <c r="AE57" i="18"/>
  <c r="AF57" i="18"/>
  <c r="AG57" i="18"/>
  <c r="AH57" i="18"/>
  <c r="AD58" i="18"/>
  <c r="AE58" i="18"/>
  <c r="AF58" i="18"/>
  <c r="AG58" i="18"/>
  <c r="AH58" i="18"/>
  <c r="AD59" i="18"/>
  <c r="AE59" i="18"/>
  <c r="AF59" i="18"/>
  <c r="AG59" i="18"/>
  <c r="AH59" i="18"/>
  <c r="AD60" i="18"/>
  <c r="AE60" i="18"/>
  <c r="AF60" i="18"/>
  <c r="AG60" i="18"/>
  <c r="AH60" i="18"/>
  <c r="AD61" i="18"/>
  <c r="AE61" i="18"/>
  <c r="AF61" i="18"/>
  <c r="AG61" i="18"/>
  <c r="AH61" i="18"/>
  <c r="AD62" i="18"/>
  <c r="AE62" i="18"/>
  <c r="AF62" i="18"/>
  <c r="AG62" i="18"/>
  <c r="AH62" i="18"/>
  <c r="AD63" i="18"/>
  <c r="AE63" i="18"/>
  <c r="AF63" i="18"/>
  <c r="AG63" i="18"/>
  <c r="AH63" i="18"/>
  <c r="AD64" i="18"/>
  <c r="AE64" i="18"/>
  <c r="AF64" i="18"/>
  <c r="AG64" i="18"/>
  <c r="AH64" i="18"/>
  <c r="AD65" i="18"/>
  <c r="AE65" i="18"/>
  <c r="AF65" i="18"/>
  <c r="AG65" i="18"/>
  <c r="AH65" i="18"/>
  <c r="AD66" i="18"/>
  <c r="AE66" i="18"/>
  <c r="AF66" i="18"/>
  <c r="AG66" i="18"/>
  <c r="AH66" i="18"/>
  <c r="AD67" i="18"/>
  <c r="AE67" i="18"/>
  <c r="AF67" i="18"/>
  <c r="AG67" i="18"/>
  <c r="AH67" i="18"/>
  <c r="AD68" i="18"/>
  <c r="AE68" i="18"/>
  <c r="AF68" i="18"/>
  <c r="AG68" i="18"/>
  <c r="AH68" i="18"/>
  <c r="AD69" i="18"/>
  <c r="AE69" i="18"/>
  <c r="AF69" i="18"/>
  <c r="AG69" i="18"/>
  <c r="AH69" i="18"/>
  <c r="AD70" i="18"/>
  <c r="AE70" i="18"/>
  <c r="AF70" i="18"/>
  <c r="AG70" i="18"/>
  <c r="AH70" i="18"/>
  <c r="AD71" i="18"/>
  <c r="AE71" i="18"/>
  <c r="AF71" i="18"/>
  <c r="AG71" i="18"/>
  <c r="AH71" i="18"/>
  <c r="AD72" i="18"/>
  <c r="AE72" i="18"/>
  <c r="AF72" i="18"/>
  <c r="AG72" i="18"/>
  <c r="AH72" i="18"/>
  <c r="AD73" i="18"/>
  <c r="AE73" i="18"/>
  <c r="AF73" i="18"/>
  <c r="AG73" i="18"/>
  <c r="AH73" i="18"/>
  <c r="AD74" i="18"/>
  <c r="AE74" i="18"/>
  <c r="AF74" i="18"/>
  <c r="AG74" i="18"/>
  <c r="AH74" i="18"/>
  <c r="AD75" i="18"/>
  <c r="AE75" i="18"/>
  <c r="AF75" i="18"/>
  <c r="AG75" i="18"/>
  <c r="AH75" i="18"/>
  <c r="AD76" i="18"/>
  <c r="AE76" i="18"/>
  <c r="AF76" i="18"/>
  <c r="AG76" i="18"/>
  <c r="AH76" i="18"/>
  <c r="AD77" i="18"/>
  <c r="AE77" i="18"/>
  <c r="AF77" i="18"/>
  <c r="AG77" i="18"/>
  <c r="AH77" i="18"/>
  <c r="AD78" i="18"/>
  <c r="AE78" i="18"/>
  <c r="AF78" i="18"/>
  <c r="AG78" i="18"/>
  <c r="AH78" i="18"/>
  <c r="AD79" i="18"/>
  <c r="AE79" i="18"/>
  <c r="AF79" i="18"/>
  <c r="AG79" i="18"/>
  <c r="AH79" i="18"/>
  <c r="AD80" i="18"/>
  <c r="AE80" i="18"/>
  <c r="AF80" i="18"/>
  <c r="AG80" i="18"/>
  <c r="AH80" i="18"/>
  <c r="AD81" i="18"/>
  <c r="AE81" i="18"/>
  <c r="AF81" i="18"/>
  <c r="AG81" i="18"/>
  <c r="AH81" i="18"/>
  <c r="AD82" i="18"/>
  <c r="AE82" i="18"/>
  <c r="AF82" i="18"/>
  <c r="AG82" i="18"/>
  <c r="AH82" i="18"/>
  <c r="AD83" i="18"/>
  <c r="AE83" i="18"/>
  <c r="AF83" i="18"/>
  <c r="AG83" i="18"/>
  <c r="AH83" i="18"/>
  <c r="AD84" i="18"/>
  <c r="AE84" i="18"/>
  <c r="AF84" i="18"/>
  <c r="AG84" i="18"/>
  <c r="AH84" i="18"/>
  <c r="AD85" i="18"/>
  <c r="AE85" i="18"/>
  <c r="AF85" i="18"/>
  <c r="AG85" i="18"/>
  <c r="AH85" i="18"/>
  <c r="AD86" i="18"/>
  <c r="AE86" i="18"/>
  <c r="AF86" i="18"/>
  <c r="AG86" i="18"/>
  <c r="AH86" i="18"/>
  <c r="AD87" i="18"/>
  <c r="AE87" i="18"/>
  <c r="AF87" i="18"/>
  <c r="AG87" i="18"/>
  <c r="AH87" i="18"/>
  <c r="AD88" i="18"/>
  <c r="AE88" i="18"/>
  <c r="AF88" i="18"/>
  <c r="AG88" i="18"/>
  <c r="AH88" i="18"/>
  <c r="AD89" i="18"/>
  <c r="AE89" i="18"/>
  <c r="AF89" i="18"/>
  <c r="AG89" i="18"/>
  <c r="AH89" i="18"/>
  <c r="AD90" i="18"/>
  <c r="AE90" i="18"/>
  <c r="AF90" i="18"/>
  <c r="AG90" i="18"/>
  <c r="AH90" i="18"/>
  <c r="AD91" i="18"/>
  <c r="AE91" i="18"/>
  <c r="AF91" i="18"/>
  <c r="AG91" i="18"/>
  <c r="AH91" i="18"/>
  <c r="AD92" i="18"/>
  <c r="AE92" i="18"/>
  <c r="AF92" i="18"/>
  <c r="AG92" i="18"/>
  <c r="AH92" i="18"/>
  <c r="AD93" i="18"/>
  <c r="AE93" i="18"/>
  <c r="AF93" i="18"/>
  <c r="AG93" i="18"/>
  <c r="AH93" i="18"/>
  <c r="AD94" i="18"/>
  <c r="AE94" i="18"/>
  <c r="AF94" i="18"/>
  <c r="AG94" i="18"/>
  <c r="AH94" i="18"/>
  <c r="AD95" i="18"/>
  <c r="AE95" i="18"/>
  <c r="AF95" i="18"/>
  <c r="AG95" i="18"/>
  <c r="AH95" i="18"/>
  <c r="AD96" i="18"/>
  <c r="AE96" i="18"/>
  <c r="AF96" i="18"/>
  <c r="AG96" i="18"/>
  <c r="AH96" i="18"/>
  <c r="AD97" i="18"/>
  <c r="AE97" i="18"/>
  <c r="AF97" i="18"/>
  <c r="AG97" i="18"/>
  <c r="AH97" i="18"/>
  <c r="AD98" i="18"/>
  <c r="AE98" i="18"/>
  <c r="AF98" i="18"/>
  <c r="AG98" i="18"/>
  <c r="AH98" i="18"/>
  <c r="AD99" i="18"/>
  <c r="AE99" i="18"/>
  <c r="AF99" i="18"/>
  <c r="AG99" i="18"/>
  <c r="AH99" i="18"/>
  <c r="AD100" i="18"/>
  <c r="AE100" i="18"/>
  <c r="AF100" i="18"/>
  <c r="AG100" i="18"/>
  <c r="AH100" i="18"/>
  <c r="AD101" i="18"/>
  <c r="AE101" i="18"/>
  <c r="AF101" i="18"/>
  <c r="AG101" i="18"/>
  <c r="AH101" i="18"/>
  <c r="AD102" i="18"/>
  <c r="AE102" i="18"/>
  <c r="AF102" i="18"/>
  <c r="AG102" i="18"/>
  <c r="AH102" i="18"/>
  <c r="AD103" i="18"/>
  <c r="AE103" i="18"/>
  <c r="AF103" i="18"/>
  <c r="AG103" i="18"/>
  <c r="AH103" i="18"/>
  <c r="AD104" i="18"/>
  <c r="AE104" i="18"/>
  <c r="AF104" i="18"/>
  <c r="AG104" i="18"/>
  <c r="AH104" i="18"/>
  <c r="AD105" i="18"/>
  <c r="AE105" i="18"/>
  <c r="AF105" i="18"/>
  <c r="AG105" i="18"/>
  <c r="AH105" i="18"/>
  <c r="AD106" i="18"/>
  <c r="AE106" i="18"/>
  <c r="AF106" i="18"/>
  <c r="AG106" i="18"/>
  <c r="AH106" i="18"/>
  <c r="AD107" i="18"/>
  <c r="AE107" i="18"/>
  <c r="AF107" i="18"/>
  <c r="AG107" i="18"/>
  <c r="AH107" i="18"/>
  <c r="AD108" i="18"/>
  <c r="AE108" i="18"/>
  <c r="AF108" i="18"/>
  <c r="AG108" i="18"/>
  <c r="AH108" i="18"/>
  <c r="AD109" i="18"/>
  <c r="AE109" i="18"/>
  <c r="AF109" i="18"/>
  <c r="AG109" i="18"/>
  <c r="AH109" i="18"/>
  <c r="AD110" i="18"/>
  <c r="AE110" i="18"/>
  <c r="AF110" i="18"/>
  <c r="AG110" i="18"/>
  <c r="AH110" i="18"/>
  <c r="AD111" i="18"/>
  <c r="AE111" i="18"/>
  <c r="AF111" i="18"/>
  <c r="AG111" i="18"/>
  <c r="AH111" i="18"/>
  <c r="AD112" i="18"/>
  <c r="AE112" i="18"/>
  <c r="AF112" i="18"/>
  <c r="AG112" i="18"/>
  <c r="AH112" i="18"/>
  <c r="AD113" i="18"/>
  <c r="AE113" i="18"/>
  <c r="AF113" i="18"/>
  <c r="AG113" i="18"/>
  <c r="AH113" i="18"/>
  <c r="AD114" i="18"/>
  <c r="AE114" i="18"/>
  <c r="AF114" i="18"/>
  <c r="AG114" i="18"/>
  <c r="AH114" i="18"/>
  <c r="AD115" i="18"/>
  <c r="AE115" i="18"/>
  <c r="AF115" i="18"/>
  <c r="AG115" i="18"/>
  <c r="AH115" i="18"/>
  <c r="AD116" i="18"/>
  <c r="AE116" i="18"/>
  <c r="AF116" i="18"/>
  <c r="AG116" i="18"/>
  <c r="AH116" i="18"/>
  <c r="AD117" i="18"/>
  <c r="AE117" i="18"/>
  <c r="AF117" i="18"/>
  <c r="AG117" i="18"/>
  <c r="AH117" i="18"/>
  <c r="AD118" i="18"/>
  <c r="AE118" i="18"/>
  <c r="AF118" i="18"/>
  <c r="AG118" i="18"/>
  <c r="AH118" i="18"/>
  <c r="AD119" i="18"/>
  <c r="AE119" i="18"/>
  <c r="AF119" i="18"/>
  <c r="AG119" i="18"/>
  <c r="AH119" i="18"/>
  <c r="AD120" i="18"/>
  <c r="AE120" i="18"/>
  <c r="AF120" i="18"/>
  <c r="AG120" i="18"/>
  <c r="AH120" i="18"/>
  <c r="AD121" i="18"/>
  <c r="AE121" i="18"/>
  <c r="AF121" i="18"/>
  <c r="AG121" i="18"/>
  <c r="AH121" i="18"/>
  <c r="AD122" i="18"/>
  <c r="AE122" i="18"/>
  <c r="AF122" i="18"/>
  <c r="AG122" i="18"/>
  <c r="AH122" i="18"/>
  <c r="AD123" i="18"/>
  <c r="AE123" i="18"/>
  <c r="AF123" i="18"/>
  <c r="AG123" i="18"/>
  <c r="AH123" i="18"/>
  <c r="AD124" i="18"/>
  <c r="AE124" i="18"/>
  <c r="AF124" i="18"/>
  <c r="AG124" i="18"/>
  <c r="AH124" i="18"/>
  <c r="AD125" i="18"/>
  <c r="AE125" i="18"/>
  <c r="AF125" i="18"/>
  <c r="AG125" i="18"/>
  <c r="AH125" i="18"/>
  <c r="AD126" i="18"/>
  <c r="AE126" i="18"/>
  <c r="AF126" i="18"/>
  <c r="AG126" i="18"/>
  <c r="AH126" i="18"/>
  <c r="AD127" i="18"/>
  <c r="AE127" i="18"/>
  <c r="AF127" i="18"/>
  <c r="AG127" i="18"/>
  <c r="AH127" i="18"/>
  <c r="AD128" i="18"/>
  <c r="AE128" i="18"/>
  <c r="AF128" i="18"/>
  <c r="AG128" i="18"/>
  <c r="AH128" i="18"/>
  <c r="AD129" i="18"/>
  <c r="AE129" i="18"/>
  <c r="AF129" i="18"/>
  <c r="AG129" i="18"/>
  <c r="AH129" i="18"/>
  <c r="AD130" i="18"/>
  <c r="AE130" i="18"/>
  <c r="AF130" i="18"/>
  <c r="AG130" i="18"/>
  <c r="AH130" i="18"/>
  <c r="AD131" i="18"/>
  <c r="AE131" i="18"/>
  <c r="AF131" i="18"/>
  <c r="AG131" i="18"/>
  <c r="AH131" i="18"/>
  <c r="AD132" i="18"/>
  <c r="AE132" i="18"/>
  <c r="AF132" i="18"/>
  <c r="AG132" i="18"/>
  <c r="AH132" i="18"/>
  <c r="AD133" i="18"/>
  <c r="AE133" i="18"/>
  <c r="AF133" i="18"/>
  <c r="AG133" i="18"/>
  <c r="AH133" i="18"/>
  <c r="AD134" i="18"/>
  <c r="AE134" i="18"/>
  <c r="AF134" i="18"/>
  <c r="AG134" i="18"/>
  <c r="AH134" i="18"/>
  <c r="AD135" i="18"/>
  <c r="AE135" i="18"/>
  <c r="AF135" i="18"/>
  <c r="AG135" i="18"/>
  <c r="AH135" i="18"/>
  <c r="AD136" i="18"/>
  <c r="AE136" i="18"/>
  <c r="AF136" i="18"/>
  <c r="AG136" i="18"/>
  <c r="AH136" i="18"/>
  <c r="AD137" i="18"/>
  <c r="AE137" i="18"/>
  <c r="AF137" i="18"/>
  <c r="AG137" i="18"/>
  <c r="AH137" i="18"/>
  <c r="AD138" i="18"/>
  <c r="AE138" i="18"/>
  <c r="AF138" i="18"/>
  <c r="AG138" i="18"/>
  <c r="AH138" i="18"/>
  <c r="AD139" i="18"/>
  <c r="AE139" i="18"/>
  <c r="AF139" i="18"/>
  <c r="AG139" i="18"/>
  <c r="AH139" i="18"/>
  <c r="AD140" i="18"/>
  <c r="AE140" i="18"/>
  <c r="AF140" i="18"/>
  <c r="AG140" i="18"/>
  <c r="AH140" i="18"/>
  <c r="AD141" i="18"/>
  <c r="AE141" i="18"/>
  <c r="AF141" i="18"/>
  <c r="AG141" i="18"/>
  <c r="AH141" i="18"/>
  <c r="AD142" i="18"/>
  <c r="AE142" i="18"/>
  <c r="AF142" i="18"/>
  <c r="AG142" i="18"/>
  <c r="AH142" i="18"/>
  <c r="AD143" i="18"/>
  <c r="AE143" i="18"/>
  <c r="AF143" i="18"/>
  <c r="AG143" i="18"/>
  <c r="AH143" i="18"/>
  <c r="AD144" i="18"/>
  <c r="AE144" i="18"/>
  <c r="AF144" i="18"/>
  <c r="AG144" i="18"/>
  <c r="AH144" i="18"/>
  <c r="AD145" i="18"/>
  <c r="AE145" i="18"/>
  <c r="AF145" i="18"/>
  <c r="AG145" i="18"/>
  <c r="AH145" i="18"/>
  <c r="AD146" i="18"/>
  <c r="AE146" i="18"/>
  <c r="AF146" i="18"/>
  <c r="AG146" i="18"/>
  <c r="AH146" i="18"/>
  <c r="AD147" i="18"/>
  <c r="AE147" i="18"/>
  <c r="AF147" i="18"/>
  <c r="AG147" i="18"/>
  <c r="AH147" i="18"/>
  <c r="AD148" i="18"/>
  <c r="AE148" i="18"/>
  <c r="AF148" i="18"/>
  <c r="AG148" i="18"/>
  <c r="AH148" i="18"/>
  <c r="AD149" i="18"/>
  <c r="AE149" i="18"/>
  <c r="AF149" i="18"/>
  <c r="AG149" i="18"/>
  <c r="AH149" i="18"/>
  <c r="AD150" i="18"/>
  <c r="AE150" i="18"/>
  <c r="AF150" i="18"/>
  <c r="AG150" i="18"/>
  <c r="AH150" i="18"/>
  <c r="AD151" i="18"/>
  <c r="AE151" i="18"/>
  <c r="AF151" i="18"/>
  <c r="AG151" i="18"/>
  <c r="AH151" i="18"/>
  <c r="AD152" i="18"/>
  <c r="AE152" i="18"/>
  <c r="AF152" i="18"/>
  <c r="AG152" i="18"/>
  <c r="AH152" i="18"/>
  <c r="AD153" i="18"/>
  <c r="AE153" i="18"/>
  <c r="AF153" i="18"/>
  <c r="AG153" i="18"/>
  <c r="AH153" i="18"/>
  <c r="AD154" i="18"/>
  <c r="AE154" i="18"/>
  <c r="AF154" i="18"/>
  <c r="AG154" i="18"/>
  <c r="AH154" i="18"/>
  <c r="AD155" i="18"/>
  <c r="AE155" i="18"/>
  <c r="AF155" i="18"/>
  <c r="AG155" i="18"/>
  <c r="AH155" i="18"/>
  <c r="AD156" i="18"/>
  <c r="AE156" i="18"/>
  <c r="AF156" i="18"/>
  <c r="AG156" i="18"/>
  <c r="AH156" i="18"/>
  <c r="AD157" i="18"/>
  <c r="AE157" i="18"/>
  <c r="AF157" i="18"/>
  <c r="AG157" i="18"/>
  <c r="AH157" i="18"/>
  <c r="AD158" i="18"/>
  <c r="AE158" i="18"/>
  <c r="AF158" i="18"/>
  <c r="AG158" i="18"/>
  <c r="AH158" i="18"/>
  <c r="AD159" i="18"/>
  <c r="AE159" i="18"/>
  <c r="AF159" i="18"/>
  <c r="AG159" i="18"/>
  <c r="AH159" i="18"/>
  <c r="AD160" i="18"/>
  <c r="AE160" i="18"/>
  <c r="AF160" i="18"/>
  <c r="AG160" i="18"/>
  <c r="AH160" i="18"/>
  <c r="AD161" i="18"/>
  <c r="AE161" i="18"/>
  <c r="AF161" i="18"/>
  <c r="AG161" i="18"/>
  <c r="AH161" i="18"/>
  <c r="AD162" i="18"/>
  <c r="AE162" i="18"/>
  <c r="AF162" i="18"/>
  <c r="AG162" i="18"/>
  <c r="AH162" i="18"/>
  <c r="AD163" i="18"/>
  <c r="AE163" i="18"/>
  <c r="AF163" i="18"/>
  <c r="AG163" i="18"/>
  <c r="AH163" i="18"/>
  <c r="AD164" i="18"/>
  <c r="AE164" i="18"/>
  <c r="AF164" i="18"/>
  <c r="AG164" i="18"/>
  <c r="AH164" i="18"/>
  <c r="AD165" i="18"/>
  <c r="AE165" i="18"/>
  <c r="AF165" i="18"/>
  <c r="AG165" i="18"/>
  <c r="AH165" i="18"/>
  <c r="AD166" i="18"/>
  <c r="AE166" i="18"/>
  <c r="AF166" i="18"/>
  <c r="AG166" i="18"/>
  <c r="AH166" i="18"/>
  <c r="AD167" i="18"/>
  <c r="AE167" i="18"/>
  <c r="AF167" i="18"/>
  <c r="AG167" i="18"/>
  <c r="AH167" i="18"/>
  <c r="AD168" i="18"/>
  <c r="AE168" i="18"/>
  <c r="AF168" i="18"/>
  <c r="AG168" i="18"/>
  <c r="AH168" i="18"/>
  <c r="AD169" i="18"/>
  <c r="AE169" i="18"/>
  <c r="AF169" i="18"/>
  <c r="AG169" i="18"/>
  <c r="AH169" i="18"/>
  <c r="AD170" i="18"/>
  <c r="AE170" i="18"/>
  <c r="AF170" i="18"/>
  <c r="AG170" i="18"/>
  <c r="AH170" i="18"/>
  <c r="AD171" i="18"/>
  <c r="AE171" i="18"/>
  <c r="AF171" i="18"/>
  <c r="AG171" i="18"/>
  <c r="AH171" i="18"/>
  <c r="AD172" i="18"/>
  <c r="AE172" i="18"/>
  <c r="AF172" i="18"/>
  <c r="AG172" i="18"/>
  <c r="AH172" i="18"/>
  <c r="AD173" i="18"/>
  <c r="AE173" i="18"/>
  <c r="AF173" i="18"/>
  <c r="AG173" i="18"/>
  <c r="AH173" i="18"/>
  <c r="AD174" i="18"/>
  <c r="AE174" i="18"/>
  <c r="AF174" i="18"/>
  <c r="AG174" i="18"/>
  <c r="AH174" i="18"/>
  <c r="AD175" i="18"/>
  <c r="AE175" i="18"/>
  <c r="AF175" i="18"/>
  <c r="AG175" i="18"/>
  <c r="AH175" i="18"/>
  <c r="AD176" i="18"/>
  <c r="AE176" i="18"/>
  <c r="AF176" i="18"/>
  <c r="AG176" i="18"/>
  <c r="AH176" i="18"/>
  <c r="AD177" i="18"/>
  <c r="AE177" i="18"/>
  <c r="AF177" i="18"/>
  <c r="AG177" i="18"/>
  <c r="AH177" i="18"/>
  <c r="AD178" i="18"/>
  <c r="AE178" i="18"/>
  <c r="AF178" i="18"/>
  <c r="AG178" i="18"/>
  <c r="AH178" i="18"/>
  <c r="AD179" i="18"/>
  <c r="AE179" i="18"/>
  <c r="AF179" i="18"/>
  <c r="AG179" i="18"/>
  <c r="AH179" i="18"/>
  <c r="AD180" i="18"/>
  <c r="AE180" i="18"/>
  <c r="AF180" i="18"/>
  <c r="AG180" i="18"/>
  <c r="AH180" i="18"/>
  <c r="AD181" i="18"/>
  <c r="AE181" i="18"/>
  <c r="AF181" i="18"/>
  <c r="AG181" i="18"/>
  <c r="AH181" i="18"/>
  <c r="AD182" i="18"/>
  <c r="AE182" i="18"/>
  <c r="AF182" i="18"/>
  <c r="AG182" i="18"/>
  <c r="AH182" i="18"/>
  <c r="AD183" i="18"/>
  <c r="AE183" i="18"/>
  <c r="AF183" i="18"/>
  <c r="AG183" i="18"/>
  <c r="AH183" i="18"/>
  <c r="AD184" i="18"/>
  <c r="AE184" i="18"/>
  <c r="AF184" i="18"/>
  <c r="AG184" i="18"/>
  <c r="AH184" i="18"/>
  <c r="AD185" i="18"/>
  <c r="AE185" i="18"/>
  <c r="AF185" i="18"/>
  <c r="AG185" i="18"/>
  <c r="AH185" i="18"/>
  <c r="AD186" i="18"/>
  <c r="AE186" i="18"/>
  <c r="AF186" i="18"/>
  <c r="AG186" i="18"/>
  <c r="AH186" i="18"/>
  <c r="AD187" i="18"/>
  <c r="AE187" i="18"/>
  <c r="AF187" i="18"/>
  <c r="AG187" i="18"/>
  <c r="AH187" i="18"/>
  <c r="AD188" i="18"/>
  <c r="AE188" i="18"/>
  <c r="AF188" i="18"/>
  <c r="AG188" i="18"/>
  <c r="AH188" i="18"/>
  <c r="AD189" i="18"/>
  <c r="AE189" i="18"/>
  <c r="AF189" i="18"/>
  <c r="AG189" i="18"/>
  <c r="AH189" i="18"/>
  <c r="AD190" i="18"/>
  <c r="AE190" i="18"/>
  <c r="AF190" i="18"/>
  <c r="AG190" i="18"/>
  <c r="AH190" i="18"/>
  <c r="AD191" i="18"/>
  <c r="AE191" i="18"/>
  <c r="AF191" i="18"/>
  <c r="AG191" i="18"/>
  <c r="AH191" i="18"/>
  <c r="AD192" i="18"/>
  <c r="AE192" i="18"/>
  <c r="AF192" i="18"/>
  <c r="AG192" i="18"/>
  <c r="AH192" i="18"/>
  <c r="AD193" i="18"/>
  <c r="AE193" i="18"/>
  <c r="AF193" i="18"/>
  <c r="AG193" i="18"/>
  <c r="AH193" i="18"/>
  <c r="AD194" i="18"/>
  <c r="AE194" i="18"/>
  <c r="AF194" i="18"/>
  <c r="AG194" i="18"/>
  <c r="AH194" i="18"/>
  <c r="AD195" i="18"/>
  <c r="AE195" i="18"/>
  <c r="AF195" i="18"/>
  <c r="AG195" i="18"/>
  <c r="AH195" i="18"/>
  <c r="AD196" i="18"/>
  <c r="AE196" i="18"/>
  <c r="AF196" i="18"/>
  <c r="AG196" i="18"/>
  <c r="AH196" i="18"/>
  <c r="AD197" i="18"/>
  <c r="AE197" i="18"/>
  <c r="AF197" i="18"/>
  <c r="AG197" i="18"/>
  <c r="AH197" i="18"/>
  <c r="AD198" i="18"/>
  <c r="AE198" i="18"/>
  <c r="AF198" i="18"/>
  <c r="AG198" i="18"/>
  <c r="AH198" i="18"/>
  <c r="AD199" i="18"/>
  <c r="AE199" i="18"/>
  <c r="AF199" i="18"/>
  <c r="AG199" i="18"/>
  <c r="AH199" i="18"/>
  <c r="AD200" i="18"/>
  <c r="AE200" i="18"/>
  <c r="AF200" i="18"/>
  <c r="AG200" i="18"/>
  <c r="AH200" i="18"/>
  <c r="AD201" i="18"/>
  <c r="AE201" i="18"/>
  <c r="AF201" i="18"/>
  <c r="AG201" i="18"/>
  <c r="AH201" i="18"/>
  <c r="AD202" i="18"/>
  <c r="AE202" i="18"/>
  <c r="AF202" i="18"/>
  <c r="AG202" i="18"/>
  <c r="AH202" i="18"/>
  <c r="AD203" i="18"/>
  <c r="AE203" i="18"/>
  <c r="AF203" i="18"/>
  <c r="AG203" i="18"/>
  <c r="AH203" i="18"/>
  <c r="AD204" i="18"/>
  <c r="AE204" i="18"/>
  <c r="AF204" i="18"/>
  <c r="AG204" i="18"/>
  <c r="AH204" i="18"/>
  <c r="AD205" i="18"/>
  <c r="AE205" i="18"/>
  <c r="AF205" i="18"/>
  <c r="AG205" i="18"/>
  <c r="AH205" i="18"/>
  <c r="AD206" i="18"/>
  <c r="AE206" i="18"/>
  <c r="AF206" i="18"/>
  <c r="AG206" i="18"/>
  <c r="AH206" i="18"/>
  <c r="AD207" i="18"/>
  <c r="AE207" i="18"/>
  <c r="AF207" i="18"/>
  <c r="AG207" i="18"/>
  <c r="AH207" i="18"/>
  <c r="AD208" i="18"/>
  <c r="AE208" i="18"/>
  <c r="AF208" i="18"/>
  <c r="AG208" i="18"/>
  <c r="AH208" i="18"/>
  <c r="AD209" i="18"/>
  <c r="AE209" i="18"/>
  <c r="AF209" i="18"/>
  <c r="AG209" i="18"/>
  <c r="AH209" i="18"/>
  <c r="AD210" i="18"/>
  <c r="AE210" i="18"/>
  <c r="AF210" i="18"/>
  <c r="AG210" i="18"/>
  <c r="AH210" i="18"/>
  <c r="AD211" i="18"/>
  <c r="AE211" i="18"/>
  <c r="AF211" i="18"/>
  <c r="AG211" i="18"/>
  <c r="AH211" i="18"/>
  <c r="AD212" i="18"/>
  <c r="AE212" i="18"/>
  <c r="AF212" i="18"/>
  <c r="AG212" i="18"/>
  <c r="AH212" i="18"/>
  <c r="AD213" i="18"/>
  <c r="AE213" i="18"/>
  <c r="AF213" i="18"/>
  <c r="AG213" i="18"/>
  <c r="AH213" i="18"/>
  <c r="AD214" i="18"/>
  <c r="AE214" i="18"/>
  <c r="AF214" i="18"/>
  <c r="AG214" i="18"/>
  <c r="AH214" i="18"/>
  <c r="AD215" i="18"/>
  <c r="AE215" i="18"/>
  <c r="AF215" i="18"/>
  <c r="AG215" i="18"/>
  <c r="AH215" i="18"/>
  <c r="AD216" i="18"/>
  <c r="AE216" i="18"/>
  <c r="AF216" i="18"/>
  <c r="AG216" i="18"/>
  <c r="AH216" i="18"/>
  <c r="AD217" i="18"/>
  <c r="AE217" i="18"/>
  <c r="AF217" i="18"/>
  <c r="AG217" i="18"/>
  <c r="AH217" i="18"/>
  <c r="AD218" i="18"/>
  <c r="AE218" i="18"/>
  <c r="AF218" i="18"/>
  <c r="AG218" i="18"/>
  <c r="AH218" i="18"/>
  <c r="AD219" i="18"/>
  <c r="AE219" i="18"/>
  <c r="AF219" i="18"/>
  <c r="AG219" i="18"/>
  <c r="AH219" i="18"/>
  <c r="AD220" i="18"/>
  <c r="AE220" i="18"/>
  <c r="AF220" i="18"/>
  <c r="AG220" i="18"/>
  <c r="AH220" i="18"/>
  <c r="AD221" i="18"/>
  <c r="AE221" i="18"/>
  <c r="AF221" i="18"/>
  <c r="AG221" i="18"/>
  <c r="AH221" i="18"/>
  <c r="AD222" i="18"/>
  <c r="AE222" i="18"/>
  <c r="AF222" i="18"/>
  <c r="AG222" i="18"/>
  <c r="AH222" i="18"/>
  <c r="AD223" i="18"/>
  <c r="AE223" i="18"/>
  <c r="AF223" i="18"/>
  <c r="AG223" i="18"/>
  <c r="AH223" i="18"/>
  <c r="AD224" i="18"/>
  <c r="AE224" i="18"/>
  <c r="AF224" i="18"/>
  <c r="AG224" i="18"/>
  <c r="AH224" i="18"/>
  <c r="AD225" i="18"/>
  <c r="AE225" i="18"/>
  <c r="AF225" i="18"/>
  <c r="AG225" i="18"/>
  <c r="AH225" i="18"/>
  <c r="AD226" i="18"/>
  <c r="AE226" i="18"/>
  <c r="AF226" i="18"/>
  <c r="AG226" i="18"/>
  <c r="AH226" i="18"/>
  <c r="AD227" i="18"/>
  <c r="AE227" i="18"/>
  <c r="AF227" i="18"/>
  <c r="AG227" i="18"/>
  <c r="AH227" i="18"/>
  <c r="AD228" i="18"/>
  <c r="AE228" i="18"/>
  <c r="AF228" i="18"/>
  <c r="AG228" i="18"/>
  <c r="AH228" i="18"/>
  <c r="AD229" i="18"/>
  <c r="AE229" i="18"/>
  <c r="AF229" i="18"/>
  <c r="AG229" i="18"/>
  <c r="AH229" i="18"/>
  <c r="AD230" i="18"/>
  <c r="AE230" i="18"/>
  <c r="AF230" i="18"/>
  <c r="AG230" i="18"/>
  <c r="AH230" i="18"/>
  <c r="AD231" i="18"/>
  <c r="AE231" i="18"/>
  <c r="AF231" i="18"/>
  <c r="AG231" i="18"/>
  <c r="AH231" i="18"/>
  <c r="AD232" i="18"/>
  <c r="AE232" i="18"/>
  <c r="AF232" i="18"/>
  <c r="AG232" i="18"/>
  <c r="AH232" i="18"/>
  <c r="AD233" i="18"/>
  <c r="AE233" i="18"/>
  <c r="AF233" i="18"/>
  <c r="AG233" i="18"/>
  <c r="AH233" i="18"/>
  <c r="AD234" i="18"/>
  <c r="AE234" i="18"/>
  <c r="AF234" i="18"/>
  <c r="AG234" i="18"/>
  <c r="AH234" i="18"/>
  <c r="AD235" i="18"/>
  <c r="AE235" i="18"/>
  <c r="AF235" i="18"/>
  <c r="AG235" i="18"/>
  <c r="AH235" i="18"/>
  <c r="AD236" i="18"/>
  <c r="AE236" i="18"/>
  <c r="AF236" i="18"/>
  <c r="AG236" i="18"/>
  <c r="AH236" i="18"/>
  <c r="AD237" i="18"/>
  <c r="AE237" i="18"/>
  <c r="AF237" i="18"/>
  <c r="AG237" i="18"/>
  <c r="AH237" i="18"/>
  <c r="AD238" i="18"/>
  <c r="AE238" i="18"/>
  <c r="AF238" i="18"/>
  <c r="AG238" i="18"/>
  <c r="AH238" i="18"/>
  <c r="AD239" i="18"/>
  <c r="AE239" i="18"/>
  <c r="AF239" i="18"/>
  <c r="AG239" i="18"/>
  <c r="AH239" i="18"/>
  <c r="AD240" i="18"/>
  <c r="AE240" i="18"/>
  <c r="AF240" i="18"/>
  <c r="AG240" i="18"/>
  <c r="AH240" i="18"/>
  <c r="AD241" i="18"/>
  <c r="AE241" i="18"/>
  <c r="AF241" i="18"/>
  <c r="AG241" i="18"/>
  <c r="AH241" i="18"/>
  <c r="AD242" i="18"/>
  <c r="AE242" i="18"/>
  <c r="AF242" i="18"/>
  <c r="AG242" i="18"/>
  <c r="AH242" i="18"/>
  <c r="AD243" i="18"/>
  <c r="AE243" i="18"/>
  <c r="AF243" i="18"/>
  <c r="AG243" i="18"/>
  <c r="AH243" i="18"/>
  <c r="AD244" i="18"/>
  <c r="AE244" i="18"/>
  <c r="AF244" i="18"/>
  <c r="AG244" i="18"/>
  <c r="AH244" i="18"/>
  <c r="AD245" i="18"/>
  <c r="AE245" i="18"/>
  <c r="AF245" i="18"/>
  <c r="AG245" i="18"/>
  <c r="AH245" i="18"/>
  <c r="AD246" i="18"/>
  <c r="AE246" i="18"/>
  <c r="AF246" i="18"/>
  <c r="AG246" i="18"/>
  <c r="AH246" i="18"/>
  <c r="AD247" i="18"/>
  <c r="AE247" i="18"/>
  <c r="AF247" i="18"/>
  <c r="AG247" i="18"/>
  <c r="AH247" i="18"/>
  <c r="AD248" i="18"/>
  <c r="AE248" i="18"/>
  <c r="AF248" i="18"/>
  <c r="AG248" i="18"/>
  <c r="AH248" i="18"/>
  <c r="AD249" i="18"/>
  <c r="AE249" i="18"/>
  <c r="AF249" i="18"/>
  <c r="AG249" i="18"/>
  <c r="AH249" i="18"/>
  <c r="AD250" i="18"/>
  <c r="AE250" i="18"/>
  <c r="AF250" i="18"/>
  <c r="AG250" i="18"/>
  <c r="AH250" i="18"/>
  <c r="AD251" i="18"/>
  <c r="AE251" i="18"/>
  <c r="AF251" i="18"/>
  <c r="AG251" i="18"/>
  <c r="AH251" i="18"/>
  <c r="AD252" i="18"/>
  <c r="AE252" i="18"/>
  <c r="AF252" i="18"/>
  <c r="AG252" i="18"/>
  <c r="AH252" i="18"/>
  <c r="AD253" i="18"/>
  <c r="AE253" i="18"/>
  <c r="AF253" i="18"/>
  <c r="AG253" i="18"/>
  <c r="AH253" i="18"/>
  <c r="AD254" i="18"/>
  <c r="AE254" i="18"/>
  <c r="AF254" i="18"/>
  <c r="AG254" i="18"/>
  <c r="AH254" i="18"/>
  <c r="AD255" i="18"/>
  <c r="AE255" i="18"/>
  <c r="AF255" i="18"/>
  <c r="AG255" i="18"/>
  <c r="AH255" i="18"/>
  <c r="AD256" i="18"/>
  <c r="AE256" i="18"/>
  <c r="AF256" i="18"/>
  <c r="AG256" i="18"/>
  <c r="AH256" i="18"/>
  <c r="AD257" i="18"/>
  <c r="AE257" i="18"/>
  <c r="AF257" i="18"/>
  <c r="AG257" i="18"/>
  <c r="AH257" i="18"/>
  <c r="AD258" i="18"/>
  <c r="AE258" i="18"/>
  <c r="AF258" i="18"/>
  <c r="AG258" i="18"/>
  <c r="AH258" i="18"/>
  <c r="AD259" i="18"/>
  <c r="AE259" i="18"/>
  <c r="AF259" i="18"/>
  <c r="AG259" i="18"/>
  <c r="AH259" i="18"/>
  <c r="AD260" i="18"/>
  <c r="AE260" i="18"/>
  <c r="AF260" i="18"/>
  <c r="AG260" i="18"/>
  <c r="AH260" i="18"/>
  <c r="AD261" i="18"/>
  <c r="AE261" i="18"/>
  <c r="AF261" i="18"/>
  <c r="AG261" i="18"/>
  <c r="AH261" i="18"/>
  <c r="AD262" i="18"/>
  <c r="AE262" i="18"/>
  <c r="AF262" i="18"/>
  <c r="AG262" i="18"/>
  <c r="AH262" i="18"/>
  <c r="AD263" i="18"/>
  <c r="AE263" i="18"/>
  <c r="AF263" i="18"/>
  <c r="AG263" i="18"/>
  <c r="AH263" i="18"/>
  <c r="AD264" i="18"/>
  <c r="AE264" i="18"/>
  <c r="AF264" i="18"/>
  <c r="AG264" i="18"/>
  <c r="AH264" i="18"/>
  <c r="AD265" i="18"/>
  <c r="AE265" i="18"/>
  <c r="AF265" i="18"/>
  <c r="AG265" i="18"/>
  <c r="AH265" i="18"/>
  <c r="AD266" i="18"/>
  <c r="AE266" i="18"/>
  <c r="AF266" i="18"/>
  <c r="AG266" i="18"/>
  <c r="AH266" i="18"/>
  <c r="AD267" i="18"/>
  <c r="AE267" i="18"/>
  <c r="AF267" i="18"/>
  <c r="AG267" i="18"/>
  <c r="AH267" i="18"/>
  <c r="AD268" i="18"/>
  <c r="AE268" i="18"/>
  <c r="AF268" i="18"/>
  <c r="AG268" i="18"/>
  <c r="AH268" i="18"/>
  <c r="AD269" i="18"/>
  <c r="AE269" i="18"/>
  <c r="AF269" i="18"/>
  <c r="AG269" i="18"/>
  <c r="AH269" i="18"/>
  <c r="AD270" i="18"/>
  <c r="AE270" i="18"/>
  <c r="AF270" i="18"/>
  <c r="AG270" i="18"/>
  <c r="AH270" i="18"/>
  <c r="AD271" i="18"/>
  <c r="AE271" i="18"/>
  <c r="AF271" i="18"/>
  <c r="AG271" i="18"/>
  <c r="AH271" i="18"/>
  <c r="AD272" i="18"/>
  <c r="AE272" i="18"/>
  <c r="AF272" i="18"/>
  <c r="AG272" i="18"/>
  <c r="AH272" i="18"/>
  <c r="AD273" i="18"/>
  <c r="AE273" i="18"/>
  <c r="AF273" i="18"/>
  <c r="AG273" i="18"/>
  <c r="AH273" i="18"/>
  <c r="AD274" i="18"/>
  <c r="AE274" i="18"/>
  <c r="AF274" i="18"/>
  <c r="AG274" i="18"/>
  <c r="AH274" i="18"/>
  <c r="AD275" i="18"/>
  <c r="AE275" i="18"/>
  <c r="AF275" i="18"/>
  <c r="AG275" i="18"/>
  <c r="AH275" i="18"/>
  <c r="AD276" i="18"/>
  <c r="AE276" i="18"/>
  <c r="AF276" i="18"/>
  <c r="AG276" i="18"/>
  <c r="AH276" i="18"/>
  <c r="AD277" i="18"/>
  <c r="AE277" i="18"/>
  <c r="AF277" i="18"/>
  <c r="AG277" i="18"/>
  <c r="AH277" i="18"/>
  <c r="AD278" i="18"/>
  <c r="AE278" i="18"/>
  <c r="AF278" i="18"/>
  <c r="AG278" i="18"/>
  <c r="AH278" i="18"/>
  <c r="AD279" i="18"/>
  <c r="AE279" i="18"/>
  <c r="AF279" i="18"/>
  <c r="AG279" i="18"/>
  <c r="AH279" i="18"/>
  <c r="AD280" i="18"/>
  <c r="AE280" i="18"/>
  <c r="AF280" i="18"/>
  <c r="AG280" i="18"/>
  <c r="AH280" i="18"/>
  <c r="AD281" i="18"/>
  <c r="AE281" i="18"/>
  <c r="AF281" i="18"/>
  <c r="AG281" i="18"/>
  <c r="AH281" i="18"/>
  <c r="AD282" i="18"/>
  <c r="AE282" i="18"/>
  <c r="AF282" i="18"/>
  <c r="AG282" i="18"/>
  <c r="AH282" i="18"/>
  <c r="AD283" i="18"/>
  <c r="AE283" i="18"/>
  <c r="AF283" i="18"/>
  <c r="AG283" i="18"/>
  <c r="AH283" i="18"/>
  <c r="AD284" i="18"/>
  <c r="AE284" i="18"/>
  <c r="AF284" i="18"/>
  <c r="AG284" i="18"/>
  <c r="AH284" i="18"/>
  <c r="AD285" i="18"/>
  <c r="AE285" i="18"/>
  <c r="AF285" i="18"/>
  <c r="AG285" i="18"/>
  <c r="AH285" i="18"/>
  <c r="AD286" i="18"/>
  <c r="AE286" i="18"/>
  <c r="AF286" i="18"/>
  <c r="AG286" i="18"/>
  <c r="AH286" i="18"/>
  <c r="AD287" i="18"/>
  <c r="AE287" i="18"/>
  <c r="AF287" i="18"/>
  <c r="AG287" i="18"/>
  <c r="AH287" i="18"/>
  <c r="AD288" i="18"/>
  <c r="AE288" i="18"/>
  <c r="AF288" i="18"/>
  <c r="AG288" i="18"/>
  <c r="AH288" i="18"/>
  <c r="AD289" i="18"/>
  <c r="AE289" i="18"/>
  <c r="AF289" i="18"/>
  <c r="AG289" i="18"/>
  <c r="AH289" i="18"/>
  <c r="AD290" i="18"/>
  <c r="AE290" i="18"/>
  <c r="AF290" i="18"/>
  <c r="AG290" i="18"/>
  <c r="AH290" i="18"/>
  <c r="AD291" i="18"/>
  <c r="AE291" i="18"/>
  <c r="AF291" i="18"/>
  <c r="AG291" i="18"/>
  <c r="AH291" i="18"/>
  <c r="AD292" i="18"/>
  <c r="AE292" i="18"/>
  <c r="AF292" i="18"/>
  <c r="AG292" i="18"/>
  <c r="AH292" i="18"/>
  <c r="AD293" i="18"/>
  <c r="AE293" i="18"/>
  <c r="AF293" i="18"/>
  <c r="AG293" i="18"/>
  <c r="AH293" i="18"/>
  <c r="AD294" i="18"/>
  <c r="AE294" i="18"/>
  <c r="AF294" i="18"/>
  <c r="AG294" i="18"/>
  <c r="AH294" i="18"/>
  <c r="AD295" i="18"/>
  <c r="AE295" i="18"/>
  <c r="AF295" i="18"/>
  <c r="AG295" i="18"/>
  <c r="AH295" i="18"/>
  <c r="AD296" i="18"/>
  <c r="AE296" i="18"/>
  <c r="AF296" i="18"/>
  <c r="AG296" i="18"/>
  <c r="AH296" i="18"/>
  <c r="AD297" i="18"/>
  <c r="AE297" i="18"/>
  <c r="AF297" i="18"/>
  <c r="AG297" i="18"/>
  <c r="AH297" i="18"/>
  <c r="AD298" i="18"/>
  <c r="AE298" i="18"/>
  <c r="AF298" i="18"/>
  <c r="AG298" i="18"/>
  <c r="AH298" i="18"/>
  <c r="AD299" i="18"/>
  <c r="AE299" i="18"/>
  <c r="AF299" i="18"/>
  <c r="AG299" i="18"/>
  <c r="AH299" i="18"/>
  <c r="AD300" i="18"/>
  <c r="AE300" i="18"/>
  <c r="AF300" i="18"/>
  <c r="AG300" i="18"/>
  <c r="AH300" i="18"/>
  <c r="AD301" i="18"/>
  <c r="AE301" i="18"/>
  <c r="AF301" i="18"/>
  <c r="AG301" i="18"/>
  <c r="AH301" i="18"/>
  <c r="AD302" i="18"/>
  <c r="AE302" i="18"/>
  <c r="AF302" i="18"/>
  <c r="AG302" i="18"/>
  <c r="AH302" i="18"/>
  <c r="AD303" i="18"/>
  <c r="AE303" i="18"/>
  <c r="AF303" i="18"/>
  <c r="AG303" i="18"/>
  <c r="AH303" i="18"/>
  <c r="AD304" i="18"/>
  <c r="AE304" i="18"/>
  <c r="AF304" i="18"/>
  <c r="AG304" i="18"/>
  <c r="AH304" i="18"/>
  <c r="AD305" i="18"/>
  <c r="AE305" i="18"/>
  <c r="AF305" i="18"/>
  <c r="AG305" i="18"/>
  <c r="AH305" i="18"/>
  <c r="AD306" i="18"/>
  <c r="AE306" i="18"/>
  <c r="AF306" i="18"/>
  <c r="AG306" i="18"/>
  <c r="AH306" i="18"/>
  <c r="AD307" i="18"/>
  <c r="AE307" i="18"/>
  <c r="AF307" i="18"/>
  <c r="AG307" i="18"/>
  <c r="AH307" i="18"/>
  <c r="AD308" i="18"/>
  <c r="AE308" i="18"/>
  <c r="AF308" i="18"/>
  <c r="AG308" i="18"/>
  <c r="AH308" i="18"/>
  <c r="AD309" i="18"/>
  <c r="AE309" i="18"/>
  <c r="AF309" i="18"/>
  <c r="AG309" i="18"/>
  <c r="AH309" i="18"/>
  <c r="AD310" i="18"/>
  <c r="AE310" i="18"/>
  <c r="AF310" i="18"/>
  <c r="AG310" i="18"/>
  <c r="AH310" i="18"/>
  <c r="AD311" i="18"/>
  <c r="AE311" i="18"/>
  <c r="AF311" i="18"/>
  <c r="AG311" i="18"/>
  <c r="AH311" i="18"/>
  <c r="AD312" i="18"/>
  <c r="AE312" i="18"/>
  <c r="AF312" i="18"/>
  <c r="AG312" i="18"/>
  <c r="AH312" i="18"/>
  <c r="AD313" i="18"/>
  <c r="AE313" i="18"/>
  <c r="AF313" i="18"/>
  <c r="AG313" i="18"/>
  <c r="AH313" i="18"/>
  <c r="AD314" i="18"/>
  <c r="AE314" i="18"/>
  <c r="AF314" i="18"/>
  <c r="AG314" i="18"/>
  <c r="AH314" i="18"/>
  <c r="AD315" i="18"/>
  <c r="AE315" i="18"/>
  <c r="AF315" i="18"/>
  <c r="AG315" i="18"/>
  <c r="AH315" i="18"/>
  <c r="AD316" i="18"/>
  <c r="AE316" i="18"/>
  <c r="AF316" i="18"/>
  <c r="AG316" i="18"/>
  <c r="AH316" i="18"/>
  <c r="AD317" i="18"/>
  <c r="AE317" i="18"/>
  <c r="AF317" i="18"/>
  <c r="AG317" i="18"/>
  <c r="AH317" i="18"/>
  <c r="AD318" i="18"/>
  <c r="AE318" i="18"/>
  <c r="AF318" i="18"/>
  <c r="AG318" i="18"/>
  <c r="AH318" i="18"/>
  <c r="AD319" i="18"/>
  <c r="AE319" i="18"/>
  <c r="AF319" i="18"/>
  <c r="AG319" i="18"/>
  <c r="AH319" i="18"/>
  <c r="AD320" i="18"/>
  <c r="AE320" i="18"/>
  <c r="AF320" i="18"/>
  <c r="AG320" i="18"/>
  <c r="AH320" i="18"/>
  <c r="AD321" i="18"/>
  <c r="AE321" i="18"/>
  <c r="AF321" i="18"/>
  <c r="AG321" i="18"/>
  <c r="AH321" i="18"/>
  <c r="AD322" i="18"/>
  <c r="AE322" i="18"/>
  <c r="AF322" i="18"/>
  <c r="AG322" i="18"/>
  <c r="AH322" i="18"/>
  <c r="AD323" i="18"/>
  <c r="AE323" i="18"/>
  <c r="AF323" i="18"/>
  <c r="AG323" i="18"/>
  <c r="AH323" i="18"/>
  <c r="AD324" i="18"/>
  <c r="AE324" i="18"/>
  <c r="AF324" i="18"/>
  <c r="AG324" i="18"/>
  <c r="AH324" i="18"/>
  <c r="AD325" i="18"/>
  <c r="AE325" i="18"/>
  <c r="AF325" i="18"/>
  <c r="AG325" i="18"/>
  <c r="AH325" i="18"/>
  <c r="AD326" i="18"/>
  <c r="AE326" i="18"/>
  <c r="AF326" i="18"/>
  <c r="AG326" i="18"/>
  <c r="AH326" i="18"/>
  <c r="AD327" i="18"/>
  <c r="AE327" i="18"/>
  <c r="AF327" i="18"/>
  <c r="AG327" i="18"/>
  <c r="AH327" i="18"/>
  <c r="AD328" i="18"/>
  <c r="AE328" i="18"/>
  <c r="AF328" i="18"/>
  <c r="AG328" i="18"/>
  <c r="AH328" i="18"/>
  <c r="AD329" i="18"/>
  <c r="AE329" i="18"/>
  <c r="AF329" i="18"/>
  <c r="AG329" i="18"/>
  <c r="AH329" i="18"/>
  <c r="AD330" i="18"/>
  <c r="AE330" i="18"/>
  <c r="AF330" i="18"/>
  <c r="AG330" i="18"/>
  <c r="AH330" i="18"/>
  <c r="AD331" i="18"/>
  <c r="AE331" i="18"/>
  <c r="AF331" i="18"/>
  <c r="AG331" i="18"/>
  <c r="AH331" i="18"/>
  <c r="AD332" i="18"/>
  <c r="AE332" i="18"/>
  <c r="AF332" i="18"/>
  <c r="AG332" i="18"/>
  <c r="AH332" i="18"/>
  <c r="AD333" i="18"/>
  <c r="AE333" i="18"/>
  <c r="AF333" i="18"/>
  <c r="AG333" i="18"/>
  <c r="AH333" i="18"/>
  <c r="AD334" i="18"/>
  <c r="AE334" i="18"/>
  <c r="AF334" i="18"/>
  <c r="AG334" i="18"/>
  <c r="AH334" i="18"/>
  <c r="AD335" i="18"/>
  <c r="AE335" i="18"/>
  <c r="AF335" i="18"/>
  <c r="AG335" i="18"/>
  <c r="AH335" i="18"/>
  <c r="AD336" i="18"/>
  <c r="AE336" i="18"/>
  <c r="AF336" i="18"/>
  <c r="AG336" i="18"/>
  <c r="AH336" i="18"/>
  <c r="AD337" i="18"/>
  <c r="AE337" i="18"/>
  <c r="AF337" i="18"/>
  <c r="AG337" i="18"/>
  <c r="AH337" i="18"/>
  <c r="AD338" i="18"/>
  <c r="AE338" i="18"/>
  <c r="AF338" i="18"/>
  <c r="AG338" i="18"/>
  <c r="AH338" i="18"/>
  <c r="AD339" i="18"/>
  <c r="AE339" i="18"/>
  <c r="AF339" i="18"/>
  <c r="AG339" i="18"/>
  <c r="AH339" i="18"/>
  <c r="AD340" i="18"/>
  <c r="AE340" i="18"/>
  <c r="AF340" i="18"/>
  <c r="AG340" i="18"/>
  <c r="AH340" i="18"/>
  <c r="AD341" i="18"/>
  <c r="AE341" i="18"/>
  <c r="AF341" i="18"/>
  <c r="AG341" i="18"/>
  <c r="AH341" i="18"/>
  <c r="AD342" i="18"/>
  <c r="AE342" i="18"/>
  <c r="AF342" i="18"/>
  <c r="AG342" i="18"/>
  <c r="AH342" i="18"/>
  <c r="AD343" i="18"/>
  <c r="AE343" i="18"/>
  <c r="AF343" i="18"/>
  <c r="AG343" i="18"/>
  <c r="AH343" i="18"/>
  <c r="AD344" i="18"/>
  <c r="AE344" i="18"/>
  <c r="AF344" i="18"/>
  <c r="AG344" i="18"/>
  <c r="AH344" i="18"/>
  <c r="AD345" i="18"/>
  <c r="AE345" i="18"/>
  <c r="AF345" i="18"/>
  <c r="AG345" i="18"/>
  <c r="AH345" i="18"/>
  <c r="AD346" i="18"/>
  <c r="AE346" i="18"/>
  <c r="AF346" i="18"/>
  <c r="AG346" i="18"/>
  <c r="AH346" i="18"/>
  <c r="AD347" i="18"/>
  <c r="AE347" i="18"/>
  <c r="AF347" i="18"/>
  <c r="AG347" i="18"/>
  <c r="AH347" i="18"/>
  <c r="AD348" i="18"/>
  <c r="AE348" i="18"/>
  <c r="AF348" i="18"/>
  <c r="AG348" i="18"/>
  <c r="AH348" i="18"/>
  <c r="AD349" i="18"/>
  <c r="AE349" i="18"/>
  <c r="AF349" i="18"/>
  <c r="AG349" i="18"/>
  <c r="AH349" i="18"/>
  <c r="AD350" i="18"/>
  <c r="AE350" i="18"/>
  <c r="AF350" i="18"/>
  <c r="AG350" i="18"/>
  <c r="AH350" i="18"/>
  <c r="AD351" i="18"/>
  <c r="AE351" i="18"/>
  <c r="AF351" i="18"/>
  <c r="AG351" i="18"/>
  <c r="AH351" i="18"/>
  <c r="AD352" i="18"/>
  <c r="AE352" i="18"/>
  <c r="AF352" i="18"/>
  <c r="AG352" i="18"/>
  <c r="AH352" i="18"/>
  <c r="AD353" i="18"/>
  <c r="AE353" i="18"/>
  <c r="AF353" i="18"/>
  <c r="AG353" i="18"/>
  <c r="AH353" i="18"/>
  <c r="AD354" i="18"/>
  <c r="AE354" i="18"/>
  <c r="AF354" i="18"/>
  <c r="AG354" i="18"/>
  <c r="AH354" i="18"/>
  <c r="AD355" i="18"/>
  <c r="AE355" i="18"/>
  <c r="AF355" i="18"/>
  <c r="AG355" i="18"/>
  <c r="AH355" i="18"/>
  <c r="AD356" i="18"/>
  <c r="AE356" i="18"/>
  <c r="AF356" i="18"/>
  <c r="AG356" i="18"/>
  <c r="AH356" i="18"/>
  <c r="AD357" i="18"/>
  <c r="AE357" i="18"/>
  <c r="AF357" i="18"/>
  <c r="AG357" i="18"/>
  <c r="AH357" i="18"/>
  <c r="AD358" i="18"/>
  <c r="AE358" i="18"/>
  <c r="AF358" i="18"/>
  <c r="AG358" i="18"/>
  <c r="AH358" i="18"/>
  <c r="AD359" i="18"/>
  <c r="AE359" i="18"/>
  <c r="AF359" i="18"/>
  <c r="AG359" i="18"/>
  <c r="AH359" i="18"/>
  <c r="AD360" i="18"/>
  <c r="AE360" i="18"/>
  <c r="AF360" i="18"/>
  <c r="AG360" i="18"/>
  <c r="AH360" i="18"/>
  <c r="AD361" i="18"/>
  <c r="AE361" i="18"/>
  <c r="AF361" i="18"/>
  <c r="AG361" i="18"/>
  <c r="AH361" i="18"/>
  <c r="AD362" i="18"/>
  <c r="AE362" i="18"/>
  <c r="AF362" i="18"/>
  <c r="AG362" i="18"/>
  <c r="AH362" i="18"/>
  <c r="AD363" i="18"/>
  <c r="AE363" i="18"/>
  <c r="AF363" i="18"/>
  <c r="AG363" i="18"/>
  <c r="AH363" i="18"/>
  <c r="AH4" i="18"/>
  <c r="AG4" i="18"/>
  <c r="AF4" i="18"/>
  <c r="AE4" i="18"/>
  <c r="AD4" i="18"/>
  <c r="W5" i="18"/>
  <c r="X5" i="18"/>
  <c r="Y5" i="18"/>
  <c r="Z5" i="18"/>
  <c r="AA5" i="18"/>
  <c r="W6" i="18"/>
  <c r="X6" i="18"/>
  <c r="Y6" i="18"/>
  <c r="Z6" i="18"/>
  <c r="AA6" i="18"/>
  <c r="W7" i="18"/>
  <c r="X7" i="18"/>
  <c r="Y7" i="18"/>
  <c r="Z7" i="18"/>
  <c r="AA7" i="18"/>
  <c r="W8" i="18"/>
  <c r="X8" i="18"/>
  <c r="Y8" i="18"/>
  <c r="Z8" i="18"/>
  <c r="AA8" i="18"/>
  <c r="W9" i="18"/>
  <c r="X9" i="18"/>
  <c r="Y9" i="18"/>
  <c r="Z9" i="18"/>
  <c r="AA9" i="18"/>
  <c r="W10" i="18"/>
  <c r="X10" i="18"/>
  <c r="Y10" i="18"/>
  <c r="Z10" i="18"/>
  <c r="AA10" i="18"/>
  <c r="W11" i="18"/>
  <c r="X11" i="18"/>
  <c r="Y11" i="18"/>
  <c r="Z11" i="18"/>
  <c r="AA11" i="18"/>
  <c r="W12" i="18"/>
  <c r="X12" i="18"/>
  <c r="Y12" i="18"/>
  <c r="Z12" i="18"/>
  <c r="AA12" i="18"/>
  <c r="W13" i="18"/>
  <c r="X13" i="18"/>
  <c r="Y13" i="18"/>
  <c r="Z13" i="18"/>
  <c r="AA13" i="18"/>
  <c r="W14" i="18"/>
  <c r="X14" i="18"/>
  <c r="Y14" i="18"/>
  <c r="Z14" i="18"/>
  <c r="AA14" i="18"/>
  <c r="W15" i="18"/>
  <c r="X15" i="18"/>
  <c r="Y15" i="18"/>
  <c r="Z15" i="18"/>
  <c r="AA15" i="18"/>
  <c r="W16" i="18"/>
  <c r="X16" i="18"/>
  <c r="Y16" i="18"/>
  <c r="Z16" i="18"/>
  <c r="AA16" i="18"/>
  <c r="W17" i="18"/>
  <c r="X17" i="18"/>
  <c r="Y17" i="18"/>
  <c r="Z17" i="18"/>
  <c r="AA17" i="18"/>
  <c r="W18" i="18"/>
  <c r="X18" i="18"/>
  <c r="Y18" i="18"/>
  <c r="Z18" i="18"/>
  <c r="AA18" i="18"/>
  <c r="W19" i="18"/>
  <c r="X19" i="18"/>
  <c r="Y19" i="18"/>
  <c r="Z19" i="18"/>
  <c r="AA19" i="18"/>
  <c r="W20" i="18"/>
  <c r="X20" i="18"/>
  <c r="Y20" i="18"/>
  <c r="Z20" i="18"/>
  <c r="AA20" i="18"/>
  <c r="W21" i="18"/>
  <c r="X21" i="18"/>
  <c r="Y21" i="18"/>
  <c r="Z21" i="18"/>
  <c r="AA21" i="18"/>
  <c r="W22" i="18"/>
  <c r="X22" i="18"/>
  <c r="Y22" i="18"/>
  <c r="Z22" i="18"/>
  <c r="AA22" i="18"/>
  <c r="W23" i="18"/>
  <c r="X23" i="18"/>
  <c r="Y23" i="18"/>
  <c r="Z23" i="18"/>
  <c r="AA23" i="18"/>
  <c r="W24" i="18"/>
  <c r="X24" i="18"/>
  <c r="Y24" i="18"/>
  <c r="Z24" i="18"/>
  <c r="AA24" i="18"/>
  <c r="W25" i="18"/>
  <c r="X25" i="18"/>
  <c r="Y25" i="18"/>
  <c r="Z25" i="18"/>
  <c r="AA25" i="18"/>
  <c r="W26" i="18"/>
  <c r="X26" i="18"/>
  <c r="Y26" i="18"/>
  <c r="Z26" i="18"/>
  <c r="AA26" i="18"/>
  <c r="W27" i="18"/>
  <c r="X27" i="18"/>
  <c r="Y27" i="18"/>
  <c r="Z27" i="18"/>
  <c r="AA27" i="18"/>
  <c r="W28" i="18"/>
  <c r="X28" i="18"/>
  <c r="Y28" i="18"/>
  <c r="Z28" i="18"/>
  <c r="AA28" i="18"/>
  <c r="W29" i="18"/>
  <c r="X29" i="18"/>
  <c r="Y29" i="18"/>
  <c r="Z29" i="18"/>
  <c r="AA29" i="18"/>
  <c r="W30" i="18"/>
  <c r="X30" i="18"/>
  <c r="Y30" i="18"/>
  <c r="Z30" i="18"/>
  <c r="AA30" i="18"/>
  <c r="W31" i="18"/>
  <c r="X31" i="18"/>
  <c r="Y31" i="18"/>
  <c r="Z31" i="18"/>
  <c r="AA31" i="18"/>
  <c r="W32" i="18"/>
  <c r="X32" i="18"/>
  <c r="Y32" i="18"/>
  <c r="Z32" i="18"/>
  <c r="AA32" i="18"/>
  <c r="W33" i="18"/>
  <c r="X33" i="18"/>
  <c r="Y33" i="18"/>
  <c r="Z33" i="18"/>
  <c r="AA33" i="18"/>
  <c r="W34" i="18"/>
  <c r="X34" i="18"/>
  <c r="Y34" i="18"/>
  <c r="Z34" i="18"/>
  <c r="AA34" i="18"/>
  <c r="W35" i="18"/>
  <c r="X35" i="18"/>
  <c r="Y35" i="18"/>
  <c r="Z35" i="18"/>
  <c r="AA35" i="18"/>
  <c r="W36" i="18"/>
  <c r="X36" i="18"/>
  <c r="Y36" i="18"/>
  <c r="Z36" i="18"/>
  <c r="AA36" i="18"/>
  <c r="W37" i="18"/>
  <c r="X37" i="18"/>
  <c r="Y37" i="18"/>
  <c r="Z37" i="18"/>
  <c r="AA37" i="18"/>
  <c r="W38" i="18"/>
  <c r="X38" i="18"/>
  <c r="Y38" i="18"/>
  <c r="Z38" i="18"/>
  <c r="AA38" i="18"/>
  <c r="W39" i="18"/>
  <c r="X39" i="18"/>
  <c r="Y39" i="18"/>
  <c r="Z39" i="18"/>
  <c r="AA39" i="18"/>
  <c r="W40" i="18"/>
  <c r="X40" i="18"/>
  <c r="Y40" i="18"/>
  <c r="Z40" i="18"/>
  <c r="AA40" i="18"/>
  <c r="W41" i="18"/>
  <c r="X41" i="18"/>
  <c r="Y41" i="18"/>
  <c r="Z41" i="18"/>
  <c r="AA41" i="18"/>
  <c r="W42" i="18"/>
  <c r="X42" i="18"/>
  <c r="Y42" i="18"/>
  <c r="Z42" i="18"/>
  <c r="AA42" i="18"/>
  <c r="W43" i="18"/>
  <c r="X43" i="18"/>
  <c r="Y43" i="18"/>
  <c r="Z43" i="18"/>
  <c r="AA43" i="18"/>
  <c r="W44" i="18"/>
  <c r="X44" i="18"/>
  <c r="Y44" i="18"/>
  <c r="Z44" i="18"/>
  <c r="AA44" i="18"/>
  <c r="W45" i="18"/>
  <c r="X45" i="18"/>
  <c r="Y45" i="18"/>
  <c r="Z45" i="18"/>
  <c r="AA45" i="18"/>
  <c r="W46" i="18"/>
  <c r="X46" i="18"/>
  <c r="Y46" i="18"/>
  <c r="Z46" i="18"/>
  <c r="AA46" i="18"/>
  <c r="W47" i="18"/>
  <c r="X47" i="18"/>
  <c r="Y47" i="18"/>
  <c r="Z47" i="18"/>
  <c r="AA47" i="18"/>
  <c r="W48" i="18"/>
  <c r="X48" i="18"/>
  <c r="Y48" i="18"/>
  <c r="Z48" i="18"/>
  <c r="AA48" i="18"/>
  <c r="W49" i="18"/>
  <c r="X49" i="18"/>
  <c r="Y49" i="18"/>
  <c r="Z49" i="18"/>
  <c r="AA49" i="18"/>
  <c r="W50" i="18"/>
  <c r="X50" i="18"/>
  <c r="Y50" i="18"/>
  <c r="Z50" i="18"/>
  <c r="AA50" i="18"/>
  <c r="W51" i="18"/>
  <c r="X51" i="18"/>
  <c r="Y51" i="18"/>
  <c r="Z51" i="18"/>
  <c r="AA51" i="18"/>
  <c r="W52" i="18"/>
  <c r="X52" i="18"/>
  <c r="Y52" i="18"/>
  <c r="Z52" i="18"/>
  <c r="AA52" i="18"/>
  <c r="W53" i="18"/>
  <c r="X53" i="18"/>
  <c r="Y53" i="18"/>
  <c r="Z53" i="18"/>
  <c r="AA53" i="18"/>
  <c r="W54" i="18"/>
  <c r="X54" i="18"/>
  <c r="Y54" i="18"/>
  <c r="Z54" i="18"/>
  <c r="AA54" i="18"/>
  <c r="W55" i="18"/>
  <c r="X55" i="18"/>
  <c r="Y55" i="18"/>
  <c r="Z55" i="18"/>
  <c r="AA55" i="18"/>
  <c r="W56" i="18"/>
  <c r="X56" i="18"/>
  <c r="Y56" i="18"/>
  <c r="Z56" i="18"/>
  <c r="AA56" i="18"/>
  <c r="W57" i="18"/>
  <c r="X57" i="18"/>
  <c r="Y57" i="18"/>
  <c r="Z57" i="18"/>
  <c r="AA57" i="18"/>
  <c r="W58" i="18"/>
  <c r="X58" i="18"/>
  <c r="Y58" i="18"/>
  <c r="Z58" i="18"/>
  <c r="AA58" i="18"/>
  <c r="W59" i="18"/>
  <c r="X59" i="18"/>
  <c r="Y59" i="18"/>
  <c r="Z59" i="18"/>
  <c r="AA59" i="18"/>
  <c r="W60" i="18"/>
  <c r="X60" i="18"/>
  <c r="Y60" i="18"/>
  <c r="Z60" i="18"/>
  <c r="AA60" i="18"/>
  <c r="W61" i="18"/>
  <c r="X61" i="18"/>
  <c r="Y61" i="18"/>
  <c r="Z61" i="18"/>
  <c r="AA61" i="18"/>
  <c r="W62" i="18"/>
  <c r="X62" i="18"/>
  <c r="Y62" i="18"/>
  <c r="Z62" i="18"/>
  <c r="AA62" i="18"/>
  <c r="W63" i="18"/>
  <c r="X63" i="18"/>
  <c r="Y63" i="18"/>
  <c r="Z63" i="18"/>
  <c r="AA63" i="18"/>
  <c r="W64" i="18"/>
  <c r="X64" i="18"/>
  <c r="Y64" i="18"/>
  <c r="Z64" i="18"/>
  <c r="AA64" i="18"/>
  <c r="W65" i="18"/>
  <c r="X65" i="18"/>
  <c r="Y65" i="18"/>
  <c r="Z65" i="18"/>
  <c r="AA65" i="18"/>
  <c r="W66" i="18"/>
  <c r="X66" i="18"/>
  <c r="Y66" i="18"/>
  <c r="Z66" i="18"/>
  <c r="AA66" i="18"/>
  <c r="W67" i="18"/>
  <c r="X67" i="18"/>
  <c r="Y67" i="18"/>
  <c r="Z67" i="18"/>
  <c r="AA67" i="18"/>
  <c r="W68" i="18"/>
  <c r="X68" i="18"/>
  <c r="Y68" i="18"/>
  <c r="Z68" i="18"/>
  <c r="AA68" i="18"/>
  <c r="W69" i="18"/>
  <c r="X69" i="18"/>
  <c r="Y69" i="18"/>
  <c r="Z69" i="18"/>
  <c r="AA69" i="18"/>
  <c r="W70" i="18"/>
  <c r="X70" i="18"/>
  <c r="Y70" i="18"/>
  <c r="Z70" i="18"/>
  <c r="AA70" i="18"/>
  <c r="W71" i="18"/>
  <c r="X71" i="18"/>
  <c r="Y71" i="18"/>
  <c r="Z71" i="18"/>
  <c r="AA71" i="18"/>
  <c r="W72" i="18"/>
  <c r="X72" i="18"/>
  <c r="Y72" i="18"/>
  <c r="Z72" i="18"/>
  <c r="AA72" i="18"/>
  <c r="W73" i="18"/>
  <c r="X73" i="18"/>
  <c r="Y73" i="18"/>
  <c r="Z73" i="18"/>
  <c r="AA73" i="18"/>
  <c r="W74" i="18"/>
  <c r="X74" i="18"/>
  <c r="Y74" i="18"/>
  <c r="Z74" i="18"/>
  <c r="AA74" i="18"/>
  <c r="W75" i="18"/>
  <c r="X75" i="18"/>
  <c r="Y75" i="18"/>
  <c r="Z75" i="18"/>
  <c r="AA75" i="18"/>
  <c r="W76" i="18"/>
  <c r="X76" i="18"/>
  <c r="Y76" i="18"/>
  <c r="Z76" i="18"/>
  <c r="AA76" i="18"/>
  <c r="W77" i="18"/>
  <c r="X77" i="18"/>
  <c r="Y77" i="18"/>
  <c r="Z77" i="18"/>
  <c r="AA77" i="18"/>
  <c r="W78" i="18"/>
  <c r="X78" i="18"/>
  <c r="Y78" i="18"/>
  <c r="Z78" i="18"/>
  <c r="AA78" i="18"/>
  <c r="W79" i="18"/>
  <c r="X79" i="18"/>
  <c r="Y79" i="18"/>
  <c r="Z79" i="18"/>
  <c r="AA79" i="18"/>
  <c r="W80" i="18"/>
  <c r="X80" i="18"/>
  <c r="Y80" i="18"/>
  <c r="Z80" i="18"/>
  <c r="AA80" i="18"/>
  <c r="W81" i="18"/>
  <c r="X81" i="18"/>
  <c r="Y81" i="18"/>
  <c r="Z81" i="18"/>
  <c r="AA81" i="18"/>
  <c r="W82" i="18"/>
  <c r="X82" i="18"/>
  <c r="Y82" i="18"/>
  <c r="Z82" i="18"/>
  <c r="AA82" i="18"/>
  <c r="W83" i="18"/>
  <c r="X83" i="18"/>
  <c r="Y83" i="18"/>
  <c r="Z83" i="18"/>
  <c r="AA83" i="18"/>
  <c r="W84" i="18"/>
  <c r="X84" i="18"/>
  <c r="Y84" i="18"/>
  <c r="Z84" i="18"/>
  <c r="AA84" i="18"/>
  <c r="W85" i="18"/>
  <c r="X85" i="18"/>
  <c r="Y85" i="18"/>
  <c r="Z85" i="18"/>
  <c r="AA85" i="18"/>
  <c r="W86" i="18"/>
  <c r="X86" i="18"/>
  <c r="Y86" i="18"/>
  <c r="Z86" i="18"/>
  <c r="AA86" i="18"/>
  <c r="W87" i="18"/>
  <c r="X87" i="18"/>
  <c r="Y87" i="18"/>
  <c r="Z87" i="18"/>
  <c r="AA87" i="18"/>
  <c r="W88" i="18"/>
  <c r="X88" i="18"/>
  <c r="Y88" i="18"/>
  <c r="Z88" i="18"/>
  <c r="AA88" i="18"/>
  <c r="W89" i="18"/>
  <c r="X89" i="18"/>
  <c r="Y89" i="18"/>
  <c r="Z89" i="18"/>
  <c r="AA89" i="18"/>
  <c r="W90" i="18"/>
  <c r="X90" i="18"/>
  <c r="Y90" i="18"/>
  <c r="Z90" i="18"/>
  <c r="AA90" i="18"/>
  <c r="W91" i="18"/>
  <c r="X91" i="18"/>
  <c r="Y91" i="18"/>
  <c r="Z91" i="18"/>
  <c r="AA91" i="18"/>
  <c r="W92" i="18"/>
  <c r="X92" i="18"/>
  <c r="Y92" i="18"/>
  <c r="Z92" i="18"/>
  <c r="AA92" i="18"/>
  <c r="W93" i="18"/>
  <c r="X93" i="18"/>
  <c r="Y93" i="18"/>
  <c r="Z93" i="18"/>
  <c r="AA93" i="18"/>
  <c r="W94" i="18"/>
  <c r="X94" i="18"/>
  <c r="Y94" i="18"/>
  <c r="Z94" i="18"/>
  <c r="AA94" i="18"/>
  <c r="W95" i="18"/>
  <c r="X95" i="18"/>
  <c r="Y95" i="18"/>
  <c r="Z95" i="18"/>
  <c r="AA95" i="18"/>
  <c r="W96" i="18"/>
  <c r="X96" i="18"/>
  <c r="Y96" i="18"/>
  <c r="Z96" i="18"/>
  <c r="AA96" i="18"/>
  <c r="W97" i="18"/>
  <c r="X97" i="18"/>
  <c r="Y97" i="18"/>
  <c r="Z97" i="18"/>
  <c r="AA97" i="18"/>
  <c r="W98" i="18"/>
  <c r="X98" i="18"/>
  <c r="Y98" i="18"/>
  <c r="Z98" i="18"/>
  <c r="AA98" i="18"/>
  <c r="W99" i="18"/>
  <c r="X99" i="18"/>
  <c r="Y99" i="18"/>
  <c r="Z99" i="18"/>
  <c r="AA99" i="18"/>
  <c r="W100" i="18"/>
  <c r="X100" i="18"/>
  <c r="Y100" i="18"/>
  <c r="Z100" i="18"/>
  <c r="AA100" i="18"/>
  <c r="W101" i="18"/>
  <c r="X101" i="18"/>
  <c r="Y101" i="18"/>
  <c r="Z101" i="18"/>
  <c r="AA101" i="18"/>
  <c r="W102" i="18"/>
  <c r="X102" i="18"/>
  <c r="Y102" i="18"/>
  <c r="Z102" i="18"/>
  <c r="AA102" i="18"/>
  <c r="W103" i="18"/>
  <c r="X103" i="18"/>
  <c r="Y103" i="18"/>
  <c r="Z103" i="18"/>
  <c r="AA103" i="18"/>
  <c r="W104" i="18"/>
  <c r="X104" i="18"/>
  <c r="Y104" i="18"/>
  <c r="Z104" i="18"/>
  <c r="AA104" i="18"/>
  <c r="W105" i="18"/>
  <c r="X105" i="18"/>
  <c r="Y105" i="18"/>
  <c r="Z105" i="18"/>
  <c r="AA105" i="18"/>
  <c r="W106" i="18"/>
  <c r="X106" i="18"/>
  <c r="Y106" i="18"/>
  <c r="Z106" i="18"/>
  <c r="AA106" i="18"/>
  <c r="W107" i="18"/>
  <c r="X107" i="18"/>
  <c r="Y107" i="18"/>
  <c r="Z107" i="18"/>
  <c r="AA107" i="18"/>
  <c r="W108" i="18"/>
  <c r="X108" i="18"/>
  <c r="Y108" i="18"/>
  <c r="Z108" i="18"/>
  <c r="AA108" i="18"/>
  <c r="W109" i="18"/>
  <c r="X109" i="18"/>
  <c r="Y109" i="18"/>
  <c r="Z109" i="18"/>
  <c r="AA109" i="18"/>
  <c r="W110" i="18"/>
  <c r="X110" i="18"/>
  <c r="Y110" i="18"/>
  <c r="Z110" i="18"/>
  <c r="AA110" i="18"/>
  <c r="W111" i="18"/>
  <c r="X111" i="18"/>
  <c r="Y111" i="18"/>
  <c r="Z111" i="18"/>
  <c r="AA111" i="18"/>
  <c r="W112" i="18"/>
  <c r="X112" i="18"/>
  <c r="Y112" i="18"/>
  <c r="Z112" i="18"/>
  <c r="AA112" i="18"/>
  <c r="W113" i="18"/>
  <c r="X113" i="18"/>
  <c r="Y113" i="18"/>
  <c r="Z113" i="18"/>
  <c r="AA113" i="18"/>
  <c r="AA4" i="18"/>
  <c r="Z4" i="18"/>
  <c r="Y4" i="18"/>
  <c r="X4" i="18"/>
  <c r="W4" i="18"/>
  <c r="Q4" i="18"/>
  <c r="R4" i="18"/>
  <c r="S4" i="18"/>
  <c r="T4" i="18"/>
  <c r="AM5" i="18" l="1"/>
  <c r="AN5" i="18"/>
  <c r="AO5" i="18"/>
  <c r="AP5" i="18"/>
  <c r="AQ5" i="18"/>
  <c r="AM6" i="18"/>
  <c r="AN6" i="18"/>
  <c r="AO6" i="18"/>
  <c r="AP6" i="18"/>
  <c r="AQ6" i="18"/>
  <c r="AM7" i="18"/>
  <c r="AN7" i="18"/>
  <c r="AO7" i="18"/>
  <c r="AP7" i="18"/>
  <c r="AQ7" i="18"/>
  <c r="AM8" i="18"/>
  <c r="AN8" i="18"/>
  <c r="AO8" i="18"/>
  <c r="AP8" i="18"/>
  <c r="AQ8" i="18"/>
  <c r="AM9" i="18"/>
  <c r="AN9" i="18"/>
  <c r="AO9" i="18"/>
  <c r="AP9" i="18"/>
  <c r="AQ9" i="18"/>
  <c r="AM10" i="18"/>
  <c r="AN10" i="18"/>
  <c r="AO10" i="18"/>
  <c r="AP10" i="18"/>
  <c r="AQ10" i="18"/>
  <c r="AM11" i="18"/>
  <c r="AN11" i="18"/>
  <c r="AO11" i="18"/>
  <c r="AP11" i="18"/>
  <c r="AQ11" i="18"/>
  <c r="AM12" i="18"/>
  <c r="AN12" i="18"/>
  <c r="AO12" i="18"/>
  <c r="AP12" i="18"/>
  <c r="AQ12" i="18"/>
  <c r="AM13" i="18"/>
  <c r="AN13" i="18"/>
  <c r="AO13" i="18"/>
  <c r="AP13" i="18"/>
  <c r="AQ13" i="18"/>
  <c r="AM14" i="18"/>
  <c r="AN14" i="18"/>
  <c r="AO14" i="18"/>
  <c r="AP14" i="18"/>
  <c r="AQ14" i="18"/>
  <c r="AM15" i="18"/>
  <c r="AN15" i="18"/>
  <c r="AO15" i="18"/>
  <c r="AP15" i="18"/>
  <c r="AQ15" i="18"/>
  <c r="AM16" i="18"/>
  <c r="AN16" i="18"/>
  <c r="AO16" i="18"/>
  <c r="AP16" i="18"/>
  <c r="AQ16" i="18"/>
  <c r="AM17" i="18"/>
  <c r="AN17" i="18"/>
  <c r="AO17" i="18"/>
  <c r="AP17" i="18"/>
  <c r="AQ17" i="18"/>
  <c r="AM18" i="18"/>
  <c r="AN18" i="18"/>
  <c r="AO18" i="18"/>
  <c r="AP18" i="18"/>
  <c r="AQ18" i="18"/>
  <c r="AM19" i="18"/>
  <c r="AN19" i="18"/>
  <c r="AO19" i="18"/>
  <c r="AP19" i="18"/>
  <c r="AQ19" i="18"/>
  <c r="AM20" i="18"/>
  <c r="AN20" i="18"/>
  <c r="AO20" i="18"/>
  <c r="AP20" i="18"/>
  <c r="AQ20" i="18"/>
  <c r="AM21" i="18"/>
  <c r="AN21" i="18"/>
  <c r="AO21" i="18"/>
  <c r="AP21" i="18"/>
  <c r="AQ21" i="18"/>
  <c r="AM22" i="18"/>
  <c r="AN22" i="18"/>
  <c r="AO22" i="18"/>
  <c r="AP22" i="18"/>
  <c r="AQ22" i="18"/>
  <c r="AM23" i="18"/>
  <c r="AN23" i="18"/>
  <c r="AO23" i="18"/>
  <c r="AP23" i="18"/>
  <c r="AQ23" i="18"/>
  <c r="AM24" i="18"/>
  <c r="AN24" i="18"/>
  <c r="AO24" i="18"/>
  <c r="AP24" i="18"/>
  <c r="AQ24" i="18"/>
  <c r="AM25" i="18"/>
  <c r="AN25" i="18"/>
  <c r="AO25" i="18"/>
  <c r="AP25" i="18"/>
  <c r="AQ25" i="18"/>
  <c r="AM26" i="18"/>
  <c r="AN26" i="18"/>
  <c r="AO26" i="18"/>
  <c r="AP26" i="18"/>
  <c r="AQ26" i="18"/>
  <c r="AM27" i="18"/>
  <c r="AN27" i="18"/>
  <c r="AO27" i="18"/>
  <c r="AP27" i="18"/>
  <c r="AQ27" i="18"/>
  <c r="AM28" i="18"/>
  <c r="AN28" i="18"/>
  <c r="AO28" i="18"/>
  <c r="AP28" i="18"/>
  <c r="AQ28" i="18"/>
  <c r="AM29" i="18"/>
  <c r="AN29" i="18"/>
  <c r="AO29" i="18"/>
  <c r="AP29" i="18"/>
  <c r="AQ29" i="18"/>
  <c r="AM30" i="18"/>
  <c r="AN30" i="18"/>
  <c r="AO30" i="18"/>
  <c r="AP30" i="18"/>
  <c r="AQ30" i="18"/>
  <c r="AM31" i="18"/>
  <c r="AN31" i="18"/>
  <c r="AO31" i="18"/>
  <c r="AP31" i="18"/>
  <c r="AQ31" i="18"/>
  <c r="AM32" i="18"/>
  <c r="AN32" i="18"/>
  <c r="AO32" i="18"/>
  <c r="AP32" i="18"/>
  <c r="AQ32" i="18"/>
  <c r="AM33" i="18"/>
  <c r="AN33" i="18"/>
  <c r="AO33" i="18"/>
  <c r="AP33" i="18"/>
  <c r="AQ33" i="18"/>
  <c r="AM34" i="18"/>
  <c r="AN34" i="18"/>
  <c r="AO34" i="18"/>
  <c r="AP34" i="18"/>
  <c r="AQ34" i="18"/>
  <c r="AM35" i="18"/>
  <c r="AN35" i="18"/>
  <c r="AO35" i="18"/>
  <c r="AP35" i="18"/>
  <c r="AQ35" i="18"/>
  <c r="AM36" i="18"/>
  <c r="AN36" i="18"/>
  <c r="AO36" i="18"/>
  <c r="AP36" i="18"/>
  <c r="AQ36" i="18"/>
  <c r="AM37" i="18"/>
  <c r="AN37" i="18"/>
  <c r="AO37" i="18"/>
  <c r="AP37" i="18"/>
  <c r="AQ37" i="18"/>
  <c r="AM38" i="18"/>
  <c r="AN38" i="18"/>
  <c r="AO38" i="18"/>
  <c r="AP38" i="18"/>
  <c r="AQ38" i="18"/>
  <c r="AM39" i="18"/>
  <c r="AN39" i="18"/>
  <c r="AO39" i="18"/>
  <c r="AP39" i="18"/>
  <c r="AQ39" i="18"/>
  <c r="AM40" i="18"/>
  <c r="AN40" i="18"/>
  <c r="AO40" i="18"/>
  <c r="AP40" i="18"/>
  <c r="AQ40" i="18"/>
  <c r="AM41" i="18"/>
  <c r="AN41" i="18"/>
  <c r="AO41" i="18"/>
  <c r="AP41" i="18"/>
  <c r="AQ41" i="18"/>
  <c r="AM42" i="18"/>
  <c r="AN42" i="18"/>
  <c r="AO42" i="18"/>
  <c r="AP42" i="18"/>
  <c r="AQ42" i="18"/>
  <c r="AM43" i="18"/>
  <c r="AN43" i="18"/>
  <c r="AO43" i="18"/>
  <c r="AP43" i="18"/>
  <c r="AQ43" i="18"/>
  <c r="AM44" i="18"/>
  <c r="AN44" i="18"/>
  <c r="AO44" i="18"/>
  <c r="AP44" i="18"/>
  <c r="AQ44" i="18"/>
  <c r="AM45" i="18"/>
  <c r="AN45" i="18"/>
  <c r="AO45" i="18"/>
  <c r="AP45" i="18"/>
  <c r="AQ45" i="18"/>
  <c r="AM46" i="18"/>
  <c r="AN46" i="18"/>
  <c r="AO46" i="18"/>
  <c r="AP46" i="18"/>
  <c r="AQ46" i="18"/>
  <c r="AM47" i="18"/>
  <c r="AN47" i="18"/>
  <c r="AO47" i="18"/>
  <c r="AP47" i="18"/>
  <c r="AQ47" i="18"/>
  <c r="AM48" i="18"/>
  <c r="AN48" i="18"/>
  <c r="AO48" i="18"/>
  <c r="AP48" i="18"/>
  <c r="AQ48" i="18"/>
  <c r="AM49" i="18"/>
  <c r="AN49" i="18"/>
  <c r="AO49" i="18"/>
  <c r="AP49" i="18"/>
  <c r="AQ49" i="18"/>
  <c r="AM50" i="18"/>
  <c r="AN50" i="18"/>
  <c r="AO50" i="18"/>
  <c r="AP50" i="18"/>
  <c r="AQ50" i="18"/>
  <c r="AM51" i="18"/>
  <c r="AN51" i="18"/>
  <c r="AO51" i="18"/>
  <c r="AP51" i="18"/>
  <c r="AQ51" i="18"/>
  <c r="AM52" i="18"/>
  <c r="AN52" i="18"/>
  <c r="AO52" i="18"/>
  <c r="AP52" i="18"/>
  <c r="AQ52" i="18"/>
  <c r="AM53" i="18"/>
  <c r="AN53" i="18"/>
  <c r="AO53" i="18"/>
  <c r="AP53" i="18"/>
  <c r="AQ53" i="18"/>
  <c r="AN4" i="18"/>
  <c r="AO4" i="18"/>
  <c r="AP4" i="18"/>
  <c r="AQ4" i="18"/>
  <c r="AM4" i="18"/>
  <c r="G152" i="18" l="1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J52" i="18"/>
  <c r="G52" i="18"/>
  <c r="J51" i="18"/>
  <c r="G51" i="18"/>
  <c r="J50" i="18"/>
  <c r="G50" i="18"/>
  <c r="J49" i="18"/>
  <c r="G49" i="18"/>
  <c r="J48" i="18"/>
  <c r="G48" i="18"/>
  <c r="J47" i="18"/>
  <c r="G47" i="18"/>
  <c r="J46" i="18"/>
  <c r="G46" i="18"/>
  <c r="J45" i="18"/>
  <c r="G45" i="18"/>
  <c r="J44" i="18"/>
  <c r="G44" i="18"/>
  <c r="J43" i="18"/>
  <c r="G43" i="18"/>
  <c r="J42" i="18"/>
  <c r="G42" i="18"/>
  <c r="J41" i="18"/>
  <c r="G41" i="18"/>
  <c r="J40" i="18"/>
  <c r="G40" i="18"/>
  <c r="J39" i="18"/>
  <c r="G39" i="18"/>
  <c r="J38" i="18"/>
  <c r="G38" i="18"/>
  <c r="J37" i="18"/>
  <c r="G37" i="18"/>
  <c r="J36" i="18"/>
  <c r="G36" i="18"/>
  <c r="J35" i="18"/>
  <c r="G35" i="18"/>
  <c r="D35" i="18"/>
  <c r="J34" i="18"/>
  <c r="G34" i="18"/>
  <c r="D34" i="18"/>
  <c r="J33" i="18"/>
  <c r="G33" i="18"/>
  <c r="D33" i="18"/>
  <c r="J32" i="18"/>
  <c r="G32" i="18"/>
  <c r="D32" i="18"/>
  <c r="J31" i="18"/>
  <c r="G31" i="18"/>
  <c r="D31" i="18"/>
  <c r="J30" i="18"/>
  <c r="G30" i="18"/>
  <c r="D30" i="18"/>
  <c r="J29" i="18"/>
  <c r="G29" i="18"/>
  <c r="D29" i="18"/>
  <c r="J28" i="18"/>
  <c r="G28" i="18"/>
  <c r="D28" i="18"/>
  <c r="J27" i="18"/>
  <c r="G27" i="18"/>
  <c r="D27" i="18"/>
  <c r="J26" i="18"/>
  <c r="G26" i="18"/>
  <c r="D26" i="18"/>
  <c r="J25" i="18"/>
  <c r="G25" i="18"/>
  <c r="D25" i="18"/>
  <c r="J24" i="18"/>
  <c r="G24" i="18"/>
  <c r="D24" i="18"/>
  <c r="C24" i="18" s="1"/>
  <c r="J23" i="18"/>
  <c r="G23" i="18"/>
  <c r="J22" i="18"/>
  <c r="G22" i="18"/>
  <c r="J21" i="18"/>
  <c r="G21" i="18"/>
  <c r="J20" i="18"/>
  <c r="G20" i="18"/>
  <c r="J19" i="18"/>
  <c r="G19" i="18"/>
  <c r="J18" i="18"/>
  <c r="G18" i="18"/>
  <c r="J17" i="18"/>
  <c r="G17" i="18"/>
  <c r="D17" i="18"/>
  <c r="J16" i="18"/>
  <c r="G16" i="18"/>
  <c r="D16" i="18"/>
  <c r="J15" i="18"/>
  <c r="G15" i="18"/>
  <c r="D15" i="18"/>
  <c r="J14" i="18"/>
  <c r="G14" i="18"/>
  <c r="D14" i="18"/>
  <c r="J13" i="18"/>
  <c r="G13" i="18"/>
  <c r="D13" i="18"/>
  <c r="J12" i="18"/>
  <c r="G12" i="18"/>
  <c r="D12" i="18"/>
  <c r="J11" i="18"/>
  <c r="G11" i="18"/>
  <c r="D11" i="18"/>
  <c r="J10" i="18"/>
  <c r="G10" i="18"/>
  <c r="D10" i="18"/>
  <c r="J9" i="18"/>
  <c r="G9" i="18"/>
  <c r="D9" i="18"/>
  <c r="J8" i="18"/>
  <c r="G8" i="18"/>
  <c r="D8" i="18"/>
  <c r="C8" i="18" s="1"/>
  <c r="J7" i="18"/>
  <c r="G7" i="18"/>
  <c r="J6" i="18"/>
  <c r="G6" i="18"/>
  <c r="J5" i="18"/>
  <c r="G5" i="18"/>
  <c r="J4" i="18"/>
  <c r="G4" i="18"/>
  <c r="J3" i="18"/>
  <c r="G3" i="18"/>
  <c r="C25" i="18" l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9" i="18"/>
  <c r="C10" i="18" s="1"/>
  <c r="C11" i="18" s="1"/>
  <c r="C12" i="18" s="1"/>
  <c r="C13" i="18" s="1"/>
  <c r="C14" i="18" s="1"/>
  <c r="C15" i="18" s="1"/>
  <c r="C16" i="18" s="1"/>
  <c r="C17" i="18" s="1"/>
  <c r="Q30" i="18" l="1"/>
  <c r="S106" i="18"/>
  <c r="Q40" i="18"/>
  <c r="R78" i="18"/>
  <c r="T111" i="18"/>
  <c r="Q105" i="18"/>
  <c r="R93" i="18"/>
  <c r="S87" i="18"/>
  <c r="P81" i="18"/>
  <c r="Q75" i="18"/>
  <c r="S69" i="18"/>
  <c r="P51" i="18"/>
  <c r="T45" i="18"/>
  <c r="T39" i="18"/>
  <c r="R33" i="18"/>
  <c r="S28" i="18"/>
  <c r="Q90" i="18"/>
  <c r="P110" i="18"/>
  <c r="T98" i="18"/>
  <c r="R92" i="18"/>
  <c r="Q86" i="18"/>
  <c r="Q74" i="18"/>
  <c r="S68" i="18"/>
  <c r="R62" i="18"/>
  <c r="P56" i="18"/>
  <c r="S50" i="18"/>
  <c r="R44" i="18"/>
  <c r="P38" i="18"/>
  <c r="P32" i="18"/>
  <c r="Q26" i="18"/>
  <c r="T20" i="18"/>
  <c r="R14" i="18"/>
  <c r="Q8" i="18"/>
  <c r="S112" i="18"/>
  <c r="P22" i="18"/>
  <c r="T36" i="18"/>
  <c r="Q19" i="18"/>
  <c r="P97" i="18"/>
  <c r="P91" i="18"/>
  <c r="Q73" i="18"/>
  <c r="P67" i="18"/>
  <c r="T61" i="18"/>
  <c r="R49" i="18"/>
  <c r="Q43" i="18"/>
  <c r="P19" i="18"/>
  <c r="T13" i="18"/>
  <c r="T7" i="18"/>
  <c r="S34" i="18"/>
  <c r="R97" i="18"/>
  <c r="P43" i="18"/>
  <c r="R108" i="18"/>
  <c r="Q102" i="18"/>
  <c r="S90" i="18"/>
  <c r="P84" i="18"/>
  <c r="P78" i="18"/>
  <c r="S66" i="18"/>
  <c r="P54" i="18"/>
  <c r="Q42" i="18"/>
  <c r="R30" i="18"/>
  <c r="Q24" i="18"/>
  <c r="S18" i="18"/>
  <c r="S12" i="18"/>
  <c r="P6" i="18"/>
  <c r="P94" i="18"/>
  <c r="P16" i="18"/>
  <c r="R18" i="18"/>
  <c r="R67" i="18"/>
  <c r="P113" i="18"/>
  <c r="P107" i="18"/>
  <c r="T101" i="18"/>
  <c r="Q89" i="18"/>
  <c r="R77" i="18"/>
  <c r="R65" i="18"/>
  <c r="Q59" i="18"/>
  <c r="S53" i="18"/>
  <c r="P41" i="18"/>
  <c r="T29" i="18"/>
  <c r="T23" i="18"/>
  <c r="R17" i="18"/>
  <c r="S5" i="18"/>
  <c r="Q100" i="18"/>
  <c r="Q88" i="18"/>
  <c r="T82" i="18"/>
  <c r="R76" i="18"/>
  <c r="P70" i="18"/>
  <c r="T64" i="18"/>
  <c r="Q58" i="18"/>
  <c r="R52" i="18"/>
  <c r="R46" i="18"/>
  <c r="Q10" i="18"/>
  <c r="R100" i="18" l="1"/>
  <c r="R101" i="18"/>
  <c r="Q93" i="18"/>
  <c r="R53" i="18"/>
  <c r="Q29" i="18"/>
  <c r="T9" i="18"/>
  <c r="P8" i="18"/>
  <c r="R16" i="18"/>
  <c r="S20" i="18"/>
  <c r="Q28" i="18"/>
  <c r="T32" i="18"/>
  <c r="P40" i="18"/>
  <c r="R48" i="18"/>
  <c r="R56" i="18"/>
  <c r="P72" i="18"/>
  <c r="P96" i="18"/>
  <c r="T84" i="18"/>
  <c r="S107" i="18"/>
  <c r="T83" i="18"/>
  <c r="P55" i="18"/>
  <c r="Q31" i="18"/>
  <c r="S7" i="18"/>
  <c r="Q95" i="18"/>
  <c r="T67" i="18"/>
  <c r="R43" i="18"/>
  <c r="P15" i="18"/>
  <c r="R95" i="18"/>
  <c r="Q71" i="18"/>
  <c r="S47" i="18"/>
  <c r="T19" i="18"/>
  <c r="R106" i="18"/>
  <c r="T10" i="18"/>
  <c r="Q41" i="18"/>
  <c r="S108" i="18"/>
  <c r="S102" i="18"/>
  <c r="R86" i="18"/>
  <c r="P66" i="18"/>
  <c r="S46" i="18"/>
  <c r="R26" i="18"/>
  <c r="Q6" i="18"/>
  <c r="Q53" i="18"/>
  <c r="R5" i="18"/>
  <c r="S91" i="18"/>
  <c r="S110" i="18"/>
  <c r="S74" i="18"/>
  <c r="R34" i="18"/>
  <c r="R82" i="18"/>
  <c r="S42" i="18"/>
  <c r="R9" i="18"/>
  <c r="P25" i="18"/>
  <c r="P57" i="18"/>
  <c r="S85" i="18"/>
  <c r="T109" i="18"/>
  <c r="S29" i="18"/>
  <c r="Q97" i="18"/>
  <c r="Q15" i="18"/>
  <c r="T35" i="18"/>
  <c r="S63" i="18"/>
  <c r="P79" i="18"/>
  <c r="S95" i="18"/>
  <c r="Q50" i="18"/>
  <c r="R110" i="18"/>
  <c r="P102" i="18"/>
  <c r="Q62" i="18"/>
  <c r="Q5" i="18"/>
  <c r="T34" i="18"/>
  <c r="P58" i="18"/>
  <c r="R70" i="18"/>
  <c r="T102" i="18"/>
  <c r="T46" i="18"/>
  <c r="P77" i="18"/>
  <c r="P64" i="18"/>
  <c r="R112" i="18"/>
  <c r="S67" i="18"/>
  <c r="Q65" i="18"/>
  <c r="T113" i="18"/>
  <c r="P93" i="18"/>
  <c r="S77" i="18"/>
  <c r="T57" i="18"/>
  <c r="P112" i="18"/>
  <c r="Q56" i="18"/>
  <c r="R64" i="18"/>
  <c r="T76" i="18"/>
  <c r="S84" i="18"/>
  <c r="P92" i="18"/>
  <c r="P104" i="18"/>
  <c r="T112" i="18"/>
  <c r="S51" i="18"/>
  <c r="T93" i="18"/>
  <c r="Q57" i="18"/>
  <c r="P85" i="18"/>
  <c r="T49" i="18"/>
  <c r="T25" i="18"/>
  <c r="P5" i="18"/>
  <c r="R8" i="18"/>
  <c r="S16" i="18"/>
  <c r="Q20" i="18"/>
  <c r="T28" i="18"/>
  <c r="P36" i="18"/>
  <c r="R40" i="18"/>
  <c r="Q48" i="18"/>
  <c r="T60" i="18"/>
  <c r="S72" i="18"/>
  <c r="S96" i="18"/>
  <c r="R28" i="18"/>
  <c r="P103" i="18"/>
  <c r="Q79" i="18"/>
  <c r="T51" i="18"/>
  <c r="R27" i="18"/>
  <c r="Q91" i="18"/>
  <c r="T63" i="18"/>
  <c r="R39" i="18"/>
  <c r="P11" i="18"/>
  <c r="R91" i="18"/>
  <c r="Q67" i="18"/>
  <c r="S43" i="18"/>
  <c r="T15" i="18"/>
  <c r="R90" i="18"/>
  <c r="S105" i="18"/>
  <c r="P33" i="18"/>
  <c r="R102" i="18"/>
  <c r="Q82" i="18"/>
  <c r="S62" i="18"/>
  <c r="R42" i="18"/>
  <c r="Q22" i="18"/>
  <c r="R37" i="18"/>
  <c r="R75" i="18"/>
  <c r="Q106" i="18"/>
  <c r="R66" i="18"/>
  <c r="T30" i="18"/>
  <c r="R74" i="18"/>
  <c r="Q34" i="18"/>
  <c r="S9" i="18"/>
  <c r="T85" i="18"/>
  <c r="Q109" i="18"/>
  <c r="S45" i="18"/>
  <c r="R15" i="18"/>
  <c r="P35" i="18"/>
  <c r="R63" i="18"/>
  <c r="T79" i="18"/>
  <c r="T95" i="18"/>
  <c r="R98" i="18"/>
  <c r="P14" i="18"/>
  <c r="R50" i="18"/>
  <c r="S26" i="18"/>
  <c r="R111" i="18"/>
  <c r="S82" i="18"/>
  <c r="R6" i="18"/>
  <c r="T66" i="18"/>
  <c r="S81" i="18"/>
  <c r="T41" i="18"/>
  <c r="Q72" i="18"/>
  <c r="Q49" i="18"/>
  <c r="P109" i="18"/>
  <c r="S93" i="18"/>
  <c r="S73" i="18"/>
  <c r="P53" i="18"/>
  <c r="R104" i="18"/>
  <c r="T56" i="18"/>
  <c r="S64" i="18"/>
  <c r="Q76" i="18"/>
  <c r="R84" i="18"/>
  <c r="R96" i="18"/>
  <c r="S104" i="18"/>
  <c r="Q112" i="18"/>
  <c r="S35" i="18"/>
  <c r="S89" i="18"/>
  <c r="P49" i="18"/>
  <c r="R81" i="18"/>
  <c r="S41" i="18"/>
  <c r="P21" i="18"/>
  <c r="S8" i="18"/>
  <c r="Q16" i="18"/>
  <c r="T24" i="18"/>
  <c r="P28" i="18"/>
  <c r="R36" i="18"/>
  <c r="S40" i="18"/>
  <c r="T48" i="18"/>
  <c r="P60" i="18"/>
  <c r="P80" i="18"/>
  <c r="P99" i="18"/>
  <c r="S75" i="18"/>
  <c r="T47" i="18"/>
  <c r="R23" i="18"/>
  <c r="P111" i="18"/>
  <c r="Q87" i="18"/>
  <c r="T59" i="18"/>
  <c r="R35" i="18"/>
  <c r="P7" i="18"/>
  <c r="R87" i="18"/>
  <c r="Q63" i="18"/>
  <c r="S39" i="18"/>
  <c r="T11" i="18"/>
  <c r="T74" i="18"/>
  <c r="P89" i="18"/>
  <c r="R25" i="18"/>
  <c r="Q98" i="18"/>
  <c r="T78" i="18"/>
  <c r="R58" i="18"/>
  <c r="Q38" i="18"/>
  <c r="T22" i="18"/>
  <c r="P101" i="18"/>
  <c r="T33" i="18"/>
  <c r="S59" i="18"/>
  <c r="P98" i="18"/>
  <c r="T62" i="18"/>
  <c r="S22" i="18"/>
  <c r="T106" i="18"/>
  <c r="Q66" i="18"/>
  <c r="P30" i="18"/>
  <c r="P9" i="18"/>
  <c r="R109" i="18"/>
  <c r="P17" i="18"/>
  <c r="T27" i="18"/>
  <c r="P47" i="18"/>
  <c r="P83" i="18"/>
  <c r="S99" i="18"/>
  <c r="R38" i="18"/>
  <c r="S38" i="18"/>
  <c r="T14" i="18"/>
  <c r="P26" i="18"/>
  <c r="P100" i="18"/>
  <c r="S6" i="18"/>
  <c r="P52" i="18"/>
  <c r="S109" i="18"/>
  <c r="R89" i="18"/>
  <c r="P69" i="18"/>
  <c r="S49" i="18"/>
  <c r="T100" i="18"/>
  <c r="P48" i="18"/>
  <c r="R60" i="18"/>
  <c r="T68" i="18"/>
  <c r="P76" i="18"/>
  <c r="P88" i="18"/>
  <c r="T96" i="18"/>
  <c r="T108" i="18"/>
  <c r="S19" i="18"/>
  <c r="Q81" i="18"/>
  <c r="R41" i="18"/>
  <c r="R113" i="18"/>
  <c r="P73" i="18"/>
  <c r="P37" i="18"/>
  <c r="S17" i="18"/>
  <c r="Q12" i="18"/>
  <c r="T16" i="18"/>
  <c r="P24" i="18"/>
  <c r="R32" i="18"/>
  <c r="S36" i="18"/>
  <c r="Q44" i="18"/>
  <c r="Q52" i="18"/>
  <c r="R68" i="18"/>
  <c r="S80" i="18"/>
  <c r="P95" i="18"/>
  <c r="S71" i="18"/>
  <c r="T43" i="18"/>
  <c r="R19" i="18"/>
  <c r="T107" i="18"/>
  <c r="R79" i="18"/>
  <c r="Q55" i="18"/>
  <c r="S31" i="18"/>
  <c r="Q111" i="18"/>
  <c r="S83" i="18"/>
  <c r="R59" i="18"/>
  <c r="P31" i="18"/>
  <c r="Q7" i="18"/>
  <c r="T58" i="18"/>
  <c r="T77" i="18"/>
  <c r="T21" i="18"/>
  <c r="T94" i="18"/>
  <c r="P74" i="18"/>
  <c r="Q54" i="18"/>
  <c r="T38" i="18"/>
  <c r="P18" i="18"/>
  <c r="T89" i="18"/>
  <c r="S25" i="18"/>
  <c r="P39" i="18"/>
  <c r="R94" i="18"/>
  <c r="S54" i="18"/>
  <c r="Q14" i="18"/>
  <c r="S98" i="18"/>
  <c r="P62" i="18"/>
  <c r="R22" i="18"/>
  <c r="R21" i="18"/>
  <c r="T37" i="18"/>
  <c r="Q27" i="18"/>
  <c r="R47" i="18"/>
  <c r="R83" i="18"/>
  <c r="R99" i="18"/>
  <c r="S44" i="18"/>
  <c r="R69" i="18"/>
  <c r="T17" i="18"/>
  <c r="S94" i="18"/>
  <c r="P82" i="18"/>
  <c r="Q78" i="18"/>
  <c r="T97" i="18"/>
  <c r="Q80" i="18"/>
  <c r="S113" i="18"/>
  <c r="R105" i="18"/>
  <c r="Q85" i="18"/>
  <c r="S65" i="18"/>
  <c r="R45" i="18"/>
  <c r="S92" i="18"/>
  <c r="S48" i="18"/>
  <c r="S60" i="18"/>
  <c r="P68" i="18"/>
  <c r="R80" i="18"/>
  <c r="S88" i="18"/>
  <c r="Q96" i="18"/>
  <c r="Q108" i="18"/>
  <c r="Q99" i="18"/>
  <c r="Q113" i="18"/>
  <c r="R73" i="18"/>
  <c r="Q33" i="18"/>
  <c r="T105" i="18"/>
  <c r="Q69" i="18"/>
  <c r="S33" i="18"/>
  <c r="R13" i="18"/>
  <c r="T12" i="18"/>
  <c r="P20" i="18"/>
  <c r="R24" i="18"/>
  <c r="S32" i="18"/>
  <c r="Q36" i="18"/>
  <c r="T44" i="18"/>
  <c r="S52" i="18"/>
  <c r="Q68" i="18"/>
  <c r="T88" i="18"/>
  <c r="T104" i="18"/>
  <c r="T91" i="18"/>
  <c r="P63" i="18"/>
  <c r="Q39" i="18"/>
  <c r="S15" i="18"/>
  <c r="T103" i="18"/>
  <c r="P75" i="18"/>
  <c r="Q51" i="18"/>
  <c r="S27" i="18"/>
  <c r="Q107" i="18"/>
  <c r="S79" i="18"/>
  <c r="R55" i="18"/>
  <c r="P27" i="18"/>
  <c r="T42" i="18"/>
  <c r="P65" i="18"/>
  <c r="S13" i="18"/>
  <c r="T110" i="18"/>
  <c r="P90" i="18"/>
  <c r="Q70" i="18"/>
  <c r="T54" i="18"/>
  <c r="P34" i="18"/>
  <c r="S14" i="18"/>
  <c r="Q77" i="18"/>
  <c r="Q21" i="18"/>
  <c r="Q23" i="18"/>
  <c r="T86" i="18"/>
  <c r="Q46" i="18"/>
  <c r="P10" i="18"/>
  <c r="Q94" i="18"/>
  <c r="R54" i="18"/>
  <c r="T18" i="18"/>
  <c r="S21" i="18"/>
  <c r="Q37" i="18"/>
  <c r="R57" i="18"/>
  <c r="R11" i="18"/>
  <c r="T31" i="18"/>
  <c r="S55" i="18"/>
  <c r="R71" i="18"/>
  <c r="R103" i="18"/>
  <c r="P87" i="18"/>
  <c r="P46" i="18"/>
  <c r="S58" i="18"/>
  <c r="Q18" i="18"/>
  <c r="Q61" i="18"/>
  <c r="Q92" i="18"/>
  <c r="S61" i="18"/>
  <c r="S97" i="18"/>
  <c r="Q101" i="18"/>
  <c r="T81" i="18"/>
  <c r="R61" i="18"/>
  <c r="Q45" i="18"/>
  <c r="Q84" i="18"/>
  <c r="T52" i="18"/>
  <c r="Q60" i="18"/>
  <c r="R72" i="18"/>
  <c r="T80" i="18"/>
  <c r="T92" i="18"/>
  <c r="S100" i="18"/>
  <c r="P108" i="18"/>
  <c r="Q83" i="18"/>
  <c r="P105" i="18"/>
  <c r="T69" i="18"/>
  <c r="Q17" i="18"/>
  <c r="S101" i="18"/>
  <c r="P61" i="18"/>
  <c r="R29" i="18"/>
  <c r="Q13" i="18"/>
  <c r="T8" i="18"/>
  <c r="P12" i="18"/>
  <c r="R20" i="18"/>
  <c r="S24" i="18"/>
  <c r="Q32" i="18"/>
  <c r="T40" i="18"/>
  <c r="P44" i="18"/>
  <c r="S56" i="18"/>
  <c r="T72" i="18"/>
  <c r="R88" i="18"/>
  <c r="Q104" i="18"/>
  <c r="Q64" i="18"/>
  <c r="S111" i="18"/>
  <c r="T87" i="18"/>
  <c r="P59" i="18"/>
  <c r="Q35" i="18"/>
  <c r="S11" i="18"/>
  <c r="T99" i="18"/>
  <c r="P71" i="18"/>
  <c r="Q47" i="18"/>
  <c r="S23" i="18"/>
  <c r="Q103" i="18"/>
  <c r="T75" i="18"/>
  <c r="R51" i="18"/>
  <c r="P23" i="18"/>
  <c r="T26" i="18"/>
  <c r="T53" i="18"/>
  <c r="Q9" i="18"/>
  <c r="P106" i="18"/>
  <c r="S86" i="18"/>
  <c r="T70" i="18"/>
  <c r="P50" i="18"/>
  <c r="S30" i="18"/>
  <c r="R10" i="18"/>
  <c r="T65" i="18"/>
  <c r="P13" i="18"/>
  <c r="R107" i="18"/>
  <c r="R7" i="18"/>
  <c r="S78" i="18"/>
  <c r="P42" i="18"/>
  <c r="P86" i="18"/>
  <c r="T50" i="18"/>
  <c r="S10" i="18"/>
  <c r="Q25" i="18"/>
  <c r="S37" i="18"/>
  <c r="S57" i="18"/>
  <c r="R85" i="18"/>
  <c r="T73" i="18"/>
  <c r="Q11" i="18"/>
  <c r="R31" i="18"/>
  <c r="T55" i="18"/>
  <c r="T71" i="18"/>
  <c r="S103" i="18"/>
  <c r="Q110" i="18"/>
  <c r="P45" i="18"/>
  <c r="P29" i="18"/>
  <c r="S70" i="18"/>
  <c r="S76" i="18"/>
  <c r="R12" i="18"/>
  <c r="P4" i="18"/>
  <c r="T90" i="18"/>
  <c r="T5" i="18" l="1"/>
  <c r="T6" i="18"/>
</calcChain>
</file>

<file path=xl/sharedStrings.xml><?xml version="1.0" encoding="utf-8"?>
<sst xmlns="http://schemas.openxmlformats.org/spreadsheetml/2006/main" count="146" uniqueCount="99">
  <si>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</si>
  <si>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</si>
  <si>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</si>
  <si>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</si>
  <si>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</si>
  <si>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</si>
  <si>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</si>
  <si>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</si>
  <si>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</si>
  <si>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</si>
  <si>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</si>
  <si>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</si>
  <si>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</si>
  <si>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</si>
  <si>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</si>
  <si>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</si>
  <si>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</si>
  <si>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类型</t>
    <phoneticPr fontId="1" type="noConversion"/>
  </si>
  <si>
    <t>效果</t>
    <phoneticPr fontId="1" type="noConversion"/>
  </si>
  <si>
    <t>无</t>
    <phoneticPr fontId="1" type="noConversion"/>
  </si>
  <si>
    <t>晴</t>
  </si>
  <si>
    <t>阴</t>
  </si>
  <si>
    <t>疲劳恢复速度降低</t>
    <phoneticPr fontId="1" type="noConversion"/>
  </si>
  <si>
    <t>雨</t>
  </si>
  <si>
    <t>雪</t>
  </si>
  <si>
    <t>攻城行军速度降低</t>
    <phoneticPr fontId="1" type="noConversion"/>
  </si>
  <si>
    <t>雾</t>
  </si>
  <si>
    <t>春</t>
    <phoneticPr fontId="1" type="noConversion"/>
  </si>
  <si>
    <t>夏</t>
    <phoneticPr fontId="1" type="noConversion"/>
  </si>
  <si>
    <t>秋</t>
    <phoneticPr fontId="1" type="noConversion"/>
  </si>
  <si>
    <t>冬</t>
    <phoneticPr fontId="1" type="noConversion"/>
  </si>
  <si>
    <t>打野、掠夺行军速度降低10%</t>
    <phoneticPr fontId="1" type="noConversion"/>
  </si>
  <si>
    <t>价值</t>
    <phoneticPr fontId="1" type="noConversion"/>
  </si>
  <si>
    <t>未开放</t>
    <phoneticPr fontId="1" type="noConversion"/>
  </si>
  <si>
    <t>打野武将经验提升5%</t>
    <phoneticPr fontId="1" type="noConversion"/>
  </si>
  <si>
    <t>清晨</t>
    <phoneticPr fontId="1" type="noConversion"/>
  </si>
  <si>
    <t>正午</t>
    <phoneticPr fontId="1" type="noConversion"/>
  </si>
  <si>
    <t>黄昏</t>
    <phoneticPr fontId="1" type="noConversion"/>
  </si>
  <si>
    <t>黑夜</t>
    <phoneticPr fontId="1" type="noConversion"/>
  </si>
  <si>
    <t>开启时间（0~23）</t>
    <phoneticPr fontId="1" type="noConversion"/>
  </si>
  <si>
    <t>结束时间（0~23）</t>
    <phoneticPr fontId="1" type="noConversion"/>
  </si>
  <si>
    <t>攻城、掠夺行军速度降低50%、攻城伤害降低50%</t>
    <phoneticPr fontId="1" type="noConversion"/>
  </si>
  <si>
    <t>看不清楚敌军目标线路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</si>
  <si>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</si>
  <si>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</si>
  <si>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</si>
  <si>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</si>
  <si>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</si>
  <si>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资源采集速度提升3%</t>
    <phoneticPr fontId="1" type="noConversion"/>
  </si>
  <si>
    <t>行军速度提升10%</t>
    <phoneticPr fontId="1" type="noConversion"/>
  </si>
  <si>
    <t>资源产量增加4%</t>
    <phoneticPr fontId="1" type="noConversion"/>
  </si>
  <si>
    <t>损兵下降1%</t>
    <phoneticPr fontId="1" type="noConversion"/>
  </si>
  <si>
    <t>类型</t>
  </si>
  <si>
    <t>昼</t>
    <phoneticPr fontId="1" type="noConversion"/>
  </si>
  <si>
    <t>夜</t>
    <phoneticPr fontId="1" type="noConversion"/>
  </si>
  <si>
    <t>时间起始</t>
    <phoneticPr fontId="1" type="noConversion"/>
  </si>
  <si>
    <t>时间截止</t>
    <phoneticPr fontId="1" type="noConversion"/>
  </si>
  <si>
    <t>buff效果1</t>
    <phoneticPr fontId="1" type="noConversion"/>
  </si>
  <si>
    <t>buff效果</t>
    <phoneticPr fontId="1" type="noConversion"/>
  </si>
  <si>
    <t>数值</t>
  </si>
  <si>
    <t>数值</t>
    <phoneticPr fontId="1" type="noConversion"/>
  </si>
  <si>
    <t>攻城伤害降低</t>
    <phoneticPr fontId="1" type="noConversion"/>
  </si>
  <si>
    <t>春</t>
  </si>
  <si>
    <t>夏</t>
  </si>
  <si>
    <t>秋</t>
  </si>
  <si>
    <t>冬</t>
  </si>
  <si>
    <t>持续天数</t>
    <phoneticPr fontId="1" type="noConversion"/>
  </si>
  <si>
    <t>行军速度提升</t>
    <phoneticPr fontId="1" type="noConversion"/>
  </si>
  <si>
    <t>打野武将经验提升</t>
    <phoneticPr fontId="1" type="noConversion"/>
  </si>
  <si>
    <t>资源产量增加</t>
    <phoneticPr fontId="1" type="noConversion"/>
  </si>
  <si>
    <t>损兵下降</t>
    <phoneticPr fontId="1" type="noConversion"/>
  </si>
  <si>
    <t>晴</t>
    <phoneticPr fontId="1" type="noConversion"/>
  </si>
  <si>
    <t>雨</t>
    <phoneticPr fontId="1" type="noConversion"/>
  </si>
  <si>
    <t>雪</t>
    <phoneticPr fontId="1" type="noConversion"/>
  </si>
  <si>
    <t>风</t>
    <phoneticPr fontId="1" type="noConversion"/>
  </si>
  <si>
    <t>刷新时间</t>
    <phoneticPr fontId="1" type="noConversion"/>
  </si>
  <si>
    <t>buff效果2</t>
  </si>
  <si>
    <t>buff效果3</t>
  </si>
  <si>
    <t>buff效果4</t>
  </si>
  <si>
    <t>buff效果5</t>
  </si>
  <si>
    <t>步兵</t>
    <phoneticPr fontId="1" type="noConversion"/>
  </si>
  <si>
    <t>骑兵</t>
    <phoneticPr fontId="1" type="noConversion"/>
  </si>
  <si>
    <t>弓兵</t>
    <phoneticPr fontId="1" type="noConversion"/>
  </si>
  <si>
    <t>器械</t>
    <phoneticPr fontId="1" type="noConversion"/>
  </si>
  <si>
    <t>命中提升</t>
    <phoneticPr fontId="1" type="noConversion"/>
  </si>
  <si>
    <t>闪避提升</t>
    <phoneticPr fontId="1" type="noConversion"/>
  </si>
  <si>
    <t>命中降低</t>
    <phoneticPr fontId="1" type="noConversion"/>
  </si>
  <si>
    <t>攻城降低</t>
    <phoneticPr fontId="1" type="noConversion"/>
  </si>
  <si>
    <t>攻城提升</t>
    <phoneticPr fontId="1" type="noConversion"/>
  </si>
  <si>
    <t>韧性降低</t>
    <phoneticPr fontId="1" type="noConversion"/>
  </si>
  <si>
    <t>韧性提升</t>
    <phoneticPr fontId="1" type="noConversion"/>
  </si>
  <si>
    <t>设计思路</t>
    <phoneticPr fontId="1" type="noConversion"/>
  </si>
  <si>
    <t>步骑弓各有1个强势天气1个弱势天气</t>
    <phoneticPr fontId="1" type="noConversion"/>
  </si>
  <si>
    <t>器械四种天气下均有效果</t>
    <phoneticPr fontId="1" type="noConversion"/>
  </si>
  <si>
    <t>步骑弓的天气加成效用保持一致</t>
    <phoneticPr fontId="1" type="noConversion"/>
  </si>
  <si>
    <t>闪避降低</t>
    <phoneticPr fontId="1" type="noConversion"/>
  </si>
  <si>
    <t>-20%</t>
    <phoneticPr fontId="1" type="noConversion"/>
  </si>
  <si>
    <t>-5%</t>
    <phoneticPr fontId="1" type="noConversion"/>
  </si>
  <si>
    <t>-10%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</si>
</sst>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9" fontId="3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BG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8101.9351214672988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>
        <row r="83">
          <cell r="R83">
            <v>173.01749999999998</v>
          </cell>
        </row>
      </sheetData>
      <sheetData sheetId="1"/>
      <sheetData sheetId="2">
        <row r="6">
          <cell r="D6">
            <v>1.406564072186226E-2</v>
          </cell>
        </row>
        <row r="17">
          <cell r="E17">
            <v>81841.602937499978</v>
          </cell>
        </row>
        <row r="23">
          <cell r="E23">
            <v>32606.175096012281</v>
          </cell>
        </row>
        <row r="26">
          <cell r="E26">
            <v>48909.262644018425</v>
          </cell>
        </row>
        <row r="27">
          <cell r="E27">
            <v>28692.545180840934</v>
          </cell>
        </row>
        <row r="31">
          <cell r="E31">
            <v>43038.817771261398</v>
          </cell>
        </row>
        <row r="39">
          <cell r="E39">
            <v>724732.28840454796</v>
          </cell>
        </row>
        <row r="41">
          <cell r="E41">
            <v>47000.280805621056</v>
          </cell>
        </row>
      </sheetData>
      <sheetData sheetId="3">
        <row r="57">
          <cell r="C57" t="str">
            <v>木/石/铜/粮产量增加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J363"/>
  <sheetViews>
    <sheetView workbookViewId="0">
      <selection activeCell="L36" sqref="L36"/>
    </sheetView>
  </sheetViews>
  <sheetFormatPr defaultColWidth="8.125" defaultRowHeight="11.25" x14ac:dyDescent="0.15"/>
  <cols>
    <col min="1" max="12" width="8.125" style="2"/>
    <col min="13" max="13" width="4.375" style="1" customWidth="1"/>
    <col min="14" max="14" width="8.125" style="2"/>
    <col min="15" max="15" width="9.75" style="2" bestFit="1" customWidth="1"/>
    <col min="16" max="16" width="9" style="2" bestFit="1" customWidth="1"/>
    <col min="17" max="20" width="8.125" style="2"/>
    <col min="21" max="35" width="8.125" style="2" customWidth="1"/>
    <col min="36" max="36" width="3" style="1" customWidth="1"/>
    <col min="37" max="43" width="8.125" style="2" customWidth="1"/>
    <col min="44" max="44" width="8.125" style="3" customWidth="1"/>
    <col min="45" max="50" width="8.125" style="2" customWidth="1"/>
    <col min="51" max="51" width="8.125" style="3" customWidth="1"/>
    <col min="52" max="58" width="8.125" style="2" customWidth="1"/>
    <col min="59" max="16384" width="8.125" style="2"/>
  </cols>
  <sheetData>
    <row r="1" spans="2:57" x14ac:dyDescent="0.15">
      <c r="F1" s="17" t="s">
        <v>43</v>
      </c>
      <c r="G1" s="17" t="s">
        <v>5</v>
      </c>
      <c r="H1" s="4"/>
      <c r="I1" s="17" t="s">
        <v>6</v>
      </c>
      <c r="J1" s="17" t="s">
        <v>5</v>
      </c>
      <c r="K1" s="17" t="s">
        <v>7</v>
      </c>
    </row>
    <row r="2" spans="2:57" ht="13.5" customHeight="1" x14ac:dyDescent="0.15">
      <c r="F2" s="17"/>
      <c r="G2" s="17"/>
      <c r="H2" s="4"/>
      <c r="I2" s="17"/>
      <c r="J2" s="17"/>
      <c r="K2" s="17"/>
      <c r="P2" s="16" t="s">
        <v>44</v>
      </c>
      <c r="Q2" s="16"/>
      <c r="R2" s="16"/>
      <c r="S2" s="16"/>
      <c r="T2" s="16"/>
      <c r="W2" s="16" t="s">
        <v>45</v>
      </c>
      <c r="X2" s="16"/>
      <c r="Y2" s="16"/>
      <c r="Z2" s="16"/>
      <c r="AA2" s="16"/>
      <c r="AD2" s="16" t="s">
        <v>46</v>
      </c>
      <c r="AE2" s="16"/>
      <c r="AF2" s="16"/>
      <c r="AG2" s="16"/>
      <c r="AH2" s="16"/>
      <c r="AM2" s="16" t="s">
        <v>8</v>
      </c>
      <c r="AN2" s="16"/>
      <c r="AO2" s="16"/>
      <c r="AP2" s="16"/>
      <c r="AQ2" s="16"/>
      <c r="AT2" s="16" t="s">
        <v>9</v>
      </c>
      <c r="AU2" s="16"/>
      <c r="AV2" s="16"/>
      <c r="AW2" s="16"/>
      <c r="AX2" s="16"/>
      <c r="BA2" s="16" t="s">
        <v>10</v>
      </c>
      <c r="BB2" s="16"/>
      <c r="BC2" s="16"/>
      <c r="BD2" s="16"/>
      <c r="BE2" s="16"/>
    </row>
    <row r="3" spans="2:57" ht="13.5" customHeight="1" x14ac:dyDescent="0.15">
      <c r="F3" s="2">
        <v>1</v>
      </c>
      <c r="G3" s="2">
        <f>(2^(F3/10)-1)/(2-1)</f>
        <v>7.1773462536293131E-2</v>
      </c>
      <c r="I3" s="2">
        <v>1</v>
      </c>
      <c r="J3" s="2">
        <f>(2^(I3/5)-1)/(2-1)*1/2*K3</f>
        <v>7.4349177498517554E-3</v>
      </c>
      <c r="K3" s="5">
        <v>0.1</v>
      </c>
      <c r="N3" s="11" t="str">
        <f>[1]节奏总纲!N3</f>
        <v>对应玩家等级</v>
      </c>
      <c r="O3" s="2" t="s">
        <v>43</v>
      </c>
      <c r="P3" s="2" t="s">
        <v>0</v>
      </c>
      <c r="Q3" s="2" t="s">
        <v>3</v>
      </c>
      <c r="R3" s="2" t="s">
        <v>1</v>
      </c>
      <c r="S3" s="2" t="s">
        <v>4</v>
      </c>
      <c r="T3" s="2" t="s">
        <v>2</v>
      </c>
      <c r="V3" s="2" t="s">
        <v>43</v>
      </c>
      <c r="W3" s="2" t="s">
        <v>0</v>
      </c>
      <c r="X3" s="2" t="s">
        <v>3</v>
      </c>
      <c r="Y3" s="2" t="s">
        <v>1</v>
      </c>
      <c r="Z3" s="2" t="s">
        <v>4</v>
      </c>
      <c r="AA3" s="2" t="s">
        <v>2</v>
      </c>
      <c r="AC3" s="2" t="s">
        <v>11</v>
      </c>
      <c r="AD3" s="2" t="s">
        <v>0</v>
      </c>
      <c r="AE3" s="2" t="s">
        <v>3</v>
      </c>
      <c r="AF3" s="2" t="s">
        <v>1</v>
      </c>
      <c r="AG3" s="2" t="s">
        <v>4</v>
      </c>
      <c r="AH3" s="2" t="s">
        <v>2</v>
      </c>
      <c r="AL3" s="2" t="s">
        <v>6</v>
      </c>
      <c r="AM3" s="2" t="s">
        <v>0</v>
      </c>
      <c r="AN3" s="2" t="s">
        <v>3</v>
      </c>
      <c r="AO3" s="2" t="s">
        <v>1</v>
      </c>
      <c r="AP3" s="2" t="s">
        <v>4</v>
      </c>
      <c r="AQ3" s="2" t="s">
        <v>2</v>
      </c>
      <c r="AS3" s="2" t="s">
        <v>6</v>
      </c>
      <c r="AT3" s="2" t="s">
        <v>0</v>
      </c>
      <c r="AU3" s="2" t="s">
        <v>3</v>
      </c>
      <c r="AV3" s="2" t="s">
        <v>1</v>
      </c>
      <c r="AW3" s="2" t="s">
        <v>4</v>
      </c>
      <c r="AX3" s="2" t="s">
        <v>2</v>
      </c>
      <c r="AZ3" s="2" t="s">
        <v>11</v>
      </c>
      <c r="BA3" s="2" t="s">
        <v>0</v>
      </c>
      <c r="BB3" s="2" t="s">
        <v>3</v>
      </c>
      <c r="BC3" s="2" t="s">
        <v>1</v>
      </c>
      <c r="BD3" s="2" t="s">
        <v>4</v>
      </c>
      <c r="BE3" s="2" t="s">
        <v>2</v>
      </c>
    </row>
    <row r="4" spans="2:57" x14ac:dyDescent="0.15">
      <c r="F4" s="2">
        <v>2</v>
      </c>
      <c r="G4" s="2">
        <f t="shared" ref="G4:G67" si="0">(2^(F4/10)-1)/(2-1)</f>
        <v>0.1486983549970351</v>
      </c>
      <c r="I4" s="2">
        <v>2</v>
      </c>
      <c r="J4" s="2">
        <f t="shared" ref="J4:J52" si="1">(2^(I4/5)-1)/(2-1)*1/2*K4</f>
        <v>2.3963093307967063E-2</v>
      </c>
      <c r="K4" s="5">
        <v>0.15</v>
      </c>
      <c r="N4" s="11">
        <f>[1]节奏总纲!N4</f>
        <v>2</v>
      </c>
      <c r="O4" s="2">
        <v>1</v>
      </c>
      <c r="P4" s="2">
        <f>[1]节奏总纲!P4</f>
        <v>7.1773462536293131E-2</v>
      </c>
      <c r="Q4" s="7">
        <f>[1]节奏总纲!Q4</f>
        <v>5.9787294292732177E-2</v>
      </c>
      <c r="R4" s="7">
        <f>[1]节奏总纲!R4</f>
        <v>4.677476553490223E-2</v>
      </c>
      <c r="S4" s="7">
        <f>[1]节奏总纲!S4</f>
        <v>3.2585151991477081E-2</v>
      </c>
      <c r="T4" s="7">
        <f>[1]节奏总纲!T4</f>
        <v>1.7039020006115988E-2</v>
      </c>
      <c r="V4" s="2">
        <v>1</v>
      </c>
      <c r="W4" s="7">
        <f>[1]节奏总纲!W4</f>
        <v>7.1773462536293131E-2</v>
      </c>
      <c r="X4" s="7">
        <f>[1]节奏总纲!X4</f>
        <v>5.9787294292732177E-2</v>
      </c>
      <c r="Y4" s="7">
        <f>[1]节奏总纲!Y4</f>
        <v>4.677476553490223E-2</v>
      </c>
      <c r="Z4" s="7">
        <f>[1]节奏总纲!Z4</f>
        <v>3.2585151991477081E-2</v>
      </c>
      <c r="AA4" s="7">
        <f>[1]节奏总纲!AA4</f>
        <v>1.7039020006115988E-2</v>
      </c>
      <c r="AC4" s="2">
        <v>1</v>
      </c>
      <c r="AD4" s="7">
        <f>[1]节奏总纲!AD4</f>
        <v>10</v>
      </c>
      <c r="AE4" s="7">
        <f>[1]节奏总纲!AE4</f>
        <v>11.148446722089302</v>
      </c>
      <c r="AF4" s="7">
        <f>[1]节奏总纲!AF4</f>
        <v>12.761737853656415</v>
      </c>
      <c r="AG4" s="7">
        <f>[1]节奏总纲!AG4</f>
        <v>15.452231935206081</v>
      </c>
      <c r="AH4" s="7">
        <f>[1]节奏总纲!AH4</f>
        <v>21.291911942729964</v>
      </c>
      <c r="AL4" s="2">
        <v>1</v>
      </c>
      <c r="AM4" s="2">
        <f>[1]节奏总纲!AM4</f>
        <v>7.4349177498517554E-3</v>
      </c>
      <c r="AN4" s="6">
        <f>[1]节奏总纲!AN4</f>
        <v>5.947934199881405E-3</v>
      </c>
      <c r="AO4" s="6">
        <f>[1]节奏总纲!AO4</f>
        <v>4.4609506499110529E-3</v>
      </c>
      <c r="AP4" s="6">
        <f>[1]节奏总纲!AP4</f>
        <v>2.9739670999407025E-3</v>
      </c>
      <c r="AQ4" s="6">
        <f>[1]节奏总纲!AQ4</f>
        <v>1.4869835499703513E-3</v>
      </c>
      <c r="AS4" s="2">
        <v>1</v>
      </c>
      <c r="AT4" s="7">
        <f>[1]节奏总纲!AT4</f>
        <v>7.4349177498517554E-3</v>
      </c>
      <c r="AU4" s="7">
        <f>[1]节奏总纲!AU4</f>
        <v>5.947934199881405E-3</v>
      </c>
      <c r="AV4" s="7">
        <f>[1]节奏总纲!AV4</f>
        <v>4.4609506499110529E-3</v>
      </c>
      <c r="AW4" s="7">
        <f>[1]节奏总纲!AW4</f>
        <v>2.9739670999407025E-3</v>
      </c>
      <c r="AX4" s="7">
        <f>[1]节奏总纲!AX4</f>
        <v>1.4869835499703513E-3</v>
      </c>
      <c r="AY4" s="2"/>
      <c r="AZ4" s="2">
        <v>1</v>
      </c>
      <c r="BA4" s="7">
        <f>[1]节奏总纲!BA4</f>
        <v>11.296493250964016</v>
      </c>
      <c r="BB4" s="7">
        <f>[1]节奏总纲!BB4</f>
        <v>12.361596792946616</v>
      </c>
      <c r="BC4" s="7">
        <f>[1]节奏总纲!BC4</f>
        <v>13.798091195443488</v>
      </c>
      <c r="BD4" s="7">
        <f>[1]节奏总纲!BD4</f>
        <v>15.911635365458322</v>
      </c>
      <c r="BE4" s="7">
        <f>[1]节奏总纲!BE4</f>
        <v>19.707330185578734</v>
      </c>
    </row>
    <row r="5" spans="2:57" x14ac:dyDescent="0.15">
      <c r="F5" s="2">
        <v>3</v>
      </c>
      <c r="G5" s="2">
        <f t="shared" si="0"/>
        <v>0.23114441334491631</v>
      </c>
      <c r="I5" s="2">
        <v>3</v>
      </c>
      <c r="J5" s="2">
        <f t="shared" si="1"/>
        <v>5.1571656651039799E-2</v>
      </c>
      <c r="K5" s="5">
        <v>0.2</v>
      </c>
      <c r="N5" s="11">
        <f>[1]节奏总纲!N5</f>
        <v>4</v>
      </c>
      <c r="O5" s="2">
        <v>2</v>
      </c>
      <c r="P5" s="6">
        <f>[1]节奏总纲!P5</f>
        <v>0.1486983549970351</v>
      </c>
      <c r="Q5" s="6">
        <f>[1]节奏总纲!Q5</f>
        <v>0.12505531655250651</v>
      </c>
      <c r="R5" s="6">
        <f>[1]节奏总纲!R5</f>
        <v>9.883979656652922E-2</v>
      </c>
      <c r="S5" s="6">
        <f>[1]节奏总纲!S5</f>
        <v>6.9828747506607683E-2</v>
      </c>
      <c r="T5" s="6">
        <f>[1]节奏总纲!T5</f>
        <v>3.7085369736260552E-2</v>
      </c>
      <c r="V5" s="2">
        <v>2</v>
      </c>
      <c r="W5" s="7">
        <f>[1]节奏总纲!W5</f>
        <v>7.6924892460741967E-2</v>
      </c>
      <c r="X5" s="7">
        <f>[1]节奏总纲!X5</f>
        <v>6.5268022259774336E-2</v>
      </c>
      <c r="Y5" s="7">
        <f>[1]节奏总纲!Y5</f>
        <v>5.206503103162699E-2</v>
      </c>
      <c r="Z5" s="7">
        <f>[1]节奏总纲!Z5</f>
        <v>3.7243595515130602E-2</v>
      </c>
      <c r="AA5" s="7">
        <f>[1]节奏总纲!AA5</f>
        <v>2.0046349730144564E-2</v>
      </c>
      <c r="AC5" s="2">
        <v>2</v>
      </c>
      <c r="AD5" s="7">
        <f>[1]节奏总纲!AD5</f>
        <v>15.845161563010114</v>
      </c>
      <c r="AE5" s="7">
        <f>[1]节奏总纲!AE5</f>
        <v>17.271997130667014</v>
      </c>
      <c r="AF5" s="7">
        <f>[1]节奏总纲!AF5</f>
        <v>19.263096801323076</v>
      </c>
      <c r="AG5" s="7">
        <f>[1]节奏总纲!AG5</f>
        <v>22.536681597650272</v>
      </c>
      <c r="AH5" s="7">
        <f>[1]节奏总纲!AH5</f>
        <v>29.386000042029625</v>
      </c>
      <c r="AL5" s="2">
        <v>2</v>
      </c>
      <c r="AM5" s="6">
        <f>[1]节奏总纲!AM5</f>
        <v>2.3963093307967063E-2</v>
      </c>
      <c r="AN5" s="6">
        <f>[1]节奏总纲!AN5</f>
        <v>1.9170474646373652E-2</v>
      </c>
      <c r="AO5" s="6">
        <f>[1]节奏总纲!AO5</f>
        <v>1.4377855984780237E-2</v>
      </c>
      <c r="AP5" s="6">
        <f>[1]节奏总纲!AP5</f>
        <v>9.5852373231868262E-3</v>
      </c>
      <c r="AQ5" s="6">
        <f>[1]节奏总纲!AQ5</f>
        <v>4.7926186615934131E-3</v>
      </c>
      <c r="AS5" s="2">
        <v>2</v>
      </c>
      <c r="AT5" s="7">
        <f>[1]节奏总纲!AT5</f>
        <v>1.6528175558115307E-2</v>
      </c>
      <c r="AU5" s="7">
        <f>[1]节奏总纲!AU5</f>
        <v>1.3222540446492247E-2</v>
      </c>
      <c r="AV5" s="7">
        <f>[1]节奏总纲!AV5</f>
        <v>9.9169053348691846E-3</v>
      </c>
      <c r="AW5" s="7">
        <f>[1]节奏总纲!AW5</f>
        <v>6.6112702232461237E-3</v>
      </c>
      <c r="AX5" s="7">
        <f>[1]节奏总纲!AX5</f>
        <v>3.3056351116230618E-3</v>
      </c>
      <c r="AY5" s="2"/>
      <c r="AZ5" s="2">
        <v>2</v>
      </c>
      <c r="BA5" s="7">
        <f>[1]节奏总纲!BA5</f>
        <v>14.729965238833779</v>
      </c>
      <c r="BB5" s="7">
        <f>[1]节奏总纲!BB5</f>
        <v>15.911635365458322</v>
      </c>
      <c r="BC5" s="7">
        <f>[1]节奏总纲!BC5</f>
        <v>17.448850811924295</v>
      </c>
      <c r="BD5" s="7">
        <f>[1]节奏总纲!BD5</f>
        <v>19.707330185578734</v>
      </c>
      <c r="BE5" s="7">
        <f>[1]节奏总纲!BE5</f>
        <v>23.710496742673982</v>
      </c>
    </row>
    <row r="6" spans="2:57" x14ac:dyDescent="0.15">
      <c r="B6" s="16" t="s">
        <v>47</v>
      </c>
      <c r="C6" s="16"/>
      <c r="D6" s="16"/>
      <c r="F6" s="2">
        <v>4</v>
      </c>
      <c r="G6" s="2">
        <f t="shared" si="0"/>
        <v>0.3195079107728942</v>
      </c>
      <c r="I6" s="2">
        <v>4</v>
      </c>
      <c r="J6" s="2">
        <f t="shared" si="1"/>
        <v>9.2637640824031031E-2</v>
      </c>
      <c r="K6" s="5">
        <v>0.25</v>
      </c>
      <c r="N6" s="11">
        <f>[1]节奏总纲!N6</f>
        <v>6</v>
      </c>
      <c r="O6" s="2">
        <v>3</v>
      </c>
      <c r="P6" s="6">
        <f>[1]节奏总纲!P6</f>
        <v>0.23114441334491631</v>
      </c>
      <c r="Q6" s="6">
        <f>[1]节奏总纲!Q6</f>
        <v>0.19582554698581309</v>
      </c>
      <c r="R6" s="6">
        <f>[1]节奏总纲!R6</f>
        <v>0.15616116565582547</v>
      </c>
      <c r="S6" s="6">
        <f>[1]节奏总纲!S6</f>
        <v>0.11120357726023924</v>
      </c>
      <c r="T6" s="6">
        <f>[1]节奏总纲!T6</f>
        <v>5.9380999788309005E-2</v>
      </c>
      <c r="V6" s="2">
        <v>3</v>
      </c>
      <c r="W6" s="7">
        <f>[1]节奏总纲!W6</f>
        <v>8.2446058347881213E-2</v>
      </c>
      <c r="X6" s="7">
        <f>[1]节奏总纲!X6</f>
        <v>7.0770230433306575E-2</v>
      </c>
      <c r="Y6" s="7">
        <f>[1]节奏总纲!Y6</f>
        <v>5.7321369089296248E-2</v>
      </c>
      <c r="Z6" s="7">
        <f>[1]节奏总纲!Z6</f>
        <v>4.1374829753631562E-2</v>
      </c>
      <c r="AA6" s="7">
        <f>[1]节奏总纲!AA6</f>
        <v>2.2295630052048453E-2</v>
      </c>
      <c r="AC6" s="2">
        <v>3</v>
      </c>
      <c r="AD6" s="7">
        <f>[1]节奏总纲!AD6</f>
        <v>20</v>
      </c>
      <c r="AE6" s="7">
        <f>[1]节奏总纲!AE6</f>
        <v>21.543844702365945</v>
      </c>
      <c r="AF6" s="7">
        <f>[1]节奏总纲!AF6</f>
        <v>23.734615677065324</v>
      </c>
      <c r="AG6" s="7">
        <f>[1]节奏总纲!AG6</f>
        <v>27.324610510337703</v>
      </c>
      <c r="AH6" s="7">
        <f>[1]节奏总纲!AH6</f>
        <v>34.517938607173015</v>
      </c>
      <c r="AL6" s="2">
        <v>3</v>
      </c>
      <c r="AM6" s="6">
        <f>[1]节奏总纲!AM6</f>
        <v>5.1571656651039799E-2</v>
      </c>
      <c r="AN6" s="6">
        <f>[1]节奏总纲!AN6</f>
        <v>4.1257325320831845E-2</v>
      </c>
      <c r="AO6" s="6">
        <f>[1]节奏总纲!AO6</f>
        <v>3.0942993990623877E-2</v>
      </c>
      <c r="AP6" s="6">
        <f>[1]节奏总纲!AP6</f>
        <v>2.0628662660415922E-2</v>
      </c>
      <c r="AQ6" s="6">
        <f>[1]节奏总纲!AQ6</f>
        <v>1.0314331330207961E-2</v>
      </c>
      <c r="AS6" s="2">
        <v>3</v>
      </c>
      <c r="AT6" s="7">
        <f>[1]节奏总纲!AT6</f>
        <v>2.7608563343072736E-2</v>
      </c>
      <c r="AU6" s="7">
        <f>[1]节奏总纲!AU6</f>
        <v>2.2086850674458192E-2</v>
      </c>
      <c r="AV6" s="7">
        <f>[1]节奏总纲!AV6</f>
        <v>1.6565138005843638E-2</v>
      </c>
      <c r="AW6" s="7">
        <f>[1]节奏总纲!AW6</f>
        <v>1.1043425337229096E-2</v>
      </c>
      <c r="AX6" s="7">
        <f>[1]节奏总纲!AX6</f>
        <v>5.5217126686145481E-3</v>
      </c>
      <c r="AY6" s="2"/>
      <c r="AZ6" s="2">
        <v>3</v>
      </c>
      <c r="BA6" s="7">
        <f>[1]节奏总纲!BA6</f>
        <v>16.888397947066121</v>
      </c>
      <c r="BB6" s="7">
        <f>[1]节奏总纲!BB6</f>
        <v>18.108391417375849</v>
      </c>
      <c r="BC6" s="7">
        <f>[1]节奏总纲!BC6</f>
        <v>19.707330185578734</v>
      </c>
      <c r="BD6" s="7">
        <f>[1]节奏总纲!BD6</f>
        <v>22.041972908628715</v>
      </c>
      <c r="BE6" s="7">
        <f>[1]节奏总纲!BE6</f>
        <v>26.127796402772656</v>
      </c>
    </row>
    <row r="7" spans="2:57" x14ac:dyDescent="0.15">
      <c r="B7" s="2" t="s">
        <v>43</v>
      </c>
      <c r="C7" s="2" t="s">
        <v>12</v>
      </c>
      <c r="D7" s="2" t="s">
        <v>13</v>
      </c>
      <c r="F7" s="2">
        <v>5</v>
      </c>
      <c r="G7" s="2">
        <f t="shared" si="0"/>
        <v>0.41421356237309515</v>
      </c>
      <c r="I7" s="2">
        <v>5</v>
      </c>
      <c r="J7" s="2">
        <f t="shared" si="1"/>
        <v>0.15</v>
      </c>
      <c r="K7" s="5">
        <v>0.3</v>
      </c>
      <c r="N7" s="11">
        <f>[1]节奏总纲!N7</f>
        <v>8</v>
      </c>
      <c r="O7" s="2">
        <v>4</v>
      </c>
      <c r="P7" s="6">
        <f>[1]节奏总纲!P7</f>
        <v>0.3195079107728942</v>
      </c>
      <c r="Q7" s="6">
        <f>[1]节奏总纲!Q7</f>
        <v>0.2719651336498875</v>
      </c>
      <c r="R7" s="6">
        <f>[1]节奏总纲!R7</f>
        <v>0.21816000147573214</v>
      </c>
      <c r="S7" s="6">
        <f>[1]节奏总纲!S7</f>
        <v>0.15607961441255883</v>
      </c>
      <c r="T7" s="6">
        <f>[1]节奏总纲!T7</f>
        <v>8.4062531324348461E-2</v>
      </c>
      <c r="V7" s="2">
        <v>4</v>
      </c>
      <c r="W7" s="7">
        <f>[1]节奏总纲!W7</f>
        <v>8.8363497427977888E-2</v>
      </c>
      <c r="X7" s="7">
        <f>[1]节奏总纲!X7</f>
        <v>7.6139586664074416E-2</v>
      </c>
      <c r="Y7" s="7">
        <f>[1]节奏总纲!Y7</f>
        <v>6.1998835819906672E-2</v>
      </c>
      <c r="Z7" s="7">
        <f>[1]节奏总纲!Z7</f>
        <v>4.4876037152319581E-2</v>
      </c>
      <c r="AA7" s="7">
        <f>[1]节奏总纲!AA7</f>
        <v>2.4681531536039455E-2</v>
      </c>
      <c r="AC7" s="2">
        <v>4</v>
      </c>
      <c r="AD7" s="7">
        <f>[1]节奏总纲!AD7</f>
        <v>23.213386604241784</v>
      </c>
      <c r="AE7" s="7">
        <f>[1]节奏总纲!AE7</f>
        <v>24.836966034810484</v>
      </c>
      <c r="AF7" s="7">
        <f>[1]节奏总纲!AF7</f>
        <v>27.155717181399513</v>
      </c>
      <c r="AG7" s="7">
        <f>[1]节奏总纲!AG7</f>
        <v>30.831257561377125</v>
      </c>
      <c r="AH7" s="7">
        <f>[1]节奏总纲!AH7</f>
        <v>38.431365705145346</v>
      </c>
      <c r="AL7" s="2">
        <v>4</v>
      </c>
      <c r="AM7" s="6">
        <f>[1]节奏总纲!AM7</f>
        <v>9.2637640824031031E-2</v>
      </c>
      <c r="AN7" s="6">
        <f>[1]节奏总纲!AN7</f>
        <v>7.4110112659224833E-2</v>
      </c>
      <c r="AO7" s="6">
        <f>[1]节奏总纲!AO7</f>
        <v>5.5582584494418615E-2</v>
      </c>
      <c r="AP7" s="6">
        <f>[1]节奏总纲!AP7</f>
        <v>3.7055056329612417E-2</v>
      </c>
      <c r="AQ7" s="6">
        <f>[1]节奏总纲!AQ7</f>
        <v>1.8527528164806208E-2</v>
      </c>
      <c r="AS7" s="2">
        <v>4</v>
      </c>
      <c r="AT7" s="7">
        <f>[1]节奏总纲!AT7</f>
        <v>4.1065984172991232E-2</v>
      </c>
      <c r="AU7" s="7">
        <f>[1]节奏总纲!AU7</f>
        <v>3.2852787338392989E-2</v>
      </c>
      <c r="AV7" s="7">
        <f>[1]节奏总纲!AV7</f>
        <v>2.4639590503794738E-2</v>
      </c>
      <c r="AW7" s="7">
        <f>[1]节奏总纲!AW7</f>
        <v>1.6426393669196494E-2</v>
      </c>
      <c r="AX7" s="7">
        <f>[1]节奏总纲!AX7</f>
        <v>8.2131968345982471E-3</v>
      </c>
      <c r="AY7" s="2"/>
      <c r="AZ7" s="2">
        <v>4</v>
      </c>
      <c r="BA7" s="7">
        <f>[1]节奏总纲!BA7</f>
        <v>18.453550676044042</v>
      </c>
      <c r="BB7" s="7">
        <f>[1]节奏总纲!BB7</f>
        <v>19.707330185578734</v>
      </c>
      <c r="BC7" s="7">
        <f>[1]节奏总纲!BC7</f>
        <v>21.34613466141565</v>
      </c>
      <c r="BD7" s="7">
        <f>[1]节奏总纲!BD7</f>
        <v>23.710496742673982</v>
      </c>
      <c r="BE7" s="7">
        <f>[1]节奏总纲!BE7</f>
        <v>27.863030247590562</v>
      </c>
    </row>
    <row r="8" spans="2:57" x14ac:dyDescent="0.15">
      <c r="B8" s="2">
        <v>10</v>
      </c>
      <c r="C8" s="2">
        <f>D8</f>
        <v>1</v>
      </c>
      <c r="D8" s="2">
        <f t="shared" ref="D8:D17" si="2">2^(B8/10-1)</f>
        <v>1</v>
      </c>
      <c r="F8" s="2">
        <v>6</v>
      </c>
      <c r="G8" s="2">
        <f t="shared" si="0"/>
        <v>0.51571656651039799</v>
      </c>
      <c r="I8" s="2">
        <v>6</v>
      </c>
      <c r="J8" s="2">
        <f t="shared" si="1"/>
        <v>0.22055744069899194</v>
      </c>
      <c r="K8" s="5">
        <v>0.34</v>
      </c>
      <c r="N8" s="11">
        <f>[1]节奏总纲!N8</f>
        <v>10</v>
      </c>
      <c r="O8" s="2">
        <v>5</v>
      </c>
      <c r="P8" s="6">
        <f>[1]节奏总纲!P8</f>
        <v>0.41421356237309515</v>
      </c>
      <c r="Q8" s="6">
        <f>[1]节奏总纲!Q8</f>
        <v>0.35241289886702937</v>
      </c>
      <c r="R8" s="6">
        <f>[1]节奏总纲!R8</f>
        <v>0.28315639123824782</v>
      </c>
      <c r="S8" s="6">
        <f>[1]节奏总纲!S8</f>
        <v>0.20296464556281663</v>
      </c>
      <c r="T8" s="6">
        <f>[1]节奏总纲!T8</f>
        <v>0.10951806589144637</v>
      </c>
      <c r="V8" s="2">
        <v>5</v>
      </c>
      <c r="W8" s="7">
        <f>[1]节奏总纲!W8</f>
        <v>9.4705651600200946E-2</v>
      </c>
      <c r="X8" s="7">
        <f>[1]节奏总纲!X8</f>
        <v>8.0447765217141864E-2</v>
      </c>
      <c r="Y8" s="7">
        <f>[1]节奏总纲!Y8</f>
        <v>6.4996389762515677E-2</v>
      </c>
      <c r="Z8" s="7">
        <f>[1]节奏总纲!Z8</f>
        <v>4.68850311502578E-2</v>
      </c>
      <c r="AA8" s="7">
        <f>[1]节奏总纲!AA8</f>
        <v>2.5455534567097912E-2</v>
      </c>
      <c r="AC8" s="2">
        <v>5</v>
      </c>
      <c r="AD8" s="7">
        <f>[1]节奏总纲!AD8</f>
        <v>25.845161563010112</v>
      </c>
      <c r="AE8" s="7">
        <f>[1]节奏总纲!AE8</f>
        <v>27.525245270311611</v>
      </c>
      <c r="AF8" s="7">
        <f>[1]节奏总纲!AF8</f>
        <v>29.892344464157688</v>
      </c>
      <c r="AG8" s="7">
        <f>[1]节奏总纲!AG8</f>
        <v>33.672145166817529</v>
      </c>
      <c r="AH8" s="7">
        <f>[1]节奏总纲!AH8</f>
        <v>41.359260538726978</v>
      </c>
      <c r="AL8" s="2">
        <v>5</v>
      </c>
      <c r="AM8" s="6">
        <f>[1]节奏总纲!AM8</f>
        <v>0.15</v>
      </c>
      <c r="AN8" s="6">
        <f>[1]节奏总纲!AN8</f>
        <v>0.12</v>
      </c>
      <c r="AO8" s="6">
        <f>[1]节奏总纲!AO8</f>
        <v>0.09</v>
      </c>
      <c r="AP8" s="6">
        <f>[1]节奏总纲!AP8</f>
        <v>0.06</v>
      </c>
      <c r="AQ8" s="6">
        <f>[1]节奏总纲!AQ8</f>
        <v>0.03</v>
      </c>
      <c r="AS8" s="2">
        <v>5</v>
      </c>
      <c r="AT8" s="7">
        <f>[1]节奏总纲!AT8</f>
        <v>5.7362359175968963E-2</v>
      </c>
      <c r="AU8" s="7">
        <f>[1]节奏总纲!AU8</f>
        <v>4.5889887340775162E-2</v>
      </c>
      <c r="AV8" s="7">
        <f>[1]节奏总纲!AV8</f>
        <v>3.4417415505581382E-2</v>
      </c>
      <c r="AW8" s="7">
        <f>[1]节奏总纲!AW8</f>
        <v>2.2944943670387581E-2</v>
      </c>
      <c r="AX8" s="7">
        <f>[1]节奏总纲!AX8</f>
        <v>1.1472471835193791E-2</v>
      </c>
      <c r="AY8" s="2"/>
      <c r="AZ8" s="2">
        <v>5</v>
      </c>
      <c r="BA8" s="7">
        <f>[1]节奏总纲!BA8</f>
        <v>19.707330185578734</v>
      </c>
      <c r="BB8" s="7">
        <f>[1]节奏总纲!BB8</f>
        <v>20.993539484876777</v>
      </c>
      <c r="BC8" s="7">
        <f>[1]节奏总纲!BC8</f>
        <v>22.639743033177162</v>
      </c>
      <c r="BD8" s="7">
        <f>[1]节奏总纲!BD8</f>
        <v>25.044229735272328</v>
      </c>
      <c r="BE8" s="7">
        <f>[1]节奏总纲!BE8</f>
        <v>29.216428548527322</v>
      </c>
    </row>
    <row r="9" spans="2:57" x14ac:dyDescent="0.15">
      <c r="B9" s="2">
        <v>20</v>
      </c>
      <c r="C9" s="2">
        <f t="shared" ref="C9:C17" si="3">C8+D9</f>
        <v>3</v>
      </c>
      <c r="D9" s="2">
        <f t="shared" si="2"/>
        <v>2</v>
      </c>
      <c r="F9" s="2">
        <v>7</v>
      </c>
      <c r="G9" s="2">
        <f t="shared" si="0"/>
        <v>0.62450479271247095</v>
      </c>
      <c r="I9" s="2">
        <v>7</v>
      </c>
      <c r="J9" s="2">
        <f t="shared" si="1"/>
        <v>0.31141300609369982</v>
      </c>
      <c r="K9" s="5">
        <v>0.38</v>
      </c>
      <c r="N9" s="11">
        <f>[1]节奏总纲!N9</f>
        <v>12</v>
      </c>
      <c r="O9" s="2">
        <v>6</v>
      </c>
      <c r="P9" s="6">
        <f>[1]节奏总纲!P9</f>
        <v>0.51571656651039799</v>
      </c>
      <c r="Q9" s="6">
        <f>[1]节奏总纲!Q9</f>
        <v>0.43939051466685908</v>
      </c>
      <c r="R9" s="6">
        <f>[1]节奏总纲!R9</f>
        <v>0.35336899137292471</v>
      </c>
      <c r="S9" s="6">
        <f>[1]节奏总纲!S9</f>
        <v>0.25440298225957936</v>
      </c>
      <c r="T9" s="6">
        <f>[1]节奏总纲!T9</f>
        <v>0.13836675479473978</v>
      </c>
      <c r="V9" s="2">
        <v>6</v>
      </c>
      <c r="W9" s="7">
        <f>[1]节奏总纲!W9</f>
        <v>0.10150300413730284</v>
      </c>
      <c r="X9" s="7">
        <f>[1]节奏总纲!X9</f>
        <v>8.6977615799829711E-2</v>
      </c>
      <c r="Y9" s="7">
        <f>[1]节奏总纲!Y9</f>
        <v>7.0212600134676895E-2</v>
      </c>
      <c r="Z9" s="7">
        <f>[1]节奏总纲!Z9</f>
        <v>5.1438336696762732E-2</v>
      </c>
      <c r="AA9" s="7">
        <f>[1]节奏总纲!AA9</f>
        <v>2.884868890329341E-2</v>
      </c>
      <c r="AC9" s="2">
        <v>6</v>
      </c>
      <c r="AD9" s="7">
        <f>[1]节奏总纲!AD9</f>
        <v>28.071211008105138</v>
      </c>
      <c r="AE9" s="7">
        <f>[1]节奏总纲!AE9</f>
        <v>29.78183527117605</v>
      </c>
      <c r="AF9" s="7">
        <f>[1]节奏总纲!AF9</f>
        <v>32.202183458664891</v>
      </c>
      <c r="AG9" s="7">
        <f>[1]节奏总纲!AG9</f>
        <v>36.067019846099676</v>
      </c>
      <c r="AH9" s="7">
        <f>[1]节奏总纲!AH9</f>
        <v>43.870275262019007</v>
      </c>
      <c r="AL9" s="2">
        <v>6</v>
      </c>
      <c r="AM9" s="6">
        <f>[1]节奏总纲!AM9</f>
        <v>0.22055744069899194</v>
      </c>
      <c r="AN9" s="6">
        <f>[1]节奏总纲!AN9</f>
        <v>0.17644595255919357</v>
      </c>
      <c r="AO9" s="6">
        <f>[1]节奏总纲!AO9</f>
        <v>0.13233446441939517</v>
      </c>
      <c r="AP9" s="6">
        <f>[1]节奏总纲!AP9</f>
        <v>8.8222976279596785E-2</v>
      </c>
      <c r="AQ9" s="6">
        <f>[1]节奏总纲!AQ9</f>
        <v>4.4111488139798392E-2</v>
      </c>
      <c r="AS9" s="2">
        <v>6</v>
      </c>
      <c r="AT9" s="7">
        <f>[1]节奏总纲!AT9</f>
        <v>7.0557440698991947E-2</v>
      </c>
      <c r="AU9" s="7">
        <f>[1]节奏总纲!AU9</f>
        <v>5.6445952559193574E-2</v>
      </c>
      <c r="AV9" s="7">
        <f>[1]节奏总纲!AV9</f>
        <v>4.2334464419395174E-2</v>
      </c>
      <c r="AW9" s="7">
        <f>[1]节奏总纲!AW9</f>
        <v>2.8222976279596787E-2</v>
      </c>
      <c r="AX9" s="7">
        <f>[1]节奏总纲!AX9</f>
        <v>1.4111488139798394E-2</v>
      </c>
      <c r="AY9" s="2"/>
      <c r="AZ9" s="2">
        <v>6</v>
      </c>
      <c r="BA9" s="7">
        <f>[1]节奏总纲!BA9</f>
        <v>20.745154613657583</v>
      </c>
      <c r="BB9" s="7">
        <f>[1]节奏总纲!BB9</f>
        <v>22.041972908628715</v>
      </c>
      <c r="BC9" s="7">
        <f>[1]节奏总纲!BC9</f>
        <v>23.710496742673982</v>
      </c>
      <c r="BD9" s="7">
        <f>[1]节奏总纲!BD9</f>
        <v>26.127796402772656</v>
      </c>
      <c r="BE9" s="7">
        <f>[1]节奏总纲!BE9</f>
        <v>30.329493925593439</v>
      </c>
    </row>
    <row r="10" spans="2:57" x14ac:dyDescent="0.15">
      <c r="B10" s="2">
        <v>30</v>
      </c>
      <c r="C10" s="2">
        <f t="shared" si="3"/>
        <v>7</v>
      </c>
      <c r="D10" s="2">
        <f t="shared" si="2"/>
        <v>4</v>
      </c>
      <c r="F10" s="2">
        <v>8</v>
      </c>
      <c r="G10" s="2">
        <f t="shared" si="0"/>
        <v>0.74110112659224825</v>
      </c>
      <c r="I10" s="2">
        <v>8</v>
      </c>
      <c r="J10" s="2">
        <f t="shared" si="1"/>
        <v>0.42660095793436714</v>
      </c>
      <c r="K10" s="5">
        <v>0.42</v>
      </c>
      <c r="N10" s="11">
        <f>[1]节奏总纲!N10</f>
        <v>14</v>
      </c>
      <c r="O10" s="2">
        <v>7</v>
      </c>
      <c r="P10" s="6">
        <f>[1]节奏总纲!P10</f>
        <v>0.62450479271247095</v>
      </c>
      <c r="Q10" s="6">
        <f>[1]节奏总纲!Q10</f>
        <v>0.53413894920697635</v>
      </c>
      <c r="R10" s="6">
        <f>[1]节奏总纲!R10</f>
        <v>0.43072095553379119</v>
      </c>
      <c r="S10" s="6">
        <f>[1]节奏总纲!S10</f>
        <v>0.30950457526830061</v>
      </c>
      <c r="T10" s="6">
        <f>[1]节奏总纲!T10</f>
        <v>0.16699258157131475</v>
      </c>
      <c r="V10" s="2">
        <v>7</v>
      </c>
      <c r="W10" s="7">
        <f>[1]节奏总纲!W10</f>
        <v>0.10878822620207296</v>
      </c>
      <c r="X10" s="7">
        <f>[1]节奏总纲!X10</f>
        <v>9.4748434540117277E-2</v>
      </c>
      <c r="Y10" s="7">
        <f>[1]节奏总纲!Y10</f>
        <v>7.7351964160866482E-2</v>
      </c>
      <c r="Z10" s="7">
        <f>[1]节奏总纲!Z10</f>
        <v>5.510159300872125E-2</v>
      </c>
      <c r="AA10" s="7">
        <f>[1]节奏总纲!AA10</f>
        <v>2.8625826776574964E-2</v>
      </c>
      <c r="AC10" s="2">
        <v>7</v>
      </c>
      <c r="AD10" s="7">
        <f>[1]节奏总纲!AD10</f>
        <v>30</v>
      </c>
      <c r="AE10" s="7">
        <f>[1]节奏总纲!AE10</f>
        <v>31.718819483847451</v>
      </c>
      <c r="AF10" s="7">
        <f>[1]节奏总纲!AF10</f>
        <v>34.192155176139416</v>
      </c>
      <c r="AG10" s="7">
        <f>[1]节奏总纲!AG10</f>
        <v>38.19822972207853</v>
      </c>
      <c r="AH10" s="7">
        <f>[1]节奏总纲!AH10</f>
        <v>46.093186357957826</v>
      </c>
      <c r="AL10" s="2">
        <v>7</v>
      </c>
      <c r="AM10" s="6">
        <f>[1]节奏总纲!AM10</f>
        <v>0.31141300609369982</v>
      </c>
      <c r="AN10" s="6">
        <f>[1]节奏总纲!AN10</f>
        <v>0.24913040487495985</v>
      </c>
      <c r="AO10" s="6">
        <f>[1]节奏总纲!AO10</f>
        <v>0.18684780365621989</v>
      </c>
      <c r="AP10" s="6">
        <f>[1]节奏总纲!AP10</f>
        <v>0.12456520243747993</v>
      </c>
      <c r="AQ10" s="6">
        <f>[1]节奏总纲!AQ10</f>
        <v>6.2282601218739964E-2</v>
      </c>
      <c r="AS10" s="2">
        <v>7</v>
      </c>
      <c r="AT10" s="7">
        <f>[1]节奏总纲!AT10</f>
        <v>9.0855565394707877E-2</v>
      </c>
      <c r="AU10" s="7">
        <f>[1]节奏总纲!AU10</f>
        <v>7.2684452315766285E-2</v>
      </c>
      <c r="AV10" s="7">
        <f>[1]节奏总纲!AV10</f>
        <v>5.451333923682472E-2</v>
      </c>
      <c r="AW10" s="7">
        <f>[1]节奏总纲!AW10</f>
        <v>3.6342226157883142E-2</v>
      </c>
      <c r="AX10" s="7">
        <f>[1]节奏总纲!AX10</f>
        <v>1.8171113078941571E-2</v>
      </c>
      <c r="AY10" s="2"/>
      <c r="AZ10" s="2">
        <v>7</v>
      </c>
      <c r="BA10" s="7">
        <f>[1]节奏总纲!BA10</f>
        <v>21.627432338833255</v>
      </c>
      <c r="BB10" s="7">
        <f>[1]节奏总纲!BB10</f>
        <v>22.938628095451385</v>
      </c>
      <c r="BC10" s="7">
        <f>[1]节奏总纲!BC10</f>
        <v>24.619152272059132</v>
      </c>
      <c r="BD10" s="7">
        <f>[1]节奏总纲!BD10</f>
        <v>27.059707353051884</v>
      </c>
      <c r="BE10" s="7">
        <f>[1]节奏总纲!BE10</f>
        <v>31.280110398778046</v>
      </c>
    </row>
    <row r="11" spans="2:57" x14ac:dyDescent="0.15">
      <c r="B11" s="2">
        <v>40</v>
      </c>
      <c r="C11" s="2">
        <f t="shared" si="3"/>
        <v>15</v>
      </c>
      <c r="D11" s="2">
        <f t="shared" si="2"/>
        <v>8</v>
      </c>
      <c r="F11" s="2">
        <v>9</v>
      </c>
      <c r="G11" s="2">
        <f t="shared" si="0"/>
        <v>0.86606598307361482</v>
      </c>
      <c r="I11" s="2">
        <v>9</v>
      </c>
      <c r="J11" s="2">
        <f t="shared" si="1"/>
        <v>0.57090651823243421</v>
      </c>
      <c r="K11" s="5">
        <v>0.46</v>
      </c>
      <c r="N11" s="11">
        <f>[1]节奏总纲!N11</f>
        <v>16</v>
      </c>
      <c r="O11" s="2">
        <v>8</v>
      </c>
      <c r="P11" s="6">
        <f>[1]节奏总纲!P11</f>
        <v>0.74110112659224825</v>
      </c>
      <c r="Q11" s="6">
        <f>[1]节奏总纲!Q11</f>
        <v>0.63089938906798093</v>
      </c>
      <c r="R11" s="6">
        <f>[1]节奏总纲!R11</f>
        <v>0.50550507844857251</v>
      </c>
      <c r="S11" s="6">
        <f>[1]节奏总纲!S11</f>
        <v>0.36195379022765406</v>
      </c>
      <c r="T11" s="6">
        <f>[1]节奏总纲!T11</f>
        <v>0.19579891764567198</v>
      </c>
      <c r="V11" s="2">
        <v>8</v>
      </c>
      <c r="W11" s="7">
        <f>[1]节奏总纲!W11</f>
        <v>0.1165963338797773</v>
      </c>
      <c r="X11" s="7">
        <f>[1]节奏总纲!X11</f>
        <v>9.6760439861004577E-2</v>
      </c>
      <c r="Y11" s="7">
        <f>[1]节奏总纲!Y11</f>
        <v>7.4784122914781315E-2</v>
      </c>
      <c r="Z11" s="7">
        <f>[1]节奏总纲!Z11</f>
        <v>5.2449214959353452E-2</v>
      </c>
      <c r="AA11" s="7">
        <f>[1]节奏总纲!AA11</f>
        <v>2.8806336074357231E-2</v>
      </c>
      <c r="AC11" s="2">
        <v>8</v>
      </c>
      <c r="AD11" s="7">
        <f>[1]节奏总纲!AD11</f>
        <v>31.691928656135214</v>
      </c>
      <c r="AE11" s="7">
        <f>[1]节奏总纲!AE11</f>
        <v>33.465251056098396</v>
      </c>
      <c r="AF11" s="7">
        <f>[1]节奏总纲!AF11</f>
        <v>35.930751746472978</v>
      </c>
      <c r="AG11" s="7">
        <f>[1]节奏总纲!AG11</f>
        <v>39.998279638578282</v>
      </c>
      <c r="AH11" s="7">
        <f>[1]节奏总纲!AH11</f>
        <v>48.067140183443534</v>
      </c>
      <c r="AL11" s="2">
        <v>8</v>
      </c>
      <c r="AM11" s="6">
        <f>[1]节奏总纲!AM11</f>
        <v>0.42660095793436714</v>
      </c>
      <c r="AN11" s="6">
        <f>[1]节奏总纲!AN11</f>
        <v>0.34128076634749371</v>
      </c>
      <c r="AO11" s="6">
        <f>[1]节奏总纲!AO11</f>
        <v>0.25596057476062029</v>
      </c>
      <c r="AP11" s="6">
        <f>[1]节奏总纲!AP11</f>
        <v>0.17064038317374686</v>
      </c>
      <c r="AQ11" s="6">
        <f>[1]节奏总纲!AQ11</f>
        <v>8.5320191586873428E-2</v>
      </c>
      <c r="AS11" s="2">
        <v>8</v>
      </c>
      <c r="AT11" s="7">
        <f>[1]节奏总纲!AT11</f>
        <v>0.11518795184066732</v>
      </c>
      <c r="AU11" s="7">
        <f>[1]节奏总纲!AU11</f>
        <v>9.2150361472533859E-2</v>
      </c>
      <c r="AV11" s="7">
        <f>[1]节奏总纲!AV11</f>
        <v>6.9112771104400395E-2</v>
      </c>
      <c r="AW11" s="7">
        <f>[1]节奏总纲!AW11</f>
        <v>4.607518073626693E-2</v>
      </c>
      <c r="AX11" s="7">
        <f>[1]节奏总纲!AX11</f>
        <v>2.3037590368133465E-2</v>
      </c>
      <c r="AY11" s="2"/>
      <c r="AZ11" s="2">
        <v>8</v>
      </c>
      <c r="BA11" s="7">
        <f>[1]节奏总纲!BA11</f>
        <v>22.400634983357783</v>
      </c>
      <c r="BB11" s="7">
        <f>[1]节奏总纲!BB11</f>
        <v>23.710496742673982</v>
      </c>
      <c r="BC11" s="7">
        <f>[1]节奏总纲!BC11</f>
        <v>25.412810862541733</v>
      </c>
      <c r="BD11" s="7">
        <f>[1]节奏总纲!BD11</f>
        <v>27.863030247590562</v>
      </c>
      <c r="BE11" s="7">
        <f>[1]节奏总纲!BE11</f>
        <v>32.113552950216736</v>
      </c>
    </row>
    <row r="12" spans="2:57" x14ac:dyDescent="0.15">
      <c r="B12" s="2">
        <v>50</v>
      </c>
      <c r="C12" s="2">
        <f t="shared" si="3"/>
        <v>31</v>
      </c>
      <c r="D12" s="2">
        <f t="shared" si="2"/>
        <v>16</v>
      </c>
      <c r="F12" s="2">
        <v>10</v>
      </c>
      <c r="G12" s="2">
        <f t="shared" si="0"/>
        <v>1</v>
      </c>
      <c r="I12" s="2">
        <v>10</v>
      </c>
      <c r="J12" s="2">
        <f t="shared" si="1"/>
        <v>0.75</v>
      </c>
      <c r="K12" s="5">
        <v>0.5</v>
      </c>
      <c r="N12" s="11">
        <f>[1]节奏总纲!N12</f>
        <v>18</v>
      </c>
      <c r="O12" s="2">
        <v>9</v>
      </c>
      <c r="P12" s="6">
        <f>[1]节奏总纲!P12</f>
        <v>0.86606598307361482</v>
      </c>
      <c r="Q12" s="6">
        <f>[1]节奏总纲!Q12</f>
        <v>0.73702215159564621</v>
      </c>
      <c r="R12" s="6">
        <f>[1]节奏总纲!R12</f>
        <v>0.59282216541388932</v>
      </c>
      <c r="S12" s="6">
        <f>[1]节奏总纲!S12</f>
        <v>0.42766338244175101</v>
      </c>
      <c r="T12" s="6">
        <f>[1]节奏总纲!T12</f>
        <v>0.23193247026711403</v>
      </c>
      <c r="V12" s="2">
        <v>9</v>
      </c>
      <c r="W12" s="7">
        <f>[1]节奏总纲!W12</f>
        <v>0.12496485648136657</v>
      </c>
      <c r="X12" s="7">
        <f>[1]节奏总纲!X12</f>
        <v>0.10612276252766528</v>
      </c>
      <c r="Y12" s="7">
        <f>[1]节奏总纲!Y12</f>
        <v>8.7317086965316815E-2</v>
      </c>
      <c r="Z12" s="7">
        <f>[1]节奏总纲!Z12</f>
        <v>6.5709592214096946E-2</v>
      </c>
      <c r="AA12" s="7">
        <f>[1]节奏总纲!AA12</f>
        <v>3.613355262144205E-2</v>
      </c>
      <c r="AC12" s="2">
        <v>9</v>
      </c>
      <c r="AD12" s="7">
        <f>[1]节奏总纲!AD12</f>
        <v>33.213386604241784</v>
      </c>
      <c r="AE12" s="7">
        <f>[1]节奏总纲!AE12</f>
        <v>34.992730785174565</v>
      </c>
      <c r="AF12" s="7">
        <f>[1]节奏总纲!AF12</f>
        <v>37.510565846691456</v>
      </c>
      <c r="AG12" s="7">
        <f>[1]节奏总纲!AG12</f>
        <v>41.534743419557365</v>
      </c>
      <c r="AH12" s="7">
        <f>[1]节奏总纲!AH12</f>
        <v>49.706056771838036</v>
      </c>
      <c r="AL12" s="2">
        <v>9</v>
      </c>
      <c r="AM12" s="6">
        <f>[1]节奏总纲!AM12</f>
        <v>0.57090651823243421</v>
      </c>
      <c r="AN12" s="6">
        <f>[1]节奏总纲!AN12</f>
        <v>0.45672521458594739</v>
      </c>
      <c r="AO12" s="6">
        <f>[1]节奏总纲!AO12</f>
        <v>0.34254391093946052</v>
      </c>
      <c r="AP12" s="6">
        <f>[1]节奏总纲!AP12</f>
        <v>0.2283626072929737</v>
      </c>
      <c r="AQ12" s="6">
        <f>[1]节奏总纲!AQ12</f>
        <v>0.11418130364648685</v>
      </c>
      <c r="AS12" s="2">
        <v>9</v>
      </c>
      <c r="AT12" s="7">
        <f>[1]节奏总纲!AT12</f>
        <v>0.14430556029806707</v>
      </c>
      <c r="AU12" s="7">
        <f>[1]节奏总纲!AU12</f>
        <v>0.11544444823845368</v>
      </c>
      <c r="AV12" s="7">
        <f>[1]节奏总纲!AV12</f>
        <v>8.6583336178840231E-2</v>
      </c>
      <c r="AW12" s="7">
        <f>[1]节奏总纲!AW12</f>
        <v>5.7722224119226839E-2</v>
      </c>
      <c r="AX12" s="7">
        <f>[1]节奏总纲!AX12</f>
        <v>2.886111205961342E-2</v>
      </c>
      <c r="AY12" s="2"/>
      <c r="AZ12" s="2">
        <v>9</v>
      </c>
      <c r="BA12" s="7">
        <f>[1]节奏总纲!BA12</f>
        <v>23.100336713798686</v>
      </c>
      <c r="BB12" s="7">
        <f>[1]节奏总纲!BB12</f>
        <v>24.402761517547276</v>
      </c>
      <c r="BC12" s="7">
        <f>[1]节奏总纲!BC12</f>
        <v>26.127796402772656</v>
      </c>
      <c r="BD12" s="7">
        <f>[1]节奏总纲!BD12</f>
        <v>28.568390277483555</v>
      </c>
      <c r="BE12" s="7">
        <f>[1]节奏总纲!BE12</f>
        <v>32.842201900114915</v>
      </c>
    </row>
    <row r="13" spans="2:57" x14ac:dyDescent="0.15">
      <c r="B13" s="2">
        <v>60</v>
      </c>
      <c r="C13" s="2">
        <f t="shared" si="3"/>
        <v>63</v>
      </c>
      <c r="D13" s="2">
        <f t="shared" si="2"/>
        <v>32</v>
      </c>
      <c r="F13" s="2">
        <v>11</v>
      </c>
      <c r="G13" s="2">
        <f t="shared" si="0"/>
        <v>1.1435469250725863</v>
      </c>
      <c r="I13" s="2">
        <v>11</v>
      </c>
      <c r="J13" s="2">
        <f t="shared" si="1"/>
        <v>0.93464628919691628</v>
      </c>
      <c r="K13" s="5">
        <v>0.52</v>
      </c>
      <c r="N13" s="11">
        <f>[1]节奏总纲!N13</f>
        <v>20</v>
      </c>
      <c r="O13" s="2">
        <v>10</v>
      </c>
      <c r="P13" s="6">
        <f>[1]节奏总纲!P13</f>
        <v>1</v>
      </c>
      <c r="Q13" s="6">
        <f>[1]节奏总纲!Q13</f>
        <v>0.8548</v>
      </c>
      <c r="R13" s="6">
        <f>[1]节奏总纲!R13</f>
        <v>0.6895</v>
      </c>
      <c r="S13" s="6">
        <f>[1]节奏总纲!S13</f>
        <v>0.49980000000000002</v>
      </c>
      <c r="T13" s="6">
        <f>[1]节奏总纲!T13</f>
        <v>0.2732</v>
      </c>
      <c r="V13" s="2">
        <v>10</v>
      </c>
      <c r="W13" s="7">
        <f>[1]节奏总纲!W13</f>
        <v>0.13393401692638518</v>
      </c>
      <c r="X13" s="7">
        <f>[1]节奏总纲!X13</f>
        <v>0.11777784840435379</v>
      </c>
      <c r="Y13" s="7">
        <f>[1]节奏总纲!Y13</f>
        <v>9.6677834586110678E-2</v>
      </c>
      <c r="Z13" s="7">
        <f>[1]节奏总纲!Z13</f>
        <v>7.2136617558249017E-2</v>
      </c>
      <c r="AA13" s="7">
        <f>[1]节奏总纲!AA13</f>
        <v>4.1267529732885971E-2</v>
      </c>
      <c r="AC13" s="2">
        <v>10</v>
      </c>
      <c r="AD13" s="7">
        <f>[1]节奏总纲!AD13</f>
        <v>34.585942742481357</v>
      </c>
      <c r="AE13" s="7">
        <f>[1]节奏总纲!AE13</f>
        <v>36.36169634498642</v>
      </c>
      <c r="AF13" s="7">
        <f>[1]节奏总纲!AF13</f>
        <v>38.977035507933373</v>
      </c>
      <c r="AG13" s="7">
        <f>[1]节奏总纲!AG13</f>
        <v>42.970748198558951</v>
      </c>
      <c r="AH13" s="7">
        <f>[1]节奏总纲!AH13</f>
        <v>51.212821897464167</v>
      </c>
      <c r="AL13" s="2">
        <v>10</v>
      </c>
      <c r="AM13" s="6">
        <f>[1]节奏总纲!AM13</f>
        <v>0.75</v>
      </c>
      <c r="AN13" s="6">
        <f>[1]节奏总纲!AN13</f>
        <v>0.60000000000000009</v>
      </c>
      <c r="AO13" s="6">
        <f>[1]节奏总纲!AO13</f>
        <v>0.44999999999999996</v>
      </c>
      <c r="AP13" s="6">
        <f>[1]节奏总纲!AP13</f>
        <v>0.30000000000000004</v>
      </c>
      <c r="AQ13" s="6">
        <f>[1]节奏总纲!AQ13</f>
        <v>0.15000000000000002</v>
      </c>
      <c r="AS13" s="2">
        <v>10</v>
      </c>
      <c r="AT13" s="7">
        <f>[1]节奏总纲!AT13</f>
        <v>0.17909348176756579</v>
      </c>
      <c r="AU13" s="7">
        <f>[1]节奏总纲!AU13</f>
        <v>0.1432747854140527</v>
      </c>
      <c r="AV13" s="7">
        <f>[1]节奏总纲!AV13</f>
        <v>0.10745608906053944</v>
      </c>
      <c r="AW13" s="7">
        <f>[1]节奏总纲!AW13</f>
        <v>7.1637392707026348E-2</v>
      </c>
      <c r="AX13" s="7">
        <f>[1]节奏总纲!AX13</f>
        <v>3.5818696353513174E-2</v>
      </c>
      <c r="AY13" s="2"/>
      <c r="AZ13" s="2">
        <v>10</v>
      </c>
      <c r="BA13" s="7">
        <f>[1]节奏总纲!BA13</f>
        <v>23.710496742673982</v>
      </c>
      <c r="BB13" s="7">
        <f>[1]节奏总纲!BB13</f>
        <v>25.044229735272328</v>
      </c>
      <c r="BC13" s="7">
        <f>[1]节奏总纲!BC13</f>
        <v>26.755953543357073</v>
      </c>
      <c r="BD13" s="7">
        <f>[1]节奏总纲!BD13</f>
        <v>29.216428548527322</v>
      </c>
      <c r="BE13" s="7">
        <f>[1]节奏总纲!BE13</f>
        <v>33.487933395889513</v>
      </c>
    </row>
    <row r="14" spans="2:57" x14ac:dyDescent="0.15">
      <c r="B14" s="2">
        <v>70</v>
      </c>
      <c r="C14" s="2">
        <f t="shared" si="3"/>
        <v>127</v>
      </c>
      <c r="D14" s="2">
        <f t="shared" si="2"/>
        <v>64</v>
      </c>
      <c r="F14" s="2">
        <v>12</v>
      </c>
      <c r="G14" s="2">
        <f t="shared" si="0"/>
        <v>1.2973967099940702</v>
      </c>
      <c r="I14" s="2">
        <v>12</v>
      </c>
      <c r="J14" s="2">
        <f t="shared" si="1"/>
        <v>1.1550685436347259</v>
      </c>
      <c r="K14" s="5">
        <v>0.54</v>
      </c>
      <c r="N14" s="11">
        <f>[1]节奏总纲!N14</f>
        <v>21</v>
      </c>
      <c r="O14" s="2">
        <v>11</v>
      </c>
      <c r="P14" s="6">
        <f>[1]节奏总纲!P14</f>
        <v>1.1435469250725863</v>
      </c>
      <c r="Q14" s="6">
        <f>[1]节奏总纲!Q14</f>
        <v>0.98036277886472811</v>
      </c>
      <c r="R14" s="6">
        <f>[1]节奏总纲!R14</f>
        <v>0.79453640354043287</v>
      </c>
      <c r="S14" s="6">
        <f>[1]节奏总纲!S14</f>
        <v>0.57577587677404707</v>
      </c>
      <c r="T14" s="6">
        <f>[1]节奏总纲!T14</f>
        <v>0.31767733578516444</v>
      </c>
      <c r="V14" s="2">
        <v>11</v>
      </c>
      <c r="W14" s="7">
        <f>[1]节奏总纲!W14</f>
        <v>0.14354692507258626</v>
      </c>
      <c r="X14" s="7">
        <f>[1]节奏总纲!X14</f>
        <v>0.12556277886472811</v>
      </c>
      <c r="Y14" s="7">
        <f>[1]节奏总纲!Y14</f>
        <v>0.10503640354043287</v>
      </c>
      <c r="Z14" s="7">
        <f>[1]节奏总纲!Z14</f>
        <v>7.5975876774047046E-2</v>
      </c>
      <c r="AA14" s="7">
        <f>[1]节奏总纲!AA14</f>
        <v>4.447733578516444E-2</v>
      </c>
      <c r="AC14" s="2">
        <v>11</v>
      </c>
      <c r="AD14" s="7">
        <f>[1]节奏总纲!AD14</f>
        <v>35.845161563010116</v>
      </c>
      <c r="AE14" s="7">
        <f>[1]节奏总纲!AE14</f>
        <v>37.6388925299823</v>
      </c>
      <c r="AF14" s="7">
        <f>[1]节奏总纲!AF14</f>
        <v>40.259528204263837</v>
      </c>
      <c r="AG14" s="7">
        <f>[1]节奏总纲!AG14</f>
        <v>44.288230531994081</v>
      </c>
      <c r="AH14" s="7">
        <f>[1]节奏总纲!AH14</f>
        <v>52.559419343629337</v>
      </c>
      <c r="AL14" s="2">
        <v>11</v>
      </c>
      <c r="AM14" s="6">
        <f>[1]节奏总纲!AM14</f>
        <v>0.93464628919691628</v>
      </c>
      <c r="AN14" s="6">
        <f>[1]节奏总纲!AN14</f>
        <v>0.74771703135753309</v>
      </c>
      <c r="AO14" s="6">
        <f>[1]节奏总纲!AO14</f>
        <v>0.56078777351814979</v>
      </c>
      <c r="AP14" s="6">
        <f>[1]节奏总纲!AP14</f>
        <v>0.37385851567876655</v>
      </c>
      <c r="AQ14" s="6">
        <f>[1]节奏总纲!AQ14</f>
        <v>0.18692925783938327</v>
      </c>
      <c r="AS14" s="2">
        <v>11</v>
      </c>
      <c r="AT14" s="7">
        <f>[1]节奏总纲!AT14</f>
        <v>0.18464628919691628</v>
      </c>
      <c r="AU14" s="7">
        <f>[1]节奏总纲!AU14</f>
        <v>0.147717031357533</v>
      </c>
      <c r="AV14" s="7">
        <f>[1]节奏总纲!AV14</f>
        <v>0.11078777351814983</v>
      </c>
      <c r="AW14" s="7">
        <f>[1]节奏总纲!AW14</f>
        <v>7.3858515678766501E-2</v>
      </c>
      <c r="AX14" s="7">
        <f>[1]节奏总纲!AX14</f>
        <v>3.692925783938325E-2</v>
      </c>
      <c r="AY14" s="2"/>
      <c r="AZ14" s="2">
        <v>11</v>
      </c>
      <c r="BA14" s="7">
        <f>[1]节奏总纲!BA14</f>
        <v>24.272927064840161</v>
      </c>
      <c r="BB14" s="7">
        <f>[1]节奏总纲!BB14</f>
        <v>25.597101426176433</v>
      </c>
      <c r="BC14" s="7">
        <f>[1]节奏总纲!BC14</f>
        <v>27.327481651231444</v>
      </c>
      <c r="BD14" s="7">
        <f>[1]节奏总纲!BD14</f>
        <v>29.80118336305917</v>
      </c>
      <c r="BE14" s="7">
        <f>[1]节奏总纲!BE14</f>
        <v>34.09469189131628</v>
      </c>
    </row>
    <row r="15" spans="2:57" x14ac:dyDescent="0.15">
      <c r="B15" s="2">
        <v>80</v>
      </c>
      <c r="C15" s="2">
        <f t="shared" si="3"/>
        <v>255</v>
      </c>
      <c r="D15" s="2">
        <f t="shared" si="2"/>
        <v>128</v>
      </c>
      <c r="F15" s="2">
        <v>13</v>
      </c>
      <c r="G15" s="2">
        <f t="shared" si="0"/>
        <v>1.4622888266898326</v>
      </c>
      <c r="I15" s="2">
        <v>13</v>
      </c>
      <c r="J15" s="2">
        <f t="shared" si="1"/>
        <v>1.417602554491646</v>
      </c>
      <c r="K15" s="5">
        <v>0.56000000000000005</v>
      </c>
      <c r="N15" s="11">
        <f>[1]节奏总纲!N15</f>
        <v>22</v>
      </c>
      <c r="O15" s="2">
        <v>12</v>
      </c>
      <c r="P15" s="6">
        <f>[1]节奏总纲!P15</f>
        <v>1.2973967099940702</v>
      </c>
      <c r="Q15" s="6">
        <f>[1]节奏总纲!Q15</f>
        <v>1.1126474184909145</v>
      </c>
      <c r="R15" s="6">
        <f>[1]节奏总纲!R15</f>
        <v>0.9058423829178599</v>
      </c>
      <c r="S15" s="6">
        <f>[1]节奏总纲!S15</f>
        <v>0.66219128078097333</v>
      </c>
      <c r="T15" s="6">
        <f>[1]节奏总纲!T15</f>
        <v>0.36560639287632896</v>
      </c>
      <c r="V15" s="2">
        <v>12</v>
      </c>
      <c r="W15" s="7">
        <f>[1]节奏总纲!W15</f>
        <v>0.15384978492148393</v>
      </c>
      <c r="X15" s="7">
        <f>[1]节奏总纲!X15</f>
        <v>0.13228463962618642</v>
      </c>
      <c r="Y15" s="7">
        <f>[1]节奏总纲!Y15</f>
        <v>0.11130597937742703</v>
      </c>
      <c r="Z15" s="7">
        <f>[1]节奏总纲!Z15</f>
        <v>8.6415404006926266E-2</v>
      </c>
      <c r="AA15" s="7">
        <f>[1]节奏总纲!AA15</f>
        <v>4.7929057091164518E-2</v>
      </c>
      <c r="AC15" s="2">
        <v>12</v>
      </c>
      <c r="AD15" s="7">
        <f>[1]节奏总纲!AD15</f>
        <v>37.004247194324648</v>
      </c>
      <c r="AE15" s="7">
        <f>[1]节奏总纲!AE15</f>
        <v>38.827998824669805</v>
      </c>
      <c r="AF15" s="7">
        <f>[1]节奏总纲!AF15</f>
        <v>41.408320762540754</v>
      </c>
      <c r="AG15" s="7">
        <f>[1]节奏总纲!AG15</f>
        <v>45.500930067545958</v>
      </c>
      <c r="AH15" s="7">
        <f>[1]节奏总纲!AH15</f>
        <v>53.855547243088772</v>
      </c>
      <c r="AL15" s="2">
        <v>12</v>
      </c>
      <c r="AM15" s="6">
        <f>[1]节奏总纲!AM15</f>
        <v>1.1550685436347259</v>
      </c>
      <c r="AN15" s="6">
        <f>[1]节奏总纲!AN15</f>
        <v>0.92405483490778073</v>
      </c>
      <c r="AO15" s="6">
        <f>[1]节奏总纲!AO15</f>
        <v>0.69304112618083547</v>
      </c>
      <c r="AP15" s="6">
        <f>[1]节奏总纲!AP15</f>
        <v>0.46202741745389037</v>
      </c>
      <c r="AQ15" s="6">
        <f>[1]节奏总纲!AQ15</f>
        <v>0.23101370872694518</v>
      </c>
      <c r="AS15" s="2">
        <v>12</v>
      </c>
      <c r="AT15" s="7">
        <f>[1]节奏总纲!AT15</f>
        <v>0.22042225443780961</v>
      </c>
      <c r="AU15" s="7">
        <f>[1]节奏总纲!AU15</f>
        <v>0.17633780355024764</v>
      </c>
      <c r="AV15" s="7">
        <f>[1]节奏总纲!AV15</f>
        <v>0.13225335266268567</v>
      </c>
      <c r="AW15" s="7">
        <f>[1]节奏总纲!AW15</f>
        <v>8.816890177512382E-2</v>
      </c>
      <c r="AX15" s="7">
        <f>[1]节奏总纲!AX15</f>
        <v>4.408445088756191E-2</v>
      </c>
      <c r="AY15" s="2"/>
      <c r="AZ15" s="2">
        <v>12</v>
      </c>
      <c r="BA15" s="7">
        <f>[1]节奏总纲!BA15</f>
        <v>24.792264875668618</v>
      </c>
      <c r="BB15" s="7">
        <f>[1]节奏总纲!BB15</f>
        <v>26.127796402772656</v>
      </c>
      <c r="BC15" s="7">
        <f>[1]节奏总纲!BC15</f>
        <v>27.863030247590562</v>
      </c>
      <c r="BD15" s="7">
        <f>[1]节奏总纲!BD15</f>
        <v>30.329493925593439</v>
      </c>
      <c r="BE15" s="7">
        <f>[1]节奏总纲!BE15</f>
        <v>34.627226072894942</v>
      </c>
    </row>
    <row r="16" spans="2:57" x14ac:dyDescent="0.15">
      <c r="B16" s="2">
        <v>90</v>
      </c>
      <c r="C16" s="2">
        <f t="shared" si="3"/>
        <v>511</v>
      </c>
      <c r="D16" s="2">
        <f t="shared" si="2"/>
        <v>256</v>
      </c>
      <c r="F16" s="2">
        <v>14</v>
      </c>
      <c r="G16" s="2">
        <f t="shared" si="0"/>
        <v>1.6390158215457884</v>
      </c>
      <c r="I16" s="2">
        <v>14</v>
      </c>
      <c r="J16" s="2">
        <f t="shared" si="1"/>
        <v>1.7296773068470075</v>
      </c>
      <c r="K16" s="5">
        <v>0.57999999999999996</v>
      </c>
      <c r="N16" s="11">
        <f>[1]节奏总纲!N16</f>
        <v>23</v>
      </c>
      <c r="O16" s="2">
        <v>13</v>
      </c>
      <c r="P16" s="6">
        <f>[1]节奏总纲!P16</f>
        <v>1.4622888266898326</v>
      </c>
      <c r="Q16" s="6">
        <f>[1]节奏总纲!Q16</f>
        <v>1.2628326307293396</v>
      </c>
      <c r="R16" s="6">
        <f>[1]节奏总纲!R16</f>
        <v>1.0294513339896421</v>
      </c>
      <c r="S16" s="6">
        <f>[1]节奏总纲!S16</f>
        <v>0.75556463675063656</v>
      </c>
      <c r="T16" s="6">
        <f>[1]节奏总纲!T16</f>
        <v>0.41865329108129906</v>
      </c>
      <c r="V16" s="2">
        <v>13</v>
      </c>
      <c r="W16" s="7">
        <f>[1]节奏总纲!W16</f>
        <v>0.16489211669576243</v>
      </c>
      <c r="X16" s="7">
        <f>[1]节奏总纲!X16</f>
        <v>0.15018521223842507</v>
      </c>
      <c r="Y16" s="7">
        <f>[1]节奏总纲!Y16</f>
        <v>0.12360895107178216</v>
      </c>
      <c r="Z16" s="7">
        <f>[1]节奏总纲!Z16</f>
        <v>9.337335596966323E-2</v>
      </c>
      <c r="AA16" s="7">
        <f>[1]节奏总纲!AA16</f>
        <v>5.3046898204970105E-2</v>
      </c>
      <c r="AC16" s="2">
        <v>13</v>
      </c>
      <c r="AD16" s="7">
        <f>[1]节奏总纲!AD16</f>
        <v>38.071211008105138</v>
      </c>
      <c r="AE16" s="7">
        <f>[1]节奏总纲!AE16</f>
        <v>39.935302111946527</v>
      </c>
      <c r="AF16" s="7">
        <f>[1]节奏总纲!AF16</f>
        <v>42.470214785133983</v>
      </c>
      <c r="AG16" s="7">
        <f>[1]节奏总纲!AG16</f>
        <v>46.631096344914496</v>
      </c>
      <c r="AH16" s="7">
        <f>[1]节奏总纲!AH16</f>
        <v>55.062101953238496</v>
      </c>
      <c r="AL16" s="2">
        <v>13</v>
      </c>
      <c r="AM16" s="6">
        <f>[1]节奏总纲!AM16</f>
        <v>1.417602554491646</v>
      </c>
      <c r="AN16" s="6">
        <f>[1]节奏总纲!AN16</f>
        <v>1.1340820435933168</v>
      </c>
      <c r="AO16" s="6">
        <f>[1]节奏总纲!AO16</f>
        <v>0.85056153269498758</v>
      </c>
      <c r="AP16" s="6">
        <f>[1]节奏总纲!AP16</f>
        <v>0.56704102179665838</v>
      </c>
      <c r="AQ16" s="6">
        <f>[1]节奏总纲!AQ16</f>
        <v>0.28352051089832919</v>
      </c>
      <c r="AS16" s="2">
        <v>13</v>
      </c>
      <c r="AT16" s="7">
        <f>[1]节奏总纲!AT16</f>
        <v>0.26253401085692007</v>
      </c>
      <c r="AU16" s="7">
        <f>[1]节奏总纲!AU16</f>
        <v>0.21002720868553604</v>
      </c>
      <c r="AV16" s="7">
        <f>[1]节奏总纲!AV16</f>
        <v>0.15752040651415211</v>
      </c>
      <c r="AW16" s="7">
        <f>[1]节奏总纲!AW16</f>
        <v>0.10501360434276802</v>
      </c>
      <c r="AX16" s="7">
        <f>[1]节奏总纲!AX16</f>
        <v>5.2506802171384009E-2</v>
      </c>
      <c r="AY16" s="2"/>
      <c r="AZ16" s="2">
        <v>13</v>
      </c>
      <c r="BA16" s="7">
        <f>[1]节奏总纲!BA16</f>
        <v>25.265378411633971</v>
      </c>
      <c r="BB16" s="7">
        <f>[1]节奏总纲!BB16</f>
        <v>26.598914258210968</v>
      </c>
      <c r="BC16" s="7">
        <f>[1]节奏总纲!BC16</f>
        <v>28.339982398803929</v>
      </c>
      <c r="BD16" s="7">
        <f>[1]节奏总纲!BD16</f>
        <v>30.828727146189561</v>
      </c>
      <c r="BE16" s="7">
        <f>[1]节奏总纲!BE16</f>
        <v>35.146386283795508</v>
      </c>
    </row>
    <row r="17" spans="2:57" x14ac:dyDescent="0.15">
      <c r="B17" s="2">
        <v>100</v>
      </c>
      <c r="C17" s="2">
        <f t="shared" si="3"/>
        <v>1023</v>
      </c>
      <c r="D17" s="2">
        <f t="shared" si="2"/>
        <v>512</v>
      </c>
      <c r="F17" s="2">
        <v>15</v>
      </c>
      <c r="G17" s="2">
        <f t="shared" si="0"/>
        <v>1.8284271247461898</v>
      </c>
      <c r="I17" s="2">
        <v>15</v>
      </c>
      <c r="J17" s="2">
        <f t="shared" si="1"/>
        <v>2.1</v>
      </c>
      <c r="K17" s="5">
        <v>0.6</v>
      </c>
      <c r="N17" s="11">
        <f>[1]节奏总纲!N17</f>
        <v>24</v>
      </c>
      <c r="O17" s="2">
        <v>14</v>
      </c>
      <c r="P17" s="6">
        <f>[1]节奏总纲!P17</f>
        <v>1.6390158215457884</v>
      </c>
      <c r="Q17" s="6">
        <f>[1]节奏总纲!Q17</f>
        <v>1.4136511460832426</v>
      </c>
      <c r="R17" s="6">
        <f>[1]节奏总纲!R17</f>
        <v>1.1545227446968533</v>
      </c>
      <c r="S17" s="6">
        <f>[1]节奏总纲!S17</f>
        <v>0.84605996708193598</v>
      </c>
      <c r="T17" s="6">
        <f>[1]节奏总纲!T17</f>
        <v>0.46810291863347719</v>
      </c>
      <c r="V17" s="2">
        <v>14</v>
      </c>
      <c r="W17" s="7">
        <f>[1]节奏总纲!W17</f>
        <v>0.17672699485595578</v>
      </c>
      <c r="X17" s="7">
        <f>[1]节奏总纲!X17</f>
        <v>0.150818515353903</v>
      </c>
      <c r="Y17" s="7">
        <f>[1]节奏总纲!Y17</f>
        <v>0.12507141070721128</v>
      </c>
      <c r="Z17" s="7">
        <f>[1]节奏总纲!Z17</f>
        <v>9.0495330331299417E-2</v>
      </c>
      <c r="AA17" s="7">
        <f>[1]节奏总纲!AA17</f>
        <v>4.9449627552178133E-2</v>
      </c>
      <c r="AC17" s="2">
        <v>14</v>
      </c>
      <c r="AD17" s="7">
        <f>[1]节奏总纲!AD17</f>
        <v>39.066704614192943</v>
      </c>
      <c r="AE17" s="7">
        <f>[1]节奏总纲!AE17</f>
        <v>40.935169244165145</v>
      </c>
      <c r="AF17" s="7">
        <f>[1]节奏总纲!AF17</f>
        <v>43.484929789964411</v>
      </c>
      <c r="AG17" s="7">
        <f>[1]节奏总纲!AG17</f>
        <v>47.711408234944486</v>
      </c>
      <c r="AH17" s="7">
        <f>[1]节奏总纲!AH17</f>
        <v>56.165983112651688</v>
      </c>
      <c r="AL17" s="2">
        <v>14</v>
      </c>
      <c r="AM17" s="6">
        <f>[1]节奏总纲!AM17</f>
        <v>1.7296773068470075</v>
      </c>
      <c r="AN17" s="6">
        <f>[1]节奏总纲!AN17</f>
        <v>1.383741845477606</v>
      </c>
      <c r="AO17" s="6">
        <f>[1]节奏总纲!AO17</f>
        <v>1.0378063841082044</v>
      </c>
      <c r="AP17" s="6">
        <f>[1]节奏总纲!AP17</f>
        <v>0.69187092273880302</v>
      </c>
      <c r="AQ17" s="6">
        <f>[1]节奏总纲!AQ17</f>
        <v>0.34593546136940151</v>
      </c>
      <c r="AS17" s="2">
        <v>14</v>
      </c>
      <c r="AT17" s="7">
        <f>[1]节奏总纲!AT17</f>
        <v>0.31207475235536153</v>
      </c>
      <c r="AU17" s="7">
        <f>[1]节奏总纲!AU17</f>
        <v>0.24965980188428927</v>
      </c>
      <c r="AV17" s="7">
        <f>[1]节奏总纲!AV17</f>
        <v>0.18724485141321678</v>
      </c>
      <c r="AW17" s="7">
        <f>[1]节奏总纲!AW17</f>
        <v>0.12482990094214463</v>
      </c>
      <c r="AX17" s="7">
        <f>[1]节奏总纲!AX17</f>
        <v>6.2414950471072317E-2</v>
      </c>
      <c r="AY17" s="2"/>
      <c r="AZ17" s="2">
        <v>14</v>
      </c>
      <c r="BA17" s="7">
        <f>[1]节奏总纲!BA17</f>
        <v>25.707675764357255</v>
      </c>
      <c r="BB17" s="7">
        <f>[1]节奏总纲!BB17</f>
        <v>27.059707353051884</v>
      </c>
      <c r="BC17" s="7">
        <f>[1]节奏总纲!BC17</f>
        <v>28.796798156163181</v>
      </c>
      <c r="BD17" s="7">
        <f>[1]节奏总纲!BD17</f>
        <v>31.280110398778046</v>
      </c>
      <c r="BE17" s="7">
        <f>[1]节奏总纲!BE17</f>
        <v>35.634340563113874</v>
      </c>
    </row>
    <row r="18" spans="2:57" x14ac:dyDescent="0.15">
      <c r="F18" s="2">
        <v>16</v>
      </c>
      <c r="G18" s="2">
        <f t="shared" si="0"/>
        <v>2.031433133020796</v>
      </c>
      <c r="I18" s="2">
        <v>16</v>
      </c>
      <c r="J18" s="2">
        <f t="shared" si="1"/>
        <v>2.5387719203926467</v>
      </c>
      <c r="K18" s="5">
        <v>0.62</v>
      </c>
      <c r="N18" s="11">
        <f>[1]节奏总纲!N18</f>
        <v>25</v>
      </c>
      <c r="O18" s="2">
        <v>15</v>
      </c>
      <c r="P18" s="6">
        <f>[1]节奏总纲!P18</f>
        <v>1.8284271247461898</v>
      </c>
      <c r="Q18" s="6">
        <f>[1]节奏总纲!Q18</f>
        <v>1.5793953503557587</v>
      </c>
      <c r="R18" s="6">
        <f>[1]节奏总纲!R18</f>
        <v>1.2928808199080308</v>
      </c>
      <c r="S18" s="6">
        <f>[1]节奏总纲!S18</f>
        <v>0.94895367774327255</v>
      </c>
      <c r="T18" s="6">
        <f>[1]节奏总纲!T18</f>
        <v>0.5271355400643265</v>
      </c>
      <c r="V18" s="2">
        <v>15</v>
      </c>
      <c r="W18" s="7">
        <f>[1]节奏总纲!W18</f>
        <v>0.18941130320040145</v>
      </c>
      <c r="X18" s="7">
        <f>[1]节奏总纲!X18</f>
        <v>0.16574420427251613</v>
      </c>
      <c r="Y18" s="7">
        <f>[1]节奏总纲!Y18</f>
        <v>0.13835807521117749</v>
      </c>
      <c r="Z18" s="7">
        <f>[1]节奏总纲!Z18</f>
        <v>0.10289371066133657</v>
      </c>
      <c r="AA18" s="7">
        <f>[1]节奏总纲!AA18</f>
        <v>5.9032621430849308E-2</v>
      </c>
      <c r="AC18" s="2">
        <v>15</v>
      </c>
      <c r="AD18" s="7">
        <f>[1]节奏总纲!AD18</f>
        <v>40</v>
      </c>
      <c r="AE18" s="7">
        <f>[1]节奏总纲!AE18</f>
        <v>41.83669503626701</v>
      </c>
      <c r="AF18" s="7">
        <f>[1]节奏总纲!AF18</f>
        <v>44.442238853326032</v>
      </c>
      <c r="AG18" s="7">
        <f>[1]节奏总纲!AG18</f>
        <v>48.731413734867289</v>
      </c>
      <c r="AH18" s="7">
        <f>[1]节奏总纲!AH18</f>
        <v>57.176846218996921</v>
      </c>
      <c r="AL18" s="2">
        <v>15</v>
      </c>
      <c r="AM18" s="6">
        <f>[1]节奏总纲!AM18</f>
        <v>2.1</v>
      </c>
      <c r="AN18" s="6">
        <f>[1]节奏总纲!AN18</f>
        <v>1.6800000000000002</v>
      </c>
      <c r="AO18" s="6">
        <f>[1]节奏总纲!AO18</f>
        <v>1.26</v>
      </c>
      <c r="AP18" s="6">
        <f>[1]节奏总纲!AP18</f>
        <v>0.84000000000000008</v>
      </c>
      <c r="AQ18" s="6">
        <f>[1]节奏总纲!AQ18</f>
        <v>0.42000000000000004</v>
      </c>
      <c r="AS18" s="2">
        <v>15</v>
      </c>
      <c r="AT18" s="7">
        <f>[1]节奏总纲!AT18</f>
        <v>0.3703226931529926</v>
      </c>
      <c r="AU18" s="7">
        <f>[1]节奏总纲!AU18</f>
        <v>0.29625815452239412</v>
      </c>
      <c r="AV18" s="7">
        <f>[1]节奏总纲!AV18</f>
        <v>0.22219361589179565</v>
      </c>
      <c r="AW18" s="7">
        <f>[1]节奏总纲!AW18</f>
        <v>0.14812907726119706</v>
      </c>
      <c r="AX18" s="7">
        <f>[1]节奏总纲!AX18</f>
        <v>7.4064538630598531E-2</v>
      </c>
      <c r="AY18" s="2"/>
      <c r="AZ18" s="2">
        <v>15</v>
      </c>
      <c r="BA18" s="7">
        <f>[1]节奏总纲!BA18</f>
        <v>26.127796402772656</v>
      </c>
      <c r="BB18" s="7">
        <f>[1]节奏总纲!BB18</f>
        <v>27.461368800321225</v>
      </c>
      <c r="BC18" s="7">
        <f>[1]节奏总纲!BC18</f>
        <v>29.216428548527322</v>
      </c>
      <c r="BD18" s="7">
        <f>[1]节奏总纲!BD18</f>
        <v>31.706504654507764</v>
      </c>
      <c r="BE18" s="7">
        <f>[1]节奏总纲!BE18</f>
        <v>36.105477566569242</v>
      </c>
    </row>
    <row r="19" spans="2:57" x14ac:dyDescent="0.15">
      <c r="F19" s="2">
        <v>17</v>
      </c>
      <c r="G19" s="2">
        <f t="shared" si="0"/>
        <v>2.2490095854249419</v>
      </c>
      <c r="I19" s="2">
        <v>17</v>
      </c>
      <c r="J19" s="2">
        <f t="shared" si="1"/>
        <v>3.0579402515786085</v>
      </c>
      <c r="K19" s="5">
        <v>0.64</v>
      </c>
      <c r="N19" s="11">
        <f>[1]节奏总纲!N19</f>
        <v>26</v>
      </c>
      <c r="O19" s="2">
        <v>16</v>
      </c>
      <c r="P19" s="6">
        <f>[1]节奏总纲!P19</f>
        <v>2.031433133020796</v>
      </c>
      <c r="Q19" s="6">
        <f>[1]节奏总纲!Q19</f>
        <v>1.7586116632561031</v>
      </c>
      <c r="R19" s="6">
        <f>[1]节奏总纲!R19</f>
        <v>1.4398798046851402</v>
      </c>
      <c r="S19" s="6">
        <f>[1]节奏总纲!S19</f>
        <v>1.0618300986299702</v>
      </c>
      <c r="T19" s="6">
        <f>[1]节奏总纲!T19</f>
        <v>0.59460047803518701</v>
      </c>
      <c r="V19" s="2">
        <v>16</v>
      </c>
      <c r="W19" s="7">
        <f>[1]节奏总纲!W19</f>
        <v>0.20300600827460613</v>
      </c>
      <c r="X19" s="7">
        <f>[1]节奏总纲!X19</f>
        <v>0.17921631290034434</v>
      </c>
      <c r="Y19" s="7">
        <f>[1]节奏总纲!Y19</f>
        <v>0.14699898477710938</v>
      </c>
      <c r="Z19" s="7">
        <f>[1]节奏总纲!Z19</f>
        <v>0.11287642088669769</v>
      </c>
      <c r="AA19" s="7">
        <f>[1]节奏总纲!AA19</f>
        <v>6.7464937970860506E-2</v>
      </c>
      <c r="AC19" s="2">
        <v>16</v>
      </c>
      <c r="AD19" s="7">
        <f>[1]节奏总纲!AD19</f>
        <v>40.870795385807064</v>
      </c>
      <c r="AE19" s="7">
        <f>[1]节奏总纲!AE19</f>
        <v>42.707142308553742</v>
      </c>
      <c r="AF19" s="7">
        <f>[1]节奏总纲!AF19</f>
        <v>45.343250058486468</v>
      </c>
      <c r="AG19" s="7">
        <f>[1]节奏总纲!AG19</f>
        <v>49.654306534727205</v>
      </c>
      <c r="AH19" s="7">
        <f>[1]节奏总纲!AH19</f>
        <v>58.12511610143563</v>
      </c>
      <c r="AL19" s="2">
        <v>16</v>
      </c>
      <c r="AM19" s="6">
        <f>[1]节奏总纲!AM19</f>
        <v>2.5387719203926467</v>
      </c>
      <c r="AN19" s="6">
        <f>[1]节奏总纲!AN19</f>
        <v>2.0310175363141174</v>
      </c>
      <c r="AO19" s="6">
        <f>[1]节奏总纲!AO19</f>
        <v>1.5232631522355879</v>
      </c>
      <c r="AP19" s="6">
        <f>[1]节奏总纲!AP19</f>
        <v>1.0155087681570587</v>
      </c>
      <c r="AQ19" s="6">
        <f>[1]节奏总纲!AQ19</f>
        <v>0.50775438407852935</v>
      </c>
      <c r="AS19" s="2">
        <v>16</v>
      </c>
      <c r="AT19" s="7">
        <f>[1]节奏总纲!AT19</f>
        <v>0.43877192039264656</v>
      </c>
      <c r="AU19" s="7">
        <f>[1]节奏总纲!AU19</f>
        <v>0.35101753631411725</v>
      </c>
      <c r="AV19" s="7">
        <f>[1]节奏总纲!AV19</f>
        <v>0.26326315223558794</v>
      </c>
      <c r="AW19" s="7">
        <f>[1]节奏总纲!AW19</f>
        <v>0.17550876815705863</v>
      </c>
      <c r="AX19" s="7">
        <f>[1]节奏总纲!AX19</f>
        <v>8.7754384078529313E-2</v>
      </c>
      <c r="AY19" s="2"/>
      <c r="AZ19" s="2">
        <v>16</v>
      </c>
      <c r="BA19" s="7">
        <f>[1]节奏总纲!BA19</f>
        <v>26.504690687123308</v>
      </c>
      <c r="BB19" s="7">
        <f>[1]节奏总纲!BB19</f>
        <v>27.863030247590562</v>
      </c>
      <c r="BC19" s="7">
        <f>[1]节奏总纲!BC19</f>
        <v>29.606265091548554</v>
      </c>
      <c r="BD19" s="7">
        <f>[1]节奏总纲!BD19</f>
        <v>32.113552950216736</v>
      </c>
      <c r="BE19" s="7">
        <f>[1]节奏总纲!BE19</f>
        <v>36.526331209747774</v>
      </c>
    </row>
    <row r="20" spans="2:57" x14ac:dyDescent="0.15">
      <c r="F20" s="2">
        <v>18</v>
      </c>
      <c r="G20" s="2">
        <f t="shared" si="0"/>
        <v>2.4822022531844965</v>
      </c>
      <c r="I20" s="2">
        <v>18</v>
      </c>
      <c r="J20" s="2">
        <f t="shared" si="1"/>
        <v>3.671491735587451</v>
      </c>
      <c r="K20" s="5">
        <v>0.66</v>
      </c>
      <c r="N20" s="11">
        <f>[1]节奏总纲!N20</f>
        <v>27</v>
      </c>
      <c r="O20" s="2">
        <v>17</v>
      </c>
      <c r="P20" s="6">
        <f>[1]节奏总纲!P20</f>
        <v>2.2490095854249419</v>
      </c>
      <c r="Q20" s="6">
        <f>[1]节奏总纲!Q20</f>
        <v>1.9433691827656923</v>
      </c>
      <c r="R20" s="6">
        <f>[1]节奏总纲!R20</f>
        <v>1.5904995788125189</v>
      </c>
      <c r="S20" s="6">
        <f>[1]节奏总纲!S20</f>
        <v>1.1742079045503622</v>
      </c>
      <c r="T20" s="6">
        <f>[1]节奏总纲!T20</f>
        <v>0.65311238360740309</v>
      </c>
      <c r="V20" s="2">
        <v>17</v>
      </c>
      <c r="W20" s="7">
        <f>[1]节奏总纲!W20</f>
        <v>0.21757645240414591</v>
      </c>
      <c r="X20" s="7">
        <f>[1]节奏总纲!X20</f>
        <v>0.18475751950958919</v>
      </c>
      <c r="Y20" s="7">
        <f>[1]节奏总纲!Y20</f>
        <v>0.1506197741273787</v>
      </c>
      <c r="Z20" s="7">
        <f>[1]节奏总纲!Z20</f>
        <v>0.11237780592039193</v>
      </c>
      <c r="AA20" s="7">
        <f>[1]节奏总纲!AA20</f>
        <v>5.8511905572216083E-2</v>
      </c>
      <c r="AC20" s="2">
        <v>17</v>
      </c>
      <c r="AD20" s="7">
        <f>[1]节奏总纲!AD20</f>
        <v>41.691928656135218</v>
      </c>
      <c r="AE20" s="7">
        <f>[1]节奏总纲!AE20</f>
        <v>43.535389560453282</v>
      </c>
      <c r="AF20" s="7">
        <f>[1]节奏总纲!AF20</f>
        <v>46.195785611164197</v>
      </c>
      <c r="AG20" s="7">
        <f>[1]节奏总纲!AG20</f>
        <v>50.510850036206186</v>
      </c>
      <c r="AH20" s="7">
        <f>[1]节奏总纲!AH20</f>
        <v>58.996855914896834</v>
      </c>
      <c r="AL20" s="2">
        <v>17</v>
      </c>
      <c r="AM20" s="6">
        <f>[1]节奏总纲!AM20</f>
        <v>3.0579402515786085</v>
      </c>
      <c r="AN20" s="6">
        <f>[1]节奏总纲!AN20</f>
        <v>2.4463522012628869</v>
      </c>
      <c r="AO20" s="6">
        <f>[1]节奏总纲!AO20</f>
        <v>1.8347641509471651</v>
      </c>
      <c r="AP20" s="6">
        <f>[1]节奏总纲!AP20</f>
        <v>1.2231761006314434</v>
      </c>
      <c r="AQ20" s="6">
        <f>[1]节奏总纲!AQ20</f>
        <v>0.61158805031572172</v>
      </c>
      <c r="AS20" s="2">
        <v>17</v>
      </c>
      <c r="AT20" s="7">
        <f>[1]节奏总纲!AT20</f>
        <v>0.51916833118596184</v>
      </c>
      <c r="AU20" s="7">
        <f>[1]节奏总纲!AU20</f>
        <v>0.41533466494876947</v>
      </c>
      <c r="AV20" s="7">
        <f>[1]节奏总纲!AV20</f>
        <v>0.3115009987115771</v>
      </c>
      <c r="AW20" s="7">
        <f>[1]节奏总纲!AW20</f>
        <v>0.20766733247438474</v>
      </c>
      <c r="AX20" s="7">
        <f>[1]节奏总纲!AX20</f>
        <v>0.10383366623719237</v>
      </c>
      <c r="AY20" s="2"/>
      <c r="AZ20" s="2">
        <v>17</v>
      </c>
      <c r="BA20" s="7">
        <f>[1]节奏总纲!BA20</f>
        <v>26.881584971473956</v>
      </c>
      <c r="BB20" s="7">
        <f>[1]节奏总纲!BB20</f>
        <v>28.225778459464117</v>
      </c>
      <c r="BC20" s="7">
        <f>[1]节奏总纲!BC20</f>
        <v>29.996101634569786</v>
      </c>
      <c r="BD20" s="7">
        <f>[1]节奏总纲!BD20</f>
        <v>32.477877425165822</v>
      </c>
      <c r="BE20" s="7">
        <f>[1]节奏总纲!BE20</f>
        <v>36.947184852926306</v>
      </c>
    </row>
    <row r="21" spans="2:57" x14ac:dyDescent="0.15">
      <c r="F21" s="2">
        <v>19</v>
      </c>
      <c r="G21" s="2">
        <f t="shared" si="0"/>
        <v>2.7321319661472296</v>
      </c>
      <c r="I21" s="2">
        <v>19</v>
      </c>
      <c r="J21" s="2">
        <f t="shared" si="1"/>
        <v>4.3957950643309154</v>
      </c>
      <c r="K21" s="5">
        <v>0.68</v>
      </c>
      <c r="N21" s="11">
        <f>[1]节奏总纲!N21</f>
        <v>28</v>
      </c>
      <c r="O21" s="2">
        <v>18</v>
      </c>
      <c r="P21" s="6">
        <f>[1]节奏总纲!P21</f>
        <v>2.4822022531844965</v>
      </c>
      <c r="Q21" s="6">
        <f>[1]节奏总纲!Q21</f>
        <v>2.1515729130603214</v>
      </c>
      <c r="R21" s="6">
        <f>[1]节奏总纲!R21</f>
        <v>1.7690655458445907</v>
      </c>
      <c r="S21" s="6">
        <f>[1]节奏总纲!S21</f>
        <v>1.3066312660763189</v>
      </c>
      <c r="T21" s="6">
        <f>[1]节奏总纲!T21</f>
        <v>0.72554771860582834</v>
      </c>
      <c r="V21" s="2">
        <v>18</v>
      </c>
      <c r="W21" s="7">
        <f>[1]节奏总纲!W21</f>
        <v>0.23319266775955461</v>
      </c>
      <c r="X21" s="7">
        <f>[1]节奏总纲!X21</f>
        <v>0.20820373029462913</v>
      </c>
      <c r="Y21" s="7">
        <f>[1]节奏总纲!Y21</f>
        <v>0.17856596703207184</v>
      </c>
      <c r="Z21" s="7">
        <f>[1]节奏总纲!Z21</f>
        <v>0.13242336152595668</v>
      </c>
      <c r="AA21" s="7">
        <f>[1]节奏总纲!AA21</f>
        <v>7.2435334998425249E-2</v>
      </c>
      <c r="AC21" s="2">
        <v>18</v>
      </c>
      <c r="AD21" s="7">
        <f>[1]节奏总纲!AD21</f>
        <v>42.470630686057078</v>
      </c>
      <c r="AE21" s="7">
        <f>[1]节奏总纲!AE21</f>
        <v>44.32123076997032</v>
      </c>
      <c r="AF21" s="7">
        <f>[1]节奏总纲!AF21</f>
        <v>47.002405448181747</v>
      </c>
      <c r="AG21" s="7">
        <f>[1]节奏总纲!AG21</f>
        <v>51.307235833425089</v>
      </c>
      <c r="AH21" s="7">
        <f>[1]节奏总纲!AH21</f>
        <v>59.782901351568675</v>
      </c>
      <c r="AL21" s="2">
        <v>18</v>
      </c>
      <c r="AM21" s="6">
        <f>[1]节奏总纲!AM21</f>
        <v>3.671491735587451</v>
      </c>
      <c r="AN21" s="6">
        <f>[1]节奏总纲!AN21</f>
        <v>2.9371933884699608</v>
      </c>
      <c r="AO21" s="6">
        <f>[1]节奏总纲!AO21</f>
        <v>2.2028950413524706</v>
      </c>
      <c r="AP21" s="6">
        <f>[1]节奏总纲!AP21</f>
        <v>1.4685966942349804</v>
      </c>
      <c r="AQ21" s="6">
        <f>[1]节奏总纲!AQ21</f>
        <v>0.7342983471174902</v>
      </c>
      <c r="AS21" s="2">
        <v>18</v>
      </c>
      <c r="AT21" s="7">
        <f>[1]节奏总纲!AT21</f>
        <v>0.61355148400884252</v>
      </c>
      <c r="AU21" s="7">
        <f>[1]节奏总纲!AU21</f>
        <v>0.49084118720707393</v>
      </c>
      <c r="AV21" s="7">
        <f>[1]节奏总纲!AV21</f>
        <v>0.36813089040530556</v>
      </c>
      <c r="AW21" s="7">
        <f>[1]节奏总纲!AW21</f>
        <v>0.24542059360353696</v>
      </c>
      <c r="AX21" s="7">
        <f>[1]节奏总纲!AX21</f>
        <v>0.12271029680176848</v>
      </c>
      <c r="AY21" s="2"/>
      <c r="AZ21" s="2">
        <v>18</v>
      </c>
      <c r="BA21" s="7">
        <f>[1]节奏总纲!BA21</f>
        <v>27.220371931959619</v>
      </c>
      <c r="BB21" s="7">
        <f>[1]节奏总纲!BB21</f>
        <v>28.568390277483555</v>
      </c>
      <c r="BC21" s="7">
        <f>[1]节奏总纲!BC21</f>
        <v>30.329493925593439</v>
      </c>
      <c r="BD21" s="7">
        <f>[1]节奏总纲!BD21</f>
        <v>32.842201900114915</v>
      </c>
      <c r="BE21" s="7">
        <f>[1]节奏总纲!BE21</f>
        <v>37.317457773889828</v>
      </c>
    </row>
    <row r="22" spans="2:57" x14ac:dyDescent="0.15">
      <c r="B22" s="16" t="s">
        <v>14</v>
      </c>
      <c r="C22" s="16"/>
      <c r="D22" s="16"/>
      <c r="F22" s="2">
        <v>20</v>
      </c>
      <c r="G22" s="2">
        <f t="shared" si="0"/>
        <v>3</v>
      </c>
      <c r="I22" s="2">
        <v>20</v>
      </c>
      <c r="J22" s="2">
        <f t="shared" si="1"/>
        <v>5.25</v>
      </c>
      <c r="K22" s="5">
        <v>0.7</v>
      </c>
      <c r="N22" s="11">
        <f>[1]节奏总纲!N22</f>
        <v>29</v>
      </c>
      <c r="O22" s="2">
        <v>19</v>
      </c>
      <c r="P22" s="6">
        <f>[1]节奏总纲!P22</f>
        <v>2.7321319661472296</v>
      </c>
      <c r="Q22" s="6">
        <f>[1]节奏总纲!Q22</f>
        <v>2.3734030389920986</v>
      </c>
      <c r="R22" s="6">
        <f>[1]节奏总纲!R22</f>
        <v>1.9510154370257367</v>
      </c>
      <c r="S22" s="6">
        <f>[1]节奏总纲!S22</f>
        <v>1.4395603329629754</v>
      </c>
      <c r="T22" s="6">
        <f>[1]节奏总纲!T22</f>
        <v>0.80270037165405606</v>
      </c>
      <c r="V22" s="2">
        <v>19</v>
      </c>
      <c r="W22" s="7">
        <f>[1]节奏总纲!W22</f>
        <v>0.24992971296273314</v>
      </c>
      <c r="X22" s="7">
        <f>[1]节奏总纲!X22</f>
        <v>0.2218301259317772</v>
      </c>
      <c r="Y22" s="7">
        <f>[1]节奏总纲!Y22</f>
        <v>0.18194989118114591</v>
      </c>
      <c r="Z22" s="7">
        <f>[1]节奏总纲!Z22</f>
        <v>0.13292906688665651</v>
      </c>
      <c r="AA22" s="7">
        <f>[1]节奏总纲!AA22</f>
        <v>7.7152653048227715E-2</v>
      </c>
      <c r="AC22" s="2">
        <v>19</v>
      </c>
      <c r="AD22" s="7">
        <f>[1]节奏总纲!AD22</f>
        <v>43.213386604241784</v>
      </c>
      <c r="AE22" s="7">
        <f>[1]节奏总纲!AE22</f>
        <v>45.070782602372333</v>
      </c>
      <c r="AF22" s="7">
        <f>[1]节奏总纲!AF22</f>
        <v>47.752799438858894</v>
      </c>
      <c r="AG22" s="7">
        <f>[1]节奏总纲!AG22</f>
        <v>52.050057424983954</v>
      </c>
      <c r="AH22" s="7">
        <f>[1]节奏总纲!AH22</f>
        <v>60.54585273688761</v>
      </c>
      <c r="AL22" s="2">
        <v>19</v>
      </c>
      <c r="AM22" s="6">
        <f>[1]节奏总纲!AM22</f>
        <v>4.3957950643309154</v>
      </c>
      <c r="AN22" s="6">
        <f>[1]节奏总纲!AN22</f>
        <v>3.5166360514647326</v>
      </c>
      <c r="AO22" s="6">
        <f>[1]节奏总纲!AO22</f>
        <v>2.6374770385985493</v>
      </c>
      <c r="AP22" s="6">
        <f>[1]节奏总纲!AP22</f>
        <v>1.7583180257323663</v>
      </c>
      <c r="AQ22" s="6">
        <f>[1]节奏总纲!AQ22</f>
        <v>0.87915901286618314</v>
      </c>
      <c r="AS22" s="2">
        <v>19</v>
      </c>
      <c r="AT22" s="7">
        <f>[1]节奏总纲!AT22</f>
        <v>0.72430332874346437</v>
      </c>
      <c r="AU22" s="7">
        <f>[1]节奏总纲!AU22</f>
        <v>0.57944266299477176</v>
      </c>
      <c r="AV22" s="7">
        <f>[1]节奏总纲!AV22</f>
        <v>0.43458199724607871</v>
      </c>
      <c r="AW22" s="7">
        <f>[1]节奏总纲!AW22</f>
        <v>0.28972133149738588</v>
      </c>
      <c r="AX22" s="7">
        <f>[1]节奏总纲!AX22</f>
        <v>0.14486066574869294</v>
      </c>
      <c r="AY22" s="2"/>
      <c r="AZ22" s="2">
        <v>19</v>
      </c>
      <c r="BA22" s="7">
        <f>[1]节奏总纲!BA22</f>
        <v>27.541701089775092</v>
      </c>
      <c r="BB22" s="7">
        <f>[1]节奏总纲!BB22</f>
        <v>28.911002095502997</v>
      </c>
      <c r="BC22" s="7">
        <f>[1]节奏总纲!BC22</f>
        <v>30.662316072657521</v>
      </c>
      <c r="BD22" s="7">
        <f>[1]节奏总纲!BD22</f>
        <v>33.176527924103851</v>
      </c>
      <c r="BE22" s="7">
        <f>[1]节奏总纲!BE22</f>
        <v>37.680472138177471</v>
      </c>
    </row>
    <row r="23" spans="2:57" x14ac:dyDescent="0.15">
      <c r="B23" s="2" t="s">
        <v>43</v>
      </c>
      <c r="C23" s="2" t="s">
        <v>15</v>
      </c>
      <c r="D23" s="2" t="s">
        <v>16</v>
      </c>
      <c r="F23" s="2">
        <v>21</v>
      </c>
      <c r="G23" s="2">
        <f t="shared" si="0"/>
        <v>3.2870938501451725</v>
      </c>
      <c r="I23" s="2">
        <v>21</v>
      </c>
      <c r="J23" s="2">
        <f t="shared" si="1"/>
        <v>6.2565025247829205</v>
      </c>
      <c r="K23" s="5">
        <v>0.72</v>
      </c>
      <c r="N23" s="11">
        <f>[1]节奏总纲!N23</f>
        <v>30</v>
      </c>
      <c r="O23" s="2">
        <v>20</v>
      </c>
      <c r="P23" s="6">
        <f>[1]节奏总纲!P23</f>
        <v>3</v>
      </c>
      <c r="Q23" s="6">
        <f>[1]节奏总纲!Q23</f>
        <v>2.6036999999999999</v>
      </c>
      <c r="R23" s="6">
        <f>[1]节奏总纲!R23</f>
        <v>2.1372</v>
      </c>
      <c r="S23" s="6">
        <f>[1]节奏总纲!S23</f>
        <v>1.5800999999999998</v>
      </c>
      <c r="T23" s="6">
        <f>[1]节奏总纲!T23</f>
        <v>0.87990000000000002</v>
      </c>
      <c r="V23" s="2">
        <v>20</v>
      </c>
      <c r="W23" s="7">
        <f>[1]节奏总纲!W23</f>
        <v>0.26786803385277036</v>
      </c>
      <c r="X23" s="7">
        <f>[1]节奏总纲!X23</f>
        <v>0.23029696100790131</v>
      </c>
      <c r="Y23" s="7">
        <f>[1]节奏总纲!Y23</f>
        <v>0.18618456297426333</v>
      </c>
      <c r="Z23" s="7">
        <f>[1]节奏总纲!Z23</f>
        <v>0.14053966703702447</v>
      </c>
      <c r="AA23" s="7">
        <f>[1]节奏总纲!AA23</f>
        <v>7.719962834594396E-2</v>
      </c>
      <c r="AC23" s="2">
        <v>20</v>
      </c>
      <c r="AD23" s="7">
        <f>[1]节奏总纲!AD23</f>
        <v>43.920692243099523</v>
      </c>
      <c r="AE23" s="7">
        <f>[1]节奏总纲!AE23</f>
        <v>45.780025086357675</v>
      </c>
      <c r="AF23" s="7">
        <f>[1]节奏总纲!AF23</f>
        <v>48.482447528152484</v>
      </c>
      <c r="AG23" s="7">
        <f>[1]节奏总纲!AG23</f>
        <v>52.769987980532711</v>
      </c>
      <c r="AH23" s="7">
        <f>[1]节奏总纲!AH23</f>
        <v>61.261422558944936</v>
      </c>
      <c r="AL23" s="2">
        <v>20</v>
      </c>
      <c r="AM23" s="6">
        <f>[1]节奏总纲!AM23</f>
        <v>5.25</v>
      </c>
      <c r="AN23" s="6">
        <f>[1]节奏总纲!AN23</f>
        <v>4.2</v>
      </c>
      <c r="AO23" s="6">
        <f>[1]节奏总纲!AO23</f>
        <v>3.15</v>
      </c>
      <c r="AP23" s="6">
        <f>[1]节奏总纲!AP23</f>
        <v>2.1</v>
      </c>
      <c r="AQ23" s="6">
        <f>[1]节奏总纲!AQ23</f>
        <v>1.05</v>
      </c>
      <c r="AS23" s="2">
        <v>20</v>
      </c>
      <c r="AT23" s="7">
        <f>[1]节奏总纲!AT23</f>
        <v>0.85420493566908462</v>
      </c>
      <c r="AU23" s="7">
        <f>[1]节奏总纲!AU23</f>
        <v>0.68336394853526761</v>
      </c>
      <c r="AV23" s="7">
        <f>[1]节奏总纲!AV23</f>
        <v>0.51252296140145059</v>
      </c>
      <c r="AW23" s="7">
        <f>[1]节奏总纲!AW23</f>
        <v>0.3416819742676338</v>
      </c>
      <c r="AX23" s="7">
        <f>[1]节奏总纲!AX23</f>
        <v>0.1708409871338169</v>
      </c>
      <c r="AY23" s="2"/>
      <c r="AZ23" s="2">
        <v>20</v>
      </c>
      <c r="BA23" s="7">
        <f>[1]节奏总纲!BA23</f>
        <v>27.863030247590562</v>
      </c>
      <c r="BB23" s="7">
        <f>[1]节奏总纲!BB23</f>
        <v>29.216428548527322</v>
      </c>
      <c r="BC23" s="7">
        <f>[1]节奏总纲!BC23</f>
        <v>30.995138219721603</v>
      </c>
      <c r="BD23" s="7">
        <f>[1]节奏总纲!BD23</f>
        <v>33.487933395889513</v>
      </c>
      <c r="BE23" s="7">
        <f>[1]节奏总纲!BE23</f>
        <v>38.037513426486328</v>
      </c>
    </row>
    <row r="24" spans="2:57" x14ac:dyDescent="0.15">
      <c r="B24" s="2">
        <v>5</v>
      </c>
      <c r="C24" s="2">
        <f>D24</f>
        <v>0.5</v>
      </c>
      <c r="D24" s="2">
        <f>2^(B24/5-1)*0.5</f>
        <v>0.5</v>
      </c>
      <c r="F24" s="2">
        <v>22</v>
      </c>
      <c r="G24" s="2">
        <f t="shared" si="0"/>
        <v>3.5947934199881395</v>
      </c>
      <c r="I24" s="2">
        <v>22</v>
      </c>
      <c r="J24" s="2">
        <f t="shared" si="1"/>
        <v>7.4414868317755332</v>
      </c>
      <c r="K24" s="5">
        <v>0.74</v>
      </c>
      <c r="N24" s="11">
        <f>[1]节奏总纲!N24</f>
        <v>31</v>
      </c>
      <c r="O24" s="2">
        <v>21</v>
      </c>
      <c r="P24" s="6">
        <f>[1]节奏总纲!P24</f>
        <v>3.2870938501451725</v>
      </c>
      <c r="Q24" s="6">
        <f>[1]节奏总纲!Q24</f>
        <v>2.8518826243859516</v>
      </c>
      <c r="R24" s="6">
        <f>[1]节奏总纲!R24</f>
        <v>2.3466562996186386</v>
      </c>
      <c r="S24" s="6">
        <f>[1]节奏总纲!S24</f>
        <v>1.7365716810316947</v>
      </c>
      <c r="T24" s="6">
        <f>[1]节奏总纲!T24</f>
        <v>0.97166494210291288</v>
      </c>
      <c r="V24" s="2">
        <v>21</v>
      </c>
      <c r="W24" s="7">
        <f>[1]节奏总纲!W24</f>
        <v>0.28709385014517252</v>
      </c>
      <c r="X24" s="7">
        <f>[1]节奏总纲!X24</f>
        <v>0.24818262438595173</v>
      </c>
      <c r="Y24" s="7">
        <f>[1]节奏总纲!Y24</f>
        <v>0.20945629961863865</v>
      </c>
      <c r="Z24" s="7">
        <f>[1]节奏总纲!Z24</f>
        <v>0.15647168103169484</v>
      </c>
      <c r="AA24" s="7">
        <f>[1]节奏总纲!AA24</f>
        <v>9.1764942102912861E-2</v>
      </c>
      <c r="AC24" s="2">
        <v>21</v>
      </c>
      <c r="AD24" s="7">
        <f>[1]节奏总纲!AD24</f>
        <v>44.585942742481357</v>
      </c>
      <c r="AE24" s="7">
        <f>[1]节奏总纲!AE24</f>
        <v>46.455967430551723</v>
      </c>
      <c r="AF24" s="7">
        <f>[1]节奏总纲!AF24</f>
        <v>49.18886033229559</v>
      </c>
      <c r="AG24" s="7">
        <f>[1]节奏总纲!AG24</f>
        <v>53.471660769826336</v>
      </c>
      <c r="AH24" s="7">
        <f>[1]节奏总纲!AH24</f>
        <v>61.918453772109508</v>
      </c>
      <c r="AL24" s="2">
        <v>21</v>
      </c>
      <c r="AM24" s="6">
        <f>[1]节奏总纲!AM24</f>
        <v>6.2565025247829205</v>
      </c>
      <c r="AN24" s="6">
        <f>[1]节奏总纲!AN24</f>
        <v>5.0052020198263367</v>
      </c>
      <c r="AO24" s="6">
        <f>[1]节奏总纲!AO24</f>
        <v>3.7539015148697521</v>
      </c>
      <c r="AP24" s="6">
        <f>[1]节奏总纲!AP24</f>
        <v>2.5026010099131684</v>
      </c>
      <c r="AQ24" s="6">
        <f>[1]节奏总纲!AQ24</f>
        <v>1.2513005049565842</v>
      </c>
      <c r="AS24" s="2">
        <v>21</v>
      </c>
      <c r="AT24" s="7">
        <f>[1]节奏总纲!AT24</f>
        <v>1.0065025247829205</v>
      </c>
      <c r="AU24" s="7">
        <f>[1]节奏总纲!AU24</f>
        <v>0.80520201982633655</v>
      </c>
      <c r="AV24" s="7">
        <f>[1]节奏总纲!AV24</f>
        <v>0.60390151486975219</v>
      </c>
      <c r="AW24" s="7">
        <f>[1]节奏总纲!AW24</f>
        <v>0.40260100991316827</v>
      </c>
      <c r="AX24" s="7">
        <f>[1]节奏总纲!AX24</f>
        <v>0.20130050495658414</v>
      </c>
      <c r="AY24" s="2"/>
      <c r="AZ24" s="2">
        <v>21</v>
      </c>
      <c r="BA24" s="7">
        <f>[1]节奏总纲!BA24</f>
        <v>28.157256095860227</v>
      </c>
      <c r="BB24" s="7">
        <f>[1]节奏总纲!BB24</f>
        <v>29.508805955793246</v>
      </c>
      <c r="BC24" s="7">
        <f>[1]节奏总纲!BC24</f>
        <v>31.280110398778046</v>
      </c>
      <c r="BD24" s="7">
        <f>[1]节奏总纲!BD24</f>
        <v>33.799338867675175</v>
      </c>
      <c r="BE24" s="7">
        <f>[1]节奏总纲!BE24</f>
        <v>38.35066605767593</v>
      </c>
    </row>
    <row r="25" spans="2:57" x14ac:dyDescent="0.15">
      <c r="B25" s="2">
        <v>10</v>
      </c>
      <c r="C25" s="2">
        <f t="shared" ref="C25:C35" si="4">C24+D25</f>
        <v>1.5</v>
      </c>
      <c r="D25" s="2">
        <f t="shared" ref="D25:D35" si="5">2^(B25/5-1)*0.5</f>
        <v>1</v>
      </c>
      <c r="F25" s="2">
        <v>23</v>
      </c>
      <c r="G25" s="2">
        <f t="shared" si="0"/>
        <v>3.9245776533796644</v>
      </c>
      <c r="I25" s="2">
        <v>23</v>
      </c>
      <c r="J25" s="2">
        <f t="shared" si="1"/>
        <v>8.8355567243832152</v>
      </c>
      <c r="K25" s="5">
        <v>0.76</v>
      </c>
      <c r="N25" s="11">
        <f>[1]节奏总纲!N25</f>
        <v>32</v>
      </c>
      <c r="O25" s="2">
        <v>22</v>
      </c>
      <c r="P25" s="6">
        <f>[1]节奏总纲!P25</f>
        <v>3.5947934199881395</v>
      </c>
      <c r="Q25" s="6">
        <f>[1]节奏总纲!Q25</f>
        <v>3.124234961311692</v>
      </c>
      <c r="R25" s="6">
        <f>[1]节奏总纲!R25</f>
        <v>2.5749505267375046</v>
      </c>
      <c r="S25" s="6">
        <f>[1]节奏总纲!S25</f>
        <v>1.9077568679877055</v>
      </c>
      <c r="T25" s="6">
        <f>[1]节奏总纲!T25</f>
        <v>1.0687320837624739</v>
      </c>
      <c r="V25" s="2">
        <v>22</v>
      </c>
      <c r="W25" s="7">
        <f>[1]节奏总纲!W25</f>
        <v>0.30769956984296698</v>
      </c>
      <c r="X25" s="7">
        <f>[1]节奏总纲!X25</f>
        <v>0.27235233692574035</v>
      </c>
      <c r="Y25" s="7">
        <f>[1]节奏总纲!Y25</f>
        <v>0.22829422711886593</v>
      </c>
      <c r="Z25" s="7">
        <f>[1]节奏总纲!Z25</f>
        <v>0.17118518695601082</v>
      </c>
      <c r="AA25" s="7">
        <f>[1]节奏总纲!AA25</f>
        <v>9.7067141659560985E-2</v>
      </c>
      <c r="AC25" s="2">
        <v>22</v>
      </c>
      <c r="AD25" s="7">
        <f>[1]节奏总纲!AD25</f>
        <v>45.229416240679988</v>
      </c>
      <c r="AE25" s="7">
        <f>[1]节奏总纲!AE25</f>
        <v>47.110426931480873</v>
      </c>
      <c r="AF25" s="7">
        <f>[1]节奏总纲!AF25</f>
        <v>49.861837738505173</v>
      </c>
      <c r="AG25" s="7">
        <f>[1]节奏总纲!AG25</f>
        <v>54.15637358335789</v>
      </c>
      <c r="AH25" s="7">
        <f>[1]节奏总纲!AH25</f>
        <v>62.555781631668886</v>
      </c>
      <c r="AL25" s="2">
        <v>22</v>
      </c>
      <c r="AM25" s="6">
        <f>[1]节奏总纲!AM25</f>
        <v>7.4414868317755332</v>
      </c>
      <c r="AN25" s="6">
        <f>[1]节奏总纲!AN25</f>
        <v>5.9531894654204267</v>
      </c>
      <c r="AO25" s="6">
        <f>[1]节奏总纲!AO25</f>
        <v>4.4648920990653194</v>
      </c>
      <c r="AP25" s="6">
        <f>[1]节奏总纲!AP25</f>
        <v>2.9765947327102134</v>
      </c>
      <c r="AQ25" s="6">
        <f>[1]节奏总纲!AQ25</f>
        <v>1.4882973663551067</v>
      </c>
      <c r="AS25" s="2">
        <v>22</v>
      </c>
      <c r="AT25" s="7">
        <f>[1]节奏总纲!AT25</f>
        <v>1.1849843069926127</v>
      </c>
      <c r="AU25" s="7">
        <f>[1]节奏总纲!AU25</f>
        <v>0.94798744559408998</v>
      </c>
      <c r="AV25" s="7">
        <f>[1]节奏总纲!AV25</f>
        <v>0.71099058419556727</v>
      </c>
      <c r="AW25" s="7">
        <f>[1]节奏总纲!AW25</f>
        <v>0.47399372279704499</v>
      </c>
      <c r="AX25" s="7">
        <f>[1]节奏总纲!AX25</f>
        <v>0.2369968613985225</v>
      </c>
      <c r="AY25" s="2"/>
      <c r="AZ25" s="2">
        <v>22</v>
      </c>
      <c r="BA25" s="7">
        <f>[1]节奏总纲!BA25</f>
        <v>28.431345550275779</v>
      </c>
      <c r="BB25" s="7">
        <f>[1]节奏总纲!BB25</f>
        <v>29.80118336305917</v>
      </c>
      <c r="BC25" s="7">
        <f>[1]节奏总纲!BC25</f>
        <v>31.564373235931193</v>
      </c>
      <c r="BD25" s="7">
        <f>[1]节奏总纲!BD25</f>
        <v>34.09469189131628</v>
      </c>
      <c r="BE25" s="7">
        <f>[1]节奏总纲!BE25</f>
        <v>38.663818688865533</v>
      </c>
    </row>
    <row r="26" spans="2:57" x14ac:dyDescent="0.15">
      <c r="B26" s="2">
        <v>15</v>
      </c>
      <c r="C26" s="2">
        <f t="shared" si="4"/>
        <v>3.5</v>
      </c>
      <c r="D26" s="2">
        <f t="shared" si="5"/>
        <v>2</v>
      </c>
      <c r="F26" s="2">
        <v>24</v>
      </c>
      <c r="G26" s="2">
        <f t="shared" si="0"/>
        <v>4.2780316430915768</v>
      </c>
      <c r="I26" s="2">
        <v>24</v>
      </c>
      <c r="J26" s="2">
        <f t="shared" si="1"/>
        <v>10.47447102993563</v>
      </c>
      <c r="K26" s="5">
        <v>0.78</v>
      </c>
      <c r="N26" s="11">
        <f>[1]节奏总纲!N26</f>
        <v>33</v>
      </c>
      <c r="O26" s="2">
        <v>23</v>
      </c>
      <c r="P26" s="6">
        <f>[1]节奏总纲!P26</f>
        <v>3.9245776533796644</v>
      </c>
      <c r="Q26" s="6">
        <f>[1]节奏总纲!Q26</f>
        <v>3.4081032341949005</v>
      </c>
      <c r="R26" s="6">
        <f>[1]节奏总纲!R26</f>
        <v>2.8064654799317976</v>
      </c>
      <c r="S26" s="6">
        <f>[1]节奏总纲!S26</f>
        <v>2.0796336985258841</v>
      </c>
      <c r="T26" s="6">
        <f>[1]节奏总纲!T26</f>
        <v>1.1608900698697047</v>
      </c>
      <c r="V26" s="2">
        <v>23</v>
      </c>
      <c r="W26" s="7">
        <f>[1]节奏总纲!W26</f>
        <v>0.32978423339152485</v>
      </c>
      <c r="X26" s="7">
        <f>[1]节奏总纲!X26</f>
        <v>0.28386827288320848</v>
      </c>
      <c r="Y26" s="7">
        <f>[1]节奏总纲!Y26</f>
        <v>0.23151495319429305</v>
      </c>
      <c r="Z26" s="7">
        <f>[1]节奏总纲!Z26</f>
        <v>0.17187683053817859</v>
      </c>
      <c r="AA26" s="7">
        <f>[1]节奏总纲!AA26</f>
        <v>9.2157986107230805E-2</v>
      </c>
      <c r="AC26" s="2">
        <v>23</v>
      </c>
      <c r="AD26" s="7">
        <f>[1]节奏总纲!AD26</f>
        <v>45.845161563010116</v>
      </c>
      <c r="AE26" s="7">
        <f>[1]节奏总纲!AE26</f>
        <v>47.734594805743399</v>
      </c>
      <c r="AF26" s="7">
        <f>[1]节奏总纲!AF26</f>
        <v>50.503430607741265</v>
      </c>
      <c r="AG26" s="7">
        <f>[1]节奏总纲!AG26</f>
        <v>54.814188287451351</v>
      </c>
      <c r="AH26" s="7">
        <f>[1]节奏总纲!AH26</f>
        <v>63.182677965405439</v>
      </c>
      <c r="AL26" s="2">
        <v>23</v>
      </c>
      <c r="AM26" s="6">
        <f>[1]节奏总纲!AM26</f>
        <v>8.8355567243832152</v>
      </c>
      <c r="AN26" s="6">
        <f>[1]节奏总纲!AN26</f>
        <v>7.0684453795065725</v>
      </c>
      <c r="AO26" s="6">
        <f>[1]节奏总纲!AO26</f>
        <v>5.3013340346299289</v>
      </c>
      <c r="AP26" s="6">
        <f>[1]节奏总纲!AP26</f>
        <v>3.5342226897532862</v>
      </c>
      <c r="AQ26" s="6">
        <f>[1]节奏总纲!AQ26</f>
        <v>1.7671113448766431</v>
      </c>
      <c r="AS26" s="2">
        <v>23</v>
      </c>
      <c r="AT26" s="7">
        <f>[1]节奏总纲!AT26</f>
        <v>1.394069892607682</v>
      </c>
      <c r="AU26" s="7">
        <f>[1]节奏总纲!AU26</f>
        <v>1.1152559140861458</v>
      </c>
      <c r="AV26" s="7">
        <f>[1]节奏总纲!AV26</f>
        <v>0.83644193556460955</v>
      </c>
      <c r="AW26" s="7">
        <f>[1]节奏总纲!AW26</f>
        <v>0.55762795704307289</v>
      </c>
      <c r="AX26" s="7">
        <f>[1]节奏总纲!AX26</f>
        <v>0.27881397852153644</v>
      </c>
      <c r="AY26" s="2"/>
      <c r="AZ26" s="2">
        <v>23</v>
      </c>
      <c r="BA26" s="7">
        <f>[1]节奏总纲!BA26</f>
        <v>28.705435004691331</v>
      </c>
      <c r="BB26" s="7">
        <f>[1]节奏总纲!BB26</f>
        <v>30.079877315295377</v>
      </c>
      <c r="BC26" s="7">
        <f>[1]节奏总纲!BC26</f>
        <v>31.848636073084339</v>
      </c>
      <c r="BD26" s="7">
        <f>[1]节奏总纲!BD26</f>
        <v>34.360958982105608</v>
      </c>
      <c r="BE26" s="7">
        <f>[1]节奏总纲!BE26</f>
        <v>38.976971320055128</v>
      </c>
    </row>
    <row r="27" spans="2:57" x14ac:dyDescent="0.15">
      <c r="B27" s="2">
        <v>20</v>
      </c>
      <c r="C27" s="2">
        <f t="shared" si="4"/>
        <v>7.5</v>
      </c>
      <c r="D27" s="2">
        <f t="shared" si="5"/>
        <v>4</v>
      </c>
      <c r="F27" s="2">
        <v>25</v>
      </c>
      <c r="G27" s="2">
        <f t="shared" si="0"/>
        <v>4.6568542494923806</v>
      </c>
      <c r="I27" s="2">
        <v>25</v>
      </c>
      <c r="J27" s="2">
        <f t="shared" si="1"/>
        <v>12.4</v>
      </c>
      <c r="K27" s="5">
        <v>0.8</v>
      </c>
      <c r="N27" s="11">
        <f>[1]节奏总纲!N27</f>
        <v>34</v>
      </c>
      <c r="O27" s="2">
        <v>24</v>
      </c>
      <c r="P27" s="6">
        <f>[1]节奏总纲!P27</f>
        <v>4.2780316430915768</v>
      </c>
      <c r="Q27" s="6">
        <f>[1]节奏总纲!Q27</f>
        <v>3.7214597263253628</v>
      </c>
      <c r="R27" s="6">
        <f>[1]节奏总纲!R27</f>
        <v>3.0699155070825155</v>
      </c>
      <c r="S27" s="6">
        <f>[1]节奏总纲!S27</f>
        <v>2.2742016214674821</v>
      </c>
      <c r="T27" s="6">
        <f>[1]节奏总纲!T27</f>
        <v>1.2692919885052709</v>
      </c>
      <c r="V27" s="2">
        <v>24</v>
      </c>
      <c r="W27" s="7">
        <f>[1]节奏总纲!W27</f>
        <v>0.35345398971191244</v>
      </c>
      <c r="X27" s="7">
        <f>[1]节奏总纲!X27</f>
        <v>0.31335649213046235</v>
      </c>
      <c r="Y27" s="7">
        <f>[1]节奏总纲!Y27</f>
        <v>0.26345002715071786</v>
      </c>
      <c r="Z27" s="7">
        <f>[1]节奏总纲!Z27</f>
        <v>0.19456792294159797</v>
      </c>
      <c r="AA27" s="7">
        <f>[1]节奏总纲!AA27</f>
        <v>0.10840191863556625</v>
      </c>
      <c r="AC27" s="2">
        <v>24</v>
      </c>
      <c r="AD27" s="7">
        <f>[1]节奏总纲!AD27</f>
        <v>46.430041330048923</v>
      </c>
      <c r="AE27" s="7">
        <f>[1]节奏总纲!AE27</f>
        <v>48.330142263709867</v>
      </c>
      <c r="AF27" s="7">
        <f>[1]节奏总纲!AF27</f>
        <v>51.118578408701396</v>
      </c>
      <c r="AG27" s="7">
        <f>[1]节奏总纲!AG27</f>
        <v>55.44072585486321</v>
      </c>
      <c r="AH27" s="7">
        <f>[1]节奏总纲!AH27</f>
        <v>63.791742872142052</v>
      </c>
      <c r="AL27" s="2">
        <v>24</v>
      </c>
      <c r="AM27" s="6">
        <f>[1]节奏总纲!AM27</f>
        <v>10.47447102993563</v>
      </c>
      <c r="AN27" s="6">
        <f>[1]节奏总纲!AN27</f>
        <v>8.3795768239485042</v>
      </c>
      <c r="AO27" s="6">
        <f>[1]节奏总纲!AO27</f>
        <v>6.2846826179613782</v>
      </c>
      <c r="AP27" s="6">
        <f>[1]节奏总纲!AP27</f>
        <v>4.1897884119742521</v>
      </c>
      <c r="AQ27" s="6">
        <f>[1]节奏总纲!AQ27</f>
        <v>2.0948942059871261</v>
      </c>
      <c r="AS27" s="2">
        <v>24</v>
      </c>
      <c r="AT27" s="7">
        <f>[1]节奏总纲!AT27</f>
        <v>1.6389143055524151</v>
      </c>
      <c r="AU27" s="7">
        <f>[1]节奏总纲!AU27</f>
        <v>1.3111314444419317</v>
      </c>
      <c r="AV27" s="7">
        <f>[1]节奏总纲!AV27</f>
        <v>0.98334858333144926</v>
      </c>
      <c r="AW27" s="7">
        <f>[1]节奏总纲!AW27</f>
        <v>0.65556572222096587</v>
      </c>
      <c r="AX27" s="7">
        <f>[1]节奏总纲!AX27</f>
        <v>0.32778286111048294</v>
      </c>
      <c r="AY27" s="2"/>
      <c r="AZ27" s="2">
        <v>24</v>
      </c>
      <c r="BA27" s="7">
        <f>[1]节奏总纲!BA27</f>
        <v>28.979524459106884</v>
      </c>
      <c r="BB27" s="7">
        <f>[1]节奏总纲!BB27</f>
        <v>30.329493925593439</v>
      </c>
      <c r="BC27" s="7">
        <f>[1]节奏总纲!BC27</f>
        <v>32.113552950216736</v>
      </c>
      <c r="BD27" s="7">
        <f>[1]节奏总纲!BD27</f>
        <v>34.627226072894942</v>
      </c>
      <c r="BE27" s="7">
        <f>[1]节奏总纲!BE27</f>
        <v>39.250296194358178</v>
      </c>
    </row>
    <row r="28" spans="2:57" x14ac:dyDescent="0.15">
      <c r="B28" s="2">
        <v>25</v>
      </c>
      <c r="C28" s="2">
        <f t="shared" si="4"/>
        <v>15.5</v>
      </c>
      <c r="D28" s="2">
        <f t="shared" si="5"/>
        <v>8</v>
      </c>
      <c r="F28" s="2">
        <v>26</v>
      </c>
      <c r="G28" s="2">
        <f t="shared" si="0"/>
        <v>5.062866266041592</v>
      </c>
      <c r="I28" s="2">
        <v>26</v>
      </c>
      <c r="J28" s="2">
        <f t="shared" si="1"/>
        <v>14.6609224175611</v>
      </c>
      <c r="K28" s="5">
        <v>0.82</v>
      </c>
      <c r="N28" s="11">
        <f>[1]节奏总纲!N28</f>
        <v>35</v>
      </c>
      <c r="O28" s="2">
        <v>25</v>
      </c>
      <c r="P28" s="6">
        <f>[1]节奏总纲!P28</f>
        <v>4.6568542494923806</v>
      </c>
      <c r="Q28" s="6">
        <f>[1]节奏总纲!Q28</f>
        <v>4.054257309608067</v>
      </c>
      <c r="R28" s="6">
        <f>[1]节奏总纲!R28</f>
        <v>3.3445527219854276</v>
      </c>
      <c r="S28" s="6">
        <f>[1]节奏总纲!S28</f>
        <v>2.478377831579845</v>
      </c>
      <c r="T28" s="6">
        <f>[1]节奏总纲!T28</f>
        <v>1.3802915995495415</v>
      </c>
      <c r="V28" s="2">
        <v>25</v>
      </c>
      <c r="W28" s="7">
        <f>[1]节奏总纲!W28</f>
        <v>0.37882260640080379</v>
      </c>
      <c r="X28" s="7">
        <f>[1]节奏总纲!X28</f>
        <v>0.33279758328270415</v>
      </c>
      <c r="Y28" s="7">
        <f>[1]节奏总纲!Y28</f>
        <v>0.27463721490291215</v>
      </c>
      <c r="Z28" s="7">
        <f>[1]节奏总纲!Z28</f>
        <v>0.20417621011236298</v>
      </c>
      <c r="AA28" s="7">
        <f>[1]节奏总纲!AA28</f>
        <v>0.11099961104427059</v>
      </c>
      <c r="AC28" s="2">
        <v>25</v>
      </c>
      <c r="AD28" s="7">
        <f>[1]节奏总纲!AD28</f>
        <v>47.004247194324648</v>
      </c>
      <c r="AE28" s="7">
        <f>[1]节奏总纲!AE28</f>
        <v>48.904516930942819</v>
      </c>
      <c r="AF28" s="7">
        <f>[1]节奏总纲!AF28</f>
        <v>51.667220029142385</v>
      </c>
      <c r="AG28" s="7">
        <f>[1]节奏总纲!AG28</f>
        <v>56.05100027504308</v>
      </c>
      <c r="AH28" s="7">
        <f>[1]节奏总纲!AH28</f>
        <v>64.398425477456215</v>
      </c>
      <c r="AL28" s="2">
        <v>25</v>
      </c>
      <c r="AM28" s="6">
        <f>[1]节奏总纲!AM28</f>
        <v>12.4</v>
      </c>
      <c r="AN28" s="6">
        <f>[1]节奏总纲!AN28</f>
        <v>9.9200000000000017</v>
      </c>
      <c r="AO28" s="6">
        <f>[1]节奏总纲!AO28</f>
        <v>7.4399999999999995</v>
      </c>
      <c r="AP28" s="6">
        <f>[1]节奏总纲!AP28</f>
        <v>4.9600000000000009</v>
      </c>
      <c r="AQ28" s="6">
        <f>[1]节奏总纲!AQ28</f>
        <v>2.4800000000000004</v>
      </c>
      <c r="AS28" s="2">
        <v>25</v>
      </c>
      <c r="AT28" s="7">
        <f>[1]节奏总纲!AT28</f>
        <v>1.9255289700643701</v>
      </c>
      <c r="AU28" s="7">
        <f>[1]节奏总纲!AU28</f>
        <v>1.5404231760514975</v>
      </c>
      <c r="AV28" s="7">
        <f>[1]节奏总纲!AV28</f>
        <v>1.1553173820386213</v>
      </c>
      <c r="AW28" s="7">
        <f>[1]节奏总纲!AW28</f>
        <v>0.77021158802574874</v>
      </c>
      <c r="AX28" s="7">
        <f>[1]节奏总纲!AX28</f>
        <v>0.38510579401287437</v>
      </c>
      <c r="AY28" s="2"/>
      <c r="AZ28" s="2">
        <v>25</v>
      </c>
      <c r="BA28" s="7">
        <f>[1]节奏总纲!BA28</f>
        <v>29.216428548527322</v>
      </c>
      <c r="BB28" s="7">
        <f>[1]节奏总纲!BB28</f>
        <v>30.579110535891502</v>
      </c>
      <c r="BC28" s="7">
        <f>[1]节奏总纲!BC28</f>
        <v>32.356435933516131</v>
      </c>
      <c r="BD28" s="7">
        <f>[1]节奏总纲!BD28</f>
        <v>34.893493163684269</v>
      </c>
      <c r="BE28" s="7">
        <f>[1]节奏总纲!BE28</f>
        <v>39.520459727922798</v>
      </c>
    </row>
    <row r="29" spans="2:57" x14ac:dyDescent="0.15">
      <c r="B29" s="2">
        <v>30</v>
      </c>
      <c r="C29" s="2">
        <f t="shared" si="4"/>
        <v>31.5</v>
      </c>
      <c r="D29" s="2">
        <f t="shared" si="5"/>
        <v>16</v>
      </c>
      <c r="F29" s="2">
        <v>27</v>
      </c>
      <c r="G29" s="2">
        <f t="shared" si="0"/>
        <v>5.4980191708498847</v>
      </c>
      <c r="I29" s="2">
        <v>27</v>
      </c>
      <c r="J29" s="2">
        <f t="shared" si="1"/>
        <v>17.314186320787698</v>
      </c>
      <c r="K29" s="5">
        <v>0.84</v>
      </c>
      <c r="N29" s="11">
        <f>[1]节奏总纲!N29</f>
        <v>36</v>
      </c>
      <c r="O29" s="2">
        <v>26</v>
      </c>
      <c r="P29" s="6">
        <f>[1]节奏总纲!P29</f>
        <v>5.062866266041592</v>
      </c>
      <c r="Q29" s="6">
        <f>[1]节奏总纲!Q29</f>
        <v>4.408743944469018</v>
      </c>
      <c r="R29" s="6">
        <f>[1]节奏总纲!R29</f>
        <v>3.63716312552428</v>
      </c>
      <c r="S29" s="6">
        <f>[1]节奏总纲!S29</f>
        <v>2.6914197070277099</v>
      </c>
      <c r="T29" s="6">
        <f>[1]节奏总纲!T29</f>
        <v>1.4996209880015197</v>
      </c>
      <c r="V29" s="2">
        <v>26</v>
      </c>
      <c r="W29" s="7">
        <f>[1]节奏总纲!W29</f>
        <v>0.40601201654921137</v>
      </c>
      <c r="X29" s="7">
        <f>[1]节奏总纲!X29</f>
        <v>0.354486634860951</v>
      </c>
      <c r="Y29" s="7">
        <f>[1]节奏总纲!Y29</f>
        <v>0.29261040353885237</v>
      </c>
      <c r="Z29" s="7">
        <f>[1]节奏总纲!Z29</f>
        <v>0.2130418754478649</v>
      </c>
      <c r="AA29" s="7">
        <f>[1]节奏总纲!AA29</f>
        <v>0.11932938845197816</v>
      </c>
      <c r="AC29" s="2">
        <v>26</v>
      </c>
      <c r="AD29" s="7">
        <f>[1]节奏总纲!AD29</f>
        <v>47.540284631526092</v>
      </c>
      <c r="AE29" s="7">
        <f>[1]节奏总纲!AE29</f>
        <v>49.446133440059114</v>
      </c>
      <c r="AF29" s="7">
        <f>[1]节奏总纲!AF29</f>
        <v>52.199341027338768</v>
      </c>
      <c r="AG29" s="7">
        <f>[1]节奏总纲!AG29</f>
        <v>56.621068614050692</v>
      </c>
      <c r="AH29" s="7">
        <f>[1]节奏总纲!AH29</f>
        <v>65.00344105132713</v>
      </c>
      <c r="AL29" s="2">
        <v>26</v>
      </c>
      <c r="AM29" s="6">
        <f>[1]节奏总纲!AM29</f>
        <v>14.6609224175611</v>
      </c>
      <c r="AN29" s="6">
        <f>[1]节奏总纲!AN29</f>
        <v>11.72873793404888</v>
      </c>
      <c r="AO29" s="6">
        <f>[1]节奏总纲!AO29</f>
        <v>8.7965534505366598</v>
      </c>
      <c r="AP29" s="6">
        <f>[1]节奏总纲!AP29</f>
        <v>5.8643689670244399</v>
      </c>
      <c r="AQ29" s="6">
        <f>[1]节奏总纲!AQ29</f>
        <v>2.9321844835122199</v>
      </c>
      <c r="AS29" s="2">
        <v>26</v>
      </c>
      <c r="AT29" s="7">
        <f>[1]节奏总纲!AT29</f>
        <v>2.2609224175610994</v>
      </c>
      <c r="AU29" s="7">
        <f>[1]节奏总纲!AU29</f>
        <v>1.8087379340488781</v>
      </c>
      <c r="AV29" s="7">
        <f>[1]节奏总纲!AV29</f>
        <v>1.3565534505366603</v>
      </c>
      <c r="AW29" s="7">
        <f>[1]节奏总纲!AW29</f>
        <v>0.90436896702443903</v>
      </c>
      <c r="AX29" s="7">
        <f>[1]节奏总纲!AX29</f>
        <v>0.45218448351221951</v>
      </c>
      <c r="AY29" s="2"/>
      <c r="AZ29" s="2">
        <v>26</v>
      </c>
      <c r="BA29" s="7">
        <f>[1]节奏总纲!BA29</f>
        <v>29.45033047434006</v>
      </c>
      <c r="BB29" s="7">
        <f>[1]节奏总纲!BB29</f>
        <v>30.828727146189561</v>
      </c>
      <c r="BC29" s="7">
        <f>[1]节奏总纲!BC29</f>
        <v>32.59931891681552</v>
      </c>
      <c r="BD29" s="7">
        <f>[1]节奏总纲!BD29</f>
        <v>35.146386283795508</v>
      </c>
      <c r="BE29" s="7">
        <f>[1]节奏总纲!BE29</f>
        <v>39.790623261487418</v>
      </c>
    </row>
    <row r="30" spans="2:57" x14ac:dyDescent="0.15">
      <c r="B30" s="2">
        <v>35</v>
      </c>
      <c r="C30" s="2">
        <f t="shared" si="4"/>
        <v>63.5</v>
      </c>
      <c r="D30" s="2">
        <f t="shared" si="5"/>
        <v>32</v>
      </c>
      <c r="F30" s="2">
        <v>28</v>
      </c>
      <c r="G30" s="2">
        <f t="shared" si="0"/>
        <v>5.9644045063689921</v>
      </c>
      <c r="I30" s="2">
        <v>28</v>
      </c>
      <c r="J30" s="2">
        <f t="shared" si="1"/>
        <v>20.42625995518307</v>
      </c>
      <c r="K30" s="5">
        <v>0.86</v>
      </c>
      <c r="N30" s="11">
        <f>[1]节奏总纲!N30</f>
        <v>37</v>
      </c>
      <c r="O30" s="2">
        <v>27</v>
      </c>
      <c r="P30" s="6">
        <f>[1]节奏总纲!P30</f>
        <v>5.4980191708498847</v>
      </c>
      <c r="Q30" s="6">
        <f>[1]节奏总纲!Q30</f>
        <v>4.7882248958931646</v>
      </c>
      <c r="R30" s="6">
        <f>[1]节奏总纲!R30</f>
        <v>3.9492271704214725</v>
      </c>
      <c r="S30" s="6">
        <f>[1]节奏总纲!S30</f>
        <v>2.9205477835554587</v>
      </c>
      <c r="T30" s="6">
        <f>[1]节奏总纲!T30</f>
        <v>1.6290630803228208</v>
      </c>
      <c r="V30" s="2">
        <v>27</v>
      </c>
      <c r="W30" s="7">
        <f>[1]节奏总纲!W30</f>
        <v>0.43515290480829272</v>
      </c>
      <c r="X30" s="7">
        <f>[1]节奏总纲!X30</f>
        <v>0.37948095142414662</v>
      </c>
      <c r="Y30" s="7">
        <f>[1]节奏总纲!Y30</f>
        <v>0.31206404489719253</v>
      </c>
      <c r="Z30" s="7">
        <f>[1]节奏总纲!Z30</f>
        <v>0.2291280765277488</v>
      </c>
      <c r="AA30" s="7">
        <f>[1]节奏总纲!AA30</f>
        <v>0.12944209232130111</v>
      </c>
      <c r="AC30" s="2">
        <v>27</v>
      </c>
      <c r="AD30" s="7">
        <f>[1]节奏总纲!AD30</f>
        <v>48.071211008105138</v>
      </c>
      <c r="AE30" s="7">
        <f>[1]节奏总纲!AE30</f>
        <v>49.981218513907905</v>
      </c>
      <c r="AF30" s="7">
        <f>[1]节奏总纲!AF30</f>
        <v>52.705993248660157</v>
      </c>
      <c r="AG30" s="7">
        <f>[1]节奏总纲!AG30</f>
        <v>57.175765669822162</v>
      </c>
      <c r="AH30" s="7">
        <f>[1]节奏总纲!AH30</f>
        <v>65.541743280100334</v>
      </c>
      <c r="AL30" s="2">
        <v>27</v>
      </c>
      <c r="AM30" s="6">
        <f>[1]节奏总纲!AM30</f>
        <v>17.314186320787698</v>
      </c>
      <c r="AN30" s="6">
        <f>[1]节奏总纲!AN30</f>
        <v>13.851349056630159</v>
      </c>
      <c r="AO30" s="6">
        <f>[1]节奏总纲!AO30</f>
        <v>10.388511792472618</v>
      </c>
      <c r="AP30" s="6">
        <f>[1]节奏总纲!AP30</f>
        <v>6.9256745283150796</v>
      </c>
      <c r="AQ30" s="6">
        <f>[1]节奏总纲!AQ30</f>
        <v>3.4628372641575398</v>
      </c>
      <c r="AS30" s="2">
        <v>27</v>
      </c>
      <c r="AT30" s="7">
        <f>[1]节奏总纲!AT30</f>
        <v>2.6532639032265983</v>
      </c>
      <c r="AU30" s="7">
        <f>[1]节奏总纲!AU30</f>
        <v>2.1226111225812794</v>
      </c>
      <c r="AV30" s="7">
        <f>[1]节奏总纲!AV30</f>
        <v>1.5919583419359586</v>
      </c>
      <c r="AW30" s="7">
        <f>[1]节奏总纲!AW30</f>
        <v>1.0613055612906397</v>
      </c>
      <c r="AX30" s="7">
        <f>[1]节奏总纲!AX30</f>
        <v>0.53065278064531984</v>
      </c>
      <c r="AY30" s="2"/>
      <c r="AZ30" s="2">
        <v>27</v>
      </c>
      <c r="BA30" s="7">
        <f>[1]节奏总纲!BA30</f>
        <v>29.684232400152801</v>
      </c>
      <c r="BB30" s="7">
        <f>[1]节奏总纲!BB30</f>
        <v>31.066913270913183</v>
      </c>
      <c r="BC30" s="7">
        <f>[1]节奏总纲!BC30</f>
        <v>32.842201900114915</v>
      </c>
      <c r="BD30" s="7">
        <f>[1]节奏总纲!BD30</f>
        <v>35.390363423454687</v>
      </c>
      <c r="BE30" s="7">
        <f>[1]节奏总纲!BE30</f>
        <v>40.052446592012309</v>
      </c>
    </row>
    <row r="31" spans="2:57" x14ac:dyDescent="0.15">
      <c r="B31" s="2">
        <v>40</v>
      </c>
      <c r="C31" s="2">
        <f t="shared" si="4"/>
        <v>127.5</v>
      </c>
      <c r="D31" s="2">
        <f t="shared" si="5"/>
        <v>64</v>
      </c>
      <c r="F31" s="2">
        <v>29</v>
      </c>
      <c r="G31" s="2">
        <f t="shared" si="0"/>
        <v>6.4642639322944575</v>
      </c>
      <c r="I31" s="2">
        <v>29</v>
      </c>
      <c r="J31" s="2">
        <f t="shared" si="1"/>
        <v>24.074703862418847</v>
      </c>
      <c r="K31" s="5">
        <v>0.88</v>
      </c>
      <c r="N31" s="11">
        <f>[1]节奏总纲!N31</f>
        <v>38</v>
      </c>
      <c r="O31" s="2">
        <v>28</v>
      </c>
      <c r="P31" s="6">
        <f>[1]节奏总纲!P31</f>
        <v>5.9644045063689921</v>
      </c>
      <c r="Q31" s="6">
        <f>[1]节奏总纲!Q31</f>
        <v>5.1914176823435705</v>
      </c>
      <c r="R31" s="6">
        <f>[1]节奏总纲!R31</f>
        <v>4.2752851501652938</v>
      </c>
      <c r="S31" s="6">
        <f>[1]节奏总纲!S31</f>
        <v>3.1653094715300236</v>
      </c>
      <c r="T31" s="6">
        <f>[1]节奏总纲!T31</f>
        <v>1.7738139001941382</v>
      </c>
      <c r="V31" s="2">
        <v>28</v>
      </c>
      <c r="W31" s="7">
        <f>[1]节奏总纲!W31</f>
        <v>0.46638533551910744</v>
      </c>
      <c r="X31" s="7">
        <f>[1]节奏总纲!X31</f>
        <v>0.4031927864504059</v>
      </c>
      <c r="Y31" s="7">
        <f>[1]节奏总纲!Y31</f>
        <v>0.32605797974382122</v>
      </c>
      <c r="Z31" s="7">
        <f>[1]节奏总纲!Z31</f>
        <v>0.24476168797456488</v>
      </c>
      <c r="AA31" s="7">
        <f>[1]节奏总纲!AA31</f>
        <v>0.14475081987131744</v>
      </c>
      <c r="AC31" s="2">
        <v>28</v>
      </c>
      <c r="AD31" s="7">
        <f>[1]节奏总纲!AD31</f>
        <v>48.571351621712928</v>
      </c>
      <c r="AE31" s="7">
        <f>[1]节奏总纲!AE31</f>
        <v>50.509688493127967</v>
      </c>
      <c r="AF31" s="7">
        <f>[1]节奏总纲!AF31</f>
        <v>53.212684955585161</v>
      </c>
      <c r="AG31" s="7">
        <f>[1]节奏总纲!AG31</f>
        <v>57.699988965458331</v>
      </c>
      <c r="AH31" s="7">
        <f>[1]节奏总纲!AH31</f>
        <v>66.076345334947405</v>
      </c>
      <c r="AL31" s="2">
        <v>28</v>
      </c>
      <c r="AM31" s="6">
        <f>[1]节奏总纲!AM31</f>
        <v>20.42625995518307</v>
      </c>
      <c r="AN31" s="6">
        <f>[1]节奏总纲!AN31</f>
        <v>16.341007964146456</v>
      </c>
      <c r="AO31" s="6">
        <f>[1]节奏总纲!AO31</f>
        <v>12.255755973109842</v>
      </c>
      <c r="AP31" s="6">
        <f>[1]节奏总纲!AP31</f>
        <v>8.1705039820732281</v>
      </c>
      <c r="AQ31" s="6">
        <f>[1]节奏总纲!AQ31</f>
        <v>4.0852519910366141</v>
      </c>
      <c r="AS31" s="2">
        <v>28</v>
      </c>
      <c r="AT31" s="7">
        <f>[1]节奏总纲!AT31</f>
        <v>3.1120736343953723</v>
      </c>
      <c r="AU31" s="7">
        <f>[1]节奏总纲!AU31</f>
        <v>2.4896589075162971</v>
      </c>
      <c r="AV31" s="7">
        <f>[1]节奏总纲!AV31</f>
        <v>1.8672441806372237</v>
      </c>
      <c r="AW31" s="7">
        <f>[1]节奏总纲!AW31</f>
        <v>1.2448294537581486</v>
      </c>
      <c r="AX31" s="7">
        <f>[1]节奏总纲!AX31</f>
        <v>0.62241472687907429</v>
      </c>
      <c r="AY31" s="2"/>
      <c r="AZ31" s="2">
        <v>28</v>
      </c>
      <c r="BA31" s="7">
        <f>[1]节奏总纲!BA31</f>
        <v>29.918134325965539</v>
      </c>
      <c r="BB31" s="7">
        <f>[1]节奏总纲!BB31</f>
        <v>31.280110398778046</v>
      </c>
      <c r="BC31" s="7">
        <f>[1]节奏总纲!BC31</f>
        <v>33.072726100175295</v>
      </c>
      <c r="BD31" s="7">
        <f>[1]节奏总纲!BD31</f>
        <v>35.634340563113874</v>
      </c>
      <c r="BE31" s="7">
        <f>[1]节奏总纲!BE31</f>
        <v>40.28554255651148</v>
      </c>
    </row>
    <row r="32" spans="2:57" x14ac:dyDescent="0.15">
      <c r="B32" s="2">
        <v>45</v>
      </c>
      <c r="C32" s="2">
        <f t="shared" si="4"/>
        <v>255.5</v>
      </c>
      <c r="D32" s="2">
        <f t="shared" si="5"/>
        <v>128</v>
      </c>
      <c r="F32" s="2">
        <v>30</v>
      </c>
      <c r="G32" s="2">
        <f t="shared" si="0"/>
        <v>7</v>
      </c>
      <c r="I32" s="2">
        <v>30</v>
      </c>
      <c r="J32" s="2">
        <f t="shared" si="1"/>
        <v>28.35</v>
      </c>
      <c r="K32" s="5">
        <v>0.9</v>
      </c>
      <c r="N32" s="11">
        <f>[1]节奏总纲!N32</f>
        <v>39</v>
      </c>
      <c r="O32" s="2">
        <v>29</v>
      </c>
      <c r="P32" s="6">
        <f>[1]节奏总纲!P32</f>
        <v>6.4642639322944575</v>
      </c>
      <c r="Q32" s="6">
        <f>[1]节奏总纲!Q32</f>
        <v>5.6323131642081607</v>
      </c>
      <c r="R32" s="6">
        <f>[1]节奏总纲!R32</f>
        <v>4.6510378992858623</v>
      </c>
      <c r="S32" s="6">
        <f>[1]节奏总纲!S32</f>
        <v>3.4532097926316991</v>
      </c>
      <c r="T32" s="6">
        <f>[1]节奏总纲!T32</f>
        <v>1.9366934741154194</v>
      </c>
      <c r="V32" s="2">
        <v>29</v>
      </c>
      <c r="W32" s="7">
        <f>[1]节奏总纲!W32</f>
        <v>0.49985942592546539</v>
      </c>
      <c r="X32" s="7">
        <f>[1]节奏总纲!X32</f>
        <v>0.44089548186459027</v>
      </c>
      <c r="Y32" s="7">
        <f>[1]节奏总纲!Y32</f>
        <v>0.37575274912056855</v>
      </c>
      <c r="Z32" s="7">
        <f>[1]节奏总纲!Z32</f>
        <v>0.28790032110167552</v>
      </c>
      <c r="AA32" s="7">
        <f>[1]节奏总纲!AA32</f>
        <v>0.16287957392128116</v>
      </c>
      <c r="AC32" s="2">
        <v>29</v>
      </c>
      <c r="AD32" s="7">
        <f>[1]节奏总纲!AD32</f>
        <v>49.066704614192936</v>
      </c>
      <c r="AE32" s="7">
        <f>[1]节奏总纲!AE32</f>
        <v>51.033341828534468</v>
      </c>
      <c r="AF32" s="7">
        <f>[1]节奏总纲!AF32</f>
        <v>53.719431255885922</v>
      </c>
      <c r="AG32" s="7">
        <f>[1]节奏总纲!AG32</f>
        <v>58.210135614815364</v>
      </c>
      <c r="AH32" s="7">
        <f>[1]节奏总纲!AH32</f>
        <v>66.589764070576265</v>
      </c>
      <c r="AL32" s="2">
        <v>29</v>
      </c>
      <c r="AM32" s="6">
        <f>[1]节奏总纲!AM32</f>
        <v>24.074703862418847</v>
      </c>
      <c r="AN32" s="6">
        <f>[1]节奏总纲!AN32</f>
        <v>19.259763089935078</v>
      </c>
      <c r="AO32" s="6">
        <f>[1]节奏总纲!AO32</f>
        <v>14.444822317451308</v>
      </c>
      <c r="AP32" s="6">
        <f>[1]节奏总纲!AP32</f>
        <v>9.6298815449675388</v>
      </c>
      <c r="AQ32" s="6">
        <f>[1]节奏总纲!AQ32</f>
        <v>4.8149407724837694</v>
      </c>
      <c r="AS32" s="2">
        <v>29</v>
      </c>
      <c r="AT32" s="7">
        <f>[1]节奏总纲!AT32</f>
        <v>3.6484439072357766</v>
      </c>
      <c r="AU32" s="7">
        <f>[1]节奏总纲!AU32</f>
        <v>2.9187551257886213</v>
      </c>
      <c r="AV32" s="7">
        <f>[1]节奏总纲!AV32</f>
        <v>2.189066344341466</v>
      </c>
      <c r="AW32" s="7">
        <f>[1]节奏总纲!AW32</f>
        <v>1.4593775628943106</v>
      </c>
      <c r="AX32" s="7">
        <f>[1]节奏总纲!AX32</f>
        <v>0.72968878144715532</v>
      </c>
      <c r="AY32" s="2"/>
      <c r="AZ32" s="2">
        <v>29</v>
      </c>
      <c r="BA32" s="7">
        <f>[1]节奏总纲!BA32</f>
        <v>30.12980063735499</v>
      </c>
      <c r="BB32" s="7">
        <f>[1]节奏总纲!BB32</f>
        <v>31.493307526642905</v>
      </c>
      <c r="BC32" s="7">
        <f>[1]节奏总纲!BC32</f>
        <v>33.280329748032408</v>
      </c>
      <c r="BD32" s="7">
        <f>[1]节奏总纲!BD32</f>
        <v>35.878317702773053</v>
      </c>
      <c r="BE32" s="7">
        <f>[1]节奏总纲!BE32</f>
        <v>40.518638521010644</v>
      </c>
    </row>
    <row r="33" spans="2:57" x14ac:dyDescent="0.15">
      <c r="B33" s="2">
        <v>50</v>
      </c>
      <c r="C33" s="2">
        <f t="shared" si="4"/>
        <v>511.5</v>
      </c>
      <c r="D33" s="2">
        <f t="shared" si="5"/>
        <v>256</v>
      </c>
      <c r="F33" s="2">
        <v>31</v>
      </c>
      <c r="G33" s="2">
        <f t="shared" si="0"/>
        <v>7.5741877002903433</v>
      </c>
      <c r="I33" s="2">
        <v>31</v>
      </c>
      <c r="J33" s="2">
        <f t="shared" si="1"/>
        <v>33.357679571112705</v>
      </c>
      <c r="K33" s="5">
        <v>0.92</v>
      </c>
      <c r="N33" s="11">
        <f>[1]节奏总纲!N33</f>
        <v>40</v>
      </c>
      <c r="O33" s="2">
        <v>30</v>
      </c>
      <c r="P33" s="6">
        <f>[1]节奏总纲!P33</f>
        <v>7</v>
      </c>
      <c r="Q33" s="6">
        <f>[1]节奏总纲!Q33</f>
        <v>6.1025999999999998</v>
      </c>
      <c r="R33" s="6">
        <f>[1]节奏总纲!R33</f>
        <v>5.0421000000000005</v>
      </c>
      <c r="S33" s="6">
        <f>[1]节奏总纲!S33</f>
        <v>3.7428999999999997</v>
      </c>
      <c r="T33" s="6">
        <f>[1]节奏总纲!T33</f>
        <v>2.1006999999999998</v>
      </c>
      <c r="V33" s="2">
        <v>30</v>
      </c>
      <c r="W33" s="7">
        <f>[1]节奏总纲!W33</f>
        <v>0.5357360677055425</v>
      </c>
      <c r="X33" s="7">
        <f>[1]节奏总纲!X33</f>
        <v>0.47028683579183905</v>
      </c>
      <c r="Y33" s="7">
        <f>[1]节奏总纲!Y33</f>
        <v>0.39106210071413816</v>
      </c>
      <c r="Z33" s="7">
        <f>[1]节奏总纲!Z33</f>
        <v>0.28969020736830053</v>
      </c>
      <c r="AA33" s="7">
        <f>[1]节奏总纲!AA33</f>
        <v>0.16400652588458042</v>
      </c>
      <c r="AC33" s="2">
        <v>30</v>
      </c>
      <c r="AD33" s="7">
        <f>[1]节奏总纲!AD33</f>
        <v>49.533352307096472</v>
      </c>
      <c r="AE33" s="7">
        <f>[1]节奏总纲!AE33</f>
        <v>51.497823295559343</v>
      </c>
      <c r="AF33" s="7">
        <f>[1]节奏总纲!AF33</f>
        <v>54.213705787583436</v>
      </c>
      <c r="AG33" s="7">
        <f>[1]节奏总纲!AG33</f>
        <v>58.701446767877648</v>
      </c>
      <c r="AH33" s="7">
        <f>[1]节奏总纲!AH33</f>
        <v>67.097551508592701</v>
      </c>
      <c r="AL33" s="2">
        <v>30</v>
      </c>
      <c r="AM33" s="6">
        <f>[1]节奏总纲!AM33</f>
        <v>28.35</v>
      </c>
      <c r="AN33" s="6">
        <f>[1]节奏总纲!AN33</f>
        <v>22.680000000000003</v>
      </c>
      <c r="AO33" s="6">
        <f>[1]节奏总纲!AO33</f>
        <v>17.010000000000002</v>
      </c>
      <c r="AP33" s="6">
        <f>[1]节奏总纲!AP33</f>
        <v>11.340000000000002</v>
      </c>
      <c r="AQ33" s="6">
        <f>[1]节奏总纲!AQ33</f>
        <v>5.6700000000000008</v>
      </c>
      <c r="AS33" s="2">
        <v>30</v>
      </c>
      <c r="AT33" s="7">
        <f>[1]节奏总纲!AT33</f>
        <v>4.2752961375811545</v>
      </c>
      <c r="AU33" s="7">
        <f>[1]节奏总纲!AU33</f>
        <v>3.4202369100649257</v>
      </c>
      <c r="AV33" s="7">
        <f>[1]节奏总纲!AV33</f>
        <v>2.5651776825486934</v>
      </c>
      <c r="AW33" s="7">
        <f>[1]节奏总纲!AW33</f>
        <v>1.7101184550324628</v>
      </c>
      <c r="AX33" s="7">
        <f>[1]节奏总纲!AX33</f>
        <v>0.85505922751623142</v>
      </c>
      <c r="AY33" s="2"/>
      <c r="AZ33" s="2">
        <v>30</v>
      </c>
      <c r="BA33" s="7">
        <f>[1]节奏总纲!BA33</f>
        <v>30.329493925593439</v>
      </c>
      <c r="BB33" s="7">
        <f>[1]节奏总纲!BB33</f>
        <v>31.706504654507764</v>
      </c>
      <c r="BC33" s="7">
        <f>[1]节奏总纲!BC33</f>
        <v>33.487933395889513</v>
      </c>
      <c r="BD33" s="7">
        <f>[1]节奏总纲!BD33</f>
        <v>36.105477566569242</v>
      </c>
      <c r="BE33" s="7">
        <f>[1]节奏总纲!BE33</f>
        <v>40.751734485509814</v>
      </c>
    </row>
    <row r="34" spans="2:57" x14ac:dyDescent="0.15">
      <c r="B34" s="2">
        <v>55</v>
      </c>
      <c r="C34" s="2">
        <f t="shared" si="4"/>
        <v>1023.5</v>
      </c>
      <c r="D34" s="2">
        <f t="shared" si="5"/>
        <v>512</v>
      </c>
      <c r="F34" s="2">
        <v>32</v>
      </c>
      <c r="G34" s="2">
        <f t="shared" si="0"/>
        <v>8.189586839976279</v>
      </c>
      <c r="I34" s="2">
        <v>32</v>
      </c>
      <c r="J34" s="2">
        <f t="shared" si="1"/>
        <v>39.220797956048642</v>
      </c>
      <c r="K34" s="5">
        <v>0.94</v>
      </c>
      <c r="N34" s="11">
        <f>[1]节奏总纲!N34</f>
        <v>41</v>
      </c>
      <c r="O34" s="2">
        <v>31</v>
      </c>
      <c r="P34" s="6">
        <f>[1]节奏总纲!P34</f>
        <v>7.5741877002903433</v>
      </c>
      <c r="Q34" s="6">
        <f>[1]节奏总纲!Q34</f>
        <v>6.6115084435834408</v>
      </c>
      <c r="R34" s="6">
        <f>[1]节奏总纲!R34</f>
        <v>5.4632615882194253</v>
      </c>
      <c r="S34" s="6">
        <f>[1]节奏总纲!S34</f>
        <v>4.052190419655334</v>
      </c>
      <c r="T34" s="6">
        <f>[1]节奏总纲!T34</f>
        <v>2.2783156602473356</v>
      </c>
      <c r="V34" s="2">
        <v>31</v>
      </c>
      <c r="W34" s="7">
        <f>[1]节奏总纲!W34</f>
        <v>0.57418770029034327</v>
      </c>
      <c r="X34" s="7">
        <f>[1]节奏总纲!X34</f>
        <v>0.50890844358344101</v>
      </c>
      <c r="Y34" s="7">
        <f>[1]节奏总纲!Y34</f>
        <v>0.42116158821942484</v>
      </c>
      <c r="Z34" s="7">
        <f>[1]节奏总纲!Z34</f>
        <v>0.30929041965533433</v>
      </c>
      <c r="AA34" s="7">
        <f>[1]节奏总纲!AA34</f>
        <v>0.17761566024733577</v>
      </c>
      <c r="AC34" s="2">
        <v>31</v>
      </c>
      <c r="AD34" s="7">
        <f>[1]节奏总纲!AD34</f>
        <v>50</v>
      </c>
      <c r="AE34" s="7">
        <f>[1]节奏总纲!AE34</f>
        <v>51.96230476258421</v>
      </c>
      <c r="AF34" s="7">
        <f>[1]节奏总纲!AF34</f>
        <v>54.692509339255828</v>
      </c>
      <c r="AG34" s="7">
        <f>[1]节奏总纲!AG34</f>
        <v>59.178112178215827</v>
      </c>
      <c r="AH34" s="7">
        <f>[1]节奏总纲!AH34</f>
        <v>67.582949939226467</v>
      </c>
      <c r="AL34" s="2">
        <v>31</v>
      </c>
      <c r="AM34" s="6">
        <f>[1]节奏总纲!AM34</f>
        <v>33.357679571112705</v>
      </c>
      <c r="AN34" s="6">
        <f>[1]节奏总纲!AN34</f>
        <v>26.686143656890167</v>
      </c>
      <c r="AO34" s="6">
        <f>[1]节奏总纲!AO34</f>
        <v>20.014607742667621</v>
      </c>
      <c r="AP34" s="6">
        <f>[1]节奏总纲!AP34</f>
        <v>13.343071828445083</v>
      </c>
      <c r="AQ34" s="6">
        <f>[1]节奏总纲!AQ34</f>
        <v>6.6715359142225417</v>
      </c>
      <c r="AS34" s="2">
        <v>31</v>
      </c>
      <c r="AT34" s="7">
        <f>[1]节奏总纲!AT34</f>
        <v>5.0076795711127033</v>
      </c>
      <c r="AU34" s="7">
        <f>[1]节奏总纲!AU34</f>
        <v>4.0061436568901634</v>
      </c>
      <c r="AV34" s="7">
        <f>[1]节奏总纲!AV34</f>
        <v>3.0046077426676199</v>
      </c>
      <c r="AW34" s="7">
        <f>[1]节奏总纲!AW34</f>
        <v>2.0030718284450817</v>
      </c>
      <c r="AX34" s="7">
        <f>[1]节奏总纲!AX34</f>
        <v>1.0015359142225408</v>
      </c>
      <c r="AY34" s="2"/>
      <c r="AZ34" s="2">
        <v>31</v>
      </c>
      <c r="BA34" s="7">
        <f>[1]节奏总纲!BA34</f>
        <v>30.529187213831889</v>
      </c>
      <c r="BB34" s="7">
        <f>[1]节奏总纲!BB34</f>
        <v>31.919701782372627</v>
      </c>
      <c r="BC34" s="7">
        <f>[1]节奏总纲!BC34</f>
        <v>33.695537043746626</v>
      </c>
      <c r="BD34" s="7">
        <f>[1]节奏总纲!BD34</f>
        <v>36.315904388158508</v>
      </c>
      <c r="BE34" s="7">
        <f>[1]节奏总纲!BE34</f>
        <v>40.984830450008978</v>
      </c>
    </row>
    <row r="35" spans="2:57" x14ac:dyDescent="0.15">
      <c r="B35" s="2">
        <v>60</v>
      </c>
      <c r="C35" s="2">
        <f t="shared" si="4"/>
        <v>2047.5</v>
      </c>
      <c r="D35" s="2">
        <f t="shared" si="5"/>
        <v>1024</v>
      </c>
      <c r="F35" s="2">
        <v>33</v>
      </c>
      <c r="G35" s="2">
        <f t="shared" si="0"/>
        <v>8.8491553067593287</v>
      </c>
      <c r="I35" s="2">
        <v>33</v>
      </c>
      <c r="J35" s="2">
        <f t="shared" si="1"/>
        <v>46.082812923199413</v>
      </c>
      <c r="K35" s="5">
        <v>0.96</v>
      </c>
      <c r="N35" s="11">
        <f>[1]节奏总纲!N35</f>
        <v>42</v>
      </c>
      <c r="O35" s="2">
        <v>32</v>
      </c>
      <c r="P35" s="6">
        <f>[1]节奏总纲!P35</f>
        <v>8.189586839976279</v>
      </c>
      <c r="Q35" s="6">
        <f>[1]节奏总纲!Q35</f>
        <v>7.1519661873512845</v>
      </c>
      <c r="R35" s="6">
        <f>[1]节奏总纲!R35</f>
        <v>5.906330028990892</v>
      </c>
      <c r="S35" s="6">
        <f>[1]节奏总纲!S35</f>
        <v>4.3855237528072974</v>
      </c>
      <c r="T35" s="6">
        <f>[1]节奏总纲!T35</f>
        <v>2.46506563883286</v>
      </c>
      <c r="V35" s="2">
        <v>32</v>
      </c>
      <c r="W35" s="7">
        <f>[1]节奏总纲!W35</f>
        <v>0.61539913968593574</v>
      </c>
      <c r="X35" s="7">
        <f>[1]节奏总纲!X35</f>
        <v>0.54045774376784372</v>
      </c>
      <c r="Y35" s="7">
        <f>[1]节奏总纲!Y35</f>
        <v>0.44306844077146668</v>
      </c>
      <c r="Z35" s="7">
        <f>[1]节奏总纲!Z35</f>
        <v>0.33333333315196345</v>
      </c>
      <c r="AA35" s="7">
        <f>[1]节奏总纲!AA35</f>
        <v>0.18674997858552445</v>
      </c>
      <c r="AC35" s="2">
        <v>32</v>
      </c>
      <c r="AD35" s="7">
        <f>[1]节奏总纲!AD35</f>
        <v>50.435397692903535</v>
      </c>
      <c r="AE35" s="7">
        <f>[1]节奏总纲!AE35</f>
        <v>52.391506955233744</v>
      </c>
      <c r="AF35" s="7">
        <f>[1]节奏总纲!AF35</f>
        <v>55.159275389027101</v>
      </c>
      <c r="AG35" s="7">
        <f>[1]节奏总纲!AG35</f>
        <v>59.632093520341421</v>
      </c>
      <c r="AH35" s="7">
        <f>[1]节奏总纲!AH35</f>
        <v>68.063981730538742</v>
      </c>
      <c r="AL35" s="2">
        <v>32</v>
      </c>
      <c r="AM35" s="6">
        <f>[1]节奏总纲!AM35</f>
        <v>39.220797956048642</v>
      </c>
      <c r="AN35" s="6">
        <f>[1]节奏总纲!AN35</f>
        <v>31.376638364838914</v>
      </c>
      <c r="AO35" s="6">
        <f>[1]节奏总纲!AO35</f>
        <v>23.532478773629183</v>
      </c>
      <c r="AP35" s="6">
        <f>[1]节奏总纲!AP35</f>
        <v>15.688319182419457</v>
      </c>
      <c r="AQ35" s="6">
        <f>[1]节奏总纲!AQ35</f>
        <v>7.8441595912097286</v>
      </c>
      <c r="AS35" s="2">
        <v>32</v>
      </c>
      <c r="AT35" s="7">
        <f>[1]节奏总纲!AT35</f>
        <v>5.8631183849359374</v>
      </c>
      <c r="AU35" s="7">
        <f>[1]节奏总纲!AU35</f>
        <v>4.6904947079487478</v>
      </c>
      <c r="AV35" s="7">
        <f>[1]节奏总纲!AV35</f>
        <v>3.5178710309615617</v>
      </c>
      <c r="AW35" s="7">
        <f>[1]节奏总纲!AW35</f>
        <v>2.3452473539743739</v>
      </c>
      <c r="AX35" s="7">
        <f>[1]节奏总纲!AX35</f>
        <v>1.1726236769871869</v>
      </c>
      <c r="AY35" s="2"/>
      <c r="AZ35" s="2">
        <v>32</v>
      </c>
      <c r="BA35" s="7">
        <f>[1]节奏总纲!BA35</f>
        <v>30.728880502070336</v>
      </c>
      <c r="BB35" s="7">
        <f>[1]节奏总纲!BB35</f>
        <v>32.113552950216736</v>
      </c>
      <c r="BC35" s="7">
        <f>[1]节奏总纲!BC35</f>
        <v>33.903140691603731</v>
      </c>
      <c r="BD35" s="7">
        <f>[1]节奏总纲!BD35</f>
        <v>36.526331209747774</v>
      </c>
      <c r="BE35" s="7">
        <f>[1]节奏总纲!BE35</f>
        <v>41.188041754455355</v>
      </c>
    </row>
    <row r="36" spans="2:57" x14ac:dyDescent="0.15">
      <c r="F36" s="2">
        <v>34</v>
      </c>
      <c r="G36" s="2">
        <f t="shared" si="0"/>
        <v>9.5560632861831518</v>
      </c>
      <c r="I36" s="2">
        <v>34</v>
      </c>
      <c r="J36" s="2">
        <f t="shared" si="1"/>
        <v>54.110931329932889</v>
      </c>
      <c r="K36" s="5">
        <v>0.98</v>
      </c>
      <c r="N36" s="11">
        <f>[1]节奏总纲!N36</f>
        <v>43</v>
      </c>
      <c r="O36" s="2">
        <v>33</v>
      </c>
      <c r="P36" s="6">
        <f>[1]节奏总纲!P36</f>
        <v>8.8491553067593287</v>
      </c>
      <c r="Q36" s="6">
        <f>[1]节奏总纲!Q36</f>
        <v>7.7120388498407557</v>
      </c>
      <c r="R36" s="6">
        <f>[1]节奏总纲!R36</f>
        <v>6.3696219898053652</v>
      </c>
      <c r="S36" s="6">
        <f>[1]节奏总纲!S36</f>
        <v>4.736067920177593</v>
      </c>
      <c r="T36" s="6">
        <f>[1]节奏总纲!T36</f>
        <v>2.6627108318038819</v>
      </c>
      <c r="V36" s="2">
        <v>33</v>
      </c>
      <c r="W36" s="7">
        <f>[1]节奏总纲!W36</f>
        <v>0.6595684667830497</v>
      </c>
      <c r="X36" s="7">
        <f>[1]节奏总纲!X36</f>
        <v>0.56007266248947118</v>
      </c>
      <c r="Y36" s="7">
        <f>[1]节奏总纲!Y36</f>
        <v>0.46329196081447321</v>
      </c>
      <c r="Z36" s="7">
        <f>[1]节奏总纲!Z36</f>
        <v>0.35054416737029559</v>
      </c>
      <c r="AA36" s="7">
        <f>[1]节奏总纲!AA36</f>
        <v>0.1976451929710219</v>
      </c>
      <c r="AC36" s="2">
        <v>33</v>
      </c>
      <c r="AD36" s="7">
        <f>[1]节奏总纲!AD36</f>
        <v>50.870795385807064</v>
      </c>
      <c r="AE36" s="7">
        <f>[1]节奏总纲!AE36</f>
        <v>52.81759316022675</v>
      </c>
      <c r="AF36" s="7">
        <f>[1]节奏总纲!AF36</f>
        <v>55.604435245632025</v>
      </c>
      <c r="AG36" s="7">
        <f>[1]节奏总纲!AG36</f>
        <v>60.078368706270226</v>
      </c>
      <c r="AH36" s="7">
        <f>[1]节奏总纲!AH36</f>
        <v>68.518369035696878</v>
      </c>
      <c r="AL36" s="2">
        <v>33</v>
      </c>
      <c r="AM36" s="6">
        <f>[1]节奏总纲!AM36</f>
        <v>46.082812923199413</v>
      </c>
      <c r="AN36" s="6">
        <f>[1]节奏总纲!AN36</f>
        <v>36.866250338559531</v>
      </c>
      <c r="AO36" s="6">
        <f>[1]节奏总纲!AO36</f>
        <v>27.649687753919647</v>
      </c>
      <c r="AP36" s="6">
        <f>[1]节奏总纲!AP36</f>
        <v>18.433125169279766</v>
      </c>
      <c r="AQ36" s="6">
        <f>[1]节奏总纲!AQ36</f>
        <v>9.2165625846398829</v>
      </c>
      <c r="AS36" s="2">
        <v>33</v>
      </c>
      <c r="AT36" s="7">
        <f>[1]节奏总纲!AT36</f>
        <v>6.8620149671507704</v>
      </c>
      <c r="AU36" s="7">
        <f>[1]节奏总纲!AU36</f>
        <v>5.489611973720617</v>
      </c>
      <c r="AV36" s="7">
        <f>[1]节奏总纲!AV36</f>
        <v>4.1172089802904637</v>
      </c>
      <c r="AW36" s="7">
        <f>[1]节奏总纲!AW36</f>
        <v>2.7448059868603085</v>
      </c>
      <c r="AX36" s="7">
        <f>[1]节奏总纲!AX36</f>
        <v>1.3724029934301543</v>
      </c>
      <c r="AY36" s="2"/>
      <c r="AZ36" s="2">
        <v>33</v>
      </c>
      <c r="BA36" s="7">
        <f>[1]节奏总纲!BA36</f>
        <v>30.928573790308786</v>
      </c>
      <c r="BB36" s="7">
        <f>[1]节奏总纲!BB36</f>
        <v>32.295715187691279</v>
      </c>
      <c r="BC36" s="7">
        <f>[1]节奏总纲!BC36</f>
        <v>34.09469189131628</v>
      </c>
      <c r="BD36" s="7">
        <f>[1]节奏总纲!BD36</f>
        <v>36.73675803133704</v>
      </c>
      <c r="BE36" s="7">
        <f>[1]节奏总纲!BE36</f>
        <v>41.389172829914081</v>
      </c>
    </row>
    <row r="37" spans="2:57" x14ac:dyDescent="0.15">
      <c r="F37" s="2">
        <v>35</v>
      </c>
      <c r="G37" s="2">
        <f t="shared" si="0"/>
        <v>10.313708498984759</v>
      </c>
      <c r="I37" s="2">
        <v>35</v>
      </c>
      <c r="J37" s="2">
        <f t="shared" si="1"/>
        <v>63.5</v>
      </c>
      <c r="K37" s="5">
        <v>1</v>
      </c>
      <c r="N37" s="11">
        <f>[1]节奏总纲!N37</f>
        <v>44</v>
      </c>
      <c r="O37" s="2">
        <v>34</v>
      </c>
      <c r="P37" s="6">
        <f>[1]节奏总纲!P37</f>
        <v>9.5560632861831518</v>
      </c>
      <c r="Q37" s="6">
        <f>[1]节奏总纲!Q37</f>
        <v>8.3309759728944712</v>
      </c>
      <c r="R37" s="6">
        <f>[1]节奏总纲!R37</f>
        <v>6.8918328419952886</v>
      </c>
      <c r="S37" s="6">
        <f>[1]节奏总纲!S37</f>
        <v>5.1287391656944967</v>
      </c>
      <c r="T37" s="6">
        <f>[1]节奏总纲!T37</f>
        <v>2.8811530807842201</v>
      </c>
      <c r="V37" s="2">
        <v>34</v>
      </c>
      <c r="W37" s="7">
        <f>[1]节奏总纲!W37</f>
        <v>0.70690797942382311</v>
      </c>
      <c r="X37" s="7">
        <f>[1]节奏总纲!X37</f>
        <v>0.61893712305371551</v>
      </c>
      <c r="Y37" s="7">
        <f>[1]节奏总纲!Y37</f>
        <v>0.52221085218992336</v>
      </c>
      <c r="Z37" s="7">
        <f>[1]节奏总纲!Z37</f>
        <v>0.39267124551690369</v>
      </c>
      <c r="AA37" s="7">
        <f>[1]节奏总纲!AA37</f>
        <v>0.21844224898033815</v>
      </c>
      <c r="AC37" s="2">
        <v>34</v>
      </c>
      <c r="AD37" s="7">
        <f>[1]节奏总纲!AD37</f>
        <v>51.285688244217212</v>
      </c>
      <c r="AE37" s="7">
        <f>[1]节奏总纲!AE37</f>
        <v>53.226994578658328</v>
      </c>
      <c r="AF37" s="7">
        <f>[1]节奏总纲!AF37</f>
        <v>56.045896281048073</v>
      </c>
      <c r="AG37" s="7">
        <f>[1]节奏总纲!AG37</f>
        <v>60.491705764657482</v>
      </c>
      <c r="AH37" s="7">
        <f>[1]节奏总纲!AH37</f>
        <v>68.972756340855</v>
      </c>
      <c r="AL37" s="2">
        <v>34</v>
      </c>
      <c r="AM37" s="6">
        <f>[1]节奏总纲!AM37</f>
        <v>54.110931329932889</v>
      </c>
      <c r="AN37" s="6">
        <f>[1]节奏总纲!AN37</f>
        <v>43.288745063946315</v>
      </c>
      <c r="AO37" s="6">
        <f>[1]节奏总纲!AO37</f>
        <v>32.466558797959735</v>
      </c>
      <c r="AP37" s="6">
        <f>[1]节奏总纲!AP37</f>
        <v>21.644372531973158</v>
      </c>
      <c r="AQ37" s="6">
        <f>[1]节奏总纲!AQ37</f>
        <v>10.822186265986579</v>
      </c>
      <c r="AS37" s="2">
        <v>34</v>
      </c>
      <c r="AT37" s="7">
        <f>[1]节奏总纲!AT37</f>
        <v>8.0281184067334763</v>
      </c>
      <c r="AU37" s="7">
        <f>[1]节奏总纲!AU37</f>
        <v>6.4224947253867839</v>
      </c>
      <c r="AV37" s="7">
        <f>[1]节奏总纲!AV37</f>
        <v>4.8168710440400879</v>
      </c>
      <c r="AW37" s="7">
        <f>[1]节奏总纲!AW37</f>
        <v>3.2112473626933919</v>
      </c>
      <c r="AX37" s="7">
        <f>[1]节奏总纲!AX37</f>
        <v>1.605623681346696</v>
      </c>
      <c r="AY37" s="2"/>
      <c r="AZ37" s="2">
        <v>34</v>
      </c>
      <c r="BA37" s="7">
        <f>[1]节奏总纲!BA37</f>
        <v>31.109552696486158</v>
      </c>
      <c r="BB37" s="7">
        <f>[1]节奏总纲!BB37</f>
        <v>32.477877425165822</v>
      </c>
      <c r="BC37" s="7">
        <f>[1]节奏总纲!BC37</f>
        <v>34.272203285175834</v>
      </c>
      <c r="BD37" s="7">
        <f>[1]节奏总纲!BD37</f>
        <v>36.947184852926306</v>
      </c>
      <c r="BE37" s="7">
        <f>[1]节奏总纲!BE37</f>
        <v>41.590303905372799</v>
      </c>
    </row>
    <row r="38" spans="2:57" x14ac:dyDescent="0.15">
      <c r="F38" s="2">
        <v>36</v>
      </c>
      <c r="G38" s="2">
        <f t="shared" si="0"/>
        <v>11.125732532083184</v>
      </c>
      <c r="I38" s="2">
        <v>36</v>
      </c>
      <c r="J38" s="2">
        <f t="shared" si="1"/>
        <v>73.746861667008318</v>
      </c>
      <c r="K38" s="5">
        <v>1.01</v>
      </c>
      <c r="N38" s="11">
        <f>[1]节奏总纲!N38</f>
        <v>45</v>
      </c>
      <c r="O38" s="2">
        <v>35</v>
      </c>
      <c r="P38" s="6">
        <f>[1]节奏总纲!P38</f>
        <v>10.313708498984759</v>
      </c>
      <c r="Q38" s="6">
        <f>[1]节奏总纲!Q38</f>
        <v>9.0048988904635934</v>
      </c>
      <c r="R38" s="6">
        <f>[1]节奏总纲!R38</f>
        <v>7.4547485030661838</v>
      </c>
      <c r="S38" s="6">
        <f>[1]节奏总纲!S38</f>
        <v>5.5405242056546129</v>
      </c>
      <c r="T38" s="6">
        <f>[1]节奏总纲!T38</f>
        <v>3.1106144832938032</v>
      </c>
      <c r="V38" s="2">
        <v>35</v>
      </c>
      <c r="W38" s="7">
        <f>[1]节奏总纲!W38</f>
        <v>0.75764521280160757</v>
      </c>
      <c r="X38" s="7">
        <f>[1]节奏总纲!X38</f>
        <v>0.67392291756912215</v>
      </c>
      <c r="Y38" s="7">
        <f>[1]节奏总纲!Y38</f>
        <v>0.56291566107089519</v>
      </c>
      <c r="Z38" s="7">
        <f>[1]节奏总纲!Z38</f>
        <v>0.41178503996011617</v>
      </c>
      <c r="AA38" s="7">
        <f>[1]节奏总纲!AA38</f>
        <v>0.22946140250958313</v>
      </c>
      <c r="AC38" s="2">
        <v>35</v>
      </c>
      <c r="AD38" s="7">
        <f>[1]节奏总纲!AD38</f>
        <v>51.691928656135211</v>
      </c>
      <c r="AE38" s="7">
        <f>[1]节奏总纲!AE38</f>
        <v>53.623906555539456</v>
      </c>
      <c r="AF38" s="7">
        <f>[1]节奏总纲!AF38</f>
        <v>56.457855949816349</v>
      </c>
      <c r="AG38" s="7">
        <f>[1]节奏总纲!AG38</f>
        <v>60.905042823044738</v>
      </c>
      <c r="AH38" s="7">
        <f>[1]节奏总纲!AH38</f>
        <v>69.385288338144662</v>
      </c>
      <c r="AL38" s="2">
        <v>35</v>
      </c>
      <c r="AM38" s="6">
        <f>[1]节奏总纲!AM38</f>
        <v>63.5</v>
      </c>
      <c r="AN38" s="6">
        <f>[1]节奏总纲!AN38</f>
        <v>50.800000000000004</v>
      </c>
      <c r="AO38" s="6">
        <f>[1]节奏总纲!AO38</f>
        <v>38.1</v>
      </c>
      <c r="AP38" s="6">
        <f>[1]节奏总纲!AP38</f>
        <v>25.400000000000002</v>
      </c>
      <c r="AQ38" s="6">
        <f>[1]节奏总纲!AQ38</f>
        <v>12.700000000000001</v>
      </c>
      <c r="AS38" s="2">
        <v>35</v>
      </c>
      <c r="AT38" s="7">
        <f>[1]节奏总纲!AT38</f>
        <v>9.3890686700671111</v>
      </c>
      <c r="AU38" s="7">
        <f>[1]节奏总纲!AU38</f>
        <v>7.5112549360536889</v>
      </c>
      <c r="AV38" s="7">
        <f>[1]节奏总纲!AV38</f>
        <v>5.6334412020402667</v>
      </c>
      <c r="AW38" s="7">
        <f>[1]节奏总纲!AW38</f>
        <v>3.7556274680268444</v>
      </c>
      <c r="AX38" s="7">
        <f>[1]节奏总纲!AX38</f>
        <v>1.8778137340134222</v>
      </c>
      <c r="AY38" s="2"/>
      <c r="AZ38" s="2">
        <v>35</v>
      </c>
      <c r="BA38" s="7">
        <f>[1]节奏总纲!BA38</f>
        <v>31.280110398778046</v>
      </c>
      <c r="BB38" s="7">
        <f>[1]节奏总纲!BB38</f>
        <v>32.660039662640372</v>
      </c>
      <c r="BC38" s="7">
        <f>[1]节奏总纲!BC38</f>
        <v>34.449714679035388</v>
      </c>
      <c r="BD38" s="7">
        <f>[1]节奏总纲!BD38</f>
        <v>37.135950591746003</v>
      </c>
      <c r="BE38" s="7">
        <f>[1]节奏总纲!BE38</f>
        <v>41.791434980831518</v>
      </c>
    </row>
    <row r="39" spans="2:57" x14ac:dyDescent="0.15">
      <c r="F39" s="2">
        <v>37</v>
      </c>
      <c r="G39" s="2">
        <f t="shared" si="0"/>
        <v>11.996038341699768</v>
      </c>
      <c r="I39" s="2">
        <v>37</v>
      </c>
      <c r="J39" s="2">
        <f t="shared" si="1"/>
        <v>85.62747641525452</v>
      </c>
      <c r="K39" s="5">
        <v>1.02</v>
      </c>
      <c r="N39" s="11">
        <f>[1]节奏总纲!N39</f>
        <v>46</v>
      </c>
      <c r="O39" s="2">
        <v>36</v>
      </c>
      <c r="P39" s="6">
        <f>[1]节奏总纲!P39</f>
        <v>11.125732532083184</v>
      </c>
      <c r="Q39" s="6">
        <f>[1]节奏总纲!Q39</f>
        <v>9.7261153795471191</v>
      </c>
      <c r="R39" s="6">
        <f>[1]节奏总纲!R39</f>
        <v>8.0405669009365166</v>
      </c>
      <c r="S39" s="6">
        <f>[1]节奏总纲!S39</f>
        <v>5.9700680767158358</v>
      </c>
      <c r="T39" s="6">
        <f>[1]节奏总纲!T39</f>
        <v>3.3388323328781633</v>
      </c>
      <c r="V39" s="2">
        <v>36</v>
      </c>
      <c r="W39" s="7">
        <f>[1]节奏总纲!W39</f>
        <v>0.81202403309842452</v>
      </c>
      <c r="X39" s="7">
        <f>[1]节奏总纲!X39</f>
        <v>0.72121648908352576</v>
      </c>
      <c r="Y39" s="7">
        <f>[1]节奏总纲!Y39</f>
        <v>0.58581839787033285</v>
      </c>
      <c r="Z39" s="7">
        <f>[1]节奏总纲!Z39</f>
        <v>0.42954387106122294</v>
      </c>
      <c r="AA39" s="7">
        <f>[1]节奏总纲!AA39</f>
        <v>0.22821784958436009</v>
      </c>
      <c r="AC39" s="2">
        <v>36</v>
      </c>
      <c r="AD39" s="7">
        <f>[1]节奏总纲!AD39</f>
        <v>52.091594979242075</v>
      </c>
      <c r="AE39" s="7">
        <f>[1]节奏总纲!AE39</f>
        <v>54.020289560649204</v>
      </c>
      <c r="AF39" s="7">
        <f>[1]节奏总纲!AF39</f>
        <v>56.869815618584624</v>
      </c>
      <c r="AG39" s="7">
        <f>[1]节奏总纲!AG39</f>
        <v>61.294362422865476</v>
      </c>
      <c r="AH39" s="7">
        <f>[1]节奏总纲!AH39</f>
        <v>69.795150761037945</v>
      </c>
      <c r="AL39" s="2">
        <v>36</v>
      </c>
      <c r="AM39" s="6">
        <f>[1]节奏总纲!AM39</f>
        <v>73.746861667008318</v>
      </c>
      <c r="AN39" s="6">
        <f>[1]节奏总纲!AN39</f>
        <v>58.997489333606659</v>
      </c>
      <c r="AO39" s="6">
        <f>[1]节奏总纲!AO39</f>
        <v>44.248117000204992</v>
      </c>
      <c r="AP39" s="6">
        <f>[1]节奏总纲!AP39</f>
        <v>29.498744666803329</v>
      </c>
      <c r="AQ39" s="6">
        <f>[1]节奏总纲!AQ39</f>
        <v>14.749372333401665</v>
      </c>
      <c r="AS39" s="2">
        <v>36</v>
      </c>
      <c r="AT39" s="7">
        <f>[1]节奏总纲!AT39</f>
        <v>10.246861667008318</v>
      </c>
      <c r="AU39" s="7">
        <f>[1]节奏总纲!AU39</f>
        <v>8.1974893336066543</v>
      </c>
      <c r="AV39" s="7">
        <f>[1]节奏总纲!AV39</f>
        <v>6.1481170002049907</v>
      </c>
      <c r="AW39" s="7">
        <f>[1]节奏总纲!AW39</f>
        <v>4.0987446668033272</v>
      </c>
      <c r="AX39" s="7">
        <f>[1]节奏总纲!AX39</f>
        <v>2.0493723334016636</v>
      </c>
      <c r="AY39" s="2"/>
      <c r="AZ39" s="2">
        <v>36</v>
      </c>
      <c r="BA39" s="7">
        <f>[1]节奏总纲!BA39</f>
        <v>31.450668101069933</v>
      </c>
      <c r="BB39" s="7">
        <f>[1]节奏总纲!BB39</f>
        <v>32.842201900114915</v>
      </c>
      <c r="BC39" s="7">
        <f>[1]节奏总纲!BC39</f>
        <v>34.627226072894942</v>
      </c>
      <c r="BD39" s="7">
        <f>[1]节奏总纲!BD39</f>
        <v>37.317457773889828</v>
      </c>
      <c r="BE39" s="7">
        <f>[1]节奏总纲!BE39</f>
        <v>41.992566056290244</v>
      </c>
    </row>
    <row r="40" spans="2:57" x14ac:dyDescent="0.15">
      <c r="F40" s="2">
        <v>38</v>
      </c>
      <c r="G40" s="2">
        <f t="shared" si="0"/>
        <v>12.928809012737984</v>
      </c>
      <c r="I40" s="2">
        <v>38</v>
      </c>
      <c r="J40" s="2">
        <f t="shared" si="1"/>
        <v>99.401036064365428</v>
      </c>
      <c r="K40" s="5">
        <v>1.03</v>
      </c>
      <c r="N40" s="11">
        <f>[1]节奏总纲!N40</f>
        <v>47</v>
      </c>
      <c r="O40" s="2">
        <v>37</v>
      </c>
      <c r="P40" s="6">
        <f>[1]节奏总纲!P40</f>
        <v>11.996038341699768</v>
      </c>
      <c r="Q40" s="6">
        <f>[1]节奏总纲!Q40</f>
        <v>10.483337906811427</v>
      </c>
      <c r="R40" s="6">
        <f>[1]节奏总纲!R40</f>
        <v>8.6671377018780831</v>
      </c>
      <c r="S40" s="6">
        <f>[1]节奏总纲!S40</f>
        <v>6.4166809089752066</v>
      </c>
      <c r="T40" s="6">
        <f>[1]节奏总纲!T40</f>
        <v>3.6000111063441</v>
      </c>
      <c r="V40" s="2">
        <v>37</v>
      </c>
      <c r="W40" s="7">
        <f>[1]节奏总纲!W40</f>
        <v>0.87030580961658366</v>
      </c>
      <c r="X40" s="7">
        <f>[1]节奏总纲!X40</f>
        <v>0.75722252726430739</v>
      </c>
      <c r="Y40" s="7">
        <f>[1]节奏总纲!Y40</f>
        <v>0.62657080094156647</v>
      </c>
      <c r="Z40" s="7">
        <f>[1]节奏总纲!Z40</f>
        <v>0.44661283225937076</v>
      </c>
      <c r="AA40" s="7">
        <f>[1]节奏总纲!AA40</f>
        <v>0.26117877346593676</v>
      </c>
      <c r="AC40" s="2">
        <v>37</v>
      </c>
      <c r="AD40" s="7">
        <f>[1]节奏总纲!AD40</f>
        <v>52.470630686057078</v>
      </c>
      <c r="AE40" s="7">
        <f>[1]节奏总纲!AE40</f>
        <v>54.407116521581436</v>
      </c>
      <c r="AF40" s="7">
        <f>[1]节奏总纲!AF40</f>
        <v>57.263329041432932</v>
      </c>
      <c r="AG40" s="7">
        <f>[1]节奏总纲!AG40</f>
        <v>61.676518787205197</v>
      </c>
      <c r="AH40" s="7">
        <f>[1]节奏总纲!AH40</f>
        <v>70.190427169053478</v>
      </c>
      <c r="AL40" s="2">
        <v>37</v>
      </c>
      <c r="AM40" s="6">
        <f>[1]节奏总纲!AM40</f>
        <v>85.62747641525452</v>
      </c>
      <c r="AN40" s="6">
        <f>[1]节奏总纲!AN40</f>
        <v>68.501981132203625</v>
      </c>
      <c r="AO40" s="6">
        <f>[1]节奏总纲!AO40</f>
        <v>51.376485849152708</v>
      </c>
      <c r="AP40" s="6">
        <f>[1]节奏总纲!AP40</f>
        <v>34.250990566101812</v>
      </c>
      <c r="AQ40" s="6">
        <f>[1]节奏总纲!AQ40</f>
        <v>17.125495283050906</v>
      </c>
      <c r="AS40" s="2">
        <v>37</v>
      </c>
      <c r="AT40" s="7">
        <f>[1]节奏总纲!AT40</f>
        <v>11.880614748246202</v>
      </c>
      <c r="AU40" s="7">
        <f>[1]节奏总纲!AU40</f>
        <v>9.5044917985969661</v>
      </c>
      <c r="AV40" s="7">
        <f>[1]节奏总纲!AV40</f>
        <v>7.1283688489477157</v>
      </c>
      <c r="AW40" s="7">
        <f>[1]节奏总纲!AW40</f>
        <v>4.7522458992984831</v>
      </c>
      <c r="AX40" s="7">
        <f>[1]节奏总纲!AX40</f>
        <v>2.3761229496492415</v>
      </c>
      <c r="AY40" s="2"/>
      <c r="AZ40" s="2">
        <v>37</v>
      </c>
      <c r="BA40" s="7">
        <f>[1]节奏总纲!BA40</f>
        <v>31.621225803361821</v>
      </c>
      <c r="BB40" s="7">
        <f>[1]节奏总纲!BB40</f>
        <v>33.02082518821102</v>
      </c>
      <c r="BC40" s="7">
        <f>[1]节奏总纲!BC40</f>
        <v>34.804737466754489</v>
      </c>
      <c r="BD40" s="7">
        <f>[1]节奏总纲!BD40</f>
        <v>37.498964956033646</v>
      </c>
      <c r="BE40" s="7">
        <f>[1]节奏总纲!BE40</f>
        <v>42.167148737437564</v>
      </c>
    </row>
    <row r="41" spans="2:57" x14ac:dyDescent="0.15">
      <c r="F41" s="2">
        <v>39</v>
      </c>
      <c r="G41" s="2">
        <f t="shared" si="0"/>
        <v>13.928527864588917</v>
      </c>
      <c r="I41" s="2">
        <v>39</v>
      </c>
      <c r="J41" s="2">
        <f t="shared" si="1"/>
        <v>115.36769098598003</v>
      </c>
      <c r="K41" s="5">
        <v>1.04</v>
      </c>
      <c r="N41" s="11">
        <f>[1]节奏总纲!N41</f>
        <v>48</v>
      </c>
      <c r="O41" s="2">
        <v>38</v>
      </c>
      <c r="P41" s="6">
        <f>[1]节奏总纲!P41</f>
        <v>12.928809012737984</v>
      </c>
      <c r="Q41" s="6">
        <f>[1]节奏总纲!Q41</f>
        <v>11.292021791725356</v>
      </c>
      <c r="R41" s="6">
        <f>[1]节奏总纲!R41</f>
        <v>9.3190855363815395</v>
      </c>
      <c r="S41" s="6">
        <f>[1]节奏总纲!S41</f>
        <v>6.8962267273944402</v>
      </c>
      <c r="T41" s="6">
        <f>[1]节奏总纲!T41</f>
        <v>3.8708854184137524</v>
      </c>
      <c r="V41" s="2">
        <v>38</v>
      </c>
      <c r="W41" s="7">
        <f>[1]节奏总纲!W41</f>
        <v>0.93277067103821665</v>
      </c>
      <c r="X41" s="7">
        <f>[1]节奏总纲!X41</f>
        <v>0.80868388491392906</v>
      </c>
      <c r="Y41" s="7">
        <f>[1]节奏总纲!Y41</f>
        <v>0.65194783450345639</v>
      </c>
      <c r="Z41" s="7">
        <f>[1]节奏总纲!Z41</f>
        <v>0.4795458184192336</v>
      </c>
      <c r="AA41" s="7">
        <f>[1]节奏总纲!AA41</f>
        <v>0.2708743120696524</v>
      </c>
      <c r="AC41" s="2">
        <v>38</v>
      </c>
      <c r="AD41" s="7">
        <f>[1]节奏总纲!AD41</f>
        <v>52.849666392872081</v>
      </c>
      <c r="AE41" s="7">
        <f>[1]节奏总纲!AE41</f>
        <v>54.793943482513676</v>
      </c>
      <c r="AF41" s="7">
        <f>[1]节奏总纲!AF41</f>
        <v>57.64832002380362</v>
      </c>
      <c r="AG41" s="7">
        <f>[1]节奏总纲!AG41</f>
        <v>62.054222259937362</v>
      </c>
      <c r="AH41" s="7">
        <f>[1]节奏总纲!AH41</f>
        <v>70.571129226337533</v>
      </c>
      <c r="AL41" s="2">
        <v>38</v>
      </c>
      <c r="AM41" s="6">
        <f>[1]节奏总纲!AM41</f>
        <v>99.401036064365428</v>
      </c>
      <c r="AN41" s="6">
        <f>[1]节奏总纲!AN41</f>
        <v>79.520828851492354</v>
      </c>
      <c r="AO41" s="6">
        <f>[1]节奏总纲!AO41</f>
        <v>59.640621638619251</v>
      </c>
      <c r="AP41" s="6">
        <f>[1]节奏总纲!AP41</f>
        <v>39.760414425746177</v>
      </c>
      <c r="AQ41" s="6">
        <f>[1]节奏总纲!AQ41</f>
        <v>19.880207212873088</v>
      </c>
      <c r="AS41" s="2">
        <v>38</v>
      </c>
      <c r="AT41" s="7">
        <f>[1]节奏总纲!AT41</f>
        <v>13.773559649110908</v>
      </c>
      <c r="AU41" s="7">
        <f>[1]节奏总纲!AU41</f>
        <v>11.018847719288729</v>
      </c>
      <c r="AV41" s="7">
        <f>[1]节奏总纲!AV41</f>
        <v>8.2641357894665433</v>
      </c>
      <c r="AW41" s="7">
        <f>[1]节奏总纲!AW41</f>
        <v>5.5094238596443645</v>
      </c>
      <c r="AX41" s="7">
        <f>[1]节奏总纲!AX41</f>
        <v>2.7547119298221823</v>
      </c>
      <c r="AY41" s="2"/>
      <c r="AZ41" s="2">
        <v>38</v>
      </c>
      <c r="BA41" s="7">
        <f>[1]节奏总纲!BA41</f>
        <v>31.791783505653711</v>
      </c>
      <c r="BB41" s="7">
        <f>[1]节奏总纲!BB41</f>
        <v>33.176527924103851</v>
      </c>
      <c r="BC41" s="7">
        <f>[1]节奏总纲!BC41</f>
        <v>34.982248860614042</v>
      </c>
      <c r="BD41" s="7">
        <f>[1]节奏总纲!BD41</f>
        <v>37.680472138177471</v>
      </c>
      <c r="BE41" s="7">
        <f>[1]节奏总纲!BE41</f>
        <v>42.340712512072891</v>
      </c>
    </row>
    <row r="42" spans="2:57" x14ac:dyDescent="0.15">
      <c r="F42" s="2">
        <v>40</v>
      </c>
      <c r="G42" s="2">
        <f t="shared" si="0"/>
        <v>15</v>
      </c>
      <c r="I42" s="2">
        <v>40</v>
      </c>
      <c r="J42" s="2">
        <f t="shared" si="1"/>
        <v>133.875</v>
      </c>
      <c r="K42" s="5">
        <v>1.05</v>
      </c>
      <c r="N42" s="11">
        <f>[1]节奏总纲!N42</f>
        <v>49</v>
      </c>
      <c r="O42" s="2">
        <v>39</v>
      </c>
      <c r="P42" s="6">
        <f>[1]节奏总纲!P42</f>
        <v>13.928527864588917</v>
      </c>
      <c r="Q42" s="6">
        <f>[1]节奏总纲!Q42</f>
        <v>12.147069150707994</v>
      </c>
      <c r="R42" s="6">
        <f>[1]节奏总纲!R42</f>
        <v>10.016004387425889</v>
      </c>
      <c r="S42" s="6">
        <f>[1]节奏总纲!S42</f>
        <v>7.4197267934665154</v>
      </c>
      <c r="T42" s="6">
        <f>[1]节奏总纲!T42</f>
        <v>4.1702012426579218</v>
      </c>
      <c r="V42" s="2">
        <v>39</v>
      </c>
      <c r="W42" s="7">
        <f>[1]节奏总纲!W42</f>
        <v>0.99971885185093257</v>
      </c>
      <c r="X42" s="7">
        <f>[1]节奏总纲!X42</f>
        <v>0.85504735898263817</v>
      </c>
      <c r="Y42" s="7">
        <f>[1]节奏总纲!Y42</f>
        <v>0.69691885104434981</v>
      </c>
      <c r="Z42" s="7">
        <f>[1]节奏总纲!Z42</f>
        <v>0.52350006607207522</v>
      </c>
      <c r="AA42" s="7">
        <f>[1]节奏总纲!AA42</f>
        <v>0.29931582424416936</v>
      </c>
      <c r="AC42" s="2">
        <v>39</v>
      </c>
      <c r="AD42" s="7">
        <f>[1]节奏总纲!AD42</f>
        <v>53.213386604241784</v>
      </c>
      <c r="AE42" s="7">
        <f>[1]节奏总纲!AE42</f>
        <v>55.170390866416149</v>
      </c>
      <c r="AF42" s="7">
        <f>[1]节奏总纲!AF42</f>
        <v>58.030740707238266</v>
      </c>
      <c r="AG42" s="7">
        <f>[1]节奏总纲!AG42</f>
        <v>62.407376554018477</v>
      </c>
      <c r="AH42" s="7">
        <f>[1]节奏总纲!AH42</f>
        <v>70.951831283621587</v>
      </c>
      <c r="AL42" s="2">
        <v>39</v>
      </c>
      <c r="AM42" s="6">
        <f>[1]节奏总纲!AM42</f>
        <v>115.36769098598003</v>
      </c>
      <c r="AN42" s="6">
        <f>[1]节奏总纲!AN42</f>
        <v>92.294152788784032</v>
      </c>
      <c r="AO42" s="6">
        <f>[1]节奏总纲!AO42</f>
        <v>69.220614591588017</v>
      </c>
      <c r="AP42" s="6">
        <f>[1]节奏总纲!AP42</f>
        <v>46.147076394392016</v>
      </c>
      <c r="AQ42" s="6">
        <f>[1]节奏总纲!AQ42</f>
        <v>23.073538197196008</v>
      </c>
      <c r="AS42" s="2">
        <v>39</v>
      </c>
      <c r="AT42" s="7">
        <f>[1]节奏总纲!AT42</f>
        <v>15.966654921614605</v>
      </c>
      <c r="AU42" s="7">
        <f>[1]节奏总纲!AU42</f>
        <v>12.773323937291678</v>
      </c>
      <c r="AV42" s="7">
        <f>[1]节奏总纲!AV42</f>
        <v>9.579992952968766</v>
      </c>
      <c r="AW42" s="7">
        <f>[1]节奏总纲!AW42</f>
        <v>6.3866619686458392</v>
      </c>
      <c r="AX42" s="7">
        <f>[1]节奏总纲!AX42</f>
        <v>3.1933309843229196</v>
      </c>
      <c r="AY42" s="2"/>
      <c r="AZ42" s="2">
        <v>39</v>
      </c>
      <c r="BA42" s="7">
        <f>[1]节奏总纲!BA42</f>
        <v>31.962341207945599</v>
      </c>
      <c r="BB42" s="7">
        <f>[1]节奏总纲!BB42</f>
        <v>33.332230659996682</v>
      </c>
      <c r="BC42" s="7">
        <f>[1]节奏总纲!BC42</f>
        <v>35.146386283795508</v>
      </c>
      <c r="BD42" s="7">
        <f>[1]节奏总纲!BD42</f>
        <v>37.861979320321296</v>
      </c>
      <c r="BE42" s="7">
        <f>[1]节奏总纲!BE42</f>
        <v>42.51427628670821</v>
      </c>
    </row>
    <row r="43" spans="2:57" x14ac:dyDescent="0.15">
      <c r="F43" s="2">
        <v>41</v>
      </c>
      <c r="G43" s="2">
        <f t="shared" si="0"/>
        <v>16.148375400580683</v>
      </c>
      <c r="I43" s="2">
        <v>41</v>
      </c>
      <c r="J43" s="2">
        <f t="shared" si="1"/>
        <v>155.32539280599755</v>
      </c>
      <c r="K43" s="5">
        <v>1.06</v>
      </c>
      <c r="N43" s="11">
        <f>[1]节奏总纲!N43</f>
        <v>50</v>
      </c>
      <c r="O43" s="2">
        <v>40</v>
      </c>
      <c r="P43" s="6">
        <f>[1]节奏总纲!P43</f>
        <v>15</v>
      </c>
      <c r="Q43" s="6">
        <f>[1]节奏总纲!Q43</f>
        <v>13.059000000000001</v>
      </c>
      <c r="R43" s="6">
        <f>[1]节奏总纲!R43</f>
        <v>10.782</v>
      </c>
      <c r="S43" s="6">
        <f>[1]节奏总纲!S43</f>
        <v>8.0009999999999994</v>
      </c>
      <c r="T43" s="6">
        <f>[1]节奏总纲!T43</f>
        <v>4.5</v>
      </c>
      <c r="V43" s="2">
        <v>40</v>
      </c>
      <c r="W43" s="7">
        <f>[1]节奏总纲!W43</f>
        <v>1.0714721354110832</v>
      </c>
      <c r="X43" s="7">
        <f>[1]节奏总纲!X43</f>
        <v>0.9119308492920073</v>
      </c>
      <c r="Y43" s="7">
        <f>[1]节奏总纲!Y43</f>
        <v>0.76599561257411075</v>
      </c>
      <c r="Z43" s="7">
        <f>[1]节奏总纲!Z43</f>
        <v>0.58127320653348402</v>
      </c>
      <c r="AA43" s="7">
        <f>[1]节奏总纲!AA43</f>
        <v>0.3297987573420782</v>
      </c>
      <c r="AC43" s="2">
        <v>40</v>
      </c>
      <c r="AD43" s="7">
        <f>[1]节奏总纲!AD43</f>
        <v>53.567039423670657</v>
      </c>
      <c r="AE43" s="7">
        <f>[1]节奏总纲!AE43</f>
        <v>55.535006783542492</v>
      </c>
      <c r="AF43" s="7">
        <f>[1]节奏总纲!AF43</f>
        <v>58.38602553461638</v>
      </c>
      <c r="AG43" s="7">
        <f>[1]节奏总纲!AG43</f>
        <v>62.760530848099599</v>
      </c>
      <c r="AH43" s="7">
        <f>[1]节奏总纲!AH43</f>
        <v>71.315281959371688</v>
      </c>
      <c r="AL43" s="2">
        <v>40</v>
      </c>
      <c r="AM43" s="6">
        <f>[1]节奏总纲!AM43</f>
        <v>133.875</v>
      </c>
      <c r="AN43" s="6">
        <f>[1]节奏总纲!AN43</f>
        <v>107.10000000000001</v>
      </c>
      <c r="AO43" s="6">
        <f>[1]节奏总纲!AO43</f>
        <v>80.325000000000003</v>
      </c>
      <c r="AP43" s="6">
        <f>[1]节奏总纲!AP43</f>
        <v>53.550000000000004</v>
      </c>
      <c r="AQ43" s="6">
        <f>[1]节奏总纲!AQ43</f>
        <v>26.775000000000002</v>
      </c>
      <c r="AS43" s="2">
        <v>40</v>
      </c>
      <c r="AT43" s="7">
        <f>[1]节奏总纲!AT43</f>
        <v>18.507309014019967</v>
      </c>
      <c r="AU43" s="7">
        <f>[1]节奏总纲!AU43</f>
        <v>14.805847211215976</v>
      </c>
      <c r="AV43" s="7">
        <f>[1]节奏总纲!AV43</f>
        <v>11.104385408411986</v>
      </c>
      <c r="AW43" s="7">
        <f>[1]节奏总纲!AW43</f>
        <v>7.4029236056079881</v>
      </c>
      <c r="AX43" s="7">
        <f>[1]节奏总纲!AX43</f>
        <v>3.7014618028039941</v>
      </c>
      <c r="AY43" s="2"/>
      <c r="AZ43" s="2">
        <v>40</v>
      </c>
      <c r="BA43" s="7">
        <f>[1]节奏总纲!BA43</f>
        <v>32.113552950216736</v>
      </c>
      <c r="BB43" s="7">
        <f>[1]节奏总纲!BB43</f>
        <v>33.487933395889513</v>
      </c>
      <c r="BC43" s="7">
        <f>[1]节奏总纲!BC43</f>
        <v>35.309037710234961</v>
      </c>
      <c r="BD43" s="7">
        <f>[1]节奏总纲!BD43</f>
        <v>38.037513426486328</v>
      </c>
      <c r="BE43" s="7">
        <f>[1]节奏总纲!BE43</f>
        <v>42.687840061343536</v>
      </c>
    </row>
    <row r="44" spans="2:57" x14ac:dyDescent="0.15">
      <c r="F44" s="2">
        <v>42</v>
      </c>
      <c r="G44" s="2">
        <f t="shared" si="0"/>
        <v>17.379173679952558</v>
      </c>
      <c r="I44" s="2">
        <v>42</v>
      </c>
      <c r="J44" s="2">
        <f t="shared" si="1"/>
        <v>180.18480345945557</v>
      </c>
      <c r="K44" s="5">
        <v>1.07</v>
      </c>
      <c r="N44" s="11">
        <f>[1]节奏总纲!N44</f>
        <v>51</v>
      </c>
      <c r="O44" s="2">
        <v>41</v>
      </c>
      <c r="P44" s="6">
        <f>[1]节奏总纲!P44</f>
        <v>16.148375400580683</v>
      </c>
      <c r="Q44" s="6">
        <f>[1]节奏总纲!Q44</f>
        <v>14.065234973905774</v>
      </c>
      <c r="R44" s="6">
        <f>[1]节奏总纲!R44</f>
        <v>11.621985775797917</v>
      </c>
      <c r="S44" s="6">
        <f>[1]节奏总纲!S44</f>
        <v>8.6296918140703163</v>
      </c>
      <c r="T44" s="6">
        <f>[1]节奏总纲!T44</f>
        <v>4.8606609955747855</v>
      </c>
      <c r="V44" s="2">
        <v>41</v>
      </c>
      <c r="W44" s="7">
        <f>[1]节奏总纲!W44</f>
        <v>1.148375400580683</v>
      </c>
      <c r="X44" s="7">
        <f>[1]节奏总纲!X44</f>
        <v>1.006234973905773</v>
      </c>
      <c r="Y44" s="7">
        <f>[1]节奏总纲!Y44</f>
        <v>0.839985775797917</v>
      </c>
      <c r="Z44" s="7">
        <f>[1]节奏总纲!Z44</f>
        <v>0.62869181407031682</v>
      </c>
      <c r="AA44" s="7">
        <f>[1]节奏总纲!AA44</f>
        <v>0.36066099557478548</v>
      </c>
      <c r="AC44" s="2">
        <v>41</v>
      </c>
      <c r="AD44" s="7">
        <f>[1]节奏总纲!AD44</f>
        <v>53.920692243099523</v>
      </c>
      <c r="AE44" s="7">
        <f>[1]节奏总纲!AE44</f>
        <v>55.899622700668843</v>
      </c>
      <c r="AF44" s="7">
        <f>[1]节奏总纲!AF44</f>
        <v>58.741310361994486</v>
      </c>
      <c r="AG44" s="7">
        <f>[1]节奏总纲!AG44</f>
        <v>63.10587219844583</v>
      </c>
      <c r="AH44" s="7">
        <f>[1]节奏总纲!AH44</f>
        <v>71.676233707038421</v>
      </c>
      <c r="AL44" s="2">
        <v>41</v>
      </c>
      <c r="AM44" s="6">
        <f>[1]节奏总纲!AM44</f>
        <v>155.32539280599755</v>
      </c>
      <c r="AN44" s="6">
        <f>[1]节奏总纲!AN44</f>
        <v>124.26031424479805</v>
      </c>
      <c r="AO44" s="6">
        <f>[1]节奏总纲!AO44</f>
        <v>93.195235683598526</v>
      </c>
      <c r="AP44" s="6">
        <f>[1]节奏总纲!AP44</f>
        <v>62.130157122399027</v>
      </c>
      <c r="AQ44" s="6">
        <f>[1]节奏总纲!AQ44</f>
        <v>31.065078561199513</v>
      </c>
      <c r="AS44" s="2">
        <v>41</v>
      </c>
      <c r="AT44" s="7">
        <f>[1]节奏总纲!AT44</f>
        <v>21.450392805997552</v>
      </c>
      <c r="AU44" s="7">
        <f>[1]节奏总纲!AU44</f>
        <v>17.160314244798045</v>
      </c>
      <c r="AV44" s="7">
        <f>[1]节奏总纲!AV44</f>
        <v>12.870235683598523</v>
      </c>
      <c r="AW44" s="7">
        <f>[1]节奏总纲!AW44</f>
        <v>8.5801571223990223</v>
      </c>
      <c r="AX44" s="7">
        <f>[1]节奏总纲!AX44</f>
        <v>4.2900785611995111</v>
      </c>
      <c r="AY44" s="2"/>
      <c r="AZ44" s="2">
        <v>41</v>
      </c>
      <c r="BA44" s="7">
        <f>[1]节奏总纲!BA44</f>
        <v>32.259282740196369</v>
      </c>
      <c r="BB44" s="7">
        <f>[1]节奏总纲!BB44</f>
        <v>33.643636131782344</v>
      </c>
      <c r="BC44" s="7">
        <f>[1]节奏总纲!BC44</f>
        <v>35.471689136674414</v>
      </c>
      <c r="BD44" s="7">
        <f>[1]节奏总纲!BD44</f>
        <v>38.194089742081125</v>
      </c>
      <c r="BE44" s="7">
        <f>[1]节奏总纲!BE44</f>
        <v>42.861403835978855</v>
      </c>
    </row>
    <row r="45" spans="2:57" x14ac:dyDescent="0.15">
      <c r="F45" s="2">
        <v>43</v>
      </c>
      <c r="G45" s="2">
        <f t="shared" si="0"/>
        <v>18.698310613518661</v>
      </c>
      <c r="I45" s="2">
        <v>43</v>
      </c>
      <c r="J45" s="2">
        <f t="shared" si="1"/>
        <v>208.99265815439742</v>
      </c>
      <c r="K45" s="5">
        <v>1.08</v>
      </c>
      <c r="N45" s="11">
        <f>[1]节奏总纲!N45</f>
        <v>52</v>
      </c>
      <c r="O45" s="2">
        <v>42</v>
      </c>
      <c r="P45" s="6">
        <f>[1]节奏总纲!P45</f>
        <v>17.379173679952558</v>
      </c>
      <c r="Q45" s="6">
        <f>[1]节奏总纲!Q45</f>
        <v>15.182446126806555</v>
      </c>
      <c r="R45" s="6">
        <f>[1]节奏总纲!R45</f>
        <v>12.547763396925747</v>
      </c>
      <c r="S45" s="6">
        <f>[1]节奏总纲!S45</f>
        <v>9.3221887619265527</v>
      </c>
      <c r="T45" s="6">
        <f>[1]节奏总纲!T45</f>
        <v>5.2485104513456724</v>
      </c>
      <c r="V45" s="2">
        <v>42</v>
      </c>
      <c r="W45" s="7">
        <f>[1]节奏总纲!W45</f>
        <v>1.230798279371875</v>
      </c>
      <c r="X45" s="7">
        <f>[1]节奏总纲!X45</f>
        <v>1.1172111529007811</v>
      </c>
      <c r="Y45" s="7">
        <f>[1]节奏总纲!Y45</f>
        <v>0.92577762112783013</v>
      </c>
      <c r="Z45" s="7">
        <f>[1]节奏总纲!Z45</f>
        <v>0.69249694785623639</v>
      </c>
      <c r="AA45" s="7">
        <f>[1]节奏总纲!AA45</f>
        <v>0.38784945577088692</v>
      </c>
      <c r="AC45" s="2">
        <v>42</v>
      </c>
      <c r="AD45" s="7">
        <f>[1]节奏总纲!AD45</f>
        <v>54.255972994404218</v>
      </c>
      <c r="AE45" s="7">
        <f>[1]节奏总纲!AE45</f>
        <v>56.238779717153008</v>
      </c>
      <c r="AF45" s="7">
        <f>[1]节奏总纲!AF45</f>
        <v>59.09095196730258</v>
      </c>
      <c r="AG45" s="7">
        <f>[1]节奏总纲!AG45</f>
        <v>63.434756173851497</v>
      </c>
      <c r="AH45" s="7">
        <f>[1]节奏总纲!AH45</f>
        <v>72.034562459436771</v>
      </c>
      <c r="AL45" s="2">
        <v>42</v>
      </c>
      <c r="AM45" s="6">
        <f>[1]节奏总纲!AM45</f>
        <v>180.18480345945557</v>
      </c>
      <c r="AN45" s="6">
        <f>[1]节奏总纲!AN45</f>
        <v>144.14784276756447</v>
      </c>
      <c r="AO45" s="6">
        <f>[1]节奏总纲!AO45</f>
        <v>108.11088207567333</v>
      </c>
      <c r="AP45" s="6">
        <f>[1]节奏总纲!AP45</f>
        <v>72.073921383782235</v>
      </c>
      <c r="AQ45" s="6">
        <f>[1]节奏总纲!AQ45</f>
        <v>36.036960691891117</v>
      </c>
      <c r="AS45" s="2">
        <v>42</v>
      </c>
      <c r="AT45" s="7">
        <f>[1]节奏总纲!AT45</f>
        <v>24.859410653458013</v>
      </c>
      <c r="AU45" s="7">
        <f>[1]节奏总纲!AU45</f>
        <v>19.887528522766416</v>
      </c>
      <c r="AV45" s="7">
        <f>[1]节奏总纲!AV45</f>
        <v>14.915646392074805</v>
      </c>
      <c r="AW45" s="7">
        <f>[1]节奏总纲!AW45</f>
        <v>9.9437642613832082</v>
      </c>
      <c r="AX45" s="7">
        <f>[1]节奏总纲!AX45</f>
        <v>4.9718821306916041</v>
      </c>
      <c r="AY45" s="2"/>
      <c r="AZ45" s="2">
        <v>42</v>
      </c>
      <c r="BA45" s="7">
        <f>[1]节奏总纲!BA45</f>
        <v>32.405012530176009</v>
      </c>
      <c r="BB45" s="7">
        <f>[1]节奏总纲!BB45</f>
        <v>33.799338867675175</v>
      </c>
      <c r="BC45" s="7">
        <f>[1]节奏总纲!BC45</f>
        <v>35.634340563113874</v>
      </c>
      <c r="BD45" s="7">
        <f>[1]节奏总纲!BD45</f>
        <v>38.35066605767593</v>
      </c>
      <c r="BE45" s="7">
        <f>[1]节奏总纲!BE45</f>
        <v>43.030177309109042</v>
      </c>
    </row>
    <row r="46" spans="2:57" x14ac:dyDescent="0.15">
      <c r="F46" s="2">
        <v>44</v>
      </c>
      <c r="G46" s="2">
        <f t="shared" si="0"/>
        <v>20.112126572366307</v>
      </c>
      <c r="I46" s="2">
        <v>44</v>
      </c>
      <c r="J46" s="2">
        <f t="shared" si="1"/>
        <v>242.37342918215046</v>
      </c>
      <c r="K46" s="5">
        <v>1.0900000000000001</v>
      </c>
      <c r="N46" s="11">
        <f>[1]节奏总纲!N46</f>
        <v>53</v>
      </c>
      <c r="O46" s="2">
        <v>43</v>
      </c>
      <c r="P46" s="6">
        <f>[1]节奏总纲!P46</f>
        <v>18.698310613518661</v>
      </c>
      <c r="Q46" s="6">
        <f>[1]节奏总纲!Q46</f>
        <v>16.338583814092605</v>
      </c>
      <c r="R46" s="6">
        <f>[1]节奏总纲!R46</f>
        <v>13.509529418267233</v>
      </c>
      <c r="S46" s="6">
        <f>[1]节奏总纲!S46</f>
        <v>10.020424657784652</v>
      </c>
      <c r="T46" s="6">
        <f>[1]节奏总纲!T46</f>
        <v>5.6394104810372276</v>
      </c>
      <c r="V46" s="2">
        <v>43</v>
      </c>
      <c r="W46" s="7">
        <f>[1]节奏总纲!W46</f>
        <v>1.319136933566103</v>
      </c>
      <c r="X46" s="7">
        <f>[1]节奏总纲!X46</f>
        <v>1.1561376872860496</v>
      </c>
      <c r="Y46" s="7">
        <f>[1]节奏总纲!Y46</f>
        <v>0.96176602134148581</v>
      </c>
      <c r="Z46" s="7">
        <f>[1]节奏总纲!Z46</f>
        <v>0.6982358958580992</v>
      </c>
      <c r="AA46" s="7">
        <f>[1]节奏总纲!AA46</f>
        <v>0.39090002969155524</v>
      </c>
      <c r="AC46" s="2">
        <v>43</v>
      </c>
      <c r="AD46" s="7">
        <f>[1]节奏总纲!AD46</f>
        <v>54.585942742481357</v>
      </c>
      <c r="AE46" s="7">
        <f>[1]节奏总纲!AE46</f>
        <v>56.568265567054013</v>
      </c>
      <c r="AF46" s="7">
        <f>[1]节奏总纲!AF46</f>
        <v>59.425480572843689</v>
      </c>
      <c r="AG46" s="7">
        <f>[1]节奏总纲!AG46</f>
        <v>63.763640149257171</v>
      </c>
      <c r="AH46" s="7">
        <f>[1]节奏总纲!AH46</f>
        <v>72.370053318329937</v>
      </c>
      <c r="AL46" s="2">
        <v>43</v>
      </c>
      <c r="AM46" s="6">
        <f>[1]节奏总纲!AM46</f>
        <v>208.99265815439742</v>
      </c>
      <c r="AN46" s="6">
        <f>[1]节奏总纲!AN46</f>
        <v>167.19412652351795</v>
      </c>
      <c r="AO46" s="6">
        <f>[1]节奏总纲!AO46</f>
        <v>125.39559489263844</v>
      </c>
      <c r="AP46" s="6">
        <f>[1]节奏总纲!AP46</f>
        <v>83.597063261758976</v>
      </c>
      <c r="AQ46" s="6">
        <f>[1]节奏总纲!AQ46</f>
        <v>41.798531630879488</v>
      </c>
      <c r="AS46" s="2">
        <v>43</v>
      </c>
      <c r="AT46" s="7">
        <f>[1]节奏总纲!AT46</f>
        <v>28.807854694941852</v>
      </c>
      <c r="AU46" s="7">
        <f>[1]节奏总纲!AU46</f>
        <v>23.046283755953482</v>
      </c>
      <c r="AV46" s="7">
        <f>[1]节奏总纲!AV46</f>
        <v>17.284712816965111</v>
      </c>
      <c r="AW46" s="7">
        <f>[1]节奏总纲!AW46</f>
        <v>11.523141877976741</v>
      </c>
      <c r="AX46" s="7">
        <f>[1]节奏总纲!AX46</f>
        <v>5.7615709389883705</v>
      </c>
      <c r="AY46" s="2"/>
      <c r="AZ46" s="2">
        <v>43</v>
      </c>
      <c r="BA46" s="7">
        <f>[1]节奏总纲!BA46</f>
        <v>32.550742320155642</v>
      </c>
      <c r="BB46" s="7">
        <f>[1]节奏总纲!BB46</f>
        <v>33.955041603568006</v>
      </c>
      <c r="BC46" s="7">
        <f>[1]节奏总纲!BC46</f>
        <v>35.796991989553327</v>
      </c>
      <c r="BD46" s="7">
        <f>[1]节奏总纲!BD46</f>
        <v>38.507242373270728</v>
      </c>
      <c r="BE46" s="7">
        <f>[1]节奏总纲!BE46</f>
        <v>43.179964142847631</v>
      </c>
    </row>
    <row r="47" spans="2:57" x14ac:dyDescent="0.15">
      <c r="F47" s="2">
        <v>45</v>
      </c>
      <c r="G47" s="2">
        <f t="shared" si="0"/>
        <v>21.627416997969519</v>
      </c>
      <c r="I47" s="2">
        <v>45</v>
      </c>
      <c r="J47" s="2">
        <f t="shared" si="1"/>
        <v>281.05</v>
      </c>
      <c r="K47" s="5">
        <v>1.1000000000000001</v>
      </c>
      <c r="N47" s="11">
        <f>[1]节奏总纲!N47</f>
        <v>54</v>
      </c>
      <c r="O47" s="2">
        <v>44</v>
      </c>
      <c r="P47" s="6">
        <f>[1]节奏总纲!P47</f>
        <v>20.112126572366307</v>
      </c>
      <c r="Q47" s="6">
        <f>[1]节奏总纲!Q47</f>
        <v>17.573976198933678</v>
      </c>
      <c r="R47" s="6">
        <f>[1]节奏总纲!R47</f>
        <v>14.520955385248474</v>
      </c>
      <c r="S47" s="6">
        <f>[1]节奏总纲!S47</f>
        <v>10.768032566844921</v>
      </c>
      <c r="T47" s="6">
        <f>[1]节奏总纲!T47</f>
        <v>6.0537500982822579</v>
      </c>
      <c r="V47" s="2">
        <v>44</v>
      </c>
      <c r="W47" s="7">
        <f>[1]节奏总纲!W47</f>
        <v>1.4138159588476462</v>
      </c>
      <c r="X47" s="7">
        <f>[1]节奏总纲!X47</f>
        <v>1.2353923848410737</v>
      </c>
      <c r="Y47" s="7">
        <f>[1]节奏总纲!Y47</f>
        <v>1.0114259669812409</v>
      </c>
      <c r="Z47" s="7">
        <f>[1]节奏总纲!Z47</f>
        <v>0.74760790906026919</v>
      </c>
      <c r="AA47" s="7">
        <f>[1]节奏总纲!AA47</f>
        <v>0.41433961724503021</v>
      </c>
      <c r="AC47" s="2">
        <v>44</v>
      </c>
      <c r="AD47" s="7">
        <f>[1]节奏总纲!AD47</f>
        <v>54.915912490558505</v>
      </c>
      <c r="AE47" s="7">
        <f>[1]节奏总纲!AE47</f>
        <v>56.897751416955018</v>
      </c>
      <c r="AF47" s="7">
        <f>[1]节奏总纲!AF47</f>
        <v>59.760009178384806</v>
      </c>
      <c r="AG47" s="7">
        <f>[1]节奏总纲!AG47</f>
        <v>64.08760696397195</v>
      </c>
      <c r="AH47" s="7">
        <f>[1]节奏总纲!AH47</f>
        <v>72.705544177223089</v>
      </c>
      <c r="AL47" s="2">
        <v>44</v>
      </c>
      <c r="AM47" s="6">
        <f>[1]节奏总纲!AM47</f>
        <v>242.37342918215046</v>
      </c>
      <c r="AN47" s="6">
        <f>[1]节奏总纲!AN47</f>
        <v>193.89874334572039</v>
      </c>
      <c r="AO47" s="6">
        <f>[1]节奏总纲!AO47</f>
        <v>145.42405750929026</v>
      </c>
      <c r="AP47" s="6">
        <f>[1]节奏总纲!AP47</f>
        <v>96.949371672860195</v>
      </c>
      <c r="AQ47" s="6">
        <f>[1]节奏总纲!AQ47</f>
        <v>48.474685836430098</v>
      </c>
      <c r="AS47" s="2">
        <v>44</v>
      </c>
      <c r="AT47" s="7">
        <f>[1]节奏总纲!AT47</f>
        <v>33.380771027753042</v>
      </c>
      <c r="AU47" s="7">
        <f>[1]节奏总纲!AU47</f>
        <v>26.704616822202439</v>
      </c>
      <c r="AV47" s="7">
        <f>[1]节奏总纲!AV47</f>
        <v>20.028462616651822</v>
      </c>
      <c r="AW47" s="7">
        <f>[1]节奏总纲!AW47</f>
        <v>13.35230841110122</v>
      </c>
      <c r="AX47" s="7">
        <f>[1]节奏总纲!AX47</f>
        <v>6.6761542055506098</v>
      </c>
      <c r="AY47" s="2"/>
      <c r="AZ47" s="2">
        <v>44</v>
      </c>
      <c r="BA47" s="7">
        <f>[1]节奏总纲!BA47</f>
        <v>32.696472110135275</v>
      </c>
      <c r="BB47" s="7">
        <f>[1]节奏总纲!BB47</f>
        <v>34.09469189131628</v>
      </c>
      <c r="BC47" s="7">
        <f>[1]节奏总纲!BC47</f>
        <v>35.95964341599278</v>
      </c>
      <c r="BD47" s="7">
        <f>[1]节奏总纲!BD47</f>
        <v>38.663818688865533</v>
      </c>
      <c r="BE47" s="7">
        <f>[1]节奏总纲!BE47</f>
        <v>43.329750976586219</v>
      </c>
    </row>
    <row r="48" spans="2:57" x14ac:dyDescent="0.15">
      <c r="F48" s="2">
        <v>46</v>
      </c>
      <c r="G48" s="2">
        <f t="shared" si="0"/>
        <v>23.251465064166357</v>
      </c>
      <c r="I48" s="2">
        <v>46</v>
      </c>
      <c r="J48" s="2">
        <f t="shared" si="1"/>
        <v>325.85912455595718</v>
      </c>
      <c r="K48" s="5">
        <v>1.1100000000000001</v>
      </c>
      <c r="N48" s="11">
        <f>[1]节奏总纲!N48</f>
        <v>55</v>
      </c>
      <c r="O48" s="2">
        <v>45</v>
      </c>
      <c r="P48" s="6">
        <f>[1]节奏总纲!P48</f>
        <v>21.627416997969519</v>
      </c>
      <c r="Q48" s="6">
        <f>[1]节奏总纲!Q48</f>
        <v>18.900199714525563</v>
      </c>
      <c r="R48" s="6">
        <f>[1]节奏总纲!R48</f>
        <v>15.604181364035009</v>
      </c>
      <c r="S48" s="6">
        <f>[1]节奏总纲!S48</f>
        <v>11.572830835613489</v>
      </c>
      <c r="T48" s="6">
        <f>[1]节奏总纲!T48</f>
        <v>6.49903880788984</v>
      </c>
      <c r="V48" s="2">
        <v>45</v>
      </c>
      <c r="W48" s="7">
        <f>[1]节奏总纲!W48</f>
        <v>1.5152904256032116</v>
      </c>
      <c r="X48" s="7">
        <f>[1]节奏总纲!X48</f>
        <v>1.3262235155918844</v>
      </c>
      <c r="Y48" s="7">
        <f>[1]节奏总纲!Y48</f>
        <v>1.083225978786535</v>
      </c>
      <c r="Z48" s="7">
        <f>[1]节奏总纲!Z48</f>
        <v>0.80479826876856819</v>
      </c>
      <c r="AA48" s="7">
        <f>[1]节奏总纲!AA48</f>
        <v>0.44528870960758216</v>
      </c>
      <c r="AC48" s="2">
        <v>45</v>
      </c>
      <c r="AD48" s="7">
        <f>[1]节奏总纲!AD48</f>
        <v>55.229416240679981</v>
      </c>
      <c r="AE48" s="7">
        <f>[1]节奏总纲!AE48</f>
        <v>57.218966664386244</v>
      </c>
      <c r="AF48" s="7">
        <f>[1]节奏总纲!AF48</f>
        <v>60.086674688654931</v>
      </c>
      <c r="AG48" s="7">
        <f>[1]节奏总纲!AG48</f>
        <v>64.399012521055653</v>
      </c>
      <c r="AH48" s="7">
        <f>[1]节奏总纲!AH48</f>
        <v>73.037155126421851</v>
      </c>
      <c r="AL48" s="2">
        <v>45</v>
      </c>
      <c r="AM48" s="6">
        <f>[1]节奏总纲!AM48</f>
        <v>281.05</v>
      </c>
      <c r="AN48" s="6">
        <f>[1]节奏总纲!AN48</f>
        <v>224.84000000000003</v>
      </c>
      <c r="AO48" s="6">
        <f>[1]节奏总纲!AO48</f>
        <v>168.63</v>
      </c>
      <c r="AP48" s="6">
        <f>[1]节奏总纲!AP48</f>
        <v>112.42000000000002</v>
      </c>
      <c r="AQ48" s="6">
        <f>[1]节奏总纲!AQ48</f>
        <v>56.210000000000008</v>
      </c>
      <c r="AS48" s="2">
        <v>45</v>
      </c>
      <c r="AT48" s="7">
        <f>[1]节奏总纲!AT48</f>
        <v>38.676570817849552</v>
      </c>
      <c r="AU48" s="7">
        <f>[1]节奏总纲!AU48</f>
        <v>30.941256654279641</v>
      </c>
      <c r="AV48" s="7">
        <f>[1]节奏总纲!AV48</f>
        <v>23.205942490709731</v>
      </c>
      <c r="AW48" s="7">
        <f>[1]节奏总纲!AW48</f>
        <v>15.470628327139821</v>
      </c>
      <c r="AX48" s="7">
        <f>[1]节奏总纲!AX48</f>
        <v>7.7353141635699103</v>
      </c>
      <c r="AY48" s="2"/>
      <c r="AZ48" s="2">
        <v>45</v>
      </c>
      <c r="BA48" s="7">
        <f>[1]节奏总纲!BA48</f>
        <v>32.842201900114915</v>
      </c>
      <c r="BB48" s="7">
        <f>[1]节奏总纲!BB48</f>
        <v>34.227825436710944</v>
      </c>
      <c r="BC48" s="7">
        <f>[1]节奏总纲!BC48</f>
        <v>36.105477566569242</v>
      </c>
      <c r="BD48" s="7">
        <f>[1]节奏总纲!BD48</f>
        <v>38.82039500446033</v>
      </c>
      <c r="BE48" s="7">
        <f>[1]节奏总纲!BE48</f>
        <v>43.479537810324807</v>
      </c>
    </row>
    <row r="49" spans="6:62" x14ac:dyDescent="0.15">
      <c r="F49" s="2">
        <v>47</v>
      </c>
      <c r="G49" s="2">
        <f t="shared" si="0"/>
        <v>24.992076683399535</v>
      </c>
      <c r="I49" s="2">
        <v>47</v>
      </c>
      <c r="J49" s="2">
        <f t="shared" si="1"/>
        <v>377.76930817680426</v>
      </c>
      <c r="K49" s="5">
        <v>1.1200000000000001</v>
      </c>
      <c r="N49" s="11">
        <f>[1]节奏总纲!N49</f>
        <v>56</v>
      </c>
      <c r="O49" s="2">
        <v>46</v>
      </c>
      <c r="P49" s="6">
        <f>[1]节奏总纲!P49</f>
        <v>23.251465064166357</v>
      </c>
      <c r="Q49" s="6">
        <f>[1]节奏总纲!Q49</f>
        <v>20.310154733549314</v>
      </c>
      <c r="R49" s="6">
        <f>[1]节奏总纲!R49</f>
        <v>16.757330871744692</v>
      </c>
      <c r="S49" s="6">
        <f>[1]节奏总纲!S49</f>
        <v>12.425582930290501</v>
      </c>
      <c r="T49" s="6">
        <f>[1]节奏总纲!T49</f>
        <v>6.9545132006921566</v>
      </c>
      <c r="V49" s="2">
        <v>46</v>
      </c>
      <c r="W49" s="7">
        <f>[1]节奏总纲!W49</f>
        <v>1.6240480661968384</v>
      </c>
      <c r="X49" s="7">
        <f>[1]节奏总纲!X49</f>
        <v>1.4099550190237515</v>
      </c>
      <c r="Y49" s="7">
        <f>[1]节奏总纲!Y49</f>
        <v>1.1531495077096832</v>
      </c>
      <c r="Z49" s="7">
        <f>[1]节奏总纲!Z49</f>
        <v>0.85275209467701174</v>
      </c>
      <c r="AA49" s="7">
        <f>[1]节奏总纲!AA49</f>
        <v>0.45547439280231661</v>
      </c>
      <c r="AC49" s="2">
        <v>46</v>
      </c>
      <c r="AD49" s="7">
        <f>[1]节奏总纲!AD49</f>
        <v>55.537288901845052</v>
      </c>
      <c r="AE49" s="7">
        <f>[1]节奏总纲!AE49</f>
        <v>57.53646043868428</v>
      </c>
      <c r="AF49" s="7">
        <f>[1]节奏总纲!AF49</f>
        <v>60.393379177879737</v>
      </c>
      <c r="AG49" s="7">
        <f>[1]节奏总纲!AG49</f>
        <v>64.710418078139355</v>
      </c>
      <c r="AH49" s="7">
        <f>[1]节奏总纲!AH49</f>
        <v>73.340924940105893</v>
      </c>
      <c r="AL49" s="2">
        <v>46</v>
      </c>
      <c r="AM49" s="6">
        <f>[1]节奏总纲!AM49</f>
        <v>325.85912455595718</v>
      </c>
      <c r="AN49" s="6">
        <f>[1]节奏总纲!AN49</f>
        <v>260.68729964476574</v>
      </c>
      <c r="AO49" s="6">
        <f>[1]节奏总纲!AO49</f>
        <v>195.51547473357431</v>
      </c>
      <c r="AP49" s="6">
        <f>[1]节奏总纲!AP49</f>
        <v>130.34364982238287</v>
      </c>
      <c r="AQ49" s="6">
        <f>[1]节奏总纲!AQ49</f>
        <v>65.171824911191436</v>
      </c>
      <c r="AS49" s="2">
        <v>46</v>
      </c>
      <c r="AT49" s="7">
        <f>[1]节奏总纲!AT49</f>
        <v>44.809124555957169</v>
      </c>
      <c r="AU49" s="7">
        <f>[1]节奏总纲!AU49</f>
        <v>35.847299644765712</v>
      </c>
      <c r="AV49" s="7">
        <f>[1]节奏总纲!AV49</f>
        <v>26.885474733574313</v>
      </c>
      <c r="AW49" s="7">
        <f>[1]节奏总纲!AW49</f>
        <v>17.923649822382856</v>
      </c>
      <c r="AX49" s="7">
        <f>[1]节奏总纲!AX49</f>
        <v>8.9618249111914281</v>
      </c>
      <c r="AY49" s="2"/>
      <c r="AZ49" s="2">
        <v>46</v>
      </c>
      <c r="BA49" s="7">
        <f>[1]节奏总纲!BA49</f>
        <v>32.987931690094548</v>
      </c>
      <c r="BB49" s="7">
        <f>[1]节奏总纲!BB49</f>
        <v>34.360958982105608</v>
      </c>
      <c r="BC49" s="7">
        <f>[1]节奏总纲!BC49</f>
        <v>36.245762114295424</v>
      </c>
      <c r="BD49" s="7">
        <f>[1]节奏总纲!BD49</f>
        <v>38.976971320055128</v>
      </c>
      <c r="BE49" s="7">
        <f>[1]节奏总纲!BE49</f>
        <v>43.629324644063402</v>
      </c>
    </row>
    <row r="50" spans="6:62" x14ac:dyDescent="0.15">
      <c r="F50" s="2">
        <v>48</v>
      </c>
      <c r="G50" s="2">
        <f t="shared" si="0"/>
        <v>26.857618025475972</v>
      </c>
      <c r="I50" s="2">
        <v>48</v>
      </c>
      <c r="J50" s="2">
        <f t="shared" si="1"/>
        <v>437.90148836012787</v>
      </c>
      <c r="K50" s="5">
        <v>1.1299999999999999</v>
      </c>
      <c r="N50" s="11">
        <f>[1]节奏总纲!N50</f>
        <v>57</v>
      </c>
      <c r="O50" s="2">
        <v>47</v>
      </c>
      <c r="P50" s="6">
        <f>[1]节奏总纲!P50</f>
        <v>24.992076683399535</v>
      </c>
      <c r="Q50" s="6">
        <f>[1]节奏总纲!Q50</f>
        <v>21.823081359944474</v>
      </c>
      <c r="R50" s="6">
        <f>[1]节奏总纲!R50</f>
        <v>17.996794419716004</v>
      </c>
      <c r="S50" s="6">
        <f>[1]节奏总纲!S50</f>
        <v>13.335772118261991</v>
      </c>
      <c r="T50" s="6">
        <f>[1]节奏总纲!T50</f>
        <v>7.4426404363163821</v>
      </c>
      <c r="V50" s="2">
        <v>47</v>
      </c>
      <c r="W50" s="7">
        <f>[1]节奏总纲!W50</f>
        <v>1.740611619233178</v>
      </c>
      <c r="X50" s="7">
        <f>[1]节奏总纲!X50</f>
        <v>1.51292662639516</v>
      </c>
      <c r="Y50" s="7">
        <f>[1]节奏总纲!Y50</f>
        <v>1.2394635479713116</v>
      </c>
      <c r="Z50" s="7">
        <f>[1]节奏总纲!Z50</f>
        <v>0.91018918797148984</v>
      </c>
      <c r="AA50" s="7">
        <f>[1]节奏总纲!AA50</f>
        <v>0.48812723562422544</v>
      </c>
      <c r="AC50" s="2">
        <v>47</v>
      </c>
      <c r="AD50" s="7">
        <f>[1]节奏总纲!AD50</f>
        <v>55.845161563010116</v>
      </c>
      <c r="AE50" s="7">
        <f>[1]节奏总纲!AE50</f>
        <v>57.853954212982316</v>
      </c>
      <c r="AF50" s="7">
        <f>[1]节奏总纲!AF50</f>
        <v>60.700083667104536</v>
      </c>
      <c r="AG50" s="7">
        <f>[1]节奏总纲!AG50</f>
        <v>65.021675833900701</v>
      </c>
      <c r="AH50" s="7">
        <f>[1]节奏总纲!AH50</f>
        <v>73.644694753789935</v>
      </c>
      <c r="AL50" s="2">
        <v>47</v>
      </c>
      <c r="AM50" s="6">
        <f>[1]节奏总纲!AM50</f>
        <v>377.76930817680426</v>
      </c>
      <c r="AN50" s="6">
        <f>[1]节奏总纲!AN50</f>
        <v>302.21544654144344</v>
      </c>
      <c r="AO50" s="6">
        <f>[1]节奏总纲!AO50</f>
        <v>226.66158490608254</v>
      </c>
      <c r="AP50" s="6">
        <f>[1]节奏总纲!AP50</f>
        <v>151.10772327072172</v>
      </c>
      <c r="AQ50" s="6">
        <f>[1]节奏总纲!AQ50</f>
        <v>75.55386163536086</v>
      </c>
      <c r="AS50" s="2">
        <v>47</v>
      </c>
      <c r="AT50" s="7">
        <f>[1]节奏总纲!AT50</f>
        <v>51.910183620847079</v>
      </c>
      <c r="AU50" s="7">
        <f>[1]节奏总纲!AU50</f>
        <v>41.528146896677697</v>
      </c>
      <c r="AV50" s="7">
        <f>[1]节奏总纲!AV50</f>
        <v>31.14611017250823</v>
      </c>
      <c r="AW50" s="7">
        <f>[1]节奏总纲!AW50</f>
        <v>20.764073448338848</v>
      </c>
      <c r="AX50" s="7">
        <f>[1]节奏总纲!AX50</f>
        <v>10.382036724169424</v>
      </c>
      <c r="AY50" s="2"/>
      <c r="AZ50" s="2">
        <v>47</v>
      </c>
      <c r="BA50" s="7">
        <f>[1]节奏总纲!BA50</f>
        <v>33.114246829746719</v>
      </c>
      <c r="BB50" s="7">
        <f>[1]节奏总纲!BB50</f>
        <v>34.494092527500278</v>
      </c>
      <c r="BC50" s="7">
        <f>[1]节奏总纲!BC50</f>
        <v>36.386046662021599</v>
      </c>
      <c r="BD50" s="7">
        <f>[1]节奏总纲!BD50</f>
        <v>39.115214427575864</v>
      </c>
      <c r="BE50" s="7">
        <f>[1]节奏总纲!BE50</f>
        <v>43.77911147780199</v>
      </c>
      <c r="BJ50" s="2">
        <v>1</v>
      </c>
    </row>
    <row r="51" spans="6:62" x14ac:dyDescent="0.15">
      <c r="F51" s="2">
        <v>49</v>
      </c>
      <c r="G51" s="2">
        <f t="shared" si="0"/>
        <v>28.857055729177837</v>
      </c>
      <c r="I51" s="2">
        <v>49</v>
      </c>
      <c r="J51" s="2">
        <f t="shared" si="1"/>
        <v>507.55295278468168</v>
      </c>
      <c r="K51" s="5">
        <v>1.1399999999999999</v>
      </c>
      <c r="N51" s="11">
        <f>[1]节奏总纲!N51</f>
        <v>58</v>
      </c>
      <c r="O51" s="2">
        <v>48</v>
      </c>
      <c r="P51" s="6">
        <f>[1]节奏总纲!P51</f>
        <v>26.857618025475972</v>
      </c>
      <c r="Q51" s="6">
        <f>[1]节奏总纲!Q51</f>
        <v>23.425214441820142</v>
      </c>
      <c r="R51" s="6">
        <f>[1]节奏总纲!R51</f>
        <v>19.329427692935056</v>
      </c>
      <c r="S51" s="6">
        <f>[1]节奏总纲!S51</f>
        <v>14.269452456935383</v>
      </c>
      <c r="T51" s="6">
        <f>[1]节奏总纲!T51</f>
        <v>7.9605979827510778</v>
      </c>
      <c r="V51" s="2">
        <v>48</v>
      </c>
      <c r="W51" s="7">
        <f>[1]节奏总纲!W51</f>
        <v>1.8655413420764368</v>
      </c>
      <c r="X51" s="7">
        <f>[1]节奏总纲!X51</f>
        <v>1.6021330818756674</v>
      </c>
      <c r="Y51" s="7">
        <f>[1]节奏总纲!Y51</f>
        <v>1.3326332732190522</v>
      </c>
      <c r="Z51" s="7">
        <f>[1]节奏总纲!Z51</f>
        <v>0.93368033867339228</v>
      </c>
      <c r="AA51" s="7">
        <f>[1]节奏总纲!AA51</f>
        <v>0.51795754643469571</v>
      </c>
      <c r="AC51" s="2">
        <v>48</v>
      </c>
      <c r="AD51" s="7">
        <f>[1]节奏总纲!AD51</f>
        <v>56.142785979989682</v>
      </c>
      <c r="AE51" s="7">
        <f>[1]节奏总纲!AE51</f>
        <v>58.155157256402767</v>
      </c>
      <c r="AF51" s="7">
        <f>[1]节奏总纲!AF51</f>
        <v>61.006268532239034</v>
      </c>
      <c r="AG51" s="7">
        <f>[1]节奏总纲!AG51</f>
        <v>65.330972386106993</v>
      </c>
      <c r="AH51" s="7">
        <f>[1]节奏总纲!AH51</f>
        <v>73.948464567473962</v>
      </c>
      <c r="AL51" s="2">
        <v>48</v>
      </c>
      <c r="AM51" s="6">
        <f>[1]节奏总纲!AM51</f>
        <v>437.90148836012787</v>
      </c>
      <c r="AN51" s="6">
        <f>[1]节奏总纲!AN51</f>
        <v>350.32119068810232</v>
      </c>
      <c r="AO51" s="6">
        <f>[1]节奏总纲!AO51</f>
        <v>262.74089301607671</v>
      </c>
      <c r="AP51" s="6">
        <f>[1]节奏总纲!AP51</f>
        <v>175.16059534405116</v>
      </c>
      <c r="AQ51" s="6">
        <f>[1]节奏总纲!AQ51</f>
        <v>87.58029767202558</v>
      </c>
      <c r="AS51" s="2">
        <v>48</v>
      </c>
      <c r="AT51" s="7">
        <f>[1]节奏总纲!AT51</f>
        <v>60.132180183323612</v>
      </c>
      <c r="AU51" s="7">
        <f>[1]节奏总纲!AU51</f>
        <v>48.105744146658878</v>
      </c>
      <c r="AV51" s="7">
        <f>[1]节奏总纲!AV51</f>
        <v>36.079308109994173</v>
      </c>
      <c r="AW51" s="7">
        <f>[1]节奏总纲!AW51</f>
        <v>24.052872073329439</v>
      </c>
      <c r="AX51" s="7">
        <f>[1]节奏总纲!AX51</f>
        <v>12.02643603666472</v>
      </c>
      <c r="AY51" s="2"/>
      <c r="AZ51" s="2">
        <v>48</v>
      </c>
      <c r="BA51" s="7">
        <f>[1]节奏总纲!BA51</f>
        <v>33.238809018460984</v>
      </c>
      <c r="BB51" s="7">
        <f>[1]节奏总纲!BB51</f>
        <v>34.627226072894942</v>
      </c>
      <c r="BC51" s="7">
        <f>[1]节奏总纲!BC51</f>
        <v>36.526331209747774</v>
      </c>
      <c r="BD51" s="7">
        <f>[1]节奏总纲!BD51</f>
        <v>39.250296194358178</v>
      </c>
      <c r="BE51" s="7">
        <f>[1]节奏总纲!BE51</f>
        <v>43.928898311540578</v>
      </c>
    </row>
    <row r="52" spans="6:62" x14ac:dyDescent="0.15">
      <c r="F52" s="2">
        <v>50</v>
      </c>
      <c r="G52" s="2">
        <f t="shared" si="0"/>
        <v>31</v>
      </c>
      <c r="I52" s="2">
        <v>50</v>
      </c>
      <c r="J52" s="2">
        <f t="shared" si="1"/>
        <v>588.22499999999991</v>
      </c>
      <c r="K52" s="5">
        <v>1.1499999999999999</v>
      </c>
      <c r="N52" s="11">
        <f>[1]节奏总纲!N52</f>
        <v>59</v>
      </c>
      <c r="O52" s="2">
        <v>49</v>
      </c>
      <c r="P52" s="6">
        <f>[1]节奏总纲!P52</f>
        <v>28.857055729177837</v>
      </c>
      <c r="Q52" s="6">
        <f>[1]节奏总纲!Q52</f>
        <v>25.166238301415991</v>
      </c>
      <c r="R52" s="6">
        <f>[1]节奏总纲!R52</f>
        <v>20.719366013549685</v>
      </c>
      <c r="S52" s="6">
        <f>[1]节奏总纲!S52</f>
        <v>15.268268186307994</v>
      </c>
      <c r="T52" s="6">
        <f>[1]节奏总纲!T52</f>
        <v>8.5474599069824766</v>
      </c>
      <c r="V52" s="2">
        <v>49</v>
      </c>
      <c r="W52" s="7">
        <f>[1]节奏总纲!W52</f>
        <v>1.9994377037018651</v>
      </c>
      <c r="X52" s="7">
        <f>[1]节奏总纲!X52</f>
        <v>1.7410238595958489</v>
      </c>
      <c r="Y52" s="7">
        <f>[1]节奏总纲!Y52</f>
        <v>1.389938320614629</v>
      </c>
      <c r="Z52" s="7">
        <f>[1]节奏总纲!Z52</f>
        <v>0.99881572937261076</v>
      </c>
      <c r="AA52" s="7">
        <f>[1]节奏总纲!AA52</f>
        <v>0.58686192423139882</v>
      </c>
      <c r="AC52" s="2">
        <v>49</v>
      </c>
      <c r="AD52" s="7">
        <f>[1]节奏总纲!AD52</f>
        <v>56.430041330048923</v>
      </c>
      <c r="AE52" s="7">
        <f>[1]节奏总纲!AE52</f>
        <v>58.442483247955479</v>
      </c>
      <c r="AF52" s="7">
        <f>[1]节奏总纲!AF52</f>
        <v>61.289495211956165</v>
      </c>
      <c r="AG52" s="7">
        <f>[1]节奏总纲!AG52</f>
        <v>65.640268938313284</v>
      </c>
      <c r="AH52" s="7">
        <f>[1]节奏总纲!AH52</f>
        <v>74.231558509323534</v>
      </c>
      <c r="AL52" s="2">
        <v>49</v>
      </c>
      <c r="AM52" s="6">
        <f>[1]节奏总纲!AM52</f>
        <v>507.55295278468168</v>
      </c>
      <c r="AN52" s="6">
        <f>[1]节奏总纲!AN52</f>
        <v>406.04236222774534</v>
      </c>
      <c r="AO52" s="6">
        <f>[1]节奏总纲!AO52</f>
        <v>304.53177167080901</v>
      </c>
      <c r="AP52" s="6">
        <f>[1]节奏总纲!AP52</f>
        <v>203.02118111387267</v>
      </c>
      <c r="AQ52" s="6">
        <f>[1]节奏总纲!AQ52</f>
        <v>101.51059055693634</v>
      </c>
      <c r="AS52" s="2">
        <v>49</v>
      </c>
      <c r="AT52" s="7">
        <f>[1]节奏总纲!AT52</f>
        <v>69.651464424553808</v>
      </c>
      <c r="AU52" s="7">
        <f>[1]节奏总纲!AU52</f>
        <v>55.721171539643024</v>
      </c>
      <c r="AV52" s="7">
        <f>[1]节奏总纲!AV52</f>
        <v>41.790878654732296</v>
      </c>
      <c r="AW52" s="7">
        <f>[1]节奏总纲!AW52</f>
        <v>27.860585769821512</v>
      </c>
      <c r="AX52" s="7">
        <f>[1]节奏总纲!AX52</f>
        <v>13.930292884910756</v>
      </c>
      <c r="AY52" s="2"/>
      <c r="AZ52" s="2">
        <v>49</v>
      </c>
      <c r="BA52" s="7">
        <f>[1]节奏总纲!BA52</f>
        <v>33.363371207175248</v>
      </c>
      <c r="BB52" s="7">
        <f>[1]节奏总纲!BB52</f>
        <v>34.760359618289606</v>
      </c>
      <c r="BC52" s="7">
        <f>[1]节奏总纲!BC52</f>
        <v>36.666615757473956</v>
      </c>
      <c r="BD52" s="7">
        <f>[1]节奏总纲!BD52</f>
        <v>39.385377961140485</v>
      </c>
      <c r="BE52" s="7">
        <f>[1]节奏总纲!BE52</f>
        <v>44.067911160744309</v>
      </c>
    </row>
    <row r="53" spans="6:62" x14ac:dyDescent="0.15">
      <c r="F53" s="2">
        <v>51</v>
      </c>
      <c r="G53" s="2">
        <f t="shared" si="0"/>
        <v>33.296750801161366</v>
      </c>
      <c r="K53" s="5"/>
      <c r="N53" s="11">
        <f>[1]节奏总纲!N53</f>
        <v>60</v>
      </c>
      <c r="O53" s="2">
        <v>50</v>
      </c>
      <c r="P53" s="6">
        <f>[1]节奏总纲!P53</f>
        <v>31</v>
      </c>
      <c r="Q53" s="6">
        <f>[1]节奏总纲!Q53</f>
        <v>27.0351</v>
      </c>
      <c r="R53" s="6">
        <f>[1]节奏总纲!R53</f>
        <v>22.205300000000001</v>
      </c>
      <c r="S53" s="6">
        <f>[1]节奏总纲!S53</f>
        <v>16.386599999999998</v>
      </c>
      <c r="T53" s="6">
        <f>[1]节奏总纲!T53</f>
        <v>9.1883999999999997</v>
      </c>
      <c r="V53" s="2">
        <v>50</v>
      </c>
      <c r="W53" s="7">
        <f>[1]节奏总纲!W53</f>
        <v>2.1429442708221629</v>
      </c>
      <c r="X53" s="7">
        <f>[1]节奏总纲!X53</f>
        <v>1.8688616985840092</v>
      </c>
      <c r="Y53" s="7">
        <f>[1]节奏总纲!Y53</f>
        <v>1.4859339864503163</v>
      </c>
      <c r="Z53" s="7">
        <f>[1]节奏总纲!Z53</f>
        <v>1.118331813692004</v>
      </c>
      <c r="AA53" s="7">
        <f>[1]节奏总纲!AA53</f>
        <v>0.64094009301752308</v>
      </c>
      <c r="AC53" s="2">
        <v>50</v>
      </c>
      <c r="AD53" s="7">
        <f>[1]节奏总纲!AD53</f>
        <v>56.717296680108156</v>
      </c>
      <c r="AE53" s="7">
        <f>[1]节奏总纲!AE53</f>
        <v>58.729809239508185</v>
      </c>
      <c r="AF53" s="7">
        <f>[1]节奏总纲!AF53</f>
        <v>61.572721891673297</v>
      </c>
      <c r="AG53" s="7">
        <f>[1]节奏总纲!AG53</f>
        <v>65.949565490519575</v>
      </c>
      <c r="AH53" s="7">
        <f>[1]节奏总纲!AH53</f>
        <v>74.51042804689898</v>
      </c>
      <c r="AL53" s="2">
        <v>50</v>
      </c>
      <c r="AM53" s="6">
        <f>[1]节奏总纲!AM53</f>
        <v>588.22499999999991</v>
      </c>
      <c r="AN53" s="6">
        <f>[1]节奏总纲!AN53</f>
        <v>470.57999999999993</v>
      </c>
      <c r="AO53" s="6">
        <f>[1]节奏总纲!AO53</f>
        <v>352.93499999999995</v>
      </c>
      <c r="AP53" s="6">
        <f>[1]节奏总纲!AP53</f>
        <v>235.28999999999996</v>
      </c>
      <c r="AQ53" s="6">
        <f>[1]节奏总纲!AQ53</f>
        <v>117.64499999999998</v>
      </c>
      <c r="AS53" s="2">
        <v>50</v>
      </c>
      <c r="AT53" s="7">
        <f>[1]节奏总纲!AT53</f>
        <v>80.67204721531823</v>
      </c>
      <c r="AU53" s="7">
        <f>[1]节奏总纲!AU53</f>
        <v>64.537637772254584</v>
      </c>
      <c r="AV53" s="7">
        <f>[1]节奏总纲!AV53</f>
        <v>48.403228329190938</v>
      </c>
      <c r="AW53" s="7">
        <f>[1]节奏总纲!AW53</f>
        <v>32.268818886127292</v>
      </c>
      <c r="AX53" s="7">
        <f>[1]节奏总纲!AX53</f>
        <v>16.134409443063646</v>
      </c>
      <c r="AY53" s="2"/>
      <c r="AZ53" s="2">
        <v>50</v>
      </c>
      <c r="BA53" s="7">
        <f>[1]节奏总纲!BA53</f>
        <v>33.487933395889513</v>
      </c>
      <c r="BB53" s="7">
        <f>[1]节奏总纲!BB53</f>
        <v>34.893493163684269</v>
      </c>
      <c r="BC53" s="7">
        <f>[1]节奏总纲!BC53</f>
        <v>36.806900305200131</v>
      </c>
      <c r="BD53" s="7">
        <f>[1]节奏总纲!BD53</f>
        <v>39.520459727922798</v>
      </c>
      <c r="BE53" s="7">
        <f>[1]节奏总纲!BE53</f>
        <v>44.197188392263818</v>
      </c>
    </row>
    <row r="54" spans="6:62" x14ac:dyDescent="0.15">
      <c r="F54" s="2">
        <v>52</v>
      </c>
      <c r="G54" s="2">
        <f t="shared" si="0"/>
        <v>35.758347359905123</v>
      </c>
      <c r="K54" s="5"/>
      <c r="N54" s="11">
        <f>[1]节奏总纲!N54</f>
        <v>61</v>
      </c>
      <c r="O54" s="2">
        <v>51</v>
      </c>
      <c r="P54" s="6">
        <f>[1]节奏总纲!P54</f>
        <v>33.296750801161366</v>
      </c>
      <c r="Q54" s="6">
        <f>[1]节奏总纲!Q54</f>
        <v>28.928217096048996</v>
      </c>
      <c r="R54" s="6">
        <f>[1]节奏总纲!R54</f>
        <v>23.783869097269566</v>
      </c>
      <c r="S54" s="6">
        <f>[1]节奏总纲!S54</f>
        <v>17.587343773173433</v>
      </c>
      <c r="T54" s="6">
        <f>[1]节奏总纲!T54</f>
        <v>9.8458492119034169</v>
      </c>
      <c r="V54" s="2">
        <v>51</v>
      </c>
      <c r="W54" s="7">
        <f>[1]节奏总纲!W54</f>
        <v>2.296750801161366</v>
      </c>
      <c r="X54" s="7">
        <f>[1]节奏总纲!X54</f>
        <v>1.8931170960489965</v>
      </c>
      <c r="Y54" s="7">
        <f>[1]节奏总纲!Y54</f>
        <v>1.5785690972695647</v>
      </c>
      <c r="Z54" s="7">
        <f>[1]节奏总纲!Z54</f>
        <v>1.2007437731734356</v>
      </c>
      <c r="AA54" s="7">
        <f>[1]节奏总纲!AA54</f>
        <v>0.65744921190341721</v>
      </c>
      <c r="AC54" s="2">
        <v>51</v>
      </c>
      <c r="AD54" s="7">
        <f>[1]节奏总纲!AD54</f>
        <v>57.004247194324648</v>
      </c>
      <c r="AE54" s="7">
        <f>[1]节奏总纲!AE54</f>
        <v>59.016342740868758</v>
      </c>
      <c r="AF54" s="7">
        <f>[1]节奏总纲!AF54</f>
        <v>61.855948571390428</v>
      </c>
      <c r="AG54" s="7">
        <f>[1]节奏总纲!AG54</f>
        <v>66.241691764589476</v>
      </c>
      <c r="AH54" s="7">
        <f>[1]节奏总纲!AH54</f>
        <v>74.789297584474426</v>
      </c>
      <c r="AZ54" s="2">
        <v>51</v>
      </c>
      <c r="BA54" s="7">
        <f>[1]节奏总纲!BA54</f>
        <v>33.612495584603778</v>
      </c>
      <c r="BB54" s="7">
        <f>[1]节奏总纲!BB54</f>
        <v>35.024397713965918</v>
      </c>
      <c r="BC54" s="7">
        <f>[1]节奏总纲!BC54</f>
        <v>36.947184852926306</v>
      </c>
      <c r="BD54" s="7">
        <f>[1]节奏总纲!BD54</f>
        <v>39.655541494705105</v>
      </c>
      <c r="BE54" s="7">
        <f>[1]节奏总纲!BE54</f>
        <v>44.326465623783335</v>
      </c>
    </row>
    <row r="55" spans="6:62" x14ac:dyDescent="0.15">
      <c r="F55" s="2">
        <v>53</v>
      </c>
      <c r="G55" s="2">
        <f t="shared" si="0"/>
        <v>38.396621227037308</v>
      </c>
      <c r="K55" s="5"/>
      <c r="N55" s="11">
        <f>[1]节奏总纲!N55</f>
        <v>62</v>
      </c>
      <c r="O55" s="2">
        <v>52</v>
      </c>
      <c r="P55" s="6">
        <f>[1]节奏总纲!P55</f>
        <v>35.758347359905123</v>
      </c>
      <c r="Q55" s="6">
        <f>[1]节奏总纲!Q55</f>
        <v>31.081155525229534</v>
      </c>
      <c r="R55" s="6">
        <f>[1]节奏总纲!R55</f>
        <v>25.606552544428059</v>
      </c>
      <c r="S55" s="6">
        <f>[1]节奏总纲!S55</f>
        <v>18.930469092333773</v>
      </c>
      <c r="T55" s="6">
        <f>[1]节奏总纲!T55</f>
        <v>10.570167479587953</v>
      </c>
      <c r="V55" s="2">
        <v>52</v>
      </c>
      <c r="W55" s="7">
        <f>[1]节奏总纲!W55</f>
        <v>2.4615965587437572</v>
      </c>
      <c r="X55" s="7">
        <f>[1]节奏总纲!X55</f>
        <v>2.1529384291805371</v>
      </c>
      <c r="Y55" s="7">
        <f>[1]节奏总纲!Y55</f>
        <v>1.822683447158493</v>
      </c>
      <c r="Z55" s="7">
        <f>[1]节奏总纲!Z55</f>
        <v>1.3431253191603396</v>
      </c>
      <c r="AA55" s="7">
        <f>[1]节奏总纲!AA55</f>
        <v>0.72431826768453611</v>
      </c>
      <c r="AC55" s="2">
        <v>52</v>
      </c>
      <c r="AD55" s="7">
        <f>[1]节奏总纲!AD55</f>
        <v>57.27226591292537</v>
      </c>
      <c r="AE55" s="7">
        <f>[1]节奏总纲!AE55</f>
        <v>59.290380144164828</v>
      </c>
      <c r="AF55" s="7">
        <f>[1]节奏总纲!AF55</f>
        <v>62.130298748930763</v>
      </c>
      <c r="AG55" s="7">
        <f>[1]节奏总纲!AG55</f>
        <v>66.530472725664353</v>
      </c>
      <c r="AH55" s="7">
        <f>[1]节奏总纲!AH55</f>
        <v>75.062532510920803</v>
      </c>
      <c r="AZ55" s="2">
        <v>52</v>
      </c>
      <c r="BA55" s="7">
        <f>[1]节奏总纲!BA55</f>
        <v>33.737057773318043</v>
      </c>
      <c r="BB55" s="7">
        <f>[1]节奏总纲!BB55</f>
        <v>35.146386283795508</v>
      </c>
      <c r="BC55" s="7">
        <f>[1]节奏总纲!BC55</f>
        <v>37.075448197698059</v>
      </c>
      <c r="BD55" s="7">
        <f>[1]节奏总纲!BD55</f>
        <v>39.790623261487418</v>
      </c>
      <c r="BE55" s="7">
        <f>[1]节奏总纲!BE55</f>
        <v>44.455742855302844</v>
      </c>
    </row>
    <row r="56" spans="6:62" x14ac:dyDescent="0.15">
      <c r="F56" s="2">
        <v>54</v>
      </c>
      <c r="G56" s="2">
        <f t="shared" si="0"/>
        <v>41.224253144732614</v>
      </c>
      <c r="K56" s="5"/>
      <c r="N56" s="11">
        <f>[1]节奏总纲!N56</f>
        <v>63</v>
      </c>
      <c r="O56" s="2">
        <v>53</v>
      </c>
      <c r="P56" s="6">
        <f>[1]节奏总纲!P56</f>
        <v>38.396621227037308</v>
      </c>
      <c r="Q56" s="6">
        <f>[1]节奏总纲!Q56</f>
        <v>33.42809844025868</v>
      </c>
      <c r="R56" s="6">
        <f>[1]节奏总纲!R56</f>
        <v>27.5802930273809</v>
      </c>
      <c r="S56" s="6">
        <f>[1]节奏总纲!S56</f>
        <v>20.319491953348145</v>
      </c>
      <c r="T56" s="6">
        <f>[1]节奏总纲!T56</f>
        <v>11.338522248344118</v>
      </c>
      <c r="V56" s="2">
        <v>53</v>
      </c>
      <c r="W56" s="7">
        <f>[1]节奏总纲!W56</f>
        <v>2.6382738671321846</v>
      </c>
      <c r="X56" s="7">
        <f>[1]节奏总纲!X56</f>
        <v>2.3469429150291461</v>
      </c>
      <c r="Y56" s="7">
        <f>[1]节奏总纲!Y56</f>
        <v>1.9737404829528415</v>
      </c>
      <c r="Z56" s="7">
        <f>[1]节奏总纲!Z56</f>
        <v>1.3890228610143716</v>
      </c>
      <c r="AA56" s="7">
        <f>[1]节奏总纲!AA56</f>
        <v>0.76835476875616493</v>
      </c>
      <c r="AC56" s="2">
        <v>53</v>
      </c>
      <c r="AD56" s="7">
        <f>[1]节奏总纲!AD56</f>
        <v>57.540284631526099</v>
      </c>
      <c r="AE56" s="7">
        <f>[1]节奏总纲!AE56</f>
        <v>59.564417547460899</v>
      </c>
      <c r="AF56" s="7">
        <f>[1]节奏总纲!AF56</f>
        <v>62.395461425033538</v>
      </c>
      <c r="AG56" s="7">
        <f>[1]节奏总纲!AG56</f>
        <v>66.819253686739231</v>
      </c>
      <c r="AH56" s="7">
        <f>[1]节奏总纲!AH56</f>
        <v>75.318351032805268</v>
      </c>
      <c r="AZ56" s="2">
        <v>53</v>
      </c>
      <c r="BA56" s="7">
        <f>[1]节奏总纲!BA56</f>
        <v>33.861619962032307</v>
      </c>
      <c r="BB56" s="7">
        <f>[1]节奏总纲!BB56</f>
        <v>35.268374853625097</v>
      </c>
      <c r="BC56" s="7">
        <f>[1]节奏总纲!BC56</f>
        <v>37.196452985793947</v>
      </c>
      <c r="BD56" s="7">
        <f>[1]节奏总纲!BD56</f>
        <v>39.925705028269732</v>
      </c>
      <c r="BE56" s="7">
        <f>[1]节奏总纲!BE56</f>
        <v>44.585020086822361</v>
      </c>
    </row>
    <row r="57" spans="6:62" x14ac:dyDescent="0.15">
      <c r="F57" s="2">
        <v>55</v>
      </c>
      <c r="G57" s="2">
        <f t="shared" si="0"/>
        <v>44.254833995939045</v>
      </c>
      <c r="K57" s="5"/>
      <c r="N57" s="11">
        <f>[1]节奏总纲!N57</f>
        <v>64</v>
      </c>
      <c r="O57" s="2">
        <v>54</v>
      </c>
      <c r="P57" s="6">
        <f>[1]节奏总纲!P57</f>
        <v>41.224253144732614</v>
      </c>
      <c r="Q57" s="6">
        <f>[1]节奏总纲!Q57</f>
        <v>35.947548742206841</v>
      </c>
      <c r="R57" s="6">
        <f>[1]节奏总纲!R57</f>
        <v>29.553667079458812</v>
      </c>
      <c r="S57" s="6">
        <f>[1]节奏总纲!S57</f>
        <v>21.762283235104348</v>
      </c>
      <c r="T57" s="6">
        <f>[1]节奏总纲!T57</f>
        <v>12.111685573922442</v>
      </c>
      <c r="V57" s="2">
        <v>54</v>
      </c>
      <c r="W57" s="7">
        <f>[1]节奏总纲!W57</f>
        <v>2.8276319176953066</v>
      </c>
      <c r="X57" s="7">
        <f>[1]节奏总纲!X57</f>
        <v>2.5194503019481616</v>
      </c>
      <c r="Y57" s="7">
        <f>[1]节奏总纲!Y57</f>
        <v>1.9733740520779115</v>
      </c>
      <c r="Z57" s="7">
        <f>[1]节奏总纲!Z57</f>
        <v>1.4427912817562039</v>
      </c>
      <c r="AA57" s="7">
        <f>[1]节奏总纲!AA57</f>
        <v>0.77316332557832368</v>
      </c>
      <c r="AC57" s="2">
        <v>54</v>
      </c>
      <c r="AD57" s="7">
        <f>[1]节奏总纲!AD57</f>
        <v>57.80830335012682</v>
      </c>
      <c r="AE57" s="7">
        <f>[1]节奏总纲!AE57</f>
        <v>59.838454950756969</v>
      </c>
      <c r="AF57" s="7">
        <f>[1]节奏总纲!AF57</f>
        <v>62.660624101136307</v>
      </c>
      <c r="AG57" s="7">
        <f>[1]节奏总纲!AG57</f>
        <v>67.098789255934349</v>
      </c>
      <c r="AH57" s="7">
        <f>[1]节奏总纲!AH57</f>
        <v>75.574169554689718</v>
      </c>
      <c r="AZ57" s="2">
        <v>54</v>
      </c>
      <c r="BA57" s="7">
        <f>[1]节奏总纲!BA57</f>
        <v>33.986182150746572</v>
      </c>
      <c r="BB57" s="7">
        <f>[1]节奏总纲!BB57</f>
        <v>35.390363423454687</v>
      </c>
      <c r="BC57" s="7">
        <f>[1]节奏总纲!BC57</f>
        <v>37.317457773889828</v>
      </c>
      <c r="BD57" s="7">
        <f>[1]节奏总纲!BD57</f>
        <v>40.052446592012309</v>
      </c>
      <c r="BE57" s="7">
        <f>[1]节奏总纲!BE57</f>
        <v>44.71429731834187</v>
      </c>
    </row>
    <row r="58" spans="6:62" x14ac:dyDescent="0.15">
      <c r="F58" s="2">
        <v>56</v>
      </c>
      <c r="G58" s="2">
        <f t="shared" si="0"/>
        <v>47.502930128332721</v>
      </c>
      <c r="K58" s="5"/>
      <c r="N58" s="11">
        <f>[1]节奏总纲!N58</f>
        <v>65</v>
      </c>
      <c r="O58" s="2">
        <v>55</v>
      </c>
      <c r="P58" s="6">
        <f>[1]节奏总纲!P58</f>
        <v>44.254833995939045</v>
      </c>
      <c r="Q58" s="6">
        <f>[1]节奏总纲!Q58</f>
        <v>38.53268396026413</v>
      </c>
      <c r="R58" s="6">
        <f>[1]节奏总纲!R58</f>
        <v>31.642206307096416</v>
      </c>
      <c r="S58" s="6">
        <f>[1]节奏总纲!S58</f>
        <v>23.282468165263531</v>
      </c>
      <c r="T58" s="6">
        <f>[1]节奏总纲!T58</f>
        <v>12.944538943812169</v>
      </c>
      <c r="V58" s="2">
        <v>55</v>
      </c>
      <c r="W58" s="7">
        <f>[1]节奏总纲!W58</f>
        <v>3.0305808512064303</v>
      </c>
      <c r="X58" s="7">
        <f>[1]节奏总纲!X58</f>
        <v>2.5851352180572889</v>
      </c>
      <c r="Y58" s="7">
        <f>[1]节奏总纲!Y58</f>
        <v>2.0885392276376038</v>
      </c>
      <c r="Z58" s="7">
        <f>[1]节奏总纲!Z58</f>
        <v>1.5201849301591821</v>
      </c>
      <c r="AA58" s="7">
        <f>[1]节奏总纲!AA58</f>
        <v>0.8328533698897278</v>
      </c>
      <c r="AC58" s="2">
        <v>55</v>
      </c>
      <c r="AD58" s="7">
        <f>[1]节奏总纲!AD58</f>
        <v>58.071211008105138</v>
      </c>
      <c r="AE58" s="7">
        <f>[1]节奏总纲!AE58</f>
        <v>60.102437883401088</v>
      </c>
      <c r="AF58" s="7">
        <f>[1]节奏总纲!AF58</f>
        <v>62.925786777239075</v>
      </c>
      <c r="AG58" s="7">
        <f>[1]节奏总纲!AG58</f>
        <v>67.36285691246691</v>
      </c>
      <c r="AH58" s="7">
        <f>[1]节奏总纲!AH58</f>
        <v>75.829988076574182</v>
      </c>
      <c r="AZ58" s="2">
        <v>55</v>
      </c>
      <c r="BA58" s="7">
        <f>[1]节奏总纲!BA58</f>
        <v>34.09469189131628</v>
      </c>
      <c r="BB58" s="7">
        <f>[1]节奏总纲!BB58</f>
        <v>35.512351993284277</v>
      </c>
      <c r="BC58" s="7">
        <f>[1]节奏总纲!BC58</f>
        <v>37.438462561985709</v>
      </c>
      <c r="BD58" s="7">
        <f>[1]节奏总纲!BD58</f>
        <v>40.168994574261895</v>
      </c>
      <c r="BE58" s="7">
        <f>[1]节奏总纲!BE58</f>
        <v>44.843574549861387</v>
      </c>
    </row>
    <row r="59" spans="6:62" x14ac:dyDescent="0.15">
      <c r="F59" s="2">
        <v>57</v>
      </c>
      <c r="G59" s="2">
        <f t="shared" si="0"/>
        <v>50.984153366799077</v>
      </c>
      <c r="K59" s="5"/>
      <c r="N59" s="11">
        <f>[1]节奏总纲!N59</f>
        <v>66</v>
      </c>
      <c r="O59" s="2">
        <v>56</v>
      </c>
      <c r="P59" s="6">
        <f>[1]节奏总纲!P59</f>
        <v>47.502930128332721</v>
      </c>
      <c r="Q59" s="6">
        <f>[1]节奏总纲!Q59</f>
        <v>41.275295988508304</v>
      </c>
      <c r="R59" s="6">
        <f>[1]节奏总纲!R59</f>
        <v>33.888590353552566</v>
      </c>
      <c r="S59" s="6">
        <f>[1]节奏总纲!S59</f>
        <v>24.910536559297679</v>
      </c>
      <c r="T59" s="6">
        <f>[1]节奏总纲!T59</f>
        <v>13.837603546383322</v>
      </c>
      <c r="V59" s="2">
        <v>56</v>
      </c>
      <c r="W59" s="7">
        <f>[1]节奏总纲!W59</f>
        <v>3.2480961323936768</v>
      </c>
      <c r="X59" s="7">
        <f>[1]节奏总纲!X59</f>
        <v>2.7426120282441744</v>
      </c>
      <c r="Y59" s="7">
        <f>[1]节奏总纲!Y59</f>
        <v>2.24638404645615</v>
      </c>
      <c r="Z59" s="7">
        <f>[1]节奏总纲!Z59</f>
        <v>1.6280683940341483</v>
      </c>
      <c r="AA59" s="7">
        <f>[1]节奏总纲!AA59</f>
        <v>0.89306460257115283</v>
      </c>
      <c r="AC59" s="2">
        <v>56</v>
      </c>
      <c r="AD59" s="7">
        <f>[1]节奏总纲!AD59</f>
        <v>58.321281314909029</v>
      </c>
      <c r="AE59" s="7">
        <f>[1]节奏总纲!AE59</f>
        <v>60.351982057337977</v>
      </c>
      <c r="AF59" s="7">
        <f>[1]节奏总纲!AF59</f>
        <v>63.17626763611517</v>
      </c>
      <c r="AG59" s="7">
        <f>[1]节奏总纲!AG59</f>
        <v>67.626924568999456</v>
      </c>
      <c r="AH59" s="7">
        <f>[1]节奏总纲!AH59</f>
        <v>76.086647524934079</v>
      </c>
      <c r="AZ59" s="2">
        <v>56</v>
      </c>
      <c r="BA59" s="7">
        <f>[1]节奏总纲!BA59</f>
        <v>34.201198727632011</v>
      </c>
      <c r="BB59" s="7">
        <f>[1]节奏总纲!BB59</f>
        <v>35.634340563113874</v>
      </c>
      <c r="BC59" s="7">
        <f>[1]节奏总纲!BC59</f>
        <v>37.55946735008159</v>
      </c>
      <c r="BD59" s="7">
        <f>[1]节奏总纲!BD59</f>
        <v>40.28554255651148</v>
      </c>
      <c r="BE59" s="7">
        <f>[1]节奏总纲!BE59</f>
        <v>44.972851781380903</v>
      </c>
    </row>
    <row r="60" spans="6:62" x14ac:dyDescent="0.15">
      <c r="F60" s="2">
        <v>58</v>
      </c>
      <c r="G60" s="2">
        <f t="shared" si="0"/>
        <v>54.715236050951923</v>
      </c>
      <c r="K60" s="5"/>
      <c r="N60" s="11">
        <f>[1]节奏总纲!N60</f>
        <v>67</v>
      </c>
      <c r="O60" s="2">
        <v>57</v>
      </c>
      <c r="P60" s="6">
        <f>[1]节奏总纲!P60</f>
        <v>50.984153366799077</v>
      </c>
      <c r="Q60" s="6">
        <f>[1]节奏总纲!Q60</f>
        <v>44.310327691085078</v>
      </c>
      <c r="R60" s="6">
        <f>[1]节奏总纲!R60</f>
        <v>36.316012443170983</v>
      </c>
      <c r="S60" s="6">
        <f>[1]节奏总纲!S60</f>
        <v>26.664712210835919</v>
      </c>
      <c r="T60" s="6">
        <f>[1]节奏总纲!T60</f>
        <v>14.815994968391813</v>
      </c>
      <c r="V60" s="2">
        <v>57</v>
      </c>
      <c r="W60" s="7">
        <f>[1]节奏总纲!W60</f>
        <v>3.481223238466356</v>
      </c>
      <c r="X60" s="7">
        <f>[1]节奏总纲!X60</f>
        <v>3.0350317025767737</v>
      </c>
      <c r="Y60" s="7">
        <f>[1]节奏总纲!Y60</f>
        <v>2.4274220896184175</v>
      </c>
      <c r="Z60" s="7">
        <f>[1]节奏总纲!Z60</f>
        <v>1.7541756515382403</v>
      </c>
      <c r="AA60" s="7">
        <f>[1]节奏总纲!AA60</f>
        <v>0.97839142200849061</v>
      </c>
      <c r="AC60" s="2">
        <v>57</v>
      </c>
      <c r="AD60" s="7">
        <f>[1]节奏总纲!AD60</f>
        <v>58.571351621712921</v>
      </c>
      <c r="AE60" s="7">
        <f>[1]节奏总纲!AE60</f>
        <v>60.60152623127486</v>
      </c>
      <c r="AF60" s="7">
        <f>[1]节奏总纲!AF60</f>
        <v>63.421042351541736</v>
      </c>
      <c r="AG60" s="7">
        <f>[1]节奏总纲!AG60</f>
        <v>67.890992225532017</v>
      </c>
      <c r="AH60" s="7">
        <f>[1]节奏总纲!AH60</f>
        <v>76.344973133357612</v>
      </c>
      <c r="AZ60" s="2">
        <v>57</v>
      </c>
      <c r="BA60" s="7">
        <f>[1]节奏总纲!BA60</f>
        <v>34.307705563947749</v>
      </c>
      <c r="BB60" s="7">
        <f>[1]节奏总纲!BB60</f>
        <v>35.756329132943463</v>
      </c>
      <c r="BC60" s="7">
        <f>[1]节奏总纲!BC60</f>
        <v>37.680472138177478</v>
      </c>
      <c r="BD60" s="7">
        <f>[1]节奏总纲!BD60</f>
        <v>40.402090538761065</v>
      </c>
      <c r="BE60" s="7">
        <f>[1]节奏总纲!BE60</f>
        <v>45.088151688727308</v>
      </c>
    </row>
    <row r="61" spans="6:62" x14ac:dyDescent="0.15">
      <c r="F61" s="2">
        <v>59</v>
      </c>
      <c r="G61" s="2">
        <f t="shared" si="0"/>
        <v>58.714111458355703</v>
      </c>
      <c r="K61" s="5"/>
      <c r="N61" s="11">
        <f>[1]节奏总纲!N61</f>
        <v>68</v>
      </c>
      <c r="O61" s="2">
        <v>58</v>
      </c>
      <c r="P61" s="6">
        <f>[1]节奏总纲!P61</f>
        <v>54.715236050951923</v>
      </c>
      <c r="Q61" s="6">
        <f>[1]节奏总纲!Q61</f>
        <v>47.459995750595695</v>
      </c>
      <c r="R61" s="6">
        <f>[1]节奏总纲!R61</f>
        <v>38.913475879437009</v>
      </c>
      <c r="S61" s="6">
        <f>[1]节奏总纲!S61</f>
        <v>28.572296265807093</v>
      </c>
      <c r="T61" s="6">
        <f>[1]节奏总纲!T61</f>
        <v>15.856475407565867</v>
      </c>
      <c r="V61" s="2">
        <v>58</v>
      </c>
      <c r="W61" s="7">
        <f>[1]节奏总纲!W61</f>
        <v>3.7310826841528453</v>
      </c>
      <c r="X61" s="7">
        <f>[1]节奏总纲!X61</f>
        <v>3.149668059510617</v>
      </c>
      <c r="Y61" s="7">
        <f>[1]节奏总纲!Y61</f>
        <v>2.5974634362660254</v>
      </c>
      <c r="Z61" s="7">
        <f>[1]节奏总纲!Z61</f>
        <v>1.9075840549711742</v>
      </c>
      <c r="AA61" s="7">
        <f>[1]节奏总纲!AA61</f>
        <v>1.0404804391740541</v>
      </c>
      <c r="AC61" s="2">
        <v>58</v>
      </c>
      <c r="AD61" s="7">
        <f>[1]节奏总纲!AD61</f>
        <v>58.821421928516813</v>
      </c>
      <c r="AE61" s="7">
        <f>[1]节奏总纲!AE61</f>
        <v>60.851070405211743</v>
      </c>
      <c r="AF61" s="7">
        <f>[1]节奏总纲!AF61</f>
        <v>63.665817066968295</v>
      </c>
      <c r="AG61" s="7">
        <f>[1]节奏总纲!AG61</f>
        <v>68.142437172458173</v>
      </c>
      <c r="AH61" s="7">
        <f>[1]节奏总纲!AH61</f>
        <v>76.60329874178116</v>
      </c>
      <c r="AZ61" s="2">
        <v>58</v>
      </c>
      <c r="BA61" s="7">
        <f>[1]节奏总纲!BA61</f>
        <v>34.41421240026348</v>
      </c>
      <c r="BB61" s="7">
        <f>[1]节奏总纲!BB61</f>
        <v>35.878317702773053</v>
      </c>
      <c r="BC61" s="7">
        <f>[1]节奏总纲!BC61</f>
        <v>37.801476926273359</v>
      </c>
      <c r="BD61" s="7">
        <f>[1]节奏总纲!BD61</f>
        <v>40.518638521010644</v>
      </c>
      <c r="BE61" s="7">
        <f>[1]节奏总纲!BE61</f>
        <v>45.199736104837825</v>
      </c>
    </row>
    <row r="62" spans="6:62" x14ac:dyDescent="0.15">
      <c r="F62" s="2">
        <v>60</v>
      </c>
      <c r="G62" s="2">
        <f t="shared" si="0"/>
        <v>63</v>
      </c>
      <c r="K62" s="5"/>
      <c r="N62" s="11">
        <f>[1]节奏总纲!N62</f>
        <v>69</v>
      </c>
      <c r="O62" s="2">
        <v>59</v>
      </c>
      <c r="P62" s="6">
        <f>[1]节奏总纲!P62</f>
        <v>58.714111458355703</v>
      </c>
      <c r="Q62" s="6">
        <f>[1]节奏总纲!Q62</f>
        <v>50.940363101269412</v>
      </c>
      <c r="R62" s="6">
        <f>[1]节奏总纲!R62</f>
        <v>41.728119013453394</v>
      </c>
      <c r="S62" s="6">
        <f>[1]节奏总纲!S62</f>
        <v>30.607666303240826</v>
      </c>
      <c r="T62" s="6">
        <f>[1]节奏总纲!T62</f>
        <v>17.003606678339814</v>
      </c>
      <c r="V62" s="2">
        <v>59</v>
      </c>
      <c r="W62" s="7">
        <f>[1]节奏总纲!W62</f>
        <v>3.99887540740378</v>
      </c>
      <c r="X62" s="7">
        <f>[1]节奏总纲!X62</f>
        <v>3.4803673506737169</v>
      </c>
      <c r="Y62" s="7">
        <f>[1]节奏总纲!Y62</f>
        <v>2.8146431340163858</v>
      </c>
      <c r="Z62" s="7">
        <f>[1]节奏总纲!Z62</f>
        <v>2.0353700374337329</v>
      </c>
      <c r="AA62" s="7">
        <f>[1]节奏总纲!AA62</f>
        <v>1.1471312707739472</v>
      </c>
      <c r="AC62" s="2">
        <v>59</v>
      </c>
      <c r="AD62" s="7">
        <f>[1]节奏总纲!AD62</f>
        <v>59.066704614192936</v>
      </c>
      <c r="AE62" s="7">
        <f>[1]节奏总纲!AE62</f>
        <v>61.094954819415335</v>
      </c>
      <c r="AF62" s="7">
        <f>[1]节奏总纲!AF62</f>
        <v>63.91059178239486</v>
      </c>
      <c r="AG62" s="7">
        <f>[1]节奏总纲!AG62</f>
        <v>68.385008299388929</v>
      </c>
      <c r="AH62" s="7">
        <f>[1]节奏总纲!AH62</f>
        <v>76.861624350204693</v>
      </c>
      <c r="AZ62" s="2">
        <v>59</v>
      </c>
      <c r="BA62" s="7">
        <f>[1]节奏总纲!BA62</f>
        <v>34.520719236579211</v>
      </c>
      <c r="BB62" s="7">
        <f>[1]节奏总纲!BB62</f>
        <v>36.000264155774609</v>
      </c>
      <c r="BC62" s="7">
        <f>[1]节奏总纲!BC62</f>
        <v>37.922481714369241</v>
      </c>
      <c r="BD62" s="7">
        <f>[1]节奏总纲!BD62</f>
        <v>40.635186503260229</v>
      </c>
      <c r="BE62" s="7">
        <f>[1]节奏总纲!BE62</f>
        <v>45.31132052094835</v>
      </c>
    </row>
    <row r="63" spans="6:62" x14ac:dyDescent="0.15">
      <c r="F63" s="2">
        <v>61</v>
      </c>
      <c r="G63" s="2">
        <f t="shared" si="0"/>
        <v>67.593501602322732</v>
      </c>
      <c r="N63" s="11">
        <f>[1]节奏总纲!N63</f>
        <v>70</v>
      </c>
      <c r="O63" s="2">
        <v>60</v>
      </c>
      <c r="P63" s="6">
        <f>[1]节奏总纲!P63</f>
        <v>63</v>
      </c>
      <c r="Q63" s="6">
        <f>[1]节奏总纲!Q63</f>
        <v>54.589500000000001</v>
      </c>
      <c r="R63" s="6">
        <f>[1]节奏总纲!R63</f>
        <v>44.717399999999998</v>
      </c>
      <c r="S63" s="6">
        <f>[1]节奏总纲!S63</f>
        <v>32.810400000000001</v>
      </c>
      <c r="T63" s="6">
        <f>[1]节奏总纲!T63</f>
        <v>18.276300000000003</v>
      </c>
      <c r="V63" s="2">
        <v>60</v>
      </c>
      <c r="W63" s="7">
        <f>[1]节奏总纲!W63</f>
        <v>4.2858885416442973</v>
      </c>
      <c r="X63" s="7">
        <f>[1]节奏总纲!X63</f>
        <v>3.649136898730589</v>
      </c>
      <c r="Y63" s="7">
        <f>[1]节奏总纲!Y63</f>
        <v>2.9892809865466035</v>
      </c>
      <c r="Z63" s="7">
        <f>[1]节奏总纲!Z63</f>
        <v>2.2027336967591751</v>
      </c>
      <c r="AA63" s="7">
        <f>[1]节奏总纲!AA63</f>
        <v>1.2726933216601886</v>
      </c>
      <c r="AC63" s="2">
        <v>60</v>
      </c>
      <c r="AD63" s="7">
        <f>[1]节奏总纲!AD63</f>
        <v>59.300028460644697</v>
      </c>
      <c r="AE63" s="7">
        <f>[1]节奏总纲!AE63</f>
        <v>61.330461663183208</v>
      </c>
      <c r="AF63" s="7">
        <f>[1]节奏总纲!AF63</f>
        <v>64.14304723627319</v>
      </c>
      <c r="AG63" s="7">
        <f>[1]节奏总纲!AG63</f>
        <v>68.627579426319684</v>
      </c>
      <c r="AH63" s="7">
        <f>[1]节奏总纲!AH63</f>
        <v>77.112805903056142</v>
      </c>
      <c r="AZ63" s="2">
        <v>60</v>
      </c>
      <c r="BA63" s="7">
        <f>[1]节奏总纲!BA63</f>
        <v>34.627226072894942</v>
      </c>
      <c r="BB63" s="7">
        <f>[1]节奏总纲!BB63</f>
        <v>36.105477566569242</v>
      </c>
      <c r="BC63" s="7">
        <f>[1]节奏总纲!BC63</f>
        <v>38.037513426486328</v>
      </c>
      <c r="BD63" s="7">
        <f>[1]节奏总纲!BD63</f>
        <v>40.751734485509814</v>
      </c>
      <c r="BE63" s="7">
        <f>[1]节奏总纲!BE63</f>
        <v>45.422904937058867</v>
      </c>
    </row>
    <row r="64" spans="6:62" x14ac:dyDescent="0.15">
      <c r="F64" s="2">
        <v>62</v>
      </c>
      <c r="G64" s="2">
        <f t="shared" si="0"/>
        <v>72.516694719810218</v>
      </c>
      <c r="N64" s="11">
        <f>[1]节奏总纲!N64</f>
        <v>71</v>
      </c>
      <c r="O64" s="2">
        <v>61</v>
      </c>
      <c r="P64" s="6">
        <f>[1]节奏总纲!P64</f>
        <v>67.593501602322732</v>
      </c>
      <c r="Q64" s="6">
        <f>[1]节奏总纲!Q64</f>
        <v>58.596806539053574</v>
      </c>
      <c r="R64" s="6">
        <f>[1]节奏总纲!R64</f>
        <v>47.977867437328676</v>
      </c>
      <c r="S64" s="6">
        <f>[1]节奏总纲!S64</f>
        <v>35.229733035130607</v>
      </c>
      <c r="T64" s="6">
        <f>[1]节奏总纲!T64</f>
        <v>19.602115464673592</v>
      </c>
      <c r="V64" s="2">
        <v>61</v>
      </c>
      <c r="W64" s="7">
        <f>[1]节奏总纲!W64</f>
        <v>4.593501602322732</v>
      </c>
      <c r="X64" s="7">
        <f>[1]节奏总纲!X64</f>
        <v>4.0073065390535731</v>
      </c>
      <c r="Y64" s="7">
        <f>[1]节奏总纲!Y64</f>
        <v>3.2604674373286784</v>
      </c>
      <c r="Z64" s="7">
        <f>[1]节奏总纲!Z64</f>
        <v>2.4193330351306059</v>
      </c>
      <c r="AA64" s="7">
        <f>[1]节奏总纲!AA64</f>
        <v>1.3258154646735889</v>
      </c>
      <c r="AC64" s="2">
        <v>61</v>
      </c>
      <c r="AD64" s="7">
        <f>[1]节奏总纲!AD64</f>
        <v>59.533352307096465</v>
      </c>
      <c r="AE64" s="7">
        <f>[1]节奏总纲!AE64</f>
        <v>61.56596850695108</v>
      </c>
      <c r="AF64" s="7">
        <f>[1]节奏总纲!AF64</f>
        <v>64.368413367596901</v>
      </c>
      <c r="AG64" s="7">
        <f>[1]节奏总纲!AG64</f>
        <v>68.870150553250454</v>
      </c>
      <c r="AH64" s="7">
        <f>[1]节奏总纲!AH64</f>
        <v>77.355745991356301</v>
      </c>
      <c r="AZ64" s="2">
        <v>61</v>
      </c>
      <c r="BA64" s="7">
        <f>[1]节奏总纲!BA64</f>
        <v>34.733732909210673</v>
      </c>
      <c r="BB64" s="7">
        <f>[1]节奏总纲!BB64</f>
        <v>36.210690977363875</v>
      </c>
      <c r="BC64" s="7">
        <f>[1]节奏总纲!BC64</f>
        <v>38.14189763688286</v>
      </c>
      <c r="BD64" s="7">
        <f>[1]节奏总纲!BD64</f>
        <v>40.8682824677594</v>
      </c>
      <c r="BE64" s="7">
        <f>[1]节奏总纲!BE64</f>
        <v>45.534489353169384</v>
      </c>
    </row>
    <row r="65" spans="6:57" x14ac:dyDescent="0.15">
      <c r="F65" s="2">
        <v>63</v>
      </c>
      <c r="G65" s="2">
        <f t="shared" si="0"/>
        <v>77.793242454074615</v>
      </c>
      <c r="N65" s="11">
        <f>[1]节奏总纲!N65</f>
        <v>72</v>
      </c>
      <c r="O65" s="2">
        <v>62</v>
      </c>
      <c r="P65" s="6">
        <f>[1]节奏总纲!P65</f>
        <v>72.516694719810218</v>
      </c>
      <c r="Q65" s="6">
        <f>[1]节奏总纲!Q65</f>
        <v>62.842967644187539</v>
      </c>
      <c r="R65" s="6">
        <f>[1]节奏总纲!R65</f>
        <v>51.5086082594812</v>
      </c>
      <c r="S65" s="6">
        <f>[1]节奏总纲!S65</f>
        <v>37.846462974268952</v>
      </c>
      <c r="T65" s="6">
        <f>[1]节奏总纲!T65</f>
        <v>21.124113171880715</v>
      </c>
      <c r="V65" s="2">
        <v>62</v>
      </c>
      <c r="W65" s="7">
        <f>[1]节奏总纲!W65</f>
        <v>4.9231931174874859</v>
      </c>
      <c r="X65" s="7">
        <f>[1]节奏总纲!X65</f>
        <v>4.2461611051339645</v>
      </c>
      <c r="Y65" s="7">
        <f>[1]节奏总纲!Y65</f>
        <v>3.5307408221525236</v>
      </c>
      <c r="Z65" s="7">
        <f>[1]节奏总纲!Z65</f>
        <v>2.6167299391383452</v>
      </c>
      <c r="AA65" s="7">
        <f>[1]节奏总纲!AA65</f>
        <v>1.5219977072071238</v>
      </c>
      <c r="AC65" s="2">
        <v>62</v>
      </c>
      <c r="AD65" s="7">
        <f>[1]节奏总纲!AD65</f>
        <v>59.766676153548232</v>
      </c>
      <c r="AE65" s="7">
        <f>[1]节奏总纲!AE65</f>
        <v>61.801475350718952</v>
      </c>
      <c r="AF65" s="7">
        <f>[1]节奏总纲!AF65</f>
        <v>64.593779498920611</v>
      </c>
      <c r="AG65" s="7">
        <f>[1]节奏总纲!AG65</f>
        <v>69.105843627521551</v>
      </c>
      <c r="AH65" s="7">
        <f>[1]节奏总纲!AH65</f>
        <v>77.59868607965646</v>
      </c>
      <c r="AZ65" s="2">
        <v>62</v>
      </c>
      <c r="BA65" s="7">
        <f>[1]节奏总纲!BA65</f>
        <v>34.840239745526404</v>
      </c>
      <c r="BB65" s="7">
        <f>[1]节奏总纲!BB65</f>
        <v>36.315904388158508</v>
      </c>
      <c r="BC65" s="7">
        <f>[1]节奏总纲!BC65</f>
        <v>38.246281847279398</v>
      </c>
      <c r="BD65" s="7">
        <f>[1]节奏总纲!BD65</f>
        <v>40.984830450008978</v>
      </c>
      <c r="BE65" s="7">
        <f>[1]节奏总纲!BE65</f>
        <v>45.646073769279901</v>
      </c>
    </row>
    <row r="66" spans="6:57" x14ac:dyDescent="0.15">
      <c r="F66" s="2">
        <v>64</v>
      </c>
      <c r="G66" s="2">
        <f t="shared" si="0"/>
        <v>83.4485062894652</v>
      </c>
      <c r="N66" s="11">
        <f>[1]节奏总纲!N66</f>
        <v>73</v>
      </c>
      <c r="O66" s="2">
        <v>63</v>
      </c>
      <c r="P66" s="6">
        <f>[1]节奏总纲!P66</f>
        <v>77.793242454074615</v>
      </c>
      <c r="Q66" s="6">
        <f>[1]节奏总纲!Q66</f>
        <v>67.470079180418907</v>
      </c>
      <c r="R66" s="6">
        <f>[1]节奏总纲!R66</f>
        <v>55.27987808786542</v>
      </c>
      <c r="S66" s="6">
        <f>[1]节奏总纲!S66</f>
        <v>40.678086479235617</v>
      </c>
      <c r="T66" s="6">
        <f>[1]节奏总纲!T66</f>
        <v>22.700068148098975</v>
      </c>
      <c r="V66" s="2">
        <v>63</v>
      </c>
      <c r="W66" s="7">
        <f>[1]节奏总纲!W66</f>
        <v>5.2765477342643976</v>
      </c>
      <c r="X66" s="7">
        <f>[1]节奏总纲!X66</f>
        <v>4.6271115362313679</v>
      </c>
      <c r="Y66" s="7">
        <f>[1]节奏总纲!Y66</f>
        <v>3.7712698283842201</v>
      </c>
      <c r="Z66" s="7">
        <f>[1]节奏总纲!Z66</f>
        <v>2.8316235049666645</v>
      </c>
      <c r="AA66" s="7">
        <f>[1]节奏总纲!AA66</f>
        <v>1.5759549762182594</v>
      </c>
      <c r="AC66" s="2">
        <v>63</v>
      </c>
      <c r="AD66" s="7">
        <f>[1]节奏总纲!AD66</f>
        <v>60</v>
      </c>
      <c r="AE66" s="7">
        <f>[1]节奏总纲!AE66</f>
        <v>62.033937447710706</v>
      </c>
      <c r="AF66" s="7">
        <f>[1]节奏总纲!AF66</f>
        <v>64.819145630244321</v>
      </c>
      <c r="AG66" s="7">
        <f>[1]节奏总纲!AG66</f>
        <v>69.333613546893503</v>
      </c>
      <c r="AH66" s="7">
        <f>[1]节奏总纲!AH66</f>
        <v>77.841626167956619</v>
      </c>
      <c r="AZ66" s="2">
        <v>63</v>
      </c>
      <c r="BA66" s="7">
        <f>[1]节奏总纲!BA66</f>
        <v>34.946746581842135</v>
      </c>
      <c r="BB66" s="7">
        <f>[1]节奏总纲!BB66</f>
        <v>36.421117798953141</v>
      </c>
      <c r="BC66" s="7">
        <f>[1]节奏总纲!BC66</f>
        <v>38.35066605767593</v>
      </c>
      <c r="BD66" s="7">
        <f>[1]节奏总纲!BD66</f>
        <v>41.087476216725996</v>
      </c>
      <c r="BE66" s="7">
        <f>[1]节奏总纲!BE66</f>
        <v>45.757658185390426</v>
      </c>
    </row>
    <row r="67" spans="6:57" x14ac:dyDescent="0.15">
      <c r="F67" s="2">
        <v>65</v>
      </c>
      <c r="G67" s="2">
        <f t="shared" si="0"/>
        <v>89.509667991878061</v>
      </c>
      <c r="N67" s="11">
        <f>[1]节奏总纲!N67</f>
        <v>74</v>
      </c>
      <c r="O67" s="2">
        <v>64</v>
      </c>
      <c r="P67" s="6">
        <f>[1]节奏总纲!P67</f>
        <v>83.4485062894652</v>
      </c>
      <c r="Q67" s="6">
        <f>[1]节奏总纲!Q67</f>
        <v>72.399924056740005</v>
      </c>
      <c r="R67" s="6">
        <f>[1]节奏总纲!R67</f>
        <v>59.365267374325548</v>
      </c>
      <c r="S67" s="6">
        <f>[1]节奏总纲!S67</f>
        <v>43.718672445050821</v>
      </c>
      <c r="T67" s="6">
        <f>[1]节奏总纲!T67</f>
        <v>24.341929284637001</v>
      </c>
      <c r="V67" s="2">
        <v>64</v>
      </c>
      <c r="W67" s="7">
        <f>[1]节奏总纲!W67</f>
        <v>5.6552638353905849</v>
      </c>
      <c r="X67" s="7">
        <f>[1]节奏总纲!X67</f>
        <v>4.9298448763210985</v>
      </c>
      <c r="Y67" s="7">
        <f>[1]节奏总纲!Y67</f>
        <v>4.0853892864601278</v>
      </c>
      <c r="Z67" s="7">
        <f>[1]节奏总纲!Z67</f>
        <v>3.0405859658152039</v>
      </c>
      <c r="AA67" s="7">
        <f>[1]节奏总纲!AA67</f>
        <v>1.6418611365380258</v>
      </c>
      <c r="AC67" s="2">
        <v>64</v>
      </c>
      <c r="AD67" s="7">
        <f>[1]节奏总纲!AD67</f>
        <v>60.217698846451768</v>
      </c>
      <c r="AE67" s="7">
        <f>[1]节奏总纲!AE67</f>
        <v>62.250054995811666</v>
      </c>
      <c r="AF67" s="7">
        <f>[1]节奏总纲!AF67</f>
        <v>65.042129882798193</v>
      </c>
      <c r="AG67" s="7">
        <f>[1]节奏总纲!AG67</f>
        <v>69.56138346626544</v>
      </c>
      <c r="AH67" s="7">
        <f>[1]节奏总纲!AH67</f>
        <v>78.077870469399883</v>
      </c>
      <c r="AZ67" s="2">
        <v>64</v>
      </c>
      <c r="BA67" s="7">
        <f>[1]节奏总纲!BA67</f>
        <v>35.048795427931836</v>
      </c>
      <c r="BB67" s="7">
        <f>[1]节奏总纲!BB67</f>
        <v>36.526331209747774</v>
      </c>
      <c r="BC67" s="7">
        <f>[1]节奏总纲!BC67</f>
        <v>38.455050268072462</v>
      </c>
      <c r="BD67" s="7">
        <f>[1]节奏总纲!BD67</f>
        <v>41.188041754455355</v>
      </c>
      <c r="BE67" s="7">
        <f>[1]节奏总纲!BE67</f>
        <v>45.869242601500943</v>
      </c>
    </row>
    <row r="68" spans="6:57" x14ac:dyDescent="0.15">
      <c r="F68" s="2">
        <v>66</v>
      </c>
      <c r="G68" s="2">
        <f t="shared" ref="G68:G131" si="6">(2^(F68/10)-1)/(2-1)</f>
        <v>96.005860256665443</v>
      </c>
      <c r="N68" s="11">
        <f>[1]节奏总纲!N68</f>
        <v>75</v>
      </c>
      <c r="O68" s="2">
        <v>65</v>
      </c>
      <c r="P68" s="6">
        <f>[1]节奏总纲!P68</f>
        <v>89.509667991878061</v>
      </c>
      <c r="Q68" s="6">
        <f>[1]节奏总纲!Q68</f>
        <v>77.64963698295422</v>
      </c>
      <c r="R68" s="6">
        <f>[1]节奏总纲!R68</f>
        <v>63.802491344610679</v>
      </c>
      <c r="S68" s="6">
        <f>[1]节奏总纲!S68</f>
        <v>46.929918928141667</v>
      </c>
      <c r="T68" s="6">
        <f>[1]节奏总纲!T68</f>
        <v>25.993607584841389</v>
      </c>
      <c r="V68" s="2">
        <v>65</v>
      </c>
      <c r="W68" s="7">
        <f>[1]节奏总纲!W68</f>
        <v>6.0611617024128606</v>
      </c>
      <c r="X68" s="7">
        <f>[1]节奏总纲!X68</f>
        <v>5.2497129262142153</v>
      </c>
      <c r="Y68" s="7">
        <f>[1]节奏总纲!Y68</f>
        <v>4.4372239702851317</v>
      </c>
      <c r="Z68" s="7">
        <f>[1]节奏总纲!Z68</f>
        <v>3.2112464830908465</v>
      </c>
      <c r="AA68" s="7">
        <f>[1]节奏总纲!AA68</f>
        <v>1.651678300204388</v>
      </c>
      <c r="AC68" s="2">
        <v>65</v>
      </c>
      <c r="AD68" s="7">
        <f>[1]节奏总纲!AD68</f>
        <v>60.435397692903535</v>
      </c>
      <c r="AE68" s="7">
        <f>[1]节奏总纲!AE68</f>
        <v>62.466172543912634</v>
      </c>
      <c r="AF68" s="7">
        <f>[1]节奏总纲!AF68</f>
        <v>65.255436396961542</v>
      </c>
      <c r="AG68" s="7">
        <f>[1]节奏总纲!AG68</f>
        <v>69.789153385637391</v>
      </c>
      <c r="AH68" s="7">
        <f>[1]节奏总纲!AH68</f>
        <v>78.301575047908599</v>
      </c>
      <c r="AZ68" s="2">
        <v>65</v>
      </c>
      <c r="BA68" s="7">
        <f>[1]节奏总纲!BA68</f>
        <v>35.146386283795508</v>
      </c>
      <c r="BB68" s="7">
        <f>[1]节奏总纲!BB68</f>
        <v>36.631544620542407</v>
      </c>
      <c r="BC68" s="7">
        <f>[1]节奏总纲!BC68</f>
        <v>38.559434478468994</v>
      </c>
      <c r="BD68" s="7">
        <f>[1]节奏总纲!BD68</f>
        <v>41.288607292184714</v>
      </c>
      <c r="BE68" s="7">
        <f>[1]节奏总纲!BE68</f>
        <v>45.98082701761146</v>
      </c>
    </row>
    <row r="69" spans="6:57" x14ac:dyDescent="0.15">
      <c r="F69" s="2">
        <v>67</v>
      </c>
      <c r="G69" s="2">
        <f t="shared" si="6"/>
        <v>102.96830673359811</v>
      </c>
      <c r="N69" s="11">
        <f>[1]节奏总纲!N69</f>
        <v>76</v>
      </c>
      <c r="O69" s="2">
        <v>66</v>
      </c>
      <c r="P69" s="6">
        <f>[1]节奏总纲!P69</f>
        <v>96.005860256665443</v>
      </c>
      <c r="Q69" s="6">
        <f>[1]节奏总纲!Q69</f>
        <v>83.352287874836932</v>
      </c>
      <c r="R69" s="6">
        <f>[1]节奏总纲!R69</f>
        <v>68.490580707105124</v>
      </c>
      <c r="S69" s="6">
        <f>[1]节奏总纲!S69</f>
        <v>50.163061984107692</v>
      </c>
      <c r="T69" s="6">
        <f>[1]节奏总纲!T69</f>
        <v>27.851300060458648</v>
      </c>
      <c r="V69" s="2">
        <v>66</v>
      </c>
      <c r="W69" s="7">
        <f>[1]节奏总纲!W69</f>
        <v>6.496192264787382</v>
      </c>
      <c r="X69" s="7">
        <f>[1]节奏总纲!X69</f>
        <v>5.7026508918827119</v>
      </c>
      <c r="Y69" s="7">
        <f>[1]节奏总纲!Y69</f>
        <v>4.6880893624944449</v>
      </c>
      <c r="Z69" s="7">
        <f>[1]节奏总纲!Z69</f>
        <v>3.2331430559660248</v>
      </c>
      <c r="AA69" s="7">
        <f>[1]节奏总纲!AA69</f>
        <v>1.8576924756172595</v>
      </c>
      <c r="AC69" s="2">
        <v>66</v>
      </c>
      <c r="AD69" s="7">
        <f>[1]节奏总纲!AD69</f>
        <v>60.653096539355303</v>
      </c>
      <c r="AE69" s="7">
        <f>[1]节奏总纲!AE69</f>
        <v>62.682290092013595</v>
      </c>
      <c r="AF69" s="7">
        <f>[1]节奏总纲!AF69</f>
        <v>65.468742911124906</v>
      </c>
      <c r="AG69" s="7">
        <f>[1]节奏总纲!AG69</f>
        <v>70.015851474333999</v>
      </c>
      <c r="AH69" s="7">
        <f>[1]节奏总纲!AH69</f>
        <v>78.525279626417301</v>
      </c>
      <c r="AZ69" s="2">
        <v>66</v>
      </c>
      <c r="BA69" s="7">
        <f>[1]节奏总纲!BA69</f>
        <v>35.243977139659179</v>
      </c>
      <c r="BB69" s="7">
        <f>[1]节奏总纲!BB69</f>
        <v>36.73675803133704</v>
      </c>
      <c r="BC69" s="7">
        <f>[1]节奏总纲!BC69</f>
        <v>38.663818688865533</v>
      </c>
      <c r="BD69" s="7">
        <f>[1]节奏总纲!BD69</f>
        <v>41.389172829914081</v>
      </c>
      <c r="BE69" s="7">
        <f>[1]节奏总纲!BE69</f>
        <v>46.079770001861057</v>
      </c>
    </row>
    <row r="70" spans="6:57" x14ac:dyDescent="0.15">
      <c r="F70" s="2">
        <v>68</v>
      </c>
      <c r="G70" s="2">
        <f t="shared" si="6"/>
        <v>110.43047210190386</v>
      </c>
      <c r="N70" s="11">
        <f>[1]节奏总纲!N70</f>
        <v>77</v>
      </c>
      <c r="O70" s="2">
        <v>67</v>
      </c>
      <c r="P70" s="6">
        <f>[1]节奏总纲!P70</f>
        <v>102.96830673359811</v>
      </c>
      <c r="Q70" s="6">
        <f>[1]节奏总纲!Q70</f>
        <v>89.469161720823394</v>
      </c>
      <c r="R70" s="6">
        <f>[1]节奏总纲!R70</f>
        <v>73.292840732975137</v>
      </c>
      <c r="S70" s="6">
        <f>[1]节奏总纲!S70</f>
        <v>53.625894146857902</v>
      </c>
      <c r="T70" s="6">
        <f>[1]节奏总纲!T70</f>
        <v>29.799027968703292</v>
      </c>
      <c r="V70" s="2">
        <v>67</v>
      </c>
      <c r="W70" s="7">
        <f>[1]节奏总纲!W70</f>
        <v>6.9624464769326693</v>
      </c>
      <c r="X70" s="7">
        <f>[1]节奏总纲!X70</f>
        <v>6.1168738459864613</v>
      </c>
      <c r="Y70" s="7">
        <f>[1]节奏总纲!Y70</f>
        <v>4.8022600258700123</v>
      </c>
      <c r="Z70" s="7">
        <f>[1]节奏总纲!Z70</f>
        <v>3.4628321627502103</v>
      </c>
      <c r="AA70" s="7">
        <f>[1]节奏总纲!AA70</f>
        <v>1.9477279082446444</v>
      </c>
      <c r="AC70" s="2">
        <v>67</v>
      </c>
      <c r="AD70" s="7">
        <f>[1]节奏总纲!AD70</f>
        <v>60.870795385807064</v>
      </c>
      <c r="AE70" s="7">
        <f>[1]节奏总纲!AE70</f>
        <v>62.898407640114556</v>
      </c>
      <c r="AF70" s="7">
        <f>[1]节奏总纲!AF70</f>
        <v>65.682049425288255</v>
      </c>
      <c r="AG70" s="7">
        <f>[1]节奏总纲!AG70</f>
        <v>70.229195678021767</v>
      </c>
      <c r="AH70" s="7">
        <f>[1]节奏总纲!AH70</f>
        <v>78.748984204926018</v>
      </c>
      <c r="AZ70" s="2">
        <v>67</v>
      </c>
      <c r="BA70" s="7">
        <f>[1]节奏总纲!BA70</f>
        <v>35.341567995522851</v>
      </c>
      <c r="BB70" s="7">
        <f>[1]节奏总纲!BB70</f>
        <v>36.841971442131673</v>
      </c>
      <c r="BC70" s="7">
        <f>[1]节奏总纲!BC70</f>
        <v>38.768202899262064</v>
      </c>
      <c r="BD70" s="7">
        <f>[1]节奏总纲!BD70</f>
        <v>41.48973836764344</v>
      </c>
      <c r="BE70" s="7">
        <f>[1]节奏总纲!BE70</f>
        <v>46.176090215954694</v>
      </c>
    </row>
    <row r="71" spans="6:57" x14ac:dyDescent="0.15">
      <c r="F71" s="2">
        <v>69</v>
      </c>
      <c r="G71" s="2">
        <f t="shared" si="6"/>
        <v>118.42822291671132</v>
      </c>
      <c r="N71" s="11">
        <f>[1]节奏总纲!N71</f>
        <v>78</v>
      </c>
      <c r="O71" s="2">
        <v>68</v>
      </c>
      <c r="P71" s="6">
        <f>[1]节奏总纲!P71</f>
        <v>110.43047210190386</v>
      </c>
      <c r="Q71" s="6">
        <f>[1]节奏总纲!Q71</f>
        <v>95.831563690032169</v>
      </c>
      <c r="R71" s="6">
        <f>[1]节奏总纲!R71</f>
        <v>78.251032531409081</v>
      </c>
      <c r="S71" s="6">
        <f>[1]节奏总纲!S71</f>
        <v>57.412802445779818</v>
      </c>
      <c r="T71" s="6">
        <f>[1]节奏总纲!T71</f>
        <v>31.859191201399263</v>
      </c>
      <c r="V71" s="2">
        <v>68</v>
      </c>
      <c r="W71" s="7">
        <f>[1]节奏总纲!W71</f>
        <v>7.4621653683057474</v>
      </c>
      <c r="X71" s="7">
        <f>[1]节奏总纲!X71</f>
        <v>6.3624019692087757</v>
      </c>
      <c r="Y71" s="7">
        <f>[1]节奏总纲!Y71</f>
        <v>4.9581917984339441</v>
      </c>
      <c r="Z71" s="7">
        <f>[1]节奏总纲!Z71</f>
        <v>3.7869082989219152</v>
      </c>
      <c r="AA71" s="7">
        <f>[1]节奏总纲!AA71</f>
        <v>2.0601632326959702</v>
      </c>
      <c r="AC71" s="2">
        <v>68</v>
      </c>
      <c r="AD71" s="7">
        <f>[1]节奏总纲!AD71</f>
        <v>61.082568038258209</v>
      </c>
      <c r="AE71" s="7">
        <f>[1]节奏总纲!AE71</f>
        <v>63.107492392331935</v>
      </c>
      <c r="AF71" s="7">
        <f>[1]节奏总纲!AF71</f>
        <v>65.895355939451605</v>
      </c>
      <c r="AG71" s="7">
        <f>[1]节奏总纲!AG71</f>
        <v>70.442539881709536</v>
      </c>
      <c r="AH71" s="7">
        <f>[1]节奏总纲!AH71</f>
        <v>78.972688783434734</v>
      </c>
      <c r="AZ71" s="2">
        <v>68</v>
      </c>
      <c r="BA71" s="7">
        <f>[1]节奏总纲!BA71</f>
        <v>35.439158851386523</v>
      </c>
      <c r="BB71" s="7">
        <f>[1]节奏总纲!BB71</f>
        <v>36.947184852926306</v>
      </c>
      <c r="BC71" s="7">
        <f>[1]节奏总纲!BC71</f>
        <v>38.872587109658596</v>
      </c>
      <c r="BD71" s="7">
        <f>[1]节奏总纲!BD71</f>
        <v>41.590303905372799</v>
      </c>
      <c r="BE71" s="7">
        <f>[1]节奏总纲!BE71</f>
        <v>46.272410430048332</v>
      </c>
    </row>
    <row r="72" spans="6:57" x14ac:dyDescent="0.15">
      <c r="F72" s="2">
        <v>70</v>
      </c>
      <c r="G72" s="2">
        <f t="shared" si="6"/>
        <v>127</v>
      </c>
      <c r="N72" s="11">
        <f>[1]节奏总纲!N72</f>
        <v>79</v>
      </c>
      <c r="O72" s="2">
        <v>69</v>
      </c>
      <c r="P72" s="6">
        <f>[1]节奏总纲!P72</f>
        <v>118.42822291671132</v>
      </c>
      <c r="Q72" s="6">
        <f>[1]节奏总纲!Q72</f>
        <v>102.51146975670532</v>
      </c>
      <c r="R72" s="6">
        <f>[1]节奏总纲!R72</f>
        <v>83.894553114198303</v>
      </c>
      <c r="S72" s="6">
        <f>[1]节奏总纲!S72</f>
        <v>61.535304627523196</v>
      </c>
      <c r="T72" s="6">
        <f>[1]节奏总纲!T72</f>
        <v>34.059956910846175</v>
      </c>
      <c r="V72" s="2">
        <v>69</v>
      </c>
      <c r="W72" s="7">
        <f>[1]节奏总纲!W72</f>
        <v>7.9977508148074605</v>
      </c>
      <c r="X72" s="7">
        <f>[1]节奏总纲!X72</f>
        <v>6.6799060666731549</v>
      </c>
      <c r="Y72" s="7">
        <f>[1]节奏总纲!Y72</f>
        <v>5.6435205827892219</v>
      </c>
      <c r="Z72" s="7">
        <f>[1]节奏总纲!Z72</f>
        <v>4.1225021817433785</v>
      </c>
      <c r="AA72" s="7">
        <f>[1]节奏总纲!AA72</f>
        <v>2.2007657094469124</v>
      </c>
      <c r="AC72" s="2">
        <v>69</v>
      </c>
      <c r="AD72" s="7">
        <f>[1]节奏总纲!AD72</f>
        <v>61.285688244217212</v>
      </c>
      <c r="AE72" s="7">
        <f>[1]节奏总纲!AE72</f>
        <v>63.310338531528565</v>
      </c>
      <c r="AF72" s="7">
        <f>[1]节奏总纲!AF72</f>
        <v>66.106079073217742</v>
      </c>
      <c r="AG72" s="7">
        <f>[1]节奏总纲!AG72</f>
        <v>70.655884085397304</v>
      </c>
      <c r="AH72" s="7">
        <f>[1]节奏总纲!AH72</f>
        <v>79.188599387584361</v>
      </c>
      <c r="AZ72" s="2">
        <v>69</v>
      </c>
      <c r="BA72" s="7">
        <f>[1]节奏总纲!BA72</f>
        <v>35.536749707250202</v>
      </c>
      <c r="BB72" s="7">
        <f>[1]节奏总纲!BB72</f>
        <v>37.045197000674086</v>
      </c>
      <c r="BC72" s="7">
        <f>[1]节奏总纲!BC72</f>
        <v>38.976971320055128</v>
      </c>
      <c r="BD72" s="7">
        <f>[1]节奏总纲!BD72</f>
        <v>41.690869443102159</v>
      </c>
      <c r="BE72" s="7">
        <f>[1]节奏总纲!BE72</f>
        <v>46.368730644141969</v>
      </c>
    </row>
    <row r="73" spans="6:57" x14ac:dyDescent="0.15">
      <c r="F73" s="2">
        <v>71</v>
      </c>
      <c r="G73" s="2">
        <f t="shared" si="6"/>
        <v>136.18700320464549</v>
      </c>
      <c r="N73" s="11">
        <f>[1]节奏总纲!N73</f>
        <v>80</v>
      </c>
      <c r="O73" s="2">
        <v>70</v>
      </c>
      <c r="P73" s="6">
        <f>[1]节奏总纲!P73</f>
        <v>127</v>
      </c>
      <c r="Q73" s="6">
        <f>[1]节奏总纲!Q73</f>
        <v>109.9693</v>
      </c>
      <c r="R73" s="6">
        <f>[1]节奏总纲!R73</f>
        <v>90.106499999999997</v>
      </c>
      <c r="S73" s="6">
        <f>[1]节奏总纲!S73</f>
        <v>65.925700000000006</v>
      </c>
      <c r="T73" s="6">
        <f>[1]节奏总纲!T73</f>
        <v>36.4998</v>
      </c>
      <c r="V73" s="2">
        <v>70</v>
      </c>
      <c r="W73" s="7">
        <f>[1]节奏总纲!W73</f>
        <v>8.5717770832886799</v>
      </c>
      <c r="X73" s="7">
        <f>[1]节奏总纲!X73</f>
        <v>7.4578302432946799</v>
      </c>
      <c r="Y73" s="7">
        <f>[1]节奏总纲!Y73</f>
        <v>6.2119468858016944</v>
      </c>
      <c r="Z73" s="7">
        <f>[1]节奏总纲!Z73</f>
        <v>4.3903953724768101</v>
      </c>
      <c r="AA73" s="7">
        <f>[1]节奏总纲!AA73</f>
        <v>2.4398430891538254</v>
      </c>
      <c r="AC73" s="2">
        <v>70</v>
      </c>
      <c r="AD73" s="7">
        <f>[1]节奏总纲!AD73</f>
        <v>61.488808450176215</v>
      </c>
      <c r="AE73" s="7">
        <f>[1]节奏总纲!AE73</f>
        <v>63.513184670725188</v>
      </c>
      <c r="AF73" s="7">
        <f>[1]节奏总纲!AF73</f>
        <v>66.314314361313961</v>
      </c>
      <c r="AG73" s="7">
        <f>[1]节奏总纲!AG73</f>
        <v>70.869228289085072</v>
      </c>
      <c r="AH73" s="7">
        <f>[1]节奏总纲!AH73</f>
        <v>79.403426131671111</v>
      </c>
      <c r="AZ73" s="2">
        <v>70</v>
      </c>
      <c r="BA73" s="7">
        <f>[1]节奏总纲!BA73</f>
        <v>35.634340563113874</v>
      </c>
      <c r="BB73" s="7">
        <f>[1]节奏总纲!BB73</f>
        <v>37.135950591746003</v>
      </c>
      <c r="BC73" s="7">
        <f>[1]节奏总纲!BC73</f>
        <v>39.070187171981765</v>
      </c>
      <c r="BD73" s="7">
        <f>[1]节奏总纲!BD73</f>
        <v>41.791434980831518</v>
      </c>
      <c r="BE73" s="7">
        <f>[1]节奏总纲!BE73</f>
        <v>46.465050858235607</v>
      </c>
    </row>
    <row r="74" spans="6:57" x14ac:dyDescent="0.15">
      <c r="F74" s="2">
        <v>72</v>
      </c>
      <c r="G74" s="2">
        <f t="shared" si="6"/>
        <v>146.03338943962044</v>
      </c>
      <c r="N74" s="11">
        <f>[1]节奏总纲!N74</f>
        <v>81</v>
      </c>
      <c r="O74" s="2">
        <v>71</v>
      </c>
      <c r="P74" s="6">
        <f>[1]节奏总纲!P74</f>
        <v>136.18700320464549</v>
      </c>
      <c r="Q74" s="6">
        <f>[1]节奏总纲!Q74</f>
        <v>118.03327567746625</v>
      </c>
      <c r="R74" s="6">
        <f>[1]节奏总纲!R74</f>
        <v>96.583822672734584</v>
      </c>
      <c r="S74" s="6">
        <f>[1]节奏总纲!S74</f>
        <v>70.612961161608681</v>
      </c>
      <c r="T74" s="6">
        <f>[1]节奏总纲!T74</f>
        <v>39.126526020694648</v>
      </c>
      <c r="V74" s="2">
        <v>71</v>
      </c>
      <c r="W74" s="7">
        <f>[1]节奏总纲!W74</f>
        <v>9.1870032046454924</v>
      </c>
      <c r="X74" s="7">
        <f>[1]节奏总纲!X74</f>
        <v>8.0639756774662459</v>
      </c>
      <c r="Y74" s="7">
        <f>[1]节奏总纲!Y74</f>
        <v>6.4773226727345872</v>
      </c>
      <c r="Z74" s="7">
        <f>[1]节奏总纲!Z74</f>
        <v>4.6872611616086743</v>
      </c>
      <c r="AA74" s="7">
        <f>[1]节奏总纲!AA74</f>
        <v>2.6267260206946474</v>
      </c>
      <c r="AC74" s="2">
        <v>71</v>
      </c>
      <c r="AD74" s="7">
        <f>[1]节奏总纲!AD74</f>
        <v>61.691928656135218</v>
      </c>
      <c r="AE74" s="7">
        <f>[1]节奏总纲!AE74</f>
        <v>63.716030809921811</v>
      </c>
      <c r="AF74" s="7">
        <f>[1]节奏总纲!AF74</f>
        <v>66.52254964941018</v>
      </c>
      <c r="AG74" s="7">
        <f>[1]节奏总纲!AG74</f>
        <v>71.07781362467729</v>
      </c>
      <c r="AH74" s="7">
        <f>[1]节奏总纲!AH74</f>
        <v>79.618252875757847</v>
      </c>
      <c r="AZ74" s="2">
        <v>71</v>
      </c>
      <c r="BA74" s="7">
        <f>[1]节奏总纲!BA74</f>
        <v>35.731931418977545</v>
      </c>
      <c r="BB74" s="7">
        <f>[1]节奏总纲!BB74</f>
        <v>37.226704182817912</v>
      </c>
      <c r="BC74" s="7">
        <f>[1]节奏总纲!BC74</f>
        <v>39.160241683169971</v>
      </c>
      <c r="BD74" s="7">
        <f>[1]节奏总纲!BD74</f>
        <v>41.892000518560877</v>
      </c>
      <c r="BE74" s="7">
        <f>[1]节奏总纲!BE74</f>
        <v>46.561371072329244</v>
      </c>
    </row>
    <row r="75" spans="6:57" x14ac:dyDescent="0.15">
      <c r="F75" s="2">
        <v>73</v>
      </c>
      <c r="G75" s="2">
        <f t="shared" si="6"/>
        <v>156.58648490814926</v>
      </c>
      <c r="N75" s="11">
        <f>[1]节奏总纲!N75</f>
        <v>82</v>
      </c>
      <c r="O75" s="2">
        <v>72</v>
      </c>
      <c r="P75" s="6">
        <f>[1]节奏总纲!P75</f>
        <v>146.03338943962044</v>
      </c>
      <c r="Q75" s="6">
        <f>[1]节奏总纲!Q75</f>
        <v>126.581741966263</v>
      </c>
      <c r="R75" s="6">
        <f>[1]节奏总纲!R75</f>
        <v>103.31862302853146</v>
      </c>
      <c r="S75" s="6">
        <f>[1]节奏总纲!S75</f>
        <v>75.586882373947532</v>
      </c>
      <c r="T75" s="6">
        <f>[1]节奏总纲!T75</f>
        <v>41.896979430227098</v>
      </c>
      <c r="V75" s="2">
        <v>72</v>
      </c>
      <c r="W75" s="7">
        <f>[1]节奏总纲!W75</f>
        <v>9.8463862349749434</v>
      </c>
      <c r="X75" s="7">
        <f>[1]节奏总纲!X75</f>
        <v>8.548466288796746</v>
      </c>
      <c r="Y75" s="7">
        <f>[1]节奏总纲!Y75</f>
        <v>6.7348003557968781</v>
      </c>
      <c r="Z75" s="7">
        <f>[1]节奏总纲!Z75</f>
        <v>4.9739212123388512</v>
      </c>
      <c r="AA75" s="7">
        <f>[1]节奏总纲!AA75</f>
        <v>2.7704534095324505</v>
      </c>
      <c r="AC75" s="2">
        <v>72</v>
      </c>
      <c r="AD75" s="7">
        <f>[1]节奏总纲!AD75</f>
        <v>61.895048862094221</v>
      </c>
      <c r="AE75" s="7">
        <f>[1]节奏总纲!AE75</f>
        <v>63.918876949118435</v>
      </c>
      <c r="AF75" s="7">
        <f>[1]节奏总纲!AF75</f>
        <v>66.7307849375064</v>
      </c>
      <c r="AG75" s="7">
        <f>[1]节奏总纲!AG75</f>
        <v>71.278862245535876</v>
      </c>
      <c r="AH75" s="7">
        <f>[1]节奏总纲!AH75</f>
        <v>79.833079619844597</v>
      </c>
      <c r="AZ75" s="2">
        <v>72</v>
      </c>
      <c r="BA75" s="7">
        <f>[1]节奏总纲!BA75</f>
        <v>35.829522274841217</v>
      </c>
      <c r="BB75" s="7">
        <f>[1]节奏总纲!BB75</f>
        <v>37.317457773889828</v>
      </c>
      <c r="BC75" s="7">
        <f>[1]节奏总纲!BC75</f>
        <v>39.250296194358178</v>
      </c>
      <c r="BD75" s="7">
        <f>[1]节奏总纲!BD75</f>
        <v>41.992566056290244</v>
      </c>
      <c r="BE75" s="7">
        <f>[1]节奏总纲!BE75</f>
        <v>46.657691286422882</v>
      </c>
    </row>
    <row r="76" spans="6:57" x14ac:dyDescent="0.15">
      <c r="F76" s="2">
        <v>74</v>
      </c>
      <c r="G76" s="2">
        <f t="shared" si="6"/>
        <v>167.89701257893043</v>
      </c>
      <c r="N76" s="11">
        <f>[1]节奏总纲!N76</f>
        <v>83</v>
      </c>
      <c r="O76" s="2">
        <v>73</v>
      </c>
      <c r="P76" s="6">
        <f>[1]节奏总纲!P76</f>
        <v>156.58648490814926</v>
      </c>
      <c r="Q76" s="6">
        <f>[1]节奏总纲!Q76</f>
        <v>135.41599214856748</v>
      </c>
      <c r="R76" s="6">
        <f>[1]节奏总纲!R76</f>
        <v>110.58137564213501</v>
      </c>
      <c r="S76" s="6">
        <f>[1]节奏总纲!S76</f>
        <v>80.955212697513176</v>
      </c>
      <c r="T76" s="6">
        <f>[1]节奏总纲!T76</f>
        <v>44.877686574675579</v>
      </c>
      <c r="V76" s="2">
        <v>73</v>
      </c>
      <c r="W76" s="7">
        <f>[1]节奏总纲!W76</f>
        <v>10.553095468528824</v>
      </c>
      <c r="X76" s="7">
        <f>[1]节奏总纲!X76</f>
        <v>8.834250182304487</v>
      </c>
      <c r="Y76" s="7">
        <f>[1]节奏总纲!Y76</f>
        <v>7.2627526136035527</v>
      </c>
      <c r="Z76" s="7">
        <f>[1]节奏总纲!Z76</f>
        <v>5.3683303235656439</v>
      </c>
      <c r="AA76" s="7">
        <f>[1]节奏总纲!AA76</f>
        <v>2.9807071444484805</v>
      </c>
      <c r="AC76" s="2">
        <v>73</v>
      </c>
      <c r="AD76" s="7">
        <f>[1]节奏总纲!AD76</f>
        <v>62.091594979242075</v>
      </c>
      <c r="AE76" s="7">
        <f>[1]节奏总纲!AE76</f>
        <v>64.114306430026588</v>
      </c>
      <c r="AF76" s="7">
        <f>[1]节奏总纲!AF76</f>
        <v>66.939020225602619</v>
      </c>
      <c r="AG76" s="7">
        <f>[1]节奏总纲!AG76</f>
        <v>71.479910866394462</v>
      </c>
      <c r="AH76" s="7">
        <f>[1]节奏总纲!AH76</f>
        <v>80.043898354812981</v>
      </c>
      <c r="AZ76" s="2">
        <v>73</v>
      </c>
      <c r="BA76" s="7">
        <f>[1]节奏总纲!BA76</f>
        <v>35.927113130704889</v>
      </c>
      <c r="BB76" s="7">
        <f>[1]节奏总纲!BB76</f>
        <v>37.408211364961737</v>
      </c>
      <c r="BC76" s="7">
        <f>[1]节奏总纲!BC76</f>
        <v>39.340350705546385</v>
      </c>
      <c r="BD76" s="7">
        <f>[1]节奏总纲!BD76</f>
        <v>42.080366850119908</v>
      </c>
      <c r="BE76" s="7">
        <f>[1]节奏总纲!BE76</f>
        <v>46.754011500516519</v>
      </c>
    </row>
    <row r="77" spans="6:57" x14ac:dyDescent="0.15">
      <c r="F77" s="2">
        <v>75</v>
      </c>
      <c r="G77" s="2">
        <f t="shared" si="6"/>
        <v>180.01933598375612</v>
      </c>
      <c r="N77" s="11">
        <f>[1]节奏总纲!N77</f>
        <v>84</v>
      </c>
      <c r="O77" s="2">
        <v>74</v>
      </c>
      <c r="P77" s="6">
        <f>[1]节奏总纲!P77</f>
        <v>167.89701257893043</v>
      </c>
      <c r="Q77" s="6">
        <f>[1]节奏总纲!Q77</f>
        <v>145.16375707574326</v>
      </c>
      <c r="R77" s="6">
        <f>[1]节奏总纲!R77</f>
        <v>118.70318789330381</v>
      </c>
      <c r="S77" s="6">
        <f>[1]节奏总纲!S77</f>
        <v>86.869914308338593</v>
      </c>
      <c r="T77" s="6">
        <f>[1]节奏总纲!T77</f>
        <v>48.169652908895138</v>
      </c>
      <c r="V77" s="2">
        <v>74</v>
      </c>
      <c r="W77" s="7">
        <f>[1]节奏总纲!W77</f>
        <v>11.31052767078117</v>
      </c>
      <c r="X77" s="7">
        <f>[1]节奏总纲!X77</f>
        <v>9.7477649271757798</v>
      </c>
      <c r="Y77" s="7">
        <f>[1]节奏总纲!Y77</f>
        <v>8.1218122511687909</v>
      </c>
      <c r="Z77" s="7">
        <f>[1]节奏总纲!Z77</f>
        <v>5.9147016108254178</v>
      </c>
      <c r="AA77" s="7">
        <f>[1]节奏总纲!AA77</f>
        <v>3.2919663342195591</v>
      </c>
      <c r="AC77" s="2">
        <v>74</v>
      </c>
      <c r="AD77" s="7">
        <f>[1]节奏总纲!AD77</f>
        <v>62.281112832649576</v>
      </c>
      <c r="AE77" s="7">
        <f>[1]节奏总纲!AE77</f>
        <v>64.304793036447776</v>
      </c>
      <c r="AF77" s="7">
        <f>[1]节奏总纲!AF77</f>
        <v>67.14262442756818</v>
      </c>
      <c r="AG77" s="7">
        <f>[1]节奏总纲!AG77</f>
        <v>71.680959487253048</v>
      </c>
      <c r="AH77" s="7">
        <f>[1]节奏总纲!AH77</f>
        <v>80.24075196383977</v>
      </c>
      <c r="AZ77" s="2">
        <v>74</v>
      </c>
      <c r="BA77" s="7">
        <f>[1]节奏总纲!BA77</f>
        <v>36.021306837933537</v>
      </c>
      <c r="BB77" s="7">
        <f>[1]节奏总纲!BB77</f>
        <v>37.498964956033646</v>
      </c>
      <c r="BC77" s="7">
        <f>[1]节奏总纲!BC77</f>
        <v>39.430405216734592</v>
      </c>
      <c r="BD77" s="7">
        <f>[1]节奏总纲!BD77</f>
        <v>42.167148737437564</v>
      </c>
      <c r="BE77" s="7">
        <f>[1]节奏总纲!BE77</f>
        <v>46.850331714610157</v>
      </c>
    </row>
    <row r="78" spans="6:57" x14ac:dyDescent="0.15">
      <c r="F78" s="2">
        <v>76</v>
      </c>
      <c r="G78" s="2">
        <f t="shared" si="6"/>
        <v>193.01172051333091</v>
      </c>
      <c r="N78" s="11">
        <f>[1]节奏总纲!N78</f>
        <v>85</v>
      </c>
      <c r="O78" s="2">
        <v>75</v>
      </c>
      <c r="P78" s="6">
        <f>[1]节奏总纲!P78</f>
        <v>180.01933598375612</v>
      </c>
      <c r="Q78" s="6">
        <f>[1]节奏总纲!Q78</f>
        <v>155.75272949314578</v>
      </c>
      <c r="R78" s="6">
        <f>[1]节奏总纲!R78</f>
        <v>127.38168214210583</v>
      </c>
      <c r="S78" s="6">
        <f>[1]节奏总纲!S78</f>
        <v>93.214012172388934</v>
      </c>
      <c r="T78" s="6">
        <f>[1]节奏总纲!T78</f>
        <v>51.755559095329879</v>
      </c>
      <c r="V78" s="2">
        <v>75</v>
      </c>
      <c r="W78" s="7">
        <f>[1]节奏总纲!W78</f>
        <v>12.122323404825693</v>
      </c>
      <c r="X78" s="7">
        <f>[1]节奏总纲!X78</f>
        <v>10.588972417402516</v>
      </c>
      <c r="Y78" s="7">
        <f>[1]节奏总纲!Y78</f>
        <v>8.6784942488020249</v>
      </c>
      <c r="Z78" s="7">
        <f>[1]节奏总纲!Z78</f>
        <v>6.3440978640503403</v>
      </c>
      <c r="AA78" s="7">
        <f>[1]节奏总纲!AA78</f>
        <v>3.585906186434741</v>
      </c>
      <c r="AC78" s="2">
        <v>75</v>
      </c>
      <c r="AD78" s="7">
        <f>[1]节奏总纲!AD78</f>
        <v>62.470630686057078</v>
      </c>
      <c r="AE78" s="7">
        <f>[1]节奏总纲!AE78</f>
        <v>64.495279642868965</v>
      </c>
      <c r="AF78" s="7">
        <f>[1]节奏总纲!AF78</f>
        <v>67.344310856946692</v>
      </c>
      <c r="AG78" s="7">
        <f>[1]节奏总纲!AG78</f>
        <v>71.882008108111634</v>
      </c>
      <c r="AH78" s="7">
        <f>[1]节奏总纲!AH78</f>
        <v>80.437605572866573</v>
      </c>
      <c r="AZ78" s="2">
        <v>75</v>
      </c>
      <c r="BA78" s="7">
        <f>[1]节奏总纲!BA78</f>
        <v>36.105477566569242</v>
      </c>
      <c r="BB78" s="7">
        <f>[1]节奏总纲!BB78</f>
        <v>37.589718547105562</v>
      </c>
      <c r="BC78" s="7">
        <f>[1]节奏总纲!BC78</f>
        <v>39.520459727922798</v>
      </c>
      <c r="BD78" s="7">
        <f>[1]节奏总纲!BD78</f>
        <v>42.253930624755228</v>
      </c>
      <c r="BE78" s="7">
        <f>[1]节奏总纲!BE78</f>
        <v>46.946651928703787</v>
      </c>
    </row>
    <row r="79" spans="6:57" x14ac:dyDescent="0.15">
      <c r="F79" s="2">
        <v>77</v>
      </c>
      <c r="G79" s="2">
        <f t="shared" si="6"/>
        <v>206.93661346719625</v>
      </c>
      <c r="N79" s="11">
        <f>[1]节奏总纲!N79</f>
        <v>86</v>
      </c>
      <c r="O79" s="2">
        <v>76</v>
      </c>
      <c r="P79" s="6">
        <f>[1]节奏总纲!P79</f>
        <v>193.01172051333091</v>
      </c>
      <c r="Q79" s="6">
        <f>[1]节奏总纲!Q79</f>
        <v>166.97443941608256</v>
      </c>
      <c r="R79" s="6">
        <f>[1]节奏总纲!R79</f>
        <v>136.51718991907896</v>
      </c>
      <c r="S79" s="6">
        <f>[1]节奏总纲!S79</f>
        <v>100.0379747420594</v>
      </c>
      <c r="T79" s="6">
        <f>[1]节奏总纲!T79</f>
        <v>55.664580196044632</v>
      </c>
      <c r="V79" s="2">
        <v>76</v>
      </c>
      <c r="W79" s="7">
        <f>[1]节奏总纲!W79</f>
        <v>12.992384529574792</v>
      </c>
      <c r="X79" s="7">
        <f>[1]节奏总纲!X79</f>
        <v>11.221709922936782</v>
      </c>
      <c r="Y79" s="7">
        <f>[1]节奏总纲!Y79</f>
        <v>9.1355077769731281</v>
      </c>
      <c r="Z79" s="7">
        <f>[1]节奏总纲!Z79</f>
        <v>6.8239625696704707</v>
      </c>
      <c r="AA79" s="7">
        <f>[1]节奏总纲!AA79</f>
        <v>3.9090211007147531</v>
      </c>
      <c r="AC79" s="2">
        <v>76</v>
      </c>
      <c r="AD79" s="7">
        <f>[1]节奏总纲!AD79</f>
        <v>62.660148539464579</v>
      </c>
      <c r="AE79" s="7">
        <f>[1]节奏总纲!AE79</f>
        <v>64.685766249290154</v>
      </c>
      <c r="AF79" s="7">
        <f>[1]节奏总纲!AF79</f>
        <v>67.545997286325218</v>
      </c>
      <c r="AG79" s="7">
        <f>[1]节奏总纲!AG79</f>
        <v>72.076954583856178</v>
      </c>
      <c r="AH79" s="7">
        <f>[1]节奏总纲!AH79</f>
        <v>80.634459181893376</v>
      </c>
      <c r="AZ79" s="2">
        <v>76</v>
      </c>
      <c r="BA79" s="7">
        <f>[1]节奏总纲!BA79</f>
        <v>36.189648295204947</v>
      </c>
      <c r="BB79" s="7">
        <f>[1]节奏总纲!BB79</f>
        <v>37.680472138177471</v>
      </c>
      <c r="BC79" s="7">
        <f>[1]节奏总纲!BC79</f>
        <v>39.610514239111005</v>
      </c>
      <c r="BD79" s="7">
        <f>[1]节奏总纲!BD79</f>
        <v>42.340712512072891</v>
      </c>
      <c r="BE79" s="7">
        <f>[1]节奏总纲!BE79</f>
        <v>47.037096473408994</v>
      </c>
    </row>
    <row r="80" spans="6:57" x14ac:dyDescent="0.15">
      <c r="F80" s="2">
        <v>78</v>
      </c>
      <c r="G80" s="2">
        <f t="shared" si="6"/>
        <v>221.86094420380775</v>
      </c>
      <c r="N80" s="11">
        <f>[1]节奏总纲!N80</f>
        <v>87</v>
      </c>
      <c r="O80" s="2">
        <v>77</v>
      </c>
      <c r="P80" s="6">
        <f>[1]节奏总纲!P80</f>
        <v>206.93661346719625</v>
      </c>
      <c r="Q80" s="6">
        <f>[1]节奏总纲!Q80</f>
        <v>179.12433261720508</v>
      </c>
      <c r="R80" s="6">
        <f>[1]节奏总纲!R80</f>
        <v>146.53181599612165</v>
      </c>
      <c r="S80" s="6">
        <f>[1]节奏总纲!S80</f>
        <v>107.42079605082158</v>
      </c>
      <c r="T80" s="6">
        <f>[1]节奏总纲!T80</f>
        <v>59.535663694512365</v>
      </c>
      <c r="V80" s="2">
        <v>77</v>
      </c>
      <c r="W80" s="7">
        <f>[1]节奏总纲!W80</f>
        <v>13.924892953865339</v>
      </c>
      <c r="X80" s="7">
        <f>[1]节奏总纲!X80</f>
        <v>12.149893201122524</v>
      </c>
      <c r="Y80" s="7">
        <f>[1]节奏总纲!Y80</f>
        <v>10.014626077042692</v>
      </c>
      <c r="Z80" s="7">
        <f>[1]节奏总纲!Z80</f>
        <v>7.3828213087621748</v>
      </c>
      <c r="AA80" s="7">
        <f>[1]节奏总纲!AA80</f>
        <v>3.8710834984677334</v>
      </c>
      <c r="AC80" s="2">
        <v>77</v>
      </c>
      <c r="AD80" s="7">
        <f>[1]节奏总纲!AD80</f>
        <v>62.849666392872081</v>
      </c>
      <c r="AE80" s="7">
        <f>[1]节奏总纲!AE80</f>
        <v>64.876252855711357</v>
      </c>
      <c r="AF80" s="7">
        <f>[1]节奏总纲!AF80</f>
        <v>67.747683715703729</v>
      </c>
      <c r="AG80" s="7">
        <f>[1]节奏总纲!AG80</f>
        <v>72.263232241847945</v>
      </c>
      <c r="AH80" s="7">
        <f>[1]节奏总纲!AH80</f>
        <v>80.83131279092018</v>
      </c>
      <c r="AZ80" s="2">
        <v>77</v>
      </c>
      <c r="BA80" s="7">
        <f>[1]节奏总纲!BA80</f>
        <v>36.273819023840659</v>
      </c>
      <c r="BB80" s="7">
        <f>[1]节奏总纲!BB80</f>
        <v>37.771225729249387</v>
      </c>
      <c r="BC80" s="7">
        <f>[1]节奏总纲!BC80</f>
        <v>39.700568750299212</v>
      </c>
      <c r="BD80" s="7">
        <f>[1]节奏总纲!BD80</f>
        <v>42.427494399390554</v>
      </c>
      <c r="BE80" s="7">
        <f>[1]节奏总纲!BE80</f>
        <v>47.12024662670057</v>
      </c>
    </row>
    <row r="81" spans="6:57" x14ac:dyDescent="0.15">
      <c r="F81" s="2">
        <v>79</v>
      </c>
      <c r="G81" s="2">
        <f t="shared" si="6"/>
        <v>237.85644583342264</v>
      </c>
      <c r="N81" s="11">
        <f>[1]节奏总纲!N81</f>
        <v>88</v>
      </c>
      <c r="O81" s="2">
        <v>78</v>
      </c>
      <c r="P81" s="6">
        <f>[1]节奏总纲!P81</f>
        <v>221.86094420380775</v>
      </c>
      <c r="Q81" s="6">
        <f>[1]节奏总纲!Q81</f>
        <v>192.04283330281601</v>
      </c>
      <c r="R81" s="6">
        <f>[1]节奏总纲!R81</f>
        <v>157.23285115723854</v>
      </c>
      <c r="S81" s="6">
        <f>[1]节奏总纲!S81</f>
        <v>115.1680161361966</v>
      </c>
      <c r="T81" s="6">
        <f>[1]节奏总纲!T81</f>
        <v>63.651904892072437</v>
      </c>
      <c r="V81" s="2">
        <v>78</v>
      </c>
      <c r="W81" s="7">
        <f>[1]节奏总纲!W81</f>
        <v>14.924330736611495</v>
      </c>
      <c r="X81" s="7">
        <f>[1]节奏总纲!X81</f>
        <v>12.918500685610923</v>
      </c>
      <c r="Y81" s="7">
        <f>[1]节奏总纲!Y81</f>
        <v>10.701035161116891</v>
      </c>
      <c r="Z81" s="7">
        <f>[1]节奏总纲!Z81</f>
        <v>7.7472200853750195</v>
      </c>
      <c r="AA81" s="7">
        <f>[1]节奏总纲!AA81</f>
        <v>4.1162411975600719</v>
      </c>
      <c r="AC81" s="2">
        <v>78</v>
      </c>
      <c r="AD81" s="7">
        <f>[1]节奏总纲!AD81</f>
        <v>63.036560194527354</v>
      </c>
      <c r="AE81" s="7">
        <f>[1]节奏总纲!AE81</f>
        <v>65.061438622789353</v>
      </c>
      <c r="AF81" s="7">
        <f>[1]节奏总纲!AF81</f>
        <v>67.949370145082256</v>
      </c>
      <c r="AG81" s="7">
        <f>[1]节奏总纲!AG81</f>
        <v>72.449509899839711</v>
      </c>
      <c r="AH81" s="7">
        <f>[1]节奏总纲!AH81</f>
        <v>81.026624803116562</v>
      </c>
      <c r="AZ81" s="2">
        <v>78</v>
      </c>
      <c r="BA81" s="7">
        <f>[1]节奏总纲!BA81</f>
        <v>36.357989752476364</v>
      </c>
      <c r="BB81" s="7">
        <f>[1]节奏总纲!BB81</f>
        <v>37.861979320321296</v>
      </c>
      <c r="BC81" s="7">
        <f>[1]节奏总纲!BC81</f>
        <v>39.790623261487418</v>
      </c>
      <c r="BD81" s="7">
        <f>[1]节奏总纲!BD81</f>
        <v>42.51427628670821</v>
      </c>
      <c r="BE81" s="7">
        <f>[1]节奏总纲!BE81</f>
        <v>47.203396779992147</v>
      </c>
    </row>
    <row r="82" spans="6:57" x14ac:dyDescent="0.15">
      <c r="F82" s="2">
        <v>80</v>
      </c>
      <c r="G82" s="2">
        <f t="shared" si="6"/>
        <v>255</v>
      </c>
      <c r="N82" s="11">
        <f>[1]节奏总纲!N82</f>
        <v>89</v>
      </c>
      <c r="O82" s="2">
        <v>79</v>
      </c>
      <c r="P82" s="6">
        <f>[1]节奏总纲!P82</f>
        <v>237.85644583342264</v>
      </c>
      <c r="Q82" s="6">
        <f>[1]节奏总纲!Q82</f>
        <v>206.07882467007735</v>
      </c>
      <c r="R82" s="6">
        <f>[1]节奏总纲!R82</f>
        <v>168.73536267423003</v>
      </c>
      <c r="S82" s="6">
        <f>[1]节奏总纲!S82</f>
        <v>123.11449636337954</v>
      </c>
      <c r="T82" s="6">
        <f>[1]节奏总纲!T82</f>
        <v>68.122086086692235</v>
      </c>
      <c r="V82" s="2">
        <v>79</v>
      </c>
      <c r="W82" s="7">
        <f>[1]节奏总纲!W82</f>
        <v>15.995501629614893</v>
      </c>
      <c r="X82" s="7">
        <f>[1]节奏总纲!X82</f>
        <v>14.035991367261346</v>
      </c>
      <c r="Y82" s="7">
        <f>[1]节奏总纲!Y82</f>
        <v>11.50251151699149</v>
      </c>
      <c r="Z82" s="7">
        <f>[1]节奏总纲!Z82</f>
        <v>7.9464802271829456</v>
      </c>
      <c r="AA82" s="7">
        <f>[1]节奏总纲!AA82</f>
        <v>4.4701811946197978</v>
      </c>
      <c r="AC82" s="2">
        <v>79</v>
      </c>
      <c r="AD82" s="7">
        <f>[1]节奏总纲!AD82</f>
        <v>63.213386604241791</v>
      </c>
      <c r="AE82" s="7">
        <f>[1]节奏总纲!AE82</f>
        <v>65.23679566619937</v>
      </c>
      <c r="AF82" s="7">
        <f>[1]节奏总纲!AF82</f>
        <v>68.132712808893615</v>
      </c>
      <c r="AG82" s="7">
        <f>[1]节奏总纲!AG82</f>
        <v>72.635787557831478</v>
      </c>
      <c r="AH82" s="7">
        <f>[1]节奏总纲!AH82</f>
        <v>81.212704266341873</v>
      </c>
      <c r="AZ82" s="2">
        <v>79</v>
      </c>
      <c r="BA82" s="7">
        <f>[1]节奏总纲!BA82</f>
        <v>36.442160481112069</v>
      </c>
      <c r="BB82" s="7">
        <f>[1]节奏总纲!BB82</f>
        <v>37.952732911393213</v>
      </c>
      <c r="BC82" s="7">
        <f>[1]节奏总纲!BC82</f>
        <v>39.880677772675625</v>
      </c>
      <c r="BD82" s="7">
        <f>[1]节奏总纲!BD82</f>
        <v>42.601058174025873</v>
      </c>
      <c r="BE82" s="7">
        <f>[1]节奏总纲!BE82</f>
        <v>47.286546933283724</v>
      </c>
    </row>
    <row r="83" spans="6:57" x14ac:dyDescent="0.15">
      <c r="F83" s="2">
        <v>81</v>
      </c>
      <c r="G83" s="2">
        <f t="shared" si="6"/>
        <v>273.37400640929098</v>
      </c>
      <c r="N83" s="11">
        <f>[1]节奏总纲!N83</f>
        <v>90</v>
      </c>
      <c r="O83" s="2">
        <v>80</v>
      </c>
      <c r="P83" s="6">
        <f>[1]节奏总纲!P83</f>
        <v>255</v>
      </c>
      <c r="Q83" s="6">
        <f>[1]节奏总纲!Q83</f>
        <v>221.08500000000001</v>
      </c>
      <c r="R83" s="6">
        <f>[1]节奏总纲!R83</f>
        <v>180.33600000000001</v>
      </c>
      <c r="S83" s="6">
        <f>[1]节奏总纲!S83</f>
        <v>131.58000000000001</v>
      </c>
      <c r="T83" s="6">
        <f>[1]节奏总纲!T83</f>
        <v>72.777000000000001</v>
      </c>
      <c r="V83" s="2">
        <v>80</v>
      </c>
      <c r="W83" s="7">
        <f>[1]节奏总纲!W83</f>
        <v>17.14355416657736</v>
      </c>
      <c r="X83" s="7">
        <f>[1]节奏总纲!X83</f>
        <v>15.006175329922655</v>
      </c>
      <c r="Y83" s="7">
        <f>[1]节奏总纲!Y83</f>
        <v>11.600637325769981</v>
      </c>
      <c r="Z83" s="7">
        <f>[1]节奏总纲!Z83</f>
        <v>8.4655036366204683</v>
      </c>
      <c r="AA83" s="7">
        <f>[1]节奏总纲!AA83</f>
        <v>4.6549139133077659</v>
      </c>
      <c r="AC83" s="2">
        <v>80</v>
      </c>
      <c r="AD83" s="7">
        <f>[1]节奏总纲!AD83</f>
        <v>63.39021301395622</v>
      </c>
      <c r="AE83" s="7">
        <f>[1]节奏总纲!AE83</f>
        <v>65.412152709609373</v>
      </c>
      <c r="AF83" s="7">
        <f>[1]节奏总纲!AF83</f>
        <v>68.309907165737044</v>
      </c>
      <c r="AG83" s="7">
        <f>[1]节奏总纲!AG83</f>
        <v>72.822065215823244</v>
      </c>
      <c r="AH83" s="7">
        <f>[1]节奏总纲!AH83</f>
        <v>81.398783729567185</v>
      </c>
      <c r="AZ83" s="2">
        <v>80</v>
      </c>
      <c r="BA83" s="7">
        <f>[1]节奏总纲!BA83</f>
        <v>36.526331209747774</v>
      </c>
      <c r="BB83" s="7">
        <f>[1]节奏总纲!BB83</f>
        <v>38.037513426486328</v>
      </c>
      <c r="BC83" s="7">
        <f>[1]节奏总纲!BC83</f>
        <v>39.970732283863832</v>
      </c>
      <c r="BD83" s="7">
        <f>[1]节奏总纲!BD83</f>
        <v>42.687840061343536</v>
      </c>
      <c r="BE83" s="7">
        <f>[1]节奏总纲!BE83</f>
        <v>47.3696970865753</v>
      </c>
    </row>
    <row r="84" spans="6:57" x14ac:dyDescent="0.15">
      <c r="F84" s="2">
        <v>82</v>
      </c>
      <c r="G84" s="2">
        <f t="shared" si="6"/>
        <v>293.06677887924064</v>
      </c>
      <c r="N84" s="11">
        <f>[1]节奏总纲!N84</f>
        <v>91</v>
      </c>
      <c r="O84" s="2">
        <v>81</v>
      </c>
      <c r="P84" s="6">
        <f>[1]节奏总纲!P84</f>
        <v>273.37400640929098</v>
      </c>
      <c r="Q84" s="6">
        <f>[1]节奏总纲!Q84</f>
        <v>236.35916594147301</v>
      </c>
      <c r="R84" s="6">
        <f>[1]节奏总纲!R84</f>
        <v>192.67399971726829</v>
      </c>
      <c r="S84" s="6">
        <f>[1]节奏总纲!S84</f>
        <v>140.76027590014394</v>
      </c>
      <c r="T84" s="6">
        <f>[1]节奏总纲!T84</f>
        <v>77.856917025366073</v>
      </c>
      <c r="V84" s="2">
        <v>81</v>
      </c>
      <c r="W84" s="7">
        <f>[1]节奏总纲!W84</f>
        <v>18.374006409290985</v>
      </c>
      <c r="X84" s="7">
        <f>[1]节奏总纲!X84</f>
        <v>15.274165941473001</v>
      </c>
      <c r="Y84" s="7">
        <f>[1]节奏总纲!Y84</f>
        <v>12.337999717268275</v>
      </c>
      <c r="Z84" s="7">
        <f>[1]节奏总纲!Z84</f>
        <v>9.1802759001439256</v>
      </c>
      <c r="AA84" s="7">
        <f>[1]节奏总纲!AA84</f>
        <v>5.0799170253660719</v>
      </c>
      <c r="AC84" s="2">
        <v>81</v>
      </c>
      <c r="AD84" s="7">
        <f>[1]节奏总纲!AD84</f>
        <v>63.567039423670657</v>
      </c>
      <c r="AE84" s="7">
        <f>[1]节奏总纲!AE84</f>
        <v>65.58750975301939</v>
      </c>
      <c r="AF84" s="7">
        <f>[1]节奏总纲!AF84</f>
        <v>68.487101522580488</v>
      </c>
      <c r="AG84" s="7">
        <f>[1]节奏总纲!AG84</f>
        <v>73.007572199822363</v>
      </c>
      <c r="AH84" s="7">
        <f>[1]节奏总纲!AH84</f>
        <v>81.584863192792497</v>
      </c>
      <c r="AZ84" s="2">
        <v>81</v>
      </c>
      <c r="BA84" s="7">
        <f>[1]节奏总纲!BA84</f>
        <v>36.610501938383479</v>
      </c>
      <c r="BB84" s="7">
        <f>[1]节奏总纲!BB84</f>
        <v>38.11580158428373</v>
      </c>
      <c r="BC84" s="7">
        <f>[1]节奏总纲!BC84</f>
        <v>40.052446592012309</v>
      </c>
      <c r="BD84" s="7">
        <f>[1]节奏总纲!BD84</f>
        <v>42.774621948661192</v>
      </c>
      <c r="BE84" s="7">
        <f>[1]节奏总纲!BE84</f>
        <v>47.452847239866877</v>
      </c>
    </row>
    <row r="85" spans="6:57" x14ac:dyDescent="0.15">
      <c r="F85" s="2">
        <v>83</v>
      </c>
      <c r="G85" s="2">
        <f t="shared" si="6"/>
        <v>314.1729698162988</v>
      </c>
      <c r="N85" s="11">
        <f>[1]节奏总纲!N85</f>
        <v>92</v>
      </c>
      <c r="O85" s="2">
        <v>82</v>
      </c>
      <c r="P85" s="6">
        <f>[1]节奏总纲!P85</f>
        <v>293.06677887924064</v>
      </c>
      <c r="Q85" s="6">
        <f>[1]节奏总纲!Q85</f>
        <v>253.15108359588808</v>
      </c>
      <c r="R85" s="6">
        <f>[1]节奏总纲!R85</f>
        <v>206.37762568676126</v>
      </c>
      <c r="S85" s="6">
        <f>[1]节奏总纲!S85</f>
        <v>150.81216441125721</v>
      </c>
      <c r="T85" s="6">
        <f>[1]节奏总纲!T85</f>
        <v>83.230965201704336</v>
      </c>
      <c r="V85" s="2">
        <v>82</v>
      </c>
      <c r="W85" s="7">
        <f>[1]节奏总纲!W85</f>
        <v>19.692772469949659</v>
      </c>
      <c r="X85" s="7">
        <f>[1]节奏总纲!X85</f>
        <v>16.791917654415073</v>
      </c>
      <c r="Y85" s="7">
        <f>[1]节奏总纲!Y85</f>
        <v>13.703625969492975</v>
      </c>
      <c r="Z85" s="7">
        <f>[1]节奏总纲!Z85</f>
        <v>10.051888511113276</v>
      </c>
      <c r="AA85" s="7">
        <f>[1]节奏总纲!AA85</f>
        <v>5.3740481763382633</v>
      </c>
      <c r="AC85" s="2">
        <v>82</v>
      </c>
      <c r="AD85" s="7">
        <f>[1]节奏总纲!AD85</f>
        <v>63.743865833385094</v>
      </c>
      <c r="AE85" s="7">
        <f>[1]节奏总纲!AE85</f>
        <v>65.762866796429392</v>
      </c>
      <c r="AF85" s="7">
        <f>[1]节奏总纲!AF85</f>
        <v>68.664295879423918</v>
      </c>
      <c r="AG85" s="7">
        <f>[1]节奏总纲!AG85</f>
        <v>73.176642436293761</v>
      </c>
      <c r="AH85" s="7">
        <f>[1]节奏总纲!AH85</f>
        <v>81.770942656017823</v>
      </c>
      <c r="AZ85" s="2">
        <v>82</v>
      </c>
      <c r="BA85" s="7">
        <f>[1]节奏总纲!BA85</f>
        <v>36.694672667019191</v>
      </c>
      <c r="BB85" s="7">
        <f>[1]节奏总纲!BB85</f>
        <v>38.194089742081125</v>
      </c>
      <c r="BC85" s="7">
        <f>[1]节奏总纲!BC85</f>
        <v>40.130145246845366</v>
      </c>
      <c r="BD85" s="7">
        <f>[1]节奏总纲!BD85</f>
        <v>42.861403835978855</v>
      </c>
      <c r="BE85" s="7">
        <f>[1]节奏总纲!BE85</f>
        <v>47.535997393158453</v>
      </c>
    </row>
    <row r="86" spans="6:57" x14ac:dyDescent="0.15">
      <c r="F86" s="2">
        <v>84</v>
      </c>
      <c r="G86" s="2">
        <f t="shared" si="6"/>
        <v>336.79402515786086</v>
      </c>
      <c r="N86" s="11">
        <f>[1]节奏总纲!N86</f>
        <v>93</v>
      </c>
      <c r="O86" s="2">
        <v>83</v>
      </c>
      <c r="P86" s="6">
        <f>[1]节奏总纲!P86</f>
        <v>314.1729698162988</v>
      </c>
      <c r="Q86" s="6">
        <f>[1]节奏总纲!Q86</f>
        <v>271.53969781222702</v>
      </c>
      <c r="R86" s="6">
        <f>[1]节奏总纲!R86</f>
        <v>221.55477831445393</v>
      </c>
      <c r="S86" s="6">
        <f>[1]节奏总纲!S86</f>
        <v>161.57915837652246</v>
      </c>
      <c r="T86" s="6">
        <f>[1]节奏总纲!T86</f>
        <v>89.193706130847232</v>
      </c>
      <c r="V86" s="2">
        <v>83</v>
      </c>
      <c r="W86" s="7">
        <f>[1]节奏总纲!W86</f>
        <v>21.106190937058159</v>
      </c>
      <c r="X86" s="7">
        <f>[1]节奏总纲!X86</f>
        <v>18.388614216338937</v>
      </c>
      <c r="Y86" s="7">
        <f>[1]节奏总纲!Y86</f>
        <v>15.177152627692664</v>
      </c>
      <c r="Z86" s="7">
        <f>[1]节奏总纲!Z86</f>
        <v>10.766993965265243</v>
      </c>
      <c r="AA86" s="7">
        <f>[1]节奏总纲!AA86</f>
        <v>5.9627409291428961</v>
      </c>
      <c r="AC86" s="2">
        <v>83</v>
      </c>
      <c r="AD86" s="7">
        <f>[1]节奏总纲!AD86</f>
        <v>63.920692243099523</v>
      </c>
      <c r="AE86" s="7">
        <f>[1]节奏总纲!AE86</f>
        <v>65.938223839839395</v>
      </c>
      <c r="AF86" s="7">
        <f>[1]节奏总纲!AF86</f>
        <v>68.841490236267347</v>
      </c>
      <c r="AG86" s="7">
        <f>[1]节奏总纲!AG86</f>
        <v>73.34571267276516</v>
      </c>
      <c r="AH86" s="7">
        <f>[1]节奏总纲!AH86</f>
        <v>81.957022119243135</v>
      </c>
      <c r="AZ86" s="2">
        <v>83</v>
      </c>
      <c r="BA86" s="7">
        <f>[1]节奏总纲!BA86</f>
        <v>36.778843395654896</v>
      </c>
      <c r="BB86" s="7">
        <f>[1]节奏总纲!BB86</f>
        <v>38.272377899878528</v>
      </c>
      <c r="BC86" s="7">
        <f>[1]节奏总纲!BC86</f>
        <v>40.207843901678423</v>
      </c>
      <c r="BD86" s="7">
        <f>[1]节奏总纲!BD86</f>
        <v>42.948185723296518</v>
      </c>
      <c r="BE86" s="7">
        <f>[1]节奏总纲!BE86</f>
        <v>47.619147546450023</v>
      </c>
    </row>
    <row r="87" spans="6:57" x14ac:dyDescent="0.15">
      <c r="F87" s="2">
        <v>85</v>
      </c>
      <c r="G87" s="2">
        <f t="shared" si="6"/>
        <v>361.0386719675123</v>
      </c>
      <c r="N87" s="11">
        <f>[1]节奏总纲!N87</f>
        <v>94</v>
      </c>
      <c r="O87" s="2">
        <v>84</v>
      </c>
      <c r="P87" s="6">
        <f>[1]节奏总纲!P87</f>
        <v>336.79402515786086</v>
      </c>
      <c r="Q87" s="6">
        <f>[1]节奏总纲!Q87</f>
        <v>291.2594729565181</v>
      </c>
      <c r="R87" s="6">
        <f>[1]节奏总纲!R87</f>
        <v>237.27139072371298</v>
      </c>
      <c r="S87" s="6">
        <f>[1]节奏总纲!S87</f>
        <v>172.97741132107731</v>
      </c>
      <c r="T87" s="6">
        <f>[1]节奏总纲!T87</f>
        <v>95.64950314483248</v>
      </c>
      <c r="V87" s="2">
        <v>84</v>
      </c>
      <c r="W87" s="7">
        <f>[1]节奏总纲!W87</f>
        <v>22.621055341562055</v>
      </c>
      <c r="X87" s="7">
        <f>[1]节奏总纲!X87</f>
        <v>19.719775144291077</v>
      </c>
      <c r="Y87" s="7">
        <f>[1]节奏总纲!Y87</f>
        <v>15.716612409259056</v>
      </c>
      <c r="Z87" s="7">
        <f>[1]节奏总纲!Z87</f>
        <v>11.398252944554855</v>
      </c>
      <c r="AA87" s="7">
        <f>[1]节奏总纲!AA87</f>
        <v>6.4557970139852472</v>
      </c>
      <c r="AC87" s="2">
        <v>84</v>
      </c>
      <c r="AD87" s="7">
        <f>[1]节奏总纲!AD87</f>
        <v>64.090988120365651</v>
      </c>
      <c r="AE87" s="7">
        <f>[1]节奏总纲!AE87</f>
        <v>66.105889403880397</v>
      </c>
      <c r="AF87" s="7">
        <f>[1]节奏总纲!AF87</f>
        <v>69.01697485309198</v>
      </c>
      <c r="AG87" s="7">
        <f>[1]节奏总纲!AG87</f>
        <v>73.514782909236544</v>
      </c>
      <c r="AH87" s="7">
        <f>[1]节奏总纲!AH87</f>
        <v>82.128973371044353</v>
      </c>
      <c r="AZ87" s="2">
        <v>84</v>
      </c>
      <c r="BA87" s="7">
        <f>[1]节奏总纲!BA87</f>
        <v>36.863014124290601</v>
      </c>
      <c r="BB87" s="7">
        <f>[1]节奏总纲!BB87</f>
        <v>38.35066605767593</v>
      </c>
      <c r="BC87" s="7">
        <f>[1]节奏总纲!BC87</f>
        <v>40.28554255651148</v>
      </c>
      <c r="BD87" s="7">
        <f>[1]节奏总纲!BD87</f>
        <v>43.030177309109042</v>
      </c>
      <c r="BE87" s="7">
        <f>[1]节奏总纲!BE87</f>
        <v>47.7022976997416</v>
      </c>
    </row>
    <row r="88" spans="6:57" x14ac:dyDescent="0.15">
      <c r="F88" s="2">
        <v>86</v>
      </c>
      <c r="G88" s="2">
        <f t="shared" si="6"/>
        <v>387.02344102666189</v>
      </c>
      <c r="N88" s="11">
        <f>[1]节奏总纲!N88</f>
        <v>95</v>
      </c>
      <c r="O88" s="2">
        <v>85</v>
      </c>
      <c r="P88" s="6">
        <f>[1]节奏总纲!P88</f>
        <v>361.0386719675123</v>
      </c>
      <c r="Q88" s="6">
        <f>[1]节奏总纲!Q88</f>
        <v>311.72078937675008</v>
      </c>
      <c r="R88" s="6">
        <f>[1]节奏总纲!R88</f>
        <v>253.91849799475142</v>
      </c>
      <c r="S88" s="6">
        <f>[1]节奏总纲!S88</f>
        <v>185.57387739130132</v>
      </c>
      <c r="T88" s="6">
        <f>[1]节奏总纲!T88</f>
        <v>102.53498283877349</v>
      </c>
      <c r="V88" s="2">
        <v>85</v>
      </c>
      <c r="W88" s="7">
        <f>[1]节奏总纲!W88</f>
        <v>24.244646809651442</v>
      </c>
      <c r="X88" s="7">
        <f>[1]节奏总纲!X88</f>
        <v>20.461316420231981</v>
      </c>
      <c r="Y88" s="7">
        <f>[1]节奏总纲!Y88</f>
        <v>16.647107271038436</v>
      </c>
      <c r="Z88" s="7">
        <f>[1]节奏总纲!Z88</f>
        <v>12.596466070224011</v>
      </c>
      <c r="AA88" s="7">
        <f>[1]节奏总纲!AA88</f>
        <v>6.8854796939410079</v>
      </c>
      <c r="AC88" s="2">
        <v>85</v>
      </c>
      <c r="AD88" s="7">
        <f>[1]节奏总纲!AD88</f>
        <v>64.255972994404218</v>
      </c>
      <c r="AE88" s="7">
        <f>[1]节奏总纲!AE88</f>
        <v>66.269371604948859</v>
      </c>
      <c r="AF88" s="7">
        <f>[1]节奏总纲!AF88</f>
        <v>69.17795498031839</v>
      </c>
      <c r="AG88" s="7">
        <f>[1]节奏总纲!AG88</f>
        <v>73.683853145707943</v>
      </c>
      <c r="AH88" s="7">
        <f>[1]节奏总纲!AH88</f>
        <v>82.296681479091191</v>
      </c>
      <c r="AZ88" s="2">
        <v>85</v>
      </c>
      <c r="BA88" s="7">
        <f>[1]节奏总纲!BA88</f>
        <v>36.947184852926306</v>
      </c>
      <c r="BB88" s="7">
        <f>[1]节奏总纲!BB88</f>
        <v>38.428954215473325</v>
      </c>
      <c r="BC88" s="7">
        <f>[1]节奏总纲!BC88</f>
        <v>40.363241211344537</v>
      </c>
      <c r="BD88" s="7">
        <f>[1]节奏总纲!BD88</f>
        <v>43.105070725978337</v>
      </c>
      <c r="BE88" s="7">
        <f>[1]节奏总纲!BE88</f>
        <v>47.785447853033176</v>
      </c>
    </row>
    <row r="89" spans="6:57" x14ac:dyDescent="0.15">
      <c r="F89" s="2">
        <v>87</v>
      </c>
      <c r="G89" s="2">
        <f t="shared" si="6"/>
        <v>414.87322693439216</v>
      </c>
      <c r="N89" s="11">
        <f>[1]节奏总纲!N89</f>
        <v>96</v>
      </c>
      <c r="O89" s="2">
        <v>86</v>
      </c>
      <c r="P89" s="6">
        <f>[1]节奏总纲!P89</f>
        <v>387.02344102666189</v>
      </c>
      <c r="Q89" s="6">
        <f>[1]节奏总纲!Q89</f>
        <v>334.00122960600919</v>
      </c>
      <c r="R89" s="6">
        <f>[1]节奏总纲!R89</f>
        <v>272.23228841815398</v>
      </c>
      <c r="S89" s="6">
        <f>[1]节奏总纲!S89</f>
        <v>199.39447681693619</v>
      </c>
      <c r="T89" s="6">
        <f>[1]节奏总纲!T89</f>
        <v>108.94709864900531</v>
      </c>
      <c r="V89" s="2">
        <v>86</v>
      </c>
      <c r="W89" s="7">
        <f>[1]节奏总纲!W89</f>
        <v>25.984769059149585</v>
      </c>
      <c r="X89" s="7">
        <f>[1]节奏总纲!X89</f>
        <v>22.280440229259113</v>
      </c>
      <c r="Y89" s="7">
        <f>[1]节奏总纲!Y89</f>
        <v>18.313790423402565</v>
      </c>
      <c r="Z89" s="7">
        <f>[1]节奏总纲!Z89</f>
        <v>13.820599425634867</v>
      </c>
      <c r="AA89" s="7">
        <f>[1]节奏总纲!AA89</f>
        <v>6.4121158102318248</v>
      </c>
      <c r="AC89" s="2">
        <v>86</v>
      </c>
      <c r="AD89" s="7">
        <f>[1]节奏总纲!AD89</f>
        <v>64.420957868442798</v>
      </c>
      <c r="AE89" s="7">
        <f>[1]节奏总纲!AE89</f>
        <v>66.43285380601732</v>
      </c>
      <c r="AF89" s="7">
        <f>[1]节奏总纲!AF89</f>
        <v>69.338935107544785</v>
      </c>
      <c r="AG89" s="7">
        <f>[1]节奏总纲!AG89</f>
        <v>73.852923382179341</v>
      </c>
      <c r="AH89" s="7">
        <f>[1]节奏总纲!AH89</f>
        <v>82.464389587138029</v>
      </c>
      <c r="AZ89" s="2">
        <v>86</v>
      </c>
      <c r="BA89" s="7">
        <f>[1]节奏总纲!BA89</f>
        <v>37.027046282459708</v>
      </c>
      <c r="BB89" s="7">
        <f>[1]节奏总纲!BB89</f>
        <v>38.507242373270728</v>
      </c>
      <c r="BC89" s="7">
        <f>[1]节奏总纲!BC89</f>
        <v>40.440939866177594</v>
      </c>
      <c r="BD89" s="7">
        <f>[1]节奏总纲!BD89</f>
        <v>43.179964142847631</v>
      </c>
      <c r="BE89" s="7">
        <f>[1]节奏总纲!BE89</f>
        <v>47.868598006324753</v>
      </c>
    </row>
    <row r="90" spans="6:57" x14ac:dyDescent="0.15">
      <c r="F90" s="2">
        <v>88</v>
      </c>
      <c r="G90" s="2">
        <f t="shared" si="6"/>
        <v>444.72188840761549</v>
      </c>
      <c r="N90" s="11">
        <f>[1]节奏总纲!N90</f>
        <v>97</v>
      </c>
      <c r="O90" s="2">
        <v>87</v>
      </c>
      <c r="P90" s="6">
        <f>[1]节奏总纲!P90</f>
        <v>414.87322693439216</v>
      </c>
      <c r="Q90" s="6">
        <f>[1]节奏总纲!Q90</f>
        <v>358.28451878054108</v>
      </c>
      <c r="R90" s="6">
        <f>[1]节奏总纲!R90</f>
        <v>292.4026503433596</v>
      </c>
      <c r="S90" s="6">
        <f>[1]节奏总纲!S90</f>
        <v>212.58104148118252</v>
      </c>
      <c r="T90" s="6">
        <f>[1]节奏总纲!T90</f>
        <v>115.74963031469542</v>
      </c>
      <c r="V90" s="2">
        <v>87</v>
      </c>
      <c r="W90" s="7">
        <f>[1]节奏总纲!W90</f>
        <v>27.849785907730279</v>
      </c>
      <c r="X90" s="7">
        <f>[1]节奏总纲!X90</f>
        <v>24.283289174531888</v>
      </c>
      <c r="Y90" s="7">
        <f>[1]节奏总纲!Y90</f>
        <v>20.170361925205611</v>
      </c>
      <c r="Z90" s="7">
        <f>[1]节奏总纲!Z90</f>
        <v>13.186564664246333</v>
      </c>
      <c r="AA90" s="7">
        <f>[1]节奏总纲!AA90</f>
        <v>6.8025316656901111</v>
      </c>
      <c r="AC90" s="2">
        <v>87</v>
      </c>
      <c r="AD90" s="7">
        <f>[1]节奏总纲!AD90</f>
        <v>64.585942742481365</v>
      </c>
      <c r="AE90" s="7">
        <f>[1]节奏总纲!AE90</f>
        <v>66.596336007085796</v>
      </c>
      <c r="AF90" s="7">
        <f>[1]节奏总纲!AF90</f>
        <v>69.49991523477118</v>
      </c>
      <c r="AG90" s="7">
        <f>[1]节奏总纲!AG90</f>
        <v>74.02050499447661</v>
      </c>
      <c r="AH90" s="7">
        <f>[1]节奏总纲!AH90</f>
        <v>82.632097695184868</v>
      </c>
      <c r="AZ90" s="2">
        <v>87</v>
      </c>
      <c r="BA90" s="7">
        <f>[1]节奏总纲!BA90</f>
        <v>37.099649155317238</v>
      </c>
      <c r="BB90" s="7">
        <f>[1]节奏总纲!BB90</f>
        <v>38.58553053106813</v>
      </c>
      <c r="BC90" s="7">
        <f>[1]节奏总纲!BC90</f>
        <v>40.518638521010651</v>
      </c>
      <c r="BD90" s="7">
        <f>[1]节奏总纲!BD90</f>
        <v>43.254857559716925</v>
      </c>
      <c r="BE90" s="7">
        <f>[1]节奏总纲!BE90</f>
        <v>47.951748159616329</v>
      </c>
    </row>
    <row r="91" spans="6:57" x14ac:dyDescent="0.15">
      <c r="F91" s="2">
        <v>89</v>
      </c>
      <c r="G91" s="2">
        <f t="shared" si="6"/>
        <v>476.71289166684534</v>
      </c>
      <c r="N91" s="11">
        <f>[1]节奏总纲!N91</f>
        <v>98</v>
      </c>
      <c r="O91" s="2">
        <v>88</v>
      </c>
      <c r="P91" s="6">
        <f>[1]节奏总纲!P91</f>
        <v>444.72188840761549</v>
      </c>
      <c r="Q91" s="6">
        <f>[1]节奏总纲!Q91</f>
        <v>384.7733778502689</v>
      </c>
      <c r="R91" s="6">
        <f>[1]节奏总纲!R91</f>
        <v>312.90632068359827</v>
      </c>
      <c r="S91" s="6">
        <f>[1]节奏总纲!S91</f>
        <v>226.0076636887502</v>
      </c>
      <c r="T91" s="6">
        <f>[1]节奏总纲!T91</f>
        <v>123.1879630889095</v>
      </c>
      <c r="V91" s="2">
        <v>88</v>
      </c>
      <c r="W91" s="7">
        <f>[1]节奏总纲!W91</f>
        <v>29.848661473223331</v>
      </c>
      <c r="X91" s="7">
        <f>[1]节奏总纲!X91</f>
        <v>26.488859069727823</v>
      </c>
      <c r="Y91" s="7">
        <f>[1]节奏总纲!Y91</f>
        <v>20.503670340238671</v>
      </c>
      <c r="Z91" s="7">
        <f>[1]节奏总纲!Z91</f>
        <v>13.426622207567675</v>
      </c>
      <c r="AA91" s="7">
        <f>[1]节奏总纲!AA91</f>
        <v>7.438332774214075</v>
      </c>
      <c r="AC91" s="2">
        <v>88</v>
      </c>
      <c r="AD91" s="7">
        <f>[1]节奏总纲!AD91</f>
        <v>64.750927616519931</v>
      </c>
      <c r="AE91" s="7">
        <f>[1]节奏总纲!AE91</f>
        <v>66.759818208154257</v>
      </c>
      <c r="AF91" s="7">
        <f>[1]节奏总纲!AF91</f>
        <v>69.660895361997589</v>
      </c>
      <c r="AG91" s="7">
        <f>[1]节奏总纲!AG91</f>
        <v>74.178131818877702</v>
      </c>
      <c r="AH91" s="7">
        <f>[1]节奏总纲!AH91</f>
        <v>82.799805803231706</v>
      </c>
      <c r="AZ91" s="2">
        <v>88</v>
      </c>
      <c r="BA91" s="7">
        <f>[1]节奏总纲!BA91</f>
        <v>37.172252028174768</v>
      </c>
      <c r="BB91" s="7">
        <f>[1]节奏总纲!BB91</f>
        <v>38.663818688865533</v>
      </c>
      <c r="BC91" s="7">
        <f>[1]节奏总纲!BC91</f>
        <v>40.596337175843701</v>
      </c>
      <c r="BD91" s="7">
        <f>[1]节奏总纲!BD91</f>
        <v>43.329750976586219</v>
      </c>
      <c r="BE91" s="7">
        <f>[1]节奏总纲!BE91</f>
        <v>48.030128751164234</v>
      </c>
    </row>
    <row r="92" spans="6:57" x14ac:dyDescent="0.15">
      <c r="F92" s="2">
        <v>90</v>
      </c>
      <c r="G92" s="2">
        <f t="shared" si="6"/>
        <v>511</v>
      </c>
      <c r="N92" s="11">
        <f>[1]节奏总纲!N92</f>
        <v>99</v>
      </c>
      <c r="O92" s="2">
        <v>89</v>
      </c>
      <c r="P92" s="6">
        <f>[1]节奏总纲!P92</f>
        <v>476.71289166684534</v>
      </c>
      <c r="Q92" s="6">
        <f>[1]节奏总纲!Q92</f>
        <v>411.78459582182103</v>
      </c>
      <c r="R92" s="6">
        <f>[1]节奏总纲!R92</f>
        <v>332.60258451595797</v>
      </c>
      <c r="S92" s="6">
        <f>[1]节奏总纲!S92</f>
        <v>240.31096868925673</v>
      </c>
      <c r="T92" s="6">
        <f>[1]节奏总纲!T92</f>
        <v>130.61933231671563</v>
      </c>
      <c r="V92" s="2">
        <v>89</v>
      </c>
      <c r="W92" s="7">
        <f>[1]节奏总纲!W92</f>
        <v>31.991003259229842</v>
      </c>
      <c r="X92" s="7">
        <f>[1]节奏总纲!X92</f>
        <v>27.011217971552128</v>
      </c>
      <c r="Y92" s="7">
        <f>[1]节奏总纲!Y92</f>
        <v>19.696263832359705</v>
      </c>
      <c r="Z92" s="7">
        <f>[1]节奏总纲!Z92</f>
        <v>14.303305000506526</v>
      </c>
      <c r="AA92" s="7">
        <f>[1]节奏总纲!AA92</f>
        <v>7.4313692278061296</v>
      </c>
      <c r="AC92" s="2">
        <v>89</v>
      </c>
      <c r="AD92" s="7">
        <f>[1]节奏总纲!AD92</f>
        <v>64.915912490558512</v>
      </c>
      <c r="AE92" s="7">
        <f>[1]节奏总纲!AE92</f>
        <v>66.923300409222719</v>
      </c>
      <c r="AF92" s="7">
        <f>[1]节奏总纲!AF92</f>
        <v>69.821875489223984</v>
      </c>
      <c r="AG92" s="7">
        <f>[1]节奏总纲!AG92</f>
        <v>74.335758643278794</v>
      </c>
      <c r="AH92" s="7">
        <f>[1]节奏总纲!AH92</f>
        <v>82.967513911278544</v>
      </c>
      <c r="AZ92" s="2">
        <v>89</v>
      </c>
      <c r="BA92" s="7">
        <f>[1]节奏总纲!BA92</f>
        <v>37.244854901032298</v>
      </c>
      <c r="BB92" s="7">
        <f>[1]节奏总纲!BB92</f>
        <v>38.742106846662928</v>
      </c>
      <c r="BC92" s="7">
        <f>[1]节奏总纲!BC92</f>
        <v>40.674035830676758</v>
      </c>
      <c r="BD92" s="7">
        <f>[1]节奏总纲!BD92</f>
        <v>43.404644393455513</v>
      </c>
      <c r="BE92" s="7">
        <f>[1]节奏总纲!BE92</f>
        <v>48.101914750802706</v>
      </c>
    </row>
    <row r="93" spans="6:57" x14ac:dyDescent="0.15">
      <c r="F93" s="2">
        <v>91</v>
      </c>
      <c r="G93" s="2">
        <f t="shared" si="6"/>
        <v>547.74801281858208</v>
      </c>
      <c r="N93" s="11">
        <f>[1]节奏总纲!N93</f>
        <v>100</v>
      </c>
      <c r="O93" s="2">
        <v>90</v>
      </c>
      <c r="P93" s="6">
        <f>[1]节奏总纲!P93</f>
        <v>511</v>
      </c>
      <c r="Q93" s="6">
        <f>[1]节奏总纲!Q93</f>
        <v>438.13140000000004</v>
      </c>
      <c r="R93" s="6">
        <f>[1]节奏总纲!R93</f>
        <v>354.12299999999999</v>
      </c>
      <c r="S93" s="6">
        <f>[1]节奏总纲!S93</f>
        <v>254.88680000000002</v>
      </c>
      <c r="T93" s="6">
        <f>[1]节奏总纲!T93</f>
        <v>138.48100000000002</v>
      </c>
      <c r="V93" s="2">
        <v>90</v>
      </c>
      <c r="W93" s="7">
        <f>[1]节奏总纲!W93</f>
        <v>34.287108333154663</v>
      </c>
      <c r="X93" s="7">
        <f>[1]节奏总纲!X93</f>
        <v>26.346804178179013</v>
      </c>
      <c r="Y93" s="7">
        <f>[1]节奏总纲!Y93</f>
        <v>21.520415484042019</v>
      </c>
      <c r="Z93" s="7">
        <f>[1]节奏总纲!Z93</f>
        <v>14.575831310743297</v>
      </c>
      <c r="AA93" s="7">
        <f>[1]节奏总纲!AA93</f>
        <v>7.861667683284395</v>
      </c>
      <c r="AC93" s="2">
        <v>90</v>
      </c>
      <c r="AD93" s="7">
        <f>[1]节奏总纲!AD93</f>
        <v>65.075479910097457</v>
      </c>
      <c r="AE93" s="7">
        <f>[1]节奏总纲!AE93</f>
        <v>67.083433628014333</v>
      </c>
      <c r="AF93" s="7">
        <f>[1]节奏总纲!AF93</f>
        <v>69.982855616450394</v>
      </c>
      <c r="AG93" s="7">
        <f>[1]节奏总纲!AG93</f>
        <v>74.493385467679886</v>
      </c>
      <c r="AH93" s="7">
        <f>[1]节奏总纲!AH93</f>
        <v>83.124894550960335</v>
      </c>
      <c r="AZ93" s="2">
        <v>90</v>
      </c>
      <c r="BA93" s="7">
        <f>[1]节奏总纲!BA93</f>
        <v>37.317457773889828</v>
      </c>
      <c r="BB93" s="7">
        <f>[1]节奏总纲!BB93</f>
        <v>38.82039500446033</v>
      </c>
      <c r="BC93" s="7">
        <f>[1]节奏总纲!BC93</f>
        <v>40.751734485509814</v>
      </c>
      <c r="BD93" s="7">
        <f>[1]节奏总纲!BD93</f>
        <v>43.479537810324807</v>
      </c>
      <c r="BE93" s="7">
        <f>[1]节奏总纲!BE93</f>
        <v>48.173700750441178</v>
      </c>
    </row>
    <row r="94" spans="6:57" x14ac:dyDescent="0.15">
      <c r="F94" s="2">
        <v>92</v>
      </c>
      <c r="G94" s="2">
        <f t="shared" si="6"/>
        <v>587.1335577584814</v>
      </c>
      <c r="N94" s="11">
        <f>[1]节奏总纲!N94</f>
        <v>101</v>
      </c>
      <c r="O94" s="2">
        <v>91</v>
      </c>
      <c r="P94" s="6">
        <f>[1]节奏总纲!P94</f>
        <v>547.74801281858208</v>
      </c>
      <c r="Q94" s="6">
        <f>[1]节奏总纲!Q94</f>
        <v>469.6391461906523</v>
      </c>
      <c r="R94" s="6">
        <f>[1]节奏总纲!R94</f>
        <v>378.43910205635837</v>
      </c>
      <c r="S94" s="6">
        <f>[1]节奏总纲!S94</f>
        <v>272.61418597980827</v>
      </c>
      <c r="T94" s="6">
        <f>[1]节奏总纲!T94</f>
        <v>147.89196346101718</v>
      </c>
      <c r="V94" s="2">
        <v>91</v>
      </c>
      <c r="W94" s="7">
        <f>[1]节奏总纲!W94</f>
        <v>36.748012818582083</v>
      </c>
      <c r="X94" s="7">
        <f>[1]节奏总纲!X94</f>
        <v>31.507746190652256</v>
      </c>
      <c r="Y94" s="7">
        <f>[1]节奏总纲!Y94</f>
        <v>24.316102056358375</v>
      </c>
      <c r="Z94" s="7">
        <f>[1]节奏总纲!Z94</f>
        <v>17.727385979808247</v>
      </c>
      <c r="AA94" s="7">
        <f>[1]节奏总纲!AA94</f>
        <v>9.4109634610171611</v>
      </c>
      <c r="AC94" s="2">
        <v>91</v>
      </c>
      <c r="AD94" s="7">
        <f>[1]节奏总纲!AD94</f>
        <v>65.229416240679981</v>
      </c>
      <c r="AE94" s="7">
        <f>[1]节奏总纲!AE94</f>
        <v>67.240606973055961</v>
      </c>
      <c r="AF94" s="7">
        <f>[1]节奏总纲!AF94</f>
        <v>70.137942795989005</v>
      </c>
      <c r="AG94" s="7">
        <f>[1]节奏总纲!AG94</f>
        <v>74.651012292080978</v>
      </c>
      <c r="AH94" s="7">
        <f>[1]节奏总纲!AH94</f>
        <v>83.279794092850153</v>
      </c>
      <c r="AZ94" s="2">
        <v>91</v>
      </c>
      <c r="BA94" s="7">
        <f>[1]节奏总纲!BA94</f>
        <v>37.390060646747358</v>
      </c>
      <c r="BB94" s="7">
        <f>[1]节奏总纲!BB94</f>
        <v>38.898683162257733</v>
      </c>
      <c r="BC94" s="7">
        <f>[1]节奏总纲!BC94</f>
        <v>40.829433140342871</v>
      </c>
      <c r="BD94" s="7">
        <f>[1]节奏总纲!BD94</f>
        <v>43.554431227194108</v>
      </c>
      <c r="BE94" s="7">
        <f>[1]节奏总纲!BE94</f>
        <v>48.24548675007965</v>
      </c>
    </row>
    <row r="95" spans="6:57" x14ac:dyDescent="0.15">
      <c r="F95" s="2">
        <v>93</v>
      </c>
      <c r="G95" s="2">
        <f t="shared" si="6"/>
        <v>629.34593963259704</v>
      </c>
      <c r="N95" s="11">
        <f>[1]节奏总纲!N95</f>
        <v>102</v>
      </c>
      <c r="O95" s="2">
        <v>92</v>
      </c>
      <c r="P95" s="6">
        <f>[1]节奏总纲!P95</f>
        <v>587.1335577584814</v>
      </c>
      <c r="Q95" s="6">
        <f>[1]节奏总纲!Q95</f>
        <v>502.29275866238083</v>
      </c>
      <c r="R95" s="6">
        <f>[1]节奏总纲!R95</f>
        <v>405.12215485335213</v>
      </c>
      <c r="S95" s="6">
        <f>[1]节奏总纲!S95</f>
        <v>291.57052478286187</v>
      </c>
      <c r="T95" s="6">
        <f>[1]节奏总纲!T95</f>
        <v>157.64536025815227</v>
      </c>
      <c r="V95" s="2">
        <v>92</v>
      </c>
      <c r="W95" s="7">
        <f>[1]节奏总纲!W95</f>
        <v>39.385544939899319</v>
      </c>
      <c r="X95" s="7">
        <f>[1]节奏总纲!X95</f>
        <v>32.653612471728536</v>
      </c>
      <c r="Y95" s="7">
        <f>[1]节奏总纲!Y95</f>
        <v>26.683052796993763</v>
      </c>
      <c r="Z95" s="7">
        <f>[1]节奏总纲!Z95</f>
        <v>18.956338803053598</v>
      </c>
      <c r="AA95" s="7">
        <f>[1]节奏总纲!AA95</f>
        <v>9.7533967971350819</v>
      </c>
      <c r="AC95" s="2">
        <v>92</v>
      </c>
      <c r="AD95" s="7">
        <f>[1]节奏总纲!AD95</f>
        <v>65.38335257126252</v>
      </c>
      <c r="AE95" s="7">
        <f>[1]节奏总纲!AE95</f>
        <v>67.397780318097588</v>
      </c>
      <c r="AF95" s="7">
        <f>[1]节奏总纲!AF95</f>
        <v>70.292327570459079</v>
      </c>
      <c r="AG95" s="7">
        <f>[1]节奏总纲!AG95</f>
        <v>74.808639116482055</v>
      </c>
      <c r="AH95" s="7">
        <f>[1]节奏总纲!AH95</f>
        <v>83.434693634739986</v>
      </c>
      <c r="AZ95" s="2">
        <v>92</v>
      </c>
      <c r="BA95" s="7">
        <f>[1]节奏总纲!BA95</f>
        <v>37.462663519604888</v>
      </c>
      <c r="BB95" s="7">
        <f>[1]节奏总纲!BB95</f>
        <v>38.976971320055128</v>
      </c>
      <c r="BC95" s="7">
        <f>[1]节奏总纲!BC95</f>
        <v>40.907131795175928</v>
      </c>
      <c r="BD95" s="7">
        <f>[1]节奏总纲!BD95</f>
        <v>43.629324644063402</v>
      </c>
      <c r="BE95" s="7">
        <f>[1]节奏总纲!BE95</f>
        <v>48.317272749718121</v>
      </c>
    </row>
    <row r="96" spans="6:57" x14ac:dyDescent="0.15">
      <c r="F96" s="2">
        <v>94</v>
      </c>
      <c r="G96" s="2">
        <f t="shared" si="6"/>
        <v>674.58805031572183</v>
      </c>
      <c r="N96" s="11">
        <f>[1]节奏总纲!N96</f>
        <v>103</v>
      </c>
      <c r="O96" s="2">
        <v>93</v>
      </c>
      <c r="P96" s="6">
        <f>[1]节奏总纲!P96</f>
        <v>629.34593963259704</v>
      </c>
      <c r="Q96" s="6">
        <f>[1]节奏总纲!Q96</f>
        <v>538.34251676172357</v>
      </c>
      <c r="R96" s="6">
        <f>[1]节奏总纲!R96</f>
        <v>433.68228700082267</v>
      </c>
      <c r="S96" s="6">
        <f>[1]节奏总纲!S96</f>
        <v>311.52624011813555</v>
      </c>
      <c r="T96" s="6">
        <f>[1]节奏总纲!T96</f>
        <v>168.35003885171972</v>
      </c>
      <c r="V96" s="2">
        <v>93</v>
      </c>
      <c r="W96" s="7">
        <f>[1]节奏总纲!W96</f>
        <v>42.212381874115636</v>
      </c>
      <c r="X96" s="7">
        <f>[1]节奏总纲!X96</f>
        <v>36.049758099342739</v>
      </c>
      <c r="Y96" s="7">
        <f>[1]节奏总纲!Y96</f>
        <v>28.56013214747054</v>
      </c>
      <c r="Z96" s="7">
        <f>[1]节奏总纲!Z96</f>
        <v>19.95571533527368</v>
      </c>
      <c r="AA96" s="7">
        <f>[1]节奏总纲!AA96</f>
        <v>10.704678593567451</v>
      </c>
      <c r="AC96" s="2">
        <v>93</v>
      </c>
      <c r="AD96" s="7">
        <f>[1]节奏总纲!AD96</f>
        <v>65.537288901845059</v>
      </c>
      <c r="AE96" s="7">
        <f>[1]节奏总纲!AE96</f>
        <v>67.554953663139216</v>
      </c>
      <c r="AF96" s="7">
        <f>[1]节奏总纲!AF96</f>
        <v>70.446712344929153</v>
      </c>
      <c r="AG96" s="7">
        <f>[1]节奏总纲!AG96</f>
        <v>74.966265940883147</v>
      </c>
      <c r="AH96" s="7">
        <f>[1]节奏总纲!AH96</f>
        <v>83.589593176629805</v>
      </c>
      <c r="AZ96" s="2">
        <v>93</v>
      </c>
      <c r="BA96" s="7">
        <f>[1]节奏总纲!BA96</f>
        <v>37.535266392462418</v>
      </c>
      <c r="BB96" s="7">
        <f>[1]节奏总纲!BB96</f>
        <v>39.047673544184711</v>
      </c>
      <c r="BC96" s="7">
        <f>[1]节奏总纲!BC96</f>
        <v>40.984830450008985</v>
      </c>
      <c r="BD96" s="7">
        <f>[1]节奏总纲!BD96</f>
        <v>43.704218060932696</v>
      </c>
      <c r="BE96" s="7">
        <f>[1]节奏总纲!BE96</f>
        <v>48.389058749356593</v>
      </c>
    </row>
    <row r="97" spans="6:57" x14ac:dyDescent="0.15">
      <c r="F97" s="2">
        <v>95</v>
      </c>
      <c r="G97" s="2">
        <f t="shared" si="6"/>
        <v>723.0773439350246</v>
      </c>
      <c r="N97" s="11">
        <f>[1]节奏总纲!N97</f>
        <v>104</v>
      </c>
      <c r="O97" s="2">
        <v>94</v>
      </c>
      <c r="P97" s="6">
        <f>[1]节奏总纲!P97</f>
        <v>674.58805031572183</v>
      </c>
      <c r="Q97" s="6">
        <f>[1]节奏总纲!Q97</f>
        <v>576.30057138472114</v>
      </c>
      <c r="R97" s="6">
        <f>[1]节奏总纲!R97</f>
        <v>464.04911981218504</v>
      </c>
      <c r="S97" s="6">
        <f>[1]节奏总纲!S97</f>
        <v>332.70682641571403</v>
      </c>
      <c r="T97" s="6">
        <f>[1]节奏总纲!T97</f>
        <v>179.6427977990767</v>
      </c>
      <c r="V97" s="2">
        <v>94</v>
      </c>
      <c r="W97" s="7">
        <f>[1]节奏总纲!W97</f>
        <v>45.242110683124793</v>
      </c>
      <c r="X97" s="7">
        <f>[1]节奏总纲!X97</f>
        <v>37.958054622997565</v>
      </c>
      <c r="Y97" s="7">
        <f>[1]节奏总纲!Y97</f>
        <v>30.366832811362372</v>
      </c>
      <c r="Z97" s="7">
        <f>[1]节奏总纲!Z97</f>
        <v>21.180586297578486</v>
      </c>
      <c r="AA97" s="7">
        <f>[1]节奏总纲!AA97</f>
        <v>11.292758947356987</v>
      </c>
      <c r="AC97" s="2">
        <v>94</v>
      </c>
      <c r="AD97" s="7">
        <f>[1]节奏总纲!AD97</f>
        <v>65.691225232427584</v>
      </c>
      <c r="AE97" s="7">
        <f>[1]节奏总纲!AE97</f>
        <v>67.712127008180858</v>
      </c>
      <c r="AF97" s="7">
        <f>[1]节奏总纲!AF97</f>
        <v>70.601097119399213</v>
      </c>
      <c r="AG97" s="7">
        <f>[1]节奏总纲!AG97</f>
        <v>75.115180559621535</v>
      </c>
      <c r="AH97" s="7">
        <f>[1]节奏总纲!AH97</f>
        <v>83.744492718519624</v>
      </c>
      <c r="AZ97" s="2">
        <v>94</v>
      </c>
      <c r="BA97" s="7">
        <f>[1]节奏总纲!BA97</f>
        <v>37.607869265319941</v>
      </c>
      <c r="BB97" s="7">
        <f>[1]节奏总纲!BB97</f>
        <v>39.115214427575864</v>
      </c>
      <c r="BC97" s="7">
        <f>[1]节奏总纲!BC97</f>
        <v>41.053954370816207</v>
      </c>
      <c r="BD97" s="7">
        <f>[1]节奏总纲!BD97</f>
        <v>43.77911147780199</v>
      </c>
      <c r="BE97" s="7">
        <f>[1]节奏总纲!BE97</f>
        <v>48.460844748995065</v>
      </c>
    </row>
    <row r="98" spans="6:57" x14ac:dyDescent="0.15">
      <c r="F98" s="2">
        <v>96</v>
      </c>
      <c r="G98" s="2">
        <f t="shared" si="6"/>
        <v>775.04688205332377</v>
      </c>
      <c r="N98" s="11">
        <f>[1]节奏总纲!N98</f>
        <v>105</v>
      </c>
      <c r="O98" s="2">
        <v>95</v>
      </c>
      <c r="P98" s="6">
        <f>[1]节奏总纲!P98</f>
        <v>723.0773439350246</v>
      </c>
      <c r="Q98" s="6">
        <f>[1]节奏总纲!Q98</f>
        <v>618.15882133005255</v>
      </c>
      <c r="R98" s="6">
        <f>[1]节奏总纲!R98</f>
        <v>495.95875020503337</v>
      </c>
      <c r="S98" s="6">
        <f>[1]节奏总纲!S98</f>
        <v>355.39251454406457</v>
      </c>
      <c r="T98" s="6">
        <f>[1]节奏总纲!T98</f>
        <v>192.84472762747106</v>
      </c>
      <c r="V98" s="2">
        <v>95</v>
      </c>
      <c r="W98" s="7">
        <f>[1]节奏总纲!W98</f>
        <v>48.489293619302771</v>
      </c>
      <c r="X98" s="7">
        <f>[1]节奏总纲!X98</f>
        <v>41.858249945331409</v>
      </c>
      <c r="Y98" s="7">
        <f>[1]节奏总纲!Y98</f>
        <v>31.909630392848328</v>
      </c>
      <c r="Z98" s="7">
        <f>[1]节奏总纲!Z98</f>
        <v>22.685688128350534</v>
      </c>
      <c r="AA98" s="7">
        <f>[1]节奏总纲!AA98</f>
        <v>13.201929828394356</v>
      </c>
      <c r="AC98" s="2">
        <v>95</v>
      </c>
      <c r="AD98" s="7">
        <f>[1]节奏总纲!AD98</f>
        <v>65.845161563010123</v>
      </c>
      <c r="AE98" s="7">
        <f>[1]节奏总纲!AE98</f>
        <v>67.869300353222485</v>
      </c>
      <c r="AF98" s="7">
        <f>[1]节奏总纲!AF98</f>
        <v>70.755481893869288</v>
      </c>
      <c r="AG98" s="7">
        <f>[1]节奏总纲!AG98</f>
        <v>75.261722981240993</v>
      </c>
      <c r="AH98" s="7">
        <f>[1]节奏总纲!AH98</f>
        <v>83.899392260409456</v>
      </c>
      <c r="AZ98" s="2">
        <v>95</v>
      </c>
      <c r="BA98" s="7">
        <f>[1]节奏总纲!BA98</f>
        <v>37.680472138177471</v>
      </c>
      <c r="BB98" s="7">
        <f>[1]节奏总纲!BB98</f>
        <v>39.182755310967018</v>
      </c>
      <c r="BC98" s="7">
        <f>[1]节奏总纲!BC98</f>
        <v>41.120998062635785</v>
      </c>
      <c r="BD98" s="7">
        <f>[1]节奏总纲!BD98</f>
        <v>43.854004894671284</v>
      </c>
      <c r="BE98" s="7">
        <f>[1]节奏总纲!BE98</f>
        <v>48.532630748633537</v>
      </c>
    </row>
    <row r="99" spans="6:57" x14ac:dyDescent="0.15">
      <c r="F99" s="2">
        <v>97</v>
      </c>
      <c r="G99" s="2">
        <f t="shared" si="6"/>
        <v>830.74645386878444</v>
      </c>
      <c r="N99" s="11">
        <f>[1]节奏总纲!N99</f>
        <v>106</v>
      </c>
      <c r="O99" s="2">
        <v>96</v>
      </c>
      <c r="P99" s="6">
        <f>[1]节奏总纲!P99</f>
        <v>775.04688205332377</v>
      </c>
      <c r="Q99" s="6">
        <f>[1]节奏总纲!Q99</f>
        <v>661.0374857032798</v>
      </c>
      <c r="R99" s="6">
        <f>[1]节奏总纲!R99</f>
        <v>529.97705794806279</v>
      </c>
      <c r="S99" s="6">
        <f>[1]节奏总纲!S99</f>
        <v>380.70302846459265</v>
      </c>
      <c r="T99" s="6">
        <f>[1]节奏总纲!T99</f>
        <v>206.86001282003213</v>
      </c>
      <c r="V99" s="2">
        <v>96</v>
      </c>
      <c r="W99" s="7">
        <f>[1]节奏总纲!W99</f>
        <v>51.96953811829917</v>
      </c>
      <c r="X99" s="7">
        <f>[1]节奏总纲!X99</f>
        <v>42.878664373227252</v>
      </c>
      <c r="Y99" s="7">
        <f>[1]节奏总纲!Y99</f>
        <v>34.018307743029425</v>
      </c>
      <c r="Z99" s="7">
        <f>[1]节奏总纲!Z99</f>
        <v>25.310513920528081</v>
      </c>
      <c r="AA99" s="7">
        <f>[1]节奏总纲!AA99</f>
        <v>14.015285192561066</v>
      </c>
      <c r="AC99" s="2">
        <v>96</v>
      </c>
      <c r="AD99" s="7">
        <f>[1]节奏总纲!AD99</f>
        <v>65.999097893592648</v>
      </c>
      <c r="AE99" s="7">
        <f>[1]节奏总纲!AE99</f>
        <v>68.025215371037646</v>
      </c>
      <c r="AF99" s="7">
        <f>[1]节奏总纲!AF99</f>
        <v>70.909866668339362</v>
      </c>
      <c r="AG99" s="7">
        <f>[1]节奏总纲!AG99</f>
        <v>75.408265402860437</v>
      </c>
      <c r="AH99" s="7">
        <f>[1]节奏总纲!AH99</f>
        <v>84.050903767166133</v>
      </c>
      <c r="AZ99" s="2">
        <v>96</v>
      </c>
      <c r="BA99" s="7">
        <f>[1]节奏总纲!BA99</f>
        <v>37.753075011035001</v>
      </c>
      <c r="BB99" s="7">
        <f>[1]节奏总纲!BB99</f>
        <v>39.250296194358178</v>
      </c>
      <c r="BC99" s="7">
        <f>[1]节奏总纲!BC99</f>
        <v>41.188041754455355</v>
      </c>
      <c r="BD99" s="7">
        <f>[1]节奏总纲!BD99</f>
        <v>43.928898311540578</v>
      </c>
      <c r="BE99" s="7">
        <f>[1]节奏总纲!BE99</f>
        <v>48.604416748272008</v>
      </c>
    </row>
    <row r="100" spans="6:57" x14ac:dyDescent="0.15">
      <c r="F100" s="2">
        <v>98</v>
      </c>
      <c r="G100" s="2">
        <f t="shared" si="6"/>
        <v>890.4437768152311</v>
      </c>
      <c r="N100" s="11">
        <f>[1]节奏总纲!N100</f>
        <v>107</v>
      </c>
      <c r="O100" s="2">
        <v>97</v>
      </c>
      <c r="P100" s="6">
        <f>[1]节奏总纲!P100</f>
        <v>830.74645386878444</v>
      </c>
      <c r="Q100" s="6">
        <f>[1]节奏总纲!Q100</f>
        <v>707.71290405081743</v>
      </c>
      <c r="R100" s="6">
        <f>[1]节奏总纲!R100</f>
        <v>569.31054483627804</v>
      </c>
      <c r="S100" s="6">
        <f>[1]节奏总纲!S100</f>
        <v>409.80722569347137</v>
      </c>
      <c r="T100" s="6">
        <f>[1]节奏总纲!T100</f>
        <v>223.30464679992923</v>
      </c>
      <c r="V100" s="2">
        <v>97</v>
      </c>
      <c r="W100" s="7">
        <f>[1]节奏总纲!W100</f>
        <v>55.699571815460672</v>
      </c>
      <c r="X100" s="7">
        <f>[1]节奏总纲!X100</f>
        <v>46.675418347537629</v>
      </c>
      <c r="Y100" s="7">
        <f>[1]节奏总纲!Y100</f>
        <v>39.333486888215248</v>
      </c>
      <c r="Z100" s="7">
        <f>[1]节奏总纲!Z100</f>
        <v>29.104197228878718</v>
      </c>
      <c r="AA100" s="7">
        <f>[1]节奏总纲!AA100</f>
        <v>16.444633979897105</v>
      </c>
      <c r="AC100" s="2">
        <v>97</v>
      </c>
      <c r="AD100" s="7">
        <f>[1]节奏总纲!AD100</f>
        <v>66.142785979989682</v>
      </c>
      <c r="AE100" s="7">
        <f>[1]节奏总纲!AE100</f>
        <v>68.174918074940805</v>
      </c>
      <c r="AF100" s="7">
        <f>[1]节奏总纲!AF100</f>
        <v>71.061795050376986</v>
      </c>
      <c r="AG100" s="7">
        <f>[1]节奏总纲!AG100</f>
        <v>75.554807824479894</v>
      </c>
      <c r="AH100" s="7">
        <f>[1]节奏总纲!AH100</f>
        <v>84.196136930932482</v>
      </c>
      <c r="AZ100" s="2">
        <v>97</v>
      </c>
      <c r="BA100" s="7">
        <f>[1]节奏总纲!BA100</f>
        <v>37.825677883892531</v>
      </c>
      <c r="BB100" s="7">
        <f>[1]节奏总纲!BB100</f>
        <v>39.317837077749331</v>
      </c>
      <c r="BC100" s="7">
        <f>[1]节奏总纲!BC100</f>
        <v>41.255085446274933</v>
      </c>
      <c r="BD100" s="7">
        <f>[1]节奏总纲!BD100</f>
        <v>44.003272544984547</v>
      </c>
      <c r="BE100" s="7">
        <f>[1]节奏总纲!BE100</f>
        <v>48.67620274791048</v>
      </c>
    </row>
    <row r="101" spans="6:57" x14ac:dyDescent="0.15">
      <c r="F101" s="2">
        <v>99</v>
      </c>
      <c r="G101" s="2">
        <f t="shared" si="6"/>
        <v>954.42578333369079</v>
      </c>
      <c r="N101" s="11">
        <f>[1]节奏总纲!N101</f>
        <v>108</v>
      </c>
      <c r="O101" s="2">
        <v>98</v>
      </c>
      <c r="P101" s="6">
        <f>[1]节奏总纲!P101</f>
        <v>890.4437768152311</v>
      </c>
      <c r="Q101" s="6">
        <f>[1]节奏总纲!Q101</f>
        <v>760.34994102252585</v>
      </c>
      <c r="R101" s="6">
        <f>[1]节奏总纲!R101</f>
        <v>612.98149595960513</v>
      </c>
      <c r="S101" s="6">
        <f>[1]节奏总纲!S101</f>
        <v>441.9272464333992</v>
      </c>
      <c r="T101" s="6">
        <f>[1]节奏总纲!T101</f>
        <v>240.77599725083846</v>
      </c>
      <c r="V101" s="2">
        <v>98</v>
      </c>
      <c r="W101" s="7">
        <f>[1]节奏总纲!W101</f>
        <v>59.697322946446661</v>
      </c>
      <c r="X101" s="7">
        <f>[1]节奏总纲!X101</f>
        <v>52.637036971708426</v>
      </c>
      <c r="Y101" s="7">
        <f>[1]节奏总纲!Y101</f>
        <v>43.670951123327086</v>
      </c>
      <c r="Z101" s="7">
        <f>[1]节奏总纲!Z101</f>
        <v>32.120020739927838</v>
      </c>
      <c r="AA101" s="7">
        <f>[1]节奏总纲!AA101</f>
        <v>17.471350450909227</v>
      </c>
      <c r="AC101" s="2">
        <v>98</v>
      </c>
      <c r="AD101" s="7">
        <f>[1]节奏总纲!AD101</f>
        <v>66.286413655019302</v>
      </c>
      <c r="AE101" s="7">
        <f>[1]节奏总纲!AE101</f>
        <v>68.324620778843951</v>
      </c>
      <c r="AF101" s="7">
        <f>[1]节奏总纲!AF101</f>
        <v>71.210277551293188</v>
      </c>
      <c r="AG101" s="7">
        <f>[1]节奏总纲!AG101</f>
        <v>75.701350246099338</v>
      </c>
      <c r="AH101" s="7">
        <f>[1]节奏总纲!AH101</f>
        <v>84.341370094698831</v>
      </c>
      <c r="AZ101" s="2">
        <v>98</v>
      </c>
      <c r="BA101" s="7">
        <f>[1]节奏总纲!BA101</f>
        <v>37.898280756750061</v>
      </c>
      <c r="BB101" s="7">
        <f>[1]节奏总纲!BB101</f>
        <v>39.385377961140485</v>
      </c>
      <c r="BC101" s="7">
        <f>[1]节奏总纲!BC101</f>
        <v>41.322129138094503</v>
      </c>
      <c r="BD101" s="7">
        <f>[1]节奏总纲!BD101</f>
        <v>44.067911160744309</v>
      </c>
      <c r="BE101" s="7">
        <f>[1]节奏总纲!BE101</f>
        <v>48.747988747548945</v>
      </c>
    </row>
    <row r="102" spans="6:57" x14ac:dyDescent="0.15">
      <c r="F102" s="2">
        <v>100</v>
      </c>
      <c r="G102" s="2">
        <f t="shared" si="6"/>
        <v>1023</v>
      </c>
      <c r="N102" s="11">
        <f>[1]节奏总纲!N102</f>
        <v>109</v>
      </c>
      <c r="O102" s="2">
        <v>99</v>
      </c>
      <c r="P102" s="6">
        <f>[1]节奏总纲!P102</f>
        <v>954.42578333369079</v>
      </c>
      <c r="Q102" s="6">
        <f>[1]节奏总纲!Q102</f>
        <v>816.51125764197252</v>
      </c>
      <c r="R102" s="6">
        <f>[1]节奏总纲!R102</f>
        <v>658.6492330785801</v>
      </c>
      <c r="S102" s="6">
        <f>[1]节奏总纲!S102</f>
        <v>475.39948267851139</v>
      </c>
      <c r="T102" s="6">
        <f>[1]节奏总纲!T102</f>
        <v>257.59951892176309</v>
      </c>
      <c r="V102" s="2">
        <v>99</v>
      </c>
      <c r="W102" s="7">
        <f>[1]节奏总纲!W102</f>
        <v>63.982006518459684</v>
      </c>
      <c r="X102" s="7">
        <f>[1]节奏总纲!X102</f>
        <v>56.161316619446666</v>
      </c>
      <c r="Y102" s="7">
        <f>[1]节奏总纲!Y102</f>
        <v>45.667737118974969</v>
      </c>
      <c r="Z102" s="7">
        <f>[1]节奏总纲!Z102</f>
        <v>33.472236245112185</v>
      </c>
      <c r="AA102" s="7">
        <f>[1]节奏总纲!AA102</f>
        <v>16.823521670924634</v>
      </c>
      <c r="AC102" s="2">
        <v>99</v>
      </c>
      <c r="AD102" s="7">
        <f>[1]节奏总纲!AD102</f>
        <v>66.430041330048923</v>
      </c>
      <c r="AE102" s="7">
        <f>[1]节奏总纲!AE102</f>
        <v>68.474323482747096</v>
      </c>
      <c r="AF102" s="7">
        <f>[1]节奏总纲!AF102</f>
        <v>71.358760052209377</v>
      </c>
      <c r="AG102" s="7">
        <f>[1]节奏总纲!AG102</f>
        <v>75.847892667718796</v>
      </c>
      <c r="AH102" s="7">
        <f>[1]节奏总纲!AH102</f>
        <v>84.48660325846518</v>
      </c>
      <c r="AZ102" s="2">
        <v>99</v>
      </c>
      <c r="BA102" s="7">
        <f>[1]节奏总纲!BA102</f>
        <v>37.970883629607592</v>
      </c>
      <c r="BB102" s="7">
        <f>[1]节奏总纲!BB102</f>
        <v>39.452918844531645</v>
      </c>
      <c r="BC102" s="7">
        <f>[1]节奏总纲!BC102</f>
        <v>41.389172829914081</v>
      </c>
      <c r="BD102" s="7">
        <f>[1]节奏总纲!BD102</f>
        <v>44.132549776504064</v>
      </c>
      <c r="BE102" s="7">
        <f>[1]节奏总纲!BE102</f>
        <v>48.819774747187417</v>
      </c>
    </row>
    <row r="103" spans="6:57" x14ac:dyDescent="0.15">
      <c r="F103" s="2">
        <v>101</v>
      </c>
      <c r="G103" s="2">
        <f t="shared" si="6"/>
        <v>1096.4960256371633</v>
      </c>
      <c r="N103" s="11">
        <f>[1]节奏总纲!N103</f>
        <v>110</v>
      </c>
      <c r="O103" s="2">
        <v>100</v>
      </c>
      <c r="P103" s="6">
        <f>[1]节奏总纲!P103</f>
        <v>1023</v>
      </c>
      <c r="Q103" s="6">
        <f>[1]节奏总纲!Q103</f>
        <v>875.38110000000006</v>
      </c>
      <c r="R103" s="6">
        <f>[1]节奏总纲!R103</f>
        <v>706.6884</v>
      </c>
      <c r="S103" s="6">
        <f>[1]节奏总纲!S103</f>
        <v>508.22640000000001</v>
      </c>
      <c r="T103" s="6">
        <f>[1]节奏总纲!T103</f>
        <v>274.77780000000001</v>
      </c>
      <c r="V103" s="2">
        <v>100</v>
      </c>
      <c r="W103" s="7">
        <f>[1]节奏总纲!W103</f>
        <v>68.574216666309212</v>
      </c>
      <c r="X103" s="7">
        <f>[1]节奏总纲!X103</f>
        <v>58.86984235802754</v>
      </c>
      <c r="Y103" s="7">
        <f>[1]节奏总纲!Y103</f>
        <v>48.039166921419906</v>
      </c>
      <c r="Z103" s="7">
        <f>[1]节奏总纲!Z103</f>
        <v>32.826917321488622</v>
      </c>
      <c r="AA103" s="7">
        <f>[1]节奏总纲!AA103</f>
        <v>17.178281078236921</v>
      </c>
      <c r="AC103" s="2">
        <v>100</v>
      </c>
      <c r="AD103" s="7">
        <f>[1]节奏总纲!AD103</f>
        <v>66.573669005078543</v>
      </c>
      <c r="AE103" s="7">
        <f>[1]节奏总纲!AE103</f>
        <v>68.624026186650241</v>
      </c>
      <c r="AF103" s="7">
        <f>[1]节奏总纲!AF103</f>
        <v>71.507242553125565</v>
      </c>
      <c r="AG103" s="7">
        <f>[1]节奏总纲!AG103</f>
        <v>75.994435089338239</v>
      </c>
      <c r="AH103" s="7">
        <f>[1]节奏总纲!AH103</f>
        <v>84.63183642223153</v>
      </c>
      <c r="AZ103" s="2">
        <v>100</v>
      </c>
      <c r="BA103" s="7">
        <f>[1]节奏总纲!BA103</f>
        <v>38.037513426486328</v>
      </c>
      <c r="BB103" s="7">
        <f>[1]节奏总纲!BB103</f>
        <v>39.520459727922798</v>
      </c>
      <c r="BC103" s="7">
        <f>[1]节奏总纲!BC103</f>
        <v>41.456216521733651</v>
      </c>
      <c r="BD103" s="7">
        <f>[1]节奏总纲!BD103</f>
        <v>44.197188392263818</v>
      </c>
      <c r="BE103" s="7">
        <f>[1]节奏总纲!BE103</f>
        <v>48.891560746825888</v>
      </c>
    </row>
    <row r="104" spans="6:57" x14ac:dyDescent="0.15">
      <c r="F104" s="2">
        <v>102</v>
      </c>
      <c r="G104" s="2">
        <f t="shared" si="6"/>
        <v>1175.2671155169628</v>
      </c>
      <c r="N104" s="11">
        <f>[1]节奏总纲!N104</f>
        <v>111</v>
      </c>
      <c r="O104" s="2">
        <v>101</v>
      </c>
      <c r="P104" s="6">
        <f>[1]节奏总纲!P104</f>
        <v>1096.4960256371633</v>
      </c>
      <c r="Q104" s="6">
        <f>[1]节奏总纲!Q104</f>
        <v>939.14884595823037</v>
      </c>
      <c r="R104" s="6">
        <f>[1]节奏总纲!R104</f>
        <v>756.25330888195151</v>
      </c>
      <c r="S104" s="6">
        <f>[1]节奏总纲!S104</f>
        <v>541.99798547244984</v>
      </c>
      <c r="T104" s="6">
        <f>[1]节奏总纲!T104</f>
        <v>293.42233646050488</v>
      </c>
      <c r="V104" s="2">
        <v>101</v>
      </c>
      <c r="W104" s="7">
        <f>[1]节奏总纲!W104</f>
        <v>73.496025637163257</v>
      </c>
      <c r="X104" s="7">
        <f>[1]节奏总纲!X104</f>
        <v>63.767745958230307</v>
      </c>
      <c r="Y104" s="7">
        <f>[1]节奏总纲!Y104</f>
        <v>49.56490888195151</v>
      </c>
      <c r="Z104" s="7">
        <f>[1]节奏总纲!Z104</f>
        <v>33.771585472449829</v>
      </c>
      <c r="AA104" s="7">
        <f>[1]节奏总纲!AA104</f>
        <v>18.644536460504867</v>
      </c>
      <c r="AC104" s="2">
        <v>101</v>
      </c>
      <c r="AD104" s="7">
        <f>[1]节奏总纲!AD104</f>
        <v>66.717296680108163</v>
      </c>
      <c r="AE104" s="7">
        <f>[1]节奏总纲!AE104</f>
        <v>68.773728890553386</v>
      </c>
      <c r="AF104" s="7">
        <f>[1]节奏总纲!AF104</f>
        <v>71.655725054041767</v>
      </c>
      <c r="AG104" s="7">
        <f>[1]节奏总纲!AG104</f>
        <v>76.130305911210229</v>
      </c>
      <c r="AH104" s="7">
        <f>[1]节奏总纲!AH104</f>
        <v>84.777069585997879</v>
      </c>
      <c r="AZ104" s="2">
        <v>101</v>
      </c>
      <c r="BA104" s="7">
        <f>[1]节奏总纲!BA104</f>
        <v>38.100143952724252</v>
      </c>
      <c r="BB104" s="7">
        <f>[1]节奏总纲!BB104</f>
        <v>39.588000611313952</v>
      </c>
      <c r="BC104" s="7">
        <f>[1]节奏总纲!BC104</f>
        <v>41.523260213553229</v>
      </c>
      <c r="BD104" s="7">
        <f>[1]节奏总纲!BD104</f>
        <v>44.261827008023573</v>
      </c>
      <c r="BE104" s="7">
        <f>[1]节奏总纲!BE104</f>
        <v>48.96334674646436</v>
      </c>
    </row>
    <row r="105" spans="6:57" x14ac:dyDescent="0.15">
      <c r="F105" s="2">
        <v>103</v>
      </c>
      <c r="G105" s="2">
        <f t="shared" si="6"/>
        <v>1259.6918792651943</v>
      </c>
      <c r="N105" s="11">
        <f>[1]节奏总纲!N105</f>
        <v>112</v>
      </c>
      <c r="O105" s="2">
        <v>102</v>
      </c>
      <c r="P105" s="6">
        <f>[1]节奏总纲!P105</f>
        <v>1175.2671155169628</v>
      </c>
      <c r="Q105" s="6">
        <f>[1]节奏总纲!Q105</f>
        <v>1004.2657502092447</v>
      </c>
      <c r="R105" s="6">
        <f>[1]节奏总纲!R105</f>
        <v>806.23324124463659</v>
      </c>
      <c r="S105" s="6">
        <f>[1]节奏总纲!S105</f>
        <v>577.99636741124232</v>
      </c>
      <c r="T105" s="6">
        <f>[1]节奏总纲!T105</f>
        <v>313.56126641992563</v>
      </c>
      <c r="V105" s="2">
        <v>102</v>
      </c>
      <c r="W105" s="7">
        <f>[1]节奏总纲!W105</f>
        <v>78.771089879799547</v>
      </c>
      <c r="X105" s="7">
        <f>[1]节奏总纲!X105</f>
        <v>65.116904251014375</v>
      </c>
      <c r="Y105" s="7">
        <f>[1]节奏总纲!Y105</f>
        <v>49.979932362685076</v>
      </c>
      <c r="Z105" s="7">
        <f>[1]节奏总纲!Z105</f>
        <v>35.998381938792477</v>
      </c>
      <c r="AA105" s="7">
        <f>[1]节奏总纲!AA105</f>
        <v>20.13892995942075</v>
      </c>
      <c r="AC105" s="2">
        <v>102</v>
      </c>
      <c r="AD105" s="7">
        <f>[1]节奏总纲!AD105</f>
        <v>66.860924355137783</v>
      </c>
      <c r="AE105" s="7">
        <f>[1]节奏总纲!AE105</f>
        <v>68.923431594456531</v>
      </c>
      <c r="AF105" s="7">
        <f>[1]节奏总纲!AF105</f>
        <v>71.804207554957955</v>
      </c>
      <c r="AG105" s="7">
        <f>[1]节奏总纲!AG105</f>
        <v>76.265755485049056</v>
      </c>
      <c r="AH105" s="7">
        <f>[1]节奏总纲!AH105</f>
        <v>84.922302749764228</v>
      </c>
      <c r="AZ105" s="2">
        <v>102</v>
      </c>
      <c r="BA105" s="7">
        <f>[1]节奏总纲!BA105</f>
        <v>38.16277447896217</v>
      </c>
      <c r="BB105" s="7">
        <f>[1]节奏总纲!BB105</f>
        <v>39.655541494705105</v>
      </c>
      <c r="BC105" s="7">
        <f>[1]节奏总纲!BC105</f>
        <v>41.590303905372799</v>
      </c>
      <c r="BD105" s="7">
        <f>[1]节奏总纲!BD105</f>
        <v>44.326465623783335</v>
      </c>
      <c r="BE105" s="7">
        <f>[1]节奏总纲!BE105</f>
        <v>49.030333272797542</v>
      </c>
    </row>
    <row r="106" spans="6:57" x14ac:dyDescent="0.15">
      <c r="F106" s="2">
        <v>104</v>
      </c>
      <c r="G106" s="2">
        <f t="shared" si="6"/>
        <v>1350.1761006314437</v>
      </c>
      <c r="N106" s="11">
        <f>[1]节奏总纲!N106</f>
        <v>113</v>
      </c>
      <c r="O106" s="2">
        <v>103</v>
      </c>
      <c r="P106" s="6">
        <f>[1]节奏总纲!P106</f>
        <v>1259.6918792651943</v>
      </c>
      <c r="Q106" s="6">
        <f>[1]节奏总纲!Q106</f>
        <v>1073.383450321872</v>
      </c>
      <c r="R106" s="6">
        <f>[1]节奏总纲!R106</f>
        <v>861.50327622946634</v>
      </c>
      <c r="S106" s="6">
        <f>[1]节奏总纲!S106</f>
        <v>619.01258947091651</v>
      </c>
      <c r="T106" s="6">
        <f>[1]节奏总纲!T106</f>
        <v>335.8338550121008</v>
      </c>
      <c r="V106" s="2">
        <v>103</v>
      </c>
      <c r="W106" s="7">
        <f>[1]节奏总纲!W106</f>
        <v>84.424763748231499</v>
      </c>
      <c r="X106" s="7">
        <f>[1]节奏总纲!X106</f>
        <v>69.11770011262729</v>
      </c>
      <c r="Y106" s="7">
        <f>[1]节奏总纲!Y106</f>
        <v>55.270034984829749</v>
      </c>
      <c r="Z106" s="7">
        <f>[1]节奏总纲!Z106</f>
        <v>41.016222059674192</v>
      </c>
      <c r="AA106" s="7">
        <f>[1]节奏总纲!AA106</f>
        <v>22.272588592175168</v>
      </c>
      <c r="AC106" s="2">
        <v>103</v>
      </c>
      <c r="AD106" s="7">
        <f>[1]节奏总纲!AD106</f>
        <v>67.004247194324648</v>
      </c>
      <c r="AE106" s="7">
        <f>[1]节奏总纲!AE106</f>
        <v>69.0655056802525</v>
      </c>
      <c r="AF106" s="7">
        <f>[1]节奏总纲!AF106</f>
        <v>71.952690055874157</v>
      </c>
      <c r="AG106" s="7">
        <f>[1]节奏总纲!AG106</f>
        <v>76.401205058887882</v>
      </c>
      <c r="AH106" s="7">
        <f>[1]节奏总纲!AH106</f>
        <v>85.072521641060263</v>
      </c>
      <c r="AZ106" s="2">
        <v>103</v>
      </c>
      <c r="BA106" s="7">
        <f>[1]节奏总纲!BA106</f>
        <v>38.225405005200088</v>
      </c>
      <c r="BB106" s="7">
        <f>[1]节奏总纲!BB106</f>
        <v>39.723082378096265</v>
      </c>
      <c r="BC106" s="7">
        <f>[1]节奏总纲!BC106</f>
        <v>41.657347597192377</v>
      </c>
      <c r="BD106" s="7">
        <f>[1]节奏总纲!BD106</f>
        <v>44.39110423954309</v>
      </c>
      <c r="BE106" s="7">
        <f>[1]节奏总纲!BE106</f>
        <v>49.09231260978715</v>
      </c>
    </row>
    <row r="107" spans="6:57" x14ac:dyDescent="0.15">
      <c r="F107" s="2">
        <v>105</v>
      </c>
      <c r="G107" s="2">
        <f t="shared" si="6"/>
        <v>1447.1546878700494</v>
      </c>
      <c r="N107" s="11">
        <f>[1]节奏总纲!N107</f>
        <v>114</v>
      </c>
      <c r="O107" s="2">
        <v>104</v>
      </c>
      <c r="P107" s="6">
        <f>[1]节奏总纲!P107</f>
        <v>1350.1761006314437</v>
      </c>
      <c r="Q107" s="6">
        <f>[1]节奏总纲!Q107</f>
        <v>1150.7550905681794</v>
      </c>
      <c r="R107" s="6">
        <f>[1]节奏总纲!R107</f>
        <v>925.41069937279144</v>
      </c>
      <c r="S107" s="6">
        <f>[1]节奏总纲!S107</f>
        <v>665.09674717104917</v>
      </c>
      <c r="T107" s="6">
        <f>[1]节奏总纲!T107</f>
        <v>360.49701886859549</v>
      </c>
      <c r="V107" s="2">
        <v>104</v>
      </c>
      <c r="W107" s="7">
        <f>[1]节奏总纲!W107</f>
        <v>90.484221366249358</v>
      </c>
      <c r="X107" s="7">
        <f>[1]节奏总纲!X107</f>
        <v>77.371640246307379</v>
      </c>
      <c r="Y107" s="7">
        <f>[1]节奏总纲!Y107</f>
        <v>63.907423143325104</v>
      </c>
      <c r="Z107" s="7">
        <f>[1]节奏总纲!Z107</f>
        <v>46.084157700132664</v>
      </c>
      <c r="AA107" s="7">
        <f>[1]节奏总纲!AA107</f>
        <v>24.663163856494691</v>
      </c>
      <c r="AC107" s="2">
        <v>104</v>
      </c>
      <c r="AD107" s="7">
        <f>[1]节奏总纲!AD107</f>
        <v>67.138256553625013</v>
      </c>
      <c r="AE107" s="7">
        <f>[1]节奏总纲!AE107</f>
        <v>69.199592937186125</v>
      </c>
      <c r="AF107" s="7">
        <f>[1]节奏总纲!AF107</f>
        <v>72.093818006439079</v>
      </c>
      <c r="AG107" s="7">
        <f>[1]节奏总纲!AG107</f>
        <v>76.536654632726695</v>
      </c>
      <c r="AH107" s="7">
        <f>[1]节奏总纲!AH107</f>
        <v>85.228476403824274</v>
      </c>
      <c r="AZ107" s="2">
        <v>104</v>
      </c>
      <c r="BA107" s="7">
        <f>[1]节奏总纲!BA107</f>
        <v>38.288035531438013</v>
      </c>
      <c r="BB107" s="7">
        <f>[1]节奏总纲!BB107</f>
        <v>39.790623261487418</v>
      </c>
      <c r="BC107" s="7">
        <f>[1]节奏总纲!BC107</f>
        <v>41.724391289011947</v>
      </c>
      <c r="BD107" s="7">
        <f>[1]节奏总纲!BD107</f>
        <v>44.455742855302844</v>
      </c>
      <c r="BE107" s="7">
        <f>[1]节奏总纲!BE107</f>
        <v>49.154291946776759</v>
      </c>
    </row>
    <row r="108" spans="6:57" x14ac:dyDescent="0.15">
      <c r="F108" s="2">
        <v>106</v>
      </c>
      <c r="G108" s="2">
        <f t="shared" si="6"/>
        <v>1551.0937641066464</v>
      </c>
      <c r="N108" s="11">
        <f>[1]节奏总纲!N108</f>
        <v>115</v>
      </c>
      <c r="O108" s="2">
        <v>105</v>
      </c>
      <c r="P108" s="6">
        <f>[1]节奏总纲!P108</f>
        <v>1447.1546878700494</v>
      </c>
      <c r="Q108" s="6">
        <f>[1]节奏总纲!Q108</f>
        <v>1234.8570951595132</v>
      </c>
      <c r="R108" s="6">
        <f>[1]节奏总纲!R108</f>
        <v>993.18226228521496</v>
      </c>
      <c r="S108" s="6">
        <f>[1]节奏总纲!S108</f>
        <v>713.59197658872131</v>
      </c>
      <c r="T108" s="6">
        <f>[1]节奏总纲!T108</f>
        <v>386.39030166130323</v>
      </c>
      <c r="V108" s="2">
        <v>105</v>
      </c>
      <c r="W108" s="7">
        <f>[1]节奏总纲!W108</f>
        <v>96.978587238605769</v>
      </c>
      <c r="X108" s="7">
        <f>[1]节奏总纲!X108</f>
        <v>84.102004591333753</v>
      </c>
      <c r="Y108" s="7">
        <f>[1]节奏总纲!Y108</f>
        <v>67.771562912423519</v>
      </c>
      <c r="Z108" s="7">
        <f>[1]节奏总纲!Z108</f>
        <v>48.495229417672135</v>
      </c>
      <c r="AA108" s="7">
        <f>[1]节奏总纲!AA108</f>
        <v>25.893282792707737</v>
      </c>
      <c r="AC108" s="2">
        <v>105</v>
      </c>
      <c r="AD108" s="7">
        <f>[1]节奏总纲!AD108</f>
        <v>67.272265912925377</v>
      </c>
      <c r="AE108" s="7">
        <f>[1]节奏总纲!AE108</f>
        <v>69.333680194119751</v>
      </c>
      <c r="AF108" s="7">
        <f>[1]节奏总纲!AF108</f>
        <v>72.23150684883845</v>
      </c>
      <c r="AG108" s="7">
        <f>[1]节奏总纲!AG108</f>
        <v>76.672104206565521</v>
      </c>
      <c r="AH108" s="7">
        <f>[1]节奏总纲!AH108</f>
        <v>85.384431166588271</v>
      </c>
      <c r="AZ108" s="2">
        <v>105</v>
      </c>
      <c r="BA108" s="7">
        <f>[1]节奏总纲!BA108</f>
        <v>38.35066605767593</v>
      </c>
      <c r="BB108" s="7">
        <f>[1]节奏总纲!BB108</f>
        <v>39.858164144878572</v>
      </c>
      <c r="BC108" s="7">
        <f>[1]节奏总纲!BC108</f>
        <v>41.791434980831518</v>
      </c>
      <c r="BD108" s="7">
        <f>[1]节奏总纲!BD108</f>
        <v>44.520381471062606</v>
      </c>
      <c r="BE108" s="7">
        <f>[1]节奏总纲!BE108</f>
        <v>49.216271283766375</v>
      </c>
    </row>
    <row r="109" spans="6:57" x14ac:dyDescent="0.15">
      <c r="F109" s="2">
        <v>107</v>
      </c>
      <c r="G109" s="2">
        <f t="shared" si="6"/>
        <v>1662.4929077375689</v>
      </c>
      <c r="N109" s="11">
        <f>[1]节奏总纲!N109</f>
        <v>116</v>
      </c>
      <c r="O109" s="2">
        <v>106</v>
      </c>
      <c r="P109" s="6">
        <f>[1]节奏总纲!P109</f>
        <v>1551.0937641066464</v>
      </c>
      <c r="Q109" s="6">
        <f>[1]节奏总纲!Q109</f>
        <v>1324.4789651706653</v>
      </c>
      <c r="R109" s="6">
        <f>[1]节奏总纲!R109</f>
        <v>1064.6707596828021</v>
      </c>
      <c r="S109" s="6">
        <f>[1]节奏总纲!S109</f>
        <v>764.3790069517554</v>
      </c>
      <c r="T109" s="6">
        <f>[1]节奏总纲!T109</f>
        <v>412.59094125236794</v>
      </c>
      <c r="V109" s="2">
        <v>106</v>
      </c>
      <c r="W109" s="7">
        <f>[1]节奏总纲!W109</f>
        <v>103.93907623659697</v>
      </c>
      <c r="X109" s="7">
        <f>[1]节奏总纲!X109</f>
        <v>89.621870011152168</v>
      </c>
      <c r="Y109" s="7">
        <f>[1]节奏总纲!Y109</f>
        <v>71.488497397587139</v>
      </c>
      <c r="Z109" s="7">
        <f>[1]节奏总纲!Z109</f>
        <v>50.787030363034091</v>
      </c>
      <c r="AA109" s="7">
        <f>[1]节奏总纲!AA109</f>
        <v>26.200639591064714</v>
      </c>
      <c r="AC109" s="2">
        <v>106</v>
      </c>
      <c r="AD109" s="7">
        <f>[1]节奏总纲!AD109</f>
        <v>67.406275272225741</v>
      </c>
      <c r="AE109" s="7">
        <f>[1]节奏总纲!AE109</f>
        <v>69.467767451053362</v>
      </c>
      <c r="AF109" s="7">
        <f>[1]节奏总纲!AF109</f>
        <v>72.369195691237806</v>
      </c>
      <c r="AG109" s="7">
        <f>[1]节奏总纲!AG109</f>
        <v>76.807553780404334</v>
      </c>
      <c r="AH109" s="7">
        <f>[1]节奏总纲!AH109</f>
        <v>85.540385929352269</v>
      </c>
      <c r="AZ109" s="2">
        <v>106</v>
      </c>
      <c r="BA109" s="7">
        <f>[1]节奏总纲!BA109</f>
        <v>38.413296583913848</v>
      </c>
      <c r="BB109" s="7">
        <f>[1]节奏总纲!BB109</f>
        <v>39.925705028269732</v>
      </c>
      <c r="BC109" s="7">
        <f>[1]节奏总纲!BC109</f>
        <v>41.858478672651096</v>
      </c>
      <c r="BD109" s="7">
        <f>[1]节奏总纲!BD109</f>
        <v>44.585020086822361</v>
      </c>
      <c r="BE109" s="7">
        <f>[1]节奏总纲!BE109</f>
        <v>49.278250620755983</v>
      </c>
    </row>
    <row r="110" spans="6:57" x14ac:dyDescent="0.15">
      <c r="F110" s="2">
        <v>108</v>
      </c>
      <c r="G110" s="2">
        <f t="shared" si="6"/>
        <v>1781.8875536304624</v>
      </c>
      <c r="N110" s="11">
        <f>[1]节奏总纲!N110</f>
        <v>117</v>
      </c>
      <c r="O110" s="2">
        <v>107</v>
      </c>
      <c r="P110" s="6">
        <f>[1]节奏总纲!P110</f>
        <v>1662.4929077375689</v>
      </c>
      <c r="Q110" s="6">
        <f>[1]节奏总纲!Q110</f>
        <v>1418.9376967540152</v>
      </c>
      <c r="R110" s="6">
        <f>[1]节奏总纲!R110</f>
        <v>1141.6338797433884</v>
      </c>
      <c r="S110" s="6">
        <f>[1]节奏总纲!S110</f>
        <v>816.11776840837263</v>
      </c>
      <c r="T110" s="6">
        <f>[1]节奏总纲!T110</f>
        <v>440.22812196890823</v>
      </c>
      <c r="V110" s="2">
        <v>107</v>
      </c>
      <c r="W110" s="7">
        <f>[1]节奏总纲!W110</f>
        <v>111.39914363092248</v>
      </c>
      <c r="X110" s="7">
        <f>[1]节奏总纲!X110</f>
        <v>94.458731583349845</v>
      </c>
      <c r="Y110" s="7">
        <f>[1]节奏总纲!Y110</f>
        <v>76.963120060586334</v>
      </c>
      <c r="Z110" s="7">
        <f>[1]节奏总纲!Z110</f>
        <v>51.738761456617226</v>
      </c>
      <c r="AA110" s="7">
        <f>[1]节奏总纲!AA110</f>
        <v>27.637180716540286</v>
      </c>
      <c r="AC110" s="2">
        <v>107</v>
      </c>
      <c r="AD110" s="7">
        <f>[1]节奏总纲!AD110</f>
        <v>67.540284631526106</v>
      </c>
      <c r="AE110" s="7">
        <f>[1]节奏总纲!AE110</f>
        <v>69.601854707986988</v>
      </c>
      <c r="AF110" s="7">
        <f>[1]节奏总纲!AF110</f>
        <v>72.506884533637162</v>
      </c>
      <c r="AG110" s="7">
        <f>[1]节奏总纲!AG110</f>
        <v>76.94300335424316</v>
      </c>
      <c r="AH110" s="7">
        <f>[1]节奏总纲!AH110</f>
        <v>85.696340692116266</v>
      </c>
      <c r="AZ110" s="2">
        <v>107</v>
      </c>
      <c r="BA110" s="7">
        <f>[1]节奏总纲!BA110</f>
        <v>38.475927110151773</v>
      </c>
      <c r="BB110" s="7">
        <f>[1]节奏总纲!BB110</f>
        <v>39.993245911660885</v>
      </c>
      <c r="BC110" s="7">
        <f>[1]节奏总纲!BC110</f>
        <v>41.925522364470666</v>
      </c>
      <c r="BD110" s="7">
        <f>[1]节奏总纲!BD110</f>
        <v>44.649658702582116</v>
      </c>
      <c r="BE110" s="7">
        <f>[1]节奏总纲!BE110</f>
        <v>49.340229957745592</v>
      </c>
    </row>
    <row r="111" spans="6:57" x14ac:dyDescent="0.15">
      <c r="F111" s="2">
        <v>109</v>
      </c>
      <c r="G111" s="2">
        <f t="shared" si="6"/>
        <v>1909.8515666673818</v>
      </c>
      <c r="N111" s="11">
        <f>[1]节奏总纲!N111</f>
        <v>118</v>
      </c>
      <c r="O111" s="2">
        <v>108</v>
      </c>
      <c r="P111" s="6">
        <f>[1]节奏总纲!P111</f>
        <v>1781.8875536304624</v>
      </c>
      <c r="Q111" s="6">
        <f>[1]节奏总纲!Q111</f>
        <v>1520.8410270235997</v>
      </c>
      <c r="R111" s="6">
        <f>[1]节奏总纲!R111</f>
        <v>1218.0983316617842</v>
      </c>
      <c r="S111" s="6">
        <f>[1]节奏总纲!S111</f>
        <v>871.69939123602228</v>
      </c>
      <c r="T111" s="6">
        <f>[1]节奏总纲!T111</f>
        <v>471.13106917989433</v>
      </c>
      <c r="V111" s="2">
        <v>108</v>
      </c>
      <c r="W111" s="7">
        <f>[1]节奏总纲!W111</f>
        <v>119.39464589289355</v>
      </c>
      <c r="X111" s="7">
        <f>[1]节奏总纲!X111</f>
        <v>101.90333026958456</v>
      </c>
      <c r="Y111" s="7">
        <f>[1]节奏总纲!Y111</f>
        <v>76.464451918395753</v>
      </c>
      <c r="Z111" s="7">
        <f>[1]节奏总纲!Z111</f>
        <v>55.581622827649653</v>
      </c>
      <c r="AA111" s="7">
        <f>[1]节奏总纲!AA111</f>
        <v>30.902947210986099</v>
      </c>
      <c r="AC111" s="2">
        <v>108</v>
      </c>
      <c r="AD111" s="7">
        <f>[1]节奏总纲!AD111</f>
        <v>67.674293990826456</v>
      </c>
      <c r="AE111" s="7">
        <f>[1]节奏总纲!AE111</f>
        <v>69.735941964920613</v>
      </c>
      <c r="AF111" s="7">
        <f>[1]节奏总纲!AF111</f>
        <v>72.644573376036519</v>
      </c>
      <c r="AG111" s="7">
        <f>[1]节奏总纲!AG111</f>
        <v>77.074762810762508</v>
      </c>
      <c r="AH111" s="7">
        <f>[1]节奏总纲!AH111</f>
        <v>85.852295454880277</v>
      </c>
      <c r="AZ111" s="2">
        <v>108</v>
      </c>
      <c r="BA111" s="7">
        <f>[1]节奏总纲!BA111</f>
        <v>38.53855763638969</v>
      </c>
      <c r="BB111" s="7">
        <f>[1]节奏总纲!BB111</f>
        <v>40.052446592012309</v>
      </c>
      <c r="BC111" s="7">
        <f>[1]节奏总纲!BC111</f>
        <v>41.992566056290244</v>
      </c>
      <c r="BD111" s="7">
        <f>[1]节奏总纲!BD111</f>
        <v>44.71429731834187</v>
      </c>
      <c r="BE111" s="7">
        <f>[1]节奏总纲!BE111</f>
        <v>49.402209294735208</v>
      </c>
    </row>
    <row r="112" spans="6:57" x14ac:dyDescent="0.15">
      <c r="F112" s="2">
        <v>110</v>
      </c>
      <c r="G112" s="2">
        <f t="shared" si="6"/>
        <v>2047</v>
      </c>
      <c r="N112" s="11">
        <f>[1]节奏总纲!N112</f>
        <v>119</v>
      </c>
      <c r="O112" s="2">
        <v>109</v>
      </c>
      <c r="P112" s="6">
        <f>[1]节奏总纲!P112</f>
        <v>1909.8515666673818</v>
      </c>
      <c r="Q112" s="6">
        <f>[1]节奏总纲!Q112</f>
        <v>1624.7107277639418</v>
      </c>
      <c r="R112" s="6">
        <f>[1]节奏总纲!R112</f>
        <v>1301.5638426838207</v>
      </c>
      <c r="S112" s="6">
        <f>[1]节奏总纲!S112</f>
        <v>931.81657937701561</v>
      </c>
      <c r="T112" s="6">
        <f>[1]节奏总纲!T112</f>
        <v>504.58278391352223</v>
      </c>
      <c r="V112" s="2">
        <v>109</v>
      </c>
      <c r="W112" s="7">
        <f>[1]节奏总纲!W112</f>
        <v>127.96401303691937</v>
      </c>
      <c r="X112" s="7">
        <f>[1]节奏总纲!X112</f>
        <v>103.86970074034207</v>
      </c>
      <c r="Y112" s="7">
        <f>[1]节奏总纲!Y112</f>
        <v>83.46551102203648</v>
      </c>
      <c r="Z112" s="7">
        <f>[1]节奏总纲!Z112</f>
        <v>60.117188140993335</v>
      </c>
      <c r="AA112" s="7">
        <f>[1]节奏总纲!AA112</f>
        <v>33.451714733627909</v>
      </c>
      <c r="AC112" s="2">
        <v>109</v>
      </c>
      <c r="AD112" s="7">
        <f>[1]节奏总纲!AD112</f>
        <v>67.80830335012682</v>
      </c>
      <c r="AE112" s="7">
        <f>[1]节奏总纲!AE112</f>
        <v>69.870029221854239</v>
      </c>
      <c r="AF112" s="7">
        <f>[1]节奏总纲!AF112</f>
        <v>72.782262218435889</v>
      </c>
      <c r="AG112" s="7">
        <f>[1]节奏总纲!AG112</f>
        <v>77.203841369133116</v>
      </c>
      <c r="AH112" s="7">
        <f>[1]节奏总纲!AH112</f>
        <v>86.007776715139968</v>
      </c>
      <c r="AZ112" s="2">
        <v>109</v>
      </c>
      <c r="BA112" s="7">
        <f>[1]节奏总纲!BA112</f>
        <v>38.601188162627608</v>
      </c>
      <c r="BB112" s="7">
        <f>[1]节奏总纲!BB112</f>
        <v>40.110720583137102</v>
      </c>
      <c r="BC112" s="7">
        <f>[1]节奏总纲!BC112</f>
        <v>42.051439554347354</v>
      </c>
      <c r="BD112" s="7">
        <f>[1]节奏总纲!BD112</f>
        <v>44.778935934101632</v>
      </c>
      <c r="BE112" s="7">
        <f>[1]节奏总纲!BE112</f>
        <v>49.464188631724817</v>
      </c>
    </row>
    <row r="113" spans="6:57" x14ac:dyDescent="0.15">
      <c r="F113" s="2">
        <v>111</v>
      </c>
      <c r="G113" s="2">
        <f t="shared" si="6"/>
        <v>2193.9920512743265</v>
      </c>
      <c r="N113" s="11">
        <f>[1]节奏总纲!N113</f>
        <v>120</v>
      </c>
      <c r="O113" s="2">
        <v>110</v>
      </c>
      <c r="P113" s="6">
        <f>[1]节奏总纲!P113</f>
        <v>2047</v>
      </c>
      <c r="Q113" s="6">
        <f>[1]节奏总纲!Q113</f>
        <v>1741.3829000000001</v>
      </c>
      <c r="R113" s="6">
        <f>[1]节奏总纲!R113</f>
        <v>1397.2821999999999</v>
      </c>
      <c r="S113" s="6">
        <f>[1]节奏总纲!S113</f>
        <v>1001.3924000000001</v>
      </c>
      <c r="T113" s="6">
        <f>[1]节奏总纲!T113</f>
        <v>542.04559999999992</v>
      </c>
      <c r="V113" s="2">
        <v>110</v>
      </c>
      <c r="W113" s="7">
        <f>[1]节奏总纲!W113</f>
        <v>137.1484333326182</v>
      </c>
      <c r="X113" s="7">
        <f>[1]节奏总纲!X113</f>
        <v>116.67217223605826</v>
      </c>
      <c r="Y113" s="7">
        <f>[1]节奏总纲!Y113</f>
        <v>95.718357316179208</v>
      </c>
      <c r="Z113" s="7">
        <f>[1]节奏总纲!Z113</f>
        <v>69.575820622984452</v>
      </c>
      <c r="AA113" s="7">
        <f>[1]节奏总纲!AA113</f>
        <v>37.462816086477687</v>
      </c>
      <c r="AC113" s="2">
        <v>110</v>
      </c>
      <c r="AD113" s="7">
        <f>[1]节奏总纲!AD113</f>
        <v>67.942312709427185</v>
      </c>
      <c r="AE113" s="7">
        <f>[1]节奏总纲!AE113</f>
        <v>70.003807055133578</v>
      </c>
      <c r="AF113" s="7">
        <f>[1]节奏总纲!AF113</f>
        <v>72.919951060835245</v>
      </c>
      <c r="AG113" s="7">
        <f>[1]节奏总纲!AG113</f>
        <v>77.332919927503724</v>
      </c>
      <c r="AH113" s="7">
        <f>[1]节奏总纲!AH113</f>
        <v>86.154780808490045</v>
      </c>
      <c r="AZ113" s="2">
        <v>110</v>
      </c>
      <c r="BA113" s="7">
        <f>[1]节奏总纲!BA113</f>
        <v>38.663818688865533</v>
      </c>
      <c r="BB113" s="7">
        <f>[1]节奏总纲!BB113</f>
        <v>40.168994574261895</v>
      </c>
      <c r="BC113" s="7">
        <f>[1]节奏总纲!BC113</f>
        <v>42.109294145892463</v>
      </c>
      <c r="BD113" s="7">
        <f>[1]节奏总纲!BD113</f>
        <v>44.843574549861387</v>
      </c>
      <c r="BE113" s="7">
        <f>[1]节奏总纲!BE113</f>
        <v>49.526167968714425</v>
      </c>
    </row>
    <row r="114" spans="6:57" x14ac:dyDescent="0.15">
      <c r="F114" s="2">
        <v>112</v>
      </c>
      <c r="G114" s="2">
        <f t="shared" si="6"/>
        <v>2351.5342310339256</v>
      </c>
      <c r="AC114" s="2">
        <v>111</v>
      </c>
      <c r="AD114" s="7">
        <f>[1]节奏总纲!AD114</f>
        <v>68.071211008105138</v>
      </c>
      <c r="AE114" s="7">
        <f>[1]节奏总纲!AE114</f>
        <v>70.127815365673797</v>
      </c>
      <c r="AF114" s="7">
        <f>[1]节奏总纲!AF114</f>
        <v>73.051543220271398</v>
      </c>
      <c r="AG114" s="7">
        <f>[1]节奏总纲!AG114</f>
        <v>77.461998485874332</v>
      </c>
      <c r="AH114" s="7">
        <f>[1]节奏总纲!AH114</f>
        <v>86.301784901840136</v>
      </c>
      <c r="AZ114" s="2">
        <v>111</v>
      </c>
      <c r="BA114" s="7">
        <f>[1]节奏总纲!BA114</f>
        <v>38.72644921510345</v>
      </c>
      <c r="BB114" s="7">
        <f>[1]节奏总纲!BB114</f>
        <v>40.227268565386687</v>
      </c>
      <c r="BC114" s="7">
        <f>[1]节奏总纲!BC114</f>
        <v>42.167148737437572</v>
      </c>
      <c r="BD114" s="7">
        <f>[1]节奏总纲!BD114</f>
        <v>44.908213165621142</v>
      </c>
      <c r="BE114" s="7">
        <f>[1]节奏总纲!BE114</f>
        <v>49.588147305704041</v>
      </c>
    </row>
    <row r="115" spans="6:57" x14ac:dyDescent="0.15">
      <c r="F115" s="2">
        <v>113</v>
      </c>
      <c r="G115" s="2">
        <f t="shared" si="6"/>
        <v>2520.3837585303886</v>
      </c>
      <c r="AC115" s="2">
        <v>112</v>
      </c>
      <c r="AD115" s="7">
        <f>[1]节奏总纲!AD115</f>
        <v>68.196246161507091</v>
      </c>
      <c r="AE115" s="7">
        <f>[1]节奏总纲!AE115</f>
        <v>70.251823676214016</v>
      </c>
      <c r="AF115" s="7">
        <f>[1]节奏总纲!AF115</f>
        <v>73.174668450093861</v>
      </c>
      <c r="AG115" s="7">
        <f>[1]节奏总纲!AG115</f>
        <v>77.591077044244926</v>
      </c>
      <c r="AH115" s="7">
        <f>[1]节奏总纲!AH115</f>
        <v>86.448788995190213</v>
      </c>
      <c r="AZ115" s="2">
        <v>112</v>
      </c>
      <c r="BA115" s="7">
        <f>[1]节奏总纲!BA115</f>
        <v>38.789079741341368</v>
      </c>
      <c r="BB115" s="7">
        <f>[1]节奏总纲!BB115</f>
        <v>40.28554255651148</v>
      </c>
      <c r="BC115" s="7">
        <f>[1]节奏总纲!BC115</f>
        <v>42.225003328982673</v>
      </c>
      <c r="BD115" s="7">
        <f>[1]节奏总纲!BD115</f>
        <v>44.972851781380903</v>
      </c>
      <c r="BE115" s="7">
        <f>[1]节奏总纲!BE115</f>
        <v>49.65012664269365</v>
      </c>
    </row>
    <row r="116" spans="6:57" x14ac:dyDescent="0.15">
      <c r="F116" s="2">
        <v>114</v>
      </c>
      <c r="G116" s="2">
        <f t="shared" si="6"/>
        <v>2701.3522012628878</v>
      </c>
      <c r="AC116" s="2">
        <v>113</v>
      </c>
      <c r="AD116" s="7">
        <f>[1]节奏总纲!AD116</f>
        <v>68.321281314909029</v>
      </c>
      <c r="AE116" s="7">
        <f>[1]节奏总纲!AE116</f>
        <v>70.375831986754235</v>
      </c>
      <c r="AF116" s="7">
        <f>[1]节奏总纲!AF116</f>
        <v>73.297793679916325</v>
      </c>
      <c r="AG116" s="7">
        <f>[1]节奏总纲!AG116</f>
        <v>77.720155602615534</v>
      </c>
      <c r="AH116" s="7">
        <f>[1]节奏总纲!AH116</f>
        <v>86.595793088540304</v>
      </c>
      <c r="AZ116" s="2">
        <v>113</v>
      </c>
      <c r="BA116" s="7">
        <f>[1]节奏总纲!BA116</f>
        <v>38.851710267579293</v>
      </c>
      <c r="BB116" s="7">
        <f>[1]节奏总纲!BB116</f>
        <v>40.343816547636273</v>
      </c>
      <c r="BC116" s="7">
        <f>[1]节奏总纲!BC116</f>
        <v>42.282857920527782</v>
      </c>
      <c r="BD116" s="7">
        <f>[1]节奏总纲!BD116</f>
        <v>45.032359480672049</v>
      </c>
      <c r="BE116" s="7">
        <f>[1]节奏总纲!BE116</f>
        <v>49.712105979683258</v>
      </c>
    </row>
    <row r="117" spans="6:57" x14ac:dyDescent="0.15">
      <c r="F117" s="2">
        <v>115</v>
      </c>
      <c r="G117" s="2">
        <f t="shared" si="6"/>
        <v>2895.3093757400989</v>
      </c>
      <c r="AC117" s="2">
        <v>114</v>
      </c>
      <c r="AD117" s="7">
        <f>[1]节奏总纲!AD117</f>
        <v>68.446316468310982</v>
      </c>
      <c r="AE117" s="7">
        <f>[1]节奏总纲!AE117</f>
        <v>70.499840297294455</v>
      </c>
      <c r="AF117" s="7">
        <f>[1]节奏总纲!AF117</f>
        <v>73.420918909738774</v>
      </c>
      <c r="AG117" s="7">
        <f>[1]节奏总纲!AG117</f>
        <v>77.849234160986143</v>
      </c>
      <c r="AH117" s="7">
        <f>[1]节奏总纲!AH117</f>
        <v>86.742797181890381</v>
      </c>
      <c r="AZ117" s="2">
        <v>114</v>
      </c>
      <c r="BA117" s="7">
        <f>[1]节奏总纲!BA117</f>
        <v>38.91434079381721</v>
      </c>
      <c r="BB117" s="7">
        <f>[1]节奏总纲!BB117</f>
        <v>40.402090538761065</v>
      </c>
      <c r="BC117" s="7">
        <f>[1]节奏总纲!BC117</f>
        <v>42.340712512072891</v>
      </c>
      <c r="BD117" s="7">
        <f>[1]节奏总纲!BD117</f>
        <v>45.088151688727308</v>
      </c>
      <c r="BE117" s="7">
        <f>[1]节奏总纲!BE117</f>
        <v>49.774085316672867</v>
      </c>
    </row>
    <row r="118" spans="6:57" x14ac:dyDescent="0.15">
      <c r="F118" s="2">
        <v>116</v>
      </c>
      <c r="G118" s="2">
        <f t="shared" si="6"/>
        <v>3103.1875282132928</v>
      </c>
      <c r="AC118" s="2">
        <v>115</v>
      </c>
      <c r="AD118" s="7">
        <f>[1]节奏总纲!AD118</f>
        <v>68.571351621712935</v>
      </c>
      <c r="AE118" s="7">
        <f>[1]节奏总纲!AE118</f>
        <v>70.623848607834674</v>
      </c>
      <c r="AF118" s="7">
        <f>[1]节奏总纲!AF118</f>
        <v>73.544044139561237</v>
      </c>
      <c r="AG118" s="7">
        <f>[1]节奏总纲!AG118</f>
        <v>77.978312719356751</v>
      </c>
      <c r="AH118" s="7">
        <f>[1]节奏总纲!AH118</f>
        <v>86.889801275240458</v>
      </c>
      <c r="AZ118" s="2">
        <v>115</v>
      </c>
      <c r="BA118" s="7">
        <f>[1]节奏总纲!BA118</f>
        <v>38.976971320055128</v>
      </c>
      <c r="BB118" s="7">
        <f>[1]节奏总纲!BB118</f>
        <v>40.460364529885858</v>
      </c>
      <c r="BC118" s="7">
        <f>[1]节奏总纲!BC118</f>
        <v>42.398567103617999</v>
      </c>
      <c r="BD118" s="7">
        <f>[1]节奏总纲!BD118</f>
        <v>45.143943896782567</v>
      </c>
      <c r="BE118" s="7">
        <f>[1]节奏总纲!BE118</f>
        <v>49.836064653662483</v>
      </c>
    </row>
    <row r="119" spans="6:57" x14ac:dyDescent="0.15">
      <c r="F119" s="2">
        <v>117</v>
      </c>
      <c r="G119" s="2">
        <f t="shared" si="6"/>
        <v>3325.985815475135</v>
      </c>
      <c r="AC119" s="2">
        <v>116</v>
      </c>
      <c r="AD119" s="7">
        <f>[1]节奏总纲!AD119</f>
        <v>68.696386775114874</v>
      </c>
      <c r="AE119" s="7">
        <f>[1]节奏总纲!AE119</f>
        <v>70.747856918374893</v>
      </c>
      <c r="AF119" s="7">
        <f>[1]节奏总纲!AF119</f>
        <v>73.667169369383686</v>
      </c>
      <c r="AG119" s="7">
        <f>[1]节奏总纲!AG119</f>
        <v>78.10469841238104</v>
      </c>
      <c r="AH119" s="7">
        <f>[1]节奏总纲!AH119</f>
        <v>87.033659382136349</v>
      </c>
      <c r="AZ119" s="2">
        <v>116</v>
      </c>
      <c r="BA119" s="7">
        <f>[1]节奏总纲!BA119</f>
        <v>39.034165367506482</v>
      </c>
      <c r="BB119" s="7">
        <f>[1]节奏总纲!BB119</f>
        <v>40.518638521010644</v>
      </c>
      <c r="BC119" s="7">
        <f>[1]节奏总纲!BC119</f>
        <v>42.456421695163108</v>
      </c>
      <c r="BD119" s="7">
        <f>[1]节奏总纲!BD119</f>
        <v>45.199736104837825</v>
      </c>
      <c r="BE119" s="7">
        <f>[1]节奏总纲!BE119</f>
        <v>49.898043990652091</v>
      </c>
    </row>
    <row r="120" spans="6:57" x14ac:dyDescent="0.15">
      <c r="F120" s="2">
        <v>118</v>
      </c>
      <c r="G120" s="2">
        <f t="shared" si="6"/>
        <v>3564.7751072609281</v>
      </c>
      <c r="AC120" s="2">
        <v>117</v>
      </c>
      <c r="AD120" s="7">
        <f>[1]节奏总纲!AD120</f>
        <v>68.821421928516827</v>
      </c>
      <c r="AE120" s="7">
        <f>[1]节奏总纲!AE120</f>
        <v>70.871865228915112</v>
      </c>
      <c r="AF120" s="7">
        <f>[1]节奏总纲!AF120</f>
        <v>73.790294599206149</v>
      </c>
      <c r="AG120" s="7">
        <f>[1]节奏总纲!AG120</f>
        <v>78.230540290975199</v>
      </c>
      <c r="AH120" s="7">
        <f>[1]节奏总纲!AH120</f>
        <v>87.168098110592624</v>
      </c>
      <c r="AZ120" s="2">
        <v>117</v>
      </c>
      <c r="BA120" s="7">
        <f>[1]节奏总纲!BA120</f>
        <v>39.088198074219406</v>
      </c>
      <c r="BB120" s="7">
        <f>[1]节奏总纲!BB120</f>
        <v>40.576912512135436</v>
      </c>
      <c r="BC120" s="7">
        <f>[1]节奏总纲!BC120</f>
        <v>42.51427628670821</v>
      </c>
      <c r="BD120" s="7">
        <f>[1]节奏总纲!BD120</f>
        <v>45.255528312893091</v>
      </c>
      <c r="BE120" s="7">
        <f>[1]节奏总纲!BE120</f>
        <v>49.9600233276417</v>
      </c>
    </row>
    <row r="121" spans="6:57" x14ac:dyDescent="0.15">
      <c r="F121" s="2">
        <v>119</v>
      </c>
      <c r="G121" s="2">
        <f t="shared" si="6"/>
        <v>3820.7031333347636</v>
      </c>
      <c r="AC121" s="2">
        <v>118</v>
      </c>
      <c r="AD121" s="7">
        <f>[1]节奏总纲!AD121</f>
        <v>68.946457081918766</v>
      </c>
      <c r="AE121" s="7">
        <f>[1]节奏总纲!AE121</f>
        <v>70.995873539455332</v>
      </c>
      <c r="AF121" s="7">
        <f>[1]节奏总纲!AF121</f>
        <v>73.913419829028598</v>
      </c>
      <c r="AG121" s="7">
        <f>[1]节奏总纲!AG121</f>
        <v>78.356382169569343</v>
      </c>
      <c r="AH121" s="7">
        <f>[1]节奏总纲!AH121</f>
        <v>87.302536839048898</v>
      </c>
      <c r="AZ121" s="2">
        <v>118</v>
      </c>
      <c r="BA121" s="7">
        <f>[1]节奏总纲!BA121</f>
        <v>39.14223078093233</v>
      </c>
      <c r="BB121" s="7">
        <f>[1]节奏总纲!BB121</f>
        <v>40.635186503260229</v>
      </c>
      <c r="BC121" s="7">
        <f>[1]节奏总纲!BC121</f>
        <v>42.572130878253319</v>
      </c>
      <c r="BD121" s="7">
        <f>[1]节奏总纲!BD121</f>
        <v>45.31132052094835</v>
      </c>
      <c r="BE121" s="7">
        <f>[1]节奏总纲!BE121</f>
        <v>50.018998195299922</v>
      </c>
    </row>
    <row r="122" spans="6:57" x14ac:dyDescent="0.15">
      <c r="F122" s="2">
        <v>120</v>
      </c>
      <c r="G122" s="2">
        <f t="shared" si="6"/>
        <v>4095</v>
      </c>
      <c r="AC122" s="2">
        <v>119</v>
      </c>
      <c r="AD122" s="7">
        <f>[1]节奏总纲!AD122</f>
        <v>69.066704614192943</v>
      </c>
      <c r="AE122" s="7">
        <f>[1]节奏总纲!AE122</f>
        <v>71.113087458015798</v>
      </c>
      <c r="AF122" s="7">
        <f>[1]节奏总纲!AF122</f>
        <v>74.034200876118248</v>
      </c>
      <c r="AG122" s="7">
        <f>[1]节奏总纲!AG122</f>
        <v>78.482224048163502</v>
      </c>
      <c r="AH122" s="7">
        <f>[1]节奏总纲!AH122</f>
        <v>87.436975567505186</v>
      </c>
      <c r="AZ122" s="2">
        <v>119</v>
      </c>
      <c r="BA122" s="7">
        <f>[1]节奏总纲!BA122</f>
        <v>39.196263487645254</v>
      </c>
      <c r="BB122" s="7">
        <f>[1]节奏总纲!BB122</f>
        <v>40.693460494385022</v>
      </c>
      <c r="BC122" s="7">
        <f>[1]节奏总纲!BC122</f>
        <v>42.629985469798427</v>
      </c>
      <c r="BD122" s="7">
        <f>[1]节奏总纲!BD122</f>
        <v>45.367112729003608</v>
      </c>
      <c r="BE122" s="7">
        <f>[1]节奏总纲!BE122</f>
        <v>50.072514238398277</v>
      </c>
    </row>
    <row r="123" spans="6:57" x14ac:dyDescent="0.15">
      <c r="F123" s="2">
        <v>121</v>
      </c>
      <c r="G123" s="2">
        <f t="shared" si="6"/>
        <v>4388.9841025486576</v>
      </c>
      <c r="AC123" s="2">
        <v>120</v>
      </c>
      <c r="AD123" s="7">
        <f>[1]节奏总纲!AD123</f>
        <v>69.18336653741882</v>
      </c>
      <c r="AE123" s="7">
        <f>[1]节奏总纲!AE123</f>
        <v>71.230067506391322</v>
      </c>
      <c r="AF123" s="7">
        <f>[1]节奏总纲!AF123</f>
        <v>74.149428238300118</v>
      </c>
      <c r="AG123" s="7">
        <f>[1]节奏总纲!AG123</f>
        <v>78.608065926757661</v>
      </c>
      <c r="AH123" s="7">
        <f>[1]节奏总纲!AH123</f>
        <v>87.571414295961461</v>
      </c>
      <c r="AZ123" s="2">
        <v>120</v>
      </c>
      <c r="BA123" s="7">
        <f>[1]节奏总纲!BA123</f>
        <v>39.250296194358178</v>
      </c>
      <c r="BB123" s="7">
        <f>[1]节奏总纲!BB123</f>
        <v>40.751734485509814</v>
      </c>
      <c r="BC123" s="7">
        <f>[1]节奏总纲!BC123</f>
        <v>42.687840061343536</v>
      </c>
      <c r="BD123" s="7">
        <f>[1]节奏总纲!BD123</f>
        <v>45.422904937058867</v>
      </c>
      <c r="BE123" s="7">
        <f>[1]节奏总纲!BE123</f>
        <v>50.126030281496639</v>
      </c>
    </row>
    <row r="124" spans="6:57" x14ac:dyDescent="0.15">
      <c r="F124" s="2">
        <v>122</v>
      </c>
      <c r="G124" s="2">
        <f t="shared" si="6"/>
        <v>4704.0684620678521</v>
      </c>
      <c r="AC124" s="2">
        <v>121</v>
      </c>
      <c r="AD124" s="7">
        <f>[1]节奏总纲!AD124</f>
        <v>69.300028460644711</v>
      </c>
      <c r="AE124" s="7">
        <f>[1]节奏总纲!AE124</f>
        <v>71.347047554766846</v>
      </c>
      <c r="AF124" s="7">
        <f>[1]节奏总纲!AF124</f>
        <v>74.264655600481987</v>
      </c>
      <c r="AG124" s="7">
        <f>[1]节奏总纲!AG124</f>
        <v>78.733907805351805</v>
      </c>
      <c r="AH124" s="7">
        <f>[1]节奏总纲!AH124</f>
        <v>87.705853024417735</v>
      </c>
      <c r="AZ124" s="2">
        <v>121</v>
      </c>
      <c r="BA124" s="7">
        <f>[1]节奏总纲!BA124</f>
        <v>39.304328901071102</v>
      </c>
      <c r="BB124" s="7">
        <f>[1]节奏总纲!BB124</f>
        <v>40.810008476634607</v>
      </c>
      <c r="BC124" s="7">
        <f>[1]节奏总纲!BC124</f>
        <v>42.745694652888645</v>
      </c>
      <c r="BD124" s="7">
        <f>[1]节奏总纲!BD124</f>
        <v>45.478697145114126</v>
      </c>
      <c r="BE124" s="7">
        <f>[1]节奏总纲!BE124</f>
        <v>50.179546324595002</v>
      </c>
    </row>
    <row r="125" spans="6:57" x14ac:dyDescent="0.15">
      <c r="F125" s="2">
        <v>123</v>
      </c>
      <c r="G125" s="2">
        <f t="shared" si="6"/>
        <v>5041.7675170607781</v>
      </c>
      <c r="AC125" s="2">
        <v>122</v>
      </c>
      <c r="AD125" s="7">
        <f>[1]节奏总纲!AD125</f>
        <v>69.416690383870588</v>
      </c>
      <c r="AE125" s="7">
        <f>[1]节奏总纲!AE125</f>
        <v>71.46402760314237</v>
      </c>
      <c r="AF125" s="7">
        <f>[1]节奏总纲!AF125</f>
        <v>74.379882962663856</v>
      </c>
      <c r="AG125" s="7">
        <f>[1]节奏总纲!AG125</f>
        <v>78.859749683945964</v>
      </c>
      <c r="AH125" s="7">
        <f>[1]节奏总纲!AH125</f>
        <v>87.840291752874009</v>
      </c>
      <c r="AZ125" s="2">
        <v>122</v>
      </c>
      <c r="BA125" s="7">
        <f>[1]节奏总纲!BA125</f>
        <v>39.358361607784026</v>
      </c>
      <c r="BB125" s="7">
        <f>[1]节奏总纲!BB125</f>
        <v>40.8682824677594</v>
      </c>
      <c r="BC125" s="7">
        <f>[1]节奏总纲!BC125</f>
        <v>42.803549244433754</v>
      </c>
      <c r="BD125" s="7">
        <f>[1]节奏总纲!BD125</f>
        <v>45.534489353169384</v>
      </c>
      <c r="BE125" s="7">
        <f>[1]节奏总纲!BE125</f>
        <v>50.233062367693357</v>
      </c>
    </row>
    <row r="126" spans="6:57" x14ac:dyDescent="0.15">
      <c r="F126" s="2">
        <v>124</v>
      </c>
      <c r="G126" s="2">
        <f t="shared" si="6"/>
        <v>5403.704402525771</v>
      </c>
      <c r="AC126" s="2">
        <v>123</v>
      </c>
      <c r="AD126" s="7">
        <f>[1]节奏总纲!AD126</f>
        <v>69.533352307096465</v>
      </c>
      <c r="AE126" s="7">
        <f>[1]节奏总纲!AE126</f>
        <v>71.581007651517908</v>
      </c>
      <c r="AF126" s="7">
        <f>[1]节奏总纲!AF126</f>
        <v>74.495110324845726</v>
      </c>
      <c r="AG126" s="7">
        <f>[1]节奏总纲!AG126</f>
        <v>78.985591562540122</v>
      </c>
      <c r="AH126" s="7">
        <f>[1]节奏总纲!AH126</f>
        <v>87.974730481330297</v>
      </c>
      <c r="AZ126" s="2">
        <v>123</v>
      </c>
      <c r="BA126" s="7">
        <f>[1]节奏总纲!BA126</f>
        <v>39.41239431449695</v>
      </c>
      <c r="BB126" s="7">
        <f>[1]节奏总纲!BB126</f>
        <v>40.926556458884193</v>
      </c>
      <c r="BC126" s="7">
        <f>[1]节奏总纲!BC126</f>
        <v>42.861403835978855</v>
      </c>
      <c r="BD126" s="7">
        <f>[1]节奏总纲!BD126</f>
        <v>45.590281561224643</v>
      </c>
      <c r="BE126" s="7">
        <f>[1]节奏总纲!BE126</f>
        <v>50.286578410791719</v>
      </c>
    </row>
    <row r="127" spans="6:57" x14ac:dyDescent="0.15">
      <c r="F127" s="2">
        <v>125</v>
      </c>
      <c r="G127" s="2">
        <f t="shared" si="6"/>
        <v>5791.6187514801986</v>
      </c>
      <c r="AC127" s="2">
        <v>124</v>
      </c>
      <c r="AD127" s="7">
        <f>[1]节奏总纲!AD127</f>
        <v>69.650014230322356</v>
      </c>
      <c r="AE127" s="7">
        <f>[1]节奏总纲!AE127</f>
        <v>71.697987699893432</v>
      </c>
      <c r="AF127" s="7">
        <f>[1]节奏总纲!AF127</f>
        <v>74.610337687027609</v>
      </c>
      <c r="AG127" s="7">
        <f>[1]节奏总纲!AG127</f>
        <v>79.104601412347151</v>
      </c>
      <c r="AH127" s="7">
        <f>[1]节奏总纲!AH127</f>
        <v>88.109271506528316</v>
      </c>
      <c r="AZ127" s="2">
        <v>124</v>
      </c>
      <c r="BA127" s="7">
        <f>[1]节奏总纲!BA127</f>
        <v>39.466427021209874</v>
      </c>
      <c r="BB127" s="7">
        <f>[1]节奏总纲!BB127</f>
        <v>40.984830450008978</v>
      </c>
      <c r="BC127" s="7">
        <f>[1]节奏总纲!BC127</f>
        <v>42.919258427523964</v>
      </c>
      <c r="BD127" s="7">
        <f>[1]节奏总纲!BD127</f>
        <v>45.646073769279901</v>
      </c>
      <c r="BE127" s="7">
        <f>[1]节奏总纲!BE127</f>
        <v>50.340094453890082</v>
      </c>
    </row>
    <row r="128" spans="6:57" x14ac:dyDescent="0.15">
      <c r="F128" s="2">
        <v>126</v>
      </c>
      <c r="G128" s="2">
        <f t="shared" si="6"/>
        <v>6207.3750564265865</v>
      </c>
      <c r="AC128" s="2">
        <v>125</v>
      </c>
      <c r="AD128" s="7">
        <f>[1]节奏总纲!AD128</f>
        <v>69.766676153548232</v>
      </c>
      <c r="AE128" s="7">
        <f>[1]节奏总纲!AE128</f>
        <v>71.814967748268955</v>
      </c>
      <c r="AF128" s="7">
        <f>[1]节奏总纲!AF128</f>
        <v>74.725565049209479</v>
      </c>
      <c r="AG128" s="7">
        <f>[1]节奏总纲!AG128</f>
        <v>79.222727875098187</v>
      </c>
      <c r="AH128" s="7">
        <f>[1]节奏总纲!AH128</f>
        <v>88.243836210467165</v>
      </c>
      <c r="AZ128" s="2">
        <v>125</v>
      </c>
      <c r="BA128" s="7">
        <f>[1]节奏总纲!BA128</f>
        <v>39.520459727922798</v>
      </c>
      <c r="BB128" s="7">
        <f>[1]节奏总纲!BB128</f>
        <v>41.037193447861313</v>
      </c>
      <c r="BC128" s="7">
        <f>[1]节奏总纲!BC128</f>
        <v>42.977113019069073</v>
      </c>
      <c r="BD128" s="7">
        <f>[1]节奏总纲!BD128</f>
        <v>45.701865977335167</v>
      </c>
      <c r="BE128" s="7">
        <f>[1]节奏总纲!BE128</f>
        <v>50.393610496988437</v>
      </c>
    </row>
    <row r="129" spans="6:57" x14ac:dyDescent="0.15">
      <c r="F129" s="2">
        <v>127</v>
      </c>
      <c r="G129" s="2">
        <f t="shared" si="6"/>
        <v>6652.971630950271</v>
      </c>
      <c r="AC129" s="2">
        <v>126</v>
      </c>
      <c r="AD129" s="7">
        <f>[1]节奏总纲!AD129</f>
        <v>69.883338076774123</v>
      </c>
      <c r="AE129" s="7">
        <f>[1]节奏总纲!AE129</f>
        <v>71.931947796644479</v>
      </c>
      <c r="AF129" s="7">
        <f>[1]节奏总纲!AF129</f>
        <v>74.840792411391348</v>
      </c>
      <c r="AG129" s="7">
        <f>[1]节奏总纲!AG129</f>
        <v>79.340854337849223</v>
      </c>
      <c r="AH129" s="7">
        <f>[1]节奏总纲!AH129</f>
        <v>88.378400914406001</v>
      </c>
      <c r="AZ129" s="2">
        <v>126</v>
      </c>
      <c r="BA129" s="7">
        <f>[1]节奏总纲!BA129</f>
        <v>39.574492434635722</v>
      </c>
      <c r="BB129" s="7">
        <f>[1]节奏总纲!BB129</f>
        <v>41.087476216725996</v>
      </c>
      <c r="BC129" s="7">
        <f>[1]节奏总纲!BC129</f>
        <v>43.030177309109042</v>
      </c>
      <c r="BD129" s="7">
        <f>[1]节奏总纲!BD129</f>
        <v>45.757658185390426</v>
      </c>
      <c r="BE129" s="7">
        <f>[1]节奏总纲!BE129</f>
        <v>50.447126540086799</v>
      </c>
    </row>
    <row r="130" spans="6:57" x14ac:dyDescent="0.15">
      <c r="F130" s="2">
        <v>128</v>
      </c>
      <c r="G130" s="2">
        <f t="shared" si="6"/>
        <v>7130.5502145218443</v>
      </c>
      <c r="AC130" s="2">
        <v>127</v>
      </c>
      <c r="AD130" s="7">
        <f>[1]节奏总纲!AD130</f>
        <v>70</v>
      </c>
      <c r="AE130" s="7">
        <f>[1]节奏总纲!AE130</f>
        <v>72.047345051940553</v>
      </c>
      <c r="AF130" s="7">
        <f>[1]节奏总纲!AF130</f>
        <v>74.956019773573217</v>
      </c>
      <c r="AG130" s="7">
        <f>[1]节奏总纲!AG130</f>
        <v>79.458980800600258</v>
      </c>
      <c r="AH130" s="7">
        <f>[1]节奏总纲!AH130</f>
        <v>88.51296561834485</v>
      </c>
      <c r="AZ130" s="2">
        <v>127</v>
      </c>
      <c r="BA130" s="7">
        <f>[1]节奏总纲!BA130</f>
        <v>39.628525141348646</v>
      </c>
      <c r="BB130" s="7">
        <f>[1]节奏总纲!BB130</f>
        <v>41.137758985590679</v>
      </c>
      <c r="BC130" s="7">
        <f>[1]节奏总纲!BC130</f>
        <v>43.080106253688569</v>
      </c>
      <c r="BD130" s="7">
        <f>[1]节奏总纲!BD130</f>
        <v>45.813450393445684</v>
      </c>
      <c r="BE130" s="7">
        <f>[1]节奏总纲!BE130</f>
        <v>50.500642583185162</v>
      </c>
    </row>
    <row r="131" spans="6:57" x14ac:dyDescent="0.15">
      <c r="F131" s="2">
        <v>129</v>
      </c>
      <c r="G131" s="2">
        <f t="shared" si="6"/>
        <v>7642.4062666695281</v>
      </c>
      <c r="AC131" s="2">
        <v>128</v>
      </c>
      <c r="AD131" s="7">
        <f>[1]节奏总纲!AD131</f>
        <v>70.108849423225877</v>
      </c>
      <c r="AE131" s="7">
        <f>[1]节奏总纲!AE131</f>
        <v>72.160540850040434</v>
      </c>
      <c r="AF131" s="7">
        <f>[1]节奏总纲!AF131</f>
        <v>75.067682921736733</v>
      </c>
      <c r="AG131" s="7">
        <f>[1]节奏总纲!AG131</f>
        <v>79.577107263351294</v>
      </c>
      <c r="AH131" s="7">
        <f>[1]节奏总纲!AH131</f>
        <v>88.6475303222837</v>
      </c>
      <c r="AZ131" s="2">
        <v>128</v>
      </c>
      <c r="BA131" s="7">
        <f>[1]节奏总纲!BA131</f>
        <v>39.68255784806157</v>
      </c>
      <c r="BB131" s="7">
        <f>[1]节奏总纲!BB131</f>
        <v>41.188041754455355</v>
      </c>
      <c r="BC131" s="7">
        <f>[1]节奏总纲!BC131</f>
        <v>43.130035198268104</v>
      </c>
      <c r="BD131" s="7">
        <f>[1]节奏总纲!BD131</f>
        <v>45.869242601500943</v>
      </c>
      <c r="BE131" s="7">
        <f>[1]节奏总纲!BE131</f>
        <v>50.554158626283517</v>
      </c>
    </row>
    <row r="132" spans="6:57" x14ac:dyDescent="0.15">
      <c r="F132" s="2">
        <v>130</v>
      </c>
      <c r="G132" s="2">
        <f t="shared" ref="G132:G152" si="7">(2^(F132/10)-1)/(2-1)</f>
        <v>8191</v>
      </c>
      <c r="AC132" s="2">
        <v>129</v>
      </c>
      <c r="AD132" s="7">
        <f>[1]节奏总纲!AD132</f>
        <v>70.217698846451768</v>
      </c>
      <c r="AE132" s="7">
        <f>[1]节奏总纲!AE132</f>
        <v>72.273736648140314</v>
      </c>
      <c r="AF132" s="7">
        <f>[1]节奏总纲!AF132</f>
        <v>75.177145912126889</v>
      </c>
      <c r="AG132" s="7">
        <f>[1]节奏总纲!AG132</f>
        <v>79.69523372610233</v>
      </c>
      <c r="AH132" s="7">
        <f>[1]节奏总纲!AH132</f>
        <v>88.782095026222549</v>
      </c>
      <c r="AZ132" s="2">
        <v>129</v>
      </c>
      <c r="BA132" s="7">
        <f>[1]节奏总纲!BA132</f>
        <v>39.736590554774494</v>
      </c>
      <c r="BB132" s="7">
        <f>[1]节奏总纲!BB132</f>
        <v>41.238324523320038</v>
      </c>
      <c r="BC132" s="7">
        <f>[1]节奏总纲!BC132</f>
        <v>43.179964142847631</v>
      </c>
      <c r="BD132" s="7">
        <f>[1]节奏总纲!BD132</f>
        <v>45.925034809556202</v>
      </c>
      <c r="BE132" s="7">
        <f>[1]节奏总纲!BE132</f>
        <v>50.607674669381879</v>
      </c>
    </row>
    <row r="133" spans="6:57" x14ac:dyDescent="0.15">
      <c r="F133" s="2">
        <v>131</v>
      </c>
      <c r="G133" s="2">
        <f t="shared" si="7"/>
        <v>8778.9682050973151</v>
      </c>
      <c r="AC133" s="2">
        <v>130</v>
      </c>
      <c r="AD133" s="7">
        <f>[1]节奏总纲!AD133</f>
        <v>70.326548269677644</v>
      </c>
      <c r="AE133" s="7">
        <f>[1]节奏总纲!AE133</f>
        <v>72.386932446240195</v>
      </c>
      <c r="AF133" s="7">
        <f>[1]节奏总纲!AF133</f>
        <v>75.286608902517045</v>
      </c>
      <c r="AG133" s="7">
        <f>[1]节奏总纲!AG133</f>
        <v>79.813360188853366</v>
      </c>
      <c r="AH133" s="7">
        <f>[1]节奏总纲!AH133</f>
        <v>88.916659730161399</v>
      </c>
      <c r="AZ133" s="2">
        <v>130</v>
      </c>
      <c r="BA133" s="7">
        <f>[1]节奏总纲!BA133</f>
        <v>39.790623261487418</v>
      </c>
      <c r="BB133" s="7">
        <f>[1]节奏总纲!BB133</f>
        <v>41.288607292184714</v>
      </c>
      <c r="BC133" s="7">
        <f>[1]节奏总纲!BC133</f>
        <v>43.229893087427158</v>
      </c>
      <c r="BD133" s="7">
        <f>[1]节奏总纲!BD133</f>
        <v>45.98082701761146</v>
      </c>
      <c r="BE133" s="7">
        <f>[1]节奏总纲!BE133</f>
        <v>50.661190712480241</v>
      </c>
    </row>
    <row r="134" spans="6:57" x14ac:dyDescent="0.15">
      <c r="F134" s="2">
        <v>132</v>
      </c>
      <c r="G134" s="2">
        <f t="shared" si="7"/>
        <v>9409.1369241357042</v>
      </c>
      <c r="AC134" s="2">
        <v>131</v>
      </c>
      <c r="AD134" s="7">
        <f>[1]节奏总纲!AD134</f>
        <v>70.435397692903535</v>
      </c>
      <c r="AE134" s="7">
        <f>[1]节奏总纲!AE134</f>
        <v>72.50012824434009</v>
      </c>
      <c r="AF134" s="7">
        <f>[1]节奏总纲!AF134</f>
        <v>75.396071892907202</v>
      </c>
      <c r="AG134" s="7">
        <f>[1]节奏总纲!AG134</f>
        <v>79.931486651604402</v>
      </c>
      <c r="AH134" s="7">
        <f>[1]节奏总纲!AH134</f>
        <v>89.048420729369383</v>
      </c>
      <c r="AZ134" s="2">
        <v>131</v>
      </c>
      <c r="BA134" s="7">
        <f>[1]节奏总纲!BA134</f>
        <v>39.844655968200342</v>
      </c>
      <c r="BB134" s="7">
        <f>[1]节奏总纲!BB134</f>
        <v>41.338890061049398</v>
      </c>
      <c r="BC134" s="7">
        <f>[1]节奏总纲!BC134</f>
        <v>43.279822032006692</v>
      </c>
      <c r="BD134" s="7">
        <f>[1]节奏总纲!BD134</f>
        <v>46.031609894814238</v>
      </c>
      <c r="BE134" s="7">
        <f>[1]节奏总纲!BE134</f>
        <v>50.714706755578604</v>
      </c>
    </row>
    <row r="135" spans="6:57" x14ac:dyDescent="0.15">
      <c r="F135" s="2">
        <v>133</v>
      </c>
      <c r="G135" s="2">
        <f t="shared" si="7"/>
        <v>10084.535034121556</v>
      </c>
      <c r="AC135" s="2">
        <v>132</v>
      </c>
      <c r="AD135" s="7">
        <f>[1]节奏总纲!AD135</f>
        <v>70.544247116129412</v>
      </c>
      <c r="AE135" s="7">
        <f>[1]节奏总纲!AE135</f>
        <v>72.61332404243997</v>
      </c>
      <c r="AF135" s="7">
        <f>[1]节奏总纲!AF135</f>
        <v>75.505534883297358</v>
      </c>
      <c r="AG135" s="7">
        <f>[1]节奏总纲!AG135</f>
        <v>80.045750258986601</v>
      </c>
      <c r="AH135" s="7">
        <f>[1]节奏总纲!AH135</f>
        <v>89.175620204122851</v>
      </c>
      <c r="AZ135" s="2">
        <v>132</v>
      </c>
      <c r="BA135" s="7">
        <f>[1]节奏总纲!BA135</f>
        <v>39.898688674913267</v>
      </c>
      <c r="BB135" s="7">
        <f>[1]节奏总纲!BB135</f>
        <v>41.389172829914081</v>
      </c>
      <c r="BC135" s="7">
        <f>[1]节奏总纲!BC135</f>
        <v>43.329750976586219</v>
      </c>
      <c r="BD135" s="7">
        <f>[1]节奏总纲!BD135</f>
        <v>46.079770001861057</v>
      </c>
      <c r="BE135" s="7">
        <f>[1]节奏总纲!BE135</f>
        <v>50.768222798676959</v>
      </c>
    </row>
    <row r="136" spans="6:57" x14ac:dyDescent="0.15">
      <c r="F136" s="2">
        <v>134</v>
      </c>
      <c r="G136" s="2">
        <f t="shared" si="7"/>
        <v>10808.408805051544</v>
      </c>
      <c r="AC136" s="2">
        <v>133</v>
      </c>
      <c r="AD136" s="7">
        <f>[1]节奏总纲!AD136</f>
        <v>70.653096539355303</v>
      </c>
      <c r="AE136" s="7">
        <f>[1]节奏总纲!AE136</f>
        <v>72.726519840539851</v>
      </c>
      <c r="AF136" s="7">
        <f>[1]节奏总纲!AF136</f>
        <v>75.614997873687514</v>
      </c>
      <c r="AG136" s="7">
        <f>[1]节奏总纲!AG136</f>
        <v>80.154679447049915</v>
      </c>
      <c r="AH136" s="7">
        <f>[1]节奏总纲!AH136</f>
        <v>89.302819678876304</v>
      </c>
      <c r="AZ136" s="2">
        <v>133</v>
      </c>
      <c r="BA136" s="7">
        <f>[1]节奏总纲!BA136</f>
        <v>39.952721381626191</v>
      </c>
      <c r="BB136" s="7">
        <f>[1]节奏总纲!BB136</f>
        <v>41.439455598778757</v>
      </c>
      <c r="BC136" s="7">
        <f>[1]节奏总纲!BC136</f>
        <v>43.379679921165753</v>
      </c>
      <c r="BD136" s="7">
        <f>[1]节奏总纲!BD136</f>
        <v>46.127930108907876</v>
      </c>
      <c r="BE136" s="7">
        <f>[1]节奏总纲!BE136</f>
        <v>50.821738841775321</v>
      </c>
    </row>
    <row r="137" spans="6:57" x14ac:dyDescent="0.15">
      <c r="F137" s="2">
        <v>135</v>
      </c>
      <c r="G137" s="2">
        <f t="shared" si="7"/>
        <v>11584.237502960397</v>
      </c>
      <c r="AC137" s="2">
        <v>134</v>
      </c>
      <c r="AD137" s="7">
        <f>[1]节奏总纲!AD137</f>
        <v>70.76194596258118</v>
      </c>
      <c r="AE137" s="7">
        <f>[1]节奏总纲!AE137</f>
        <v>72.839715638639731</v>
      </c>
      <c r="AF137" s="7">
        <f>[1]节奏总纲!AF137</f>
        <v>75.72446086407767</v>
      </c>
      <c r="AG137" s="7">
        <f>[1]节奏总纲!AG137</f>
        <v>80.263608635113243</v>
      </c>
      <c r="AH137" s="7">
        <f>[1]节奏总纲!AH137</f>
        <v>89.430019153629758</v>
      </c>
      <c r="AZ137" s="2">
        <v>134</v>
      </c>
      <c r="BA137" s="7">
        <f>[1]节奏总纲!BA137</f>
        <v>40.005827399112476</v>
      </c>
      <c r="BB137" s="7">
        <f>[1]节奏总纲!BB137</f>
        <v>41.48973836764344</v>
      </c>
      <c r="BC137" s="7">
        <f>[1]节奏总纲!BC137</f>
        <v>43.42960886574528</v>
      </c>
      <c r="BD137" s="7">
        <f>[1]节奏总纲!BD137</f>
        <v>46.176090215954694</v>
      </c>
      <c r="BE137" s="7">
        <f>[1]节奏总纲!BE137</f>
        <v>50.875254884873684</v>
      </c>
    </row>
    <row r="138" spans="6:57" x14ac:dyDescent="0.15">
      <c r="F138" s="2">
        <v>136</v>
      </c>
      <c r="G138" s="2">
        <f t="shared" si="7"/>
        <v>12415.750112853173</v>
      </c>
      <c r="AC138" s="2">
        <v>135</v>
      </c>
      <c r="AD138" s="7">
        <f>[1]节奏总纲!AD138</f>
        <v>70.870795385807057</v>
      </c>
      <c r="AE138" s="7">
        <f>[1]节奏总纲!AE138</f>
        <v>72.952911436739612</v>
      </c>
      <c r="AF138" s="7">
        <f>[1]节奏总纲!AF138</f>
        <v>75.833923854467812</v>
      </c>
      <c r="AG138" s="7">
        <f>[1]节奏总纲!AG138</f>
        <v>80.372537823176572</v>
      </c>
      <c r="AH138" s="7">
        <f>[1]节奏总纲!AH138</f>
        <v>89.557218628383211</v>
      </c>
      <c r="AZ138" s="2">
        <v>135</v>
      </c>
      <c r="BA138" s="7">
        <f>[1]节奏总纲!BA138</f>
        <v>40.052446592012309</v>
      </c>
      <c r="BB138" s="7">
        <f>[1]节奏总纲!BB138</f>
        <v>41.540021136508116</v>
      </c>
      <c r="BC138" s="7">
        <f>[1]节奏总纲!BC138</f>
        <v>43.479537810324814</v>
      </c>
      <c r="BD138" s="7">
        <f>[1]节奏总纲!BD138</f>
        <v>46.224250323001513</v>
      </c>
      <c r="BE138" s="7">
        <f>[1]节奏总纲!BE138</f>
        <v>50.928770927972039</v>
      </c>
    </row>
    <row r="139" spans="6:57" x14ac:dyDescent="0.15">
      <c r="F139" s="2">
        <v>137</v>
      </c>
      <c r="G139" s="2">
        <f t="shared" si="7"/>
        <v>13306.943261900544</v>
      </c>
      <c r="AC139" s="2">
        <v>136</v>
      </c>
      <c r="AD139" s="7">
        <f>[1]节奏总纲!AD139</f>
        <v>70.979644809032948</v>
      </c>
      <c r="AE139" s="7">
        <f>[1]节奏总纲!AE139</f>
        <v>73.059911975288244</v>
      </c>
      <c r="AF139" s="7">
        <f>[1]节奏总纲!AF139</f>
        <v>75.943386844857969</v>
      </c>
      <c r="AG139" s="7">
        <f>[1]节奏总纲!AG139</f>
        <v>80.4814670112399</v>
      </c>
      <c r="AH139" s="7">
        <f>[1]节奏总纲!AH139</f>
        <v>89.684418103136665</v>
      </c>
      <c r="AZ139" s="2">
        <v>136</v>
      </c>
      <c r="BA139" s="7">
        <f>[1]节奏总纲!BA139</f>
        <v>40.099065784912149</v>
      </c>
      <c r="BB139" s="7">
        <f>[1]节奏总纲!BB139</f>
        <v>41.590303905372799</v>
      </c>
      <c r="BC139" s="7">
        <f>[1]节奏总纲!BC139</f>
        <v>43.529466754904341</v>
      </c>
      <c r="BD139" s="7">
        <f>[1]节奏总纲!BD139</f>
        <v>46.272410430048332</v>
      </c>
      <c r="BE139" s="7">
        <f>[1]节奏总纲!BE139</f>
        <v>50.982286971070401</v>
      </c>
    </row>
    <row r="140" spans="6:57" x14ac:dyDescent="0.15">
      <c r="F140" s="2">
        <v>138</v>
      </c>
      <c r="G140" s="2">
        <f t="shared" si="7"/>
        <v>14262.10042904369</v>
      </c>
      <c r="AC140" s="2">
        <v>137</v>
      </c>
      <c r="AD140" s="7">
        <f>[1]节奏总纲!AD140</f>
        <v>71.082568038258202</v>
      </c>
      <c r="AE140" s="7">
        <f>[1]节奏总纲!AE140</f>
        <v>73.162499594857536</v>
      </c>
      <c r="AF140" s="7">
        <f>[1]节奏总纲!AF140</f>
        <v>76.048210495050611</v>
      </c>
      <c r="AG140" s="7">
        <f>[1]节奏总纲!AG140</f>
        <v>80.590396199303228</v>
      </c>
      <c r="AH140" s="7">
        <f>[1]节奏总纲!AH140</f>
        <v>89.811617577890132</v>
      </c>
      <c r="AZ140" s="2">
        <v>137</v>
      </c>
      <c r="BA140" s="7">
        <f>[1]节奏总纲!BA140</f>
        <v>40.145684977811982</v>
      </c>
      <c r="BB140" s="7">
        <f>[1]节奏总纲!BB140</f>
        <v>41.640586674237483</v>
      </c>
      <c r="BC140" s="7">
        <f>[1]节奏总纲!BC140</f>
        <v>43.579395699483875</v>
      </c>
      <c r="BD140" s="7">
        <f>[1]节奏总纲!BD140</f>
        <v>46.320570537095151</v>
      </c>
      <c r="BE140" s="7">
        <f>[1]节奏总纲!BE140</f>
        <v>51.030916192165336</v>
      </c>
    </row>
    <row r="141" spans="6:57" x14ac:dyDescent="0.15">
      <c r="F141" s="2">
        <v>139</v>
      </c>
      <c r="G141" s="2">
        <f t="shared" si="7"/>
        <v>15285.812533339058</v>
      </c>
      <c r="AC141" s="2">
        <v>138</v>
      </c>
      <c r="AD141" s="7">
        <f>[1]节奏总纲!AD141</f>
        <v>71.184128141237707</v>
      </c>
      <c r="AE141" s="7">
        <f>[1]节奏总纲!AE141</f>
        <v>73.265087214426828</v>
      </c>
      <c r="AF141" s="7">
        <f>[1]节奏总纲!AF141</f>
        <v>76.148064447889894</v>
      </c>
      <c r="AG141" s="7">
        <f>[1]节奏总纲!AG141</f>
        <v>80.699325387366557</v>
      </c>
      <c r="AH141" s="7">
        <f>[1]节奏总纲!AH141</f>
        <v>89.938817052643586</v>
      </c>
      <c r="AZ141" s="2">
        <v>138</v>
      </c>
      <c r="BA141" s="7">
        <f>[1]节奏总纲!BA141</f>
        <v>40.192304170711814</v>
      </c>
      <c r="BB141" s="7">
        <f>[1]节奏总纲!BB141</f>
        <v>41.690869443102159</v>
      </c>
      <c r="BC141" s="7">
        <f>[1]节奏总纲!BC141</f>
        <v>43.629324644063402</v>
      </c>
      <c r="BD141" s="7">
        <f>[1]节奏总纲!BD141</f>
        <v>46.368730644141969</v>
      </c>
      <c r="BE141" s="7">
        <f>[1]节奏总纲!BE141</f>
        <v>51.077127728003028</v>
      </c>
    </row>
    <row r="142" spans="6:57" x14ac:dyDescent="0.15">
      <c r="F142" s="2">
        <v>140</v>
      </c>
      <c r="G142" s="2">
        <f t="shared" si="7"/>
        <v>16383</v>
      </c>
      <c r="AC142" s="2">
        <v>139</v>
      </c>
      <c r="AD142" s="7">
        <f>[1]节奏总纲!AD142</f>
        <v>71.285688244217212</v>
      </c>
      <c r="AE142" s="7">
        <f>[1]节奏总纲!AE142</f>
        <v>73.367674833996119</v>
      </c>
      <c r="AF142" s="7">
        <f>[1]节奏总纲!AF142</f>
        <v>76.247918400729162</v>
      </c>
      <c r="AG142" s="7">
        <f>[1]节奏总纲!AG142</f>
        <v>80.808254575429885</v>
      </c>
      <c r="AH142" s="7">
        <f>[1]节奏总纲!AH142</f>
        <v>90.055148444912135</v>
      </c>
      <c r="AZ142" s="2">
        <v>139</v>
      </c>
      <c r="BA142" s="7">
        <f>[1]节奏总纲!BA142</f>
        <v>40.238923363611647</v>
      </c>
      <c r="BB142" s="7">
        <f>[1]节奏总纲!BB142</f>
        <v>41.741152211966842</v>
      </c>
      <c r="BC142" s="7">
        <f>[1]节奏总纲!BC142</f>
        <v>43.679253588642929</v>
      </c>
      <c r="BD142" s="7">
        <f>[1]节奏总纲!BD142</f>
        <v>46.416890751188788</v>
      </c>
      <c r="BE142" s="7">
        <f>[1]节奏总纲!BE142</f>
        <v>51.12333926384072</v>
      </c>
    </row>
    <row r="143" spans="6:57" x14ac:dyDescent="0.15">
      <c r="F143" s="2">
        <v>141</v>
      </c>
      <c r="G143" s="2">
        <f t="shared" si="7"/>
        <v>17558.936410194601</v>
      </c>
      <c r="AC143" s="2">
        <v>140</v>
      </c>
      <c r="AD143" s="7">
        <f>[1]节奏总纲!AD143</f>
        <v>71.387248347196717</v>
      </c>
      <c r="AE143" s="7">
        <f>[1]节奏总纲!AE143</f>
        <v>73.470262453565411</v>
      </c>
      <c r="AF143" s="7">
        <f>[1]节奏总纲!AF143</f>
        <v>76.347772353568445</v>
      </c>
      <c r="AG143" s="7">
        <f>[1]节奏总纲!AG143</f>
        <v>80.917183763493213</v>
      </c>
      <c r="AH143" s="7">
        <f>[1]节奏总纲!AH143</f>
        <v>90.16140749098561</v>
      </c>
      <c r="AZ143" s="2">
        <v>140</v>
      </c>
      <c r="BA143" s="7">
        <f>[1]节奏总纲!BA143</f>
        <v>40.28554255651148</v>
      </c>
      <c r="BB143" s="7">
        <f>[1]节奏总纲!BB143</f>
        <v>41.791434980831518</v>
      </c>
      <c r="BC143" s="7">
        <f>[1]节奏总纲!BC143</f>
        <v>43.729182533222463</v>
      </c>
      <c r="BD143" s="7">
        <f>[1]节奏总纲!BD143</f>
        <v>46.465050858235607</v>
      </c>
      <c r="BE143" s="7">
        <f>[1]节奏总纲!BE143</f>
        <v>51.169550799678412</v>
      </c>
    </row>
    <row r="144" spans="6:57" x14ac:dyDescent="0.15">
      <c r="F144" s="2">
        <v>142</v>
      </c>
      <c r="G144" s="2">
        <f t="shared" si="7"/>
        <v>18819.273848271412</v>
      </c>
      <c r="AC144" s="2">
        <v>141</v>
      </c>
      <c r="AD144" s="7">
        <f>[1]节奏总纲!AD144</f>
        <v>71.488808450176208</v>
      </c>
      <c r="AE144" s="7">
        <f>[1]节奏总纲!AE144</f>
        <v>73.572850073134703</v>
      </c>
      <c r="AF144" s="7">
        <f>[1]节奏总纲!AF144</f>
        <v>76.447626306407713</v>
      </c>
      <c r="AG144" s="7">
        <f>[1]节奏总纲!AG144</f>
        <v>81.023848662825003</v>
      </c>
      <c r="AH144" s="7">
        <f>[1]节奏总纲!AH144</f>
        <v>90.267666537059071</v>
      </c>
      <c r="AZ144" s="2">
        <v>141</v>
      </c>
      <c r="BA144" s="7">
        <f>[1]节奏总纲!BA144</f>
        <v>40.332161749411313</v>
      </c>
      <c r="BB144" s="7">
        <f>[1]节奏总纲!BB144</f>
        <v>41.841717749696201</v>
      </c>
      <c r="BC144" s="7">
        <f>[1]节奏总纲!BC144</f>
        <v>43.77911147780199</v>
      </c>
      <c r="BD144" s="7">
        <f>[1]节奏总纲!BD144</f>
        <v>46.513210965282425</v>
      </c>
      <c r="BE144" s="7">
        <f>[1]节奏总纲!BE144</f>
        <v>51.215762335516104</v>
      </c>
    </row>
    <row r="145" spans="6:57" x14ac:dyDescent="0.15">
      <c r="F145" s="2">
        <v>143</v>
      </c>
      <c r="G145" s="2">
        <f t="shared" si="7"/>
        <v>20170.070068243116</v>
      </c>
      <c r="AC145" s="2">
        <v>142</v>
      </c>
      <c r="AD145" s="7">
        <f>[1]节奏总纲!AD145</f>
        <v>71.590368553155713</v>
      </c>
      <c r="AE145" s="7">
        <f>[1]节奏总纲!AE145</f>
        <v>73.675437692703994</v>
      </c>
      <c r="AF145" s="7">
        <f>[1]节奏总纲!AF145</f>
        <v>76.547480259246996</v>
      </c>
      <c r="AG145" s="7">
        <f>[1]节奏总纲!AG145</f>
        <v>81.123332456233015</v>
      </c>
      <c r="AH145" s="7">
        <f>[1]节奏总纲!AH145</f>
        <v>90.373925583132547</v>
      </c>
      <c r="AZ145" s="2">
        <v>142</v>
      </c>
      <c r="BA145" s="7">
        <f>[1]节奏总纲!BA145</f>
        <v>40.378780942311145</v>
      </c>
      <c r="BB145" s="7">
        <f>[1]节奏总纲!BB145</f>
        <v>41.892000518560877</v>
      </c>
      <c r="BC145" s="7">
        <f>[1]节奏总纲!BC145</f>
        <v>43.829040422381524</v>
      </c>
      <c r="BD145" s="7">
        <f>[1]节奏总纲!BD145</f>
        <v>46.561371072329244</v>
      </c>
      <c r="BE145" s="7">
        <f>[1]节奏总纲!BE145</f>
        <v>51.261973871353796</v>
      </c>
    </row>
    <row r="146" spans="6:57" x14ac:dyDescent="0.15">
      <c r="F146" s="2">
        <v>144</v>
      </c>
      <c r="G146" s="2">
        <f t="shared" si="7"/>
        <v>21617.817610103088</v>
      </c>
      <c r="AC146" s="2">
        <v>143</v>
      </c>
      <c r="AD146" s="7">
        <f>[1]节奏总纲!AD146</f>
        <v>71.691928656135218</v>
      </c>
      <c r="AE146" s="7">
        <f>[1]节奏总纲!AE146</f>
        <v>73.778025312273286</v>
      </c>
      <c r="AF146" s="7">
        <f>[1]节奏总纲!AF146</f>
        <v>76.647334212086264</v>
      </c>
      <c r="AG146" s="7">
        <f>[1]节奏总纲!AG146</f>
        <v>81.222816249641028</v>
      </c>
      <c r="AH146" s="7">
        <f>[1]节奏总纲!AH146</f>
        <v>90.480184629206022</v>
      </c>
      <c r="AZ146" s="2">
        <v>143</v>
      </c>
      <c r="BA146" s="7">
        <f>[1]节奏总纲!BA146</f>
        <v>40.425400135210978</v>
      </c>
      <c r="BB146" s="7">
        <f>[1]节奏总纲!BB146</f>
        <v>41.94228328742556</v>
      </c>
      <c r="BC146" s="7">
        <f>[1]节奏总纲!BC146</f>
        <v>43.878969366961051</v>
      </c>
      <c r="BD146" s="7">
        <f>[1]节奏总纲!BD146</f>
        <v>46.609531179376063</v>
      </c>
      <c r="BE146" s="7">
        <f>[1]节奏总纲!BE146</f>
        <v>51.308185407191495</v>
      </c>
    </row>
    <row r="147" spans="6:57" x14ac:dyDescent="0.15">
      <c r="F147" s="2">
        <v>145</v>
      </c>
      <c r="G147" s="2">
        <f t="shared" si="7"/>
        <v>23169.475005920798</v>
      </c>
      <c r="AC147" s="2">
        <v>144</v>
      </c>
      <c r="AD147" s="7">
        <f>[1]节奏总纲!AD147</f>
        <v>71.793488759114723</v>
      </c>
      <c r="AE147" s="7">
        <f>[1]节奏总纲!AE147</f>
        <v>73.880612931842577</v>
      </c>
      <c r="AF147" s="7">
        <f>[1]节奏总纲!AF147</f>
        <v>76.747188164925547</v>
      </c>
      <c r="AG147" s="7">
        <f>[1]节奏总纲!AG147</f>
        <v>81.322300043049054</v>
      </c>
      <c r="AH147" s="7">
        <f>[1]节奏总纲!AH147</f>
        <v>90.586443675279497</v>
      </c>
      <c r="AZ147" s="2">
        <v>144</v>
      </c>
      <c r="BA147" s="7">
        <f>[1]节奏总纲!BA147</f>
        <v>40.472019328110811</v>
      </c>
      <c r="BB147" s="7">
        <f>[1]节奏总纲!BB147</f>
        <v>41.992566056290244</v>
      </c>
      <c r="BC147" s="7">
        <f>[1]节奏总纲!BC147</f>
        <v>43.928898311540586</v>
      </c>
      <c r="BD147" s="7">
        <f>[1]节奏总纲!BD147</f>
        <v>46.657691286422882</v>
      </c>
      <c r="BE147" s="7">
        <f>[1]节奏总纲!BE147</f>
        <v>51.354396943029187</v>
      </c>
    </row>
    <row r="148" spans="6:57" x14ac:dyDescent="0.15">
      <c r="F148" s="2">
        <v>146</v>
      </c>
      <c r="G148" s="2">
        <f t="shared" si="7"/>
        <v>24832.50022570635</v>
      </c>
      <c r="AC148" s="2">
        <v>145</v>
      </c>
      <c r="AD148" s="7">
        <f>[1]节奏总纲!AD148</f>
        <v>71.895048862094214</v>
      </c>
      <c r="AE148" s="7">
        <f>[1]节奏总纲!AE148</f>
        <v>73.983200551411869</v>
      </c>
      <c r="AF148" s="7">
        <f>[1]节奏总纲!AF148</f>
        <v>76.847042117764815</v>
      </c>
      <c r="AG148" s="7">
        <f>[1]节奏总纲!AG148</f>
        <v>81.421783836457067</v>
      </c>
      <c r="AH148" s="7">
        <f>[1]节奏总纲!AH148</f>
        <v>90.692702721352973</v>
      </c>
      <c r="AZ148" s="2">
        <v>145</v>
      </c>
      <c r="BA148" s="7">
        <f>[1]节奏总纲!BA148</f>
        <v>40.518638521010651</v>
      </c>
      <c r="BB148" s="7">
        <f>[1]节奏总纲!BB148</f>
        <v>42.036975906461073</v>
      </c>
      <c r="BC148" s="7">
        <f>[1]节奏总纲!BC148</f>
        <v>43.978827256120113</v>
      </c>
      <c r="BD148" s="7">
        <f>[1]节奏总纲!BD148</f>
        <v>46.7058513934697</v>
      </c>
      <c r="BE148" s="7">
        <f>[1]节奏总纲!BE148</f>
        <v>51.400608478866879</v>
      </c>
    </row>
    <row r="149" spans="6:57" x14ac:dyDescent="0.15">
      <c r="F149" s="2">
        <v>147</v>
      </c>
      <c r="G149" s="2">
        <f t="shared" si="7"/>
        <v>26614.886523801088</v>
      </c>
      <c r="AC149" s="2">
        <v>146</v>
      </c>
      <c r="AD149" s="7">
        <f>[1]节奏总纲!AD149</f>
        <v>71.996608965073719</v>
      </c>
      <c r="AE149" s="7">
        <f>[1]节奏总纲!AE149</f>
        <v>74.078973000522922</v>
      </c>
      <c r="AF149" s="7">
        <f>[1]节奏总纲!AF149</f>
        <v>76.946896070604097</v>
      </c>
      <c r="AG149" s="7">
        <f>[1]节奏总纲!AG149</f>
        <v>81.521267629865079</v>
      </c>
      <c r="AH149" s="7">
        <f>[1]节奏总纲!AH149</f>
        <v>90.798961767426448</v>
      </c>
      <c r="AZ149" s="2">
        <v>146</v>
      </c>
      <c r="BA149" s="7">
        <f>[1]节奏总纲!BA149</f>
        <v>40.565257713910484</v>
      </c>
      <c r="BB149" s="7">
        <f>[1]节奏总纲!BB149</f>
        <v>42.080366850119908</v>
      </c>
      <c r="BC149" s="7">
        <f>[1]节奏总纲!BC149</f>
        <v>44.024818750237806</v>
      </c>
      <c r="BD149" s="7">
        <f>[1]节奏总纲!BD149</f>
        <v>46.754011500516519</v>
      </c>
      <c r="BE149" s="7">
        <f>[1]节奏总纲!BE149</f>
        <v>51.446820014704571</v>
      </c>
    </row>
    <row r="150" spans="6:57" x14ac:dyDescent="0.15">
      <c r="F150" s="2">
        <v>148</v>
      </c>
      <c r="G150" s="2">
        <f t="shared" si="7"/>
        <v>28525.200858087381</v>
      </c>
      <c r="AC150" s="2">
        <v>147</v>
      </c>
      <c r="AD150" s="7">
        <f>[1]节奏总纲!AD150</f>
        <v>72.091594979242075</v>
      </c>
      <c r="AE150" s="7">
        <f>[1]节奏总纲!AE150</f>
        <v>74.173410870467364</v>
      </c>
      <c r="AF150" s="7">
        <f>[1]节奏总纲!AF150</f>
        <v>77.043751281705866</v>
      </c>
      <c r="AG150" s="7">
        <f>[1]节奏总纲!AG150</f>
        <v>81.620751423273092</v>
      </c>
      <c r="AH150" s="7">
        <f>[1]节奏总纲!AH150</f>
        <v>90.905220813499923</v>
      </c>
      <c r="AZ150" s="2">
        <v>147</v>
      </c>
      <c r="BA150" s="7">
        <f>[1]节奏总纲!BA150</f>
        <v>40.611876906810316</v>
      </c>
      <c r="BB150" s="7">
        <f>[1]节奏总纲!BB150</f>
        <v>42.123757793778736</v>
      </c>
      <c r="BC150" s="7">
        <f>[1]节奏总纲!BC150</f>
        <v>44.067911160744309</v>
      </c>
      <c r="BD150" s="7">
        <f>[1]节奏总纲!BD150</f>
        <v>46.802171607563338</v>
      </c>
      <c r="BE150" s="7">
        <f>[1]节奏总纲!BE150</f>
        <v>51.493031550542263</v>
      </c>
    </row>
    <row r="151" spans="6:57" x14ac:dyDescent="0.15">
      <c r="F151" s="2">
        <v>149</v>
      </c>
      <c r="G151" s="2">
        <f t="shared" si="7"/>
        <v>30572.62506667812</v>
      </c>
      <c r="AC151" s="2">
        <v>148</v>
      </c>
      <c r="AD151" s="7">
        <f>[1]节奏总纲!AD151</f>
        <v>72.186353905945822</v>
      </c>
      <c r="AE151" s="7">
        <f>[1]节奏总纲!AE151</f>
        <v>74.267848740411821</v>
      </c>
      <c r="AF151" s="7">
        <f>[1]节奏总纲!AF151</f>
        <v>77.137200185007629</v>
      </c>
      <c r="AG151" s="7">
        <f>[1]节奏总纲!AG151</f>
        <v>81.720235216681118</v>
      </c>
      <c r="AH151" s="7">
        <f>[1]节奏总纲!AH151</f>
        <v>91.011076811620597</v>
      </c>
      <c r="AZ151" s="2">
        <v>148</v>
      </c>
      <c r="BA151" s="7">
        <f>[1]节奏总纲!BA151</f>
        <v>40.658496099710149</v>
      </c>
      <c r="BB151" s="7">
        <f>[1]节奏总纲!BB151</f>
        <v>42.167148737437564</v>
      </c>
      <c r="BC151" s="7">
        <f>[1]节奏总纲!BC151</f>
        <v>44.111003571250812</v>
      </c>
      <c r="BD151" s="7">
        <f>[1]节奏总纲!BD151</f>
        <v>46.850331714610157</v>
      </c>
      <c r="BE151" s="7">
        <f>[1]节奏总纲!BE151</f>
        <v>51.539243086379955</v>
      </c>
    </row>
    <row r="152" spans="6:57" x14ac:dyDescent="0.15">
      <c r="F152" s="2">
        <v>150</v>
      </c>
      <c r="G152" s="2">
        <f t="shared" si="7"/>
        <v>32767</v>
      </c>
      <c r="AC152" s="2">
        <v>149</v>
      </c>
      <c r="AD152" s="7">
        <f>[1]节奏总纲!AD152</f>
        <v>72.281112832649583</v>
      </c>
      <c r="AE152" s="7">
        <f>[1]节奏总纲!AE152</f>
        <v>74.362286610356264</v>
      </c>
      <c r="AF152" s="7">
        <f>[1]节奏总纲!AF152</f>
        <v>77.230649088309391</v>
      </c>
      <c r="AG152" s="7">
        <f>[1]节奏总纲!AG152</f>
        <v>81.819719010089131</v>
      </c>
      <c r="AH152" s="7">
        <f>[1]节奏总纲!AH152</f>
        <v>91.113605194377854</v>
      </c>
      <c r="AZ152" s="2">
        <v>149</v>
      </c>
      <c r="BA152" s="7">
        <f>[1]节奏总纲!BA152</f>
        <v>40.705115292609982</v>
      </c>
      <c r="BB152" s="7">
        <f>[1]节奏总纲!BB152</f>
        <v>42.2105396810964</v>
      </c>
      <c r="BC152" s="7">
        <f>[1]节奏总纲!BC152</f>
        <v>44.154095981757315</v>
      </c>
      <c r="BD152" s="7">
        <f>[1]节奏总纲!BD152</f>
        <v>46.898491821656968</v>
      </c>
      <c r="BE152" s="7">
        <f>[1]节奏总纲!BE152</f>
        <v>51.585454622217647</v>
      </c>
    </row>
    <row r="153" spans="6:57" x14ac:dyDescent="0.15">
      <c r="AC153" s="2">
        <v>150</v>
      </c>
      <c r="AD153" s="7">
        <f>[1]节奏总纲!AD153</f>
        <v>72.375871759353331</v>
      </c>
      <c r="AE153" s="7">
        <f>[1]节奏总纲!AE153</f>
        <v>74.456724480300707</v>
      </c>
      <c r="AF153" s="7">
        <f>[1]节奏总纲!AF153</f>
        <v>77.324097991611154</v>
      </c>
      <c r="AG153" s="7">
        <f>[1]节奏总纲!AG153</f>
        <v>81.919202803497143</v>
      </c>
      <c r="AH153" s="7">
        <f>[1]节奏总纲!AH153</f>
        <v>91.216133577135096</v>
      </c>
      <c r="AZ153" s="2">
        <v>150</v>
      </c>
      <c r="BA153" s="7">
        <f>[1]节奏总纲!BA153</f>
        <v>40.751734485509814</v>
      </c>
      <c r="BB153" s="7">
        <f>[1]节奏总纲!BB153</f>
        <v>42.253930624755228</v>
      </c>
      <c r="BC153" s="7">
        <f>[1]节奏总纲!BC153</f>
        <v>44.197188392263818</v>
      </c>
      <c r="BD153" s="7">
        <f>[1]节奏总纲!BD153</f>
        <v>46.946651928703787</v>
      </c>
      <c r="BE153" s="7">
        <f>[1]节奏总纲!BE153</f>
        <v>51.631666158055346</v>
      </c>
    </row>
    <row r="154" spans="6:57" x14ac:dyDescent="0.15">
      <c r="AC154" s="2">
        <v>151</v>
      </c>
      <c r="AD154" s="7">
        <f>[1]节奏总纲!AD154</f>
        <v>72.470630686057078</v>
      </c>
      <c r="AE154" s="7">
        <f>[1]节奏总纲!AE154</f>
        <v>74.551162350245164</v>
      </c>
      <c r="AF154" s="7">
        <f>[1]节奏总纲!AF154</f>
        <v>77.417546894912917</v>
      </c>
      <c r="AG154" s="7">
        <f>[1]节奏总纲!AG154</f>
        <v>82.01744549958407</v>
      </c>
      <c r="AH154" s="7">
        <f>[1]节奏总纲!AH154</f>
        <v>91.318661959892353</v>
      </c>
      <c r="AZ154" s="2">
        <v>151</v>
      </c>
      <c r="BA154" s="7">
        <f>[1]节奏总纲!BA154</f>
        <v>40.798353678409647</v>
      </c>
      <c r="BB154" s="7">
        <f>[1]节奏总纲!BB154</f>
        <v>42.297321568414056</v>
      </c>
      <c r="BC154" s="7">
        <f>[1]节奏总纲!BC154</f>
        <v>44.240280802770329</v>
      </c>
      <c r="BD154" s="7">
        <f>[1]节奏总纲!BD154</f>
        <v>46.994812035750606</v>
      </c>
      <c r="BE154" s="7">
        <f>[1]节奏总纲!BE154</f>
        <v>51.677877693893038</v>
      </c>
    </row>
    <row r="155" spans="6:57" x14ac:dyDescent="0.15">
      <c r="AC155" s="2">
        <v>152</v>
      </c>
      <c r="AD155" s="7">
        <f>[1]节奏总纲!AD155</f>
        <v>72.565389612760825</v>
      </c>
      <c r="AE155" s="7">
        <f>[1]节奏总纲!AE155</f>
        <v>74.645600220189607</v>
      </c>
      <c r="AF155" s="7">
        <f>[1]节奏总纲!AF155</f>
        <v>77.51099579821468</v>
      </c>
      <c r="AG155" s="7">
        <f>[1]节奏总纲!AG155</f>
        <v>82.110321933176039</v>
      </c>
      <c r="AH155" s="7">
        <f>[1]节奏总纲!AH155</f>
        <v>91.421190342649595</v>
      </c>
      <c r="AZ155" s="2">
        <v>152</v>
      </c>
      <c r="BA155" s="7">
        <f>[1]节奏总纲!BA155</f>
        <v>40.84497287130948</v>
      </c>
      <c r="BB155" s="7">
        <f>[1]节奏总纲!BB155</f>
        <v>42.340712512072891</v>
      </c>
      <c r="BC155" s="7">
        <f>[1]节奏总纲!BC155</f>
        <v>44.283373213276832</v>
      </c>
      <c r="BD155" s="7">
        <f>[1]节奏总纲!BD155</f>
        <v>47.037096473408994</v>
      </c>
      <c r="BE155" s="7">
        <f>[1]节奏总纲!BE155</f>
        <v>51.72408922973073</v>
      </c>
    </row>
    <row r="156" spans="6:57" x14ac:dyDescent="0.15">
      <c r="AC156" s="2">
        <v>153</v>
      </c>
      <c r="AD156" s="7">
        <f>[1]节奏总纲!AD156</f>
        <v>72.660148539464572</v>
      </c>
      <c r="AE156" s="7">
        <f>[1]节奏总纲!AE156</f>
        <v>74.74003809013405</v>
      </c>
      <c r="AF156" s="7">
        <f>[1]节奏总纲!AF156</f>
        <v>77.604444701516456</v>
      </c>
      <c r="AG156" s="7">
        <f>[1]节奏总纲!AG156</f>
        <v>82.203198366767992</v>
      </c>
      <c r="AH156" s="7">
        <f>[1]节奏总纲!AH156</f>
        <v>91.523718725406852</v>
      </c>
      <c r="AZ156" s="2">
        <v>153</v>
      </c>
      <c r="BA156" s="7">
        <f>[1]节奏总纲!BA156</f>
        <v>40.891592064209313</v>
      </c>
      <c r="BB156" s="7">
        <f>[1]节奏总纲!BB156</f>
        <v>42.384103455731719</v>
      </c>
      <c r="BC156" s="7">
        <f>[1]节奏总纲!BC156</f>
        <v>44.326465623783335</v>
      </c>
      <c r="BD156" s="7">
        <f>[1]节奏总纲!BD156</f>
        <v>47.078671550054786</v>
      </c>
      <c r="BE156" s="7">
        <f>[1]节奏总纲!BE156</f>
        <v>51.770300765568422</v>
      </c>
    </row>
    <row r="157" spans="6:57" x14ac:dyDescent="0.15">
      <c r="AC157" s="2">
        <v>154</v>
      </c>
      <c r="AD157" s="7">
        <f>[1]节奏总纲!AD157</f>
        <v>72.754907466168333</v>
      </c>
      <c r="AE157" s="7">
        <f>[1]节奏总纲!AE157</f>
        <v>74.834475960078507</v>
      </c>
      <c r="AF157" s="7">
        <f>[1]节奏总纲!AF157</f>
        <v>77.697893604818219</v>
      </c>
      <c r="AG157" s="7">
        <f>[1]节奏总纲!AG157</f>
        <v>82.29607480035996</v>
      </c>
      <c r="AH157" s="7">
        <f>[1]节奏总纲!AH157</f>
        <v>91.626247108164094</v>
      </c>
      <c r="AZ157" s="2">
        <v>154</v>
      </c>
      <c r="BA157" s="7">
        <f>[1]节奏总纲!BA157</f>
        <v>40.938211257109145</v>
      </c>
      <c r="BB157" s="7">
        <f>[1]节奏总纲!BB157</f>
        <v>42.427494399390554</v>
      </c>
      <c r="BC157" s="7">
        <f>[1]节奏总纲!BC157</f>
        <v>44.369558034289838</v>
      </c>
      <c r="BD157" s="7">
        <f>[1]节奏总纲!BD157</f>
        <v>47.12024662670057</v>
      </c>
      <c r="BE157" s="7">
        <f>[1]节奏总纲!BE157</f>
        <v>51.816512301406114</v>
      </c>
    </row>
    <row r="158" spans="6:57" x14ac:dyDescent="0.15">
      <c r="AC158" s="2">
        <v>155</v>
      </c>
      <c r="AD158" s="7">
        <f>[1]节奏总纲!AD158</f>
        <v>72.849666392872081</v>
      </c>
      <c r="AE158" s="7">
        <f>[1]节奏总纲!AE158</f>
        <v>74.92891383002295</v>
      </c>
      <c r="AF158" s="7">
        <f>[1]节奏总纲!AF158</f>
        <v>77.791342508119982</v>
      </c>
      <c r="AG158" s="7">
        <f>[1]节奏总纲!AG158</f>
        <v>82.388951233951914</v>
      </c>
      <c r="AH158" s="7">
        <f>[1]节奏总纲!AH158</f>
        <v>91.72877549092135</v>
      </c>
      <c r="AZ158" s="2">
        <v>155</v>
      </c>
      <c r="BA158" s="7">
        <f>[1]节奏总纲!BA158</f>
        <v>40.984830450008985</v>
      </c>
      <c r="BB158" s="7">
        <f>[1]节奏总纲!BB158</f>
        <v>42.470885343049382</v>
      </c>
      <c r="BC158" s="7">
        <f>[1]节奏总纲!BC158</f>
        <v>44.412650444796341</v>
      </c>
      <c r="BD158" s="7">
        <f>[1]节奏总纲!BD158</f>
        <v>47.161821703346362</v>
      </c>
      <c r="BE158" s="7">
        <f>[1]节奏总纲!BE158</f>
        <v>51.862723837243806</v>
      </c>
    </row>
    <row r="159" spans="6:57" x14ac:dyDescent="0.15">
      <c r="AC159" s="2">
        <v>156</v>
      </c>
      <c r="AD159" s="7">
        <f>[1]节奏总纲!AD159</f>
        <v>72.944425319575828</v>
      </c>
      <c r="AE159" s="7">
        <f>[1]节奏总纲!AE159</f>
        <v>75.022035011469043</v>
      </c>
      <c r="AF159" s="7">
        <f>[1]节奏总纲!AF159</f>
        <v>77.884791411421745</v>
      </c>
      <c r="AG159" s="7">
        <f>[1]节奏总纲!AG159</f>
        <v>82.481827667543882</v>
      </c>
      <c r="AH159" s="7">
        <f>[1]节奏总纲!AH159</f>
        <v>91.831303873678593</v>
      </c>
      <c r="AZ159" s="2">
        <v>156</v>
      </c>
      <c r="BA159" s="7">
        <f>[1]节奏总纲!BA159</f>
        <v>41.027136894088379</v>
      </c>
      <c r="BB159" s="7">
        <f>[1]节奏总纲!BB159</f>
        <v>42.51427628670821</v>
      </c>
      <c r="BC159" s="7">
        <f>[1]节奏总纲!BC159</f>
        <v>44.455742855302844</v>
      </c>
      <c r="BD159" s="7">
        <f>[1]节奏总纲!BD159</f>
        <v>47.203396779992147</v>
      </c>
      <c r="BE159" s="7">
        <f>[1]节奏总纲!BE159</f>
        <v>51.908935373081505</v>
      </c>
    </row>
    <row r="160" spans="6:57" x14ac:dyDescent="0.15">
      <c r="AC160" s="2">
        <v>157</v>
      </c>
      <c r="AD160" s="7">
        <f>[1]节奏总纲!AD160</f>
        <v>73.036560194527354</v>
      </c>
      <c r="AE160" s="7">
        <f>[1]节奏总纲!AE160</f>
        <v>75.111147990406067</v>
      </c>
      <c r="AF160" s="7">
        <f>[1]节奏总纲!AF160</f>
        <v>77.978240314723507</v>
      </c>
      <c r="AG160" s="7">
        <f>[1]节奏总纲!AG160</f>
        <v>82.574704101135836</v>
      </c>
      <c r="AH160" s="7">
        <f>[1]节奏总纲!AH160</f>
        <v>91.933832256435849</v>
      </c>
      <c r="AZ160" s="2">
        <v>157</v>
      </c>
      <c r="BA160" s="7">
        <f>[1]节奏总纲!BA160</f>
        <v>41.067363109180121</v>
      </c>
      <c r="BB160" s="7">
        <f>[1]节奏总纲!BB160</f>
        <v>42.557667230367045</v>
      </c>
      <c r="BC160" s="7">
        <f>[1]节奏总纲!BC160</f>
        <v>44.498835265809355</v>
      </c>
      <c r="BD160" s="7">
        <f>[1]节奏总纲!BD160</f>
        <v>47.244971856637939</v>
      </c>
      <c r="BE160" s="7">
        <f>[1]节奏总纲!BE160</f>
        <v>51.955146908919197</v>
      </c>
    </row>
    <row r="161" spans="29:57" s="2" customFormat="1" x14ac:dyDescent="0.15">
      <c r="AC161" s="2">
        <v>158</v>
      </c>
      <c r="AD161" s="7">
        <f>[1]节奏总纲!AD161</f>
        <v>73.124973399384572</v>
      </c>
      <c r="AE161" s="7">
        <f>[1]节奏总纲!AE161</f>
        <v>75.200260969343077</v>
      </c>
      <c r="AF161" s="7">
        <f>[1]节奏总纲!AF161</f>
        <v>78.066694029528094</v>
      </c>
      <c r="AG161" s="7">
        <f>[1]节奏总纲!AG161</f>
        <v>82.667580534727804</v>
      </c>
      <c r="AH161" s="7">
        <f>[1]节奏总纲!AH161</f>
        <v>92.033129415212969</v>
      </c>
      <c r="AJ161" s="1"/>
      <c r="AR161" s="3"/>
      <c r="AY161" s="3"/>
      <c r="AZ161" s="2">
        <v>158</v>
      </c>
      <c r="BA161" s="7">
        <f>[1]节奏总纲!BA161</f>
        <v>41.107589324271871</v>
      </c>
      <c r="BB161" s="7">
        <f>[1]节奏总纲!BB161</f>
        <v>42.601058174025873</v>
      </c>
      <c r="BC161" s="7">
        <f>[1]节奏总纲!BC161</f>
        <v>44.541927676315858</v>
      </c>
      <c r="BD161" s="7">
        <f>[1]节奏总纲!BD161</f>
        <v>47.286546933283724</v>
      </c>
      <c r="BE161" s="7">
        <f>[1]节奏总纲!BE161</f>
        <v>52.001173105835825</v>
      </c>
    </row>
    <row r="162" spans="29:57" s="2" customFormat="1" x14ac:dyDescent="0.15">
      <c r="AC162" s="2">
        <v>159</v>
      </c>
      <c r="AD162" s="7">
        <f>[1]节奏总纲!AD162</f>
        <v>73.213386604241791</v>
      </c>
      <c r="AE162" s="7">
        <f>[1]节奏总纲!AE162</f>
        <v>75.289373948280101</v>
      </c>
      <c r="AF162" s="7">
        <f>[1]节奏总纲!AF162</f>
        <v>78.153631564737054</v>
      </c>
      <c r="AG162" s="7">
        <f>[1]节奏总纲!AG162</f>
        <v>82.760456968319758</v>
      </c>
      <c r="AH162" s="7">
        <f>[1]节奏总纲!AH162</f>
        <v>92.126546512350387</v>
      </c>
      <c r="AJ162" s="1"/>
      <c r="AR162" s="3"/>
      <c r="AY162" s="3"/>
      <c r="AZ162" s="2">
        <v>159</v>
      </c>
      <c r="BA162" s="7">
        <f>[1]节奏总纲!BA162</f>
        <v>41.147815539363613</v>
      </c>
      <c r="BB162" s="7">
        <f>[1]节奏总纲!BB162</f>
        <v>42.644449117684701</v>
      </c>
      <c r="BC162" s="7">
        <f>[1]节奏总纲!BC162</f>
        <v>44.585020086822361</v>
      </c>
      <c r="BD162" s="7">
        <f>[1]节奏总纲!BD162</f>
        <v>47.328122009929508</v>
      </c>
      <c r="BE162" s="7">
        <f>[1]节奏总纲!BE162</f>
        <v>52.041079787427918</v>
      </c>
    </row>
    <row r="163" spans="29:57" s="2" customFormat="1" x14ac:dyDescent="0.15">
      <c r="AC163" s="2">
        <v>160</v>
      </c>
      <c r="AD163" s="7">
        <f>[1]节奏总纲!AD163</f>
        <v>73.301799809099009</v>
      </c>
      <c r="AE163" s="7">
        <f>[1]节奏总纲!AE163</f>
        <v>75.378486927217125</v>
      </c>
      <c r="AF163" s="7">
        <f>[1]节奏总纲!AF163</f>
        <v>78.240569099946029</v>
      </c>
      <c r="AG163" s="7">
        <f>[1]节奏总纲!AG163</f>
        <v>82.853333401911726</v>
      </c>
      <c r="AH163" s="7">
        <f>[1]节奏总纲!AH163</f>
        <v>92.219963609487792</v>
      </c>
      <c r="AJ163" s="1"/>
      <c r="AR163" s="3"/>
      <c r="AY163" s="3"/>
      <c r="AZ163" s="2">
        <v>160</v>
      </c>
      <c r="BA163" s="7">
        <f>[1]节奏总纲!BA163</f>
        <v>41.188041754455355</v>
      </c>
      <c r="BB163" s="7">
        <f>[1]节奏总纲!BB163</f>
        <v>42.687840061343536</v>
      </c>
      <c r="BC163" s="7">
        <f>[1]节奏总纲!BC163</f>
        <v>44.628112497328864</v>
      </c>
      <c r="BD163" s="7">
        <f>[1]节奏总纲!BD163</f>
        <v>47.3696970865753</v>
      </c>
      <c r="BE163" s="7">
        <f>[1]节奏总纲!BE163</f>
        <v>52.080986469020011</v>
      </c>
    </row>
    <row r="164" spans="29:57" s="2" customFormat="1" x14ac:dyDescent="0.15">
      <c r="AC164" s="2">
        <v>161</v>
      </c>
      <c r="AD164" s="7">
        <f>[1]节奏总纲!AD164</f>
        <v>73.390213013956213</v>
      </c>
      <c r="AE164" s="7">
        <f>[1]节奏总纲!AE164</f>
        <v>75.467599906154135</v>
      </c>
      <c r="AF164" s="7">
        <f>[1]节奏总纲!AF164</f>
        <v>78.32750663515499</v>
      </c>
      <c r="AG164" s="7">
        <f>[1]节奏总纲!AG164</f>
        <v>82.94620983550368</v>
      </c>
      <c r="AH164" s="7">
        <f>[1]节奏总纲!AH164</f>
        <v>92.313380706625196</v>
      </c>
      <c r="AJ164" s="1"/>
      <c r="AR164" s="3"/>
      <c r="AY164" s="3"/>
      <c r="AZ164" s="2">
        <v>161</v>
      </c>
      <c r="BA164" s="7">
        <f>[1]节奏总纲!BA164</f>
        <v>41.228267969547105</v>
      </c>
      <c r="BB164" s="7">
        <f>[1]节奏总纲!BB164</f>
        <v>42.731231005002364</v>
      </c>
      <c r="BC164" s="7">
        <f>[1]节奏总纲!BC164</f>
        <v>44.671204907835367</v>
      </c>
      <c r="BD164" s="7">
        <f>[1]节奏总纲!BD164</f>
        <v>47.411272163221085</v>
      </c>
      <c r="BE164" s="7">
        <f>[1]节奏总纲!BE164</f>
        <v>52.120893150612112</v>
      </c>
    </row>
    <row r="165" spans="29:57" s="2" customFormat="1" x14ac:dyDescent="0.15">
      <c r="AC165" s="2">
        <v>162</v>
      </c>
      <c r="AD165" s="7">
        <f>[1]节奏总纲!AD165</f>
        <v>73.478626218813432</v>
      </c>
      <c r="AE165" s="7">
        <f>[1]节奏总纲!AE165</f>
        <v>75.556712885091159</v>
      </c>
      <c r="AF165" s="7">
        <f>[1]节奏总纲!AF165</f>
        <v>78.414444170363964</v>
      </c>
      <c r="AG165" s="7">
        <f>[1]节奏总纲!AG165</f>
        <v>83.036921590135321</v>
      </c>
      <c r="AH165" s="7">
        <f>[1]节奏总纲!AH165</f>
        <v>92.406797803762601</v>
      </c>
      <c r="AJ165" s="1"/>
      <c r="AR165" s="3"/>
      <c r="AY165" s="3"/>
      <c r="AZ165" s="2">
        <v>162</v>
      </c>
      <c r="BA165" s="7">
        <f>[1]节奏总纲!BA165</f>
        <v>41.268494184638847</v>
      </c>
      <c r="BB165" s="7">
        <f>[1]节奏总纲!BB165</f>
        <v>42.774621948661192</v>
      </c>
      <c r="BC165" s="7">
        <f>[1]节奏总纲!BC165</f>
        <v>44.714297318341877</v>
      </c>
      <c r="BD165" s="7">
        <f>[1]节奏总纲!BD165</f>
        <v>47.452847239866877</v>
      </c>
      <c r="BE165" s="7">
        <f>[1]节奏总纲!BE165</f>
        <v>52.160799832204205</v>
      </c>
    </row>
    <row r="166" spans="29:57" s="2" customFormat="1" x14ac:dyDescent="0.15">
      <c r="AC166" s="2">
        <v>163</v>
      </c>
      <c r="AD166" s="7">
        <f>[1]节奏总纲!AD166</f>
        <v>73.56703942367065</v>
      </c>
      <c r="AE166" s="7">
        <f>[1]节奏总纲!AE166</f>
        <v>75.645825864028183</v>
      </c>
      <c r="AF166" s="7">
        <f>[1]节奏总纲!AF166</f>
        <v>78.501381705572925</v>
      </c>
      <c r="AG166" s="7">
        <f>[1]节奏总纲!AG166</f>
        <v>83.124654333465756</v>
      </c>
      <c r="AH166" s="7">
        <f>[1]节奏总纲!AH166</f>
        <v>92.500214900900005</v>
      </c>
      <c r="AJ166" s="1"/>
      <c r="AR166" s="3"/>
      <c r="AY166" s="3"/>
      <c r="AZ166" s="2">
        <v>163</v>
      </c>
      <c r="BA166" s="7">
        <f>[1]节奏总纲!BA166</f>
        <v>41.308720399730589</v>
      </c>
      <c r="BB166" s="7">
        <f>[1]节奏总纲!BB166</f>
        <v>42.818012892320027</v>
      </c>
      <c r="BC166" s="7">
        <f>[1]节奏总纲!BC166</f>
        <v>44.757389728848381</v>
      </c>
      <c r="BD166" s="7">
        <f>[1]节奏总纲!BD166</f>
        <v>47.494422316512662</v>
      </c>
      <c r="BE166" s="7">
        <f>[1]节奏总纲!BE166</f>
        <v>52.200706513796298</v>
      </c>
    </row>
    <row r="167" spans="29:57" s="2" customFormat="1" x14ac:dyDescent="0.15">
      <c r="AC167" s="2">
        <v>164</v>
      </c>
      <c r="AD167" s="7">
        <f>[1]节奏总纲!AD167</f>
        <v>73.655452628527868</v>
      </c>
      <c r="AE167" s="7">
        <f>[1]节奏总纲!AE167</f>
        <v>75.734938842965192</v>
      </c>
      <c r="AF167" s="7">
        <f>[1]节奏总纲!AF167</f>
        <v>78.5883192407819</v>
      </c>
      <c r="AG167" s="7">
        <f>[1]节奏总纲!AG167</f>
        <v>83.21238707679619</v>
      </c>
      <c r="AH167" s="7">
        <f>[1]节奏总纲!AH167</f>
        <v>92.593631998037409</v>
      </c>
      <c r="AJ167" s="1"/>
      <c r="AR167" s="3"/>
      <c r="AY167" s="3"/>
      <c r="AZ167" s="2">
        <v>164</v>
      </c>
      <c r="BA167" s="7">
        <f>[1]节奏总纲!BA167</f>
        <v>41.348946614822331</v>
      </c>
      <c r="BB167" s="7">
        <f>[1]节奏总纲!BB167</f>
        <v>42.861403835978855</v>
      </c>
      <c r="BC167" s="7">
        <f>[1]节奏总纲!BC167</f>
        <v>44.800482139354884</v>
      </c>
      <c r="BD167" s="7">
        <f>[1]节奏总纲!BD167</f>
        <v>47.535997393158453</v>
      </c>
      <c r="BE167" s="7">
        <f>[1]节奏总纲!BE167</f>
        <v>52.240613195388391</v>
      </c>
    </row>
    <row r="168" spans="29:57" s="2" customFormat="1" x14ac:dyDescent="0.15">
      <c r="AC168" s="2">
        <v>165</v>
      </c>
      <c r="AD168" s="7">
        <f>[1]节奏总纲!AD168</f>
        <v>73.743865833385087</v>
      </c>
      <c r="AE168" s="7">
        <f>[1]节奏总纲!AE168</f>
        <v>75.824051821902216</v>
      </c>
      <c r="AF168" s="7">
        <f>[1]节奏总纲!AF168</f>
        <v>78.67525677599086</v>
      </c>
      <c r="AG168" s="7">
        <f>[1]节奏总纲!AG168</f>
        <v>83.300119820126625</v>
      </c>
      <c r="AH168" s="7">
        <f>[1]节奏总纲!AH168</f>
        <v>92.687049095174814</v>
      </c>
      <c r="AJ168" s="1"/>
      <c r="AR168" s="3"/>
      <c r="AY168" s="3"/>
      <c r="AZ168" s="2">
        <v>165</v>
      </c>
      <c r="BA168" s="7">
        <f>[1]节奏总纲!BA168</f>
        <v>41.389172829914081</v>
      </c>
      <c r="BB168" s="7">
        <f>[1]节奏总纲!BB168</f>
        <v>42.904794779637683</v>
      </c>
      <c r="BC168" s="7">
        <f>[1]节奏总纲!BC168</f>
        <v>44.843574549861387</v>
      </c>
      <c r="BD168" s="7">
        <f>[1]节奏总纲!BD168</f>
        <v>47.577572469804238</v>
      </c>
      <c r="BE168" s="7">
        <f>[1]节奏总纲!BE168</f>
        <v>52.280519876980485</v>
      </c>
    </row>
    <row r="169" spans="29:57" s="2" customFormat="1" x14ac:dyDescent="0.15">
      <c r="AC169" s="2">
        <v>166</v>
      </c>
      <c r="AD169" s="7">
        <f>[1]节奏总纲!AD169</f>
        <v>73.832279038242305</v>
      </c>
      <c r="AE169" s="7">
        <f>[1]节奏总纲!AE169</f>
        <v>75.91316480083924</v>
      </c>
      <c r="AF169" s="7">
        <f>[1]节奏总纲!AF169</f>
        <v>78.762194311199835</v>
      </c>
      <c r="AG169" s="7">
        <f>[1]节奏总纲!AG169</f>
        <v>83.387852563457059</v>
      </c>
      <c r="AH169" s="7">
        <f>[1]节奏总纲!AH169</f>
        <v>92.780466192312218</v>
      </c>
      <c r="AJ169" s="1"/>
      <c r="AR169" s="3"/>
      <c r="AY169" s="3"/>
      <c r="AZ169" s="2">
        <v>166</v>
      </c>
      <c r="BA169" s="7">
        <f>[1]节奏总纲!BA169</f>
        <v>41.429399045005823</v>
      </c>
      <c r="BB169" s="7">
        <f>[1]节奏总纲!BB169</f>
        <v>42.948185723296518</v>
      </c>
      <c r="BC169" s="7">
        <f>[1]节奏总纲!BC169</f>
        <v>44.88666696036789</v>
      </c>
      <c r="BD169" s="7">
        <f>[1]节奏总纲!BD169</f>
        <v>47.619147546450023</v>
      </c>
      <c r="BE169" s="7">
        <f>[1]节奏总纲!BE169</f>
        <v>52.320426558572585</v>
      </c>
    </row>
    <row r="170" spans="29:57" s="2" customFormat="1" x14ac:dyDescent="0.15">
      <c r="AC170" s="2">
        <v>167</v>
      </c>
      <c r="AD170" s="7">
        <f>[1]节奏总纲!AD170</f>
        <v>73.920692243099523</v>
      </c>
      <c r="AE170" s="7">
        <f>[1]节奏总纲!AE170</f>
        <v>76.002103770254962</v>
      </c>
      <c r="AF170" s="7">
        <f>[1]节奏总纲!AF170</f>
        <v>78.849131846408795</v>
      </c>
      <c r="AG170" s="7">
        <f>[1]节奏总纲!AG170</f>
        <v>83.475585306787494</v>
      </c>
      <c r="AH170" s="7">
        <f>[1]节奏总纲!AH170</f>
        <v>92.873883289449623</v>
      </c>
      <c r="AJ170" s="1"/>
      <c r="AR170" s="3"/>
      <c r="AY170" s="3"/>
      <c r="AZ170" s="2">
        <v>167</v>
      </c>
      <c r="BA170" s="7">
        <f>[1]节奏总纲!BA170</f>
        <v>41.469625260097565</v>
      </c>
      <c r="BB170" s="7">
        <f>[1]节奏总纲!BB170</f>
        <v>42.991576666955346</v>
      </c>
      <c r="BC170" s="7">
        <f>[1]节奏总纲!BC170</f>
        <v>44.9297593708744</v>
      </c>
      <c r="BD170" s="7">
        <f>[1]节奏总纲!BD170</f>
        <v>47.660722623095815</v>
      </c>
      <c r="BE170" s="7">
        <f>[1]节奏总纲!BE170</f>
        <v>52.360333240164678</v>
      </c>
    </row>
    <row r="171" spans="29:57" s="2" customFormat="1" x14ac:dyDescent="0.15">
      <c r="AC171" s="2">
        <v>168</v>
      </c>
      <c r="AD171" s="7">
        <f>[1]节奏总纲!AD171</f>
        <v>74.008495683346354</v>
      </c>
      <c r="AE171" s="7">
        <f>[1]节奏总纲!AE171</f>
        <v>76.084409020469636</v>
      </c>
      <c r="AF171" s="7">
        <f>[1]节奏总纲!AF171</f>
        <v>78.93606938161777</v>
      </c>
      <c r="AG171" s="7">
        <f>[1]节奏总纲!AG171</f>
        <v>83.563318050117928</v>
      </c>
      <c r="AH171" s="7">
        <f>[1]节奏总纲!AH171</f>
        <v>92.967300386587027</v>
      </c>
      <c r="AJ171" s="1"/>
      <c r="AR171" s="3"/>
      <c r="AY171" s="3"/>
      <c r="AZ171" s="2">
        <v>168</v>
      </c>
      <c r="BA171" s="7">
        <f>[1]节奏总纲!BA171</f>
        <v>41.509851475189308</v>
      </c>
      <c r="BB171" s="7">
        <f>[1]节奏总纲!BB171</f>
        <v>43.030177309109042</v>
      </c>
      <c r="BC171" s="7">
        <f>[1]节奏总纲!BC171</f>
        <v>44.972851781380903</v>
      </c>
      <c r="BD171" s="7">
        <f>[1]节奏总纲!BD171</f>
        <v>47.7022976997416</v>
      </c>
      <c r="BE171" s="7">
        <f>[1]节奏总纲!BE171</f>
        <v>52.400239921756771</v>
      </c>
    </row>
    <row r="172" spans="29:57" s="2" customFormat="1" x14ac:dyDescent="0.15">
      <c r="AC172" s="2">
        <v>169</v>
      </c>
      <c r="AD172" s="7">
        <f>[1]节奏总纲!AD172</f>
        <v>74.090988120365651</v>
      </c>
      <c r="AE172" s="7">
        <f>[1]节奏总纲!AE172</f>
        <v>76.166714270684309</v>
      </c>
      <c r="AF172" s="7">
        <f>[1]节奏总纲!AF172</f>
        <v>79.022812309215297</v>
      </c>
      <c r="AG172" s="7">
        <f>[1]节奏总纲!AG172</f>
        <v>83.651050793448363</v>
      </c>
      <c r="AH172" s="7">
        <f>[1]节奏总纲!AH172</f>
        <v>93.057555567360481</v>
      </c>
      <c r="AJ172" s="1"/>
      <c r="AR172" s="3"/>
      <c r="AY172" s="3"/>
      <c r="AZ172" s="2">
        <v>169</v>
      </c>
      <c r="BA172" s="7">
        <f>[1]节奏总纲!BA172</f>
        <v>41.550077690281057</v>
      </c>
      <c r="BB172" s="7">
        <f>[1]节奏总纲!BB172</f>
        <v>43.067624017543686</v>
      </c>
      <c r="BC172" s="7">
        <f>[1]节奏总纲!BC172</f>
        <v>45.013762077986961</v>
      </c>
      <c r="BD172" s="7">
        <f>[1]节奏总纲!BD172</f>
        <v>47.743872776387391</v>
      </c>
      <c r="BE172" s="7">
        <f>[1]节奏总纲!BE172</f>
        <v>52.440146603348865</v>
      </c>
    </row>
    <row r="173" spans="29:57" s="2" customFormat="1" x14ac:dyDescent="0.15">
      <c r="AC173" s="2">
        <v>170</v>
      </c>
      <c r="AD173" s="7">
        <f>[1]节奏总纲!AD173</f>
        <v>74.173480557384934</v>
      </c>
      <c r="AE173" s="7">
        <f>[1]节奏总纲!AE173</f>
        <v>76.249019520898997</v>
      </c>
      <c r="AF173" s="7">
        <f>[1]节奏总纲!AF173</f>
        <v>79.109014469658547</v>
      </c>
      <c r="AG173" s="7">
        <f>[1]节奏总纲!AG173</f>
        <v>83.738783536778797</v>
      </c>
      <c r="AH173" s="7">
        <f>[1]节奏总纲!AH173</f>
        <v>93.146107887007233</v>
      </c>
      <c r="AJ173" s="1"/>
      <c r="AR173" s="3"/>
      <c r="AY173" s="3"/>
      <c r="AZ173" s="2">
        <v>170</v>
      </c>
      <c r="BA173" s="7">
        <f>[1]节奏总纲!BA173</f>
        <v>41.590303905372799</v>
      </c>
      <c r="BB173" s="7">
        <f>[1]节奏总纲!BB173</f>
        <v>43.105070725978337</v>
      </c>
      <c r="BC173" s="7">
        <f>[1]节奏总纲!BC173</f>
        <v>45.050956883357138</v>
      </c>
      <c r="BD173" s="7">
        <f>[1]节奏总纲!BD173</f>
        <v>47.785447853033176</v>
      </c>
      <c r="BE173" s="7">
        <f>[1]节奏总纲!BE173</f>
        <v>52.480053284940965</v>
      </c>
    </row>
    <row r="174" spans="29:57" s="2" customFormat="1" x14ac:dyDescent="0.15">
      <c r="AC174" s="2">
        <v>171</v>
      </c>
      <c r="AD174" s="7">
        <f>[1]节奏总纲!AD174</f>
        <v>74.255972994404218</v>
      </c>
      <c r="AE174" s="7">
        <f>[1]节奏总纲!AE174</f>
        <v>76.331324771113671</v>
      </c>
      <c r="AF174" s="7">
        <f>[1]节奏总纲!AF174</f>
        <v>79.195216630101797</v>
      </c>
      <c r="AG174" s="7">
        <f>[1]节奏总纲!AG174</f>
        <v>83.826516280109232</v>
      </c>
      <c r="AH174" s="7">
        <f>[1]节奏总纲!AH174</f>
        <v>93.23466020665397</v>
      </c>
      <c r="AJ174" s="1"/>
      <c r="AR174" s="3"/>
      <c r="AY174" s="3"/>
      <c r="AZ174" s="2">
        <v>171</v>
      </c>
      <c r="BA174" s="7">
        <f>[1]节奏总纲!BA174</f>
        <v>41.630530120464542</v>
      </c>
      <c r="BB174" s="7">
        <f>[1]节奏总纲!BB174</f>
        <v>43.14251743441298</v>
      </c>
      <c r="BC174" s="7">
        <f>[1]节奏总纲!BC174</f>
        <v>45.088151688727308</v>
      </c>
      <c r="BD174" s="7">
        <f>[1]节奏总纲!BD174</f>
        <v>47.827022929678968</v>
      </c>
      <c r="BE174" s="7">
        <f>[1]节奏总纲!BE174</f>
        <v>52.519959966533058</v>
      </c>
    </row>
    <row r="175" spans="29:57" s="2" customFormat="1" x14ac:dyDescent="0.15">
      <c r="AC175" s="2">
        <v>172</v>
      </c>
      <c r="AD175" s="7">
        <f>[1]节奏总纲!AD175</f>
        <v>74.338465431423501</v>
      </c>
      <c r="AE175" s="7">
        <f>[1]节奏总纲!AE175</f>
        <v>76.413630021328345</v>
      </c>
      <c r="AF175" s="7">
        <f>[1]节奏总纲!AF175</f>
        <v>79.281418790545047</v>
      </c>
      <c r="AG175" s="7">
        <f>[1]节奏总纲!AG175</f>
        <v>83.914249023439666</v>
      </c>
      <c r="AH175" s="7">
        <f>[1]节奏总纲!AH175</f>
        <v>93.323212526300722</v>
      </c>
      <c r="AJ175" s="1"/>
      <c r="AR175" s="3"/>
      <c r="AY175" s="3"/>
      <c r="AZ175" s="2">
        <v>172</v>
      </c>
      <c r="BA175" s="7">
        <f>[1]节奏总纲!BA175</f>
        <v>41.670756335556291</v>
      </c>
      <c r="BB175" s="7">
        <f>[1]节奏总纲!BB175</f>
        <v>43.179964142847631</v>
      </c>
      <c r="BC175" s="7">
        <f>[1]节奏总纲!BC175</f>
        <v>45.125346494097485</v>
      </c>
      <c r="BD175" s="7">
        <f>[1]节奏总纲!BD175</f>
        <v>47.868598006324753</v>
      </c>
      <c r="BE175" s="7">
        <f>[1]节奏总纲!BE175</f>
        <v>52.559866648125151</v>
      </c>
    </row>
    <row r="176" spans="29:57" s="2" customFormat="1" x14ac:dyDescent="0.15">
      <c r="AC176" s="2">
        <v>173</v>
      </c>
      <c r="AD176" s="7">
        <f>[1]节奏总纲!AD176</f>
        <v>74.420957868442784</v>
      </c>
      <c r="AE176" s="7">
        <f>[1]节奏总纲!AE176</f>
        <v>76.495935271543019</v>
      </c>
      <c r="AF176" s="7">
        <f>[1]节奏总纲!AF176</f>
        <v>79.367620950988297</v>
      </c>
      <c r="AG176" s="7">
        <f>[1]节奏总纲!AG176</f>
        <v>84.00179325525086</v>
      </c>
      <c r="AH176" s="7">
        <f>[1]节奏总纲!AH176</f>
        <v>93.411764845947459</v>
      </c>
      <c r="AJ176" s="1"/>
      <c r="AR176" s="3"/>
      <c r="AY176" s="3"/>
      <c r="AZ176" s="2">
        <v>173</v>
      </c>
      <c r="BA176" s="7">
        <f>[1]节奏总纲!BA176</f>
        <v>41.710982550648033</v>
      </c>
      <c r="BB176" s="7">
        <f>[1]节奏总纲!BB176</f>
        <v>43.217410851282274</v>
      </c>
      <c r="BC176" s="7">
        <f>[1]节奏总纲!BC176</f>
        <v>45.162541299467655</v>
      </c>
      <c r="BD176" s="7">
        <f>[1]节奏总纲!BD176</f>
        <v>47.910173082970537</v>
      </c>
      <c r="BE176" s="7">
        <f>[1]节奏总纲!BE176</f>
        <v>52.599773329717245</v>
      </c>
    </row>
    <row r="177" spans="29:57" s="2" customFormat="1" x14ac:dyDescent="0.15">
      <c r="AC177" s="2">
        <v>174</v>
      </c>
      <c r="AD177" s="7">
        <f>[1]节奏总纲!AD177</f>
        <v>74.503450305462081</v>
      </c>
      <c r="AE177" s="7">
        <f>[1]节奏总纲!AE177</f>
        <v>76.578240521757706</v>
      </c>
      <c r="AF177" s="7">
        <f>[1]节奏总纲!AF177</f>
        <v>79.453823111431561</v>
      </c>
      <c r="AG177" s="7">
        <f>[1]节奏总纲!AG177</f>
        <v>84.08118060043364</v>
      </c>
      <c r="AH177" s="7">
        <f>[1]节奏总纲!AH177</f>
        <v>93.500317165594211</v>
      </c>
      <c r="AJ177" s="1"/>
      <c r="AR177" s="3"/>
      <c r="AY177" s="3"/>
      <c r="AZ177" s="2">
        <v>174</v>
      </c>
      <c r="BA177" s="7">
        <f>[1]节奏总纲!BA177</f>
        <v>41.751208765739776</v>
      </c>
      <c r="BB177" s="7">
        <f>[1]节奏总纲!BB177</f>
        <v>43.254857559716925</v>
      </c>
      <c r="BC177" s="7">
        <f>[1]节奏总纲!BC177</f>
        <v>45.199736104837832</v>
      </c>
      <c r="BD177" s="7">
        <f>[1]节奏总纲!BD177</f>
        <v>47.951748159616329</v>
      </c>
      <c r="BE177" s="7">
        <f>[1]节奏总纲!BE177</f>
        <v>52.639680011309345</v>
      </c>
    </row>
    <row r="178" spans="29:57" s="2" customFormat="1" x14ac:dyDescent="0.15">
      <c r="AC178" s="2">
        <v>175</v>
      </c>
      <c r="AD178" s="7">
        <f>[1]节奏总纲!AD178</f>
        <v>74.585942742481365</v>
      </c>
      <c r="AE178" s="7">
        <f>[1]节奏总纲!AE178</f>
        <v>76.66054577197238</v>
      </c>
      <c r="AF178" s="7">
        <f>[1]节奏总纲!AF178</f>
        <v>79.540025271874811</v>
      </c>
      <c r="AG178" s="7">
        <f>[1]节奏总纲!AG178</f>
        <v>84.160567945616407</v>
      </c>
      <c r="AH178" s="7">
        <f>[1]节奏总纲!AH178</f>
        <v>93.588869485240949</v>
      </c>
      <c r="AJ178" s="1"/>
      <c r="AR178" s="3"/>
      <c r="AY178" s="3"/>
      <c r="AZ178" s="2">
        <v>175</v>
      </c>
      <c r="BA178" s="7">
        <f>[1]节奏总纲!BA178</f>
        <v>41.791434980831518</v>
      </c>
      <c r="BB178" s="7">
        <f>[1]节奏总纲!BB178</f>
        <v>43.292304268151575</v>
      </c>
      <c r="BC178" s="7">
        <f>[1]节奏总纲!BC178</f>
        <v>45.236930910208002</v>
      </c>
      <c r="BD178" s="7">
        <f>[1]节奏总纲!BD178</f>
        <v>47.993323236262114</v>
      </c>
      <c r="BE178" s="7">
        <f>[1]节奏总纲!BE178</f>
        <v>52.679586692901438</v>
      </c>
    </row>
    <row r="179" spans="29:57" s="2" customFormat="1" x14ac:dyDescent="0.15">
      <c r="AC179" s="2">
        <v>176</v>
      </c>
      <c r="AD179" s="7">
        <f>[1]节奏总纲!AD179</f>
        <v>74.668435179500648</v>
      </c>
      <c r="AE179" s="7">
        <f>[1]节奏总纲!AE179</f>
        <v>76.742851022187054</v>
      </c>
      <c r="AF179" s="7">
        <f>[1]节奏总纲!AF179</f>
        <v>79.626227432318061</v>
      </c>
      <c r="AG179" s="7">
        <f>[1]节奏总纲!AG179</f>
        <v>84.239955290799188</v>
      </c>
      <c r="AH179" s="7">
        <f>[1]节奏总纲!AH179</f>
        <v>93.6774218048877</v>
      </c>
      <c r="AJ179" s="1"/>
      <c r="AR179" s="3"/>
      <c r="AY179" s="3"/>
      <c r="AZ179" s="2">
        <v>176</v>
      </c>
      <c r="BA179" s="7">
        <f>[1]节奏总纲!BA179</f>
        <v>41.831661195923267</v>
      </c>
      <c r="BB179" s="7">
        <f>[1]节奏总纲!BB179</f>
        <v>43.329750976586219</v>
      </c>
      <c r="BC179" s="7">
        <f>[1]节奏总纲!BC179</f>
        <v>45.274125715578172</v>
      </c>
      <c r="BD179" s="7">
        <f>[1]节奏总纲!BD179</f>
        <v>48.030128751164234</v>
      </c>
      <c r="BE179" s="7">
        <f>[1]节奏总纲!BE179</f>
        <v>52.719493374493531</v>
      </c>
    </row>
    <row r="180" spans="29:57" s="2" customFormat="1" x14ac:dyDescent="0.15">
      <c r="AC180" s="2">
        <v>177</v>
      </c>
      <c r="AD180" s="7">
        <f>[1]节奏总纲!AD180</f>
        <v>74.750927616519931</v>
      </c>
      <c r="AE180" s="7">
        <f>[1]节奏总纲!AE180</f>
        <v>76.825156272401728</v>
      </c>
      <c r="AF180" s="7">
        <f>[1]节奏总纲!AF180</f>
        <v>79.71242959276131</v>
      </c>
      <c r="AG180" s="7">
        <f>[1]节奏总纲!AG180</f>
        <v>84.319342635981968</v>
      </c>
      <c r="AH180" s="7">
        <f>[1]节奏总纲!AH180</f>
        <v>93.765974124534438</v>
      </c>
      <c r="AJ180" s="1"/>
      <c r="AR180" s="3"/>
      <c r="AY180" s="3"/>
      <c r="AZ180" s="2">
        <v>177</v>
      </c>
      <c r="BA180" s="7">
        <f>[1]节奏总纲!BA180</f>
        <v>41.87188741101501</v>
      </c>
      <c r="BB180" s="7">
        <f>[1]节奏总纲!BB180</f>
        <v>43.367197685020869</v>
      </c>
      <c r="BC180" s="7">
        <f>[1]节奏总纲!BC180</f>
        <v>45.31132052094835</v>
      </c>
      <c r="BD180" s="7">
        <f>[1]节奏总纲!BD180</f>
        <v>48.066021750983474</v>
      </c>
      <c r="BE180" s="7">
        <f>[1]节奏总纲!BE180</f>
        <v>52.759400056085624</v>
      </c>
    </row>
    <row r="181" spans="29:57" s="2" customFormat="1" x14ac:dyDescent="0.15">
      <c r="AC181" s="2">
        <v>178</v>
      </c>
      <c r="AD181" s="7">
        <f>[1]节奏总纲!AD181</f>
        <v>74.833420053539214</v>
      </c>
      <c r="AE181" s="7">
        <f>[1]节奏总纲!AE181</f>
        <v>76.907461522616416</v>
      </c>
      <c r="AF181" s="7">
        <f>[1]节奏总纲!AF181</f>
        <v>79.79863175320456</v>
      </c>
      <c r="AG181" s="7">
        <f>[1]节奏总纲!AG181</f>
        <v>84.398729981164735</v>
      </c>
      <c r="AH181" s="7">
        <f>[1]节奏总纲!AH181</f>
        <v>93.85452644418119</v>
      </c>
      <c r="AJ181" s="1"/>
      <c r="AR181" s="3"/>
      <c r="AY181" s="3"/>
      <c r="AZ181" s="2">
        <v>178</v>
      </c>
      <c r="BA181" s="7">
        <f>[1]节奏总纲!BA181</f>
        <v>41.912113626106752</v>
      </c>
      <c r="BB181" s="7">
        <f>[1]节奏总纲!BB181</f>
        <v>43.404644393455513</v>
      </c>
      <c r="BC181" s="7">
        <f>[1]节奏总纲!BC181</f>
        <v>45.34851532631852</v>
      </c>
      <c r="BD181" s="7">
        <f>[1]节奏总纲!BD181</f>
        <v>48.101914750802706</v>
      </c>
      <c r="BE181" s="7">
        <f>[1]节奏总纲!BE181</f>
        <v>52.799306737677718</v>
      </c>
    </row>
    <row r="182" spans="29:57" s="2" customFormat="1" x14ac:dyDescent="0.15">
      <c r="AC182" s="2">
        <v>179</v>
      </c>
      <c r="AD182" s="7">
        <f>[1]节奏总纲!AD182</f>
        <v>74.915912490558512</v>
      </c>
      <c r="AE182" s="7">
        <f>[1]节奏总纲!AE182</f>
        <v>76.989766772831089</v>
      </c>
      <c r="AF182" s="7">
        <f>[1]节奏总纲!AF182</f>
        <v>79.88483391364781</v>
      </c>
      <c r="AG182" s="7">
        <f>[1]节奏总纲!AG182</f>
        <v>84.478117326347515</v>
      </c>
      <c r="AH182" s="7">
        <f>[1]节奏总纲!AH182</f>
        <v>93.943078763827941</v>
      </c>
      <c r="AJ182" s="1"/>
      <c r="AR182" s="3"/>
      <c r="AY182" s="3"/>
      <c r="AZ182" s="2">
        <v>179</v>
      </c>
      <c r="BA182" s="7">
        <f>[1]节奏总纲!BA182</f>
        <v>41.952339841198494</v>
      </c>
      <c r="BB182" s="7">
        <f>[1]节奏总纲!BB182</f>
        <v>43.442091101890163</v>
      </c>
      <c r="BC182" s="7">
        <f>[1]节奏总纲!BC182</f>
        <v>45.385710131688697</v>
      </c>
      <c r="BD182" s="7">
        <f>[1]节奏总纲!BD182</f>
        <v>48.137807750621946</v>
      </c>
      <c r="BE182" s="7">
        <f>[1]节奏总纲!BE182</f>
        <v>52.839213419269818</v>
      </c>
    </row>
    <row r="183" spans="29:57" s="2" customFormat="1" x14ac:dyDescent="0.15">
      <c r="AC183" s="2">
        <v>180</v>
      </c>
      <c r="AD183" s="7">
        <f>[1]节奏总纲!AD183</f>
        <v>74.998404927577795</v>
      </c>
      <c r="AE183" s="7">
        <f>[1]节奏总纲!AE183</f>
        <v>77.06778397927944</v>
      </c>
      <c r="AF183" s="7">
        <f>[1]节奏总纲!AF183</f>
        <v>79.97103607409106</v>
      </c>
      <c r="AG183" s="7">
        <f>[1]节奏总纲!AG183</f>
        <v>84.557504671530296</v>
      </c>
      <c r="AH183" s="7">
        <f>[1]节奏总纲!AH183</f>
        <v>94.027056817114342</v>
      </c>
      <c r="AJ183" s="1"/>
      <c r="AR183" s="3"/>
      <c r="AY183" s="3"/>
      <c r="AZ183" s="2">
        <v>180</v>
      </c>
      <c r="BA183" s="7">
        <f>[1]节奏总纲!BA183</f>
        <v>41.992566056290244</v>
      </c>
      <c r="BB183" s="7">
        <f>[1]节奏总纲!BB183</f>
        <v>43.479537810324807</v>
      </c>
      <c r="BC183" s="7">
        <f>[1]节奏总纲!BC183</f>
        <v>45.422904937058867</v>
      </c>
      <c r="BD183" s="7">
        <f>[1]节奏总纲!BD183</f>
        <v>48.173700750441178</v>
      </c>
      <c r="BE183" s="7">
        <f>[1]节奏总纲!BE183</f>
        <v>52.879120100861911</v>
      </c>
    </row>
    <row r="184" spans="29:57" s="2" customFormat="1" x14ac:dyDescent="0.15">
      <c r="AC184" s="2">
        <v>181</v>
      </c>
      <c r="AD184" s="7">
        <f>[1]节奏总纲!AD184</f>
        <v>75.075479910097457</v>
      </c>
      <c r="AE184" s="7">
        <f>[1]节奏总纲!AE184</f>
        <v>77.145192343015793</v>
      </c>
      <c r="AF184" s="7">
        <f>[1]节奏总纲!AF184</f>
        <v>80.053817475702374</v>
      </c>
      <c r="AG184" s="7">
        <f>[1]节奏总纲!AG184</f>
        <v>84.636892016713063</v>
      </c>
      <c r="AH184" s="7">
        <f>[1]节奏总纲!AH184</f>
        <v>94.102803318799971</v>
      </c>
      <c r="AJ184" s="1"/>
      <c r="AR184" s="3"/>
      <c r="AY184" s="3"/>
      <c r="AZ184" s="2">
        <v>181</v>
      </c>
      <c r="BA184" s="7">
        <f>[1]节奏总纲!BA184</f>
        <v>42.028297717729309</v>
      </c>
      <c r="BB184" s="7">
        <f>[1]节奏总纲!BB184</f>
        <v>43.516984518759458</v>
      </c>
      <c r="BC184" s="7">
        <f>[1]节奏总纲!BC184</f>
        <v>45.460099742429037</v>
      </c>
      <c r="BD184" s="7">
        <f>[1]节奏总纲!BD184</f>
        <v>48.209593750260417</v>
      </c>
      <c r="BE184" s="7">
        <f>[1]节奏总纲!BE184</f>
        <v>52.919026782454004</v>
      </c>
    </row>
    <row r="185" spans="29:57" s="2" customFormat="1" x14ac:dyDescent="0.15">
      <c r="AC185" s="2">
        <v>182</v>
      </c>
      <c r="AD185" s="7">
        <f>[1]节奏总纲!AD185</f>
        <v>75.152448075388719</v>
      </c>
      <c r="AE185" s="7">
        <f>[1]节奏总纲!AE185</f>
        <v>77.222600706752132</v>
      </c>
      <c r="AF185" s="7">
        <f>[1]节奏总纲!AF185</f>
        <v>80.134867890916794</v>
      </c>
      <c r="AG185" s="7">
        <f>[1]节奏总纲!AG185</f>
        <v>84.716279361895843</v>
      </c>
      <c r="AH185" s="7">
        <f>[1]节奏总纲!AH185</f>
        <v>94.1785498204856</v>
      </c>
      <c r="AJ185" s="1"/>
      <c r="AR185" s="3"/>
      <c r="AY185" s="3"/>
      <c r="AZ185" s="2">
        <v>182</v>
      </c>
      <c r="BA185" s="7">
        <f>[1]节奏总纲!BA185</f>
        <v>42.063010472656373</v>
      </c>
      <c r="BB185" s="7">
        <f>[1]节奏总纲!BB185</f>
        <v>43.554431227194108</v>
      </c>
      <c r="BC185" s="7">
        <f>[1]节奏总纲!BC185</f>
        <v>45.497294547799214</v>
      </c>
      <c r="BD185" s="7">
        <f>[1]节奏总纲!BD185</f>
        <v>48.24548675007965</v>
      </c>
      <c r="BE185" s="7">
        <f>[1]节奏总纲!BE185</f>
        <v>52.958933464046098</v>
      </c>
    </row>
    <row r="186" spans="29:57" s="2" customFormat="1" x14ac:dyDescent="0.15">
      <c r="AC186" s="2">
        <v>183</v>
      </c>
      <c r="AD186" s="7">
        <f>[1]节奏总纲!AD186</f>
        <v>75.229416240679981</v>
      </c>
      <c r="AE186" s="7">
        <f>[1]节奏总纲!AE186</f>
        <v>77.300009070488485</v>
      </c>
      <c r="AF186" s="7">
        <f>[1]节奏总纲!AF186</f>
        <v>80.215918306131215</v>
      </c>
      <c r="AG186" s="7">
        <f>[1]节奏总纲!AG186</f>
        <v>84.795666707078624</v>
      </c>
      <c r="AH186" s="7">
        <f>[1]节奏总纲!AH186</f>
        <v>94.254296322171228</v>
      </c>
      <c r="AJ186" s="1"/>
      <c r="AR186" s="3"/>
      <c r="AY186" s="3"/>
      <c r="AZ186" s="2">
        <v>183</v>
      </c>
      <c r="BA186" s="7">
        <f>[1]节奏总纲!BA186</f>
        <v>42.097723227583437</v>
      </c>
      <c r="BB186" s="7">
        <f>[1]节奏总纲!BB186</f>
        <v>43.591877935628752</v>
      </c>
      <c r="BC186" s="7">
        <f>[1]节奏总纲!BC186</f>
        <v>45.534489353169384</v>
      </c>
      <c r="BD186" s="7">
        <f>[1]节奏总纲!BD186</f>
        <v>48.281379749898889</v>
      </c>
      <c r="BE186" s="7">
        <f>[1]节奏总纲!BE186</f>
        <v>52.998840145638198</v>
      </c>
    </row>
    <row r="187" spans="29:57" s="2" customFormat="1" x14ac:dyDescent="0.15">
      <c r="AC187" s="2">
        <v>184</v>
      </c>
      <c r="AD187" s="7">
        <f>[1]节奏总纲!AD187</f>
        <v>75.306384405971258</v>
      </c>
      <c r="AE187" s="7">
        <f>[1]节奏总纲!AE187</f>
        <v>77.377417434224824</v>
      </c>
      <c r="AF187" s="7">
        <f>[1]节奏总纲!AF187</f>
        <v>80.296968721345635</v>
      </c>
      <c r="AG187" s="7">
        <f>[1]节奏总纲!AG187</f>
        <v>84.87505405226139</v>
      </c>
      <c r="AH187" s="7">
        <f>[1]节奏总纲!AH187</f>
        <v>94.330042823856857</v>
      </c>
      <c r="AJ187" s="1"/>
      <c r="AR187" s="3"/>
      <c r="AY187" s="3"/>
      <c r="AZ187" s="2">
        <v>184</v>
      </c>
      <c r="BA187" s="7">
        <f>[1]节奏总纲!BA187</f>
        <v>42.132435982510501</v>
      </c>
      <c r="BB187" s="7">
        <f>[1]节奏总纲!BB187</f>
        <v>43.629324644063402</v>
      </c>
      <c r="BC187" s="7">
        <f>[1]节奏总纲!BC187</f>
        <v>45.571684158539561</v>
      </c>
      <c r="BD187" s="7">
        <f>[1]节奏总纲!BD187</f>
        <v>48.317272749718121</v>
      </c>
      <c r="BE187" s="7">
        <f>[1]节奏总纲!BE187</f>
        <v>53.033462597729766</v>
      </c>
    </row>
    <row r="188" spans="29:57" s="2" customFormat="1" x14ac:dyDescent="0.15">
      <c r="AC188" s="2">
        <v>185</v>
      </c>
      <c r="AD188" s="7">
        <f>[1]节奏总纲!AD188</f>
        <v>75.38335257126252</v>
      </c>
      <c r="AE188" s="7">
        <f>[1]节奏总纲!AE188</f>
        <v>77.454825797961163</v>
      </c>
      <c r="AF188" s="7">
        <f>[1]节奏总纲!AF188</f>
        <v>80.378019136560056</v>
      </c>
      <c r="AG188" s="7">
        <f>[1]节奏总纲!AG188</f>
        <v>84.954441397444171</v>
      </c>
      <c r="AH188" s="7">
        <f>[1]节奏总纲!AH188</f>
        <v>94.405789325542486</v>
      </c>
      <c r="AJ188" s="1"/>
      <c r="AR188" s="3"/>
      <c r="AY188" s="3"/>
      <c r="AZ188" s="2">
        <v>185</v>
      </c>
      <c r="BA188" s="7">
        <f>[1]节奏总纲!BA188</f>
        <v>42.167148737437564</v>
      </c>
      <c r="BB188" s="7">
        <f>[1]节奏总纲!BB188</f>
        <v>43.666771352498046</v>
      </c>
      <c r="BC188" s="7">
        <f>[1]节奏总纲!BC188</f>
        <v>45.608878963909731</v>
      </c>
      <c r="BD188" s="7">
        <f>[1]节奏总纲!BD188</f>
        <v>48.353165749537354</v>
      </c>
      <c r="BE188" s="7">
        <f>[1]节奏总纲!BE188</f>
        <v>53.067926870763252</v>
      </c>
    </row>
    <row r="189" spans="29:57" s="2" customFormat="1" x14ac:dyDescent="0.15">
      <c r="AC189" s="2">
        <v>186</v>
      </c>
      <c r="AD189" s="7">
        <f>[1]节奏总纲!AD189</f>
        <v>75.460320736553783</v>
      </c>
      <c r="AE189" s="7">
        <f>[1]节奏总纲!AE189</f>
        <v>77.532234161697517</v>
      </c>
      <c r="AF189" s="7">
        <f>[1]节奏总纲!AF189</f>
        <v>80.459069551774476</v>
      </c>
      <c r="AG189" s="7">
        <f>[1]节奏总纲!AG189</f>
        <v>85.030832425973387</v>
      </c>
      <c r="AH189" s="7">
        <f>[1]节奏总纲!AH189</f>
        <v>94.4815358272281</v>
      </c>
      <c r="AJ189" s="1"/>
      <c r="AR189" s="3"/>
      <c r="AY189" s="3"/>
      <c r="AZ189" s="2">
        <v>186</v>
      </c>
      <c r="BA189" s="7">
        <f>[1]节奏总纲!BA189</f>
        <v>42.201861492364635</v>
      </c>
      <c r="BB189" s="7">
        <f>[1]节奏总纲!BB189</f>
        <v>43.704218060932696</v>
      </c>
      <c r="BC189" s="7">
        <f>[1]节奏总纲!BC189</f>
        <v>45.646073769279901</v>
      </c>
      <c r="BD189" s="7">
        <f>[1]节奏总纲!BD189</f>
        <v>48.389058749356593</v>
      </c>
      <c r="BE189" s="7">
        <f>[1]节奏总纲!BE189</f>
        <v>53.102391143796744</v>
      </c>
    </row>
    <row r="190" spans="29:57" s="2" customFormat="1" x14ac:dyDescent="0.15">
      <c r="AC190" s="2">
        <v>187</v>
      </c>
      <c r="AD190" s="7">
        <f>[1]节奏总纲!AD190</f>
        <v>75.537288901845045</v>
      </c>
      <c r="AE190" s="7">
        <f>[1]节奏总纲!AE190</f>
        <v>77.609642525433856</v>
      </c>
      <c r="AF190" s="7">
        <f>[1]节奏总纲!AF190</f>
        <v>80.540119966988897</v>
      </c>
      <c r="AG190" s="7">
        <f>[1]节奏总纲!AG190</f>
        <v>85.103188187775231</v>
      </c>
      <c r="AH190" s="7">
        <f>[1]节奏总纲!AH190</f>
        <v>94.557282328913729</v>
      </c>
      <c r="AJ190" s="1"/>
      <c r="AR190" s="3"/>
      <c r="AY190" s="3"/>
      <c r="AZ190" s="2">
        <v>187</v>
      </c>
      <c r="BA190" s="7">
        <f>[1]节奏总纲!BA190</f>
        <v>42.236574247291699</v>
      </c>
      <c r="BB190" s="7">
        <f>[1]节奏总纲!BB190</f>
        <v>43.741664769367347</v>
      </c>
      <c r="BC190" s="7">
        <f>[1]节奏总纲!BC190</f>
        <v>45.683268574650079</v>
      </c>
      <c r="BD190" s="7">
        <f>[1]节奏总纲!BD190</f>
        <v>48.424951749175825</v>
      </c>
      <c r="BE190" s="7">
        <f>[1]节奏总纲!BE190</f>
        <v>53.13685541683023</v>
      </c>
    </row>
    <row r="191" spans="29:57" s="2" customFormat="1" x14ac:dyDescent="0.15">
      <c r="AC191" s="2">
        <v>188</v>
      </c>
      <c r="AD191" s="7">
        <f>[1]节奏总纲!AD191</f>
        <v>75.614257067136322</v>
      </c>
      <c r="AE191" s="7">
        <f>[1]节奏总纲!AE191</f>
        <v>77.687050889170209</v>
      </c>
      <c r="AF191" s="7">
        <f>[1]节奏总纲!AF191</f>
        <v>80.621170382203317</v>
      </c>
      <c r="AG191" s="7">
        <f>[1]节奏总纲!AG191</f>
        <v>85.175543949577076</v>
      </c>
      <c r="AH191" s="7">
        <f>[1]节奏总纲!AH191</f>
        <v>94.633028830599358</v>
      </c>
      <c r="AJ191" s="1"/>
      <c r="AR191" s="3"/>
      <c r="AY191" s="3"/>
      <c r="AZ191" s="2">
        <v>188</v>
      </c>
      <c r="BA191" s="7">
        <f>[1]节奏总纲!BA191</f>
        <v>42.271287002218763</v>
      </c>
      <c r="BB191" s="7">
        <f>[1]节奏总纲!BB191</f>
        <v>43.77911147780199</v>
      </c>
      <c r="BC191" s="7">
        <f>[1]节奏总纲!BC191</f>
        <v>45.720463380020249</v>
      </c>
      <c r="BD191" s="7">
        <f>[1]节奏总纲!BD191</f>
        <v>48.460844748995065</v>
      </c>
      <c r="BE191" s="7">
        <f>[1]节奏总纲!BE191</f>
        <v>53.171319689863722</v>
      </c>
    </row>
    <row r="192" spans="29:57" s="2" customFormat="1" x14ac:dyDescent="0.15">
      <c r="AC192" s="2">
        <v>189</v>
      </c>
      <c r="AD192" s="7">
        <f>[1]节奏总纲!AD192</f>
        <v>75.691225232427584</v>
      </c>
      <c r="AE192" s="7">
        <f>[1]节奏总纲!AE192</f>
        <v>77.764459252906548</v>
      </c>
      <c r="AF192" s="7">
        <f>[1]节奏总纲!AF192</f>
        <v>80.702220797417738</v>
      </c>
      <c r="AG192" s="7">
        <f>[1]节奏总纲!AG192</f>
        <v>85.247899711378935</v>
      </c>
      <c r="AH192" s="7">
        <f>[1]节奏总纲!AH192</f>
        <v>94.708775332284986</v>
      </c>
      <c r="AJ192" s="1"/>
      <c r="AR192" s="3"/>
      <c r="AY192" s="3"/>
      <c r="AZ192" s="2">
        <v>189</v>
      </c>
      <c r="BA192" s="7">
        <f>[1]节奏总纲!BA192</f>
        <v>42.305999757145827</v>
      </c>
      <c r="BB192" s="7">
        <f>[1]节奏总纲!BB192</f>
        <v>43.816558186236641</v>
      </c>
      <c r="BC192" s="7">
        <f>[1]节奏总纲!BC192</f>
        <v>45.757658185390426</v>
      </c>
      <c r="BD192" s="7">
        <f>[1]节奏总纲!BD192</f>
        <v>48.496737748814297</v>
      </c>
      <c r="BE192" s="7">
        <f>[1]节奏总纲!BE192</f>
        <v>53.205783962897208</v>
      </c>
    </row>
    <row r="193" spans="29:57" s="2" customFormat="1" x14ac:dyDescent="0.15">
      <c r="AC193" s="2">
        <v>190</v>
      </c>
      <c r="AD193" s="7">
        <f>[1]节奏总纲!AD193</f>
        <v>75.768193397718846</v>
      </c>
      <c r="AE193" s="7">
        <f>[1]节奏总纲!AE193</f>
        <v>77.841867616642901</v>
      </c>
      <c r="AF193" s="7">
        <f>[1]节奏总纲!AF193</f>
        <v>80.783271212632158</v>
      </c>
      <c r="AG193" s="7">
        <f>[1]节奏总纲!AG193</f>
        <v>85.320255473180779</v>
      </c>
      <c r="AH193" s="7">
        <f>[1]节奏总纲!AH193</f>
        <v>94.784521833970615</v>
      </c>
      <c r="AJ193" s="1"/>
      <c r="AR193" s="3"/>
      <c r="AY193" s="3"/>
      <c r="AZ193" s="2">
        <v>190</v>
      </c>
      <c r="BA193" s="7">
        <f>[1]节奏总纲!BA193</f>
        <v>42.340712512072891</v>
      </c>
      <c r="BB193" s="7">
        <f>[1]节奏总纲!BB193</f>
        <v>43.854004894671284</v>
      </c>
      <c r="BC193" s="7">
        <f>[1]节奏总纲!BC193</f>
        <v>45.794852990760596</v>
      </c>
      <c r="BD193" s="7">
        <f>[1]节奏总纲!BD193</f>
        <v>48.532630748633537</v>
      </c>
      <c r="BE193" s="7">
        <f>[1]节奏总纲!BE193</f>
        <v>53.240248235930693</v>
      </c>
    </row>
    <row r="194" spans="29:57" s="2" customFormat="1" x14ac:dyDescent="0.15">
      <c r="AC194" s="2">
        <v>191</v>
      </c>
      <c r="AD194" s="7">
        <f>[1]节奏总纲!AD194</f>
        <v>75.845161563010109</v>
      </c>
      <c r="AE194" s="7">
        <f>[1]节奏总纲!AE194</f>
        <v>77.91927598037924</v>
      </c>
      <c r="AF194" s="7">
        <f>[1]节奏总纲!AF194</f>
        <v>80.864321627846579</v>
      </c>
      <c r="AG194" s="7">
        <f>[1]节奏总纲!AG194</f>
        <v>85.392611234982624</v>
      </c>
      <c r="AH194" s="7">
        <f>[1]节奏总纲!AH194</f>
        <v>94.860268335656244</v>
      </c>
      <c r="AJ194" s="1"/>
      <c r="AR194" s="3"/>
      <c r="AY194" s="3"/>
      <c r="AZ194" s="2">
        <v>191</v>
      </c>
      <c r="BA194" s="7">
        <f>[1]节奏总纲!BA194</f>
        <v>42.375425266999954</v>
      </c>
      <c r="BB194" s="7">
        <f>[1]节奏总纲!BB194</f>
        <v>43.891451603105935</v>
      </c>
      <c r="BC194" s="7">
        <f>[1]节奏总纲!BC194</f>
        <v>45.832047796130773</v>
      </c>
      <c r="BD194" s="7">
        <f>[1]节奏总纲!BD194</f>
        <v>48.568523748452769</v>
      </c>
      <c r="BE194" s="7">
        <f>[1]节奏总纲!BE194</f>
        <v>53.274712508964186</v>
      </c>
    </row>
    <row r="195" spans="29:57" s="2" customFormat="1" x14ac:dyDescent="0.15">
      <c r="AC195" s="2">
        <v>192</v>
      </c>
      <c r="AD195" s="7">
        <f>[1]节奏总纲!AD195</f>
        <v>75.922129728301385</v>
      </c>
      <c r="AE195" s="7">
        <f>[1]节奏总纲!AE195</f>
        <v>77.996684344115593</v>
      </c>
      <c r="AF195" s="7">
        <f>[1]节奏总纲!AF195</f>
        <v>80.945372043060999</v>
      </c>
      <c r="AG195" s="7">
        <f>[1]节奏总纲!AG195</f>
        <v>85.464966996784469</v>
      </c>
      <c r="AH195" s="7">
        <f>[1]节奏总纲!AH195</f>
        <v>94.936014837341872</v>
      </c>
      <c r="AJ195" s="1"/>
      <c r="AR195" s="3"/>
      <c r="AY195" s="3"/>
      <c r="AZ195" s="2">
        <v>192</v>
      </c>
      <c r="BA195" s="7">
        <f>[1]节奏总纲!BA195</f>
        <v>42.410138021927018</v>
      </c>
      <c r="BB195" s="7">
        <f>[1]节奏总纲!BB195</f>
        <v>43.928898311540578</v>
      </c>
      <c r="BC195" s="7">
        <f>[1]节奏总纲!BC195</f>
        <v>45.869242601500943</v>
      </c>
      <c r="BD195" s="7">
        <f>[1]节奏总纲!BD195</f>
        <v>48.604416748272008</v>
      </c>
      <c r="BE195" s="7">
        <f>[1]节奏总纲!BE195</f>
        <v>53.309176781997671</v>
      </c>
    </row>
    <row r="196" spans="29:57" s="2" customFormat="1" x14ac:dyDescent="0.15">
      <c r="AC196" s="2">
        <v>193</v>
      </c>
      <c r="AD196" s="7">
        <f>[1]节奏总纲!AD196</f>
        <v>75.999097893592648</v>
      </c>
      <c r="AE196" s="7">
        <f>[1]节奏总纲!AE196</f>
        <v>78.068193736526268</v>
      </c>
      <c r="AF196" s="7">
        <f>[1]节奏总纲!AF196</f>
        <v>81.02378934476593</v>
      </c>
      <c r="AG196" s="7">
        <f>[1]节奏总纲!AG196</f>
        <v>85.537322758586328</v>
      </c>
      <c r="AH196" s="7">
        <f>[1]节奏总纲!AH196</f>
        <v>95.011078787937279</v>
      </c>
      <c r="AJ196" s="1"/>
      <c r="AR196" s="3"/>
      <c r="AY196" s="3"/>
      <c r="AZ196" s="2">
        <v>193</v>
      </c>
      <c r="BA196" s="7">
        <f>[1]节奏总纲!BA196</f>
        <v>42.444850776854082</v>
      </c>
      <c r="BB196" s="7">
        <f>[1]节奏总纲!BB196</f>
        <v>43.966345019975229</v>
      </c>
      <c r="BC196" s="7">
        <f>[1]节奏总纲!BC196</f>
        <v>45.906437406871113</v>
      </c>
      <c r="BD196" s="7">
        <f>[1]节奏总纲!BD196</f>
        <v>48.640309748091241</v>
      </c>
      <c r="BE196" s="7">
        <f>[1]节奏总纲!BE196</f>
        <v>53.343641055031163</v>
      </c>
    </row>
    <row r="197" spans="29:57" s="2" customFormat="1" x14ac:dyDescent="0.15">
      <c r="AC197" s="2">
        <v>194</v>
      </c>
      <c r="AD197" s="7">
        <f>[1]节奏总纲!AD197</f>
        <v>76.070972142474872</v>
      </c>
      <c r="AE197" s="7">
        <f>[1]节奏总纲!AE197</f>
        <v>78.139439149396253</v>
      </c>
      <c r="AF197" s="7">
        <f>[1]节奏总纲!AF197</f>
        <v>81.096762731680187</v>
      </c>
      <c r="AG197" s="7">
        <f>[1]节奏总纲!AG197</f>
        <v>85.609678520388172</v>
      </c>
      <c r="AH197" s="7">
        <f>[1]节奏总纲!AH197</f>
        <v>95.082429458741387</v>
      </c>
      <c r="AJ197" s="1"/>
      <c r="AR197" s="3"/>
      <c r="AY197" s="3"/>
      <c r="AZ197" s="2">
        <v>194</v>
      </c>
      <c r="BA197" s="7">
        <f>[1]节奏总纲!BA197</f>
        <v>42.479563531781146</v>
      </c>
      <c r="BB197" s="7">
        <f>[1]节奏总纲!BB197</f>
        <v>44.003272544984547</v>
      </c>
      <c r="BC197" s="7">
        <f>[1]节奏总纲!BC197</f>
        <v>45.94363221224129</v>
      </c>
      <c r="BD197" s="7">
        <f>[1]节奏总纲!BD197</f>
        <v>48.67620274791048</v>
      </c>
      <c r="BE197" s="7">
        <f>[1]节奏总纲!BE197</f>
        <v>53.378105328064649</v>
      </c>
    </row>
    <row r="198" spans="29:57" s="2" customFormat="1" x14ac:dyDescent="0.15">
      <c r="AC198" s="2">
        <v>195</v>
      </c>
      <c r="AD198" s="7">
        <f>[1]节奏总纲!AD198</f>
        <v>76.142785979989682</v>
      </c>
      <c r="AE198" s="7">
        <f>[1]节奏总纲!AE198</f>
        <v>78.210684562266223</v>
      </c>
      <c r="AF198" s="7">
        <f>[1]节奏总纲!AF198</f>
        <v>81.169736118594443</v>
      </c>
      <c r="AG198" s="7">
        <f>[1]节奏总纲!AG198</f>
        <v>85.682034282190017</v>
      </c>
      <c r="AH198" s="7">
        <f>[1]节奏总纲!AH198</f>
        <v>95.153780129545481</v>
      </c>
      <c r="AJ198" s="1"/>
      <c r="AR198" s="3"/>
      <c r="AY198" s="3"/>
      <c r="AZ198" s="2">
        <v>195</v>
      </c>
      <c r="BA198" s="7">
        <f>[1]节奏总纲!BA198</f>
        <v>42.51427628670821</v>
      </c>
      <c r="BB198" s="7">
        <f>[1]节奏总纲!BB198</f>
        <v>44.035591852864428</v>
      </c>
      <c r="BC198" s="7">
        <f>[1]节奏总纲!BC198</f>
        <v>45.98082701761146</v>
      </c>
      <c r="BD198" s="7">
        <f>[1]节奏总纲!BD198</f>
        <v>48.712095747729713</v>
      </c>
      <c r="BE198" s="7">
        <f>[1]节奏总纲!BE198</f>
        <v>53.412569601098134</v>
      </c>
    </row>
    <row r="199" spans="29:57" s="2" customFormat="1" x14ac:dyDescent="0.15">
      <c r="AC199" s="2">
        <v>196</v>
      </c>
      <c r="AD199" s="7">
        <f>[1]节奏总纲!AD199</f>
        <v>76.214599817504492</v>
      </c>
      <c r="AE199" s="7">
        <f>[1]节奏总纲!AE199</f>
        <v>78.281929975136208</v>
      </c>
      <c r="AF199" s="7">
        <f>[1]节奏总纲!AF199</f>
        <v>81.242709505508685</v>
      </c>
      <c r="AG199" s="7">
        <f>[1]节奏总纲!AG199</f>
        <v>85.754390043991862</v>
      </c>
      <c r="AH199" s="7">
        <f>[1]节奏总纲!AH199</f>
        <v>95.225130800349589</v>
      </c>
      <c r="AJ199" s="1"/>
      <c r="AR199" s="3"/>
      <c r="AY199" s="3"/>
      <c r="AZ199" s="2">
        <v>196</v>
      </c>
      <c r="BA199" s="7">
        <f>[1]节奏总纲!BA199</f>
        <v>42.548989041635274</v>
      </c>
      <c r="BB199" s="7">
        <f>[1]节奏总纲!BB199</f>
        <v>44.067911160744309</v>
      </c>
      <c r="BC199" s="7">
        <f>[1]节奏总纲!BC199</f>
        <v>46.01555652579863</v>
      </c>
      <c r="BD199" s="7">
        <f>[1]节奏总纲!BD199</f>
        <v>48.747988747548945</v>
      </c>
      <c r="BE199" s="7">
        <f>[1]节奏总纲!BE199</f>
        <v>53.447033874131627</v>
      </c>
    </row>
    <row r="200" spans="29:57" s="2" customFormat="1" x14ac:dyDescent="0.15">
      <c r="AC200" s="2">
        <v>197</v>
      </c>
      <c r="AD200" s="7">
        <f>[1]节奏总纲!AD200</f>
        <v>76.286413655019302</v>
      </c>
      <c r="AE200" s="7">
        <f>[1]节奏总纲!AE200</f>
        <v>78.353175388006179</v>
      </c>
      <c r="AF200" s="7">
        <f>[1]节奏总纲!AF200</f>
        <v>81.315682892422942</v>
      </c>
      <c r="AG200" s="7">
        <f>[1]节奏总纲!AG200</f>
        <v>85.82674580579372</v>
      </c>
      <c r="AH200" s="7">
        <f>[1]节奏总纲!AH200</f>
        <v>95.296481471153683</v>
      </c>
      <c r="AJ200" s="1"/>
      <c r="AR200" s="3"/>
      <c r="AY200" s="3"/>
      <c r="AZ200" s="2">
        <v>197</v>
      </c>
      <c r="BA200" s="7">
        <f>[1]节奏总纲!BA200</f>
        <v>42.583701796562345</v>
      </c>
      <c r="BB200" s="7">
        <f>[1]节奏总纲!BB200</f>
        <v>44.100230468624183</v>
      </c>
      <c r="BC200" s="7">
        <f>[1]节奏总纲!BC200</f>
        <v>46.047663263829847</v>
      </c>
      <c r="BD200" s="7">
        <f>[1]节奏总纲!BD200</f>
        <v>48.783881747368184</v>
      </c>
      <c r="BE200" s="7">
        <f>[1]节奏总纲!BE200</f>
        <v>53.481498147165112</v>
      </c>
    </row>
    <row r="201" spans="29:57" s="2" customFormat="1" x14ac:dyDescent="0.15">
      <c r="AC201" s="2">
        <v>198</v>
      </c>
      <c r="AD201" s="7">
        <f>[1]节奏总纲!AD201</f>
        <v>76.358227492534112</v>
      </c>
      <c r="AE201" s="7">
        <f>[1]节奏总纲!AE201</f>
        <v>78.424420800876163</v>
      </c>
      <c r="AF201" s="7">
        <f>[1]节奏总纲!AF201</f>
        <v>81.388656279337198</v>
      </c>
      <c r="AG201" s="7">
        <f>[1]节奏总纲!AG201</f>
        <v>85.899101567595565</v>
      </c>
      <c r="AH201" s="7">
        <f>[1]节奏总纲!AH201</f>
        <v>95.367832141957777</v>
      </c>
      <c r="AJ201" s="1"/>
      <c r="AR201" s="3"/>
      <c r="AY201" s="3"/>
      <c r="AZ201" s="2">
        <v>198</v>
      </c>
      <c r="BA201" s="7">
        <f>[1]节奏总纲!BA201</f>
        <v>42.618414551489408</v>
      </c>
      <c r="BB201" s="7">
        <f>[1]节奏总纲!BB201</f>
        <v>44.132549776504064</v>
      </c>
      <c r="BC201" s="7">
        <f>[1]节奏总纲!BC201</f>
        <v>46.079770001861057</v>
      </c>
      <c r="BD201" s="7">
        <f>[1]节奏总纲!BD201</f>
        <v>48.819774747187417</v>
      </c>
      <c r="BE201" s="7">
        <f>[1]节奏总纲!BE201</f>
        <v>53.515962420198605</v>
      </c>
    </row>
    <row r="202" spans="29:57" s="2" customFormat="1" x14ac:dyDescent="0.15">
      <c r="AC202" s="2">
        <v>199</v>
      </c>
      <c r="AD202" s="7">
        <f>[1]节奏总纲!AD202</f>
        <v>76.430041330048923</v>
      </c>
      <c r="AE202" s="7">
        <f>[1]节奏总纲!AE202</f>
        <v>78.495666213746148</v>
      </c>
      <c r="AF202" s="7">
        <f>[1]节奏总纲!AF202</f>
        <v>81.461629666251454</v>
      </c>
      <c r="AG202" s="7">
        <f>[1]节奏总纲!AG202</f>
        <v>85.97145732939741</v>
      </c>
      <c r="AH202" s="7">
        <f>[1]节奏总纲!AH202</f>
        <v>95.439182812761885</v>
      </c>
      <c r="AJ202" s="1"/>
      <c r="AR202" s="3"/>
      <c r="AY202" s="3"/>
      <c r="AZ202" s="2">
        <v>199</v>
      </c>
      <c r="BA202" s="7">
        <f>[1]节奏总纲!BA202</f>
        <v>42.653127306416472</v>
      </c>
      <c r="BB202" s="7">
        <f>[1]节奏总纲!BB202</f>
        <v>44.164869084383938</v>
      </c>
      <c r="BC202" s="7">
        <f>[1]节奏总纲!BC202</f>
        <v>46.111876739892267</v>
      </c>
      <c r="BD202" s="7">
        <f>[1]节奏总纲!BD202</f>
        <v>48.855667747006656</v>
      </c>
      <c r="BE202" s="7">
        <f>[1]节奏总纲!BE202</f>
        <v>53.55042669323209</v>
      </c>
    </row>
    <row r="203" spans="29:57" s="2" customFormat="1" x14ac:dyDescent="0.15">
      <c r="AC203" s="2">
        <v>200</v>
      </c>
      <c r="AD203" s="7">
        <f>[1]节奏总纲!AD203</f>
        <v>76.501855167563733</v>
      </c>
      <c r="AE203" s="7">
        <f>[1]节奏总纲!AE203</f>
        <v>78.566911626616118</v>
      </c>
      <c r="AF203" s="7">
        <f>[1]节奏总纲!AF203</f>
        <v>81.534603053165696</v>
      </c>
      <c r="AG203" s="7">
        <f>[1]节奏总纲!AG203</f>
        <v>86.045919706798657</v>
      </c>
      <c r="AH203" s="7">
        <f>[1]节奏总纲!AH203</f>
        <v>95.510533483565979</v>
      </c>
      <c r="AJ203" s="1"/>
      <c r="AR203" s="3"/>
      <c r="AY203" s="3"/>
      <c r="AZ203" s="2">
        <v>200</v>
      </c>
      <c r="BA203" s="7">
        <f>[1]节奏总纲!BA203</f>
        <v>42.687840061343536</v>
      </c>
      <c r="BB203" s="7">
        <f>[1]节奏总纲!BB203</f>
        <v>44.197188392263818</v>
      </c>
      <c r="BC203" s="7">
        <f>[1]节奏总纲!BC203</f>
        <v>46.143983477923484</v>
      </c>
      <c r="BD203" s="7">
        <f>[1]节奏总纲!BD203</f>
        <v>48.891560746825888</v>
      </c>
      <c r="BE203" s="7">
        <f>[1]节奏总纲!BE203</f>
        <v>53.584890966265583</v>
      </c>
    </row>
    <row r="204" spans="29:57" s="2" customFormat="1" x14ac:dyDescent="0.15">
      <c r="AC204" s="2">
        <v>201</v>
      </c>
      <c r="AD204" s="7">
        <f>[1]节奏总纲!AD204</f>
        <v>76.573669005078543</v>
      </c>
      <c r="AE204" s="7">
        <f>[1]节奏总纲!AE204</f>
        <v>78.638157039486103</v>
      </c>
      <c r="AF204" s="7">
        <f>[1]节奏总纲!AF204</f>
        <v>81.607576440079953</v>
      </c>
      <c r="AG204" s="7">
        <f>[1]节奏总纲!AG204</f>
        <v>86.121754469336281</v>
      </c>
      <c r="AH204" s="7">
        <f>[1]节奏总纲!AH204</f>
        <v>95.581884154370087</v>
      </c>
      <c r="AJ204" s="1"/>
      <c r="AR204" s="3"/>
      <c r="AY204" s="3"/>
      <c r="AZ204" s="2">
        <v>201</v>
      </c>
      <c r="BA204" s="7">
        <f>[1]节奏总纲!BA204</f>
        <v>42.7225528162706</v>
      </c>
      <c r="BB204" s="7">
        <f>[1]节奏总纲!BB204</f>
        <v>44.229507700143699</v>
      </c>
      <c r="BC204" s="7">
        <f>[1]节奏总纲!BC204</f>
        <v>46.176090215954694</v>
      </c>
      <c r="BD204" s="7">
        <f>[1]节奏总纲!BD204</f>
        <v>48.927453746645128</v>
      </c>
      <c r="BE204" s="7">
        <f>[1]节奏总纲!BE204</f>
        <v>53.619355239299068</v>
      </c>
    </row>
    <row r="205" spans="29:57" s="2" customFormat="1" x14ac:dyDescent="0.15">
      <c r="AC205" s="2">
        <v>202</v>
      </c>
      <c r="AD205" s="7">
        <f>[1]节奏总纲!AD205</f>
        <v>76.645482842593353</v>
      </c>
      <c r="AE205" s="7">
        <f>[1]节奏总纲!AE205</f>
        <v>78.709402452356088</v>
      </c>
      <c r="AF205" s="7">
        <f>[1]节奏总纲!AF205</f>
        <v>81.680549826994209</v>
      </c>
      <c r="AG205" s="7">
        <f>[1]节奏总纲!AG205</f>
        <v>86.197589231873891</v>
      </c>
      <c r="AH205" s="7">
        <f>[1]节奏总纲!AH205</f>
        <v>95.653234825174181</v>
      </c>
      <c r="AJ205" s="1"/>
      <c r="AR205" s="3"/>
      <c r="AY205" s="3"/>
      <c r="AZ205" s="2">
        <v>202</v>
      </c>
      <c r="BA205" s="7">
        <f>[1]节奏总纲!BA205</f>
        <v>42.757265571197664</v>
      </c>
      <c r="BB205" s="7">
        <f>[1]节奏总纲!BB205</f>
        <v>44.261827008023573</v>
      </c>
      <c r="BC205" s="7">
        <f>[1]节奏总纲!BC205</f>
        <v>46.208196953985905</v>
      </c>
      <c r="BD205" s="7">
        <f>[1]节奏总纲!BD205</f>
        <v>48.96334674646436</v>
      </c>
      <c r="BE205" s="7">
        <f>[1]节奏总纲!BE205</f>
        <v>53.653819512332554</v>
      </c>
    </row>
    <row r="206" spans="29:57" s="2" customFormat="1" x14ac:dyDescent="0.15">
      <c r="AC206" s="2">
        <v>203</v>
      </c>
      <c r="AD206" s="7">
        <f>[1]节奏总纲!AD206</f>
        <v>76.717296680108163</v>
      </c>
      <c r="AE206" s="7">
        <f>[1]节奏总纲!AE206</f>
        <v>78.780647865226058</v>
      </c>
      <c r="AF206" s="7">
        <f>[1]节奏总纲!AF206</f>
        <v>81.753523213908451</v>
      </c>
      <c r="AG206" s="7">
        <f>[1]节奏总纲!AG206</f>
        <v>86.273423994411502</v>
      </c>
      <c r="AH206" s="7">
        <f>[1]节奏总纲!AH206</f>
        <v>95.724585495978289</v>
      </c>
      <c r="AJ206" s="1"/>
      <c r="AR206" s="3"/>
      <c r="AY206" s="3"/>
      <c r="AZ206" s="2">
        <v>203</v>
      </c>
      <c r="BA206" s="7">
        <f>[1]节奏总纲!BA206</f>
        <v>42.791978326124728</v>
      </c>
      <c r="BB206" s="7">
        <f>[1]节奏总纲!BB206</f>
        <v>44.294146315903454</v>
      </c>
      <c r="BC206" s="7">
        <f>[1]节奏总纲!BC206</f>
        <v>46.240303692017122</v>
      </c>
      <c r="BD206" s="7">
        <f>[1]节奏总纲!BD206</f>
        <v>48.9992397462836</v>
      </c>
      <c r="BE206" s="7">
        <f>[1]节奏总纲!BE206</f>
        <v>53.688283785366046</v>
      </c>
    </row>
    <row r="207" spans="29:57" s="2" customFormat="1" x14ac:dyDescent="0.15">
      <c r="AC207" s="2">
        <v>204</v>
      </c>
      <c r="AD207" s="7">
        <f>[1]节奏总纲!AD207</f>
        <v>76.789110517622973</v>
      </c>
      <c r="AE207" s="7">
        <f>[1]节奏总纲!AE207</f>
        <v>78.851893278096043</v>
      </c>
      <c r="AF207" s="7">
        <f>[1]节奏总纲!AF207</f>
        <v>81.826496600822708</v>
      </c>
      <c r="AG207" s="7">
        <f>[1]节奏总纲!AG207</f>
        <v>86.349258756949112</v>
      </c>
      <c r="AH207" s="7">
        <f>[1]节奏总纲!AH207</f>
        <v>95.795936166782383</v>
      </c>
      <c r="AJ207" s="1"/>
      <c r="AR207" s="3"/>
      <c r="AY207" s="3"/>
      <c r="AZ207" s="2">
        <v>204</v>
      </c>
      <c r="BA207" s="7">
        <f>[1]节奏总纲!BA207</f>
        <v>42.826691081051791</v>
      </c>
      <c r="BB207" s="7">
        <f>[1]节奏总纲!BB207</f>
        <v>44.326465623783335</v>
      </c>
      <c r="BC207" s="7">
        <f>[1]节奏总纲!BC207</f>
        <v>46.272410430048332</v>
      </c>
      <c r="BD207" s="7">
        <f>[1]节奏总纲!BD207</f>
        <v>49.030333272797542</v>
      </c>
      <c r="BE207" s="7">
        <f>[1]节奏总纲!BE207</f>
        <v>53.722748058399532</v>
      </c>
    </row>
    <row r="208" spans="29:57" s="2" customFormat="1" x14ac:dyDescent="0.15">
      <c r="AC208" s="2">
        <v>205</v>
      </c>
      <c r="AD208" s="7">
        <f>[1]节奏总纲!AD208</f>
        <v>76.860924355137783</v>
      </c>
      <c r="AE208" s="7">
        <f>[1]节奏总纲!AE208</f>
        <v>78.923138690966013</v>
      </c>
      <c r="AF208" s="7">
        <f>[1]节奏总纲!AF208</f>
        <v>81.899469987736964</v>
      </c>
      <c r="AG208" s="7">
        <f>[1]节奏总纲!AG208</f>
        <v>86.425093519486722</v>
      </c>
      <c r="AH208" s="7">
        <f>[1]节奏总纲!AH208</f>
        <v>95.867286837586477</v>
      </c>
      <c r="AJ208" s="1"/>
      <c r="AR208" s="3"/>
      <c r="AY208" s="3"/>
      <c r="AZ208" s="2">
        <v>205</v>
      </c>
      <c r="BA208" s="7">
        <f>[1]节奏总纲!BA208</f>
        <v>42.861403835978855</v>
      </c>
      <c r="BB208" s="7">
        <f>[1]节奏总纲!BB208</f>
        <v>44.358784931663209</v>
      </c>
      <c r="BC208" s="7">
        <f>[1]节奏总纲!BC208</f>
        <v>46.304517168079542</v>
      </c>
      <c r="BD208" s="7">
        <f>[1]节奏总纲!BD208</f>
        <v>49.061322941292346</v>
      </c>
      <c r="BE208" s="7">
        <f>[1]节奏总纲!BE208</f>
        <v>53.757212331433024</v>
      </c>
    </row>
    <row r="209" spans="29:57" s="2" customFormat="1" x14ac:dyDescent="0.15">
      <c r="AC209" s="2">
        <v>206</v>
      </c>
      <c r="AD209" s="7">
        <f>[1]节奏总纲!AD209</f>
        <v>76.932738192652593</v>
      </c>
      <c r="AE209" s="7">
        <f>[1]节奏总纲!AE209</f>
        <v>78.994384103835998</v>
      </c>
      <c r="AF209" s="7">
        <f>[1]节奏总纲!AF209</f>
        <v>81.972443374651206</v>
      </c>
      <c r="AG209" s="7">
        <f>[1]节奏总纲!AG209</f>
        <v>86.500928282024347</v>
      </c>
      <c r="AH209" s="7">
        <f>[1]节奏总纲!AH209</f>
        <v>95.938637508390585</v>
      </c>
      <c r="AJ209" s="1"/>
      <c r="AR209" s="3"/>
      <c r="AY209" s="3"/>
      <c r="AZ209" s="2">
        <v>206</v>
      </c>
      <c r="BA209" s="7">
        <f>[1]节奏总纲!BA209</f>
        <v>42.896116590905919</v>
      </c>
      <c r="BB209" s="7">
        <f>[1]节奏总纲!BB209</f>
        <v>44.39110423954309</v>
      </c>
      <c r="BC209" s="7">
        <f>[1]节奏总纲!BC209</f>
        <v>46.336623906110759</v>
      </c>
      <c r="BD209" s="7">
        <f>[1]节奏总纲!BD209</f>
        <v>49.09231260978715</v>
      </c>
      <c r="BE209" s="7">
        <f>[1]节奏总纲!BE209</f>
        <v>53.79167660446651</v>
      </c>
    </row>
    <row r="210" spans="29:57" s="2" customFormat="1" x14ac:dyDescent="0.15">
      <c r="AC210" s="2">
        <v>207</v>
      </c>
      <c r="AD210" s="7">
        <f>[1]节奏总纲!AD210</f>
        <v>77.004247194324648</v>
      </c>
      <c r="AE210" s="7">
        <f>[1]节奏总纲!AE210</f>
        <v>79.061386416569832</v>
      </c>
      <c r="AF210" s="7">
        <f>[1]节奏总纲!AF210</f>
        <v>82.041007317281839</v>
      </c>
      <c r="AG210" s="7">
        <f>[1]节奏总纲!AG210</f>
        <v>86.576763044561957</v>
      </c>
      <c r="AH210" s="7">
        <f>[1]节奏总纲!AH210</f>
        <v>96.008512635801992</v>
      </c>
      <c r="AJ210" s="1"/>
      <c r="AR210" s="3"/>
      <c r="AY210" s="3"/>
      <c r="AZ210" s="2">
        <v>207</v>
      </c>
      <c r="BA210" s="7">
        <f>[1]节奏总纲!BA210</f>
        <v>42.930829345832983</v>
      </c>
      <c r="BB210" s="7">
        <f>[1]节奏总纲!BB210</f>
        <v>44.423423547422971</v>
      </c>
      <c r="BC210" s="7">
        <f>[1]节奏总纲!BC210</f>
        <v>46.368730644141969</v>
      </c>
      <c r="BD210" s="7">
        <f>[1]节奏总纲!BD210</f>
        <v>49.123302278281955</v>
      </c>
      <c r="BE210" s="7">
        <f>[1]节奏总纲!BE210</f>
        <v>53.826140877499995</v>
      </c>
    </row>
    <row r="211" spans="29:57" s="2" customFormat="1" x14ac:dyDescent="0.15">
      <c r="AC211" s="2">
        <v>208</v>
      </c>
      <c r="AD211" s="7">
        <f>[1]节奏总纲!AD211</f>
        <v>77.07125187397483</v>
      </c>
      <c r="AE211" s="7">
        <f>[1]节奏总纲!AE211</f>
        <v>79.128025648620252</v>
      </c>
      <c r="AF211" s="7">
        <f>[1]节奏总纲!AF211</f>
        <v>82.106895829081836</v>
      </c>
      <c r="AG211" s="7">
        <f>[1]节奏总纲!AG211</f>
        <v>86.652597807099568</v>
      </c>
      <c r="AH211" s="7">
        <f>[1]节奏总纲!AH211</f>
        <v>96.069322745727362</v>
      </c>
      <c r="AJ211" s="1"/>
      <c r="AR211" s="3"/>
      <c r="AY211" s="3"/>
      <c r="AZ211" s="2">
        <v>208</v>
      </c>
      <c r="BA211" s="7">
        <f>[1]节奏总纲!BA211</f>
        <v>42.965542100760054</v>
      </c>
      <c r="BB211" s="7">
        <f>[1]节奏总纲!BB211</f>
        <v>44.455742855302844</v>
      </c>
      <c r="BC211" s="7">
        <f>[1]节奏总纲!BC211</f>
        <v>46.400837382173179</v>
      </c>
      <c r="BD211" s="7">
        <f>[1]节奏总纲!BD211</f>
        <v>49.154291946776759</v>
      </c>
      <c r="BE211" s="7">
        <f>[1]节奏总纲!BE211</f>
        <v>53.860605150533488</v>
      </c>
    </row>
    <row r="212" spans="29:57" s="2" customFormat="1" x14ac:dyDescent="0.15">
      <c r="AC212" s="2">
        <v>209</v>
      </c>
      <c r="AD212" s="7">
        <f>[1]节奏总纲!AD212</f>
        <v>77.138256553625013</v>
      </c>
      <c r="AE212" s="7">
        <f>[1]节奏总纲!AE212</f>
        <v>79.194664880670672</v>
      </c>
      <c r="AF212" s="7">
        <f>[1]节奏总纲!AF212</f>
        <v>82.172784340881819</v>
      </c>
      <c r="AG212" s="7">
        <f>[1]节奏总纲!AG212</f>
        <v>86.728432569637178</v>
      </c>
      <c r="AH212" s="7">
        <f>[1]节奏总纲!AH212</f>
        <v>96.130132855652732</v>
      </c>
      <c r="AJ212" s="1"/>
      <c r="AR212" s="3"/>
      <c r="AY212" s="3"/>
      <c r="AZ212" s="2">
        <v>209</v>
      </c>
      <c r="BA212" s="7">
        <f>[1]节奏总纲!BA212</f>
        <v>43.000219942361319</v>
      </c>
      <c r="BB212" s="7">
        <f>[1]节奏总纲!BB212</f>
        <v>44.488062163182725</v>
      </c>
      <c r="BC212" s="7">
        <f>[1]节奏总纲!BC212</f>
        <v>46.432944120204397</v>
      </c>
      <c r="BD212" s="7">
        <f>[1]节奏总纲!BD212</f>
        <v>49.18528161527157</v>
      </c>
      <c r="BE212" s="7">
        <f>[1]节奏总纲!BE212</f>
        <v>53.895069423566973</v>
      </c>
    </row>
    <row r="213" spans="29:57" s="2" customFormat="1" x14ac:dyDescent="0.15">
      <c r="AC213" s="2">
        <v>210</v>
      </c>
      <c r="AD213" s="7">
        <f>[1]节奏总纲!AD213</f>
        <v>77.205261233275195</v>
      </c>
      <c r="AE213" s="7">
        <f>[1]节奏总纲!AE213</f>
        <v>79.261304112721092</v>
      </c>
      <c r="AF213" s="7">
        <f>[1]节奏总纲!AF213</f>
        <v>82.238672852681816</v>
      </c>
      <c r="AG213" s="7">
        <f>[1]节奏总纲!AG213</f>
        <v>86.804267332174788</v>
      </c>
      <c r="AH213" s="7">
        <f>[1]节奏总纲!AH213</f>
        <v>96.190942965578103</v>
      </c>
      <c r="AJ213" s="1"/>
      <c r="AR213" s="3"/>
      <c r="AY213" s="3"/>
      <c r="AZ213" s="2">
        <v>210</v>
      </c>
      <c r="BA213" s="7">
        <f>[1]节奏总纲!BA213</f>
        <v>43.030177309109042</v>
      </c>
      <c r="BB213" s="7">
        <f>[1]节奏总纲!BB213</f>
        <v>44.520381471062606</v>
      </c>
      <c r="BC213" s="7">
        <f>[1]节奏总纲!BC213</f>
        <v>46.465050858235607</v>
      </c>
      <c r="BD213" s="7">
        <f>[1]节奏总纲!BD213</f>
        <v>49.216271283766375</v>
      </c>
      <c r="BE213" s="7">
        <f>[1]节奏总纲!BE213</f>
        <v>53.929533696600465</v>
      </c>
    </row>
    <row r="214" spans="29:57" s="2" customFormat="1" x14ac:dyDescent="0.15">
      <c r="AC214" s="2">
        <v>211</v>
      </c>
      <c r="AD214" s="7">
        <f>[1]节奏总纲!AD214</f>
        <v>77.272265912925377</v>
      </c>
      <c r="AE214" s="7">
        <f>[1]节奏总纲!AE214</f>
        <v>79.327943344771512</v>
      </c>
      <c r="AF214" s="7">
        <f>[1]节奏总纲!AF214</f>
        <v>82.304561364481813</v>
      </c>
      <c r="AG214" s="7">
        <f>[1]节奏总纲!AG214</f>
        <v>86.880102094712413</v>
      </c>
      <c r="AH214" s="7">
        <f>[1]节奏总纲!AH214</f>
        <v>96.251753075503458</v>
      </c>
      <c r="AJ214" s="1"/>
      <c r="AR214" s="3"/>
      <c r="AY214" s="3"/>
      <c r="AZ214" s="2">
        <v>211</v>
      </c>
      <c r="BA214" s="7">
        <f>[1]节奏总纲!BA214</f>
        <v>43.060134675856759</v>
      </c>
      <c r="BB214" s="7">
        <f>[1]节奏总纲!BB214</f>
        <v>44.55270077894248</v>
      </c>
      <c r="BC214" s="7">
        <f>[1]节奏总纲!BC214</f>
        <v>46.497157596266817</v>
      </c>
      <c r="BD214" s="7">
        <f>[1]节奏总纲!BD214</f>
        <v>49.247260952261179</v>
      </c>
      <c r="BE214" s="7">
        <f>[1]节奏总纲!BE214</f>
        <v>53.963997969633951</v>
      </c>
    </row>
    <row r="215" spans="29:57" s="2" customFormat="1" x14ac:dyDescent="0.15">
      <c r="AC215" s="2">
        <v>212</v>
      </c>
      <c r="AD215" s="7">
        <f>[1]节奏总纲!AD215</f>
        <v>77.339270592575559</v>
      </c>
      <c r="AE215" s="7">
        <f>[1]节奏总纲!AE215</f>
        <v>79.394582576821932</v>
      </c>
      <c r="AF215" s="7">
        <f>[1]节奏总纲!AF215</f>
        <v>82.370449876281796</v>
      </c>
      <c r="AG215" s="7">
        <f>[1]节奏总纲!AG215</f>
        <v>86.955936857250023</v>
      </c>
      <c r="AH215" s="7">
        <f>[1]节奏总纲!AH215</f>
        <v>96.312563185428829</v>
      </c>
      <c r="AJ215" s="1"/>
      <c r="AR215" s="3"/>
      <c r="AY215" s="3"/>
      <c r="AZ215" s="2">
        <v>212</v>
      </c>
      <c r="BA215" s="7">
        <f>[1]节奏总纲!BA215</f>
        <v>43.090092042604475</v>
      </c>
      <c r="BB215" s="7">
        <f>[1]节奏总纲!BB215</f>
        <v>44.585020086822361</v>
      </c>
      <c r="BC215" s="7">
        <f>[1]节奏总纲!BC215</f>
        <v>46.529264334298034</v>
      </c>
      <c r="BD215" s="7">
        <f>[1]节奏总纲!BD215</f>
        <v>49.278250620755983</v>
      </c>
      <c r="BE215" s="7">
        <f>[1]节奏总纲!BE215</f>
        <v>53.998462242667436</v>
      </c>
    </row>
    <row r="216" spans="29:57" s="2" customFormat="1" x14ac:dyDescent="0.15">
      <c r="AC216" s="2">
        <v>213</v>
      </c>
      <c r="AD216" s="7">
        <f>[1]节奏总纲!AD216</f>
        <v>77.406275272225741</v>
      </c>
      <c r="AE216" s="7">
        <f>[1]节奏总纲!AE216</f>
        <v>79.461221808872352</v>
      </c>
      <c r="AF216" s="7">
        <f>[1]节奏总纲!AF216</f>
        <v>82.436338388081793</v>
      </c>
      <c r="AG216" s="7">
        <f>[1]节奏总纲!AG216</f>
        <v>87.031203567981635</v>
      </c>
      <c r="AH216" s="7">
        <f>[1]节奏总纲!AH216</f>
        <v>96.373373295354199</v>
      </c>
      <c r="AJ216" s="1"/>
      <c r="AR216" s="3"/>
      <c r="AY216" s="3"/>
      <c r="AZ216" s="2">
        <v>213</v>
      </c>
      <c r="BA216" s="7">
        <f>[1]节奏总纲!BA216</f>
        <v>43.120049409352191</v>
      </c>
      <c r="BB216" s="7">
        <f>[1]节奏总纲!BB216</f>
        <v>44.617339394702242</v>
      </c>
      <c r="BC216" s="7">
        <f>[1]节奏总纲!BC216</f>
        <v>46.561371072329244</v>
      </c>
      <c r="BD216" s="7">
        <f>[1]节奏总纲!BD216</f>
        <v>49.309240289250788</v>
      </c>
      <c r="BE216" s="7">
        <f>[1]节奏总纲!BE216</f>
        <v>54.028437871105552</v>
      </c>
    </row>
    <row r="217" spans="29:57" s="2" customFormat="1" x14ac:dyDescent="0.15">
      <c r="AC217" s="2">
        <v>214</v>
      </c>
      <c r="AD217" s="7">
        <f>[1]节奏总纲!AD217</f>
        <v>77.473279951875909</v>
      </c>
      <c r="AE217" s="7">
        <f>[1]节奏总纲!AE217</f>
        <v>79.527861040922772</v>
      </c>
      <c r="AF217" s="7">
        <f>[1]节奏总纲!AF217</f>
        <v>82.502226899881776</v>
      </c>
      <c r="AG217" s="7">
        <f>[1]节奏总纲!AG217</f>
        <v>87.10568246405397</v>
      </c>
      <c r="AH217" s="7">
        <f>[1]节奏总纲!AH217</f>
        <v>96.434183405279569</v>
      </c>
      <c r="AJ217" s="1"/>
      <c r="AR217" s="3"/>
      <c r="AY217" s="3"/>
      <c r="AZ217" s="2">
        <v>214</v>
      </c>
      <c r="BA217" s="7">
        <f>[1]节奏总纲!BA217</f>
        <v>43.150006776099914</v>
      </c>
      <c r="BB217" s="7">
        <f>[1]节奏总纲!BB217</f>
        <v>44.649658702582116</v>
      </c>
      <c r="BC217" s="7">
        <f>[1]节奏总纲!BC217</f>
        <v>46.593477810360454</v>
      </c>
      <c r="BD217" s="7">
        <f>[1]节奏总纲!BD217</f>
        <v>49.340229957745592</v>
      </c>
      <c r="BE217" s="7">
        <f>[1]节奏总纲!BE217</f>
        <v>54.058203867701586</v>
      </c>
    </row>
    <row r="218" spans="29:57" s="2" customFormat="1" x14ac:dyDescent="0.15">
      <c r="AC218" s="2">
        <v>215</v>
      </c>
      <c r="AD218" s="7">
        <f>[1]节奏总纲!AD218</f>
        <v>77.540284631526092</v>
      </c>
      <c r="AE218" s="7">
        <f>[1]节奏总纲!AE218</f>
        <v>79.594500272973193</v>
      </c>
      <c r="AF218" s="7">
        <f>[1]节奏总纲!AF218</f>
        <v>82.568115411681774</v>
      </c>
      <c r="AG218" s="7">
        <f>[1]节奏总纲!AG218</f>
        <v>87.180161360126306</v>
      </c>
      <c r="AH218" s="7">
        <f>[1]节奏总纲!AH218</f>
        <v>96.494993515204939</v>
      </c>
      <c r="AJ218" s="1"/>
      <c r="AR218" s="3"/>
      <c r="AY218" s="3"/>
      <c r="AZ218" s="2">
        <v>215</v>
      </c>
      <c r="BA218" s="7">
        <f>[1]节奏总纲!BA218</f>
        <v>43.179964142847631</v>
      </c>
      <c r="BB218" s="7">
        <f>[1]节奏总纲!BB218</f>
        <v>44.681978010461997</v>
      </c>
      <c r="BC218" s="7">
        <f>[1]节奏总纲!BC218</f>
        <v>46.625584548391664</v>
      </c>
      <c r="BD218" s="7">
        <f>[1]节奏总纲!BD218</f>
        <v>49.371219626240396</v>
      </c>
      <c r="BE218" s="7">
        <f>[1]节奏总纲!BE218</f>
        <v>54.087969864297619</v>
      </c>
    </row>
    <row r="219" spans="29:57" s="2" customFormat="1" x14ac:dyDescent="0.15">
      <c r="AC219" s="2">
        <v>216</v>
      </c>
      <c r="AD219" s="7">
        <f>[1]节奏总纲!AD219</f>
        <v>77.607289311176274</v>
      </c>
      <c r="AE219" s="7">
        <f>[1]节奏总纲!AE219</f>
        <v>79.661139505023613</v>
      </c>
      <c r="AF219" s="7">
        <f>[1]节奏总纲!AF219</f>
        <v>82.634003923481771</v>
      </c>
      <c r="AG219" s="7">
        <f>[1]节奏总纲!AG219</f>
        <v>87.254640256198641</v>
      </c>
      <c r="AH219" s="7">
        <f>[1]节奏总纲!AH219</f>
        <v>96.555803625130309</v>
      </c>
      <c r="AJ219" s="1"/>
      <c r="AR219" s="3"/>
      <c r="AY219" s="3"/>
      <c r="AZ219" s="2">
        <v>216</v>
      </c>
      <c r="BA219" s="7">
        <f>[1]节奏总纲!BA219</f>
        <v>43.209921509595347</v>
      </c>
      <c r="BB219" s="7">
        <f>[1]节奏总纲!BB219</f>
        <v>44.71429731834187</v>
      </c>
      <c r="BC219" s="7">
        <f>[1]节奏总纲!BC219</f>
        <v>46.657691286422882</v>
      </c>
      <c r="BD219" s="7">
        <f>[1]节奏总纲!BD219</f>
        <v>49.402209294735208</v>
      </c>
      <c r="BE219" s="7">
        <f>[1]节奏总纲!BE219</f>
        <v>54.117735860893646</v>
      </c>
    </row>
    <row r="220" spans="29:57" s="2" customFormat="1" x14ac:dyDescent="0.15">
      <c r="AC220" s="2">
        <v>217</v>
      </c>
      <c r="AD220" s="7">
        <f>[1]节奏总纲!AD220</f>
        <v>77.674293990826456</v>
      </c>
      <c r="AE220" s="7">
        <f>[1]节奏总纲!AE220</f>
        <v>79.727778737074033</v>
      </c>
      <c r="AF220" s="7">
        <f>[1]节奏总纲!AF220</f>
        <v>82.699892435281754</v>
      </c>
      <c r="AG220" s="7">
        <f>[1]节奏总纲!AG220</f>
        <v>87.329119152270991</v>
      </c>
      <c r="AH220" s="7">
        <f>[1]节奏总纲!AH220</f>
        <v>96.61661373505568</v>
      </c>
      <c r="AJ220" s="1"/>
      <c r="AR220" s="3"/>
      <c r="AY220" s="3"/>
      <c r="AZ220" s="2">
        <v>217</v>
      </c>
      <c r="BA220" s="7">
        <f>[1]节奏总纲!BA220</f>
        <v>43.239878876343063</v>
      </c>
      <c r="BB220" s="7">
        <f>[1]节奏总纲!BB220</f>
        <v>44.746616626221751</v>
      </c>
      <c r="BC220" s="7">
        <f>[1]节奏总纲!BC220</f>
        <v>46.689798024454092</v>
      </c>
      <c r="BD220" s="7">
        <f>[1]节奏总纲!BD220</f>
        <v>49.433198963230012</v>
      </c>
      <c r="BE220" s="7">
        <f>[1]节奏总纲!BE220</f>
        <v>54.147501857489679</v>
      </c>
    </row>
    <row r="221" spans="29:57" s="2" customFormat="1" x14ac:dyDescent="0.15">
      <c r="AC221" s="2">
        <v>218</v>
      </c>
      <c r="AD221" s="7">
        <f>[1]节奏总纲!AD221</f>
        <v>77.741298670476638</v>
      </c>
      <c r="AE221" s="7">
        <f>[1]节奏总纲!AE221</f>
        <v>79.794417969124453</v>
      </c>
      <c r="AF221" s="7">
        <f>[1]节奏总纲!AF221</f>
        <v>82.765780947081751</v>
      </c>
      <c r="AG221" s="7">
        <f>[1]节奏总纲!AG221</f>
        <v>87.403598048343326</v>
      </c>
      <c r="AH221" s="7">
        <f>[1]节奏总纲!AH221</f>
        <v>96.67742384498105</v>
      </c>
      <c r="AJ221" s="1"/>
      <c r="AR221" s="3"/>
      <c r="AY221" s="3"/>
      <c r="AZ221" s="2">
        <v>218</v>
      </c>
      <c r="BA221" s="7">
        <f>[1]节奏总纲!BA221</f>
        <v>43.269836243090786</v>
      </c>
      <c r="BB221" s="7">
        <f>[1]节奏总纲!BB221</f>
        <v>44.778935934101632</v>
      </c>
      <c r="BC221" s="7">
        <f>[1]节奏总纲!BC221</f>
        <v>46.721904762485302</v>
      </c>
      <c r="BD221" s="7">
        <f>[1]节奏总纲!BD221</f>
        <v>49.464188631724817</v>
      </c>
      <c r="BE221" s="7">
        <f>[1]节奏总纲!BE221</f>
        <v>54.177267854085706</v>
      </c>
    </row>
    <row r="222" spans="29:57" s="2" customFormat="1" x14ac:dyDescent="0.15">
      <c r="AC222" s="2">
        <v>219</v>
      </c>
      <c r="AD222" s="7">
        <f>[1]节奏总纲!AD222</f>
        <v>77.80830335012682</v>
      </c>
      <c r="AE222" s="7">
        <f>[1]节奏总纲!AE222</f>
        <v>79.861057201174873</v>
      </c>
      <c r="AF222" s="7">
        <f>[1]节奏总纲!AF222</f>
        <v>82.831669458881734</v>
      </c>
      <c r="AG222" s="7">
        <f>[1]节奏总纲!AG222</f>
        <v>87.478076944415662</v>
      </c>
      <c r="AH222" s="7">
        <f>[1]节奏总纲!AH222</f>
        <v>96.73823395490642</v>
      </c>
      <c r="AJ222" s="1"/>
      <c r="AR222" s="3"/>
      <c r="AY222" s="3"/>
      <c r="AZ222" s="2">
        <v>219</v>
      </c>
      <c r="BA222" s="7">
        <f>[1]节奏总纲!BA222</f>
        <v>43.299793609838503</v>
      </c>
      <c r="BB222" s="7">
        <f>[1]节奏总纲!BB222</f>
        <v>44.811255241981506</v>
      </c>
      <c r="BC222" s="7">
        <f>[1]节奏总纲!BC222</f>
        <v>46.754011500516519</v>
      </c>
      <c r="BD222" s="7">
        <f>[1]节奏总纲!BD222</f>
        <v>49.495178300219621</v>
      </c>
      <c r="BE222" s="7">
        <f>[1]节奏总纲!BE222</f>
        <v>54.207033850681739</v>
      </c>
    </row>
    <row r="223" spans="29:57" s="2" customFormat="1" x14ac:dyDescent="0.15">
      <c r="AC223" s="2">
        <v>220</v>
      </c>
      <c r="AD223" s="7">
        <f>[1]节奏总纲!AD223</f>
        <v>77.875308029777003</v>
      </c>
      <c r="AE223" s="7">
        <f>[1]节奏总纲!AE223</f>
        <v>79.927696433225293</v>
      </c>
      <c r="AF223" s="7">
        <f>[1]节奏总纲!AF223</f>
        <v>82.897557970681731</v>
      </c>
      <c r="AG223" s="7">
        <f>[1]节奏总纲!AG223</f>
        <v>87.552555840488012</v>
      </c>
      <c r="AH223" s="7">
        <f>[1]节奏总纲!AH223</f>
        <v>96.79904406483179</v>
      </c>
      <c r="AJ223" s="1"/>
      <c r="AR223" s="3"/>
      <c r="AY223" s="3"/>
      <c r="AZ223" s="2">
        <v>220</v>
      </c>
      <c r="BA223" s="7">
        <f>[1]节奏总纲!BA223</f>
        <v>43.329750976586219</v>
      </c>
      <c r="BB223" s="7">
        <f>[1]节奏总纲!BB223</f>
        <v>44.843574549861387</v>
      </c>
      <c r="BC223" s="7">
        <f>[1]节奏总纲!BC223</f>
        <v>46.786118238547729</v>
      </c>
      <c r="BD223" s="7">
        <f>[1]节奏总纲!BD223</f>
        <v>49.526167968714425</v>
      </c>
      <c r="BE223" s="7">
        <f>[1]节奏总纲!BE223</f>
        <v>54.236799847277773</v>
      </c>
    </row>
    <row r="224" spans="29:57" s="2" customFormat="1" x14ac:dyDescent="0.15">
      <c r="AC224" s="2">
        <v>221</v>
      </c>
      <c r="AD224" s="7">
        <f>[1]节奏总纲!AD224</f>
        <v>77.942312709427185</v>
      </c>
      <c r="AE224" s="7">
        <f>[1]节奏总纲!AE224</f>
        <v>79.994335665275713</v>
      </c>
      <c r="AF224" s="7">
        <f>[1]节奏总纲!AF224</f>
        <v>82.963446482481729</v>
      </c>
      <c r="AG224" s="7">
        <f>[1]节奏总纲!AG224</f>
        <v>87.627034736560347</v>
      </c>
      <c r="AH224" s="7">
        <f>[1]节奏总纲!AH224</f>
        <v>96.85985417475716</v>
      </c>
      <c r="AJ224" s="1"/>
      <c r="AR224" s="3"/>
      <c r="AY224" s="3"/>
      <c r="AZ224" s="2">
        <v>221</v>
      </c>
      <c r="BA224" s="7">
        <f>[1]节奏总纲!BA224</f>
        <v>43.359708343333942</v>
      </c>
      <c r="BB224" s="7">
        <f>[1]节奏总纲!BB224</f>
        <v>44.875893857741268</v>
      </c>
      <c r="BC224" s="7">
        <f>[1]节奏总纲!BC224</f>
        <v>46.818224976578939</v>
      </c>
      <c r="BD224" s="7">
        <f>[1]节奏总纲!BD224</f>
        <v>49.55715763720923</v>
      </c>
      <c r="BE224" s="7">
        <f>[1]节奏总纲!BE224</f>
        <v>54.266565843873799</v>
      </c>
    </row>
    <row r="225" spans="29:57" s="2" customFormat="1" x14ac:dyDescent="0.15">
      <c r="AC225" s="2">
        <v>222</v>
      </c>
      <c r="AD225" s="7">
        <f>[1]节奏总纲!AD225</f>
        <v>78.008693431404168</v>
      </c>
      <c r="AE225" s="7">
        <f>[1]节奏总纲!AE225</f>
        <v>80.05990507131493</v>
      </c>
      <c r="AF225" s="7">
        <f>[1]节奏总纲!AF225</f>
        <v>83.028328094754301</v>
      </c>
      <c r="AG225" s="7">
        <f>[1]节奏总纲!AG225</f>
        <v>87.701513632632683</v>
      </c>
      <c r="AH225" s="7">
        <f>[1]节奏总纲!AH225</f>
        <v>96.920664284682516</v>
      </c>
      <c r="AJ225" s="1"/>
      <c r="AR225" s="3"/>
      <c r="AY225" s="3"/>
      <c r="AZ225" s="2">
        <v>222</v>
      </c>
      <c r="BA225" s="7">
        <f>[1]节奏总纲!BA225</f>
        <v>43.389665710081658</v>
      </c>
      <c r="BB225" s="7">
        <f>[1]节奏总纲!BB225</f>
        <v>44.908213165621142</v>
      </c>
      <c r="BC225" s="7">
        <f>[1]节奏总纲!BC225</f>
        <v>46.850331714610157</v>
      </c>
      <c r="BD225" s="7">
        <f>[1]节奏总纲!BD225</f>
        <v>49.588147305704041</v>
      </c>
      <c r="BE225" s="7">
        <f>[1]节奏总纲!BE225</f>
        <v>54.296331840469833</v>
      </c>
    </row>
    <row r="226" spans="29:57" s="2" customFormat="1" x14ac:dyDescent="0.15">
      <c r="AC226" s="2">
        <v>223</v>
      </c>
      <c r="AD226" s="7">
        <f>[1]节奏总纲!AD226</f>
        <v>78.071211008105138</v>
      </c>
      <c r="AE226" s="7">
        <f>[1]节奏总纲!AE226</f>
        <v>80.125375094609936</v>
      </c>
      <c r="AF226" s="7">
        <f>[1]节奏总纲!AF226</f>
        <v>83.091955037632331</v>
      </c>
      <c r="AG226" s="7">
        <f>[1]节奏总纲!AG226</f>
        <v>87.775992528705018</v>
      </c>
      <c r="AH226" s="7">
        <f>[1]节奏总纲!AH226</f>
        <v>96.981474394607886</v>
      </c>
      <c r="AJ226" s="1"/>
      <c r="AR226" s="3"/>
      <c r="AY226" s="3"/>
      <c r="AZ226" s="2">
        <v>223</v>
      </c>
      <c r="BA226" s="7">
        <f>[1]节奏总纲!BA226</f>
        <v>43.419623076829374</v>
      </c>
      <c r="BB226" s="7">
        <f>[1]节奏总纲!BB226</f>
        <v>44.940532473501023</v>
      </c>
      <c r="BC226" s="7">
        <f>[1]节奏总纲!BC226</f>
        <v>46.882438452641367</v>
      </c>
      <c r="BD226" s="7">
        <f>[1]节奏总纲!BD226</f>
        <v>49.619136974198845</v>
      </c>
      <c r="BE226" s="7">
        <f>[1]节奏总纲!BE226</f>
        <v>54.326097837065859</v>
      </c>
    </row>
    <row r="227" spans="29:57" s="2" customFormat="1" x14ac:dyDescent="0.15">
      <c r="AC227" s="2">
        <v>224</v>
      </c>
      <c r="AD227" s="7">
        <f>[1]节奏总纲!AD227</f>
        <v>78.133728584806107</v>
      </c>
      <c r="AE227" s="7">
        <f>[1]节奏总纲!AE227</f>
        <v>80.190845117904942</v>
      </c>
      <c r="AF227" s="7">
        <f>[1]节奏总纲!AF227</f>
        <v>83.155581980510348</v>
      </c>
      <c r="AG227" s="7">
        <f>[1]节奏总纲!AG227</f>
        <v>87.850471424777368</v>
      </c>
      <c r="AH227" s="7">
        <f>[1]节奏总纲!AH227</f>
        <v>97.03979962522213</v>
      </c>
      <c r="AJ227" s="1"/>
      <c r="AR227" s="3"/>
      <c r="AY227" s="3"/>
      <c r="AZ227" s="2">
        <v>224</v>
      </c>
      <c r="BA227" s="7">
        <f>[1]节奏总纲!BA227</f>
        <v>43.449580443577091</v>
      </c>
      <c r="BB227" s="7">
        <f>[1]节奏总纲!BB227</f>
        <v>44.972851781380903</v>
      </c>
      <c r="BC227" s="7">
        <f>[1]节奏总纲!BC227</f>
        <v>46.914545190672577</v>
      </c>
      <c r="BD227" s="7">
        <f>[1]节奏总纲!BD227</f>
        <v>49.65012664269365</v>
      </c>
      <c r="BE227" s="7">
        <f>[1]节奏总纲!BE227</f>
        <v>54.355863833661893</v>
      </c>
    </row>
    <row r="228" spans="29:57" s="2" customFormat="1" x14ac:dyDescent="0.15">
      <c r="AC228" s="2">
        <v>225</v>
      </c>
      <c r="AD228" s="7">
        <f>[1]节奏总纲!AD228</f>
        <v>78.196246161507091</v>
      </c>
      <c r="AE228" s="7">
        <f>[1]节奏总纲!AE228</f>
        <v>80.256315141199948</v>
      </c>
      <c r="AF228" s="7">
        <f>[1]节奏总纲!AF228</f>
        <v>83.219208923388379</v>
      </c>
      <c r="AG228" s="7">
        <f>[1]节奏总纲!AG228</f>
        <v>87.924950320849703</v>
      </c>
      <c r="AH228" s="7">
        <f>[1]节奏总纲!AH228</f>
        <v>97.097036185315744</v>
      </c>
      <c r="AJ228" s="1"/>
      <c r="AR228" s="3"/>
      <c r="AY228" s="3"/>
      <c r="AZ228" s="2">
        <v>225</v>
      </c>
      <c r="BA228" s="7">
        <f>[1]节奏总纲!BA228</f>
        <v>43.479537810324814</v>
      </c>
      <c r="BB228" s="7">
        <f>[1]节奏总纲!BB228</f>
        <v>45.004463376644416</v>
      </c>
      <c r="BC228" s="7">
        <f>[1]节奏总纲!BC228</f>
        <v>46.946651928703794</v>
      </c>
      <c r="BD228" s="7">
        <f>[1]节奏总纲!BD228</f>
        <v>49.681116311188454</v>
      </c>
      <c r="BE228" s="7">
        <f>[1]节奏总纲!BE228</f>
        <v>54.385629830257926</v>
      </c>
    </row>
    <row r="229" spans="29:57" s="2" customFormat="1" x14ac:dyDescent="0.15">
      <c r="AC229" s="2">
        <v>226</v>
      </c>
      <c r="AD229" s="7">
        <f>[1]节奏总纲!AD229</f>
        <v>78.25876373820806</v>
      </c>
      <c r="AE229" s="7">
        <f>[1]节奏总纲!AE229</f>
        <v>80.321785164494941</v>
      </c>
      <c r="AF229" s="7">
        <f>[1]节奏总纲!AF229</f>
        <v>83.282835866266396</v>
      </c>
      <c r="AG229" s="7">
        <f>[1]节奏总纲!AG229</f>
        <v>87.999429216922039</v>
      </c>
      <c r="AH229" s="7">
        <f>[1]节奏总纲!AH229</f>
        <v>97.154272745409358</v>
      </c>
      <c r="AJ229" s="1"/>
      <c r="AR229" s="3"/>
      <c r="AY229" s="3"/>
      <c r="AZ229" s="2">
        <v>226</v>
      </c>
      <c r="BA229" s="7">
        <f>[1]节奏总纲!BA229</f>
        <v>43.50949517707253</v>
      </c>
      <c r="BB229" s="7">
        <f>[1]节奏总纲!BB229</f>
        <v>45.032359480672049</v>
      </c>
      <c r="BC229" s="7">
        <f>[1]节奏总纲!BC229</f>
        <v>46.978758666735004</v>
      </c>
      <c r="BD229" s="7">
        <f>[1]节奏总纲!BD229</f>
        <v>49.712105979683258</v>
      </c>
      <c r="BE229" s="7">
        <f>[1]节奏总纲!BE229</f>
        <v>54.415395826853953</v>
      </c>
    </row>
    <row r="230" spans="29:57" s="2" customFormat="1" x14ac:dyDescent="0.15">
      <c r="AC230" s="2">
        <v>227</v>
      </c>
      <c r="AD230" s="7">
        <f>[1]节奏总纲!AD230</f>
        <v>78.321281314909029</v>
      </c>
      <c r="AE230" s="7">
        <f>[1]节奏总纲!AE230</f>
        <v>80.387255187789947</v>
      </c>
      <c r="AF230" s="7">
        <f>[1]节奏总纲!AF230</f>
        <v>83.346462809144427</v>
      </c>
      <c r="AG230" s="7">
        <f>[1]节奏总纲!AG230</f>
        <v>88.069378113045531</v>
      </c>
      <c r="AH230" s="7">
        <f>[1]节奏总纲!AH230</f>
        <v>97.211509305502972</v>
      </c>
      <c r="AJ230" s="1"/>
      <c r="AR230" s="3"/>
      <c r="AY230" s="3"/>
      <c r="AZ230" s="2">
        <v>227</v>
      </c>
      <c r="BA230" s="7">
        <f>[1]节奏总纲!BA230</f>
        <v>43.539452543820246</v>
      </c>
      <c r="BB230" s="7">
        <f>[1]节奏总纲!BB230</f>
        <v>45.060255584699682</v>
      </c>
      <c r="BC230" s="7">
        <f>[1]节奏总纲!BC230</f>
        <v>47.009379755645142</v>
      </c>
      <c r="BD230" s="7">
        <f>[1]节奏总纲!BD230</f>
        <v>49.743095648178063</v>
      </c>
      <c r="BE230" s="7">
        <f>[1]节奏总纲!BE230</f>
        <v>54.445161823449986</v>
      </c>
    </row>
    <row r="231" spans="29:57" s="2" customFormat="1" x14ac:dyDescent="0.15">
      <c r="AC231" s="2">
        <v>228</v>
      </c>
      <c r="AD231" s="7">
        <f>[1]节奏总纲!AD231</f>
        <v>78.383798891610013</v>
      </c>
      <c r="AE231" s="7">
        <f>[1]节奏总纲!AE231</f>
        <v>80.452725211084953</v>
      </c>
      <c r="AF231" s="7">
        <f>[1]节奏总纲!AF231</f>
        <v>83.410089752022458</v>
      </c>
      <c r="AG231" s="7">
        <f>[1]节奏总纲!AG231</f>
        <v>88.139292024548126</v>
      </c>
      <c r="AH231" s="7">
        <f>[1]节奏总纲!AH231</f>
        <v>97.268745865596571</v>
      </c>
      <c r="AJ231" s="1"/>
      <c r="AR231" s="3"/>
      <c r="AY231" s="3"/>
      <c r="AZ231" s="2">
        <v>228</v>
      </c>
      <c r="BA231" s="7">
        <f>[1]节奏总纲!BA231</f>
        <v>43.569409910567963</v>
      </c>
      <c r="BB231" s="7">
        <f>[1]节奏总纲!BB231</f>
        <v>45.088151688727308</v>
      </c>
      <c r="BC231" s="7">
        <f>[1]节奏总纲!BC231</f>
        <v>47.037096473409001</v>
      </c>
      <c r="BD231" s="7">
        <f>[1]节奏总纲!BD231</f>
        <v>49.774085316672867</v>
      </c>
      <c r="BE231" s="7">
        <f>[1]节奏总纲!BE231</f>
        <v>54.47492782004602</v>
      </c>
    </row>
    <row r="232" spans="29:57" s="2" customFormat="1" x14ac:dyDescent="0.15">
      <c r="AC232" s="2">
        <v>229</v>
      </c>
      <c r="AD232" s="7">
        <f>[1]节奏总纲!AD232</f>
        <v>78.446316468310982</v>
      </c>
      <c r="AE232" s="7">
        <f>[1]节奏总纲!AE232</f>
        <v>80.518195234379959</v>
      </c>
      <c r="AF232" s="7">
        <f>[1]节奏总纲!AF232</f>
        <v>83.473716694900475</v>
      </c>
      <c r="AG232" s="7">
        <f>[1]节奏总纲!AG232</f>
        <v>88.209205936050708</v>
      </c>
      <c r="AH232" s="7">
        <f>[1]节奏总纲!AH232</f>
        <v>97.325982425690185</v>
      </c>
      <c r="AJ232" s="1"/>
      <c r="AR232" s="3"/>
      <c r="AY232" s="3"/>
      <c r="AZ232" s="2">
        <v>229</v>
      </c>
      <c r="BA232" s="7">
        <f>[1]节奏总纲!BA232</f>
        <v>43.599367277315686</v>
      </c>
      <c r="BB232" s="7">
        <f>[1]节奏总纲!BB232</f>
        <v>45.116047792754941</v>
      </c>
      <c r="BC232" s="7">
        <f>[1]节奏总纲!BC232</f>
        <v>47.06481319117286</v>
      </c>
      <c r="BD232" s="7">
        <f>[1]节奏总纲!BD232</f>
        <v>49.805074985167678</v>
      </c>
      <c r="BE232" s="7">
        <f>[1]节奏总纲!BE232</f>
        <v>54.504693816642046</v>
      </c>
    </row>
    <row r="233" spans="29:57" s="2" customFormat="1" x14ac:dyDescent="0.15">
      <c r="AC233" s="2">
        <v>230</v>
      </c>
      <c r="AD233" s="7">
        <f>[1]节奏总纲!AD233</f>
        <v>78.508834045011952</v>
      </c>
      <c r="AE233" s="7">
        <f>[1]节奏总纲!AE233</f>
        <v>80.583665257674966</v>
      </c>
      <c r="AF233" s="7">
        <f>[1]节奏总纲!AF233</f>
        <v>83.537343637778505</v>
      </c>
      <c r="AG233" s="7">
        <f>[1]节奏总纲!AG233</f>
        <v>88.279119847553304</v>
      </c>
      <c r="AH233" s="7">
        <f>[1]节奏总纲!AH233</f>
        <v>97.383218985783799</v>
      </c>
      <c r="AJ233" s="1"/>
      <c r="AR233" s="3"/>
      <c r="AY233" s="3"/>
      <c r="AZ233" s="2">
        <v>230</v>
      </c>
      <c r="BA233" s="7">
        <f>[1]节奏总纲!BA233</f>
        <v>43.629324644063402</v>
      </c>
      <c r="BB233" s="7">
        <f>[1]节奏总纲!BB233</f>
        <v>45.143943896782567</v>
      </c>
      <c r="BC233" s="7">
        <f>[1]节奏总纲!BC233</f>
        <v>47.092529908936719</v>
      </c>
      <c r="BD233" s="7">
        <f>[1]节奏总纲!BD233</f>
        <v>49.836064653662483</v>
      </c>
      <c r="BE233" s="7">
        <f>[1]节奏总纲!BE233</f>
        <v>54.53445981323808</v>
      </c>
    </row>
    <row r="234" spans="29:57" s="2" customFormat="1" x14ac:dyDescent="0.15">
      <c r="AC234" s="2">
        <v>231</v>
      </c>
      <c r="AD234" s="7">
        <f>[1]节奏总纲!AD234</f>
        <v>78.571351621712921</v>
      </c>
      <c r="AE234" s="7">
        <f>[1]节奏总纲!AE234</f>
        <v>80.649135280969972</v>
      </c>
      <c r="AF234" s="7">
        <f>[1]节奏总纲!AF234</f>
        <v>83.600970580656536</v>
      </c>
      <c r="AG234" s="7">
        <f>[1]节奏总纲!AG234</f>
        <v>88.349033759055899</v>
      </c>
      <c r="AH234" s="7">
        <f>[1]节奏总纲!AH234</f>
        <v>97.440455545877413</v>
      </c>
      <c r="AJ234" s="1"/>
      <c r="AR234" s="3"/>
      <c r="AY234" s="3"/>
      <c r="AZ234" s="2">
        <v>231</v>
      </c>
      <c r="BA234" s="7">
        <f>[1]节奏总纲!BA234</f>
        <v>43.659282010811118</v>
      </c>
      <c r="BB234" s="7">
        <f>[1]节奏总纲!BB234</f>
        <v>45.171840000810199</v>
      </c>
      <c r="BC234" s="7">
        <f>[1]节奏总纲!BC234</f>
        <v>47.120246626700578</v>
      </c>
      <c r="BD234" s="7">
        <f>[1]节奏总纲!BD234</f>
        <v>49.867054322157287</v>
      </c>
      <c r="BE234" s="7">
        <f>[1]节奏总纲!BE234</f>
        <v>54.564225809834106</v>
      </c>
    </row>
    <row r="235" spans="29:57" s="2" customFormat="1" x14ac:dyDescent="0.15">
      <c r="AC235" s="2">
        <v>232</v>
      </c>
      <c r="AD235" s="7">
        <f>[1]节奏总纲!AD235</f>
        <v>78.633869198413905</v>
      </c>
      <c r="AE235" s="7">
        <f>[1]节奏总纲!AE235</f>
        <v>80.714605304264978</v>
      </c>
      <c r="AF235" s="7">
        <f>[1]节奏总纲!AF235</f>
        <v>83.664597523534553</v>
      </c>
      <c r="AG235" s="7">
        <f>[1]节奏总纲!AG235</f>
        <v>88.418947670558495</v>
      </c>
      <c r="AH235" s="7">
        <f>[1]节奏总纲!AH235</f>
        <v>97.497692105971026</v>
      </c>
      <c r="AJ235" s="1"/>
      <c r="AR235" s="3"/>
      <c r="AY235" s="3"/>
      <c r="AZ235" s="2">
        <v>232</v>
      </c>
      <c r="BA235" s="7">
        <f>[1]节奏总纲!BA235</f>
        <v>43.689239377558835</v>
      </c>
      <c r="BB235" s="7">
        <f>[1]节奏总纲!BB235</f>
        <v>45.199736104837825</v>
      </c>
      <c r="BC235" s="7">
        <f>[1]节奏总纲!BC235</f>
        <v>47.147963344464429</v>
      </c>
      <c r="BD235" s="7">
        <f>[1]节奏总纲!BD235</f>
        <v>49.898043990652091</v>
      </c>
      <c r="BE235" s="7">
        <f>[1]节奏总纲!BE235</f>
        <v>54.593991806430139</v>
      </c>
    </row>
    <row r="236" spans="29:57" s="2" customFormat="1" x14ac:dyDescent="0.15">
      <c r="AC236" s="2">
        <v>233</v>
      </c>
      <c r="AD236" s="7">
        <f>[1]节奏总纲!AD236</f>
        <v>78.696386775114874</v>
      </c>
      <c r="AE236" s="7">
        <f>[1]节奏总纲!AE236</f>
        <v>80.78007532755997</v>
      </c>
      <c r="AF236" s="7">
        <f>[1]节奏总纲!AF236</f>
        <v>83.728224466412584</v>
      </c>
      <c r="AG236" s="7">
        <f>[1]节奏总纲!AG236</f>
        <v>88.488861582061077</v>
      </c>
      <c r="AH236" s="7">
        <f>[1]节奏总纲!AH236</f>
        <v>97.554928666064626</v>
      </c>
      <c r="AJ236" s="1"/>
      <c r="AR236" s="3"/>
      <c r="AY236" s="3"/>
      <c r="AZ236" s="2">
        <v>233</v>
      </c>
      <c r="BA236" s="7">
        <f>[1]节奏总纲!BA236</f>
        <v>43.719196744306558</v>
      </c>
      <c r="BB236" s="7">
        <f>[1]节奏总纲!BB236</f>
        <v>45.227632208865458</v>
      </c>
      <c r="BC236" s="7">
        <f>[1]节奏总纲!BC236</f>
        <v>47.175680062228288</v>
      </c>
      <c r="BD236" s="7">
        <f>[1]节奏总纲!BD236</f>
        <v>49.929033659146896</v>
      </c>
      <c r="BE236" s="7">
        <f>[1]节奏总纲!BE236</f>
        <v>54.623757803026173</v>
      </c>
    </row>
    <row r="237" spans="29:57" s="2" customFormat="1" x14ac:dyDescent="0.15">
      <c r="AC237" s="2">
        <v>234</v>
      </c>
      <c r="AD237" s="7">
        <f>[1]节奏总纲!AD237</f>
        <v>78.758904351815843</v>
      </c>
      <c r="AE237" s="7">
        <f>[1]节奏总纲!AE237</f>
        <v>80.845545350854977</v>
      </c>
      <c r="AF237" s="7">
        <f>[1]节奏总纲!AF237</f>
        <v>83.791851409290615</v>
      </c>
      <c r="AG237" s="7">
        <f>[1]节奏总纲!AG237</f>
        <v>88.558775493563672</v>
      </c>
      <c r="AH237" s="7">
        <f>[1]节奏总纲!AH237</f>
        <v>97.61216522615824</v>
      </c>
      <c r="AJ237" s="1"/>
      <c r="AR237" s="3"/>
      <c r="AY237" s="3"/>
      <c r="AZ237" s="2">
        <v>234</v>
      </c>
      <c r="BA237" s="7">
        <f>[1]节奏总纲!BA237</f>
        <v>43.749154111054274</v>
      </c>
      <c r="BB237" s="7">
        <f>[1]节奏总纲!BB237</f>
        <v>45.255528312893091</v>
      </c>
      <c r="BC237" s="7">
        <f>[1]节奏总纲!BC237</f>
        <v>47.203396779992147</v>
      </c>
      <c r="BD237" s="7">
        <f>[1]节奏总纲!BD237</f>
        <v>49.9600233276417</v>
      </c>
      <c r="BE237" s="7">
        <f>[1]节奏总纲!BE237</f>
        <v>54.653523799622199</v>
      </c>
    </row>
    <row r="238" spans="29:57" s="2" customFormat="1" x14ac:dyDescent="0.15">
      <c r="AC238" s="2">
        <v>235</v>
      </c>
      <c r="AD238" s="7">
        <f>[1]节奏总纲!AD238</f>
        <v>78.821421928516827</v>
      </c>
      <c r="AE238" s="7">
        <f>[1]节奏总纲!AE238</f>
        <v>80.911015374149983</v>
      </c>
      <c r="AF238" s="7">
        <f>[1]节奏总纲!AF238</f>
        <v>83.855478352168632</v>
      </c>
      <c r="AG238" s="7">
        <f>[1]节奏总纲!AG238</f>
        <v>88.628689405066268</v>
      </c>
      <c r="AH238" s="7">
        <f>[1]节奏总纲!AH238</f>
        <v>97.669401786251854</v>
      </c>
      <c r="AJ238" s="1"/>
      <c r="AR238" s="3"/>
      <c r="AY238" s="3"/>
      <c r="AZ238" s="2">
        <v>235</v>
      </c>
      <c r="BA238" s="7">
        <f>[1]节奏总纲!BA238</f>
        <v>43.77911147780199</v>
      </c>
      <c r="BB238" s="7">
        <f>[1]节奏总纲!BB238</f>
        <v>45.283424416920717</v>
      </c>
      <c r="BC238" s="7">
        <f>[1]节奏总纲!BC238</f>
        <v>47.231113497756006</v>
      </c>
      <c r="BD238" s="7">
        <f>[1]节奏总纲!BD238</f>
        <v>49.991012996136504</v>
      </c>
      <c r="BE238" s="7">
        <f>[1]节奏总纲!BE238</f>
        <v>54.683289796218233</v>
      </c>
    </row>
    <row r="239" spans="29:57" s="2" customFormat="1" x14ac:dyDescent="0.15">
      <c r="AC239" s="2">
        <v>236</v>
      </c>
      <c r="AD239" s="7">
        <f>[1]节奏总纲!AD239</f>
        <v>78.883939505217796</v>
      </c>
      <c r="AE239" s="7">
        <f>[1]节奏总纲!AE239</f>
        <v>80.976485397444989</v>
      </c>
      <c r="AF239" s="7">
        <f>[1]节奏总纲!AF239</f>
        <v>83.919105295046663</v>
      </c>
      <c r="AG239" s="7">
        <f>[1]节奏总纲!AG239</f>
        <v>88.698603316568864</v>
      </c>
      <c r="AH239" s="7">
        <f>[1]节奏总纲!AH239</f>
        <v>97.726638346345467</v>
      </c>
      <c r="AJ239" s="1"/>
      <c r="AR239" s="3"/>
      <c r="AY239" s="3"/>
      <c r="AZ239" s="2">
        <v>236</v>
      </c>
      <c r="BA239" s="7">
        <f>[1]节奏总纲!BA239</f>
        <v>43.809068844549707</v>
      </c>
      <c r="BB239" s="7">
        <f>[1]节奏总纲!BB239</f>
        <v>45.31132052094835</v>
      </c>
      <c r="BC239" s="7">
        <f>[1]节奏总纲!BC239</f>
        <v>47.258830215519865</v>
      </c>
      <c r="BD239" s="7">
        <f>[1]节奏总纲!BD239</f>
        <v>50.018998195299922</v>
      </c>
      <c r="BE239" s="7">
        <f>[1]节奏总纲!BE239</f>
        <v>54.713055792814259</v>
      </c>
    </row>
    <row r="240" spans="29:57" s="2" customFormat="1" x14ac:dyDescent="0.15">
      <c r="AC240" s="2">
        <v>237</v>
      </c>
      <c r="AD240" s="7">
        <f>[1]节奏总纲!AD240</f>
        <v>78.946457081918766</v>
      </c>
      <c r="AE240" s="7">
        <f>[1]节奏总纲!AE240</f>
        <v>81.038163244467697</v>
      </c>
      <c r="AF240" s="7">
        <f>[1]节奏总纲!AF240</f>
        <v>83.982732237924694</v>
      </c>
      <c r="AG240" s="7">
        <f>[1]节奏总纲!AG240</f>
        <v>88.768517228071445</v>
      </c>
      <c r="AH240" s="7">
        <f>[1]节奏总纲!AH240</f>
        <v>97.783874906439081</v>
      </c>
      <c r="AJ240" s="1"/>
      <c r="AR240" s="3"/>
      <c r="AY240" s="3"/>
      <c r="AZ240" s="2">
        <v>237</v>
      </c>
      <c r="BA240" s="7">
        <f>[1]节奏总纲!BA240</f>
        <v>43.83902621129743</v>
      </c>
      <c r="BB240" s="7">
        <f>[1]节奏总纲!BB240</f>
        <v>45.339216624975975</v>
      </c>
      <c r="BC240" s="7">
        <f>[1]节奏总纲!BC240</f>
        <v>47.286546933283724</v>
      </c>
      <c r="BD240" s="7">
        <f>[1]节奏总纲!BD240</f>
        <v>50.045756216849099</v>
      </c>
      <c r="BE240" s="7">
        <f>[1]节奏总纲!BE240</f>
        <v>54.742821789410293</v>
      </c>
    </row>
    <row r="241" spans="29:57" s="2" customFormat="1" x14ac:dyDescent="0.15">
      <c r="AC241" s="2">
        <v>238</v>
      </c>
      <c r="AD241" s="7">
        <f>[1]节奏总纲!AD241</f>
        <v>79.008373652580005</v>
      </c>
      <c r="AE241" s="7">
        <f>[1]节奏总纲!AE241</f>
        <v>81.097715704203424</v>
      </c>
      <c r="AF241" s="7">
        <f>[1]节奏总纲!AF241</f>
        <v>84.043767921022209</v>
      </c>
      <c r="AG241" s="7">
        <f>[1]节奏总纲!AG241</f>
        <v>88.838431139574041</v>
      </c>
      <c r="AH241" s="7">
        <f>[1]节奏总纲!AH241</f>
        <v>97.841111466532681</v>
      </c>
      <c r="AJ241" s="1"/>
      <c r="AR241" s="3"/>
      <c r="AY241" s="3"/>
      <c r="AZ241" s="2">
        <v>238</v>
      </c>
      <c r="BA241" s="7">
        <f>[1]节奏总纲!BA241</f>
        <v>43.868983578045146</v>
      </c>
      <c r="BB241" s="7">
        <f>[1]节奏总纲!BB241</f>
        <v>45.367112729003608</v>
      </c>
      <c r="BC241" s="7">
        <f>[1]节奏总纲!BC241</f>
        <v>47.314263651047582</v>
      </c>
      <c r="BD241" s="7">
        <f>[1]节奏总纲!BD241</f>
        <v>50.072514238398277</v>
      </c>
      <c r="BE241" s="7">
        <f>[1]节奏总纲!BE241</f>
        <v>54.772587786006326</v>
      </c>
    </row>
    <row r="242" spans="29:57" s="2" customFormat="1" x14ac:dyDescent="0.15">
      <c r="AC242" s="2">
        <v>239</v>
      </c>
      <c r="AD242" s="7">
        <f>[1]节奏总纲!AD242</f>
        <v>79.066704614192943</v>
      </c>
      <c r="AE242" s="7">
        <f>[1]节奏总纲!AE242</f>
        <v>81.157268163939136</v>
      </c>
      <c r="AF242" s="7">
        <f>[1]节奏总纲!AF242</f>
        <v>84.103838417578672</v>
      </c>
      <c r="AG242" s="7">
        <f>[1]节奏总纲!AG242</f>
        <v>88.908345051076637</v>
      </c>
      <c r="AH242" s="7">
        <f>[1]节奏总纲!AH242</f>
        <v>97.898348026626294</v>
      </c>
      <c r="AJ242" s="1"/>
      <c r="AR242" s="3"/>
      <c r="AY242" s="3"/>
      <c r="AZ242" s="2">
        <v>239</v>
      </c>
      <c r="BA242" s="7">
        <f>[1]节奏总纲!BA242</f>
        <v>43.898940944792862</v>
      </c>
      <c r="BB242" s="7">
        <f>[1]节奏总纲!BB242</f>
        <v>45.395008833031234</v>
      </c>
      <c r="BC242" s="7">
        <f>[1]节奏总纲!BC242</f>
        <v>47.341980368811441</v>
      </c>
      <c r="BD242" s="7">
        <f>[1]节奏总纲!BD242</f>
        <v>50.099272259947462</v>
      </c>
      <c r="BE242" s="7">
        <f>[1]节奏总纲!BE242</f>
        <v>54.802353782602353</v>
      </c>
    </row>
    <row r="243" spans="29:57" s="2" customFormat="1" x14ac:dyDescent="0.15">
      <c r="AC243" s="2">
        <v>240</v>
      </c>
      <c r="AD243" s="7">
        <f>[1]节奏总纲!AD243</f>
        <v>79.125035575805882</v>
      </c>
      <c r="AE243" s="7">
        <f>[1]节奏总纲!AE243</f>
        <v>81.216820623674849</v>
      </c>
      <c r="AF243" s="7">
        <f>[1]节奏总纲!AF243</f>
        <v>84.163908914135135</v>
      </c>
      <c r="AG243" s="7">
        <f>[1]节奏总纲!AG243</f>
        <v>88.978258962579233</v>
      </c>
      <c r="AH243" s="7">
        <f>[1]节奏总纲!AH243</f>
        <v>97.955584586719908</v>
      </c>
      <c r="AJ243" s="1"/>
      <c r="AR243" s="3"/>
      <c r="AY243" s="3"/>
      <c r="AZ243" s="2">
        <v>240</v>
      </c>
      <c r="BA243" s="7">
        <f>[1]节奏总纲!BA243</f>
        <v>43.928898311540586</v>
      </c>
      <c r="BB243" s="7">
        <f>[1]节奏总纲!BB243</f>
        <v>45.422904937058867</v>
      </c>
      <c r="BC243" s="7">
        <f>[1]节奏总纲!BC243</f>
        <v>47.3696970865753</v>
      </c>
      <c r="BD243" s="7">
        <f>[1]节奏总纲!BD243</f>
        <v>50.126030281496639</v>
      </c>
      <c r="BE243" s="7">
        <f>[1]节奏总纲!BE243</f>
        <v>54.832119779198386</v>
      </c>
    </row>
    <row r="244" spans="29:57" s="2" customFormat="1" x14ac:dyDescent="0.15">
      <c r="AC244" s="2">
        <v>241</v>
      </c>
      <c r="AD244" s="7">
        <f>[1]节奏总纲!AD244</f>
        <v>79.18336653741882</v>
      </c>
      <c r="AE244" s="7">
        <f>[1]节奏总纲!AE244</f>
        <v>81.276373083410562</v>
      </c>
      <c r="AF244" s="7">
        <f>[1]节奏总纲!AF244</f>
        <v>84.223979410691598</v>
      </c>
      <c r="AG244" s="7">
        <f>[1]节奏总纲!AG244</f>
        <v>89.047272179270863</v>
      </c>
      <c r="AH244" s="7">
        <f>[1]节奏总纲!AH244</f>
        <v>98.013314854852808</v>
      </c>
      <c r="AJ244" s="1"/>
      <c r="AR244" s="3"/>
      <c r="AY244" s="3"/>
      <c r="AZ244" s="2">
        <v>241</v>
      </c>
      <c r="BA244" s="7">
        <f>[1]节奏总纲!BA244</f>
        <v>43.958855678288302</v>
      </c>
      <c r="BB244" s="7">
        <f>[1]节奏总纲!BB244</f>
        <v>45.450801041086493</v>
      </c>
      <c r="BC244" s="7">
        <f>[1]节奏总纲!BC244</f>
        <v>47.397413804339159</v>
      </c>
      <c r="BD244" s="7">
        <f>[1]节奏总纲!BD244</f>
        <v>50.152788303045817</v>
      </c>
      <c r="BE244" s="7">
        <f>[1]节奏总纲!BE244</f>
        <v>54.86188577579442</v>
      </c>
    </row>
    <row r="245" spans="29:57" s="2" customFormat="1" x14ac:dyDescent="0.15">
      <c r="AC245" s="2">
        <v>242</v>
      </c>
      <c r="AD245" s="7">
        <f>[1]节奏总纲!AD245</f>
        <v>79.241697499031773</v>
      </c>
      <c r="AE245" s="7">
        <f>[1]节奏总纲!AE245</f>
        <v>81.335925543146274</v>
      </c>
      <c r="AF245" s="7">
        <f>[1]节奏总纲!AF245</f>
        <v>84.284049907248061</v>
      </c>
      <c r="AG245" s="7">
        <f>[1]节奏总纲!AG245</f>
        <v>89.11587890081428</v>
      </c>
      <c r="AH245" s="7">
        <f>[1]节奏总纲!AH245</f>
        <v>98.072755441643167</v>
      </c>
      <c r="AJ245" s="1"/>
      <c r="AR245" s="3"/>
      <c r="AY245" s="3"/>
      <c r="AZ245" s="2">
        <v>242</v>
      </c>
      <c r="BA245" s="7">
        <f>[1]节奏总纲!BA245</f>
        <v>43.988813045036018</v>
      </c>
      <c r="BB245" s="7">
        <f>[1]节奏总纲!BB245</f>
        <v>45.478697145114126</v>
      </c>
      <c r="BC245" s="7">
        <f>[1]节奏总纲!BC245</f>
        <v>47.425130522103018</v>
      </c>
      <c r="BD245" s="7">
        <f>[1]节奏总纲!BD245</f>
        <v>50.179546324595002</v>
      </c>
      <c r="BE245" s="7">
        <f>[1]节奏总纲!BE245</f>
        <v>54.891651772390446</v>
      </c>
    </row>
    <row r="246" spans="29:57" s="2" customFormat="1" x14ac:dyDescent="0.15">
      <c r="AC246" s="2">
        <v>243</v>
      </c>
      <c r="AD246" s="7">
        <f>[1]节奏总纲!AD246</f>
        <v>79.300028460644711</v>
      </c>
      <c r="AE246" s="7">
        <f>[1]节奏总纲!AE246</f>
        <v>81.395478002882001</v>
      </c>
      <c r="AF246" s="7">
        <f>[1]节奏总纲!AF246</f>
        <v>84.344120403804524</v>
      </c>
      <c r="AG246" s="7">
        <f>[1]节奏总纲!AG246</f>
        <v>89.184485622357698</v>
      </c>
      <c r="AH246" s="7">
        <f>[1]节奏总纲!AH246</f>
        <v>98.132196028433526</v>
      </c>
      <c r="AJ246" s="1"/>
      <c r="AR246" s="3"/>
      <c r="AY246" s="3"/>
      <c r="AZ246" s="2">
        <v>243</v>
      </c>
      <c r="BA246" s="7">
        <f>[1]节奏总纲!BA246</f>
        <v>44.016200268136501</v>
      </c>
      <c r="BB246" s="7">
        <f>[1]节奏总纲!BB246</f>
        <v>45.506593249141758</v>
      </c>
      <c r="BC246" s="7">
        <f>[1]节奏总纲!BC246</f>
        <v>47.452847239866877</v>
      </c>
      <c r="BD246" s="7">
        <f>[1]节奏总纲!BD246</f>
        <v>50.206304346144179</v>
      </c>
      <c r="BE246" s="7">
        <f>[1]节奏总纲!BE246</f>
        <v>54.92141776898648</v>
      </c>
    </row>
    <row r="247" spans="29:57" s="2" customFormat="1" x14ac:dyDescent="0.15">
      <c r="AC247" s="2">
        <v>244</v>
      </c>
      <c r="AD247" s="7">
        <f>[1]节奏总纲!AD247</f>
        <v>79.358359422257649</v>
      </c>
      <c r="AE247" s="7">
        <f>[1]节奏总纲!AE247</f>
        <v>81.455030462617714</v>
      </c>
      <c r="AF247" s="7">
        <f>[1]节奏总纲!AF247</f>
        <v>84.404190900360987</v>
      </c>
      <c r="AG247" s="7">
        <f>[1]节奏总纲!AG247</f>
        <v>89.253092343901116</v>
      </c>
      <c r="AH247" s="7">
        <f>[1]节奏总纲!AH247</f>
        <v>98.191636615223871</v>
      </c>
      <c r="AJ247" s="1"/>
      <c r="AR247" s="3"/>
      <c r="AY247" s="3"/>
      <c r="AZ247" s="2">
        <v>244</v>
      </c>
      <c r="BA247" s="7">
        <f>[1]节奏总纲!BA247</f>
        <v>44.042055714440401</v>
      </c>
      <c r="BB247" s="7">
        <f>[1]节奏总纲!BB247</f>
        <v>45.534489353169384</v>
      </c>
      <c r="BC247" s="7">
        <f>[1]节奏总纲!BC247</f>
        <v>47.480563957630736</v>
      </c>
      <c r="BD247" s="7">
        <f>[1]节奏总纲!BD247</f>
        <v>50.233062367693357</v>
      </c>
      <c r="BE247" s="7">
        <f>[1]节奏总纲!BE247</f>
        <v>54.951183765582506</v>
      </c>
    </row>
    <row r="248" spans="29:57" s="2" customFormat="1" x14ac:dyDescent="0.15">
      <c r="AC248" s="2">
        <v>245</v>
      </c>
      <c r="AD248" s="7">
        <f>[1]节奏总纲!AD248</f>
        <v>79.416690383870588</v>
      </c>
      <c r="AE248" s="7">
        <f>[1]节奏总纲!AE248</f>
        <v>81.514582922353426</v>
      </c>
      <c r="AF248" s="7">
        <f>[1]节奏总纲!AF248</f>
        <v>84.46426139691745</v>
      </c>
      <c r="AG248" s="7">
        <f>[1]节奏总纲!AG248</f>
        <v>89.321699065444534</v>
      </c>
      <c r="AH248" s="7">
        <f>[1]节奏总纲!AH248</f>
        <v>98.25107720201423</v>
      </c>
      <c r="AJ248" s="1"/>
      <c r="AR248" s="3"/>
      <c r="AY248" s="3"/>
      <c r="AZ248" s="2">
        <v>245</v>
      </c>
      <c r="BA248" s="7">
        <f>[1]节奏总纲!BA248</f>
        <v>44.067911160744309</v>
      </c>
      <c r="BB248" s="7">
        <f>[1]节奏总纲!BB248</f>
        <v>45.562385457197017</v>
      </c>
      <c r="BC248" s="7">
        <f>[1]节奏总纲!BC248</f>
        <v>47.508280675394595</v>
      </c>
      <c r="BD248" s="7">
        <f>[1]节奏总纲!BD248</f>
        <v>50.259820389242542</v>
      </c>
      <c r="BE248" s="7">
        <f>[1]节奏总纲!BE248</f>
        <v>54.98094976217854</v>
      </c>
    </row>
    <row r="249" spans="29:57" s="2" customFormat="1" x14ac:dyDescent="0.15">
      <c r="AC249" s="2">
        <v>246</v>
      </c>
      <c r="AD249" s="7">
        <f>[1]节奏总纲!AD249</f>
        <v>79.475021345483526</v>
      </c>
      <c r="AE249" s="7">
        <f>[1]节奏总纲!AE249</f>
        <v>81.574135382089139</v>
      </c>
      <c r="AF249" s="7">
        <f>[1]节奏总纲!AF249</f>
        <v>84.524331893473914</v>
      </c>
      <c r="AG249" s="7">
        <f>[1]节奏总纲!AG249</f>
        <v>89.390305786987952</v>
      </c>
      <c r="AH249" s="7">
        <f>[1]节奏总纲!AH249</f>
        <v>98.310517788804589</v>
      </c>
      <c r="AJ249" s="1"/>
      <c r="AR249" s="3"/>
      <c r="AY249" s="3"/>
      <c r="AZ249" s="2">
        <v>246</v>
      </c>
      <c r="BA249" s="7">
        <f>[1]节奏总纲!BA249</f>
        <v>44.093766607048209</v>
      </c>
      <c r="BB249" s="7">
        <f>[1]节奏总纲!BB249</f>
        <v>45.590281561224643</v>
      </c>
      <c r="BC249" s="7">
        <f>[1]节奏总纲!BC249</f>
        <v>47.535997393158453</v>
      </c>
      <c r="BD249" s="7">
        <f>[1]节奏总纲!BD249</f>
        <v>50.286578410791719</v>
      </c>
      <c r="BE249" s="7">
        <f>[1]节奏总纲!BE249</f>
        <v>55.009255535630842</v>
      </c>
    </row>
    <row r="250" spans="29:57" s="2" customFormat="1" x14ac:dyDescent="0.15">
      <c r="AC250" s="2">
        <v>247</v>
      </c>
      <c r="AD250" s="7">
        <f>[1]节奏总纲!AD250</f>
        <v>79.533352307096465</v>
      </c>
      <c r="AE250" s="7">
        <f>[1]节奏总纲!AE250</f>
        <v>81.633687841824852</v>
      </c>
      <c r="AF250" s="7">
        <f>[1]节奏总纲!AF250</f>
        <v>84.584402390030377</v>
      </c>
      <c r="AG250" s="7">
        <f>[1]节奏总纲!AG250</f>
        <v>89.45891250853137</v>
      </c>
      <c r="AH250" s="7">
        <f>[1]节奏总纲!AH250</f>
        <v>98.369958375594933</v>
      </c>
      <c r="AJ250" s="1"/>
      <c r="AR250" s="3"/>
      <c r="AY250" s="3"/>
      <c r="AZ250" s="2">
        <v>247</v>
      </c>
      <c r="BA250" s="7">
        <f>[1]节奏总纲!BA250</f>
        <v>44.11962205335211</v>
      </c>
      <c r="BB250" s="7">
        <f>[1]节奏总纲!BB250</f>
        <v>45.618177665252276</v>
      </c>
      <c r="BC250" s="7">
        <f>[1]节奏总纲!BC250</f>
        <v>47.563714110922312</v>
      </c>
      <c r="BD250" s="7">
        <f>[1]节奏总纲!BD250</f>
        <v>50.313336432340897</v>
      </c>
      <c r="BE250" s="7">
        <f>[1]节奏总纲!BE250</f>
        <v>55.034965356827627</v>
      </c>
    </row>
    <row r="251" spans="29:57" s="2" customFormat="1" x14ac:dyDescent="0.15">
      <c r="AC251" s="2">
        <v>248</v>
      </c>
      <c r="AD251" s="7">
        <f>[1]节奏总纲!AD251</f>
        <v>79.591683268709417</v>
      </c>
      <c r="AE251" s="7">
        <f>[1]节奏总纲!AE251</f>
        <v>81.693240301560579</v>
      </c>
      <c r="AF251" s="7">
        <f>[1]节奏总纲!AF251</f>
        <v>84.64447288658684</v>
      </c>
      <c r="AG251" s="7">
        <f>[1]节奏总纲!AG251</f>
        <v>89.527519230074788</v>
      </c>
      <c r="AH251" s="7">
        <f>[1]节奏总纲!AH251</f>
        <v>98.429398962385292</v>
      </c>
      <c r="AJ251" s="1"/>
      <c r="AR251" s="3"/>
      <c r="AY251" s="3"/>
      <c r="AZ251" s="2">
        <v>248</v>
      </c>
      <c r="BA251" s="7">
        <f>[1]节奏总纲!BA251</f>
        <v>44.145477499656018</v>
      </c>
      <c r="BB251" s="7">
        <f>[1]节奏总纲!BB251</f>
        <v>45.646073769279901</v>
      </c>
      <c r="BC251" s="7">
        <f>[1]节奏总纲!BC251</f>
        <v>47.591430828686171</v>
      </c>
      <c r="BD251" s="7">
        <f>[1]节奏总纲!BD251</f>
        <v>50.340094453890082</v>
      </c>
      <c r="BE251" s="7">
        <f>[1]节奏总纲!BE251</f>
        <v>55.060675178024418</v>
      </c>
    </row>
    <row r="252" spans="29:57" s="2" customFormat="1" x14ac:dyDescent="0.15">
      <c r="AC252" s="2">
        <v>249</v>
      </c>
      <c r="AD252" s="7">
        <f>[1]节奏总纲!AD252</f>
        <v>79.650014230322356</v>
      </c>
      <c r="AE252" s="7">
        <f>[1]节奏总纲!AE252</f>
        <v>81.752792761296291</v>
      </c>
      <c r="AF252" s="7">
        <f>[1]节奏总纲!AF252</f>
        <v>84.704543383143317</v>
      </c>
      <c r="AG252" s="7">
        <f>[1]节奏总纲!AG252</f>
        <v>89.596125951618205</v>
      </c>
      <c r="AH252" s="7">
        <f>[1]节奏总纲!AH252</f>
        <v>98.488839549175651</v>
      </c>
      <c r="AJ252" s="1"/>
      <c r="AR252" s="3"/>
      <c r="AY252" s="3"/>
      <c r="AZ252" s="2">
        <v>249</v>
      </c>
      <c r="BA252" s="7">
        <f>[1]节奏总纲!BA252</f>
        <v>44.171332945959918</v>
      </c>
      <c r="BB252" s="7">
        <f>[1]节奏总纲!BB252</f>
        <v>45.673969873307534</v>
      </c>
      <c r="BC252" s="7">
        <f>[1]节奏总纲!BC252</f>
        <v>47.61914754645003</v>
      </c>
      <c r="BD252" s="7">
        <f>[1]节奏总纲!BD252</f>
        <v>50.366852475439259</v>
      </c>
      <c r="BE252" s="7">
        <f>[1]节奏总纲!BE252</f>
        <v>55.086384999221202</v>
      </c>
    </row>
    <row r="253" spans="29:57" s="2" customFormat="1" x14ac:dyDescent="0.15">
      <c r="AC253" s="2">
        <v>250</v>
      </c>
      <c r="AD253" s="7">
        <f>[1]节奏总纲!AD253</f>
        <v>79.708345191935294</v>
      </c>
      <c r="AE253" s="7">
        <f>[1]节奏总纲!AE253</f>
        <v>81.812345221032004</v>
      </c>
      <c r="AF253" s="7">
        <f>[1]节奏总纲!AF253</f>
        <v>84.76461387969978</v>
      </c>
      <c r="AG253" s="7">
        <f>[1]节奏总纲!AG253</f>
        <v>89.664732673161623</v>
      </c>
      <c r="AH253" s="7">
        <f>[1]节奏总纲!AH253</f>
        <v>98.548280135965996</v>
      </c>
      <c r="AJ253" s="1"/>
      <c r="AR253" s="3"/>
      <c r="AY253" s="3"/>
      <c r="AZ253" s="2">
        <v>250</v>
      </c>
      <c r="BA253" s="7">
        <f>[1]节奏总纲!BA253</f>
        <v>44.197188392263818</v>
      </c>
      <c r="BB253" s="7">
        <f>[1]节奏总纲!BB253</f>
        <v>45.701865977335167</v>
      </c>
      <c r="BC253" s="7">
        <f>[1]节奏总纲!BC253</f>
        <v>47.646864264213889</v>
      </c>
      <c r="BD253" s="7">
        <f>[1]节奏总纲!BD253</f>
        <v>50.393610496988437</v>
      </c>
      <c r="BE253" s="7">
        <f>[1]节奏总纲!BE253</f>
        <v>55.112094820417994</v>
      </c>
    </row>
    <row r="254" spans="29:57" s="2" customFormat="1" x14ac:dyDescent="0.15">
      <c r="AC254" s="2">
        <v>251</v>
      </c>
      <c r="AD254" s="7">
        <f>[1]节奏总纲!AD254</f>
        <v>79.766676153548232</v>
      </c>
      <c r="AE254" s="7">
        <f>[1]节奏总纲!AE254</f>
        <v>81.871897680767717</v>
      </c>
      <c r="AF254" s="7">
        <f>[1]节奏总纲!AF254</f>
        <v>84.824684376256243</v>
      </c>
      <c r="AG254" s="7">
        <f>[1]节奏总纲!AG254</f>
        <v>89.733339394705041</v>
      </c>
      <c r="AH254" s="7">
        <f>[1]节奏总纲!AH254</f>
        <v>98.607720722756355</v>
      </c>
      <c r="AJ254" s="1"/>
      <c r="AR254" s="3"/>
      <c r="AY254" s="3"/>
      <c r="AZ254" s="2">
        <v>251</v>
      </c>
      <c r="BA254" s="7">
        <f>[1]节奏总纲!BA254</f>
        <v>44.223043838567726</v>
      </c>
      <c r="BB254" s="7">
        <f>[1]节奏总纲!BB254</f>
        <v>45.729762081362793</v>
      </c>
      <c r="BC254" s="7">
        <f>[1]节奏总纲!BC254</f>
        <v>47.674580981977748</v>
      </c>
      <c r="BD254" s="7">
        <f>[1]节奏总纲!BD254</f>
        <v>50.420368518537622</v>
      </c>
      <c r="BE254" s="7">
        <f>[1]节奏总纲!BE254</f>
        <v>55.137804641614778</v>
      </c>
    </row>
    <row r="255" spans="29:57" s="2" customFormat="1" x14ac:dyDescent="0.15">
      <c r="AC255" s="2">
        <v>252</v>
      </c>
      <c r="AD255" s="7">
        <f>[1]节奏总纲!AD255</f>
        <v>79.825007115161171</v>
      </c>
      <c r="AE255" s="7">
        <f>[1]节奏总纲!AE255</f>
        <v>81.931450140503429</v>
      </c>
      <c r="AF255" s="7">
        <f>[1]节奏总纲!AF255</f>
        <v>84.884754872812707</v>
      </c>
      <c r="AG255" s="7">
        <f>[1]节奏总纲!AG255</f>
        <v>89.801946116248459</v>
      </c>
      <c r="AH255" s="7">
        <f>[1]节奏总纲!AH255</f>
        <v>98.667161309546714</v>
      </c>
      <c r="AJ255" s="1"/>
      <c r="AR255" s="3"/>
      <c r="AY255" s="3"/>
      <c r="AZ255" s="2">
        <v>252</v>
      </c>
      <c r="BA255" s="7">
        <f>[1]节奏总纲!BA255</f>
        <v>44.248899284871626</v>
      </c>
      <c r="BB255" s="7">
        <f>[1]节奏总纲!BB255</f>
        <v>45.757658185390426</v>
      </c>
      <c r="BC255" s="7">
        <f>[1]节奏总纲!BC255</f>
        <v>47.7022976997416</v>
      </c>
      <c r="BD255" s="7">
        <f>[1]节奏总纲!BD255</f>
        <v>50.447126540086799</v>
      </c>
      <c r="BE255" s="7">
        <f>[1]节奏总纲!BE255</f>
        <v>55.163514462811563</v>
      </c>
    </row>
    <row r="256" spans="29:57" s="2" customFormat="1" x14ac:dyDescent="0.15">
      <c r="AC256" s="2">
        <v>253</v>
      </c>
      <c r="AD256" s="7">
        <f>[1]节奏总纲!AD256</f>
        <v>79.883338076774123</v>
      </c>
      <c r="AE256" s="7">
        <f>[1]节奏总纲!AE256</f>
        <v>81.991002600239142</v>
      </c>
      <c r="AF256" s="7">
        <f>[1]节奏总纲!AF256</f>
        <v>84.94482536936917</v>
      </c>
      <c r="AG256" s="7">
        <f>[1]节奏总纲!AG256</f>
        <v>89.870552837791877</v>
      </c>
      <c r="AH256" s="7">
        <f>[1]节奏总纲!AH256</f>
        <v>98.726601896337058</v>
      </c>
      <c r="AJ256" s="1"/>
      <c r="AR256" s="3"/>
      <c r="AY256" s="3"/>
      <c r="AZ256" s="2">
        <v>253</v>
      </c>
      <c r="BA256" s="7">
        <f>[1]节奏总纲!BA256</f>
        <v>44.274754731175527</v>
      </c>
      <c r="BB256" s="7">
        <f>[1]节奏总纲!BB256</f>
        <v>45.785554289418052</v>
      </c>
      <c r="BC256" s="7">
        <f>[1]节奏总纲!BC256</f>
        <v>47.730014417505458</v>
      </c>
      <c r="BD256" s="7">
        <f>[1]节奏总纲!BD256</f>
        <v>50.473884561635977</v>
      </c>
      <c r="BE256" s="7">
        <f>[1]节奏总纲!BE256</f>
        <v>55.189224284008354</v>
      </c>
    </row>
    <row r="257" spans="29:57" s="2" customFormat="1" x14ac:dyDescent="0.15">
      <c r="AC257" s="2">
        <v>254</v>
      </c>
      <c r="AD257" s="7">
        <f>[1]节奏总纲!AD257</f>
        <v>79.941669038387062</v>
      </c>
      <c r="AE257" s="7">
        <f>[1]节奏总纲!AE257</f>
        <v>82.046165327855846</v>
      </c>
      <c r="AF257" s="7">
        <f>[1]节奏总纲!AF257</f>
        <v>85.004450307848032</v>
      </c>
      <c r="AG257" s="7">
        <f>[1]节奏总纲!AG257</f>
        <v>89.939159559335295</v>
      </c>
      <c r="AH257" s="7">
        <f>[1]节奏总纲!AH257</f>
        <v>98.786042483127417</v>
      </c>
      <c r="AJ257" s="1"/>
      <c r="AR257" s="3"/>
      <c r="AY257" s="3"/>
      <c r="AZ257" s="2">
        <v>254</v>
      </c>
      <c r="BA257" s="7">
        <f>[1]节奏总纲!BA257</f>
        <v>44.300610177479435</v>
      </c>
      <c r="BB257" s="7">
        <f>[1]节奏总纲!BB257</f>
        <v>45.813450393445684</v>
      </c>
      <c r="BC257" s="7">
        <f>[1]节奏总纲!BC257</f>
        <v>47.757731135269317</v>
      </c>
      <c r="BD257" s="7">
        <f>[1]节奏总纲!BD257</f>
        <v>50.500642583185162</v>
      </c>
      <c r="BE257" s="7">
        <f>[1]节奏总纲!BE257</f>
        <v>55.214934105205138</v>
      </c>
    </row>
    <row r="258" spans="29:57" s="2" customFormat="1" x14ac:dyDescent="0.15">
      <c r="AC258" s="2">
        <v>255</v>
      </c>
      <c r="AD258" s="7">
        <f>[1]节奏总纲!AD258</f>
        <v>80</v>
      </c>
      <c r="AE258" s="7">
        <f>[1]节奏总纲!AE258</f>
        <v>82.100546804797787</v>
      </c>
      <c r="AF258" s="7">
        <f>[1]节奏总纲!AF258</f>
        <v>85.059053968634842</v>
      </c>
      <c r="AG258" s="7">
        <f>[1]节奏总纲!AG258</f>
        <v>90.006385600230558</v>
      </c>
      <c r="AH258" s="7">
        <f>[1]节奏总纲!AH258</f>
        <v>98.845483069917776</v>
      </c>
      <c r="AJ258" s="1"/>
      <c r="AR258" s="3"/>
      <c r="AY258" s="3"/>
      <c r="AZ258" s="2">
        <v>255</v>
      </c>
      <c r="BA258" s="7">
        <f>[1]节奏总纲!BA258</f>
        <v>44.326465623783335</v>
      </c>
      <c r="BB258" s="7">
        <f>[1]节奏总纲!BB258</f>
        <v>45.84134649747331</v>
      </c>
      <c r="BC258" s="7">
        <f>[1]节奏总纲!BC258</f>
        <v>47.785447853033176</v>
      </c>
      <c r="BD258" s="7">
        <f>[1]节奏总纲!BD258</f>
        <v>50.527400604734339</v>
      </c>
      <c r="BE258" s="7">
        <f>[1]节奏总纲!BE258</f>
        <v>55.24064392640193</v>
      </c>
    </row>
    <row r="259" spans="29:57" s="2" customFormat="1" x14ac:dyDescent="0.15">
      <c r="AC259" s="2">
        <v>256</v>
      </c>
      <c r="AD259" s="7">
        <f>[1]节奏总纲!AD259</f>
        <v>80.054424711612938</v>
      </c>
      <c r="AE259" s="7">
        <f>[1]节奏总纲!AE259</f>
        <v>82.154928281739714</v>
      </c>
      <c r="AF259" s="7">
        <f>[1]节奏总纲!AF259</f>
        <v>85.113657629421638</v>
      </c>
      <c r="AG259" s="7">
        <f>[1]节奏总纲!AG259</f>
        <v>90.062795496260307</v>
      </c>
      <c r="AH259" s="7">
        <f>[1]节奏总纲!AH259</f>
        <v>98.904923656708121</v>
      </c>
      <c r="AJ259" s="1"/>
      <c r="AR259" s="3"/>
      <c r="AY259" s="3"/>
      <c r="AZ259" s="2">
        <v>256</v>
      </c>
      <c r="BA259" s="7">
        <f>[1]节奏总纲!BA259</f>
        <v>44.352321070087235</v>
      </c>
      <c r="BB259" s="7">
        <f>[1]节奏总纲!BB259</f>
        <v>45.869242601500943</v>
      </c>
      <c r="BC259" s="7">
        <f>[1]节奏总纲!BC259</f>
        <v>47.813164570797035</v>
      </c>
      <c r="BD259" s="7">
        <f>[1]节奏总纲!BD259</f>
        <v>50.554158626283517</v>
      </c>
      <c r="BE259" s="7">
        <f>[1]节奏总纲!BE259</f>
        <v>55.266353747598714</v>
      </c>
    </row>
    <row r="260" spans="29:57" s="2" customFormat="1" x14ac:dyDescent="0.15">
      <c r="AC260" s="2">
        <v>257</v>
      </c>
      <c r="AD260" s="7">
        <f>[1]节奏总纲!AD260</f>
        <v>80.108849423225877</v>
      </c>
      <c r="AE260" s="7">
        <f>[1]节奏总纲!AE260</f>
        <v>82.209309758681655</v>
      </c>
      <c r="AF260" s="7">
        <f>[1]节奏总纲!AF260</f>
        <v>85.168261290208434</v>
      </c>
      <c r="AG260" s="7">
        <f>[1]节奏总纲!AG260</f>
        <v>90.119205392290041</v>
      </c>
      <c r="AH260" s="7">
        <f>[1]节奏总纲!AH260</f>
        <v>98.96436424349848</v>
      </c>
      <c r="AJ260" s="1"/>
      <c r="AR260" s="3"/>
      <c r="AY260" s="3"/>
      <c r="AZ260" s="2">
        <v>257</v>
      </c>
      <c r="BA260" s="7">
        <f>[1]节奏总纲!BA260</f>
        <v>44.378176516391136</v>
      </c>
      <c r="BB260" s="7">
        <f>[1]节奏总纲!BB260</f>
        <v>45.897138705528576</v>
      </c>
      <c r="BC260" s="7">
        <f>[1]节奏总纲!BC260</f>
        <v>47.840881288560894</v>
      </c>
      <c r="BD260" s="7">
        <f>[1]节奏总纲!BD260</f>
        <v>50.580916647832701</v>
      </c>
      <c r="BE260" s="7">
        <f>[1]节奏总纲!BE260</f>
        <v>55.292063568795498</v>
      </c>
    </row>
    <row r="261" spans="29:57" s="2" customFormat="1" x14ac:dyDescent="0.15">
      <c r="AC261" s="2">
        <v>258</v>
      </c>
      <c r="AD261" s="7">
        <f>[1]节奏总纲!AD261</f>
        <v>80.163274134838829</v>
      </c>
      <c r="AE261" s="7">
        <f>[1]节奏总纲!AE261</f>
        <v>82.263691235623583</v>
      </c>
      <c r="AF261" s="7">
        <f>[1]节奏总纲!AF261</f>
        <v>85.222864950995231</v>
      </c>
      <c r="AG261" s="7">
        <f>[1]节奏总纲!AG261</f>
        <v>90.175615288319776</v>
      </c>
      <c r="AH261" s="7">
        <f>[1]节奏总纲!AH261</f>
        <v>99.023313221876677</v>
      </c>
      <c r="AJ261" s="1"/>
      <c r="AR261" s="3"/>
      <c r="AY261" s="3"/>
      <c r="AZ261" s="2">
        <v>258</v>
      </c>
      <c r="BA261" s="7">
        <f>[1]节奏总纲!BA261</f>
        <v>44.404031962695043</v>
      </c>
      <c r="BB261" s="7">
        <f>[1]节奏总纲!BB261</f>
        <v>45.925034809556202</v>
      </c>
      <c r="BC261" s="7">
        <f>[1]节奏总纲!BC261</f>
        <v>47.868598006324753</v>
      </c>
      <c r="BD261" s="7">
        <f>[1]节奏总纲!BD261</f>
        <v>50.607674669381879</v>
      </c>
      <c r="BE261" s="7">
        <f>[1]节奏总纲!BE261</f>
        <v>55.31777338999229</v>
      </c>
    </row>
    <row r="262" spans="29:57" s="2" customFormat="1" x14ac:dyDescent="0.15">
      <c r="AC262" s="2">
        <v>259</v>
      </c>
      <c r="AD262" s="7">
        <f>[1]节奏总纲!AD262</f>
        <v>80.217698846451768</v>
      </c>
      <c r="AE262" s="7">
        <f>[1]节奏总纲!AE262</f>
        <v>82.318072712565524</v>
      </c>
      <c r="AF262" s="7">
        <f>[1]节奏总纲!AF262</f>
        <v>85.277468611782027</v>
      </c>
      <c r="AG262" s="7">
        <f>[1]节奏总纲!AG262</f>
        <v>90.23202518434951</v>
      </c>
      <c r="AH262" s="7">
        <f>[1]节奏总纲!AH262</f>
        <v>99.081526263999208</v>
      </c>
      <c r="AJ262" s="1"/>
      <c r="AR262" s="3"/>
      <c r="AY262" s="3"/>
      <c r="AZ262" s="2">
        <v>259</v>
      </c>
      <c r="BA262" s="7">
        <f>[1]节奏总纲!BA262</f>
        <v>44.429887408998944</v>
      </c>
      <c r="BB262" s="7">
        <f>[1]节奏总纲!BB262</f>
        <v>45.952930913583835</v>
      </c>
      <c r="BC262" s="7">
        <f>[1]节奏总纲!BC262</f>
        <v>47.896314724088612</v>
      </c>
      <c r="BD262" s="7">
        <f>[1]节奏总纲!BD262</f>
        <v>50.634432690931064</v>
      </c>
      <c r="BE262" s="7">
        <f>[1]节奏总纲!BE262</f>
        <v>55.343483211189074</v>
      </c>
    </row>
    <row r="263" spans="29:57" s="2" customFormat="1" x14ac:dyDescent="0.15">
      <c r="AC263" s="2">
        <v>260</v>
      </c>
      <c r="AD263" s="7">
        <f>[1]节奏总纲!AD263</f>
        <v>80.272123558064706</v>
      </c>
      <c r="AE263" s="7">
        <f>[1]节奏总纲!AE263</f>
        <v>82.372454189507465</v>
      </c>
      <c r="AF263" s="7">
        <f>[1]节奏总纲!AF263</f>
        <v>85.332072272568837</v>
      </c>
      <c r="AG263" s="7">
        <f>[1]节奏总纲!AG263</f>
        <v>90.288435080379244</v>
      </c>
      <c r="AH263" s="7">
        <f>[1]节奏总纲!AH263</f>
        <v>99.139739306121726</v>
      </c>
      <c r="AJ263" s="1"/>
      <c r="AR263" s="3"/>
      <c r="AY263" s="3"/>
      <c r="AZ263" s="2">
        <v>260</v>
      </c>
      <c r="BA263" s="7">
        <f>[1]节奏总纲!BA263</f>
        <v>44.455742855302844</v>
      </c>
      <c r="BB263" s="7">
        <f>[1]节奏总纲!BB263</f>
        <v>45.98082701761146</v>
      </c>
      <c r="BC263" s="7">
        <f>[1]节奏总纲!BC263</f>
        <v>47.92403144185247</v>
      </c>
      <c r="BD263" s="7">
        <f>[1]节奏总纲!BD263</f>
        <v>50.661190712480241</v>
      </c>
      <c r="BE263" s="7">
        <f>[1]节奏总纲!BE263</f>
        <v>55.369193032385866</v>
      </c>
    </row>
    <row r="264" spans="29:57" s="2" customFormat="1" x14ac:dyDescent="0.15">
      <c r="AC264" s="2">
        <v>261</v>
      </c>
      <c r="AD264" s="7">
        <f>[1]节奏总纲!AD264</f>
        <v>80.326548269677644</v>
      </c>
      <c r="AE264" s="7">
        <f>[1]节奏总纲!AE264</f>
        <v>82.426835666449392</v>
      </c>
      <c r="AF264" s="7">
        <f>[1]节奏总纲!AF264</f>
        <v>85.386675933355633</v>
      </c>
      <c r="AG264" s="7">
        <f>[1]节奏总纲!AG264</f>
        <v>90.344844976408993</v>
      </c>
      <c r="AH264" s="7">
        <f>[1]节奏总纲!AH264</f>
        <v>99.197952348244257</v>
      </c>
      <c r="AJ264" s="1"/>
      <c r="AR264" s="3"/>
      <c r="AY264" s="3"/>
      <c r="AZ264" s="2">
        <v>261</v>
      </c>
      <c r="BA264" s="7">
        <f>[1]节奏总纲!BA264</f>
        <v>44.481598301606752</v>
      </c>
      <c r="BB264" s="7">
        <f>[1]节奏总纲!BB264</f>
        <v>46.007529841290832</v>
      </c>
      <c r="BC264" s="7">
        <f>[1]节奏总纲!BC264</f>
        <v>47.951748159616329</v>
      </c>
      <c r="BD264" s="7">
        <f>[1]节奏总纲!BD264</f>
        <v>50.687948734029419</v>
      </c>
      <c r="BE264" s="7">
        <f>[1]节奏总纲!BE264</f>
        <v>55.39490285358265</v>
      </c>
    </row>
    <row r="265" spans="29:57" s="2" customFormat="1" x14ac:dyDescent="0.15">
      <c r="AC265" s="2">
        <v>262</v>
      </c>
      <c r="AD265" s="7">
        <f>[1]节奏总纲!AD265</f>
        <v>80.380972981290597</v>
      </c>
      <c r="AE265" s="7">
        <f>[1]节奏总纲!AE265</f>
        <v>82.481217143391333</v>
      </c>
      <c r="AF265" s="7">
        <f>[1]节奏总纲!AF265</f>
        <v>85.441279594142429</v>
      </c>
      <c r="AG265" s="7">
        <f>[1]节奏总纲!AG265</f>
        <v>90.401254872438727</v>
      </c>
      <c r="AH265" s="7">
        <f>[1]节奏总纲!AH265</f>
        <v>99.256165390366789</v>
      </c>
      <c r="AJ265" s="1"/>
      <c r="AR265" s="3"/>
      <c r="AY265" s="3"/>
      <c r="AZ265" s="2">
        <v>262</v>
      </c>
      <c r="BA265" s="7">
        <f>[1]节奏总纲!BA265</f>
        <v>44.507453747910652</v>
      </c>
      <c r="BB265" s="7">
        <f>[1]节奏总纲!BB265</f>
        <v>46.031609894814238</v>
      </c>
      <c r="BC265" s="7">
        <f>[1]节奏总纲!BC265</f>
        <v>47.979464877380188</v>
      </c>
      <c r="BD265" s="7">
        <f>[1]节奏总纲!BD265</f>
        <v>50.714706755578604</v>
      </c>
      <c r="BE265" s="7">
        <f>[1]节奏总纲!BE265</f>
        <v>55.420612674779434</v>
      </c>
    </row>
    <row r="266" spans="29:57" s="2" customFormat="1" x14ac:dyDescent="0.15">
      <c r="AC266" s="2">
        <v>263</v>
      </c>
      <c r="AD266" s="7">
        <f>[1]节奏总纲!AD266</f>
        <v>80.435397692903535</v>
      </c>
      <c r="AE266" s="7">
        <f>[1]节奏总纲!AE266</f>
        <v>82.535598620333275</v>
      </c>
      <c r="AF266" s="7">
        <f>[1]节奏总纲!AF266</f>
        <v>85.495883254929225</v>
      </c>
      <c r="AG266" s="7">
        <f>[1]节奏总纲!AG266</f>
        <v>90.457664768468462</v>
      </c>
      <c r="AH266" s="7">
        <f>[1]节奏总纲!AH266</f>
        <v>99.314378432489306</v>
      </c>
      <c r="AJ266" s="1"/>
      <c r="AR266" s="3"/>
      <c r="AY266" s="3"/>
      <c r="AZ266" s="2">
        <v>263</v>
      </c>
      <c r="BA266" s="7">
        <f>[1]节奏总纲!BA266</f>
        <v>44.533309194214553</v>
      </c>
      <c r="BB266" s="7">
        <f>[1]节奏总纲!BB266</f>
        <v>46.055689948337651</v>
      </c>
      <c r="BC266" s="7">
        <f>[1]节奏总纲!BC266</f>
        <v>48.006200084618079</v>
      </c>
      <c r="BD266" s="7">
        <f>[1]节奏总纲!BD266</f>
        <v>50.741464777127781</v>
      </c>
      <c r="BE266" s="7">
        <f>[1]节奏总纲!BE266</f>
        <v>55.446322495976226</v>
      </c>
    </row>
    <row r="267" spans="29:57" s="2" customFormat="1" x14ac:dyDescent="0.15">
      <c r="AC267" s="2">
        <v>264</v>
      </c>
      <c r="AD267" s="7">
        <f>[1]节奏总纲!AD267</f>
        <v>80.489822404516474</v>
      </c>
      <c r="AE267" s="7">
        <f>[1]节奏总纲!AE267</f>
        <v>82.589980097275202</v>
      </c>
      <c r="AF267" s="7">
        <f>[1]节奏总纲!AF267</f>
        <v>85.550486915716021</v>
      </c>
      <c r="AG267" s="7">
        <f>[1]节奏总纲!AG267</f>
        <v>90.514074664498196</v>
      </c>
      <c r="AH267" s="7">
        <f>[1]节奏总纲!AH267</f>
        <v>99.372591474611838</v>
      </c>
      <c r="AJ267" s="1"/>
      <c r="AR267" s="3"/>
      <c r="AY267" s="3"/>
      <c r="AZ267" s="2">
        <v>264</v>
      </c>
      <c r="BA267" s="7">
        <f>[1]节奏总纲!BA267</f>
        <v>44.55916464051846</v>
      </c>
      <c r="BB267" s="7">
        <f>[1]节奏总纲!BB267</f>
        <v>46.079770001861057</v>
      </c>
      <c r="BC267" s="7">
        <f>[1]节奏总纲!BC267</f>
        <v>48.030128751164241</v>
      </c>
      <c r="BD267" s="7">
        <f>[1]节奏总纲!BD267</f>
        <v>50.768222798676959</v>
      </c>
      <c r="BE267" s="7">
        <f>[1]节奏总纲!BE267</f>
        <v>55.47203231717301</v>
      </c>
    </row>
    <row r="268" spans="29:57" s="2" customFormat="1" x14ac:dyDescent="0.15">
      <c r="AC268" s="2">
        <v>265</v>
      </c>
      <c r="AD268" s="7">
        <f>[1]节奏总纲!AD268</f>
        <v>80.544247116129412</v>
      </c>
      <c r="AE268" s="7">
        <f>[1]节奏总纲!AE268</f>
        <v>82.644361574217143</v>
      </c>
      <c r="AF268" s="7">
        <f>[1]节奏总纲!AF268</f>
        <v>85.605090576502832</v>
      </c>
      <c r="AG268" s="7">
        <f>[1]节奏总纲!AG268</f>
        <v>90.57048456052793</v>
      </c>
      <c r="AH268" s="7">
        <f>[1]节奏总纲!AH268</f>
        <v>99.430804516734369</v>
      </c>
      <c r="AJ268" s="1"/>
      <c r="AR268" s="3"/>
      <c r="AY268" s="3"/>
      <c r="AZ268" s="2">
        <v>265</v>
      </c>
      <c r="BA268" s="7">
        <f>[1]节奏总纲!BA268</f>
        <v>44.585020086822361</v>
      </c>
      <c r="BB268" s="7">
        <f>[1]节奏总纲!BB268</f>
        <v>46.10385005538447</v>
      </c>
      <c r="BC268" s="7">
        <f>[1]节奏总纲!BC268</f>
        <v>48.054057417710396</v>
      </c>
      <c r="BD268" s="7">
        <f>[1]节奏总纲!BD268</f>
        <v>50.794980820226144</v>
      </c>
      <c r="BE268" s="7">
        <f>[1]节奏总纲!BE268</f>
        <v>55.497742138369794</v>
      </c>
    </row>
    <row r="269" spans="29:57" s="2" customFormat="1" x14ac:dyDescent="0.15">
      <c r="AC269" s="2">
        <v>266</v>
      </c>
      <c r="AD269" s="7">
        <f>[1]节奏总纲!AD269</f>
        <v>80.598671827742351</v>
      </c>
      <c r="AE269" s="7">
        <f>[1]节奏总纲!AE269</f>
        <v>82.698743051159084</v>
      </c>
      <c r="AF269" s="7">
        <f>[1]节奏总纲!AF269</f>
        <v>85.659694237289628</v>
      </c>
      <c r="AG269" s="7">
        <f>[1]节奏总纲!AG269</f>
        <v>90.626894456557665</v>
      </c>
      <c r="AH269" s="7">
        <f>[1]节奏总纲!AH269</f>
        <v>99.489017558856887</v>
      </c>
      <c r="AJ269" s="1"/>
      <c r="AR269" s="3"/>
      <c r="AY269" s="3"/>
      <c r="AZ269" s="2">
        <v>266</v>
      </c>
      <c r="BA269" s="7">
        <f>[1]节奏总纲!BA269</f>
        <v>44.610875533126261</v>
      </c>
      <c r="BB269" s="7">
        <f>[1]节奏总纲!BB269</f>
        <v>46.127930108907876</v>
      </c>
      <c r="BC269" s="7">
        <f>[1]节奏总纲!BC269</f>
        <v>48.077986084256551</v>
      </c>
      <c r="BD269" s="7">
        <f>[1]节奏总纲!BD269</f>
        <v>50.821738841775321</v>
      </c>
      <c r="BE269" s="7">
        <f>[1]节奏总纲!BE269</f>
        <v>55.523451959566586</v>
      </c>
    </row>
    <row r="270" spans="29:57" s="2" customFormat="1" x14ac:dyDescent="0.15">
      <c r="AC270" s="2">
        <v>267</v>
      </c>
      <c r="AD270" s="7">
        <f>[1]节奏总纲!AD270</f>
        <v>80.653096539355303</v>
      </c>
      <c r="AE270" s="7">
        <f>[1]节奏总纲!AE270</f>
        <v>82.753124528101011</v>
      </c>
      <c r="AF270" s="7">
        <f>[1]节奏总纲!AF270</f>
        <v>85.714297898076424</v>
      </c>
      <c r="AG270" s="7">
        <f>[1]节奏总纲!AG270</f>
        <v>90.683304352587413</v>
      </c>
      <c r="AH270" s="7">
        <f>[1]节奏总纲!AH270</f>
        <v>99.547230600979418</v>
      </c>
      <c r="AJ270" s="1"/>
      <c r="AR270" s="3"/>
      <c r="AY270" s="3"/>
      <c r="AZ270" s="2">
        <v>267</v>
      </c>
      <c r="BA270" s="7">
        <f>[1]节奏总纲!BA270</f>
        <v>44.636730979430169</v>
      </c>
      <c r="BB270" s="7">
        <f>[1]节奏总纲!BB270</f>
        <v>46.152010162431289</v>
      </c>
      <c r="BC270" s="7">
        <f>[1]节奏总纲!BC270</f>
        <v>48.101914750802706</v>
      </c>
      <c r="BD270" s="7">
        <f>[1]节奏总纲!BD270</f>
        <v>50.848496863324499</v>
      </c>
      <c r="BE270" s="7">
        <f>[1]节奏总纲!BE270</f>
        <v>55.54916178076337</v>
      </c>
    </row>
    <row r="271" spans="29:57" s="2" customFormat="1" x14ac:dyDescent="0.15">
      <c r="AC271" s="2">
        <v>268</v>
      </c>
      <c r="AD271" s="7">
        <f>[1]节奏总纲!AD271</f>
        <v>80.707521250968242</v>
      </c>
      <c r="AE271" s="7">
        <f>[1]节奏总纲!AE271</f>
        <v>82.807506005042953</v>
      </c>
      <c r="AF271" s="7">
        <f>[1]节奏总纲!AF271</f>
        <v>85.76890155886322</v>
      </c>
      <c r="AG271" s="7">
        <f>[1]节奏总纲!AG271</f>
        <v>90.739714248617148</v>
      </c>
      <c r="AH271" s="7">
        <f>[1]节奏总纲!AH271</f>
        <v>99.605443643101935</v>
      </c>
      <c r="AJ271" s="1"/>
      <c r="AR271" s="3"/>
      <c r="AY271" s="3"/>
      <c r="AZ271" s="2">
        <v>268</v>
      </c>
      <c r="BA271" s="7">
        <f>[1]节奏总纲!BA271</f>
        <v>44.662586425734069</v>
      </c>
      <c r="BB271" s="7">
        <f>[1]节奏总纲!BB271</f>
        <v>46.176090215954694</v>
      </c>
      <c r="BC271" s="7">
        <f>[1]节奏总纲!BC271</f>
        <v>48.125843417348868</v>
      </c>
      <c r="BD271" s="7">
        <f>[1]节奏总纲!BD271</f>
        <v>50.875254884873684</v>
      </c>
      <c r="BE271" s="7">
        <f>[1]节奏总纲!BE271</f>
        <v>55.574871601960162</v>
      </c>
    </row>
    <row r="272" spans="29:57" s="2" customFormat="1" x14ac:dyDescent="0.15">
      <c r="AC272" s="2">
        <v>269</v>
      </c>
      <c r="AD272" s="7">
        <f>[1]节奏总纲!AD272</f>
        <v>80.76194596258118</v>
      </c>
      <c r="AE272" s="7">
        <f>[1]节奏总纲!AE272</f>
        <v>82.861887481984894</v>
      </c>
      <c r="AF272" s="7">
        <f>[1]节奏总纲!AF272</f>
        <v>85.823505219650016</v>
      </c>
      <c r="AG272" s="7">
        <f>[1]节奏总纲!AG272</f>
        <v>90.796124144646882</v>
      </c>
      <c r="AH272" s="7">
        <f>[1]节奏总纲!AH272</f>
        <v>99.663656685224467</v>
      </c>
      <c r="AJ272" s="1"/>
      <c r="AR272" s="3"/>
      <c r="AY272" s="3"/>
      <c r="AZ272" s="2">
        <v>269</v>
      </c>
      <c r="BA272" s="7">
        <f>[1]节奏总纲!BA272</f>
        <v>44.68844187203797</v>
      </c>
      <c r="BB272" s="7">
        <f>[1]节奏总纲!BB272</f>
        <v>46.200170269478107</v>
      </c>
      <c r="BC272" s="7">
        <f>[1]节奏总纲!BC272</f>
        <v>48.149772083895023</v>
      </c>
      <c r="BD272" s="7">
        <f>[1]节奏总纲!BD272</f>
        <v>50.902012906422861</v>
      </c>
      <c r="BE272" s="7">
        <f>[1]节奏总纲!BE272</f>
        <v>55.600581423156946</v>
      </c>
    </row>
    <row r="273" spans="29:57" s="2" customFormat="1" x14ac:dyDescent="0.15">
      <c r="AC273" s="2">
        <v>270</v>
      </c>
      <c r="AD273" s="7">
        <f>[1]节奏总纲!AD273</f>
        <v>80.816370674194118</v>
      </c>
      <c r="AE273" s="7">
        <f>[1]节奏总纲!AE273</f>
        <v>82.916268958926821</v>
      </c>
      <c r="AF273" s="7">
        <f>[1]节奏总纲!AF273</f>
        <v>85.878108880436827</v>
      </c>
      <c r="AG273" s="7">
        <f>[1]节奏总纲!AG273</f>
        <v>90.852534040676616</v>
      </c>
      <c r="AH273" s="7">
        <f>[1]节奏总纲!AH273</f>
        <v>99.721869727346999</v>
      </c>
      <c r="AJ273" s="1"/>
      <c r="AR273" s="3"/>
      <c r="AY273" s="3"/>
      <c r="AZ273" s="2">
        <v>270</v>
      </c>
      <c r="BA273" s="7">
        <f>[1]节奏总纲!BA273</f>
        <v>44.714297318341877</v>
      </c>
      <c r="BB273" s="7">
        <f>[1]节奏总纲!BB273</f>
        <v>46.224250323001513</v>
      </c>
      <c r="BC273" s="7">
        <f>[1]节奏总纲!BC273</f>
        <v>48.173700750441178</v>
      </c>
      <c r="BD273" s="7">
        <f>[1]节奏总纲!BD273</f>
        <v>50.928770927972039</v>
      </c>
      <c r="BE273" s="7">
        <f>[1]节奏总纲!BE273</f>
        <v>55.62629124435373</v>
      </c>
    </row>
    <row r="274" spans="29:57" s="2" customFormat="1" x14ac:dyDescent="0.15">
      <c r="AC274" s="2">
        <v>271</v>
      </c>
      <c r="AD274" s="7">
        <f>[1]节奏总纲!AD274</f>
        <v>80.870795385807057</v>
      </c>
      <c r="AE274" s="7">
        <f>[1]节奏总纲!AE274</f>
        <v>82.970650435868762</v>
      </c>
      <c r="AF274" s="7">
        <f>[1]节奏总纲!AF274</f>
        <v>85.932712541223623</v>
      </c>
      <c r="AG274" s="7">
        <f>[1]节奏总纲!AG274</f>
        <v>90.908943936706351</v>
      </c>
      <c r="AH274" s="7">
        <f>[1]节奏总纲!AH274</f>
        <v>99.780082769469516</v>
      </c>
      <c r="AJ274" s="1"/>
      <c r="AR274" s="3"/>
      <c r="AY274" s="3"/>
      <c r="AZ274" s="2">
        <v>271</v>
      </c>
      <c r="BA274" s="7">
        <f>[1]节奏总纲!BA274</f>
        <v>44.740152764645778</v>
      </c>
      <c r="BB274" s="7">
        <f>[1]节奏总纲!BB274</f>
        <v>46.248330376524919</v>
      </c>
      <c r="BC274" s="7">
        <f>[1]节奏总纲!BC274</f>
        <v>48.19762941698734</v>
      </c>
      <c r="BD274" s="7">
        <f>[1]节奏总纲!BD274</f>
        <v>50.955528949521224</v>
      </c>
      <c r="BE274" s="7">
        <f>[1]节奏总纲!BE274</f>
        <v>55.652001065550522</v>
      </c>
    </row>
    <row r="275" spans="29:57" s="2" customFormat="1" x14ac:dyDescent="0.15">
      <c r="AC275" s="2">
        <v>272</v>
      </c>
      <c r="AD275" s="7">
        <f>[1]节奏总纲!AD275</f>
        <v>80.925220097420009</v>
      </c>
      <c r="AE275" s="7">
        <f>[1]节奏总纲!AE275</f>
        <v>83.023342162088809</v>
      </c>
      <c r="AF275" s="7">
        <f>[1]节奏总纲!AF275</f>
        <v>85.987316202010419</v>
      </c>
      <c r="AG275" s="7">
        <f>[1]节奏总纲!AG275</f>
        <v>90.965353832736099</v>
      </c>
      <c r="AH275" s="7">
        <f>[1]节奏总纲!AH275</f>
        <v>99.838295811592047</v>
      </c>
      <c r="AJ275" s="1"/>
      <c r="AR275" s="3"/>
      <c r="AY275" s="3"/>
      <c r="AZ275" s="2">
        <v>272</v>
      </c>
      <c r="BA275" s="7">
        <f>[1]节奏总纲!BA275</f>
        <v>44.766008210949678</v>
      </c>
      <c r="BB275" s="7">
        <f>[1]节奏总纲!BB275</f>
        <v>46.272410430048332</v>
      </c>
      <c r="BC275" s="7">
        <f>[1]节奏总纲!BC275</f>
        <v>48.221558083533495</v>
      </c>
      <c r="BD275" s="7">
        <f>[1]节奏总纲!BD275</f>
        <v>50.982286971070401</v>
      </c>
      <c r="BE275" s="7">
        <f>[1]节奏总纲!BE275</f>
        <v>55.677710886747306</v>
      </c>
    </row>
    <row r="276" spans="29:57" s="2" customFormat="1" x14ac:dyDescent="0.15">
      <c r="AC276" s="2">
        <v>273</v>
      </c>
      <c r="AD276" s="7">
        <f>[1]节奏总纲!AD276</f>
        <v>80.979644809032948</v>
      </c>
      <c r="AE276" s="7">
        <f>[1]节奏总纲!AE276</f>
        <v>83.07405267945947</v>
      </c>
      <c r="AF276" s="7">
        <f>[1]节奏总纲!AF276</f>
        <v>86.038061368689995</v>
      </c>
      <c r="AG276" s="7">
        <f>[1]节奏总纲!AG276</f>
        <v>91.020352770869948</v>
      </c>
      <c r="AH276" s="7">
        <f>[1]节奏总纲!AH276</f>
        <v>99.896508853714579</v>
      </c>
      <c r="AJ276" s="1"/>
      <c r="AR276" s="3"/>
      <c r="AY276" s="3"/>
      <c r="AZ276" s="2">
        <v>273</v>
      </c>
      <c r="BA276" s="7">
        <f>[1]节奏总纲!BA276</f>
        <v>44.791863657253586</v>
      </c>
      <c r="BB276" s="7">
        <f>[1]节奏总纲!BB276</f>
        <v>46.296490483571738</v>
      </c>
      <c r="BC276" s="7">
        <f>[1]节奏总纲!BC276</f>
        <v>48.24548675007965</v>
      </c>
      <c r="BD276" s="7">
        <f>[1]节奏总纲!BD276</f>
        <v>51.007810424246486</v>
      </c>
      <c r="BE276" s="7">
        <f>[1]节奏总纲!BE276</f>
        <v>55.703420707944098</v>
      </c>
    </row>
    <row r="277" spans="29:57" s="2" customFormat="1" x14ac:dyDescent="0.15">
      <c r="AC277" s="2">
        <v>274</v>
      </c>
      <c r="AD277" s="7">
        <f>[1]节奏总纲!AD277</f>
        <v>81.031787986768464</v>
      </c>
      <c r="AE277" s="7">
        <f>[1]节奏总纲!AE277</f>
        <v>83.124763196830131</v>
      </c>
      <c r="AF277" s="7">
        <f>[1]节奏总纲!AF277</f>
        <v>86.087639061133402</v>
      </c>
      <c r="AG277" s="7">
        <f>[1]节奏总纲!AG277</f>
        <v>91.073105573528181</v>
      </c>
      <c r="AH277" s="7">
        <f>[1]节奏总纲!AH277</f>
        <v>99.954721895837096</v>
      </c>
      <c r="AJ277" s="1"/>
      <c r="AR277" s="3"/>
      <c r="AY277" s="3"/>
      <c r="AZ277" s="2">
        <v>274</v>
      </c>
      <c r="BA277" s="7">
        <f>[1]节奏总纲!BA277</f>
        <v>44.817719103557486</v>
      </c>
      <c r="BB277" s="7">
        <f>[1]节奏总纲!BB277</f>
        <v>46.320570537095151</v>
      </c>
      <c r="BC277" s="7">
        <f>[1]节奏总纲!BC277</f>
        <v>48.269415416625804</v>
      </c>
      <c r="BD277" s="7">
        <f>[1]节奏总纲!BD277</f>
        <v>51.030916192165336</v>
      </c>
      <c r="BE277" s="7">
        <f>[1]节奏总纲!BE277</f>
        <v>55.729130529140882</v>
      </c>
    </row>
    <row r="278" spans="29:57" s="2" customFormat="1" x14ac:dyDescent="0.15">
      <c r="AC278" s="2">
        <v>275</v>
      </c>
      <c r="AD278" s="7">
        <f>[1]节奏总纲!AD278</f>
        <v>81.082568038258216</v>
      </c>
      <c r="AE278" s="7">
        <f>[1]节奏总纲!AE278</f>
        <v>83.175473714200777</v>
      </c>
      <c r="AF278" s="7">
        <f>[1]节奏总纲!AF278</f>
        <v>86.137216753576809</v>
      </c>
      <c r="AG278" s="7">
        <f>[1]节奏总纲!AG278</f>
        <v>91.125858376186414</v>
      </c>
      <c r="AH278" s="7">
        <f>[1]节奏总纲!AH278</f>
        <v>100.01191770041967</v>
      </c>
      <c r="AJ278" s="1"/>
      <c r="AR278" s="3"/>
      <c r="AY278" s="3"/>
      <c r="AZ278" s="2">
        <v>275</v>
      </c>
      <c r="BA278" s="7">
        <f>[1]节奏总纲!BA278</f>
        <v>44.843574549861387</v>
      </c>
      <c r="BB278" s="7">
        <f>[1]节奏总纲!BB278</f>
        <v>46.344650590618556</v>
      </c>
      <c r="BC278" s="7">
        <f>[1]节奏总纲!BC278</f>
        <v>48.293344083171966</v>
      </c>
      <c r="BD278" s="7">
        <f>[1]节奏总纲!BD278</f>
        <v>51.054021960084178</v>
      </c>
      <c r="BE278" s="7">
        <f>[1]节奏总纲!BE278</f>
        <v>55.754840350337666</v>
      </c>
    </row>
    <row r="279" spans="29:57" s="2" customFormat="1" x14ac:dyDescent="0.15">
      <c r="AC279" s="2">
        <v>276</v>
      </c>
      <c r="AD279" s="7">
        <f>[1]节奏总纲!AD279</f>
        <v>81.133348089747955</v>
      </c>
      <c r="AE279" s="7">
        <f>[1]节奏总纲!AE279</f>
        <v>83.226184231571438</v>
      </c>
      <c r="AF279" s="7">
        <f>[1]节奏总纲!AF279</f>
        <v>86.186794446020215</v>
      </c>
      <c r="AG279" s="7">
        <f>[1]节奏总纲!AG279</f>
        <v>91.178611178844633</v>
      </c>
      <c r="AH279" s="7">
        <f>[1]节奏总纲!AH279</f>
        <v>100.06555271580974</v>
      </c>
      <c r="AJ279" s="1"/>
      <c r="AR279" s="3"/>
      <c r="AY279" s="3"/>
      <c r="AZ279" s="2">
        <v>276</v>
      </c>
      <c r="BA279" s="7">
        <f>[1]节奏总纲!BA279</f>
        <v>44.869429996165294</v>
      </c>
      <c r="BB279" s="7">
        <f>[1]节奏总纲!BB279</f>
        <v>46.368730644141969</v>
      </c>
      <c r="BC279" s="7">
        <f>[1]节奏总纲!BC279</f>
        <v>48.317272749718121</v>
      </c>
      <c r="BD279" s="7">
        <f>[1]节奏总纲!BD279</f>
        <v>51.077127728003028</v>
      </c>
      <c r="BE279" s="7">
        <f>[1]节奏总纲!BE279</f>
        <v>55.780550171534458</v>
      </c>
    </row>
    <row r="280" spans="29:57" s="2" customFormat="1" x14ac:dyDescent="0.15">
      <c r="AC280" s="2">
        <v>277</v>
      </c>
      <c r="AD280" s="7">
        <f>[1]节奏总纲!AD280</f>
        <v>81.184128141237707</v>
      </c>
      <c r="AE280" s="7">
        <f>[1]节奏总纲!AE280</f>
        <v>83.276894748942098</v>
      </c>
      <c r="AF280" s="7">
        <f>[1]节奏总纲!AF280</f>
        <v>86.236372138463622</v>
      </c>
      <c r="AG280" s="7">
        <f>[1]节奏总纲!AG280</f>
        <v>91.231363981502867</v>
      </c>
      <c r="AH280" s="7">
        <f>[1]节奏总纲!AH280</f>
        <v>100.11918773119983</v>
      </c>
      <c r="AJ280" s="1"/>
      <c r="AR280" s="3"/>
      <c r="AY280" s="3"/>
      <c r="AZ280" s="2">
        <v>277</v>
      </c>
      <c r="BA280" s="7">
        <f>[1]节奏总纲!BA280</f>
        <v>44.895285442469195</v>
      </c>
      <c r="BB280" s="7">
        <f>[1]节奏总纲!BB280</f>
        <v>46.392810697665375</v>
      </c>
      <c r="BC280" s="7">
        <f>[1]节奏总纲!BC280</f>
        <v>48.341201416264276</v>
      </c>
      <c r="BD280" s="7">
        <f>[1]节奏总纲!BD280</f>
        <v>51.10023349592187</v>
      </c>
      <c r="BE280" s="7">
        <f>[1]节奏总纲!BE280</f>
        <v>55.806259992731242</v>
      </c>
    </row>
    <row r="281" spans="29:57" s="2" customFormat="1" x14ac:dyDescent="0.15">
      <c r="AC281" s="2">
        <v>278</v>
      </c>
      <c r="AD281" s="7">
        <f>[1]节奏总纲!AD281</f>
        <v>81.23490819272746</v>
      </c>
      <c r="AE281" s="7">
        <f>[1]节奏总纲!AE281</f>
        <v>83.327605266312744</v>
      </c>
      <c r="AF281" s="7">
        <f>[1]节奏总纲!AF281</f>
        <v>86.285949830907029</v>
      </c>
      <c r="AG281" s="7">
        <f>[1]节奏总纲!AG281</f>
        <v>91.2841167841611</v>
      </c>
      <c r="AH281" s="7">
        <f>[1]节奏总纲!AH281</f>
        <v>100.1728227465899</v>
      </c>
      <c r="AJ281" s="1"/>
      <c r="AR281" s="3"/>
      <c r="AY281" s="3"/>
      <c r="AZ281" s="2">
        <v>278</v>
      </c>
      <c r="BA281" s="7">
        <f>[1]节奏总纲!BA281</f>
        <v>44.921140888773095</v>
      </c>
      <c r="BB281" s="7">
        <f>[1]节奏总纲!BB281</f>
        <v>46.416890751188788</v>
      </c>
      <c r="BC281" s="7">
        <f>[1]节奏总纲!BC281</f>
        <v>48.365130082810438</v>
      </c>
      <c r="BD281" s="7">
        <f>[1]节奏总纲!BD281</f>
        <v>51.12333926384072</v>
      </c>
      <c r="BE281" s="7">
        <f>[1]节奏总纲!BE281</f>
        <v>55.831969813928033</v>
      </c>
    </row>
    <row r="282" spans="29:57" s="2" customFormat="1" x14ac:dyDescent="0.15">
      <c r="AC282" s="2">
        <v>279</v>
      </c>
      <c r="AD282" s="7">
        <f>[1]节奏总纲!AD282</f>
        <v>81.285688244217212</v>
      </c>
      <c r="AE282" s="7">
        <f>[1]节奏总纲!AE282</f>
        <v>83.378315783683405</v>
      </c>
      <c r="AF282" s="7">
        <f>[1]节奏总纲!AF282</f>
        <v>86.335527523350422</v>
      </c>
      <c r="AG282" s="7">
        <f>[1]节奏总纲!AG282</f>
        <v>91.336869586819319</v>
      </c>
      <c r="AH282" s="7">
        <f>[1]节奏总纲!AH282</f>
        <v>100.22645776197997</v>
      </c>
      <c r="AJ282" s="1"/>
      <c r="AR282" s="3"/>
      <c r="AY282" s="3"/>
      <c r="AZ282" s="2">
        <v>279</v>
      </c>
      <c r="BA282" s="7">
        <f>[1]节奏总纲!BA282</f>
        <v>44.946996335076996</v>
      </c>
      <c r="BB282" s="7">
        <f>[1]节奏总纲!BB282</f>
        <v>46.440970804712194</v>
      </c>
      <c r="BC282" s="7">
        <f>[1]节奏总纲!BC282</f>
        <v>48.389058749356593</v>
      </c>
      <c r="BD282" s="7">
        <f>[1]节奏总纲!BD282</f>
        <v>51.146445031759569</v>
      </c>
      <c r="BE282" s="7">
        <f>[1]节奏总纲!BE282</f>
        <v>55.857679635124818</v>
      </c>
    </row>
    <row r="283" spans="29:57" s="2" customFormat="1" x14ac:dyDescent="0.15">
      <c r="AC283" s="2">
        <v>280</v>
      </c>
      <c r="AD283" s="7">
        <f>[1]节奏总纲!AD283</f>
        <v>81.336468295706965</v>
      </c>
      <c r="AE283" s="7">
        <f>[1]节奏总纲!AE283</f>
        <v>83.429026301054066</v>
      </c>
      <c r="AF283" s="7">
        <f>[1]节奏总纲!AF283</f>
        <v>86.385105215793828</v>
      </c>
      <c r="AG283" s="7">
        <f>[1]节奏总纲!AG283</f>
        <v>91.389622389477552</v>
      </c>
      <c r="AH283" s="7">
        <f>[1]节奏总纲!AH283</f>
        <v>100.28009277737006</v>
      </c>
      <c r="AJ283" s="1"/>
      <c r="AR283" s="3"/>
      <c r="AY283" s="3"/>
      <c r="AZ283" s="2">
        <v>280</v>
      </c>
      <c r="BA283" s="7">
        <f>[1]节奏总纲!BA283</f>
        <v>44.972851781380903</v>
      </c>
      <c r="BB283" s="7">
        <f>[1]节奏总纲!BB283</f>
        <v>46.465050858235607</v>
      </c>
      <c r="BC283" s="7">
        <f>[1]节奏总纲!BC283</f>
        <v>48.412987415902748</v>
      </c>
      <c r="BD283" s="7">
        <f>[1]节奏总纲!BD283</f>
        <v>51.169550799678412</v>
      </c>
      <c r="BE283" s="7">
        <f>[1]节奏总纲!BE283</f>
        <v>55.883389456321602</v>
      </c>
    </row>
    <row r="284" spans="29:57" s="2" customFormat="1" x14ac:dyDescent="0.15">
      <c r="AC284" s="2">
        <v>281</v>
      </c>
      <c r="AD284" s="7">
        <f>[1]节奏总纲!AD284</f>
        <v>81.387248347196717</v>
      </c>
      <c r="AE284" s="7">
        <f>[1]节奏总纲!AE284</f>
        <v>83.479736818424712</v>
      </c>
      <c r="AF284" s="7">
        <f>[1]节奏总纲!AF284</f>
        <v>86.434682908237235</v>
      </c>
      <c r="AG284" s="7">
        <f>[1]节奏总纲!AG284</f>
        <v>91.442375192135771</v>
      </c>
      <c r="AH284" s="7">
        <f>[1]节奏总纲!AH284</f>
        <v>100.33372779276013</v>
      </c>
      <c r="AJ284" s="1"/>
      <c r="AR284" s="3"/>
      <c r="AY284" s="3"/>
      <c r="AZ284" s="2">
        <v>281</v>
      </c>
      <c r="BA284" s="7">
        <f>[1]节奏总纲!BA284</f>
        <v>44.998707227684804</v>
      </c>
      <c r="BB284" s="7">
        <f>[1]节奏总纲!BB284</f>
        <v>46.489130911759013</v>
      </c>
      <c r="BC284" s="7">
        <f>[1]节奏总纲!BC284</f>
        <v>48.43691608244891</v>
      </c>
      <c r="BD284" s="7">
        <f>[1]节奏总纲!BD284</f>
        <v>51.192656567597261</v>
      </c>
      <c r="BE284" s="7">
        <f>[1]节奏总纲!BE284</f>
        <v>55.909099277518393</v>
      </c>
    </row>
    <row r="285" spans="29:57" s="2" customFormat="1" x14ac:dyDescent="0.15">
      <c r="AC285" s="2">
        <v>282</v>
      </c>
      <c r="AD285" s="7">
        <f>[1]节奏总纲!AD285</f>
        <v>81.43802839868647</v>
      </c>
      <c r="AE285" s="7">
        <f>[1]节奏总纲!AE285</f>
        <v>83.530447335795373</v>
      </c>
      <c r="AF285" s="7">
        <f>[1]节奏总纲!AF285</f>
        <v>86.484260600680642</v>
      </c>
      <c r="AG285" s="7">
        <f>[1]节奏总纲!AG285</f>
        <v>91.495127994794004</v>
      </c>
      <c r="AH285" s="7">
        <f>[1]节奏总纲!AH285</f>
        <v>100.3873628081502</v>
      </c>
      <c r="AJ285" s="1"/>
      <c r="AR285" s="3"/>
      <c r="AY285" s="3"/>
      <c r="AZ285" s="2">
        <v>282</v>
      </c>
      <c r="BA285" s="7">
        <f>[1]节奏总纲!BA285</f>
        <v>45.021201039060998</v>
      </c>
      <c r="BB285" s="7">
        <f>[1]节奏总纲!BB285</f>
        <v>46.513210965282425</v>
      </c>
      <c r="BC285" s="7">
        <f>[1]节奏总纲!BC285</f>
        <v>48.460844748995065</v>
      </c>
      <c r="BD285" s="7">
        <f>[1]节奏总纲!BD285</f>
        <v>51.215762335516104</v>
      </c>
      <c r="BE285" s="7">
        <f>[1]节奏总纲!BE285</f>
        <v>55.934809098715178</v>
      </c>
    </row>
    <row r="286" spans="29:57" s="2" customFormat="1" x14ac:dyDescent="0.15">
      <c r="AC286" s="2">
        <v>283</v>
      </c>
      <c r="AD286" s="7">
        <f>[1]节奏总纲!AD286</f>
        <v>81.488808450176222</v>
      </c>
      <c r="AE286" s="7">
        <f>[1]节奏总纲!AE286</f>
        <v>83.581157853166033</v>
      </c>
      <c r="AF286" s="7">
        <f>[1]节奏总纲!AF286</f>
        <v>86.533838293124049</v>
      </c>
      <c r="AG286" s="7">
        <f>[1]节奏总纲!AG286</f>
        <v>91.547880797452237</v>
      </c>
      <c r="AH286" s="7">
        <f>[1]节奏总纲!AH286</f>
        <v>100.44099782354027</v>
      </c>
      <c r="AJ286" s="1"/>
      <c r="AR286" s="3"/>
      <c r="AY286" s="3"/>
      <c r="AZ286" s="2">
        <v>283</v>
      </c>
      <c r="BA286" s="7">
        <f>[1]节奏总纲!BA286</f>
        <v>45.043517922283101</v>
      </c>
      <c r="BB286" s="7">
        <f>[1]节奏总纲!BB286</f>
        <v>46.537291018805831</v>
      </c>
      <c r="BC286" s="7">
        <f>[1]节奏总纲!BC286</f>
        <v>48.48477341554122</v>
      </c>
      <c r="BD286" s="7">
        <f>[1]节奏总纲!BD286</f>
        <v>51.238868103434953</v>
      </c>
      <c r="BE286" s="7">
        <f>[1]节奏总纲!BE286</f>
        <v>55.960518919911962</v>
      </c>
    </row>
    <row r="287" spans="29:57" s="2" customFormat="1" x14ac:dyDescent="0.15">
      <c r="AC287" s="2">
        <v>284</v>
      </c>
      <c r="AD287" s="7">
        <f>[1]节奏总纲!AD287</f>
        <v>81.539588501665975</v>
      </c>
      <c r="AE287" s="7">
        <f>[1]节奏总纲!AE287</f>
        <v>83.631868370536679</v>
      </c>
      <c r="AF287" s="7">
        <f>[1]节奏总纲!AF287</f>
        <v>86.583415985567456</v>
      </c>
      <c r="AG287" s="7">
        <f>[1]节奏总纲!AG287</f>
        <v>91.600633600110456</v>
      </c>
      <c r="AH287" s="7">
        <f>[1]节奏总纲!AH287</f>
        <v>100.49463283893036</v>
      </c>
      <c r="AJ287" s="1"/>
      <c r="AR287" s="3"/>
      <c r="AY287" s="3"/>
      <c r="AZ287" s="2">
        <v>284</v>
      </c>
      <c r="BA287" s="7">
        <f>[1]节奏总纲!BA287</f>
        <v>45.065834805505204</v>
      </c>
      <c r="BB287" s="7">
        <f>[1]节奏总纲!BB287</f>
        <v>46.561371072329244</v>
      </c>
      <c r="BC287" s="7">
        <f>[1]节奏总纲!BC287</f>
        <v>48.508702082087382</v>
      </c>
      <c r="BD287" s="7">
        <f>[1]节奏总纲!BD287</f>
        <v>51.261973871353796</v>
      </c>
      <c r="BE287" s="7">
        <f>[1]节奏总纲!BE287</f>
        <v>55.986228741108754</v>
      </c>
    </row>
    <row r="288" spans="29:57" s="2" customFormat="1" x14ac:dyDescent="0.15">
      <c r="AC288" s="2">
        <v>285</v>
      </c>
      <c r="AD288" s="7">
        <f>[1]节奏总纲!AD288</f>
        <v>81.590368553155727</v>
      </c>
      <c r="AE288" s="7">
        <f>[1]节奏总纲!AE288</f>
        <v>83.68257888790734</v>
      </c>
      <c r="AF288" s="7">
        <f>[1]节奏总纲!AF288</f>
        <v>86.632993678010848</v>
      </c>
      <c r="AG288" s="7">
        <f>[1]节奏总纲!AG288</f>
        <v>91.653386402768689</v>
      </c>
      <c r="AH288" s="7">
        <f>[1]节奏总纲!AH288</f>
        <v>100.54826785432043</v>
      </c>
      <c r="AJ288" s="1"/>
      <c r="AR288" s="3"/>
      <c r="AY288" s="3"/>
      <c r="AZ288" s="2">
        <v>285</v>
      </c>
      <c r="BA288" s="7">
        <f>[1]节奏总纲!BA288</f>
        <v>45.088151688727308</v>
      </c>
      <c r="BB288" s="7">
        <f>[1]节奏总纲!BB288</f>
        <v>46.58545112585265</v>
      </c>
      <c r="BC288" s="7">
        <f>[1]节奏总纲!BC288</f>
        <v>48.532630748633537</v>
      </c>
      <c r="BD288" s="7">
        <f>[1]节奏总纲!BD288</f>
        <v>51.285079639272645</v>
      </c>
      <c r="BE288" s="7">
        <f>[1]节奏总纲!BE288</f>
        <v>56.010312347085055</v>
      </c>
    </row>
    <row r="289" spans="29:57" s="2" customFormat="1" x14ac:dyDescent="0.15">
      <c r="AC289" s="2">
        <v>286</v>
      </c>
      <c r="AD289" s="7">
        <f>[1]节奏总纲!AD289</f>
        <v>81.64114860464548</v>
      </c>
      <c r="AE289" s="7">
        <f>[1]节奏总纲!AE289</f>
        <v>83.733289405278001</v>
      </c>
      <c r="AF289" s="7">
        <f>[1]节奏总纲!AF289</f>
        <v>86.682571370454255</v>
      </c>
      <c r="AG289" s="7">
        <f>[1]节奏总纲!AG289</f>
        <v>91.706139205426922</v>
      </c>
      <c r="AH289" s="7">
        <f>[1]节奏总纲!AH289</f>
        <v>100.6019028697105</v>
      </c>
      <c r="AJ289" s="1"/>
      <c r="AR289" s="3"/>
      <c r="AY289" s="3"/>
      <c r="AZ289" s="2">
        <v>286</v>
      </c>
      <c r="BA289" s="7">
        <f>[1]节奏总纲!BA289</f>
        <v>45.110468571949411</v>
      </c>
      <c r="BB289" s="7">
        <f>[1]节奏总纲!BB289</f>
        <v>46.609531179376063</v>
      </c>
      <c r="BC289" s="7">
        <f>[1]节奏总纲!BC289</f>
        <v>48.556559415179692</v>
      </c>
      <c r="BD289" s="7">
        <f>[1]节奏总纲!BD289</f>
        <v>51.308185407191495</v>
      </c>
      <c r="BE289" s="7">
        <f>[1]节奏总纲!BE289</f>
        <v>56.032520096468168</v>
      </c>
    </row>
    <row r="290" spans="29:57" s="2" customFormat="1" x14ac:dyDescent="0.15">
      <c r="AC290" s="2">
        <v>287</v>
      </c>
      <c r="AD290" s="7">
        <f>[1]节奏总纲!AD290</f>
        <v>81.691928656135218</v>
      </c>
      <c r="AE290" s="7">
        <f>[1]节奏总纲!AE290</f>
        <v>83.783999922648647</v>
      </c>
      <c r="AF290" s="7">
        <f>[1]节奏总纲!AF290</f>
        <v>86.732149062897662</v>
      </c>
      <c r="AG290" s="7">
        <f>[1]节奏总纲!AG290</f>
        <v>91.758892008085141</v>
      </c>
      <c r="AH290" s="7">
        <f>[1]节奏总纲!AH290</f>
        <v>100.65553788510059</v>
      </c>
      <c r="AJ290" s="1"/>
      <c r="AR290" s="3"/>
      <c r="AY290" s="3"/>
      <c r="AZ290" s="2">
        <v>287</v>
      </c>
      <c r="BA290" s="7">
        <f>[1]节奏总纲!BA290</f>
        <v>45.132785455171515</v>
      </c>
      <c r="BB290" s="7">
        <f>[1]节奏总纲!BB290</f>
        <v>46.633611232899469</v>
      </c>
      <c r="BC290" s="7">
        <f>[1]节奏总纲!BC290</f>
        <v>48.580488081725846</v>
      </c>
      <c r="BD290" s="7">
        <f>[1]节奏总纲!BD290</f>
        <v>51.331291175110337</v>
      </c>
      <c r="BE290" s="7">
        <f>[1]节奏总纲!BE290</f>
        <v>56.054727845851275</v>
      </c>
    </row>
    <row r="291" spans="29:57" s="2" customFormat="1" x14ac:dyDescent="0.15">
      <c r="AC291" s="2">
        <v>288</v>
      </c>
      <c r="AD291" s="7">
        <f>[1]节奏总纲!AD291</f>
        <v>81.742708707624971</v>
      </c>
      <c r="AE291" s="7">
        <f>[1]节奏总纲!AE291</f>
        <v>83.834710440019307</v>
      </c>
      <c r="AF291" s="7">
        <f>[1]节奏总纲!AF291</f>
        <v>86.781726755341069</v>
      </c>
      <c r="AG291" s="7">
        <f>[1]节奏总纲!AG291</f>
        <v>91.811644810743374</v>
      </c>
      <c r="AH291" s="7">
        <f>[1]节奏总纲!AH291</f>
        <v>100.70917290049066</v>
      </c>
      <c r="AJ291" s="1"/>
      <c r="AR291" s="3"/>
      <c r="AY291" s="3"/>
      <c r="AZ291" s="2">
        <v>288</v>
      </c>
      <c r="BA291" s="7">
        <f>[1]节奏总纲!BA291</f>
        <v>45.155102338393618</v>
      </c>
      <c r="BB291" s="7">
        <f>[1]节奏总纲!BB291</f>
        <v>46.657691286422882</v>
      </c>
      <c r="BC291" s="7">
        <f>[1]节奏总纲!BC291</f>
        <v>48.604416748272008</v>
      </c>
      <c r="BD291" s="7">
        <f>[1]节奏总纲!BD291</f>
        <v>51.354396943029187</v>
      </c>
      <c r="BE291" s="7">
        <f>[1]节奏总纲!BE291</f>
        <v>56.076935595234382</v>
      </c>
    </row>
    <row r="292" spans="29:57" s="2" customFormat="1" x14ac:dyDescent="0.15">
      <c r="AC292" s="2">
        <v>289</v>
      </c>
      <c r="AD292" s="7">
        <f>[1]节奏总纲!AD292</f>
        <v>81.793488759114723</v>
      </c>
      <c r="AE292" s="7">
        <f>[1]节奏总纲!AE292</f>
        <v>83.885420957389968</v>
      </c>
      <c r="AF292" s="7">
        <f>[1]节奏总纲!AF292</f>
        <v>86.831304447784476</v>
      </c>
      <c r="AG292" s="7">
        <f>[1]节奏总纲!AG292</f>
        <v>91.864397613401607</v>
      </c>
      <c r="AH292" s="7">
        <f>[1]节奏总纲!AH292</f>
        <v>100.76280791588073</v>
      </c>
      <c r="AJ292" s="1"/>
      <c r="AR292" s="3"/>
      <c r="AY292" s="3"/>
      <c r="AZ292" s="2">
        <v>289</v>
      </c>
      <c r="BA292" s="7">
        <f>[1]节奏总纲!BA292</f>
        <v>45.177419221615722</v>
      </c>
      <c r="BB292" s="7">
        <f>[1]节奏总纲!BB292</f>
        <v>46.681771339946287</v>
      </c>
      <c r="BC292" s="7">
        <f>[1]节奏总纲!BC292</f>
        <v>48.628345414818163</v>
      </c>
      <c r="BD292" s="7">
        <f>[1]节奏总纲!BD292</f>
        <v>51.377502710948029</v>
      </c>
      <c r="BE292" s="7">
        <f>[1]节奏总纲!BE292</f>
        <v>56.099143344617488</v>
      </c>
    </row>
    <row r="293" spans="29:57" s="2" customFormat="1" x14ac:dyDescent="0.15">
      <c r="AC293" s="2">
        <v>290</v>
      </c>
      <c r="AD293" s="7">
        <f>[1]节奏总纲!AD293</f>
        <v>81.844268810604476</v>
      </c>
      <c r="AE293" s="7">
        <f>[1]节奏总纲!AE293</f>
        <v>83.936131474760614</v>
      </c>
      <c r="AF293" s="7">
        <f>[1]节奏总纲!AF293</f>
        <v>86.880882140227882</v>
      </c>
      <c r="AG293" s="7">
        <f>[1]节奏总纲!AG293</f>
        <v>91.917150416059826</v>
      </c>
      <c r="AH293" s="7">
        <f>[1]节奏总纲!AH293</f>
        <v>100.8164429312708</v>
      </c>
      <c r="AJ293" s="1"/>
      <c r="AR293" s="3"/>
      <c r="AY293" s="3"/>
      <c r="AZ293" s="2">
        <v>290</v>
      </c>
      <c r="BA293" s="7">
        <f>[1]节奏总纲!BA293</f>
        <v>45.199736104837825</v>
      </c>
      <c r="BB293" s="7">
        <f>[1]节奏总纲!BB293</f>
        <v>46.7058513934697</v>
      </c>
      <c r="BC293" s="7">
        <f>[1]节奏总纲!BC293</f>
        <v>48.652274081364318</v>
      </c>
      <c r="BD293" s="7">
        <f>[1]节奏总纲!BD293</f>
        <v>51.400608478866879</v>
      </c>
      <c r="BE293" s="7">
        <f>[1]节奏总纲!BE293</f>
        <v>56.121351094000602</v>
      </c>
    </row>
    <row r="294" spans="29:57" s="2" customFormat="1" x14ac:dyDescent="0.15">
      <c r="AC294" s="2">
        <v>291</v>
      </c>
      <c r="AD294" s="7">
        <f>[1]节奏总纲!AD294</f>
        <v>81.895048862094228</v>
      </c>
      <c r="AE294" s="7">
        <f>[1]节奏总纲!AE294</f>
        <v>83.986841992131275</v>
      </c>
      <c r="AF294" s="7">
        <f>[1]节奏总纲!AF294</f>
        <v>86.930459832671289</v>
      </c>
      <c r="AG294" s="7">
        <f>[1]节奏总纲!AG294</f>
        <v>91.969903218718059</v>
      </c>
      <c r="AH294" s="7">
        <f>[1]节奏总纲!AH294</f>
        <v>100.87007794666089</v>
      </c>
      <c r="AJ294" s="1"/>
      <c r="AR294" s="3"/>
      <c r="AY294" s="3"/>
      <c r="AZ294" s="2">
        <v>291</v>
      </c>
      <c r="BA294" s="7">
        <f>[1]节奏总纲!BA294</f>
        <v>45.222052988059936</v>
      </c>
      <c r="BB294" s="7">
        <f>[1]节奏总纲!BB294</f>
        <v>46.729931446993106</v>
      </c>
      <c r="BC294" s="7">
        <f>[1]节奏总纲!BC294</f>
        <v>48.67620274791048</v>
      </c>
      <c r="BD294" s="7">
        <f>[1]节奏总纲!BD294</f>
        <v>51.423714246785721</v>
      </c>
      <c r="BE294" s="7">
        <f>[1]节奏总纲!BE294</f>
        <v>56.143558843383708</v>
      </c>
    </row>
    <row r="295" spans="29:57" s="2" customFormat="1" x14ac:dyDescent="0.15">
      <c r="AC295" s="2">
        <v>292</v>
      </c>
      <c r="AD295" s="7">
        <f>[1]节奏总纲!AD295</f>
        <v>81.945828913583981</v>
      </c>
      <c r="AE295" s="7">
        <f>[1]节奏总纲!AE295</f>
        <v>84.036191564035917</v>
      </c>
      <c r="AF295" s="7">
        <f>[1]节奏总纲!AF295</f>
        <v>86.980037525114682</v>
      </c>
      <c r="AG295" s="7">
        <f>[1]节奏总纲!AG295</f>
        <v>92.021521414287719</v>
      </c>
      <c r="AH295" s="7">
        <f>[1]节奏总纲!AH295</f>
        <v>100.92371296205096</v>
      </c>
      <c r="AJ295" s="1"/>
      <c r="AR295" s="3"/>
      <c r="AY295" s="3"/>
      <c r="AZ295" s="2">
        <v>292</v>
      </c>
      <c r="BA295" s="7">
        <f>[1]节奏总纲!BA295</f>
        <v>45.244369871282039</v>
      </c>
      <c r="BB295" s="7">
        <f>[1]节奏总纲!BB295</f>
        <v>46.754011500516519</v>
      </c>
      <c r="BC295" s="7">
        <f>[1]节奏总纲!BC295</f>
        <v>48.700131414456635</v>
      </c>
      <c r="BD295" s="7">
        <f>[1]节奏总纲!BD295</f>
        <v>51.446820014704571</v>
      </c>
      <c r="BE295" s="7">
        <f>[1]节奏总纲!BE295</f>
        <v>56.165766592766815</v>
      </c>
    </row>
    <row r="296" spans="29:57" s="2" customFormat="1" x14ac:dyDescent="0.15">
      <c r="AC296" s="2">
        <v>293</v>
      </c>
      <c r="AD296" s="7">
        <f>[1]节奏总纲!AD296</f>
        <v>81.996608965073733</v>
      </c>
      <c r="AE296" s="7">
        <f>[1]节奏总纲!AE296</f>
        <v>84.085064274836242</v>
      </c>
      <c r="AF296" s="7">
        <f>[1]节奏总纲!AF296</f>
        <v>87.029133791498197</v>
      </c>
      <c r="AG296" s="7">
        <f>[1]节奏总纲!AG296</f>
        <v>92.071632371634976</v>
      </c>
      <c r="AH296" s="7">
        <f>[1]节奏总纲!AH296</f>
        <v>100.97734797744103</v>
      </c>
      <c r="AJ296" s="1"/>
      <c r="AR296" s="3"/>
      <c r="AY296" s="3"/>
      <c r="AZ296" s="2">
        <v>293</v>
      </c>
      <c r="BA296" s="7">
        <f>[1]节奏总纲!BA296</f>
        <v>45.266686754504143</v>
      </c>
      <c r="BB296" s="7">
        <f>[1]节奏总纲!BB296</f>
        <v>46.778091554039925</v>
      </c>
      <c r="BC296" s="7">
        <f>[1]节奏总纲!BC296</f>
        <v>48.72406008100279</v>
      </c>
      <c r="BD296" s="7">
        <f>[1]节奏总纲!BD296</f>
        <v>51.46992578262342</v>
      </c>
      <c r="BE296" s="7">
        <f>[1]节奏总纲!BE296</f>
        <v>56.187974342149921</v>
      </c>
    </row>
    <row r="297" spans="29:57" s="2" customFormat="1" x14ac:dyDescent="0.15">
      <c r="AC297" s="2">
        <v>294</v>
      </c>
      <c r="AD297" s="7">
        <f>[1]节奏总纲!AD297</f>
        <v>82.044215515890215</v>
      </c>
      <c r="AE297" s="7">
        <f>[1]节奏总纲!AE297</f>
        <v>84.133936985636566</v>
      </c>
      <c r="AF297" s="7">
        <f>[1]节奏总纲!AF297</f>
        <v>87.077905547159801</v>
      </c>
      <c r="AG297" s="7">
        <f>[1]节奏总纲!AG297</f>
        <v>92.121743328982234</v>
      </c>
      <c r="AH297" s="7">
        <f>[1]节奏总纲!AH297</f>
        <v>101.02868392415382</v>
      </c>
      <c r="AJ297" s="1"/>
      <c r="AR297" s="3"/>
      <c r="AY297" s="3"/>
      <c r="AZ297" s="2">
        <v>294</v>
      </c>
      <c r="BA297" s="7">
        <f>[1]节奏总纲!BA297</f>
        <v>45.289003637726246</v>
      </c>
      <c r="BB297" s="7">
        <f>[1]节奏总纲!BB297</f>
        <v>46.802171607563338</v>
      </c>
      <c r="BC297" s="7">
        <f>[1]节奏总纲!BC297</f>
        <v>48.747988747548945</v>
      </c>
      <c r="BD297" s="7">
        <f>[1]节奏总纲!BD297</f>
        <v>51.493031550542263</v>
      </c>
      <c r="BE297" s="7">
        <f>[1]节奏总纲!BE297</f>
        <v>56.210182091533035</v>
      </c>
    </row>
    <row r="298" spans="29:57" s="2" customFormat="1" x14ac:dyDescent="0.15">
      <c r="AC298" s="2">
        <v>295</v>
      </c>
      <c r="AD298" s="7">
        <f>[1]节奏总纲!AD298</f>
        <v>82.091594979242089</v>
      </c>
      <c r="AE298" s="7">
        <f>[1]节奏总纲!AE298</f>
        <v>84.182809696436891</v>
      </c>
      <c r="AF298" s="7">
        <f>[1]节奏总纲!AF298</f>
        <v>87.126677302821392</v>
      </c>
      <c r="AG298" s="7">
        <f>[1]节奏总纲!AG298</f>
        <v>92.171854286329506</v>
      </c>
      <c r="AH298" s="7">
        <f>[1]节奏总纲!AH298</f>
        <v>101.07833899530283</v>
      </c>
      <c r="AJ298" s="1"/>
      <c r="AR298" s="3"/>
      <c r="AY298" s="3"/>
      <c r="AZ298" s="2">
        <v>295</v>
      </c>
      <c r="BA298" s="7">
        <f>[1]节奏总纲!BA298</f>
        <v>45.31132052094835</v>
      </c>
      <c r="BB298" s="7">
        <f>[1]节奏总纲!BB298</f>
        <v>46.826251661086744</v>
      </c>
      <c r="BC298" s="7">
        <f>[1]节奏总纲!BC298</f>
        <v>48.771917414095107</v>
      </c>
      <c r="BD298" s="7">
        <f>[1]节奏总纲!BD298</f>
        <v>51.516137318461112</v>
      </c>
      <c r="BE298" s="7">
        <f>[1]节奏总纲!BE298</f>
        <v>56.232389840916142</v>
      </c>
    </row>
    <row r="299" spans="29:57" s="2" customFormat="1" x14ac:dyDescent="0.15">
      <c r="AC299" s="2">
        <v>296</v>
      </c>
      <c r="AD299" s="7">
        <f>[1]节奏总纲!AD299</f>
        <v>82.138974442593963</v>
      </c>
      <c r="AE299" s="7">
        <f>[1]节奏总纲!AE299</f>
        <v>84.23168240723723</v>
      </c>
      <c r="AF299" s="7">
        <f>[1]节奏总纲!AF299</f>
        <v>87.175449058482982</v>
      </c>
      <c r="AG299" s="7">
        <f>[1]节奏总纲!AG299</f>
        <v>92.221965243676763</v>
      </c>
      <c r="AH299" s="7">
        <f>[1]节奏总纲!AH299</f>
        <v>101.12799406645185</v>
      </c>
      <c r="AJ299" s="1"/>
      <c r="AR299" s="3"/>
      <c r="AY299" s="3"/>
      <c r="AZ299" s="2">
        <v>296</v>
      </c>
      <c r="BA299" s="7">
        <f>[1]节奏总纲!BA299</f>
        <v>45.333637404170453</v>
      </c>
      <c r="BB299" s="7">
        <f>[1]节奏总纲!BB299</f>
        <v>46.850331714610157</v>
      </c>
      <c r="BC299" s="7">
        <f>[1]节奏总纲!BC299</f>
        <v>48.795846080641262</v>
      </c>
      <c r="BD299" s="7">
        <f>[1]节奏总纲!BD299</f>
        <v>51.539243086379955</v>
      </c>
      <c r="BE299" s="7">
        <f>[1]节奏总纲!BE299</f>
        <v>56.254597590299248</v>
      </c>
    </row>
    <row r="300" spans="29:57" s="2" customFormat="1" x14ac:dyDescent="0.15">
      <c r="AC300" s="2">
        <v>297</v>
      </c>
      <c r="AD300" s="7">
        <f>[1]节奏总纲!AD300</f>
        <v>82.186353905945836</v>
      </c>
      <c r="AE300" s="7">
        <f>[1]节奏总纲!AE300</f>
        <v>84.280555118037555</v>
      </c>
      <c r="AF300" s="7">
        <f>[1]节奏总纲!AF300</f>
        <v>87.224220814144587</v>
      </c>
      <c r="AG300" s="7">
        <f>[1]节奏总纲!AG300</f>
        <v>92.272076201024021</v>
      </c>
      <c r="AH300" s="7">
        <f>[1]节奏总纲!AH300</f>
        <v>101.17764913760085</v>
      </c>
      <c r="AJ300" s="1"/>
      <c r="AR300" s="3"/>
      <c r="AY300" s="3"/>
      <c r="AZ300" s="2">
        <v>297</v>
      </c>
      <c r="BA300" s="7">
        <f>[1]节奏总纲!BA300</f>
        <v>45.355954287392557</v>
      </c>
      <c r="BB300" s="7">
        <f>[1]节奏总纲!BB300</f>
        <v>46.874411768133562</v>
      </c>
      <c r="BC300" s="7">
        <f>[1]节奏总纲!BC300</f>
        <v>48.819774747187417</v>
      </c>
      <c r="BD300" s="7">
        <f>[1]节奏总纲!BD300</f>
        <v>51.562348854298804</v>
      </c>
      <c r="BE300" s="7">
        <f>[1]节奏总纲!BE300</f>
        <v>56.276805339682355</v>
      </c>
    </row>
    <row r="301" spans="29:57" s="2" customFormat="1" x14ac:dyDescent="0.15">
      <c r="AC301" s="2">
        <v>298</v>
      </c>
      <c r="AD301" s="7">
        <f>[1]节奏总纲!AD301</f>
        <v>82.23373336929771</v>
      </c>
      <c r="AE301" s="7">
        <f>[1]节奏总纲!AE301</f>
        <v>84.329427828837879</v>
      </c>
      <c r="AF301" s="7">
        <f>[1]节奏总纲!AF301</f>
        <v>87.272992569806178</v>
      </c>
      <c r="AG301" s="7">
        <f>[1]节奏总纲!AG301</f>
        <v>92.322187158371293</v>
      </c>
      <c r="AH301" s="7">
        <f>[1]节奏总纲!AH301</f>
        <v>101.22730420874987</v>
      </c>
      <c r="AJ301" s="1"/>
      <c r="AR301" s="3"/>
      <c r="AY301" s="3"/>
      <c r="AZ301" s="2">
        <v>298</v>
      </c>
      <c r="BA301" s="7">
        <f>[1]节奏总纲!BA301</f>
        <v>45.37827117061466</v>
      </c>
      <c r="BB301" s="7">
        <f>[1]节奏总纲!BB301</f>
        <v>46.898491821656968</v>
      </c>
      <c r="BC301" s="7">
        <f>[1]节奏总纲!BC301</f>
        <v>48.843703413733579</v>
      </c>
      <c r="BD301" s="7">
        <f>[1]节奏总纲!BD301</f>
        <v>51.585454622217647</v>
      </c>
      <c r="BE301" s="7">
        <f>[1]节奏总纲!BE301</f>
        <v>56.299013089065468</v>
      </c>
    </row>
    <row r="302" spans="29:57" s="2" customFormat="1" x14ac:dyDescent="0.15">
      <c r="AC302" s="2">
        <v>299</v>
      </c>
      <c r="AD302" s="7">
        <f>[1]节奏总纲!AD302</f>
        <v>82.281112832649583</v>
      </c>
      <c r="AE302" s="7">
        <f>[1]节奏总纲!AE302</f>
        <v>84.378300539638204</v>
      </c>
      <c r="AF302" s="7">
        <f>[1]节奏总纲!AF302</f>
        <v>87.321764325467768</v>
      </c>
      <c r="AG302" s="7">
        <f>[1]节奏总纲!AG302</f>
        <v>92.37229811571855</v>
      </c>
      <c r="AH302" s="7">
        <f>[1]节奏总纲!AH302</f>
        <v>101.27695927989888</v>
      </c>
      <c r="AJ302" s="1"/>
      <c r="AR302" s="3"/>
      <c r="AY302" s="3"/>
      <c r="AZ302" s="2">
        <v>299</v>
      </c>
      <c r="BA302" s="7">
        <f>[1]节奏总纲!BA302</f>
        <v>45.400588053836763</v>
      </c>
      <c r="BB302" s="7">
        <f>[1]节奏总纲!BB302</f>
        <v>46.922571875180381</v>
      </c>
      <c r="BC302" s="7">
        <f>[1]节奏总纲!BC302</f>
        <v>48.867632080279733</v>
      </c>
      <c r="BD302" s="7">
        <f>[1]节奏总纲!BD302</f>
        <v>51.608560390136496</v>
      </c>
      <c r="BE302" s="7">
        <f>[1]节奏总纲!BE302</f>
        <v>56.321220838448575</v>
      </c>
    </row>
    <row r="303" spans="29:57" s="2" customFormat="1" x14ac:dyDescent="0.15">
      <c r="AC303" s="2">
        <v>300</v>
      </c>
      <c r="AD303" s="7">
        <f>[1]节奏总纲!AD303</f>
        <v>82.328492296001457</v>
      </c>
      <c r="AE303" s="7">
        <f>[1]节奏总纲!AE303</f>
        <v>84.427173250438543</v>
      </c>
      <c r="AF303" s="7">
        <f>[1]节奏总纲!AF303</f>
        <v>87.370536081129359</v>
      </c>
      <c r="AG303" s="7">
        <f>[1]节奏总纲!AG303</f>
        <v>92.422409073065808</v>
      </c>
      <c r="AH303" s="7">
        <f>[1]节奏总纲!AH303</f>
        <v>101.32661435104789</v>
      </c>
      <c r="AJ303" s="1"/>
      <c r="AR303" s="3"/>
      <c r="AY303" s="3"/>
      <c r="AZ303" s="2">
        <v>300</v>
      </c>
      <c r="BA303" s="7">
        <f>[1]节奏总纲!BA303</f>
        <v>45.422904937058867</v>
      </c>
      <c r="BB303" s="7">
        <f>[1]节奏总纲!BB303</f>
        <v>46.946651928703787</v>
      </c>
      <c r="BC303" s="7">
        <f>[1]节奏总纲!BC303</f>
        <v>48.891560746825888</v>
      </c>
      <c r="BD303" s="7">
        <f>[1]节奏总纲!BD303</f>
        <v>51.631666158055346</v>
      </c>
      <c r="BE303" s="7">
        <f>[1]节奏总纲!BE303</f>
        <v>56.343428587831681</v>
      </c>
    </row>
    <row r="304" spans="29:57" s="2" customFormat="1" x14ac:dyDescent="0.15">
      <c r="AC304" s="2">
        <v>301</v>
      </c>
      <c r="AD304" s="7">
        <f>[1]节奏总纲!AD304</f>
        <v>82.375871759353331</v>
      </c>
      <c r="AE304" s="7">
        <f>[1]节奏总纲!AE304</f>
        <v>84.476045961238867</v>
      </c>
      <c r="AF304" s="7">
        <f>[1]节奏总纲!AF304</f>
        <v>87.419307836790964</v>
      </c>
      <c r="AG304" s="7">
        <f>[1]节奏总纲!AG304</f>
        <v>92.472520030413079</v>
      </c>
      <c r="AH304" s="7">
        <f>[1]节奏总纲!AH304</f>
        <v>101.3762694221969</v>
      </c>
      <c r="AJ304" s="1"/>
      <c r="AR304" s="3"/>
      <c r="AY304" s="3"/>
      <c r="AZ304" s="2">
        <v>301</v>
      </c>
      <c r="BA304" s="7">
        <f>[1]节奏总纲!BA304</f>
        <v>45.44522182028097</v>
      </c>
      <c r="BB304" s="7">
        <f>[1]节奏总纲!BB304</f>
        <v>46.9707319822272</v>
      </c>
      <c r="BC304" s="7">
        <f>[1]节奏总纲!BC304</f>
        <v>48.91548941337205</v>
      </c>
      <c r="BD304" s="7">
        <f>[1]节奏总纲!BD304</f>
        <v>51.654771925974188</v>
      </c>
      <c r="BE304" s="7">
        <f>[1]节奏总纲!BE304</f>
        <v>56.365636337214795</v>
      </c>
    </row>
    <row r="305" spans="29:57" s="2" customFormat="1" x14ac:dyDescent="0.15">
      <c r="AC305" s="2">
        <v>302</v>
      </c>
      <c r="AD305" s="7">
        <f>[1]节奏总纲!AD305</f>
        <v>82.423251222705204</v>
      </c>
      <c r="AE305" s="7">
        <f>[1]节奏总纲!AE305</f>
        <v>84.524918672039192</v>
      </c>
      <c r="AF305" s="7">
        <f>[1]节奏总纲!AF305</f>
        <v>87.468079592452554</v>
      </c>
      <c r="AG305" s="7">
        <f>[1]节奏总纲!AG305</f>
        <v>92.522630987760337</v>
      </c>
      <c r="AH305" s="7">
        <f>[1]节奏总纲!AH305</f>
        <v>101.42592449334592</v>
      </c>
      <c r="AJ305" s="1"/>
      <c r="AR305" s="3"/>
      <c r="AY305" s="3"/>
      <c r="AZ305" s="2">
        <v>302</v>
      </c>
      <c r="BA305" s="7">
        <f>[1]节奏总纲!BA305</f>
        <v>45.467538703503074</v>
      </c>
      <c r="BB305" s="7">
        <f>[1]节奏总纲!BB305</f>
        <v>46.994812035750606</v>
      </c>
      <c r="BC305" s="7">
        <f>[1]节奏总纲!BC305</f>
        <v>48.939418079918205</v>
      </c>
      <c r="BD305" s="7">
        <f>[1]节奏总纲!BD305</f>
        <v>51.677877693893038</v>
      </c>
      <c r="BE305" s="7">
        <f>[1]节奏总纲!BE305</f>
        <v>56.387844086597902</v>
      </c>
    </row>
    <row r="306" spans="29:57" s="2" customFormat="1" x14ac:dyDescent="0.15">
      <c r="AC306" s="2">
        <v>303</v>
      </c>
      <c r="AD306" s="7">
        <f>[1]节奏总纲!AD306</f>
        <v>82.470630686057078</v>
      </c>
      <c r="AE306" s="7">
        <f>[1]节奏总纲!AE306</f>
        <v>84.573791382839516</v>
      </c>
      <c r="AF306" s="7">
        <f>[1]节奏总纲!AF306</f>
        <v>87.516851348114145</v>
      </c>
      <c r="AG306" s="7">
        <f>[1]节奏总纲!AG306</f>
        <v>92.572741945107595</v>
      </c>
      <c r="AH306" s="7">
        <f>[1]节奏总纲!AH306</f>
        <v>101.47557956449492</v>
      </c>
      <c r="AJ306" s="1"/>
      <c r="AR306" s="3"/>
      <c r="AY306" s="3"/>
      <c r="AZ306" s="2">
        <v>303</v>
      </c>
      <c r="BA306" s="7">
        <f>[1]节奏总纲!BA306</f>
        <v>45.489855586725177</v>
      </c>
      <c r="BB306" s="7">
        <f>[1]节奏总纲!BB306</f>
        <v>47.016308935086101</v>
      </c>
      <c r="BC306" s="7">
        <f>[1]节奏总纲!BC306</f>
        <v>48.96334674646436</v>
      </c>
      <c r="BD306" s="7">
        <f>[1]节奏总纲!BD306</f>
        <v>51.70098346181188</v>
      </c>
      <c r="BE306" s="7">
        <f>[1]节奏总纲!BE306</f>
        <v>56.410051835981008</v>
      </c>
    </row>
    <row r="307" spans="29:57" s="2" customFormat="1" x14ac:dyDescent="0.15">
      <c r="AC307" s="2">
        <v>304</v>
      </c>
      <c r="AD307" s="7">
        <f>[1]节奏总纲!AD307</f>
        <v>82.518010149408951</v>
      </c>
      <c r="AE307" s="7">
        <f>[1]节奏总纲!AE307</f>
        <v>84.622664093639855</v>
      </c>
      <c r="AF307" s="7">
        <f>[1]节奏总纲!AF307</f>
        <v>87.565623103775735</v>
      </c>
      <c r="AG307" s="7">
        <f>[1]节奏总纲!AG307</f>
        <v>92.622852902454852</v>
      </c>
      <c r="AH307" s="7">
        <f>[1]节奏总纲!AH307</f>
        <v>101.52523463564394</v>
      </c>
      <c r="AJ307" s="1"/>
      <c r="AR307" s="3"/>
      <c r="AY307" s="3"/>
      <c r="AZ307" s="2">
        <v>304</v>
      </c>
      <c r="BA307" s="7">
        <f>[1]节奏总纲!BA307</f>
        <v>45.512172469947281</v>
      </c>
      <c r="BB307" s="7">
        <f>[1]节奏总纲!BB307</f>
        <v>47.037096473408994</v>
      </c>
      <c r="BC307" s="7">
        <f>[1]节奏总纲!BC307</f>
        <v>48.987275413010522</v>
      </c>
      <c r="BD307" s="7">
        <f>[1]节奏总纲!BD307</f>
        <v>51.72408922973073</v>
      </c>
      <c r="BE307" s="7">
        <f>[1]节奏总纲!BE307</f>
        <v>56.432259585364115</v>
      </c>
    </row>
    <row r="308" spans="29:57" s="2" customFormat="1" x14ac:dyDescent="0.15">
      <c r="AC308" s="2">
        <v>305</v>
      </c>
      <c r="AD308" s="7">
        <f>[1]节奏总纲!AD308</f>
        <v>82.565389612760825</v>
      </c>
      <c r="AE308" s="7">
        <f>[1]节奏总纲!AE308</f>
        <v>84.67153680444018</v>
      </c>
      <c r="AF308" s="7">
        <f>[1]节奏总纲!AF308</f>
        <v>87.61439485943734</v>
      </c>
      <c r="AG308" s="7">
        <f>[1]节奏总纲!AG308</f>
        <v>92.672963859802124</v>
      </c>
      <c r="AH308" s="7">
        <f>[1]节奏总纲!AH308</f>
        <v>101.57488970679294</v>
      </c>
      <c r="AJ308" s="1"/>
      <c r="AR308" s="3"/>
      <c r="AY308" s="3"/>
      <c r="AZ308" s="2">
        <v>305</v>
      </c>
      <c r="BA308" s="7">
        <f>[1]节奏总纲!BA308</f>
        <v>45.534489353169384</v>
      </c>
      <c r="BB308" s="7">
        <f>[1]节奏总纲!BB308</f>
        <v>47.057884011731893</v>
      </c>
      <c r="BC308" s="7">
        <f>[1]节奏总纲!BC308</f>
        <v>49.009673493801003</v>
      </c>
      <c r="BD308" s="7">
        <f>[1]节奏总纲!BD308</f>
        <v>51.747194997649579</v>
      </c>
      <c r="BE308" s="7">
        <f>[1]节奏总纲!BE308</f>
        <v>56.454467334747228</v>
      </c>
    </row>
    <row r="309" spans="29:57" s="2" customFormat="1" x14ac:dyDescent="0.15">
      <c r="AC309" s="2">
        <v>306</v>
      </c>
      <c r="AD309" s="7">
        <f>[1]节奏总纲!AD309</f>
        <v>82.612769076112698</v>
      </c>
      <c r="AE309" s="7">
        <f>[1]节奏总纲!AE309</f>
        <v>84.720409515240505</v>
      </c>
      <c r="AF309" s="7">
        <f>[1]节奏总纲!AF309</f>
        <v>87.66316661509893</v>
      </c>
      <c r="AG309" s="7">
        <f>[1]节奏总纲!AG309</f>
        <v>92.723074817149381</v>
      </c>
      <c r="AH309" s="7">
        <f>[1]节奏总纲!AH309</f>
        <v>101.62454477794196</v>
      </c>
      <c r="AJ309" s="1"/>
      <c r="AR309" s="3"/>
      <c r="AY309" s="3"/>
      <c r="AZ309" s="2">
        <v>306</v>
      </c>
      <c r="BA309" s="7">
        <f>[1]节奏总纲!BA309</f>
        <v>45.556806236391488</v>
      </c>
      <c r="BB309" s="7">
        <f>[1]节奏总纲!BB309</f>
        <v>47.078671550054786</v>
      </c>
      <c r="BC309" s="7">
        <f>[1]节奏总纲!BC309</f>
        <v>49.030333272797542</v>
      </c>
      <c r="BD309" s="7">
        <f>[1]节奏总纲!BD309</f>
        <v>51.770300765568422</v>
      </c>
      <c r="BE309" s="7">
        <f>[1]节奏总纲!BE309</f>
        <v>56.476675084130335</v>
      </c>
    </row>
    <row r="310" spans="29:57" s="2" customFormat="1" x14ac:dyDescent="0.15">
      <c r="AC310" s="2">
        <v>307</v>
      </c>
      <c r="AD310" s="7">
        <f>[1]节奏总纲!AD310</f>
        <v>82.660148539464572</v>
      </c>
      <c r="AE310" s="7">
        <f>[1]节奏总纲!AE310</f>
        <v>84.769282226040829</v>
      </c>
      <c r="AF310" s="7">
        <f>[1]节奏总纲!AF310</f>
        <v>87.711938370760521</v>
      </c>
      <c r="AG310" s="7">
        <f>[1]节奏总纲!AG310</f>
        <v>92.773185774496639</v>
      </c>
      <c r="AH310" s="7">
        <f>[1]节奏总纲!AH310</f>
        <v>101.67419984909097</v>
      </c>
      <c r="AJ310" s="1"/>
      <c r="AR310" s="3"/>
      <c r="AY310" s="3"/>
      <c r="AZ310" s="2">
        <v>307</v>
      </c>
      <c r="BA310" s="7">
        <f>[1]节奏总纲!BA310</f>
        <v>45.579123119613591</v>
      </c>
      <c r="BB310" s="7">
        <f>[1]节奏总纲!BB310</f>
        <v>47.099459088377678</v>
      </c>
      <c r="BC310" s="7">
        <f>[1]节奏总纲!BC310</f>
        <v>49.05099305179408</v>
      </c>
      <c r="BD310" s="7">
        <f>[1]节奏总纲!BD310</f>
        <v>51.793406533487271</v>
      </c>
      <c r="BE310" s="7">
        <f>[1]节奏总纲!BE310</f>
        <v>56.498882833513441</v>
      </c>
    </row>
    <row r="311" spans="29:57" s="2" customFormat="1" x14ac:dyDescent="0.15">
      <c r="AC311" s="2">
        <v>308</v>
      </c>
      <c r="AD311" s="7">
        <f>[1]节奏总纲!AD311</f>
        <v>82.707528002816446</v>
      </c>
      <c r="AE311" s="7">
        <f>[1]节奏总纲!AE311</f>
        <v>84.818154936841154</v>
      </c>
      <c r="AF311" s="7">
        <f>[1]节奏总纲!AF311</f>
        <v>87.760710126422126</v>
      </c>
      <c r="AG311" s="7">
        <f>[1]节奏总纲!AG311</f>
        <v>92.823296731843911</v>
      </c>
      <c r="AH311" s="7">
        <f>[1]节奏总纲!AH311</f>
        <v>101.72385492023999</v>
      </c>
      <c r="AJ311" s="1"/>
      <c r="AR311" s="3"/>
      <c r="AY311" s="3"/>
      <c r="AZ311" s="2">
        <v>308</v>
      </c>
      <c r="BA311" s="7">
        <f>[1]节奏总纲!BA311</f>
        <v>45.601440002835695</v>
      </c>
      <c r="BB311" s="7">
        <f>[1]节奏总纲!BB311</f>
        <v>47.12024662670057</v>
      </c>
      <c r="BC311" s="7">
        <f>[1]节奏总纲!BC311</f>
        <v>49.071652830790612</v>
      </c>
      <c r="BD311" s="7">
        <f>[1]节奏总纲!BD311</f>
        <v>51.816512301406114</v>
      </c>
      <c r="BE311" s="7">
        <f>[1]节奏总纲!BE311</f>
        <v>56.521090582896548</v>
      </c>
    </row>
    <row r="312" spans="29:57" s="2" customFormat="1" x14ac:dyDescent="0.15">
      <c r="AC312" s="2">
        <v>309</v>
      </c>
      <c r="AD312" s="7">
        <f>[1]节奏总纲!AD312</f>
        <v>82.754907466168319</v>
      </c>
      <c r="AE312" s="7">
        <f>[1]节奏总纲!AE312</f>
        <v>84.867027647641493</v>
      </c>
      <c r="AF312" s="7">
        <f>[1]节奏总纲!AF312</f>
        <v>87.809481882083716</v>
      </c>
      <c r="AG312" s="7">
        <f>[1]节奏总纲!AG312</f>
        <v>92.873407689191168</v>
      </c>
      <c r="AH312" s="7">
        <f>[1]节奏总纲!AH312</f>
        <v>101.77350999138899</v>
      </c>
      <c r="AJ312" s="1"/>
      <c r="AR312" s="3"/>
      <c r="AY312" s="3"/>
      <c r="AZ312" s="2">
        <v>309</v>
      </c>
      <c r="BA312" s="7">
        <f>[1]节奏总纲!BA312</f>
        <v>45.623756886057798</v>
      </c>
      <c r="BB312" s="7">
        <f>[1]节奏总纲!BB312</f>
        <v>47.14103416502347</v>
      </c>
      <c r="BC312" s="7">
        <f>[1]节奏总纲!BC312</f>
        <v>49.09231260978715</v>
      </c>
      <c r="BD312" s="7">
        <f>[1]节奏总纲!BD312</f>
        <v>51.839618069324963</v>
      </c>
      <c r="BE312" s="7">
        <f>[1]节奏总纲!BE312</f>
        <v>56.543298332279662</v>
      </c>
    </row>
    <row r="313" spans="29:57" s="2" customFormat="1" x14ac:dyDescent="0.15">
      <c r="AC313" s="2">
        <v>310</v>
      </c>
      <c r="AD313" s="7">
        <f>[1]节奏总纲!AD313</f>
        <v>82.802286929520193</v>
      </c>
      <c r="AE313" s="7">
        <f>[1]节奏总纲!AE313</f>
        <v>84.915900358441817</v>
      </c>
      <c r="AF313" s="7">
        <f>[1]节奏总纲!AF313</f>
        <v>87.858253637745307</v>
      </c>
      <c r="AG313" s="7">
        <f>[1]节奏总纲!AG313</f>
        <v>92.923518646538426</v>
      </c>
      <c r="AH313" s="7">
        <f>[1]节奏总纲!AH313</f>
        <v>101.82316506253801</v>
      </c>
      <c r="AJ313" s="1"/>
      <c r="AR313" s="3"/>
      <c r="AY313" s="3"/>
      <c r="AZ313" s="2">
        <v>310</v>
      </c>
      <c r="BA313" s="7">
        <f>[1]节奏总纲!BA313</f>
        <v>45.646073769279901</v>
      </c>
      <c r="BB313" s="7">
        <f>[1]节奏总纲!BB313</f>
        <v>47.161821703346362</v>
      </c>
      <c r="BC313" s="7">
        <f>[1]节奏总纲!BC313</f>
        <v>49.112972388783689</v>
      </c>
      <c r="BD313" s="7">
        <f>[1]节奏总纲!BD313</f>
        <v>51.862723837243806</v>
      </c>
      <c r="BE313" s="7">
        <f>[1]节奏总纲!BE313</f>
        <v>56.565506081662768</v>
      </c>
    </row>
    <row r="314" spans="29:57" s="2" customFormat="1" x14ac:dyDescent="0.15">
      <c r="AC314" s="2">
        <v>311</v>
      </c>
      <c r="AD314" s="7">
        <f>[1]节奏总纲!AD314</f>
        <v>82.849666392872066</v>
      </c>
      <c r="AE314" s="7">
        <f>[1]节奏总纲!AE314</f>
        <v>84.964773069242142</v>
      </c>
      <c r="AF314" s="7">
        <f>[1]节奏总纲!AF314</f>
        <v>87.907025393406897</v>
      </c>
      <c r="AG314" s="7">
        <f>[1]节奏总纲!AG314</f>
        <v>92.973629603885698</v>
      </c>
      <c r="AH314" s="7">
        <f>[1]节奏总纲!AH314</f>
        <v>101.87282013368701</v>
      </c>
      <c r="AJ314" s="1"/>
      <c r="AR314" s="3"/>
      <c r="AY314" s="3"/>
      <c r="AZ314" s="2">
        <v>311</v>
      </c>
      <c r="BA314" s="7">
        <f>[1]节奏总纲!BA314</f>
        <v>45.668390652502012</v>
      </c>
      <c r="BB314" s="7">
        <f>[1]节奏总纲!BB314</f>
        <v>47.182609241669255</v>
      </c>
      <c r="BC314" s="7">
        <f>[1]节奏总纲!BC314</f>
        <v>49.133632167780227</v>
      </c>
      <c r="BD314" s="7">
        <f>[1]节奏总纲!BD314</f>
        <v>51.885829605162655</v>
      </c>
      <c r="BE314" s="7">
        <f>[1]节奏总纲!BE314</f>
        <v>56.587713831045875</v>
      </c>
    </row>
    <row r="315" spans="29:57" s="2" customFormat="1" x14ac:dyDescent="0.15">
      <c r="AC315" s="2">
        <v>312</v>
      </c>
      <c r="AD315" s="7">
        <f>[1]节奏总纲!AD315</f>
        <v>82.89704585622394</v>
      </c>
      <c r="AE315" s="7">
        <f>[1]节奏总纲!AE315</f>
        <v>85.012531647506819</v>
      </c>
      <c r="AF315" s="7">
        <f>[1]节奏总纲!AF315</f>
        <v>87.955797149068502</v>
      </c>
      <c r="AG315" s="7">
        <f>[1]节奏总纲!AG315</f>
        <v>93.022367647203353</v>
      </c>
      <c r="AH315" s="7">
        <f>[1]节奏总纲!AH315</f>
        <v>101.92247520483603</v>
      </c>
      <c r="AJ315" s="1"/>
      <c r="AR315" s="3"/>
      <c r="AY315" s="3"/>
      <c r="AZ315" s="2">
        <v>312</v>
      </c>
      <c r="BA315" s="7">
        <f>[1]节奏总纲!BA315</f>
        <v>45.690707535724115</v>
      </c>
      <c r="BB315" s="7">
        <f>[1]节奏总纲!BB315</f>
        <v>47.203396779992147</v>
      </c>
      <c r="BC315" s="7">
        <f>[1]节奏总纲!BC315</f>
        <v>49.154291946776759</v>
      </c>
      <c r="BD315" s="7">
        <f>[1]节奏总纲!BD315</f>
        <v>51.908935373081505</v>
      </c>
      <c r="BE315" s="7">
        <f>[1]节奏总纲!BE315</f>
        <v>56.609921580428981</v>
      </c>
    </row>
    <row r="316" spans="29:57" s="2" customFormat="1" x14ac:dyDescent="0.15">
      <c r="AC316" s="2">
        <v>313</v>
      </c>
      <c r="AD316" s="7">
        <f>[1]节奏总纲!AD316</f>
        <v>82.944425319575814</v>
      </c>
      <c r="AE316" s="7">
        <f>[1]节奏总纲!AE316</f>
        <v>85.057414064088832</v>
      </c>
      <c r="AF316" s="7">
        <f>[1]节奏总纲!AF316</f>
        <v>88.004756197276762</v>
      </c>
      <c r="AG316" s="7">
        <f>[1]节奏总纲!AG316</f>
        <v>93.069580693431178</v>
      </c>
      <c r="AH316" s="7">
        <f>[1]节奏总纲!AH316</f>
        <v>101.97213027598504</v>
      </c>
      <c r="AJ316" s="1"/>
      <c r="AR316" s="3"/>
      <c r="AY316" s="3"/>
      <c r="AZ316" s="2">
        <v>313</v>
      </c>
      <c r="BA316" s="7">
        <f>[1]节奏总纲!BA316</f>
        <v>45.713024418946219</v>
      </c>
      <c r="BB316" s="7">
        <f>[1]节奏总纲!BB316</f>
        <v>47.224184318315039</v>
      </c>
      <c r="BC316" s="7">
        <f>[1]节奏总纲!BC316</f>
        <v>49.174951725773298</v>
      </c>
      <c r="BD316" s="7">
        <f>[1]节奏总纲!BD316</f>
        <v>51.932041141000347</v>
      </c>
      <c r="BE316" s="7">
        <f>[1]节奏总纲!BE316</f>
        <v>56.632129329812095</v>
      </c>
    </row>
    <row r="317" spans="29:57" s="2" customFormat="1" x14ac:dyDescent="0.15">
      <c r="AC317" s="2">
        <v>314</v>
      </c>
      <c r="AD317" s="7">
        <f>[1]节奏总纲!AD317</f>
        <v>82.991804782927687</v>
      </c>
      <c r="AE317" s="7">
        <f>[1]节奏总纲!AE317</f>
        <v>85.10229648067083</v>
      </c>
      <c r="AF317" s="7">
        <f>[1]节奏总纲!AF317</f>
        <v>88.05552724748766</v>
      </c>
      <c r="AG317" s="7">
        <f>[1]节奏总纲!AG317</f>
        <v>93.116793739659002</v>
      </c>
      <c r="AH317" s="7">
        <f>[1]节奏总纲!AH317</f>
        <v>102.01969836502204</v>
      </c>
      <c r="AJ317" s="1"/>
      <c r="AR317" s="3"/>
      <c r="AY317" s="3"/>
      <c r="AZ317" s="2">
        <v>314</v>
      </c>
      <c r="BA317" s="7">
        <f>[1]节奏总纲!BA317</f>
        <v>45.735341302168322</v>
      </c>
      <c r="BB317" s="7">
        <f>[1]节奏总纲!BB317</f>
        <v>47.244971856637939</v>
      </c>
      <c r="BC317" s="7">
        <f>[1]节奏总纲!BC317</f>
        <v>49.195611504769836</v>
      </c>
      <c r="BD317" s="7">
        <f>[1]节奏总纲!BD317</f>
        <v>51.955146908919197</v>
      </c>
      <c r="BE317" s="7">
        <f>[1]节奏总纲!BE317</f>
        <v>56.654337079195201</v>
      </c>
    </row>
    <row r="318" spans="29:57" s="2" customFormat="1" x14ac:dyDescent="0.15">
      <c r="AC318" s="2">
        <v>315</v>
      </c>
      <c r="AD318" s="7">
        <f>[1]节奏总纲!AD318</f>
        <v>83.03656019452734</v>
      </c>
      <c r="AE318" s="7">
        <f>[1]节奏总纲!AE318</f>
        <v>85.147178897252829</v>
      </c>
      <c r="AF318" s="7">
        <f>[1]节奏总纲!AF318</f>
        <v>88.106298297698572</v>
      </c>
      <c r="AG318" s="7">
        <f>[1]节奏总纲!AG318</f>
        <v>93.164006785886826</v>
      </c>
      <c r="AH318" s="7">
        <f>[1]节奏总纲!AH318</f>
        <v>102.06459660376342</v>
      </c>
      <c r="AJ318" s="1"/>
      <c r="AR318" s="3"/>
      <c r="AY318" s="3"/>
      <c r="AZ318" s="2">
        <v>315</v>
      </c>
      <c r="BA318" s="7">
        <f>[1]节奏总纲!BA318</f>
        <v>45.757658185390426</v>
      </c>
      <c r="BB318" s="7">
        <f>[1]节奏总纲!BB318</f>
        <v>47.265759394960831</v>
      </c>
      <c r="BC318" s="7">
        <f>[1]节奏总纲!BC318</f>
        <v>49.216271283766375</v>
      </c>
      <c r="BD318" s="7">
        <f>[1]节奏总纲!BD318</f>
        <v>51.978252676838039</v>
      </c>
      <c r="BE318" s="7">
        <f>[1]节奏总纲!BE318</f>
        <v>56.676544828578308</v>
      </c>
    </row>
    <row r="319" spans="29:57" s="2" customFormat="1" x14ac:dyDescent="0.15">
      <c r="AC319" s="2">
        <v>316</v>
      </c>
      <c r="AD319" s="7">
        <f>[1]节奏总纲!AD319</f>
        <v>83.080766796955942</v>
      </c>
      <c r="AE319" s="7">
        <f>[1]节奏总纲!AE319</f>
        <v>85.192061313834827</v>
      </c>
      <c r="AF319" s="7">
        <f>[1]节奏总纲!AF319</f>
        <v>88.15706934790947</v>
      </c>
      <c r="AG319" s="7">
        <f>[1]节奏总纲!AG319</f>
        <v>93.211219832114651</v>
      </c>
      <c r="AH319" s="7">
        <f>[1]节奏总纲!AH319</f>
        <v>102.1094948425048</v>
      </c>
      <c r="AJ319" s="1"/>
      <c r="AR319" s="3"/>
      <c r="AY319" s="3"/>
      <c r="AZ319" s="2">
        <v>316</v>
      </c>
      <c r="BA319" s="7">
        <f>[1]节奏总纲!BA319</f>
        <v>45.779975068612529</v>
      </c>
      <c r="BB319" s="7">
        <f>[1]节奏总纲!BB319</f>
        <v>47.286546933283724</v>
      </c>
      <c r="BC319" s="7">
        <f>[1]节奏总纲!BC319</f>
        <v>49.236931062762913</v>
      </c>
      <c r="BD319" s="7">
        <f>[1]节奏总纲!BD319</f>
        <v>52.001173105835825</v>
      </c>
      <c r="BE319" s="7">
        <f>[1]节奏总纲!BE319</f>
        <v>56.698752577961415</v>
      </c>
    </row>
    <row r="320" spans="29:57" s="2" customFormat="1" x14ac:dyDescent="0.15">
      <c r="AC320" s="2">
        <v>317</v>
      </c>
      <c r="AD320" s="7">
        <f>[1]节奏总纲!AD320</f>
        <v>83.124973399384558</v>
      </c>
      <c r="AE320" s="7">
        <f>[1]节奏总纲!AE320</f>
        <v>85.236943730416826</v>
      </c>
      <c r="AF320" s="7">
        <f>[1]节奏总纲!AF320</f>
        <v>88.207840398120382</v>
      </c>
      <c r="AG320" s="7">
        <f>[1]节奏总纲!AG320</f>
        <v>93.258432878342475</v>
      </c>
      <c r="AH320" s="7">
        <f>[1]节奏总纲!AH320</f>
        <v>102.15439308124618</v>
      </c>
      <c r="AJ320" s="1"/>
      <c r="AR320" s="3"/>
      <c r="AY320" s="3"/>
      <c r="AZ320" s="2">
        <v>317</v>
      </c>
      <c r="BA320" s="7">
        <f>[1]节奏总纲!BA320</f>
        <v>45.802291951834633</v>
      </c>
      <c r="BB320" s="7">
        <f>[1]节奏总纲!BB320</f>
        <v>47.307334471606616</v>
      </c>
      <c r="BC320" s="7">
        <f>[1]节奏总纲!BC320</f>
        <v>49.257590841759445</v>
      </c>
      <c r="BD320" s="7">
        <f>[1]节奏总纲!BD320</f>
        <v>52.021126446631868</v>
      </c>
      <c r="BE320" s="7">
        <f>[1]节奏总纲!BE320</f>
        <v>56.720960327344528</v>
      </c>
    </row>
    <row r="321" spans="29:57" s="2" customFormat="1" x14ac:dyDescent="0.15">
      <c r="AC321" s="2">
        <v>318</v>
      </c>
      <c r="AD321" s="7">
        <f>[1]节奏总纲!AD321</f>
        <v>83.16918000181316</v>
      </c>
      <c r="AE321" s="7">
        <f>[1]节奏总纲!AE321</f>
        <v>85.281826146998839</v>
      </c>
      <c r="AF321" s="7">
        <f>[1]节奏总纲!AF321</f>
        <v>88.258611448331294</v>
      </c>
      <c r="AG321" s="7">
        <f>[1]节奏总纲!AG321</f>
        <v>93.3056459245703</v>
      </c>
      <c r="AH321" s="7">
        <f>[1]节奏总纲!AH321</f>
        <v>102.19929131998755</v>
      </c>
      <c r="AJ321" s="1"/>
      <c r="AR321" s="3"/>
      <c r="AY321" s="3"/>
      <c r="AZ321" s="2">
        <v>318</v>
      </c>
      <c r="BA321" s="7">
        <f>[1]节奏总纲!BA321</f>
        <v>45.824608835056736</v>
      </c>
      <c r="BB321" s="7">
        <f>[1]节奏总纲!BB321</f>
        <v>47.328122009929508</v>
      </c>
      <c r="BC321" s="7">
        <f>[1]节奏总纲!BC321</f>
        <v>49.278250620755983</v>
      </c>
      <c r="BD321" s="7">
        <f>[1]节奏总纲!BD321</f>
        <v>52.041079787427918</v>
      </c>
      <c r="BE321" s="7">
        <f>[1]节奏总纲!BE321</f>
        <v>56.743168076727635</v>
      </c>
    </row>
    <row r="322" spans="29:57" s="2" customFormat="1" x14ac:dyDescent="0.15">
      <c r="AC322" s="2">
        <v>319</v>
      </c>
      <c r="AD322" s="7">
        <f>[1]节奏总纲!AD322</f>
        <v>83.213386604241776</v>
      </c>
      <c r="AE322" s="7">
        <f>[1]节奏总纲!AE322</f>
        <v>85.326708563580837</v>
      </c>
      <c r="AF322" s="7">
        <f>[1]节奏总纲!AF322</f>
        <v>88.309382498542192</v>
      </c>
      <c r="AG322" s="7">
        <f>[1]节奏总纲!AG322</f>
        <v>93.352858970798124</v>
      </c>
      <c r="AH322" s="7">
        <f>[1]节奏总纲!AH322</f>
        <v>102.24418955872893</v>
      </c>
      <c r="AJ322" s="1"/>
      <c r="AR322" s="3"/>
      <c r="AY322" s="3"/>
      <c r="AZ322" s="2">
        <v>319</v>
      </c>
      <c r="BA322" s="7">
        <f>[1]节奏总纲!BA322</f>
        <v>45.84692571827884</v>
      </c>
      <c r="BB322" s="7">
        <f>[1]节奏总纲!BB322</f>
        <v>47.348909548252408</v>
      </c>
      <c r="BC322" s="7">
        <f>[1]节奏总纲!BC322</f>
        <v>49.298910399752522</v>
      </c>
      <c r="BD322" s="7">
        <f>[1]节奏总纲!BD322</f>
        <v>52.061033128223968</v>
      </c>
      <c r="BE322" s="7">
        <f>[1]节奏总纲!BE322</f>
        <v>56.765375826110741</v>
      </c>
    </row>
    <row r="323" spans="29:57" s="2" customFormat="1" x14ac:dyDescent="0.15">
      <c r="AC323" s="2">
        <v>320</v>
      </c>
      <c r="AD323" s="7">
        <f>[1]节奏总纲!AD323</f>
        <v>83.257593206670379</v>
      </c>
      <c r="AE323" s="7">
        <f>[1]节奏总纲!AE323</f>
        <v>85.371590980162836</v>
      </c>
      <c r="AF323" s="7">
        <f>[1]节奏总纲!AF323</f>
        <v>88.360153548753104</v>
      </c>
      <c r="AG323" s="7">
        <f>[1]节奏总纲!AG323</f>
        <v>93.400072017025948</v>
      </c>
      <c r="AH323" s="7">
        <f>[1]节奏总纲!AH323</f>
        <v>102.28908779747032</v>
      </c>
      <c r="AJ323" s="1"/>
      <c r="AR323" s="3"/>
      <c r="AY323" s="3"/>
      <c r="AZ323" s="2">
        <v>320</v>
      </c>
      <c r="BA323" s="7">
        <f>[1]节奏总纲!BA323</f>
        <v>45.869242601500943</v>
      </c>
      <c r="BB323" s="7">
        <f>[1]节奏总纲!BB323</f>
        <v>47.3696970865753</v>
      </c>
      <c r="BC323" s="7">
        <f>[1]节奏总纲!BC323</f>
        <v>49.319570178749061</v>
      </c>
      <c r="BD323" s="7">
        <f>[1]节奏总纲!BD323</f>
        <v>52.080986469020011</v>
      </c>
      <c r="BE323" s="7">
        <f>[1]节奏总纲!BE323</f>
        <v>56.787583575493848</v>
      </c>
    </row>
    <row r="324" spans="29:57" s="2" customFormat="1" x14ac:dyDescent="0.15">
      <c r="AC324" s="2">
        <v>321</v>
      </c>
      <c r="AD324" s="7">
        <f>[1]节奏总纲!AD324</f>
        <v>83.301799809098995</v>
      </c>
      <c r="AE324" s="7">
        <f>[1]节奏总纲!AE324</f>
        <v>85.416473396744834</v>
      </c>
      <c r="AF324" s="7">
        <f>[1]节奏总纲!AF324</f>
        <v>88.410924598964016</v>
      </c>
      <c r="AG324" s="7">
        <f>[1]节奏总纲!AG324</f>
        <v>93.447285063253773</v>
      </c>
      <c r="AH324" s="7">
        <f>[1]节奏总纲!AH324</f>
        <v>102.3339860362117</v>
      </c>
      <c r="AJ324" s="1"/>
      <c r="AR324" s="3"/>
      <c r="AY324" s="3"/>
      <c r="AZ324" s="2">
        <v>321</v>
      </c>
      <c r="BA324" s="7">
        <f>[1]节奏总纲!BA324</f>
        <v>45.891559484723047</v>
      </c>
      <c r="BB324" s="7">
        <f>[1]节奏总纲!BB324</f>
        <v>47.390484624898193</v>
      </c>
      <c r="BC324" s="7">
        <f>[1]节奏总纲!BC324</f>
        <v>49.340229957745592</v>
      </c>
      <c r="BD324" s="7">
        <f>[1]节奏总纲!BD324</f>
        <v>52.100939809816062</v>
      </c>
      <c r="BE324" s="7">
        <f>[1]节奏总纲!BE324</f>
        <v>56.809791324876961</v>
      </c>
    </row>
    <row r="325" spans="29:57" s="2" customFormat="1" x14ac:dyDescent="0.15">
      <c r="AC325" s="2">
        <v>322</v>
      </c>
      <c r="AD325" s="7">
        <f>[1]节奏总纲!AD325</f>
        <v>83.346006411527597</v>
      </c>
      <c r="AE325" s="7">
        <f>[1]节奏总纲!AE325</f>
        <v>85.461355813326847</v>
      </c>
      <c r="AF325" s="7">
        <f>[1]节奏总纲!AF325</f>
        <v>88.461695649174914</v>
      </c>
      <c r="AG325" s="7">
        <f>[1]节奏总纲!AG325</f>
        <v>93.494498109481597</v>
      </c>
      <c r="AH325" s="7">
        <f>[1]节奏总纲!AH325</f>
        <v>102.37888427495307</v>
      </c>
      <c r="AJ325" s="1"/>
      <c r="AR325" s="3"/>
      <c r="AY325" s="3"/>
      <c r="AZ325" s="2">
        <v>322</v>
      </c>
      <c r="BA325" s="7">
        <f>[1]节奏总纲!BA325</f>
        <v>45.91387636794515</v>
      </c>
      <c r="BB325" s="7">
        <f>[1]节奏总纲!BB325</f>
        <v>47.411272163221085</v>
      </c>
      <c r="BC325" s="7">
        <f>[1]节奏总纲!BC325</f>
        <v>49.360889736742131</v>
      </c>
      <c r="BD325" s="7">
        <f>[1]节奏总纲!BD325</f>
        <v>52.120893150612112</v>
      </c>
      <c r="BE325" s="7">
        <f>[1]节奏总纲!BE325</f>
        <v>56.831999074260068</v>
      </c>
    </row>
    <row r="326" spans="29:57" s="2" customFormat="1" x14ac:dyDescent="0.15">
      <c r="AC326" s="2">
        <v>323</v>
      </c>
      <c r="AD326" s="7">
        <f>[1]节奏总纲!AD326</f>
        <v>83.390213013956213</v>
      </c>
      <c r="AE326" s="7">
        <f>[1]节奏总纲!AE326</f>
        <v>85.506238229908845</v>
      </c>
      <c r="AF326" s="7">
        <f>[1]节奏总纲!AF326</f>
        <v>88.512466699385826</v>
      </c>
      <c r="AG326" s="7">
        <f>[1]节奏总纲!AG326</f>
        <v>93.541711155709422</v>
      </c>
      <c r="AH326" s="7">
        <f>[1]节奏总纲!AH326</f>
        <v>102.42378251369445</v>
      </c>
      <c r="AJ326" s="1"/>
      <c r="AR326" s="3"/>
      <c r="AY326" s="3"/>
      <c r="AZ326" s="2">
        <v>323</v>
      </c>
      <c r="BA326" s="7">
        <f>[1]节奏总纲!BA326</f>
        <v>45.936193251167253</v>
      </c>
      <c r="BB326" s="7">
        <f>[1]节奏总纲!BB326</f>
        <v>47.432059701543984</v>
      </c>
      <c r="BC326" s="7">
        <f>[1]节奏总纲!BC326</f>
        <v>49.381549515738669</v>
      </c>
      <c r="BD326" s="7">
        <f>[1]节奏总纲!BD326</f>
        <v>52.140846491408155</v>
      </c>
      <c r="BE326" s="7">
        <f>[1]节奏总纲!BE326</f>
        <v>56.854206823643175</v>
      </c>
    </row>
    <row r="327" spans="29:57" s="2" customFormat="1" x14ac:dyDescent="0.15">
      <c r="AC327" s="2">
        <v>324</v>
      </c>
      <c r="AD327" s="7">
        <f>[1]节奏总纲!AD327</f>
        <v>83.434419616384815</v>
      </c>
      <c r="AE327" s="7">
        <f>[1]节奏总纲!AE327</f>
        <v>85.551120646490844</v>
      </c>
      <c r="AF327" s="7">
        <f>[1]节奏总纲!AF327</f>
        <v>88.563237749596723</v>
      </c>
      <c r="AG327" s="7">
        <f>[1]节奏总纲!AG327</f>
        <v>93.588924201937246</v>
      </c>
      <c r="AH327" s="7">
        <f>[1]节奏总纲!AH327</f>
        <v>102.46868075243583</v>
      </c>
      <c r="AJ327" s="1"/>
      <c r="AR327" s="3"/>
      <c r="AY327" s="3"/>
      <c r="AZ327" s="2">
        <v>324</v>
      </c>
      <c r="BA327" s="7">
        <f>[1]节奏总纲!BA327</f>
        <v>45.958510134389357</v>
      </c>
      <c r="BB327" s="7">
        <f>[1]节奏总纲!BB327</f>
        <v>47.452847239866877</v>
      </c>
      <c r="BC327" s="7">
        <f>[1]节奏总纲!BC327</f>
        <v>49.402209294735208</v>
      </c>
      <c r="BD327" s="7">
        <f>[1]节奏总纲!BD327</f>
        <v>52.160799832204205</v>
      </c>
      <c r="BE327" s="7">
        <f>[1]节奏总纲!BE327</f>
        <v>56.876414573026281</v>
      </c>
    </row>
    <row r="328" spans="29:57" s="2" customFormat="1" x14ac:dyDescent="0.15">
      <c r="AC328" s="2">
        <v>325</v>
      </c>
      <c r="AD328" s="7">
        <f>[1]节奏总纲!AD328</f>
        <v>83.478626218813432</v>
      </c>
      <c r="AE328" s="7">
        <f>[1]节奏总纲!AE328</f>
        <v>85.596003063072843</v>
      </c>
      <c r="AF328" s="7">
        <f>[1]节奏总纲!AF328</f>
        <v>88.614008799807635</v>
      </c>
      <c r="AG328" s="7">
        <f>[1]节奏总纲!AG328</f>
        <v>93.63613724816507</v>
      </c>
      <c r="AH328" s="7">
        <f>[1]节奏总纲!AH328</f>
        <v>102.51357899117721</v>
      </c>
      <c r="AJ328" s="1"/>
      <c r="AR328" s="3"/>
      <c r="AY328" s="3"/>
      <c r="AZ328" s="2">
        <v>325</v>
      </c>
      <c r="BA328" s="7">
        <f>[1]节奏总纲!BA328</f>
        <v>45.98082701761146</v>
      </c>
      <c r="BB328" s="7">
        <f>[1]节奏总纲!BB328</f>
        <v>47.473634778189769</v>
      </c>
      <c r="BC328" s="7">
        <f>[1]节奏总纲!BC328</f>
        <v>49.422869073731739</v>
      </c>
      <c r="BD328" s="7">
        <f>[1]节奏总纲!BD328</f>
        <v>52.180753173000248</v>
      </c>
      <c r="BE328" s="7">
        <f>[1]节奏总纲!BE328</f>
        <v>56.898622322409395</v>
      </c>
    </row>
    <row r="329" spans="29:57" s="2" customFormat="1" x14ac:dyDescent="0.15">
      <c r="AC329" s="2">
        <v>326</v>
      </c>
      <c r="AD329" s="7">
        <f>[1]节奏总纲!AD329</f>
        <v>83.522832821242034</v>
      </c>
      <c r="AE329" s="7">
        <f>[1]节奏总纲!AE329</f>
        <v>85.640885479654855</v>
      </c>
      <c r="AF329" s="7">
        <f>[1]节奏总纲!AF329</f>
        <v>88.664779850018547</v>
      </c>
      <c r="AG329" s="7">
        <f>[1]节奏总纲!AG329</f>
        <v>93.683350294392895</v>
      </c>
      <c r="AH329" s="7">
        <f>[1]节奏总纲!AH329</f>
        <v>102.55847722991859</v>
      </c>
      <c r="AJ329" s="1"/>
      <c r="AR329" s="3"/>
      <c r="AY329" s="3"/>
      <c r="AZ329" s="2">
        <v>326</v>
      </c>
      <c r="BA329" s="7">
        <f>[1]节奏总纲!BA329</f>
        <v>46.002713830586146</v>
      </c>
      <c r="BB329" s="7">
        <f>[1]节奏总纲!BB329</f>
        <v>47.494422316512662</v>
      </c>
      <c r="BC329" s="7">
        <f>[1]节奏总纲!BC329</f>
        <v>49.443528852728278</v>
      </c>
      <c r="BD329" s="7">
        <f>[1]节奏总纲!BD329</f>
        <v>52.200706513796298</v>
      </c>
      <c r="BE329" s="7">
        <f>[1]节奏总纲!BE329</f>
        <v>56.920830071792501</v>
      </c>
    </row>
    <row r="330" spans="29:57" s="2" customFormat="1" x14ac:dyDescent="0.15">
      <c r="AC330" s="2">
        <v>327</v>
      </c>
      <c r="AD330" s="7">
        <f>[1]节奏总纲!AD330</f>
        <v>83.56703942367065</v>
      </c>
      <c r="AE330" s="7">
        <f>[1]节奏总纲!AE330</f>
        <v>85.685767896236854</v>
      </c>
      <c r="AF330" s="7">
        <f>[1]节奏总纲!AF330</f>
        <v>88.715550900229445</v>
      </c>
      <c r="AG330" s="7">
        <f>[1]节奏总纲!AG330</f>
        <v>93.730563340620719</v>
      </c>
      <c r="AH330" s="7">
        <f>[1]节奏总纲!AH330</f>
        <v>102.60337546865996</v>
      </c>
      <c r="AJ330" s="1"/>
      <c r="AR330" s="3"/>
      <c r="AY330" s="3"/>
      <c r="AZ330" s="2">
        <v>327</v>
      </c>
      <c r="BA330" s="7">
        <f>[1]节奏总纲!BA330</f>
        <v>46.021977873404879</v>
      </c>
      <c r="BB330" s="7">
        <f>[1]节奏总纲!BB330</f>
        <v>47.515209854835554</v>
      </c>
      <c r="BC330" s="7">
        <f>[1]节奏总纲!BC330</f>
        <v>49.464188631724817</v>
      </c>
      <c r="BD330" s="7">
        <f>[1]节奏总纲!BD330</f>
        <v>52.220659854592348</v>
      </c>
      <c r="BE330" s="7">
        <f>[1]节奏总纲!BE330</f>
        <v>56.943037821175608</v>
      </c>
    </row>
    <row r="331" spans="29:57" s="2" customFormat="1" x14ac:dyDescent="0.15">
      <c r="AC331" s="2">
        <v>328</v>
      </c>
      <c r="AD331" s="7">
        <f>[1]节奏总纲!AD331</f>
        <v>83.611246026099252</v>
      </c>
      <c r="AE331" s="7">
        <f>[1]节奏总纲!AE331</f>
        <v>85.730650312818852</v>
      </c>
      <c r="AF331" s="7">
        <f>[1]节奏总纲!AF331</f>
        <v>88.766321950440357</v>
      </c>
      <c r="AG331" s="7">
        <f>[1]节奏总纲!AG331</f>
        <v>93.777776386848544</v>
      </c>
      <c r="AH331" s="7">
        <f>[1]节奏总纲!AH331</f>
        <v>102.64827370740134</v>
      </c>
      <c r="AJ331" s="1"/>
      <c r="AR331" s="3"/>
      <c r="AY331" s="3"/>
      <c r="AZ331" s="2">
        <v>328</v>
      </c>
      <c r="BA331" s="7">
        <f>[1]节奏总纲!BA331</f>
        <v>46.041241916223605</v>
      </c>
      <c r="BB331" s="7">
        <f>[1]节奏总纲!BB331</f>
        <v>47.535997393158453</v>
      </c>
      <c r="BC331" s="7">
        <f>[1]节奏总纲!BC331</f>
        <v>49.484848410721355</v>
      </c>
      <c r="BD331" s="7">
        <f>[1]节奏总纲!BD331</f>
        <v>52.240613195388391</v>
      </c>
      <c r="BE331" s="7">
        <f>[1]节奏总纲!BE331</f>
        <v>56.965245570558714</v>
      </c>
    </row>
    <row r="332" spans="29:57" s="2" customFormat="1" x14ac:dyDescent="0.15">
      <c r="AC332" s="2">
        <v>329</v>
      </c>
      <c r="AD332" s="7">
        <f>[1]节奏总纲!AD332</f>
        <v>83.655452628527868</v>
      </c>
      <c r="AE332" s="7">
        <f>[1]节奏总纲!AE332</f>
        <v>85.775532729400851</v>
      </c>
      <c r="AF332" s="7">
        <f>[1]节奏总纲!AF332</f>
        <v>88.817093000651269</v>
      </c>
      <c r="AG332" s="7">
        <f>[1]节奏总纲!AG332</f>
        <v>93.824989433076368</v>
      </c>
      <c r="AH332" s="7">
        <f>[1]节奏总纲!AH332</f>
        <v>102.69317194614273</v>
      </c>
      <c r="AJ332" s="1"/>
      <c r="AR332" s="3"/>
      <c r="AY332" s="3"/>
      <c r="AZ332" s="2">
        <v>329</v>
      </c>
      <c r="BA332" s="7">
        <f>[1]节奏总纲!BA332</f>
        <v>46.060505959042331</v>
      </c>
      <c r="BB332" s="7">
        <f>[1]节奏总纲!BB332</f>
        <v>47.556784931481346</v>
      </c>
      <c r="BC332" s="7">
        <f>[1]节奏总纲!BC332</f>
        <v>49.505508189717887</v>
      </c>
      <c r="BD332" s="7">
        <f>[1]节奏总纲!BD332</f>
        <v>52.260566536184442</v>
      </c>
      <c r="BE332" s="7">
        <f>[1]节奏总纲!BE332</f>
        <v>56.987453319941828</v>
      </c>
    </row>
    <row r="333" spans="29:57" s="2" customFormat="1" x14ac:dyDescent="0.15">
      <c r="AC333" s="2">
        <v>330</v>
      </c>
      <c r="AD333" s="7">
        <f>[1]节奏总纲!AD333</f>
        <v>83.69965923095647</v>
      </c>
      <c r="AE333" s="7">
        <f>[1]节奏总纲!AE333</f>
        <v>85.820415145982849</v>
      </c>
      <c r="AF333" s="7">
        <f>[1]节奏总纲!AF333</f>
        <v>88.867864050862167</v>
      </c>
      <c r="AG333" s="7">
        <f>[1]节奏总纲!AG333</f>
        <v>93.872202479304192</v>
      </c>
      <c r="AH333" s="7">
        <f>[1]节奏总纲!AH333</f>
        <v>102.73807018488411</v>
      </c>
      <c r="AJ333" s="1"/>
      <c r="AR333" s="3"/>
      <c r="AY333" s="3"/>
      <c r="AZ333" s="2">
        <v>330</v>
      </c>
      <c r="BA333" s="7">
        <f>[1]节奏总纲!BA333</f>
        <v>46.079770001861057</v>
      </c>
      <c r="BB333" s="7">
        <f>[1]节奏总纲!BB333</f>
        <v>47.577572469804238</v>
      </c>
      <c r="BC333" s="7">
        <f>[1]节奏总纲!BC333</f>
        <v>49.526167968714425</v>
      </c>
      <c r="BD333" s="7">
        <f>[1]节奏总纲!BD333</f>
        <v>52.280519876980485</v>
      </c>
      <c r="BE333" s="7">
        <f>[1]节奏总纲!BE333</f>
        <v>57.008345591208631</v>
      </c>
    </row>
    <row r="334" spans="29:57" s="2" customFormat="1" x14ac:dyDescent="0.15">
      <c r="AC334" s="2">
        <v>331</v>
      </c>
      <c r="AD334" s="7">
        <f>[1]节奏总纲!AD334</f>
        <v>83.743865833385087</v>
      </c>
      <c r="AE334" s="7">
        <f>[1]节奏总纲!AE334</f>
        <v>85.865297562564862</v>
      </c>
      <c r="AF334" s="7">
        <f>[1]节奏总纲!AF334</f>
        <v>88.918635101073079</v>
      </c>
      <c r="AG334" s="7">
        <f>[1]节奏总纲!AG334</f>
        <v>93.919415525532017</v>
      </c>
      <c r="AH334" s="7">
        <f>[1]节奏总纲!AH334</f>
        <v>102.78296842362549</v>
      </c>
      <c r="AJ334" s="1"/>
      <c r="AR334" s="3"/>
      <c r="AY334" s="3"/>
      <c r="AZ334" s="2">
        <v>331</v>
      </c>
      <c r="BA334" s="7">
        <f>[1]节奏总纲!BA334</f>
        <v>46.099034044679783</v>
      </c>
      <c r="BB334" s="7">
        <f>[1]节奏总纲!BB334</f>
        <v>47.598360008127131</v>
      </c>
      <c r="BC334" s="7">
        <f>[1]节奏总纲!BC334</f>
        <v>49.546827747710964</v>
      </c>
      <c r="BD334" s="7">
        <f>[1]节奏总纲!BD334</f>
        <v>52.300473217776535</v>
      </c>
      <c r="BE334" s="7">
        <f>[1]节奏总纲!BE334</f>
        <v>57.027529471561998</v>
      </c>
    </row>
    <row r="335" spans="29:57" s="2" customFormat="1" x14ac:dyDescent="0.15">
      <c r="AC335" s="2">
        <v>332</v>
      </c>
      <c r="AD335" s="7">
        <f>[1]节奏总纲!AD335</f>
        <v>83.788072435813689</v>
      </c>
      <c r="AE335" s="7">
        <f>[1]节奏总纲!AE335</f>
        <v>85.910179979146861</v>
      </c>
      <c r="AF335" s="7">
        <f>[1]节奏总纲!AF335</f>
        <v>88.969406151283977</v>
      </c>
      <c r="AG335" s="7">
        <f>[1]节奏总纲!AG335</f>
        <v>93.966628571759841</v>
      </c>
      <c r="AH335" s="7">
        <f>[1]节奏总纲!AH335</f>
        <v>102.82786666236686</v>
      </c>
      <c r="AJ335" s="1"/>
      <c r="AR335" s="3"/>
      <c r="AY335" s="3"/>
      <c r="AZ335" s="2">
        <v>332</v>
      </c>
      <c r="BA335" s="7">
        <f>[1]节奏总纲!BA335</f>
        <v>46.118298087498509</v>
      </c>
      <c r="BB335" s="7">
        <f>[1]节奏总纲!BB335</f>
        <v>47.619147546450023</v>
      </c>
      <c r="BC335" s="7">
        <f>[1]节奏总纲!BC335</f>
        <v>49.567487526707502</v>
      </c>
      <c r="BD335" s="7">
        <f>[1]节奏总纲!BD335</f>
        <v>52.320426558572585</v>
      </c>
      <c r="BE335" s="7">
        <f>[1]节奏总纲!BE335</f>
        <v>57.046713351915365</v>
      </c>
    </row>
    <row r="336" spans="29:57" s="2" customFormat="1" x14ac:dyDescent="0.15">
      <c r="AC336" s="2">
        <v>333</v>
      </c>
      <c r="AD336" s="7">
        <f>[1]节奏总纲!AD336</f>
        <v>83.832279038242305</v>
      </c>
      <c r="AE336" s="7">
        <f>[1]节奏总纲!AE336</f>
        <v>85.955062395728859</v>
      </c>
      <c r="AF336" s="7">
        <f>[1]节奏总纲!AF336</f>
        <v>89.018466905731287</v>
      </c>
      <c r="AG336" s="7">
        <f>[1]节奏总纲!AG336</f>
        <v>94.012923283729691</v>
      </c>
      <c r="AH336" s="7">
        <f>[1]节奏总纲!AH336</f>
        <v>102.87276490110824</v>
      </c>
      <c r="AJ336" s="1"/>
      <c r="AR336" s="3"/>
      <c r="AY336" s="3"/>
      <c r="AZ336" s="2">
        <v>333</v>
      </c>
      <c r="BA336" s="7">
        <f>[1]节奏总纲!BA336</f>
        <v>46.137562130317242</v>
      </c>
      <c r="BB336" s="7">
        <f>[1]节奏总纲!BB336</f>
        <v>47.639935084772922</v>
      </c>
      <c r="BC336" s="7">
        <f>[1]节奏总纲!BC336</f>
        <v>49.588147305704041</v>
      </c>
      <c r="BD336" s="7">
        <f>[1]节奏总纲!BD336</f>
        <v>52.340379899368628</v>
      </c>
      <c r="BE336" s="7">
        <f>[1]节奏总纲!BE336</f>
        <v>57.065897232268732</v>
      </c>
    </row>
    <row r="337" spans="29:57" s="2" customFormat="1" x14ac:dyDescent="0.15">
      <c r="AC337" s="2">
        <v>334</v>
      </c>
      <c r="AD337" s="7">
        <f>[1]节奏总纲!AD337</f>
        <v>83.876485640670907</v>
      </c>
      <c r="AE337" s="7">
        <f>[1]节奏总纲!AE337</f>
        <v>85.999944812310858</v>
      </c>
      <c r="AF337" s="7">
        <f>[1]节奏总纲!AF337</f>
        <v>89.064934410075779</v>
      </c>
      <c r="AG337" s="7">
        <f>[1]节奏总纲!AG337</f>
        <v>94.057003939090123</v>
      </c>
      <c r="AH337" s="7">
        <f>[1]节奏总纲!AH337</f>
        <v>102.91766313984962</v>
      </c>
      <c r="AJ337" s="1"/>
      <c r="AR337" s="3"/>
      <c r="AY337" s="3"/>
      <c r="AZ337" s="2">
        <v>334</v>
      </c>
      <c r="BA337" s="7">
        <f>[1]节奏总纲!BA337</f>
        <v>46.156826173135968</v>
      </c>
      <c r="BB337" s="7">
        <f>[1]节奏总纲!BB337</f>
        <v>47.660722623095815</v>
      </c>
      <c r="BC337" s="7">
        <f>[1]节奏总纲!BC337</f>
        <v>49.608807084700572</v>
      </c>
      <c r="BD337" s="7">
        <f>[1]节奏总纲!BD337</f>
        <v>52.360333240164678</v>
      </c>
      <c r="BE337" s="7">
        <f>[1]节奏总纲!BE337</f>
        <v>57.085081112622099</v>
      </c>
    </row>
    <row r="338" spans="29:57" s="2" customFormat="1" x14ac:dyDescent="0.15">
      <c r="AC338" s="2">
        <v>335</v>
      </c>
      <c r="AD338" s="7">
        <f>[1]节奏总纲!AD338</f>
        <v>83.920692243099523</v>
      </c>
      <c r="AE338" s="7">
        <f>[1]节奏总纲!AE338</f>
        <v>86.041129946887025</v>
      </c>
      <c r="AF338" s="7">
        <f>[1]节奏总纲!AF338</f>
        <v>89.11140191442027</v>
      </c>
      <c r="AG338" s="7">
        <f>[1]节奏总纲!AG338</f>
        <v>94.101084594450555</v>
      </c>
      <c r="AH338" s="7">
        <f>[1]节奏总纲!AH338</f>
        <v>102.962561378591</v>
      </c>
      <c r="AJ338" s="1"/>
      <c r="AR338" s="3"/>
      <c r="AY338" s="3"/>
      <c r="AZ338" s="2">
        <v>335</v>
      </c>
      <c r="BA338" s="7">
        <f>[1]节奏总纲!BA338</f>
        <v>46.176090215954694</v>
      </c>
      <c r="BB338" s="7">
        <f>[1]节奏总纲!BB338</f>
        <v>47.681510161418707</v>
      </c>
      <c r="BC338" s="7">
        <f>[1]节奏总纲!BC338</f>
        <v>49.629466863697111</v>
      </c>
      <c r="BD338" s="7">
        <f>[1]节奏总纲!BD338</f>
        <v>52.380286580960728</v>
      </c>
      <c r="BE338" s="7">
        <f>[1]节奏总纲!BE338</f>
        <v>57.104264992975466</v>
      </c>
    </row>
    <row r="339" spans="29:57" s="2" customFormat="1" x14ac:dyDescent="0.15">
      <c r="AC339" s="2">
        <v>336</v>
      </c>
      <c r="AD339" s="7">
        <f>[1]节奏总纲!AD339</f>
        <v>83.964898845528126</v>
      </c>
      <c r="AE339" s="7">
        <f>[1]节奏总纲!AE339</f>
        <v>86.082310529666103</v>
      </c>
      <c r="AF339" s="7">
        <f>[1]节奏总纲!AF339</f>
        <v>89.157869418764761</v>
      </c>
      <c r="AG339" s="7">
        <f>[1]节奏总纲!AG339</f>
        <v>94.145165249810972</v>
      </c>
      <c r="AH339" s="7">
        <f>[1]节奏总纲!AH339</f>
        <v>103.00673656424885</v>
      </c>
      <c r="AJ339" s="1"/>
      <c r="AR339" s="3"/>
      <c r="AY339" s="3"/>
      <c r="AZ339" s="2">
        <v>336</v>
      </c>
      <c r="BA339" s="7">
        <f>[1]节奏总纲!BA339</f>
        <v>46.19535425877342</v>
      </c>
      <c r="BB339" s="7">
        <f>[1]节奏总纲!BB339</f>
        <v>47.7022976997416</v>
      </c>
      <c r="BC339" s="7">
        <f>[1]节奏总纲!BC339</f>
        <v>49.65012664269365</v>
      </c>
      <c r="BD339" s="7">
        <f>[1]节奏总纲!BD339</f>
        <v>52.400239921756771</v>
      </c>
      <c r="BE339" s="7">
        <f>[1]节奏总纲!BE339</f>
        <v>57.123448873328833</v>
      </c>
    </row>
    <row r="340" spans="29:57" s="2" customFormat="1" x14ac:dyDescent="0.15">
      <c r="AC340" s="2">
        <v>337</v>
      </c>
      <c r="AD340" s="7">
        <f>[1]节奏总纲!AD340</f>
        <v>84.008495683346354</v>
      </c>
      <c r="AE340" s="7">
        <f>[1]节奏总纲!AE340</f>
        <v>86.12349111244518</v>
      </c>
      <c r="AF340" s="7">
        <f>[1]节奏总纲!AF340</f>
        <v>89.204336923109267</v>
      </c>
      <c r="AG340" s="7">
        <f>[1]节奏总纲!AG340</f>
        <v>94.189245905171404</v>
      </c>
      <c r="AH340" s="7">
        <f>[1]节奏总纲!AH340</f>
        <v>103.04728286259964</v>
      </c>
      <c r="AJ340" s="1"/>
      <c r="AR340" s="3"/>
      <c r="AY340" s="3"/>
      <c r="AZ340" s="2">
        <v>337</v>
      </c>
      <c r="BA340" s="7">
        <f>[1]节奏总纲!BA340</f>
        <v>46.214618301592147</v>
      </c>
      <c r="BB340" s="7">
        <f>[1]节奏总纲!BB340</f>
        <v>47.723085238064499</v>
      </c>
      <c r="BC340" s="7">
        <f>[1]节奏总纲!BC340</f>
        <v>49.670786421690188</v>
      </c>
      <c r="BD340" s="7">
        <f>[1]节奏总纲!BD340</f>
        <v>52.420193262552822</v>
      </c>
      <c r="BE340" s="7">
        <f>[1]节奏总纲!BE340</f>
        <v>57.1426327536822</v>
      </c>
    </row>
    <row r="341" spans="29:57" s="2" customFormat="1" x14ac:dyDescent="0.15">
      <c r="AC341" s="2">
        <v>338</v>
      </c>
      <c r="AD341" s="7">
        <f>[1]节奏总纲!AD341</f>
        <v>84.049741901856009</v>
      </c>
      <c r="AE341" s="7">
        <f>[1]节奏总纲!AE341</f>
        <v>86.164671695224243</v>
      </c>
      <c r="AF341" s="7">
        <f>[1]节奏总纲!AF341</f>
        <v>89.250804427453758</v>
      </c>
      <c r="AG341" s="7">
        <f>[1]节奏总纲!AG341</f>
        <v>94.233326560531836</v>
      </c>
      <c r="AH341" s="7">
        <f>[1]节奏总纲!AH341</f>
        <v>103.08782916095045</v>
      </c>
      <c r="AJ341" s="1"/>
      <c r="AR341" s="3"/>
      <c r="AY341" s="3"/>
      <c r="AZ341" s="2">
        <v>338</v>
      </c>
      <c r="BA341" s="7">
        <f>[1]节奏总纲!BA341</f>
        <v>46.23388234441088</v>
      </c>
      <c r="BB341" s="7">
        <f>[1]节奏总纲!BB341</f>
        <v>47.743872776387391</v>
      </c>
      <c r="BC341" s="7">
        <f>[1]节奏总纲!BC341</f>
        <v>49.69144620068672</v>
      </c>
      <c r="BD341" s="7">
        <f>[1]节奏总纲!BD341</f>
        <v>52.440146603348865</v>
      </c>
      <c r="BE341" s="7">
        <f>[1]节奏总纲!BE341</f>
        <v>57.161816634035567</v>
      </c>
    </row>
    <row r="342" spans="29:57" s="2" customFormat="1" x14ac:dyDescent="0.15">
      <c r="AC342" s="2">
        <v>339</v>
      </c>
      <c r="AD342" s="7">
        <f>[1]节奏总纲!AD342</f>
        <v>84.090988120365651</v>
      </c>
      <c r="AE342" s="7">
        <f>[1]节奏总纲!AE342</f>
        <v>86.20585227800332</v>
      </c>
      <c r="AF342" s="7">
        <f>[1]节奏总纲!AF342</f>
        <v>89.29727193179825</v>
      </c>
      <c r="AG342" s="7">
        <f>[1]节奏总纲!AG342</f>
        <v>94.277407215892268</v>
      </c>
      <c r="AH342" s="7">
        <f>[1]节奏总纲!AH342</f>
        <v>103.12837545930124</v>
      </c>
      <c r="AJ342" s="1"/>
      <c r="AR342" s="3"/>
      <c r="AY342" s="3"/>
      <c r="AZ342" s="2">
        <v>339</v>
      </c>
      <c r="BA342" s="7">
        <f>[1]节奏总纲!BA342</f>
        <v>46.253146387229606</v>
      </c>
      <c r="BB342" s="7">
        <f>[1]节奏总纲!BB342</f>
        <v>47.764660314710284</v>
      </c>
      <c r="BC342" s="7">
        <f>[1]节奏总纲!BC342</f>
        <v>49.712105979683258</v>
      </c>
      <c r="BD342" s="7">
        <f>[1]节奏总纲!BD342</f>
        <v>52.460099944144915</v>
      </c>
      <c r="BE342" s="7">
        <f>[1]节奏总纲!BE342</f>
        <v>57.181000514388934</v>
      </c>
    </row>
    <row r="343" spans="29:57" s="2" customFormat="1" x14ac:dyDescent="0.15">
      <c r="AC343" s="2">
        <v>340</v>
      </c>
      <c r="AD343" s="7">
        <f>[1]节奏总纲!AD343</f>
        <v>84.132234338875293</v>
      </c>
      <c r="AE343" s="7">
        <f>[1]节奏总纲!AE343</f>
        <v>86.247032860782397</v>
      </c>
      <c r="AF343" s="7">
        <f>[1]节奏总纲!AF343</f>
        <v>89.343739436142741</v>
      </c>
      <c r="AG343" s="7">
        <f>[1]节奏总纲!AG343</f>
        <v>94.3214878712527</v>
      </c>
      <c r="AH343" s="7">
        <f>[1]节奏总纲!AH343</f>
        <v>103.16892175765203</v>
      </c>
      <c r="AJ343" s="1"/>
      <c r="AR343" s="3"/>
      <c r="AY343" s="3"/>
      <c r="AZ343" s="2">
        <v>340</v>
      </c>
      <c r="BA343" s="7">
        <f>[1]节奏总纲!BA343</f>
        <v>46.272410430048332</v>
      </c>
      <c r="BB343" s="7">
        <f>[1]节奏总纲!BB343</f>
        <v>47.785447853033176</v>
      </c>
      <c r="BC343" s="7">
        <f>[1]节奏总纲!BC343</f>
        <v>49.732765758679797</v>
      </c>
      <c r="BD343" s="7">
        <f>[1]节奏总纲!BD343</f>
        <v>52.480053284940965</v>
      </c>
      <c r="BE343" s="7">
        <f>[1]节奏总纲!BE343</f>
        <v>57.200184394742301</v>
      </c>
    </row>
    <row r="344" spans="29:57" s="2" customFormat="1" x14ac:dyDescent="0.15">
      <c r="AC344" s="2">
        <v>341</v>
      </c>
      <c r="AD344" s="7">
        <f>[1]节奏总纲!AD344</f>
        <v>84.173480557384934</v>
      </c>
      <c r="AE344" s="7">
        <f>[1]节奏总纲!AE344</f>
        <v>86.288213443561474</v>
      </c>
      <c r="AF344" s="7">
        <f>[1]节奏总纲!AF344</f>
        <v>89.390206940487232</v>
      </c>
      <c r="AG344" s="7">
        <f>[1]节奏总纲!AG344</f>
        <v>94.365568526613131</v>
      </c>
      <c r="AH344" s="7">
        <f>[1]节奏总纲!AH344</f>
        <v>103.20946805600283</v>
      </c>
      <c r="AJ344" s="1"/>
      <c r="AR344" s="3"/>
      <c r="AY344" s="3"/>
      <c r="AZ344" s="2">
        <v>341</v>
      </c>
      <c r="BA344" s="7">
        <f>[1]节奏总纲!BA344</f>
        <v>46.291674472867058</v>
      </c>
      <c r="BB344" s="7">
        <f>[1]节奏总纲!BB344</f>
        <v>47.806235391356068</v>
      </c>
      <c r="BC344" s="7">
        <f>[1]节奏总纲!BC344</f>
        <v>49.753425537676335</v>
      </c>
      <c r="BD344" s="7">
        <f>[1]节奏总纲!BD344</f>
        <v>52.500006625737008</v>
      </c>
      <c r="BE344" s="7">
        <f>[1]节奏总纲!BE344</f>
        <v>57.219368275095675</v>
      </c>
    </row>
    <row r="345" spans="29:57" s="2" customFormat="1" x14ac:dyDescent="0.15">
      <c r="AC345" s="2">
        <v>342</v>
      </c>
      <c r="AD345" s="7">
        <f>[1]节奏总纲!AD345</f>
        <v>84.214726775894576</v>
      </c>
      <c r="AE345" s="7">
        <f>[1]节奏总纲!AE345</f>
        <v>86.329394026340537</v>
      </c>
      <c r="AF345" s="7">
        <f>[1]节奏总纲!AF345</f>
        <v>89.436674444831723</v>
      </c>
      <c r="AG345" s="7">
        <f>[1]节奏总纲!AG345</f>
        <v>94.409649181973549</v>
      </c>
      <c r="AH345" s="7">
        <f>[1]节奏总纲!AH345</f>
        <v>103.25001435435362</v>
      </c>
      <c r="AJ345" s="1"/>
      <c r="AR345" s="3"/>
      <c r="AY345" s="3"/>
      <c r="AZ345" s="2">
        <v>342</v>
      </c>
      <c r="BA345" s="7">
        <f>[1]节奏总纲!BA345</f>
        <v>46.310938515685784</v>
      </c>
      <c r="BB345" s="7">
        <f>[1]节奏总纲!BB345</f>
        <v>47.827022929678968</v>
      </c>
      <c r="BC345" s="7">
        <f>[1]节奏总纲!BC345</f>
        <v>49.774085316672867</v>
      </c>
      <c r="BD345" s="7">
        <f>[1]节奏总纲!BD345</f>
        <v>52.519959966533058</v>
      </c>
      <c r="BE345" s="7">
        <f>[1]节奏总纲!BE345</f>
        <v>57.238552155449042</v>
      </c>
    </row>
    <row r="346" spans="29:57" s="2" customFormat="1" x14ac:dyDescent="0.15">
      <c r="AC346" s="2">
        <v>343</v>
      </c>
      <c r="AD346" s="7">
        <f>[1]节奏总纲!AD346</f>
        <v>84.255972994404218</v>
      </c>
      <c r="AE346" s="7">
        <f>[1]节奏总纲!AE346</f>
        <v>86.370574609119615</v>
      </c>
      <c r="AF346" s="7">
        <f>[1]节奏总纲!AF346</f>
        <v>89.483141949176215</v>
      </c>
      <c r="AG346" s="7">
        <f>[1]节奏总纲!AG346</f>
        <v>94.453729837333981</v>
      </c>
      <c r="AH346" s="7">
        <f>[1]节奏总纲!AH346</f>
        <v>103.29056065270443</v>
      </c>
      <c r="AJ346" s="1"/>
      <c r="AR346" s="3"/>
      <c r="AY346" s="3"/>
      <c r="AZ346" s="2">
        <v>343</v>
      </c>
      <c r="BA346" s="7">
        <f>[1]节奏总纲!BA346</f>
        <v>46.330202558504517</v>
      </c>
      <c r="BB346" s="7">
        <f>[1]节奏总纲!BB346</f>
        <v>47.84781046800186</v>
      </c>
      <c r="BC346" s="7">
        <f>[1]节奏总纲!BC346</f>
        <v>49.794745095669406</v>
      </c>
      <c r="BD346" s="7">
        <f>[1]节奏总纲!BD346</f>
        <v>52.539913307329101</v>
      </c>
      <c r="BE346" s="7">
        <f>[1]节奏总纲!BE346</f>
        <v>57.257736035802409</v>
      </c>
    </row>
    <row r="347" spans="29:57" s="2" customFormat="1" x14ac:dyDescent="0.15">
      <c r="AC347" s="2">
        <v>344</v>
      </c>
      <c r="AD347" s="7">
        <f>[1]节奏总纲!AD347</f>
        <v>84.297219212913859</v>
      </c>
      <c r="AE347" s="7">
        <f>[1]节奏总纲!AE347</f>
        <v>86.411755191898692</v>
      </c>
      <c r="AF347" s="7">
        <f>[1]节奏总纲!AF347</f>
        <v>89.529609453520706</v>
      </c>
      <c r="AG347" s="7">
        <f>[1]节奏总纲!AG347</f>
        <v>94.497810492694413</v>
      </c>
      <c r="AH347" s="7">
        <f>[1]节奏总纲!AH347</f>
        <v>103.33110695105522</v>
      </c>
      <c r="AJ347" s="1"/>
      <c r="AR347" s="3"/>
      <c r="AY347" s="3"/>
      <c r="AZ347" s="2">
        <v>344</v>
      </c>
      <c r="BA347" s="7">
        <f>[1]节奏总纲!BA347</f>
        <v>46.349466601323243</v>
      </c>
      <c r="BB347" s="7">
        <f>[1]节奏总纲!BB347</f>
        <v>47.868598006324753</v>
      </c>
      <c r="BC347" s="7">
        <f>[1]节奏总纲!BC347</f>
        <v>49.815404874665944</v>
      </c>
      <c r="BD347" s="7">
        <f>[1]节奏总纲!BD347</f>
        <v>52.559866648125151</v>
      </c>
      <c r="BE347" s="7">
        <f>[1]节奏总纲!BE347</f>
        <v>57.276919916155776</v>
      </c>
    </row>
    <row r="348" spans="29:57" s="2" customFormat="1" x14ac:dyDescent="0.15">
      <c r="AC348" s="2">
        <v>345</v>
      </c>
      <c r="AD348" s="7">
        <f>[1]节奏总纲!AD348</f>
        <v>84.338465431423501</v>
      </c>
      <c r="AE348" s="7">
        <f>[1]节奏总纲!AE348</f>
        <v>86.452935774677769</v>
      </c>
      <c r="AF348" s="7">
        <f>[1]节奏总纲!AF348</f>
        <v>89.576076957865197</v>
      </c>
      <c r="AG348" s="7">
        <f>[1]节奏总纲!AG348</f>
        <v>94.541891148054845</v>
      </c>
      <c r="AH348" s="7">
        <f>[1]节奏总纲!AH348</f>
        <v>103.37165324940601</v>
      </c>
      <c r="AJ348" s="1"/>
      <c r="AR348" s="3"/>
      <c r="AY348" s="3"/>
      <c r="AZ348" s="2">
        <v>345</v>
      </c>
      <c r="BA348" s="7">
        <f>[1]节奏总纲!BA348</f>
        <v>46.368730644141969</v>
      </c>
      <c r="BB348" s="7">
        <f>[1]节奏总纲!BB348</f>
        <v>47.889385544647645</v>
      </c>
      <c r="BC348" s="7">
        <f>[1]节奏总纲!BC348</f>
        <v>49.836064653662483</v>
      </c>
      <c r="BD348" s="7">
        <f>[1]节奏总纲!BD348</f>
        <v>52.579819988921201</v>
      </c>
      <c r="BE348" s="7">
        <f>[1]节奏总纲!BE348</f>
        <v>57.296103796509144</v>
      </c>
    </row>
    <row r="349" spans="29:57" s="2" customFormat="1" x14ac:dyDescent="0.15">
      <c r="AC349" s="2">
        <v>346</v>
      </c>
      <c r="AD349" s="7">
        <f>[1]节奏总纲!AD349</f>
        <v>84.379711649933142</v>
      </c>
      <c r="AE349" s="7">
        <f>[1]节奏总纲!AE349</f>
        <v>86.494116357456846</v>
      </c>
      <c r="AF349" s="7">
        <f>[1]节奏总纲!AF349</f>
        <v>89.622544462209689</v>
      </c>
      <c r="AG349" s="7">
        <f>[1]节奏总纲!AG349</f>
        <v>94.585971803415276</v>
      </c>
      <c r="AH349" s="7">
        <f>[1]节奏总纲!AH349</f>
        <v>103.41219954775681</v>
      </c>
      <c r="AJ349" s="1"/>
      <c r="AR349" s="3"/>
      <c r="AY349" s="3"/>
      <c r="AZ349" s="2">
        <v>346</v>
      </c>
      <c r="BA349" s="7">
        <f>[1]节奏总纲!BA349</f>
        <v>46.387994686960695</v>
      </c>
      <c r="BB349" s="7">
        <f>[1]节奏总纲!BB349</f>
        <v>47.910173082970537</v>
      </c>
      <c r="BC349" s="7">
        <f>[1]节奏总纲!BC349</f>
        <v>49.856724432659014</v>
      </c>
      <c r="BD349" s="7">
        <f>[1]节奏总纲!BD349</f>
        <v>52.599773329717245</v>
      </c>
      <c r="BE349" s="7">
        <f>[1]节奏总纲!BE349</f>
        <v>57.315287676862511</v>
      </c>
    </row>
    <row r="350" spans="29:57" s="2" customFormat="1" x14ac:dyDescent="0.15">
      <c r="AC350" s="2">
        <v>347</v>
      </c>
      <c r="AD350" s="7">
        <f>[1]节奏总纲!AD350</f>
        <v>84.420957868442784</v>
      </c>
      <c r="AE350" s="7">
        <f>[1]节奏总纲!AE350</f>
        <v>86.535296940235909</v>
      </c>
      <c r="AF350" s="7">
        <f>[1]节奏总纲!AF350</f>
        <v>89.66901196655418</v>
      </c>
      <c r="AG350" s="7">
        <f>[1]节奏总纲!AG350</f>
        <v>94.630052458775694</v>
      </c>
      <c r="AH350" s="7">
        <f>[1]节奏总纲!AH350</f>
        <v>103.4527458461076</v>
      </c>
      <c r="AJ350" s="1"/>
      <c r="AR350" s="3"/>
      <c r="AY350" s="3"/>
      <c r="AZ350" s="2">
        <v>347</v>
      </c>
      <c r="BA350" s="7">
        <f>[1]节奏总纲!BA350</f>
        <v>46.407258729779421</v>
      </c>
      <c r="BB350" s="7">
        <f>[1]节奏总纲!BB350</f>
        <v>47.930960621293437</v>
      </c>
      <c r="BC350" s="7">
        <f>[1]节奏总纲!BC350</f>
        <v>49.877384211655553</v>
      </c>
      <c r="BD350" s="7">
        <f>[1]节奏总纲!BD350</f>
        <v>52.619726670513295</v>
      </c>
      <c r="BE350" s="7">
        <f>[1]节奏总纲!BE350</f>
        <v>57.334471557215878</v>
      </c>
    </row>
    <row r="351" spans="29:57" s="2" customFormat="1" x14ac:dyDescent="0.15">
      <c r="AC351" s="2">
        <v>348</v>
      </c>
      <c r="AD351" s="7">
        <f>[1]节奏总纲!AD351</f>
        <v>84.462204086952426</v>
      </c>
      <c r="AE351" s="7">
        <f>[1]节奏总纲!AE351</f>
        <v>86.576477523014987</v>
      </c>
      <c r="AF351" s="7">
        <f>[1]节奏总纲!AF351</f>
        <v>89.715479470898671</v>
      </c>
      <c r="AG351" s="7">
        <f>[1]节奏总纲!AG351</f>
        <v>94.674133114136126</v>
      </c>
      <c r="AH351" s="7">
        <f>[1]节奏总纲!AH351</f>
        <v>103.49329214445841</v>
      </c>
      <c r="AJ351" s="1"/>
      <c r="AR351" s="3"/>
      <c r="AY351" s="3"/>
      <c r="AZ351" s="2">
        <v>348</v>
      </c>
      <c r="BA351" s="7">
        <f>[1]节奏总纲!BA351</f>
        <v>46.426522772598148</v>
      </c>
      <c r="BB351" s="7">
        <f>[1]节奏总纲!BB351</f>
        <v>47.951748159616329</v>
      </c>
      <c r="BC351" s="7">
        <f>[1]节奏总纲!BC351</f>
        <v>49.898043990652091</v>
      </c>
      <c r="BD351" s="7">
        <f>[1]节奏总纲!BD351</f>
        <v>52.639680011309345</v>
      </c>
      <c r="BE351" s="7">
        <f>[1]节奏总纲!BE351</f>
        <v>57.353655437569245</v>
      </c>
    </row>
    <row r="352" spans="29:57" s="2" customFormat="1" x14ac:dyDescent="0.15">
      <c r="AC352" s="2">
        <v>349</v>
      </c>
      <c r="AD352" s="7">
        <f>[1]节奏总纲!AD352</f>
        <v>84.503450305462081</v>
      </c>
      <c r="AE352" s="7">
        <f>[1]节奏总纲!AE352</f>
        <v>86.617658105794064</v>
      </c>
      <c r="AF352" s="7">
        <f>[1]节奏总纲!AF352</f>
        <v>89.761946975243163</v>
      </c>
      <c r="AG352" s="7">
        <f>[1]节奏总纲!AG352</f>
        <v>94.718213769496558</v>
      </c>
      <c r="AH352" s="7">
        <f>[1]节奏总纲!AH352</f>
        <v>103.5338384428092</v>
      </c>
      <c r="AJ352" s="1"/>
      <c r="AR352" s="3"/>
      <c r="AY352" s="3"/>
      <c r="AZ352" s="2">
        <v>349</v>
      </c>
      <c r="BA352" s="7">
        <f>[1]节奏总纲!BA352</f>
        <v>46.445786815416881</v>
      </c>
      <c r="BB352" s="7">
        <f>[1]节奏总纲!BB352</f>
        <v>47.972535697939222</v>
      </c>
      <c r="BC352" s="7">
        <f>[1]节奏总纲!BC352</f>
        <v>49.91870376964863</v>
      </c>
      <c r="BD352" s="7">
        <f>[1]节奏总纲!BD352</f>
        <v>52.659633352105388</v>
      </c>
      <c r="BE352" s="7">
        <f>[1]节奏总纲!BE352</f>
        <v>57.372839317922612</v>
      </c>
    </row>
    <row r="353" spans="29:57" s="2" customFormat="1" x14ac:dyDescent="0.15">
      <c r="AC353" s="2">
        <v>350</v>
      </c>
      <c r="AD353" s="7">
        <f>[1]节奏总纲!AD353</f>
        <v>84.544696523971723</v>
      </c>
      <c r="AE353" s="7">
        <f>[1]节奏总纲!AE353</f>
        <v>86.658838688573141</v>
      </c>
      <c r="AF353" s="7">
        <f>[1]节奏总纲!AF353</f>
        <v>89.808414479587654</v>
      </c>
      <c r="AG353" s="7">
        <f>[1]节奏总纲!AG353</f>
        <v>94.762294424856989</v>
      </c>
      <c r="AH353" s="7">
        <f>[1]节奏总纲!AH353</f>
        <v>103.57438474115999</v>
      </c>
      <c r="AJ353" s="1"/>
      <c r="AR353" s="3"/>
      <c r="AY353" s="3"/>
      <c r="AZ353" s="2">
        <v>350</v>
      </c>
      <c r="BA353" s="7">
        <f>[1]节奏总纲!BA353</f>
        <v>46.465050858235607</v>
      </c>
      <c r="BB353" s="7">
        <f>[1]节奏总纲!BB353</f>
        <v>47.993323236262114</v>
      </c>
      <c r="BC353" s="7">
        <f>[1]节奏总纲!BC353</f>
        <v>49.939363548645169</v>
      </c>
      <c r="BD353" s="7">
        <f>[1]节奏总纲!BD353</f>
        <v>52.679586692901438</v>
      </c>
      <c r="BE353" s="7">
        <f>[1]节奏总纲!BE353</f>
        <v>57.392023198275979</v>
      </c>
    </row>
    <row r="354" spans="29:57" s="2" customFormat="1" x14ac:dyDescent="0.15">
      <c r="AC354" s="2">
        <v>351</v>
      </c>
      <c r="AD354" s="7">
        <f>[1]节奏总纲!AD354</f>
        <v>84.585942742481365</v>
      </c>
      <c r="AE354" s="7">
        <f>[1]节奏总纲!AE354</f>
        <v>86.700019271352204</v>
      </c>
      <c r="AF354" s="7">
        <f>[1]节奏总纲!AF354</f>
        <v>89.854881983932145</v>
      </c>
      <c r="AG354" s="7">
        <f>[1]节奏总纲!AG354</f>
        <v>94.806375080217421</v>
      </c>
      <c r="AH354" s="7">
        <f>[1]节奏总纲!AH354</f>
        <v>103.61493103951079</v>
      </c>
      <c r="AJ354" s="1"/>
      <c r="AR354" s="3"/>
      <c r="AY354" s="3"/>
      <c r="AZ354" s="2">
        <v>351</v>
      </c>
      <c r="BA354" s="7">
        <f>[1]节奏总纲!BA354</f>
        <v>46.484314901054333</v>
      </c>
      <c r="BB354" s="7">
        <f>[1]节奏总纲!BB354</f>
        <v>48.012182251254622</v>
      </c>
      <c r="BC354" s="7">
        <f>[1]节奏总纲!BC354</f>
        <v>49.9600233276417</v>
      </c>
      <c r="BD354" s="7">
        <f>[1]节奏总纲!BD354</f>
        <v>52.699540033697481</v>
      </c>
      <c r="BE354" s="7">
        <f>[1]节奏总纲!BE354</f>
        <v>57.411207078629346</v>
      </c>
    </row>
    <row r="355" spans="29:57" s="2" customFormat="1" x14ac:dyDescent="0.15">
      <c r="AC355" s="2">
        <v>352</v>
      </c>
      <c r="AD355" s="7">
        <f>[1]节奏总纲!AD355</f>
        <v>84.627188960991006</v>
      </c>
      <c r="AE355" s="7">
        <f>[1]节奏总纲!AE355</f>
        <v>86.741199854131281</v>
      </c>
      <c r="AF355" s="7">
        <f>[1]节奏总纲!AF355</f>
        <v>89.901349488276637</v>
      </c>
      <c r="AG355" s="7">
        <f>[1]节奏总纲!AG355</f>
        <v>94.850455735577853</v>
      </c>
      <c r="AH355" s="7">
        <f>[1]节奏总纲!AH355</f>
        <v>103.65547733786158</v>
      </c>
      <c r="AJ355" s="1"/>
      <c r="AR355" s="3"/>
      <c r="AY355" s="3"/>
      <c r="AZ355" s="2">
        <v>352</v>
      </c>
      <c r="BA355" s="7">
        <f>[1]节奏总纲!BA355</f>
        <v>46.503578943873059</v>
      </c>
      <c r="BB355" s="7">
        <f>[1]节奏总纲!BB355</f>
        <v>48.030128751164234</v>
      </c>
      <c r="BC355" s="7">
        <f>[1]节奏总纲!BC355</f>
        <v>49.980683106638239</v>
      </c>
      <c r="BD355" s="7">
        <f>[1]节奏总纲!BD355</f>
        <v>52.719493374493531</v>
      </c>
      <c r="BE355" s="7">
        <f>[1]节奏总纲!BE355</f>
        <v>57.430390958982713</v>
      </c>
    </row>
    <row r="356" spans="29:57" s="2" customFormat="1" x14ac:dyDescent="0.15">
      <c r="AC356" s="2">
        <v>353</v>
      </c>
      <c r="AD356" s="7">
        <f>[1]节奏总纲!AD356</f>
        <v>84.668435179500648</v>
      </c>
      <c r="AE356" s="7">
        <f>[1]节奏总纲!AE356</f>
        <v>86.782380436910358</v>
      </c>
      <c r="AF356" s="7">
        <f>[1]节奏总纲!AF356</f>
        <v>89.947816992621142</v>
      </c>
      <c r="AG356" s="7">
        <f>[1]节奏总纲!AG356</f>
        <v>94.894536390938271</v>
      </c>
      <c r="AH356" s="7">
        <f>[1]节奏总纲!AH356</f>
        <v>103.69602363621237</v>
      </c>
      <c r="AJ356" s="1"/>
      <c r="AR356" s="3"/>
      <c r="AY356" s="3"/>
      <c r="AZ356" s="2">
        <v>353</v>
      </c>
      <c r="BA356" s="7">
        <f>[1]节奏总纲!BA356</f>
        <v>46.522842986691785</v>
      </c>
      <c r="BB356" s="7">
        <f>[1]节奏总纲!BB356</f>
        <v>48.048075251073854</v>
      </c>
      <c r="BC356" s="7">
        <f>[1]节奏总纲!BC356</f>
        <v>50.00115951426713</v>
      </c>
      <c r="BD356" s="7">
        <f>[1]节奏总纲!BD356</f>
        <v>52.739446715289581</v>
      </c>
      <c r="BE356" s="7">
        <f>[1]节奏总纲!BE356</f>
        <v>57.44957483933608</v>
      </c>
    </row>
    <row r="357" spans="29:57" s="2" customFormat="1" x14ac:dyDescent="0.15">
      <c r="AC357" s="2">
        <v>354</v>
      </c>
      <c r="AD357" s="7">
        <f>[1]节奏总纲!AD357</f>
        <v>84.709681398010289</v>
      </c>
      <c r="AE357" s="7">
        <f>[1]节奏总纲!AE357</f>
        <v>86.823561019689436</v>
      </c>
      <c r="AF357" s="7">
        <f>[1]节奏总纲!AF357</f>
        <v>89.994284496965633</v>
      </c>
      <c r="AG357" s="7">
        <f>[1]节奏总纲!AG357</f>
        <v>94.938617046298702</v>
      </c>
      <c r="AH357" s="7">
        <f>[1]节奏总纲!AH357</f>
        <v>103.73656993456318</v>
      </c>
      <c r="AJ357" s="1"/>
      <c r="AR357" s="3"/>
      <c r="AY357" s="3"/>
      <c r="AZ357" s="2">
        <v>354</v>
      </c>
      <c r="BA357" s="7">
        <f>[1]节奏总纲!BA357</f>
        <v>46.542107029510518</v>
      </c>
      <c r="BB357" s="7">
        <f>[1]节奏总纲!BB357</f>
        <v>48.066021750983474</v>
      </c>
      <c r="BC357" s="7">
        <f>[1]节奏总纲!BC357</f>
        <v>50.018998195299922</v>
      </c>
      <c r="BD357" s="7">
        <f>[1]节奏总纲!BD357</f>
        <v>52.759400056085624</v>
      </c>
      <c r="BE357" s="7">
        <f>[1]节奏总纲!BE357</f>
        <v>57.468758719689447</v>
      </c>
    </row>
    <row r="358" spans="29:57" s="2" customFormat="1" x14ac:dyDescent="0.15">
      <c r="AC358" s="2">
        <v>355</v>
      </c>
      <c r="AD358" s="7">
        <f>[1]节奏总纲!AD358</f>
        <v>84.750927616519931</v>
      </c>
      <c r="AE358" s="7">
        <f>[1]节奏总纲!AE358</f>
        <v>86.864741602468499</v>
      </c>
      <c r="AF358" s="7">
        <f>[1]节奏总纲!AF358</f>
        <v>90.036066635925749</v>
      </c>
      <c r="AG358" s="7">
        <f>[1]节奏总纲!AG358</f>
        <v>94.982697701659134</v>
      </c>
      <c r="AH358" s="7">
        <f>[1]节奏总纲!AH358</f>
        <v>103.77711623291397</v>
      </c>
      <c r="AJ358" s="1"/>
      <c r="AR358" s="3"/>
      <c r="AY358" s="3"/>
      <c r="AZ358" s="2">
        <v>355</v>
      </c>
      <c r="BA358" s="7">
        <f>[1]节奏总纲!BA358</f>
        <v>46.561371072329244</v>
      </c>
      <c r="BB358" s="7">
        <f>[1]节奏总纲!BB358</f>
        <v>48.083968250893093</v>
      </c>
      <c r="BC358" s="7">
        <f>[1]节奏总纲!BC358</f>
        <v>50.036836876332707</v>
      </c>
      <c r="BD358" s="7">
        <f>[1]节奏总纲!BD358</f>
        <v>52.779353396881675</v>
      </c>
      <c r="BE358" s="7">
        <f>[1]节奏总纲!BE358</f>
        <v>57.487942600042821</v>
      </c>
    </row>
    <row r="359" spans="29:57" s="2" customFormat="1" x14ac:dyDescent="0.15">
      <c r="AC359" s="2">
        <v>356</v>
      </c>
      <c r="AD359" s="7">
        <f>[1]节奏总纲!AD359</f>
        <v>84.792173835029573</v>
      </c>
      <c r="AE359" s="7">
        <f>[1]节奏总纲!AE359</f>
        <v>86.905922185247576</v>
      </c>
      <c r="AF359" s="7">
        <f>[1]节奏总纲!AF359</f>
        <v>90.077191648383845</v>
      </c>
      <c r="AG359" s="7">
        <f>[1]节奏总纲!AG359</f>
        <v>95.024001308619916</v>
      </c>
      <c r="AH359" s="7">
        <f>[1]节奏总纲!AH359</f>
        <v>103.81766253126477</v>
      </c>
      <c r="AJ359" s="1"/>
      <c r="AR359" s="3"/>
      <c r="AY359" s="3"/>
      <c r="AZ359" s="2">
        <v>356</v>
      </c>
      <c r="BA359" s="7">
        <f>[1]节奏总纲!BA359</f>
        <v>46.58063511514797</v>
      </c>
      <c r="BB359" s="7">
        <f>[1]节奏总纲!BB359</f>
        <v>48.101914750802706</v>
      </c>
      <c r="BC359" s="7">
        <f>[1]节奏总纲!BC359</f>
        <v>50.054675557365492</v>
      </c>
      <c r="BD359" s="7">
        <f>[1]节奏总纲!BD359</f>
        <v>52.799306737677718</v>
      </c>
      <c r="BE359" s="7">
        <f>[1]节奏总纲!BE359</f>
        <v>57.507126480396188</v>
      </c>
    </row>
    <row r="360" spans="29:57" s="2" customFormat="1" x14ac:dyDescent="0.15">
      <c r="AC360" s="2">
        <v>357</v>
      </c>
      <c r="AD360" s="7">
        <f>[1]节奏总纲!AD360</f>
        <v>84.833420053539214</v>
      </c>
      <c r="AE360" s="7">
        <f>[1]节奏总纲!AE360</f>
        <v>86.947102768026653</v>
      </c>
      <c r="AF360" s="7">
        <f>[1]节奏总纲!AF360</f>
        <v>90.118316660841927</v>
      </c>
      <c r="AG360" s="7">
        <f>[1]节奏总纲!AG360</f>
        <v>95.063510581451752</v>
      </c>
      <c r="AH360" s="7">
        <f>[1]节奏总纲!AH360</f>
        <v>103.85820882961556</v>
      </c>
      <c r="AJ360" s="1"/>
      <c r="AR360" s="3"/>
      <c r="AY360" s="3"/>
      <c r="AZ360" s="2">
        <v>357</v>
      </c>
      <c r="BA360" s="7">
        <f>[1]节奏总纲!BA360</f>
        <v>46.599899157966696</v>
      </c>
      <c r="BB360" s="7">
        <f>[1]节奏总纲!BB360</f>
        <v>48.119861250712326</v>
      </c>
      <c r="BC360" s="7">
        <f>[1]节奏总纲!BC360</f>
        <v>50.072514238398277</v>
      </c>
      <c r="BD360" s="7">
        <f>[1]节奏总纲!BD360</f>
        <v>52.819260078473768</v>
      </c>
      <c r="BE360" s="7">
        <f>[1]节奏总纲!BE360</f>
        <v>57.526310360749555</v>
      </c>
    </row>
    <row r="361" spans="29:57" s="2" customFormat="1" x14ac:dyDescent="0.15">
      <c r="AC361" s="2">
        <v>358</v>
      </c>
      <c r="AD361" s="7">
        <f>[1]节奏总纲!AD361</f>
        <v>84.874666272048856</v>
      </c>
      <c r="AE361" s="7">
        <f>[1]节奏总纲!AE361</f>
        <v>86.98828335080573</v>
      </c>
      <c r="AF361" s="7">
        <f>[1]节奏总纲!AF361</f>
        <v>90.159441673300023</v>
      </c>
      <c r="AG361" s="7">
        <f>[1]节奏总纲!AG361</f>
        <v>95.103019854283588</v>
      </c>
      <c r="AH361" s="7">
        <f>[1]节奏总纲!AH361</f>
        <v>103.89875512796635</v>
      </c>
      <c r="AJ361" s="1"/>
      <c r="AR361" s="3"/>
      <c r="AY361" s="3"/>
      <c r="AZ361" s="2">
        <v>358</v>
      </c>
      <c r="BA361" s="7">
        <f>[1]节奏总纲!BA361</f>
        <v>46.619163200785422</v>
      </c>
      <c r="BB361" s="7">
        <f>[1]节奏总纲!BB361</f>
        <v>48.137807750621946</v>
      </c>
      <c r="BC361" s="7">
        <f>[1]节奏总纲!BC361</f>
        <v>50.090352919431069</v>
      </c>
      <c r="BD361" s="7">
        <f>[1]节奏总纲!BD361</f>
        <v>52.839213419269818</v>
      </c>
      <c r="BE361" s="7">
        <f>[1]节奏总纲!BE361</f>
        <v>57.545494241102922</v>
      </c>
    </row>
    <row r="362" spans="29:57" s="2" customFormat="1" x14ac:dyDescent="0.15">
      <c r="AC362" s="2">
        <v>359</v>
      </c>
      <c r="AD362" s="7">
        <f>[1]节奏总纲!AD362</f>
        <v>84.915912490558497</v>
      </c>
      <c r="AE362" s="7">
        <f>[1]节奏总纲!AE362</f>
        <v>87.027010646912942</v>
      </c>
      <c r="AF362" s="7">
        <f>[1]节奏总纲!AF362</f>
        <v>90.200566685758119</v>
      </c>
      <c r="AG362" s="7">
        <f>[1]节奏总纲!AG362</f>
        <v>95.142529127115409</v>
      </c>
      <c r="AH362" s="7">
        <f>[1]节奏总纲!AH362</f>
        <v>103.93930142631716</v>
      </c>
      <c r="AJ362" s="1"/>
      <c r="AR362" s="3"/>
      <c r="AY362" s="3"/>
      <c r="AZ362" s="2">
        <v>359</v>
      </c>
      <c r="BA362" s="7">
        <f>[1]节奏总纲!BA362</f>
        <v>46.638427243604156</v>
      </c>
      <c r="BB362" s="7">
        <f>[1]节奏总纲!BB362</f>
        <v>48.155754250531558</v>
      </c>
      <c r="BC362" s="7">
        <f>[1]节奏总纲!BC362</f>
        <v>50.108191600463854</v>
      </c>
      <c r="BD362" s="7">
        <f>[1]节奏总纲!BD362</f>
        <v>52.859166760065861</v>
      </c>
      <c r="BE362" s="7">
        <f>[1]节奏总纲!BE362</f>
        <v>57.564678121456289</v>
      </c>
    </row>
    <row r="363" spans="29:57" s="2" customFormat="1" x14ac:dyDescent="0.15">
      <c r="AC363" s="2">
        <v>360</v>
      </c>
      <c r="AD363" s="7">
        <f>[1]节奏总纲!AD363</f>
        <v>84.957158709068153</v>
      </c>
      <c r="AE363" s="7">
        <f>[1]节奏总纲!AE363</f>
        <v>87.064762367263285</v>
      </c>
      <c r="AF363" s="7">
        <f>[1]节奏总纲!AF363</f>
        <v>90.241691698216215</v>
      </c>
      <c r="AG363" s="7">
        <f>[1]节奏总纲!AG363</f>
        <v>95.182038399947245</v>
      </c>
      <c r="AH363" s="7">
        <f>[1]节奏总纲!AH363</f>
        <v>103.97984772466795</v>
      </c>
      <c r="AJ363" s="1"/>
      <c r="AR363" s="3"/>
      <c r="AY363" s="3"/>
      <c r="AZ363" s="2">
        <v>360</v>
      </c>
      <c r="BA363" s="7">
        <f>[1]节奏总纲!BA363</f>
        <v>46.657691286422882</v>
      </c>
      <c r="BB363" s="7">
        <f>[1]节奏总纲!BB363</f>
        <v>48.173700750441178</v>
      </c>
      <c r="BC363" s="7">
        <f>[1]节奏总纲!BC363</f>
        <v>50.126030281496639</v>
      </c>
      <c r="BD363" s="7">
        <f>[1]节奏总纲!BD363</f>
        <v>52.879120100861911</v>
      </c>
      <c r="BE363" s="7">
        <f>[1]节奏总纲!BE363</f>
        <v>57.583862001809656</v>
      </c>
    </row>
  </sheetData>
  <mergeCells count="13"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A6E5-DC16-4AA3-82F7-1D6839E32DAF}">
  <dimension ref="D5:H7"/>
  <sheetViews>
    <sheetView workbookViewId="0">
      <selection activeCell="E44" sqref="E44"/>
    </sheetView>
  </sheetViews>
  <sheetFormatPr defaultRowHeight="11.25" x14ac:dyDescent="0.15"/>
  <cols>
    <col min="1" max="6" width="9" style="12"/>
    <col min="7" max="7" width="10.5" style="12" bestFit="1" customWidth="1"/>
    <col min="8" max="16384" width="9" style="12"/>
  </cols>
  <sheetData>
    <row r="5" spans="4:8" x14ac:dyDescent="0.15">
      <c r="D5" s="12" t="s">
        <v>17</v>
      </c>
      <c r="E5" s="12" t="s">
        <v>55</v>
      </c>
      <c r="F5" s="12" t="s">
        <v>56</v>
      </c>
      <c r="G5" s="12" t="s">
        <v>58</v>
      </c>
      <c r="H5" s="12" t="s">
        <v>60</v>
      </c>
    </row>
    <row r="6" spans="4:8" x14ac:dyDescent="0.15">
      <c r="D6" s="12" t="s">
        <v>53</v>
      </c>
      <c r="E6" s="12">
        <v>7</v>
      </c>
      <c r="F6" s="12">
        <v>23</v>
      </c>
    </row>
    <row r="7" spans="4:8" x14ac:dyDescent="0.15">
      <c r="D7" s="12" t="s">
        <v>54</v>
      </c>
      <c r="E7" s="12">
        <v>23</v>
      </c>
      <c r="F7" s="12">
        <v>7</v>
      </c>
      <c r="G7" s="12" t="s">
        <v>61</v>
      </c>
      <c r="H7" s="13">
        <v>0.5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6F52-F1C2-4F21-BEA6-43AB6EADF476}">
  <dimension ref="A1:O11"/>
  <sheetViews>
    <sheetView tabSelected="1" workbookViewId="0">
      <selection activeCell="I18" sqref="I18"/>
    </sheetView>
  </sheetViews>
  <sheetFormatPr defaultRowHeight="11.25" x14ac:dyDescent="0.15"/>
  <cols>
    <col min="1" max="1" width="9" style="19"/>
    <col min="2" max="16384" width="9" style="12"/>
  </cols>
  <sheetData>
    <row r="1" spans="1:15" x14ac:dyDescent="0.15">
      <c r="A1" s="19" t="s">
        <v>91</v>
      </c>
    </row>
    <row r="2" spans="1:15" x14ac:dyDescent="0.15">
      <c r="A2" s="19" t="s">
        <v>92</v>
      </c>
    </row>
    <row r="3" spans="1:15" x14ac:dyDescent="0.15">
      <c r="A3" s="19" t="s">
        <v>94</v>
      </c>
    </row>
    <row r="4" spans="1:15" x14ac:dyDescent="0.15">
      <c r="A4" s="19" t="s">
        <v>93</v>
      </c>
      <c r="F4" s="18" t="s">
        <v>80</v>
      </c>
      <c r="G4" s="18"/>
      <c r="H4" s="18" t="s">
        <v>81</v>
      </c>
      <c r="I4" s="18"/>
      <c r="J4" s="18" t="s">
        <v>82</v>
      </c>
      <c r="K4" s="18"/>
      <c r="L4" s="18" t="s">
        <v>83</v>
      </c>
      <c r="M4" s="18"/>
    </row>
    <row r="5" spans="1:15" x14ac:dyDescent="0.15">
      <c r="D5" s="12" t="s">
        <v>52</v>
      </c>
      <c r="E5" s="12" t="s">
        <v>75</v>
      </c>
      <c r="F5" s="12" t="s">
        <v>57</v>
      </c>
      <c r="G5" s="12" t="s">
        <v>59</v>
      </c>
      <c r="H5" s="12" t="s">
        <v>76</v>
      </c>
      <c r="I5" s="12" t="s">
        <v>59</v>
      </c>
      <c r="J5" s="12" t="s">
        <v>77</v>
      </c>
      <c r="K5" s="12" t="s">
        <v>59</v>
      </c>
      <c r="L5" s="12" t="s">
        <v>78</v>
      </c>
      <c r="M5" s="12" t="s">
        <v>59</v>
      </c>
      <c r="N5" s="12" t="s">
        <v>79</v>
      </c>
      <c r="O5" s="12" t="s">
        <v>59</v>
      </c>
    </row>
    <row r="6" spans="1:15" x14ac:dyDescent="0.15">
      <c r="D6" s="12" t="s">
        <v>71</v>
      </c>
      <c r="E6" s="12">
        <v>5</v>
      </c>
      <c r="H6" s="15" t="s">
        <v>95</v>
      </c>
      <c r="I6" s="20" t="s">
        <v>97</v>
      </c>
      <c r="J6" s="12" t="s">
        <v>84</v>
      </c>
      <c r="K6" s="13">
        <v>0.1</v>
      </c>
      <c r="L6" s="15" t="s">
        <v>88</v>
      </c>
      <c r="M6" s="13">
        <v>0.05</v>
      </c>
    </row>
    <row r="7" spans="1:15" x14ac:dyDescent="0.15">
      <c r="D7" s="15" t="s">
        <v>74</v>
      </c>
      <c r="E7" s="15">
        <v>5</v>
      </c>
      <c r="F7" s="15"/>
      <c r="G7" s="15"/>
      <c r="H7" s="15" t="s">
        <v>85</v>
      </c>
      <c r="I7" s="13">
        <v>0.05</v>
      </c>
      <c r="J7" s="15" t="s">
        <v>86</v>
      </c>
      <c r="K7" s="20" t="s">
        <v>98</v>
      </c>
      <c r="L7" s="15" t="s">
        <v>88</v>
      </c>
      <c r="M7" s="13">
        <v>0.05</v>
      </c>
    </row>
    <row r="8" spans="1:15" x14ac:dyDescent="0.15">
      <c r="D8" s="15" t="s">
        <v>72</v>
      </c>
      <c r="E8" s="15">
        <v>5</v>
      </c>
      <c r="F8" s="15" t="s">
        <v>89</v>
      </c>
      <c r="G8" s="20" t="s">
        <v>96</v>
      </c>
      <c r="H8" s="15"/>
      <c r="I8" s="13"/>
      <c r="J8" s="15"/>
      <c r="K8" s="15"/>
      <c r="L8" s="15" t="s">
        <v>87</v>
      </c>
      <c r="M8" s="20" t="s">
        <v>97</v>
      </c>
    </row>
    <row r="9" spans="1:15" x14ac:dyDescent="0.15">
      <c r="D9" s="15" t="s">
        <v>73</v>
      </c>
      <c r="E9" s="15">
        <v>5</v>
      </c>
      <c r="F9" s="15" t="s">
        <v>90</v>
      </c>
      <c r="G9" s="13">
        <v>0.2</v>
      </c>
      <c r="H9" s="15"/>
      <c r="I9" s="13"/>
      <c r="J9" s="15"/>
      <c r="K9" s="15"/>
      <c r="L9" s="15" t="s">
        <v>87</v>
      </c>
      <c r="M9" s="20" t="s">
        <v>97</v>
      </c>
    </row>
    <row r="10" spans="1:15" x14ac:dyDescent="0.15">
      <c r="D10" s="15"/>
      <c r="E10" s="15"/>
      <c r="F10" s="15"/>
      <c r="G10" s="13"/>
      <c r="H10" s="15"/>
      <c r="I10" s="13"/>
      <c r="J10" s="15"/>
      <c r="K10" s="15"/>
      <c r="L10" s="15"/>
      <c r="M10" s="13"/>
    </row>
    <row r="11" spans="1:15" x14ac:dyDescent="0.15">
      <c r="D11" s="15"/>
      <c r="E11" s="15"/>
      <c r="F11" s="15"/>
      <c r="G11" s="13"/>
      <c r="H11" s="15"/>
      <c r="I11" s="13"/>
      <c r="J11" s="15"/>
      <c r="K11" s="15"/>
      <c r="L11" s="15"/>
      <c r="M11" s="13"/>
    </row>
  </sheetData>
  <mergeCells count="4">
    <mergeCell ref="F4:G4"/>
    <mergeCell ref="H4:I4"/>
    <mergeCell ref="J4:K4"/>
    <mergeCell ref="L4:M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44643-BF82-4464-92B1-5F65ED90C25F}">
  <dimension ref="D5:G9"/>
  <sheetViews>
    <sheetView workbookViewId="0">
      <selection activeCell="E38" sqref="E38"/>
    </sheetView>
  </sheetViews>
  <sheetFormatPr defaultRowHeight="11.25" x14ac:dyDescent="0.15"/>
  <cols>
    <col min="1" max="5" width="9" style="9"/>
    <col min="6" max="6" width="13.875" style="9" bestFit="1" customWidth="1"/>
    <col min="7" max="16384" width="9" style="9"/>
  </cols>
  <sheetData>
    <row r="5" spans="4:7" x14ac:dyDescent="0.15">
      <c r="D5" s="12" t="s">
        <v>17</v>
      </c>
      <c r="E5" s="12" t="s">
        <v>66</v>
      </c>
      <c r="F5" s="12" t="s">
        <v>58</v>
      </c>
      <c r="G5" s="12" t="s">
        <v>60</v>
      </c>
    </row>
    <row r="6" spans="4:7" x14ac:dyDescent="0.15">
      <c r="D6" s="12" t="s">
        <v>62</v>
      </c>
      <c r="E6" s="12">
        <v>3</v>
      </c>
      <c r="F6" s="12" t="s">
        <v>67</v>
      </c>
      <c r="G6" s="13">
        <v>0.1</v>
      </c>
    </row>
    <row r="7" spans="4:7" x14ac:dyDescent="0.15">
      <c r="D7" s="12" t="s">
        <v>63</v>
      </c>
      <c r="E7" s="12">
        <v>3</v>
      </c>
      <c r="F7" s="12" t="s">
        <v>68</v>
      </c>
      <c r="G7" s="14">
        <v>0.05</v>
      </c>
    </row>
    <row r="8" spans="4:7" x14ac:dyDescent="0.15">
      <c r="D8" s="9" t="s">
        <v>64</v>
      </c>
      <c r="E8" s="9">
        <v>3</v>
      </c>
      <c r="F8" s="9" t="s">
        <v>69</v>
      </c>
      <c r="G8" s="14">
        <v>0.04</v>
      </c>
    </row>
    <row r="9" spans="4:7" x14ac:dyDescent="0.15">
      <c r="D9" s="9" t="s">
        <v>65</v>
      </c>
      <c r="E9" s="9">
        <v>3</v>
      </c>
      <c r="F9" s="9" t="s">
        <v>70</v>
      </c>
      <c r="G9" s="14">
        <v>0.01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5F5B2-23A0-4BC6-BCE5-918D7E179419}">
  <sheetPr>
    <tabColor theme="0" tint="-0.249977111117893"/>
  </sheetPr>
  <dimension ref="A3:F18"/>
  <sheetViews>
    <sheetView workbookViewId="0">
      <selection activeCell="D9" sqref="D9"/>
    </sheetView>
  </sheetViews>
  <sheetFormatPr defaultRowHeight="11.25" x14ac:dyDescent="0.15"/>
  <cols>
    <col min="1" max="2" width="9" style="9"/>
    <col min="3" max="3" width="35.5" style="9" bestFit="1" customWidth="1"/>
    <col min="4" max="4" width="9" style="9"/>
    <col min="5" max="6" width="13.875" style="9" bestFit="1" customWidth="1"/>
    <col min="7" max="16384" width="9" style="9"/>
  </cols>
  <sheetData>
    <row r="3" spans="1:6" x14ac:dyDescent="0.15">
      <c r="B3" s="10" t="s">
        <v>17</v>
      </c>
      <c r="C3" s="9" t="s">
        <v>18</v>
      </c>
      <c r="D3" s="9" t="s">
        <v>32</v>
      </c>
      <c r="E3" s="9" t="s">
        <v>39</v>
      </c>
      <c r="F3" s="9" t="s">
        <v>40</v>
      </c>
    </row>
    <row r="4" spans="1:6" x14ac:dyDescent="0.15">
      <c r="B4" s="10" t="s">
        <v>35</v>
      </c>
      <c r="C4" s="8" t="s">
        <v>19</v>
      </c>
      <c r="E4" s="9">
        <v>7</v>
      </c>
      <c r="F4" s="9">
        <v>11</v>
      </c>
    </row>
    <row r="5" spans="1:6" x14ac:dyDescent="0.15">
      <c r="B5" s="10" t="s">
        <v>36</v>
      </c>
      <c r="C5" s="8"/>
      <c r="E5" s="9">
        <v>11</v>
      </c>
      <c r="F5" s="9">
        <v>16</v>
      </c>
    </row>
    <row r="6" spans="1:6" x14ac:dyDescent="0.15">
      <c r="B6" s="10" t="s">
        <v>37</v>
      </c>
      <c r="C6" s="8"/>
      <c r="E6" s="9">
        <v>16</v>
      </c>
      <c r="F6" s="9">
        <v>0</v>
      </c>
    </row>
    <row r="7" spans="1:6" x14ac:dyDescent="0.15">
      <c r="B7" s="10" t="s">
        <v>38</v>
      </c>
      <c r="C7" s="8" t="s">
        <v>41</v>
      </c>
      <c r="E7" s="9">
        <v>0</v>
      </c>
      <c r="F7" s="9">
        <v>7</v>
      </c>
    </row>
    <row r="8" spans="1:6" x14ac:dyDescent="0.15">
      <c r="C8" s="8"/>
    </row>
    <row r="9" spans="1:6" x14ac:dyDescent="0.15">
      <c r="B9" s="10" t="s">
        <v>20</v>
      </c>
      <c r="C9" s="8" t="s">
        <v>48</v>
      </c>
      <c r="D9" s="9">
        <f>3%*([2]效果!$E$23*4+[2]效果!$E$26)</f>
        <v>5380.0188908420259</v>
      </c>
    </row>
    <row r="10" spans="1:6" x14ac:dyDescent="0.15">
      <c r="A10" s="9" t="s">
        <v>33</v>
      </c>
      <c r="B10" s="10" t="s">
        <v>21</v>
      </c>
      <c r="C10" s="8" t="s">
        <v>22</v>
      </c>
    </row>
    <row r="11" spans="1:6" x14ac:dyDescent="0.15">
      <c r="B11" s="10" t="s">
        <v>23</v>
      </c>
      <c r="C11" s="8" t="s">
        <v>31</v>
      </c>
    </row>
    <row r="12" spans="1:6" x14ac:dyDescent="0.15">
      <c r="A12" s="9" t="s">
        <v>33</v>
      </c>
      <c r="B12" s="10" t="s">
        <v>24</v>
      </c>
      <c r="C12" s="8" t="s">
        <v>25</v>
      </c>
    </row>
    <row r="13" spans="1:6" x14ac:dyDescent="0.15">
      <c r="A13" s="9" t="s">
        <v>33</v>
      </c>
      <c r="B13" s="10" t="s">
        <v>26</v>
      </c>
      <c r="C13" s="8" t="s">
        <v>42</v>
      </c>
    </row>
    <row r="14" spans="1:6" x14ac:dyDescent="0.15">
      <c r="B14" s="10"/>
      <c r="C14" s="8"/>
    </row>
    <row r="15" spans="1:6" x14ac:dyDescent="0.15">
      <c r="B15" s="10" t="s">
        <v>27</v>
      </c>
      <c r="C15" s="8" t="s">
        <v>49</v>
      </c>
      <c r="D15" s="9">
        <f>10%*[2]效果!$E$41</f>
        <v>4700.028080562106</v>
      </c>
    </row>
    <row r="16" spans="1:6" x14ac:dyDescent="0.15">
      <c r="B16" s="10" t="s">
        <v>28</v>
      </c>
      <c r="C16" s="8" t="s">
        <v>34</v>
      </c>
      <c r="D16" s="9">
        <f>5%*[2]效果!$E$17</f>
        <v>4092.0801468749992</v>
      </c>
    </row>
    <row r="17" spans="2:4" x14ac:dyDescent="0.15">
      <c r="B17" s="10" t="s">
        <v>29</v>
      </c>
      <c r="C17" s="8" t="s">
        <v>50</v>
      </c>
      <c r="D17" s="9">
        <f>4%*([2]效果!$E$27*4+[2]效果!$E$31)</f>
        <v>6312.3599397850057</v>
      </c>
    </row>
    <row r="18" spans="2:4" x14ac:dyDescent="0.15">
      <c r="B18" s="10" t="s">
        <v>30</v>
      </c>
      <c r="C18" s="8" t="s">
        <v>51</v>
      </c>
      <c r="D18" s="9">
        <f>1%*[2]效果!$E$39</f>
        <v>7247.3228840454794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节奏总纲</vt:lpstr>
      <vt:lpstr>昼夜</vt:lpstr>
      <vt:lpstr>天气</vt:lpstr>
      <vt:lpstr>季节</vt:lpstr>
      <vt:lpstr>设计内容（老版）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2021-12-15T12:33:39Z</dcterms:modified>
</cp:coreProperties>
</file>