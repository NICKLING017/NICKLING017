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A70170B0-B46C-4FC6-8C17-7381A87CE3BA}" xr6:coauthVersionLast="46" xr6:coauthVersionMax="47" xr10:uidLastSave="{00000000-0000-0000-0000-000000000000}"/>
  <bookViews>
    <workbookView xWindow="-120" yWindow="-120" windowWidth="29040" windowHeight="15840" tabRatio="754" firstSheet="1" activeTab="8" xr2:uid="{00000000-000D-0000-FFFF-FFFF00000000}"/>
  </bookViews>
  <sheets>
    <sheet name="Sheet2" sheetId="48" state="hidden" r:id="rId1"/>
    <sheet name="节奏总纲" sheetId="64" r:id="rId2"/>
    <sheet name="基础数据设定" sheetId="82" r:id="rId3"/>
    <sheet name="关卡设定" sheetId="92" r:id="rId4"/>
    <sheet name="初级难度关卡验证" sheetId="85" r:id="rId5"/>
    <sheet name="中级难度关卡验证" sheetId="87" r:id="rId6"/>
    <sheet name="高级难度关卡验证" sheetId="93" r:id="rId7"/>
    <sheet name="关卡奖励设定（常规）" sheetId="89" r:id="rId8"/>
    <sheet name="道具信息" sheetId="81" r:id="rId9"/>
    <sheet name="Sheet1" sheetId="71" state="hidden" r:id="rId10"/>
  </sheets>
  <functionGroups builtInGroupCount="19"/>
  <externalReferences>
    <externalReference r:id="rId11"/>
    <externalReference r:id="rId12"/>
    <externalReference r:id="rId13"/>
  </externalReferences>
  <calcPr calcId="181029"/>
  <customWorkbookViews>
    <customWorkbookView name="admin - 个人视图" guid="{459B7961-6E0F-4AD2-B1C7-0898323A2E74}" mergeInterval="0" personalView="1" maximized="1" windowWidth="1920" windowHeight="804" activeSheetId="3"/>
  </customWorkbookViews>
</workbook>
</file>

<file path=xl/calcChain.xml><?xml version="1.0" encoding="utf-8"?>
<calcChain xmlns="http://schemas.openxmlformats.org/spreadsheetml/2006/main">
  <c r="AD16" i="92" l="1"/>
  <c r="AC15" i="92"/>
  <c r="AC16" i="92"/>
  <c r="Z14" i="92"/>
  <c r="AA14" i="92"/>
  <c r="AB14" i="92"/>
  <c r="Z15" i="92"/>
  <c r="AA15" i="92"/>
  <c r="AB15" i="92"/>
  <c r="Z16" i="92"/>
  <c r="AA16" i="92"/>
  <c r="AB16" i="92"/>
  <c r="Y15" i="92"/>
  <c r="Y16" i="92"/>
  <c r="Y14" i="92"/>
  <c r="AD13" i="92"/>
  <c r="AC12" i="92"/>
  <c r="AC13" i="92"/>
  <c r="Z11" i="92"/>
  <c r="AA11" i="92"/>
  <c r="AB11" i="92"/>
  <c r="Z12" i="92"/>
  <c r="AA12" i="92"/>
  <c r="AB12" i="92"/>
  <c r="Z13" i="92"/>
  <c r="AA13" i="92"/>
  <c r="AB13" i="92"/>
  <c r="Y12" i="92"/>
  <c r="Y13" i="92"/>
  <c r="Y11" i="92"/>
  <c r="AD10" i="92"/>
  <c r="AC10" i="92"/>
  <c r="AC9" i="92"/>
  <c r="Y9" i="92"/>
  <c r="Z9" i="92"/>
  <c r="AA9" i="92"/>
  <c r="AB9" i="92"/>
  <c r="Y10" i="92"/>
  <c r="Z10" i="92"/>
  <c r="AA10" i="92"/>
  <c r="AB10" i="92"/>
  <c r="Z8" i="92"/>
  <c r="AA8" i="92"/>
  <c r="AB8" i="92"/>
  <c r="Y8" i="92"/>
  <c r="U16" i="92"/>
  <c r="T15" i="92"/>
  <c r="T16" i="92"/>
  <c r="Q14" i="92"/>
  <c r="R14" i="92"/>
  <c r="S14" i="92"/>
  <c r="Q15" i="92"/>
  <c r="R15" i="92"/>
  <c r="S15" i="92"/>
  <c r="Q16" i="92"/>
  <c r="R16" i="92"/>
  <c r="S16" i="92"/>
  <c r="P15" i="92"/>
  <c r="P16" i="92"/>
  <c r="P14" i="92"/>
  <c r="U13" i="92"/>
  <c r="T12" i="92"/>
  <c r="T13" i="92"/>
  <c r="Q11" i="92"/>
  <c r="R11" i="92"/>
  <c r="S11" i="92"/>
  <c r="Q12" i="92"/>
  <c r="R12" i="92"/>
  <c r="S12" i="92"/>
  <c r="Q13" i="92"/>
  <c r="R13" i="92"/>
  <c r="S13" i="92"/>
  <c r="P12" i="92"/>
  <c r="P13" i="92"/>
  <c r="P11" i="92"/>
  <c r="U10" i="92"/>
  <c r="T9" i="92"/>
  <c r="T10" i="92"/>
  <c r="Q8" i="92"/>
  <c r="R8" i="92"/>
  <c r="S8" i="92"/>
  <c r="Q9" i="92"/>
  <c r="R9" i="92"/>
  <c r="S9" i="92"/>
  <c r="Q10" i="92"/>
  <c r="R10" i="92"/>
  <c r="S10" i="92"/>
  <c r="P9" i="92"/>
  <c r="P10" i="92"/>
  <c r="P8" i="92"/>
  <c r="L16" i="92"/>
  <c r="K15" i="92"/>
  <c r="K16" i="92"/>
  <c r="H14" i="92"/>
  <c r="I14" i="92"/>
  <c r="J14" i="92"/>
  <c r="H15" i="92"/>
  <c r="I15" i="92"/>
  <c r="J15" i="92"/>
  <c r="H16" i="92"/>
  <c r="I16" i="92"/>
  <c r="J16" i="92"/>
  <c r="G15" i="92"/>
  <c r="G16" i="92"/>
  <c r="G14" i="92"/>
  <c r="L13" i="92"/>
  <c r="K12" i="92"/>
  <c r="K13" i="92"/>
  <c r="G12" i="92"/>
  <c r="H12" i="92"/>
  <c r="I12" i="92"/>
  <c r="J12" i="92"/>
  <c r="G13" i="92"/>
  <c r="H13" i="92"/>
  <c r="I13" i="92"/>
  <c r="J13" i="92"/>
  <c r="H11" i="92"/>
  <c r="I11" i="92"/>
  <c r="J11" i="92"/>
  <c r="G11" i="92"/>
  <c r="L10" i="92"/>
  <c r="K9" i="92"/>
  <c r="K10" i="92"/>
  <c r="H8" i="92"/>
  <c r="I8" i="92"/>
  <c r="J8" i="92"/>
  <c r="H9" i="92"/>
  <c r="I9" i="92"/>
  <c r="J9" i="92"/>
  <c r="H10" i="92"/>
  <c r="I10" i="92"/>
  <c r="J10" i="92"/>
  <c r="G9" i="92"/>
  <c r="G10" i="92"/>
  <c r="G8" i="92"/>
  <c r="D9" i="89" l="1"/>
  <c r="D10" i="89"/>
  <c r="D8" i="89"/>
  <c r="L9" i="89"/>
  <c r="M9" i="89"/>
  <c r="N9" i="89"/>
  <c r="O9" i="89"/>
  <c r="P9" i="89"/>
  <c r="L10" i="89"/>
  <c r="M10" i="89"/>
  <c r="N10" i="89"/>
  <c r="O10" i="89"/>
  <c r="P10" i="89"/>
  <c r="L11" i="89"/>
  <c r="M11" i="89"/>
  <c r="N11" i="89"/>
  <c r="O11" i="89"/>
  <c r="P11" i="89"/>
  <c r="L12" i="89"/>
  <c r="M12" i="89"/>
  <c r="N12" i="89"/>
  <c r="O12" i="89"/>
  <c r="P12" i="89"/>
  <c r="L13" i="89"/>
  <c r="M13" i="89"/>
  <c r="N13" i="89"/>
  <c r="O13" i="89"/>
  <c r="P13" i="89"/>
  <c r="L14" i="89"/>
  <c r="M14" i="89"/>
  <c r="N14" i="89"/>
  <c r="O14" i="89"/>
  <c r="P14" i="89"/>
  <c r="L15" i="89"/>
  <c r="M15" i="89"/>
  <c r="N15" i="89"/>
  <c r="O15" i="89"/>
  <c r="P15" i="89"/>
  <c r="L16" i="89"/>
  <c r="M16" i="89"/>
  <c r="N16" i="89"/>
  <c r="O16" i="89"/>
  <c r="P16" i="89"/>
  <c r="L17" i="89"/>
  <c r="M17" i="89"/>
  <c r="N17" i="89"/>
  <c r="O17" i="89"/>
  <c r="P17" i="89"/>
  <c r="L18" i="89"/>
  <c r="M18" i="89"/>
  <c r="N18" i="89"/>
  <c r="O18" i="89"/>
  <c r="P18" i="89"/>
  <c r="L19" i="89"/>
  <c r="M19" i="89"/>
  <c r="N19" i="89"/>
  <c r="O19" i="89"/>
  <c r="P19" i="89"/>
  <c r="L20" i="89"/>
  <c r="M20" i="89"/>
  <c r="N20" i="89"/>
  <c r="O20" i="89"/>
  <c r="P20" i="89"/>
  <c r="L21" i="89"/>
  <c r="M21" i="89"/>
  <c r="N21" i="89"/>
  <c r="O21" i="89"/>
  <c r="P21" i="89"/>
  <c r="L22" i="89"/>
  <c r="M22" i="89"/>
  <c r="N22" i="89"/>
  <c r="O22" i="89"/>
  <c r="P22" i="89"/>
  <c r="L23" i="89"/>
  <c r="M23" i="89"/>
  <c r="N23" i="89"/>
  <c r="O23" i="89"/>
  <c r="P23" i="89"/>
  <c r="L24" i="89"/>
  <c r="M24" i="89"/>
  <c r="N24" i="89"/>
  <c r="O24" i="89"/>
  <c r="P24" i="89"/>
  <c r="L25" i="89"/>
  <c r="M25" i="89"/>
  <c r="N25" i="89"/>
  <c r="O25" i="89"/>
  <c r="P25" i="89"/>
  <c r="L26" i="89"/>
  <c r="M26" i="89"/>
  <c r="N26" i="89"/>
  <c r="O26" i="89"/>
  <c r="P26" i="89"/>
  <c r="L27" i="89"/>
  <c r="M27" i="89"/>
  <c r="N27" i="89"/>
  <c r="O27" i="89"/>
  <c r="P27" i="89"/>
  <c r="L28" i="89"/>
  <c r="M28" i="89"/>
  <c r="N28" i="89"/>
  <c r="O28" i="89"/>
  <c r="P28" i="89"/>
  <c r="L29" i="89"/>
  <c r="M29" i="89"/>
  <c r="N29" i="89"/>
  <c r="O29" i="89"/>
  <c r="P29" i="89"/>
  <c r="L30" i="89"/>
  <c r="M30" i="89"/>
  <c r="N30" i="89"/>
  <c r="O30" i="89"/>
  <c r="P30" i="89"/>
  <c r="L31" i="89"/>
  <c r="M31" i="89"/>
  <c r="N31" i="89"/>
  <c r="O31" i="89"/>
  <c r="P31" i="89"/>
  <c r="L32" i="89"/>
  <c r="M32" i="89"/>
  <c r="N32" i="89"/>
  <c r="O32" i="89"/>
  <c r="P32" i="89"/>
  <c r="L33" i="89"/>
  <c r="M33" i="89"/>
  <c r="N33" i="89"/>
  <c r="O33" i="89"/>
  <c r="P33" i="89"/>
  <c r="L34" i="89"/>
  <c r="M34" i="89"/>
  <c r="N34" i="89"/>
  <c r="O34" i="89"/>
  <c r="P34" i="89"/>
  <c r="L35" i="89"/>
  <c r="M35" i="89"/>
  <c r="N35" i="89"/>
  <c r="O35" i="89"/>
  <c r="P35" i="89"/>
  <c r="L36" i="89"/>
  <c r="M36" i="89"/>
  <c r="N36" i="89"/>
  <c r="O36" i="89"/>
  <c r="P36" i="89"/>
  <c r="L37" i="89"/>
  <c r="M37" i="89"/>
  <c r="N37" i="89"/>
  <c r="O37" i="89"/>
  <c r="P37" i="89"/>
  <c r="L38" i="89"/>
  <c r="M38" i="89"/>
  <c r="N38" i="89"/>
  <c r="O38" i="89"/>
  <c r="P38" i="89"/>
  <c r="L39" i="89"/>
  <c r="M39" i="89"/>
  <c r="N39" i="89"/>
  <c r="O39" i="89"/>
  <c r="P39" i="89"/>
  <c r="L40" i="89"/>
  <c r="M40" i="89"/>
  <c r="N40" i="89"/>
  <c r="O40" i="89"/>
  <c r="P40" i="89"/>
  <c r="L41" i="89"/>
  <c r="M41" i="89"/>
  <c r="N41" i="89"/>
  <c r="O41" i="89"/>
  <c r="P41" i="89"/>
  <c r="L42" i="89"/>
  <c r="M42" i="89"/>
  <c r="N42" i="89"/>
  <c r="O42" i="89"/>
  <c r="P42" i="89"/>
  <c r="L43" i="89"/>
  <c r="M43" i="89"/>
  <c r="N43" i="89"/>
  <c r="O43" i="89"/>
  <c r="P43" i="89"/>
  <c r="L44" i="89"/>
  <c r="M44" i="89"/>
  <c r="N44" i="89"/>
  <c r="O44" i="89"/>
  <c r="P44" i="89"/>
  <c r="L45" i="89"/>
  <c r="M45" i="89"/>
  <c r="N45" i="89"/>
  <c r="O45" i="89"/>
  <c r="P45" i="89"/>
  <c r="L46" i="89"/>
  <c r="M46" i="89"/>
  <c r="N46" i="89"/>
  <c r="O46" i="89"/>
  <c r="P46" i="89"/>
  <c r="L47" i="89"/>
  <c r="M47" i="89"/>
  <c r="N47" i="89"/>
  <c r="O47" i="89"/>
  <c r="P47" i="89"/>
  <c r="L48" i="89"/>
  <c r="M48" i="89"/>
  <c r="N48" i="89"/>
  <c r="O48" i="89"/>
  <c r="P48" i="89"/>
  <c r="L49" i="89"/>
  <c r="M49" i="89"/>
  <c r="N49" i="89"/>
  <c r="O49" i="89"/>
  <c r="P49" i="89"/>
  <c r="L50" i="89"/>
  <c r="M50" i="89"/>
  <c r="N50" i="89"/>
  <c r="O50" i="89"/>
  <c r="P50" i="89"/>
  <c r="L51" i="89"/>
  <c r="M51" i="89"/>
  <c r="N51" i="89"/>
  <c r="O51" i="89"/>
  <c r="P51" i="89"/>
  <c r="L52" i="89"/>
  <c r="M52" i="89"/>
  <c r="N52" i="89"/>
  <c r="O52" i="89"/>
  <c r="P52" i="89"/>
  <c r="L53" i="89"/>
  <c r="M53" i="89"/>
  <c r="N53" i="89"/>
  <c r="O53" i="89"/>
  <c r="P53" i="89"/>
  <c r="L54" i="89"/>
  <c r="M54" i="89"/>
  <c r="N54" i="89"/>
  <c r="O54" i="89"/>
  <c r="P54" i="89"/>
  <c r="L55" i="89"/>
  <c r="M55" i="89"/>
  <c r="N55" i="89"/>
  <c r="O55" i="89"/>
  <c r="P55" i="89"/>
  <c r="L56" i="89"/>
  <c r="M56" i="89"/>
  <c r="N56" i="89"/>
  <c r="O56" i="89"/>
  <c r="P56" i="89"/>
  <c r="L57" i="89"/>
  <c r="M57" i="89"/>
  <c r="N57" i="89"/>
  <c r="O57" i="89"/>
  <c r="P57" i="89"/>
  <c r="L58" i="89"/>
  <c r="M58" i="89"/>
  <c r="N58" i="89"/>
  <c r="O58" i="89"/>
  <c r="P58" i="89"/>
  <c r="L59" i="89"/>
  <c r="M59" i="89"/>
  <c r="N59" i="89"/>
  <c r="O59" i="89"/>
  <c r="P59" i="89"/>
  <c r="L60" i="89"/>
  <c r="M60" i="89"/>
  <c r="N60" i="89"/>
  <c r="O60" i="89"/>
  <c r="P60" i="89"/>
  <c r="L61" i="89"/>
  <c r="M61" i="89"/>
  <c r="N61" i="89"/>
  <c r="O61" i="89"/>
  <c r="P61" i="89"/>
  <c r="L62" i="89"/>
  <c r="M62" i="89"/>
  <c r="N62" i="89"/>
  <c r="O62" i="89"/>
  <c r="P62" i="89"/>
  <c r="L63" i="89"/>
  <c r="M63" i="89"/>
  <c r="N63" i="89"/>
  <c r="O63" i="89"/>
  <c r="P63" i="89"/>
  <c r="L64" i="89"/>
  <c r="M64" i="89"/>
  <c r="N64" i="89"/>
  <c r="O64" i="89"/>
  <c r="P64" i="89"/>
  <c r="L65" i="89"/>
  <c r="M65" i="89"/>
  <c r="N65" i="89"/>
  <c r="O65" i="89"/>
  <c r="P65" i="89"/>
  <c r="L66" i="89"/>
  <c r="M66" i="89"/>
  <c r="N66" i="89"/>
  <c r="O66" i="89"/>
  <c r="P66" i="89"/>
  <c r="L67" i="89"/>
  <c r="M67" i="89"/>
  <c r="N67" i="89"/>
  <c r="O67" i="89"/>
  <c r="P67" i="89"/>
  <c r="L68" i="89"/>
  <c r="M68" i="89"/>
  <c r="N68" i="89"/>
  <c r="O68" i="89"/>
  <c r="P68" i="89"/>
  <c r="L69" i="89"/>
  <c r="M69" i="89"/>
  <c r="N69" i="89"/>
  <c r="O69" i="89"/>
  <c r="P69" i="89"/>
  <c r="L70" i="89"/>
  <c r="M70" i="89"/>
  <c r="N70" i="89"/>
  <c r="O70" i="89"/>
  <c r="P70" i="89"/>
  <c r="L71" i="89"/>
  <c r="M71" i="89"/>
  <c r="N71" i="89"/>
  <c r="O71" i="89"/>
  <c r="P71" i="89"/>
  <c r="L72" i="89"/>
  <c r="M72" i="89"/>
  <c r="N72" i="89"/>
  <c r="O72" i="89"/>
  <c r="P72" i="89"/>
  <c r="L73" i="89"/>
  <c r="M73" i="89"/>
  <c r="N73" i="89"/>
  <c r="O73" i="89"/>
  <c r="P73" i="89"/>
  <c r="L74" i="89"/>
  <c r="M74" i="89"/>
  <c r="N74" i="89"/>
  <c r="O74" i="89"/>
  <c r="P74" i="89"/>
  <c r="L75" i="89"/>
  <c r="M75" i="89"/>
  <c r="N75" i="89"/>
  <c r="O75" i="89"/>
  <c r="P75" i="89"/>
  <c r="L76" i="89"/>
  <c r="M76" i="89"/>
  <c r="N76" i="89"/>
  <c r="O76" i="89"/>
  <c r="P76" i="89"/>
  <c r="L77" i="89"/>
  <c r="M77" i="89"/>
  <c r="N77" i="89"/>
  <c r="O77" i="89"/>
  <c r="P77" i="89"/>
  <c r="L78" i="89"/>
  <c r="M78" i="89"/>
  <c r="N78" i="89"/>
  <c r="O78" i="89"/>
  <c r="P78" i="89"/>
  <c r="L79" i="89"/>
  <c r="M79" i="89"/>
  <c r="N79" i="89"/>
  <c r="O79" i="89"/>
  <c r="P79" i="89"/>
  <c r="L80" i="89"/>
  <c r="M80" i="89"/>
  <c r="N80" i="89"/>
  <c r="O80" i="89"/>
  <c r="P80" i="89"/>
  <c r="L81" i="89"/>
  <c r="M81" i="89"/>
  <c r="N81" i="89"/>
  <c r="O81" i="89"/>
  <c r="P81" i="89"/>
  <c r="L82" i="89"/>
  <c r="M82" i="89"/>
  <c r="N82" i="89"/>
  <c r="O82" i="89"/>
  <c r="P82" i="89"/>
  <c r="L83" i="89"/>
  <c r="M83" i="89"/>
  <c r="N83" i="89"/>
  <c r="O83" i="89"/>
  <c r="P83" i="89"/>
  <c r="L84" i="89"/>
  <c r="M84" i="89"/>
  <c r="N84" i="89"/>
  <c r="O84" i="89"/>
  <c r="P84" i="89"/>
  <c r="L85" i="89"/>
  <c r="M85" i="89"/>
  <c r="N85" i="89"/>
  <c r="O85" i="89"/>
  <c r="P85" i="89"/>
  <c r="L86" i="89"/>
  <c r="M86" i="89"/>
  <c r="N86" i="89"/>
  <c r="O86" i="89"/>
  <c r="P86" i="89"/>
  <c r="L87" i="89"/>
  <c r="M87" i="89"/>
  <c r="N87" i="89"/>
  <c r="O87" i="89"/>
  <c r="P87" i="89"/>
  <c r="L88" i="89"/>
  <c r="M88" i="89"/>
  <c r="N88" i="89"/>
  <c r="O88" i="89"/>
  <c r="P88" i="89"/>
  <c r="L89" i="89"/>
  <c r="M89" i="89"/>
  <c r="N89" i="89"/>
  <c r="O89" i="89"/>
  <c r="P89" i="89"/>
  <c r="L90" i="89"/>
  <c r="M90" i="89"/>
  <c r="N90" i="89"/>
  <c r="O90" i="89"/>
  <c r="P90" i="89"/>
  <c r="L91" i="89"/>
  <c r="M91" i="89"/>
  <c r="N91" i="89"/>
  <c r="O91" i="89"/>
  <c r="P91" i="89"/>
  <c r="L92" i="89"/>
  <c r="M92" i="89"/>
  <c r="N92" i="89"/>
  <c r="O92" i="89"/>
  <c r="P92" i="89"/>
  <c r="L93" i="89"/>
  <c r="M93" i="89"/>
  <c r="N93" i="89"/>
  <c r="O93" i="89"/>
  <c r="P93" i="89"/>
  <c r="L94" i="89"/>
  <c r="M94" i="89"/>
  <c r="N94" i="89"/>
  <c r="O94" i="89"/>
  <c r="P94" i="89"/>
  <c r="L95" i="89"/>
  <c r="M95" i="89"/>
  <c r="N95" i="89"/>
  <c r="O95" i="89"/>
  <c r="P95" i="89"/>
  <c r="L96" i="89"/>
  <c r="M96" i="89"/>
  <c r="N96" i="89"/>
  <c r="O96" i="89"/>
  <c r="P96" i="89"/>
  <c r="L97" i="89"/>
  <c r="M97" i="89"/>
  <c r="N97" i="89"/>
  <c r="O97" i="89"/>
  <c r="P97" i="89"/>
  <c r="L98" i="89"/>
  <c r="M98" i="89"/>
  <c r="N98" i="89"/>
  <c r="O98" i="89"/>
  <c r="P98" i="89"/>
  <c r="L99" i="89"/>
  <c r="M99" i="89"/>
  <c r="N99" i="89"/>
  <c r="O99" i="89"/>
  <c r="P99" i="89"/>
  <c r="L100" i="89"/>
  <c r="M100" i="89"/>
  <c r="N100" i="89"/>
  <c r="O100" i="89"/>
  <c r="P100" i="89"/>
  <c r="L101" i="89"/>
  <c r="M101" i="89"/>
  <c r="N101" i="89"/>
  <c r="O101" i="89"/>
  <c r="P101" i="89"/>
  <c r="L102" i="89"/>
  <c r="M102" i="89"/>
  <c r="N102" i="89"/>
  <c r="O102" i="89"/>
  <c r="P102" i="89"/>
  <c r="L103" i="89"/>
  <c r="M103" i="89"/>
  <c r="N103" i="89"/>
  <c r="O103" i="89"/>
  <c r="P103" i="89"/>
  <c r="L104" i="89"/>
  <c r="M104" i="89"/>
  <c r="N104" i="89"/>
  <c r="O104" i="89"/>
  <c r="P104" i="89"/>
  <c r="L105" i="89"/>
  <c r="M105" i="89"/>
  <c r="N105" i="89"/>
  <c r="O105" i="89"/>
  <c r="P105" i="89"/>
  <c r="L106" i="89"/>
  <c r="M106" i="89"/>
  <c r="N106" i="89"/>
  <c r="O106" i="89"/>
  <c r="P106" i="89"/>
  <c r="L107" i="89"/>
  <c r="M107" i="89"/>
  <c r="N107" i="89"/>
  <c r="O107" i="89"/>
  <c r="P107" i="89"/>
  <c r="L108" i="89"/>
  <c r="M108" i="89"/>
  <c r="N108" i="89"/>
  <c r="O108" i="89"/>
  <c r="P108" i="89"/>
  <c r="L109" i="89"/>
  <c r="M109" i="89"/>
  <c r="N109" i="89"/>
  <c r="O109" i="89"/>
  <c r="P109" i="89"/>
  <c r="L110" i="89"/>
  <c r="M110" i="89"/>
  <c r="N110" i="89"/>
  <c r="O110" i="89"/>
  <c r="P110" i="89"/>
  <c r="L111" i="89"/>
  <c r="M111" i="89"/>
  <c r="N111" i="89"/>
  <c r="O111" i="89"/>
  <c r="P111" i="89"/>
  <c r="L112" i="89"/>
  <c r="M112" i="89"/>
  <c r="N112" i="89"/>
  <c r="O112" i="89"/>
  <c r="P112" i="89"/>
  <c r="L113" i="89"/>
  <c r="M113" i="89"/>
  <c r="N113" i="89"/>
  <c r="O113" i="89"/>
  <c r="P113" i="89"/>
  <c r="L114" i="89"/>
  <c r="M114" i="89"/>
  <c r="N114" i="89"/>
  <c r="O114" i="89"/>
  <c r="P114" i="89"/>
  <c r="L115" i="89"/>
  <c r="M115" i="89"/>
  <c r="N115" i="89"/>
  <c r="O115" i="89"/>
  <c r="P115" i="89"/>
  <c r="L116" i="89"/>
  <c r="M116" i="89"/>
  <c r="N116" i="89"/>
  <c r="O116" i="89"/>
  <c r="P116" i="89"/>
  <c r="L117" i="89"/>
  <c r="M117" i="89"/>
  <c r="N117" i="89"/>
  <c r="O117" i="89"/>
  <c r="P117" i="89"/>
  <c r="L118" i="89"/>
  <c r="M118" i="89"/>
  <c r="N118" i="89"/>
  <c r="O118" i="89"/>
  <c r="P118" i="89"/>
  <c r="L119" i="89"/>
  <c r="M119" i="89"/>
  <c r="N119" i="89"/>
  <c r="O119" i="89"/>
  <c r="P119" i="89"/>
  <c r="L120" i="89"/>
  <c r="M120" i="89"/>
  <c r="N120" i="89"/>
  <c r="O120" i="89"/>
  <c r="P120" i="89"/>
  <c r="L121" i="89"/>
  <c r="M121" i="89"/>
  <c r="N121" i="89"/>
  <c r="O121" i="89"/>
  <c r="P121" i="89"/>
  <c r="L122" i="89"/>
  <c r="M122" i="89"/>
  <c r="N122" i="89"/>
  <c r="O122" i="89"/>
  <c r="P122" i="89"/>
  <c r="L123" i="89"/>
  <c r="M123" i="89"/>
  <c r="N123" i="89"/>
  <c r="O123" i="89"/>
  <c r="P123" i="89"/>
  <c r="L124" i="89"/>
  <c r="M124" i="89"/>
  <c r="N124" i="89"/>
  <c r="O124" i="89"/>
  <c r="P124" i="89"/>
  <c r="L125" i="89"/>
  <c r="M125" i="89"/>
  <c r="N125" i="89"/>
  <c r="O125" i="89"/>
  <c r="P125" i="89"/>
  <c r="L126" i="89"/>
  <c r="M126" i="89"/>
  <c r="N126" i="89"/>
  <c r="O126" i="89"/>
  <c r="P126" i="89"/>
  <c r="L127" i="89"/>
  <c r="M127" i="89"/>
  <c r="N127" i="89"/>
  <c r="O127" i="89"/>
  <c r="P127" i="89"/>
  <c r="L128" i="89"/>
  <c r="M128" i="89"/>
  <c r="N128" i="89"/>
  <c r="O128" i="89"/>
  <c r="P128" i="89"/>
  <c r="L129" i="89"/>
  <c r="M129" i="89"/>
  <c r="N129" i="89"/>
  <c r="O129" i="89"/>
  <c r="P129" i="89"/>
  <c r="L130" i="89"/>
  <c r="M130" i="89"/>
  <c r="N130" i="89"/>
  <c r="O130" i="89"/>
  <c r="P130" i="89"/>
  <c r="L131" i="89"/>
  <c r="M131" i="89"/>
  <c r="N131" i="89"/>
  <c r="O131" i="89"/>
  <c r="P131" i="89"/>
  <c r="L132" i="89"/>
  <c r="M132" i="89"/>
  <c r="N132" i="89"/>
  <c r="O132" i="89"/>
  <c r="P132" i="89"/>
  <c r="L133" i="89"/>
  <c r="M133" i="89"/>
  <c r="N133" i="89"/>
  <c r="O133" i="89"/>
  <c r="P133" i="89"/>
  <c r="L134" i="89"/>
  <c r="M134" i="89"/>
  <c r="N134" i="89"/>
  <c r="O134" i="89"/>
  <c r="P134" i="89"/>
  <c r="L135" i="89"/>
  <c r="M135" i="89"/>
  <c r="N135" i="89"/>
  <c r="O135" i="89"/>
  <c r="P135" i="89"/>
  <c r="L136" i="89"/>
  <c r="M136" i="89"/>
  <c r="N136" i="89"/>
  <c r="O136" i="89"/>
  <c r="P136" i="89"/>
  <c r="L137" i="89"/>
  <c r="M137" i="89"/>
  <c r="N137" i="89"/>
  <c r="O137" i="89"/>
  <c r="P137" i="89"/>
  <c r="L138" i="89"/>
  <c r="M138" i="89"/>
  <c r="N138" i="89"/>
  <c r="O138" i="89"/>
  <c r="P138" i="89"/>
  <c r="L139" i="89"/>
  <c r="M139" i="89"/>
  <c r="N139" i="89"/>
  <c r="O139" i="89"/>
  <c r="P139" i="89"/>
  <c r="L140" i="89"/>
  <c r="M140" i="89"/>
  <c r="N140" i="89"/>
  <c r="O140" i="89"/>
  <c r="P140" i="89"/>
  <c r="L141" i="89"/>
  <c r="M141" i="89"/>
  <c r="N141" i="89"/>
  <c r="O141" i="89"/>
  <c r="P141" i="89"/>
  <c r="L142" i="89"/>
  <c r="M142" i="89"/>
  <c r="N142" i="89"/>
  <c r="O142" i="89"/>
  <c r="P142" i="89"/>
  <c r="L143" i="89"/>
  <c r="M143" i="89"/>
  <c r="N143" i="89"/>
  <c r="O143" i="89"/>
  <c r="P143" i="89"/>
  <c r="L144" i="89"/>
  <c r="M144" i="89"/>
  <c r="N144" i="89"/>
  <c r="O144" i="89"/>
  <c r="P144" i="89"/>
  <c r="L145" i="89"/>
  <c r="M145" i="89"/>
  <c r="N145" i="89"/>
  <c r="O145" i="89"/>
  <c r="P145" i="89"/>
  <c r="L146" i="89"/>
  <c r="M146" i="89"/>
  <c r="N146" i="89"/>
  <c r="O146" i="89"/>
  <c r="P146" i="89"/>
  <c r="L147" i="89"/>
  <c r="M147" i="89"/>
  <c r="N147" i="89"/>
  <c r="O147" i="89"/>
  <c r="P147" i="89"/>
  <c r="L148" i="89"/>
  <c r="M148" i="89"/>
  <c r="N148" i="89"/>
  <c r="O148" i="89"/>
  <c r="P148" i="89"/>
  <c r="L149" i="89"/>
  <c r="M149" i="89"/>
  <c r="N149" i="89"/>
  <c r="O149" i="89"/>
  <c r="P149" i="89"/>
  <c r="L150" i="89"/>
  <c r="M150" i="89"/>
  <c r="N150" i="89"/>
  <c r="O150" i="89"/>
  <c r="P150" i="89"/>
  <c r="L151" i="89"/>
  <c r="M151" i="89"/>
  <c r="N151" i="89"/>
  <c r="O151" i="89"/>
  <c r="P151" i="89"/>
  <c r="L152" i="89"/>
  <c r="M152" i="89"/>
  <c r="N152" i="89"/>
  <c r="O152" i="89"/>
  <c r="P152" i="89"/>
  <c r="L153" i="89"/>
  <c r="M153" i="89"/>
  <c r="N153" i="89"/>
  <c r="O153" i="89"/>
  <c r="P153" i="89"/>
  <c r="L154" i="89"/>
  <c r="M154" i="89"/>
  <c r="N154" i="89"/>
  <c r="O154" i="89"/>
  <c r="P154" i="89"/>
  <c r="L155" i="89"/>
  <c r="M155" i="89"/>
  <c r="N155" i="89"/>
  <c r="O155" i="89"/>
  <c r="P155" i="89"/>
  <c r="L156" i="89"/>
  <c r="M156" i="89"/>
  <c r="N156" i="89"/>
  <c r="O156" i="89"/>
  <c r="P156" i="89"/>
  <c r="L157" i="89"/>
  <c r="M157" i="89"/>
  <c r="N157" i="89"/>
  <c r="O157" i="89"/>
  <c r="P157" i="89"/>
  <c r="L158" i="89"/>
  <c r="M158" i="89"/>
  <c r="N158" i="89"/>
  <c r="O158" i="89"/>
  <c r="P158" i="89"/>
  <c r="L159" i="89"/>
  <c r="M159" i="89"/>
  <c r="N159" i="89"/>
  <c r="O159" i="89"/>
  <c r="P159" i="89"/>
  <c r="L160" i="89"/>
  <c r="M160" i="89"/>
  <c r="N160" i="89"/>
  <c r="O160" i="89"/>
  <c r="P160" i="89"/>
  <c r="L161" i="89"/>
  <c r="M161" i="89"/>
  <c r="N161" i="89"/>
  <c r="O161" i="89"/>
  <c r="P161" i="89"/>
  <c r="L162" i="89"/>
  <c r="M162" i="89"/>
  <c r="N162" i="89"/>
  <c r="O162" i="89"/>
  <c r="P162" i="89"/>
  <c r="L163" i="89"/>
  <c r="M163" i="89"/>
  <c r="N163" i="89"/>
  <c r="O163" i="89"/>
  <c r="P163" i="89"/>
  <c r="L164" i="89"/>
  <c r="M164" i="89"/>
  <c r="N164" i="89"/>
  <c r="O164" i="89"/>
  <c r="P164" i="89"/>
  <c r="L165" i="89"/>
  <c r="M165" i="89"/>
  <c r="N165" i="89"/>
  <c r="O165" i="89"/>
  <c r="P165" i="89"/>
  <c r="L166" i="89"/>
  <c r="M166" i="89"/>
  <c r="N166" i="89"/>
  <c r="O166" i="89"/>
  <c r="P166" i="89"/>
  <c r="L167" i="89"/>
  <c r="M167" i="89"/>
  <c r="N167" i="89"/>
  <c r="O167" i="89"/>
  <c r="P167" i="89"/>
  <c r="L168" i="89"/>
  <c r="M168" i="89"/>
  <c r="N168" i="89"/>
  <c r="O168" i="89"/>
  <c r="P168" i="89"/>
  <c r="L169" i="89"/>
  <c r="M169" i="89"/>
  <c r="N169" i="89"/>
  <c r="O169" i="89"/>
  <c r="P169" i="89"/>
  <c r="L170" i="89"/>
  <c r="M170" i="89"/>
  <c r="N170" i="89"/>
  <c r="O170" i="89"/>
  <c r="P170" i="89"/>
  <c r="L171" i="89"/>
  <c r="M171" i="89"/>
  <c r="N171" i="89"/>
  <c r="O171" i="89"/>
  <c r="P171" i="89"/>
  <c r="L172" i="89"/>
  <c r="M172" i="89"/>
  <c r="N172" i="89"/>
  <c r="O172" i="89"/>
  <c r="P172" i="89"/>
  <c r="L173" i="89"/>
  <c r="M173" i="89"/>
  <c r="N173" i="89"/>
  <c r="O173" i="89"/>
  <c r="P173" i="89"/>
  <c r="L174" i="89"/>
  <c r="M174" i="89"/>
  <c r="N174" i="89"/>
  <c r="O174" i="89"/>
  <c r="P174" i="89"/>
  <c r="L175" i="89"/>
  <c r="M175" i="89"/>
  <c r="N175" i="89"/>
  <c r="O175" i="89"/>
  <c r="P175" i="89"/>
  <c r="L176" i="89"/>
  <c r="M176" i="89"/>
  <c r="N176" i="89"/>
  <c r="O176" i="89"/>
  <c r="P176" i="89"/>
  <c r="L177" i="89"/>
  <c r="M177" i="89"/>
  <c r="N177" i="89"/>
  <c r="O177" i="89"/>
  <c r="P177" i="89"/>
  <c r="L178" i="89"/>
  <c r="M178" i="89"/>
  <c r="N178" i="89"/>
  <c r="O178" i="89"/>
  <c r="P178" i="89"/>
  <c r="L179" i="89"/>
  <c r="M179" i="89"/>
  <c r="N179" i="89"/>
  <c r="O179" i="89"/>
  <c r="P179" i="89"/>
  <c r="L180" i="89"/>
  <c r="M180" i="89"/>
  <c r="N180" i="89"/>
  <c r="O180" i="89"/>
  <c r="P180" i="89"/>
  <c r="L181" i="89"/>
  <c r="M181" i="89"/>
  <c r="N181" i="89"/>
  <c r="O181" i="89"/>
  <c r="P181" i="89"/>
  <c r="L182" i="89"/>
  <c r="M182" i="89"/>
  <c r="N182" i="89"/>
  <c r="O182" i="89"/>
  <c r="P182" i="89"/>
  <c r="L183" i="89"/>
  <c r="M183" i="89"/>
  <c r="N183" i="89"/>
  <c r="O183" i="89"/>
  <c r="P183" i="89"/>
  <c r="L184" i="89"/>
  <c r="M184" i="89"/>
  <c r="N184" i="89"/>
  <c r="O184" i="89"/>
  <c r="P184" i="89"/>
  <c r="L185" i="89"/>
  <c r="M185" i="89"/>
  <c r="N185" i="89"/>
  <c r="O185" i="89"/>
  <c r="P185" i="89"/>
  <c r="L186" i="89"/>
  <c r="M186" i="89"/>
  <c r="N186" i="89"/>
  <c r="O186" i="89"/>
  <c r="P186" i="89"/>
  <c r="L187" i="89"/>
  <c r="M187" i="89"/>
  <c r="N187" i="89"/>
  <c r="O187" i="89"/>
  <c r="P187" i="89"/>
  <c r="L188" i="89"/>
  <c r="M188" i="89"/>
  <c r="N188" i="89"/>
  <c r="O188" i="89"/>
  <c r="P188" i="89"/>
  <c r="L189" i="89"/>
  <c r="M189" i="89"/>
  <c r="N189" i="89"/>
  <c r="O189" i="89"/>
  <c r="P189" i="89"/>
  <c r="L190" i="89"/>
  <c r="M190" i="89"/>
  <c r="N190" i="89"/>
  <c r="O190" i="89"/>
  <c r="P190" i="89"/>
  <c r="L191" i="89"/>
  <c r="M191" i="89"/>
  <c r="N191" i="89"/>
  <c r="O191" i="89"/>
  <c r="P191" i="89"/>
  <c r="L192" i="89"/>
  <c r="M192" i="89"/>
  <c r="N192" i="89"/>
  <c r="O192" i="89"/>
  <c r="P192" i="89"/>
  <c r="L193" i="89"/>
  <c r="M193" i="89"/>
  <c r="N193" i="89"/>
  <c r="O193" i="89"/>
  <c r="P193" i="89"/>
  <c r="L194" i="89"/>
  <c r="M194" i="89"/>
  <c r="N194" i="89"/>
  <c r="O194" i="89"/>
  <c r="P194" i="89"/>
  <c r="L195" i="89"/>
  <c r="M195" i="89"/>
  <c r="N195" i="89"/>
  <c r="O195" i="89"/>
  <c r="P195" i="89"/>
  <c r="L196" i="89"/>
  <c r="M196" i="89"/>
  <c r="N196" i="89"/>
  <c r="O196" i="89"/>
  <c r="P196" i="89"/>
  <c r="L197" i="89"/>
  <c r="M197" i="89"/>
  <c r="N197" i="89"/>
  <c r="O197" i="89"/>
  <c r="P197" i="89"/>
  <c r="L198" i="89"/>
  <c r="M198" i="89"/>
  <c r="N198" i="89"/>
  <c r="O198" i="89"/>
  <c r="P198" i="89"/>
  <c r="L199" i="89"/>
  <c r="M199" i="89"/>
  <c r="N199" i="89"/>
  <c r="O199" i="89"/>
  <c r="P199" i="89"/>
  <c r="L200" i="89"/>
  <c r="M200" i="89"/>
  <c r="N200" i="89"/>
  <c r="O200" i="89"/>
  <c r="P200" i="89"/>
  <c r="L201" i="89"/>
  <c r="M201" i="89"/>
  <c r="N201" i="89"/>
  <c r="O201" i="89"/>
  <c r="P201" i="89"/>
  <c r="L202" i="89"/>
  <c r="M202" i="89"/>
  <c r="N202" i="89"/>
  <c r="O202" i="89"/>
  <c r="P202" i="89"/>
  <c r="L203" i="89"/>
  <c r="M203" i="89"/>
  <c r="N203" i="89"/>
  <c r="O203" i="89"/>
  <c r="P203" i="89"/>
  <c r="L204" i="89"/>
  <c r="M204" i="89"/>
  <c r="N204" i="89"/>
  <c r="O204" i="89"/>
  <c r="P204" i="89"/>
  <c r="L205" i="89"/>
  <c r="M205" i="89"/>
  <c r="N205" i="89"/>
  <c r="O205" i="89"/>
  <c r="P205" i="89"/>
  <c r="L206" i="89"/>
  <c r="M206" i="89"/>
  <c r="N206" i="89"/>
  <c r="O206" i="89"/>
  <c r="P206" i="89"/>
  <c r="L207" i="89"/>
  <c r="M207" i="89"/>
  <c r="N207" i="89"/>
  <c r="O207" i="89"/>
  <c r="P207" i="89"/>
  <c r="L208" i="89"/>
  <c r="M208" i="89"/>
  <c r="N208" i="89"/>
  <c r="O208" i="89"/>
  <c r="P208" i="89"/>
  <c r="L209" i="89"/>
  <c r="M209" i="89"/>
  <c r="N209" i="89"/>
  <c r="O209" i="89"/>
  <c r="P209" i="89"/>
  <c r="L210" i="89"/>
  <c r="M210" i="89"/>
  <c r="N210" i="89"/>
  <c r="O210" i="89"/>
  <c r="P210" i="89"/>
  <c r="L211" i="89"/>
  <c r="M211" i="89"/>
  <c r="N211" i="89"/>
  <c r="O211" i="89"/>
  <c r="P211" i="89"/>
  <c r="L212" i="89"/>
  <c r="M212" i="89"/>
  <c r="N212" i="89"/>
  <c r="O212" i="89"/>
  <c r="P212" i="89"/>
  <c r="L213" i="89"/>
  <c r="M213" i="89"/>
  <c r="N213" i="89"/>
  <c r="O213" i="89"/>
  <c r="P213" i="89"/>
  <c r="L214" i="89"/>
  <c r="M214" i="89"/>
  <c r="N214" i="89"/>
  <c r="O214" i="89"/>
  <c r="P214" i="89"/>
  <c r="L215" i="89"/>
  <c r="M215" i="89"/>
  <c r="N215" i="89"/>
  <c r="O215" i="89"/>
  <c r="P215" i="89"/>
  <c r="L216" i="89"/>
  <c r="M216" i="89"/>
  <c r="N216" i="89"/>
  <c r="O216" i="89"/>
  <c r="P216" i="89"/>
  <c r="L217" i="89"/>
  <c r="M217" i="89"/>
  <c r="N217" i="89"/>
  <c r="O217" i="89"/>
  <c r="P217" i="89"/>
  <c r="L218" i="89"/>
  <c r="M218" i="89"/>
  <c r="N218" i="89"/>
  <c r="O218" i="89"/>
  <c r="P218" i="89"/>
  <c r="L219" i="89"/>
  <c r="M219" i="89"/>
  <c r="N219" i="89"/>
  <c r="O219" i="89"/>
  <c r="P219" i="89"/>
  <c r="L220" i="89"/>
  <c r="M220" i="89"/>
  <c r="N220" i="89"/>
  <c r="O220" i="89"/>
  <c r="P220" i="89"/>
  <c r="L221" i="89"/>
  <c r="M221" i="89"/>
  <c r="N221" i="89"/>
  <c r="O221" i="89"/>
  <c r="P221" i="89"/>
  <c r="L222" i="89"/>
  <c r="M222" i="89"/>
  <c r="N222" i="89"/>
  <c r="O222" i="89"/>
  <c r="P222" i="89"/>
  <c r="L223" i="89"/>
  <c r="M223" i="89"/>
  <c r="N223" i="89"/>
  <c r="O223" i="89"/>
  <c r="P223" i="89"/>
  <c r="L224" i="89"/>
  <c r="M224" i="89"/>
  <c r="N224" i="89"/>
  <c r="O224" i="89"/>
  <c r="P224" i="89"/>
  <c r="L225" i="89"/>
  <c r="M225" i="89"/>
  <c r="N225" i="89"/>
  <c r="O225" i="89"/>
  <c r="P225" i="89"/>
  <c r="L226" i="89"/>
  <c r="M226" i="89"/>
  <c r="N226" i="89"/>
  <c r="O226" i="89"/>
  <c r="P226" i="89"/>
  <c r="L227" i="89"/>
  <c r="M227" i="89"/>
  <c r="N227" i="89"/>
  <c r="O227" i="89"/>
  <c r="P227" i="89"/>
  <c r="L228" i="89"/>
  <c r="M228" i="89"/>
  <c r="N228" i="89"/>
  <c r="O228" i="89"/>
  <c r="P228" i="89"/>
  <c r="L229" i="89"/>
  <c r="M229" i="89"/>
  <c r="N229" i="89"/>
  <c r="O229" i="89"/>
  <c r="P229" i="89"/>
  <c r="L230" i="89"/>
  <c r="M230" i="89"/>
  <c r="N230" i="89"/>
  <c r="O230" i="89"/>
  <c r="P230" i="89"/>
  <c r="L231" i="89"/>
  <c r="M231" i="89"/>
  <c r="N231" i="89"/>
  <c r="O231" i="89"/>
  <c r="P231" i="89"/>
  <c r="L232" i="89"/>
  <c r="M232" i="89"/>
  <c r="N232" i="89"/>
  <c r="O232" i="89"/>
  <c r="P232" i="89"/>
  <c r="L233" i="89"/>
  <c r="M233" i="89"/>
  <c r="N233" i="89"/>
  <c r="O233" i="89"/>
  <c r="P233" i="89"/>
  <c r="L234" i="89"/>
  <c r="M234" i="89"/>
  <c r="N234" i="89"/>
  <c r="O234" i="89"/>
  <c r="P234" i="89"/>
  <c r="L235" i="89"/>
  <c r="M235" i="89"/>
  <c r="N235" i="89"/>
  <c r="O235" i="89"/>
  <c r="P235" i="89"/>
  <c r="L236" i="89"/>
  <c r="M236" i="89"/>
  <c r="N236" i="89"/>
  <c r="O236" i="89"/>
  <c r="P236" i="89"/>
  <c r="L237" i="89"/>
  <c r="M237" i="89"/>
  <c r="N237" i="89"/>
  <c r="O237" i="89"/>
  <c r="P237" i="89"/>
  <c r="L238" i="89"/>
  <c r="M238" i="89"/>
  <c r="N238" i="89"/>
  <c r="O238" i="89"/>
  <c r="P238" i="89"/>
  <c r="L239" i="89"/>
  <c r="M239" i="89"/>
  <c r="N239" i="89"/>
  <c r="O239" i="89"/>
  <c r="P239" i="89"/>
  <c r="L240" i="89"/>
  <c r="M240" i="89"/>
  <c r="N240" i="89"/>
  <c r="O240" i="89"/>
  <c r="P240" i="89"/>
  <c r="L241" i="89"/>
  <c r="M241" i="89"/>
  <c r="N241" i="89"/>
  <c r="O241" i="89"/>
  <c r="P241" i="89"/>
  <c r="L242" i="89"/>
  <c r="M242" i="89"/>
  <c r="N242" i="89"/>
  <c r="O242" i="89"/>
  <c r="P242" i="89"/>
  <c r="L243" i="89"/>
  <c r="M243" i="89"/>
  <c r="N243" i="89"/>
  <c r="O243" i="89"/>
  <c r="P243" i="89"/>
  <c r="L244" i="89"/>
  <c r="M244" i="89"/>
  <c r="N244" i="89"/>
  <c r="O244" i="89"/>
  <c r="P244" i="89"/>
  <c r="L245" i="89"/>
  <c r="M245" i="89"/>
  <c r="N245" i="89"/>
  <c r="O245" i="89"/>
  <c r="P245" i="89"/>
  <c r="L246" i="89"/>
  <c r="M246" i="89"/>
  <c r="N246" i="89"/>
  <c r="O246" i="89"/>
  <c r="P246" i="89"/>
  <c r="L247" i="89"/>
  <c r="M247" i="89"/>
  <c r="N247" i="89"/>
  <c r="O247" i="89"/>
  <c r="P247" i="89"/>
  <c r="L248" i="89"/>
  <c r="M248" i="89"/>
  <c r="N248" i="89"/>
  <c r="O248" i="89"/>
  <c r="P248" i="89"/>
  <c r="L249" i="89"/>
  <c r="M249" i="89"/>
  <c r="N249" i="89"/>
  <c r="O249" i="89"/>
  <c r="P249" i="89"/>
  <c r="L250" i="89"/>
  <c r="M250" i="89"/>
  <c r="N250" i="89"/>
  <c r="O250" i="89"/>
  <c r="P250" i="89"/>
  <c r="L251" i="89"/>
  <c r="M251" i="89"/>
  <c r="N251" i="89"/>
  <c r="O251" i="89"/>
  <c r="P251" i="89"/>
  <c r="L252" i="89"/>
  <c r="M252" i="89"/>
  <c r="N252" i="89"/>
  <c r="O252" i="89"/>
  <c r="P252" i="89"/>
  <c r="L253" i="89"/>
  <c r="M253" i="89"/>
  <c r="N253" i="89"/>
  <c r="O253" i="89"/>
  <c r="P253" i="89"/>
  <c r="L254" i="89"/>
  <c r="M254" i="89"/>
  <c r="N254" i="89"/>
  <c r="O254" i="89"/>
  <c r="P254" i="89"/>
  <c r="L255" i="89"/>
  <c r="M255" i="89"/>
  <c r="N255" i="89"/>
  <c r="O255" i="89"/>
  <c r="P255" i="89"/>
  <c r="L256" i="89"/>
  <c r="M256" i="89"/>
  <c r="N256" i="89"/>
  <c r="O256" i="89"/>
  <c r="P256" i="89"/>
  <c r="L257" i="89"/>
  <c r="M257" i="89"/>
  <c r="N257" i="89"/>
  <c r="O257" i="89"/>
  <c r="P257" i="89"/>
  <c r="L258" i="89"/>
  <c r="M258" i="89"/>
  <c r="N258" i="89"/>
  <c r="O258" i="89"/>
  <c r="P258" i="89"/>
  <c r="L259" i="89"/>
  <c r="M259" i="89"/>
  <c r="N259" i="89"/>
  <c r="O259" i="89"/>
  <c r="P259" i="89"/>
  <c r="L260" i="89"/>
  <c r="M260" i="89"/>
  <c r="N260" i="89"/>
  <c r="O260" i="89"/>
  <c r="P260" i="89"/>
  <c r="L261" i="89"/>
  <c r="M261" i="89"/>
  <c r="N261" i="89"/>
  <c r="O261" i="89"/>
  <c r="P261" i="89"/>
  <c r="L262" i="89"/>
  <c r="M262" i="89"/>
  <c r="N262" i="89"/>
  <c r="O262" i="89"/>
  <c r="P262" i="89"/>
  <c r="L263" i="89"/>
  <c r="M263" i="89"/>
  <c r="N263" i="89"/>
  <c r="O263" i="89"/>
  <c r="P263" i="89"/>
  <c r="L264" i="89"/>
  <c r="M264" i="89"/>
  <c r="N264" i="89"/>
  <c r="O264" i="89"/>
  <c r="P264" i="89"/>
  <c r="L265" i="89"/>
  <c r="M265" i="89"/>
  <c r="N265" i="89"/>
  <c r="O265" i="89"/>
  <c r="P265" i="89"/>
  <c r="L266" i="89"/>
  <c r="M266" i="89"/>
  <c r="N266" i="89"/>
  <c r="O266" i="89"/>
  <c r="P266" i="89"/>
  <c r="L267" i="89"/>
  <c r="M267" i="89"/>
  <c r="N267" i="89"/>
  <c r="O267" i="89"/>
  <c r="P267" i="89"/>
  <c r="L268" i="89"/>
  <c r="M268" i="89"/>
  <c r="N268" i="89"/>
  <c r="O268" i="89"/>
  <c r="P268" i="89"/>
  <c r="L269" i="89"/>
  <c r="M269" i="89"/>
  <c r="N269" i="89"/>
  <c r="O269" i="89"/>
  <c r="P269" i="89"/>
  <c r="L270" i="89"/>
  <c r="M270" i="89"/>
  <c r="N270" i="89"/>
  <c r="O270" i="89"/>
  <c r="P270" i="89"/>
  <c r="L271" i="89"/>
  <c r="M271" i="89"/>
  <c r="N271" i="89"/>
  <c r="O271" i="89"/>
  <c r="P271" i="89"/>
  <c r="L272" i="89"/>
  <c r="M272" i="89"/>
  <c r="N272" i="89"/>
  <c r="O272" i="89"/>
  <c r="P272" i="89"/>
  <c r="L273" i="89"/>
  <c r="M273" i="89"/>
  <c r="N273" i="89"/>
  <c r="O273" i="89"/>
  <c r="P273" i="89"/>
  <c r="L274" i="89"/>
  <c r="M274" i="89"/>
  <c r="N274" i="89"/>
  <c r="O274" i="89"/>
  <c r="P274" i="89"/>
  <c r="L275" i="89"/>
  <c r="M275" i="89"/>
  <c r="N275" i="89"/>
  <c r="O275" i="89"/>
  <c r="P275" i="89"/>
  <c r="L276" i="89"/>
  <c r="M276" i="89"/>
  <c r="N276" i="89"/>
  <c r="O276" i="89"/>
  <c r="P276" i="89"/>
  <c r="L277" i="89"/>
  <c r="M277" i="89"/>
  <c r="N277" i="89"/>
  <c r="O277" i="89"/>
  <c r="P277" i="89"/>
  <c r="L278" i="89"/>
  <c r="M278" i="89"/>
  <c r="N278" i="89"/>
  <c r="O278" i="89"/>
  <c r="P278" i="89"/>
  <c r="L279" i="89"/>
  <c r="M279" i="89"/>
  <c r="N279" i="89"/>
  <c r="O279" i="89"/>
  <c r="P279" i="89"/>
  <c r="L280" i="89"/>
  <c r="M280" i="89"/>
  <c r="N280" i="89"/>
  <c r="O280" i="89"/>
  <c r="P280" i="89"/>
  <c r="L281" i="89"/>
  <c r="M281" i="89"/>
  <c r="N281" i="89"/>
  <c r="O281" i="89"/>
  <c r="P281" i="89"/>
  <c r="L282" i="89"/>
  <c r="M282" i="89"/>
  <c r="N282" i="89"/>
  <c r="O282" i="89"/>
  <c r="P282" i="89"/>
  <c r="L283" i="89"/>
  <c r="M283" i="89"/>
  <c r="N283" i="89"/>
  <c r="O283" i="89"/>
  <c r="P283" i="89"/>
  <c r="L284" i="89"/>
  <c r="M284" i="89"/>
  <c r="N284" i="89"/>
  <c r="O284" i="89"/>
  <c r="P284" i="89"/>
  <c r="L285" i="89"/>
  <c r="M285" i="89"/>
  <c r="N285" i="89"/>
  <c r="O285" i="89"/>
  <c r="P285" i="89"/>
  <c r="L286" i="89"/>
  <c r="M286" i="89"/>
  <c r="N286" i="89"/>
  <c r="O286" i="89"/>
  <c r="P286" i="89"/>
  <c r="L287" i="89"/>
  <c r="M287" i="89"/>
  <c r="N287" i="89"/>
  <c r="O287" i="89"/>
  <c r="P287" i="89"/>
  <c r="L288" i="89"/>
  <c r="M288" i="89"/>
  <c r="N288" i="89"/>
  <c r="O288" i="89"/>
  <c r="P288" i="89"/>
  <c r="L289" i="89"/>
  <c r="M289" i="89"/>
  <c r="N289" i="89"/>
  <c r="O289" i="89"/>
  <c r="P289" i="89"/>
  <c r="L290" i="89"/>
  <c r="M290" i="89"/>
  <c r="N290" i="89"/>
  <c r="O290" i="89"/>
  <c r="P290" i="89"/>
  <c r="L291" i="89"/>
  <c r="M291" i="89"/>
  <c r="N291" i="89"/>
  <c r="O291" i="89"/>
  <c r="P291" i="89"/>
  <c r="L292" i="89"/>
  <c r="M292" i="89"/>
  <c r="N292" i="89"/>
  <c r="O292" i="89"/>
  <c r="P292" i="89"/>
  <c r="L293" i="89"/>
  <c r="M293" i="89"/>
  <c r="N293" i="89"/>
  <c r="O293" i="89"/>
  <c r="P293" i="89"/>
  <c r="L294" i="89"/>
  <c r="M294" i="89"/>
  <c r="N294" i="89"/>
  <c r="O294" i="89"/>
  <c r="P294" i="89"/>
  <c r="L295" i="89"/>
  <c r="M295" i="89"/>
  <c r="N295" i="89"/>
  <c r="O295" i="89"/>
  <c r="P295" i="89"/>
  <c r="L296" i="89"/>
  <c r="M296" i="89"/>
  <c r="N296" i="89"/>
  <c r="O296" i="89"/>
  <c r="P296" i="89"/>
  <c r="L297" i="89"/>
  <c r="M297" i="89"/>
  <c r="N297" i="89"/>
  <c r="O297" i="89"/>
  <c r="P297" i="89"/>
  <c r="L298" i="89"/>
  <c r="M298" i="89"/>
  <c r="N298" i="89"/>
  <c r="O298" i="89"/>
  <c r="P298" i="89"/>
  <c r="L299" i="89"/>
  <c r="M299" i="89"/>
  <c r="N299" i="89"/>
  <c r="O299" i="89"/>
  <c r="P299" i="89"/>
  <c r="L300" i="89"/>
  <c r="M300" i="89"/>
  <c r="N300" i="89"/>
  <c r="O300" i="89"/>
  <c r="P300" i="89"/>
  <c r="L301" i="89"/>
  <c r="M301" i="89"/>
  <c r="N301" i="89"/>
  <c r="O301" i="89"/>
  <c r="P301" i="89"/>
  <c r="L302" i="89"/>
  <c r="M302" i="89"/>
  <c r="N302" i="89"/>
  <c r="O302" i="89"/>
  <c r="P302" i="89"/>
  <c r="L303" i="89"/>
  <c r="M303" i="89"/>
  <c r="N303" i="89"/>
  <c r="O303" i="89"/>
  <c r="P303" i="89"/>
  <c r="L304" i="89"/>
  <c r="M304" i="89"/>
  <c r="N304" i="89"/>
  <c r="O304" i="89"/>
  <c r="P304" i="89"/>
  <c r="L305" i="89"/>
  <c r="M305" i="89"/>
  <c r="N305" i="89"/>
  <c r="O305" i="89"/>
  <c r="P305" i="89"/>
  <c r="L306" i="89"/>
  <c r="M306" i="89"/>
  <c r="N306" i="89"/>
  <c r="O306" i="89"/>
  <c r="P306" i="89"/>
  <c r="L307" i="89"/>
  <c r="M307" i="89"/>
  <c r="N307" i="89"/>
  <c r="O307" i="89"/>
  <c r="P307" i="89"/>
  <c r="L308" i="89"/>
  <c r="M308" i="89"/>
  <c r="N308" i="89"/>
  <c r="O308" i="89"/>
  <c r="P308" i="89"/>
  <c r="L309" i="89"/>
  <c r="M309" i="89"/>
  <c r="N309" i="89"/>
  <c r="O309" i="89"/>
  <c r="P309" i="89"/>
  <c r="L310" i="89"/>
  <c r="M310" i="89"/>
  <c r="N310" i="89"/>
  <c r="O310" i="89"/>
  <c r="P310" i="89"/>
  <c r="L311" i="89"/>
  <c r="M311" i="89"/>
  <c r="N311" i="89"/>
  <c r="O311" i="89"/>
  <c r="P311" i="89"/>
  <c r="L312" i="89"/>
  <c r="M312" i="89"/>
  <c r="N312" i="89"/>
  <c r="O312" i="89"/>
  <c r="P312" i="89"/>
  <c r="L313" i="89"/>
  <c r="M313" i="89"/>
  <c r="N313" i="89"/>
  <c r="O313" i="89"/>
  <c r="P313" i="89"/>
  <c r="L314" i="89"/>
  <c r="M314" i="89"/>
  <c r="N314" i="89"/>
  <c r="O314" i="89"/>
  <c r="P314" i="89"/>
  <c r="L315" i="89"/>
  <c r="M315" i="89"/>
  <c r="N315" i="89"/>
  <c r="O315" i="89"/>
  <c r="P315" i="89"/>
  <c r="L316" i="89"/>
  <c r="M316" i="89"/>
  <c r="N316" i="89"/>
  <c r="O316" i="89"/>
  <c r="P316" i="89"/>
  <c r="L317" i="89"/>
  <c r="M317" i="89"/>
  <c r="N317" i="89"/>
  <c r="O317" i="89"/>
  <c r="P317" i="89"/>
  <c r="L318" i="89"/>
  <c r="M318" i="89"/>
  <c r="N318" i="89"/>
  <c r="O318" i="89"/>
  <c r="P318" i="89"/>
  <c r="L319" i="89"/>
  <c r="M319" i="89"/>
  <c r="N319" i="89"/>
  <c r="O319" i="89"/>
  <c r="P319" i="89"/>
  <c r="L320" i="89"/>
  <c r="M320" i="89"/>
  <c r="N320" i="89"/>
  <c r="O320" i="89"/>
  <c r="P320" i="89"/>
  <c r="L321" i="89"/>
  <c r="M321" i="89"/>
  <c r="N321" i="89"/>
  <c r="O321" i="89"/>
  <c r="P321" i="89"/>
  <c r="L322" i="89"/>
  <c r="M322" i="89"/>
  <c r="N322" i="89"/>
  <c r="O322" i="89"/>
  <c r="P322" i="89"/>
  <c r="L323" i="89"/>
  <c r="M323" i="89"/>
  <c r="N323" i="89"/>
  <c r="O323" i="89"/>
  <c r="P323" i="89"/>
  <c r="L324" i="89"/>
  <c r="M324" i="89"/>
  <c r="N324" i="89"/>
  <c r="O324" i="89"/>
  <c r="P324" i="89"/>
  <c r="L325" i="89"/>
  <c r="M325" i="89"/>
  <c r="N325" i="89"/>
  <c r="O325" i="89"/>
  <c r="P325" i="89"/>
  <c r="L326" i="89"/>
  <c r="M326" i="89"/>
  <c r="N326" i="89"/>
  <c r="O326" i="89"/>
  <c r="P326" i="89"/>
  <c r="L327" i="89"/>
  <c r="M327" i="89"/>
  <c r="N327" i="89"/>
  <c r="O327" i="89"/>
  <c r="P327" i="89"/>
  <c r="L328" i="89"/>
  <c r="M328" i="89"/>
  <c r="N328" i="89"/>
  <c r="O328" i="89"/>
  <c r="P328" i="89"/>
  <c r="L329" i="89"/>
  <c r="M329" i="89"/>
  <c r="N329" i="89"/>
  <c r="O329" i="89"/>
  <c r="P329" i="89"/>
  <c r="L330" i="89"/>
  <c r="M330" i="89"/>
  <c r="N330" i="89"/>
  <c r="O330" i="89"/>
  <c r="P330" i="89"/>
  <c r="L331" i="89"/>
  <c r="M331" i="89"/>
  <c r="N331" i="89"/>
  <c r="O331" i="89"/>
  <c r="P331" i="89"/>
  <c r="L332" i="89"/>
  <c r="M332" i="89"/>
  <c r="N332" i="89"/>
  <c r="O332" i="89"/>
  <c r="P332" i="89"/>
  <c r="L333" i="89"/>
  <c r="M333" i="89"/>
  <c r="N333" i="89"/>
  <c r="O333" i="89"/>
  <c r="P333" i="89"/>
  <c r="L334" i="89"/>
  <c r="M334" i="89"/>
  <c r="N334" i="89"/>
  <c r="O334" i="89"/>
  <c r="P334" i="89"/>
  <c r="L335" i="89"/>
  <c r="M335" i="89"/>
  <c r="N335" i="89"/>
  <c r="O335" i="89"/>
  <c r="P335" i="89"/>
  <c r="L336" i="89"/>
  <c r="M336" i="89"/>
  <c r="N336" i="89"/>
  <c r="O336" i="89"/>
  <c r="P336" i="89"/>
  <c r="L337" i="89"/>
  <c r="M337" i="89"/>
  <c r="N337" i="89"/>
  <c r="O337" i="89"/>
  <c r="P337" i="89"/>
  <c r="L338" i="89"/>
  <c r="M338" i="89"/>
  <c r="N338" i="89"/>
  <c r="O338" i="89"/>
  <c r="P338" i="89"/>
  <c r="L339" i="89"/>
  <c r="M339" i="89"/>
  <c r="N339" i="89"/>
  <c r="O339" i="89"/>
  <c r="P339" i="89"/>
  <c r="L340" i="89"/>
  <c r="M340" i="89"/>
  <c r="N340" i="89"/>
  <c r="O340" i="89"/>
  <c r="P340" i="89"/>
  <c r="L341" i="89"/>
  <c r="M341" i="89"/>
  <c r="N341" i="89"/>
  <c r="O341" i="89"/>
  <c r="P341" i="89"/>
  <c r="L342" i="89"/>
  <c r="M342" i="89"/>
  <c r="N342" i="89"/>
  <c r="O342" i="89"/>
  <c r="P342" i="89"/>
  <c r="L343" i="89"/>
  <c r="M343" i="89"/>
  <c r="N343" i="89"/>
  <c r="O343" i="89"/>
  <c r="P343" i="89"/>
  <c r="L344" i="89"/>
  <c r="M344" i="89"/>
  <c r="N344" i="89"/>
  <c r="O344" i="89"/>
  <c r="P344" i="89"/>
  <c r="L345" i="89"/>
  <c r="M345" i="89"/>
  <c r="N345" i="89"/>
  <c r="O345" i="89"/>
  <c r="P345" i="89"/>
  <c r="L346" i="89"/>
  <c r="M346" i="89"/>
  <c r="N346" i="89"/>
  <c r="O346" i="89"/>
  <c r="P346" i="89"/>
  <c r="L347" i="89"/>
  <c r="M347" i="89"/>
  <c r="N347" i="89"/>
  <c r="O347" i="89"/>
  <c r="P347" i="89"/>
  <c r="L348" i="89"/>
  <c r="M348" i="89"/>
  <c r="N348" i="89"/>
  <c r="O348" i="89"/>
  <c r="P348" i="89"/>
  <c r="L349" i="89"/>
  <c r="M349" i="89"/>
  <c r="N349" i="89"/>
  <c r="O349" i="89"/>
  <c r="P349" i="89"/>
  <c r="L350" i="89"/>
  <c r="M350" i="89"/>
  <c r="N350" i="89"/>
  <c r="O350" i="89"/>
  <c r="P350" i="89"/>
  <c r="L351" i="89"/>
  <c r="M351" i="89"/>
  <c r="N351" i="89"/>
  <c r="O351" i="89"/>
  <c r="P351" i="89"/>
  <c r="L352" i="89"/>
  <c r="M352" i="89"/>
  <c r="N352" i="89"/>
  <c r="O352" i="89"/>
  <c r="P352" i="89"/>
  <c r="L353" i="89"/>
  <c r="M353" i="89"/>
  <c r="N353" i="89"/>
  <c r="O353" i="89"/>
  <c r="P353" i="89"/>
  <c r="L354" i="89"/>
  <c r="M354" i="89"/>
  <c r="N354" i="89"/>
  <c r="O354" i="89"/>
  <c r="P354" i="89"/>
  <c r="L355" i="89"/>
  <c r="M355" i="89"/>
  <c r="N355" i="89"/>
  <c r="O355" i="89"/>
  <c r="P355" i="89"/>
  <c r="L356" i="89"/>
  <c r="M356" i="89"/>
  <c r="N356" i="89"/>
  <c r="O356" i="89"/>
  <c r="P356" i="89"/>
  <c r="L357" i="89"/>
  <c r="M357" i="89"/>
  <c r="N357" i="89"/>
  <c r="O357" i="89"/>
  <c r="P357" i="89"/>
  <c r="L358" i="89"/>
  <c r="M358" i="89"/>
  <c r="N358" i="89"/>
  <c r="O358" i="89"/>
  <c r="P358" i="89"/>
  <c r="L359" i="89"/>
  <c r="M359" i="89"/>
  <c r="N359" i="89"/>
  <c r="O359" i="89"/>
  <c r="P359" i="89"/>
  <c r="L360" i="89"/>
  <c r="M360" i="89"/>
  <c r="N360" i="89"/>
  <c r="O360" i="89"/>
  <c r="P360" i="89"/>
  <c r="L361" i="89"/>
  <c r="M361" i="89"/>
  <c r="N361" i="89"/>
  <c r="O361" i="89"/>
  <c r="P361" i="89"/>
  <c r="L362" i="89"/>
  <c r="M362" i="89"/>
  <c r="N362" i="89"/>
  <c r="O362" i="89"/>
  <c r="P362" i="89"/>
  <c r="L363" i="89"/>
  <c r="M363" i="89"/>
  <c r="N363" i="89"/>
  <c r="O363" i="89"/>
  <c r="P363" i="89"/>
  <c r="L364" i="89"/>
  <c r="M364" i="89"/>
  <c r="N364" i="89"/>
  <c r="O364" i="89"/>
  <c r="P364" i="89"/>
  <c r="L365" i="89"/>
  <c r="M365" i="89"/>
  <c r="N365" i="89"/>
  <c r="O365" i="89"/>
  <c r="P365" i="89"/>
  <c r="L366" i="89"/>
  <c r="M366" i="89"/>
  <c r="N366" i="89"/>
  <c r="O366" i="89"/>
  <c r="P366" i="89"/>
  <c r="L367" i="89"/>
  <c r="M367" i="89"/>
  <c r="N367" i="89"/>
  <c r="O367" i="89"/>
  <c r="P367" i="89"/>
  <c r="P8" i="89"/>
  <c r="M8" i="89"/>
  <c r="N8" i="89"/>
  <c r="O8" i="89"/>
  <c r="L8" i="89"/>
  <c r="X22" i="93"/>
  <c r="X21" i="93"/>
  <c r="X20" i="93"/>
  <c r="X19" i="93"/>
  <c r="X17" i="93"/>
  <c r="X16" i="93"/>
  <c r="X15" i="93"/>
  <c r="X14" i="93"/>
  <c r="X12" i="93"/>
  <c r="X11" i="93"/>
  <c r="X10" i="93"/>
  <c r="X9" i="93"/>
  <c r="X69" i="87"/>
  <c r="X68" i="87"/>
  <c r="X67" i="87"/>
  <c r="X66" i="87"/>
  <c r="X65" i="87"/>
  <c r="X64" i="87"/>
  <c r="X63" i="87"/>
  <c r="X62" i="87"/>
  <c r="X61" i="87"/>
  <c r="X60" i="87"/>
  <c r="X59" i="87"/>
  <c r="X58" i="87"/>
  <c r="X57" i="87"/>
  <c r="X56" i="87"/>
  <c r="X55" i="87"/>
  <c r="X54" i="87"/>
  <c r="X53" i="87"/>
  <c r="X52" i="87"/>
  <c r="X51" i="87"/>
  <c r="X50" i="87"/>
  <c r="X49" i="87"/>
  <c r="X48" i="87"/>
  <c r="X47" i="87"/>
  <c r="X46" i="87"/>
  <c r="X45" i="87"/>
  <c r="X44" i="87"/>
  <c r="X43" i="87"/>
  <c r="X42" i="87"/>
  <c r="X41" i="87"/>
  <c r="X40" i="87"/>
  <c r="X39" i="87"/>
  <c r="X38" i="87"/>
  <c r="X37" i="87"/>
  <c r="X36" i="87"/>
  <c r="X35" i="87"/>
  <c r="X34" i="87"/>
  <c r="X33" i="87"/>
  <c r="X32" i="87"/>
  <c r="X31" i="87"/>
  <c r="X30" i="87"/>
  <c r="X29" i="87"/>
  <c r="X28" i="87"/>
  <c r="X27" i="87"/>
  <c r="X26" i="87"/>
  <c r="X25" i="87"/>
  <c r="X24" i="87"/>
  <c r="X23" i="87"/>
  <c r="X22" i="87"/>
  <c r="X21" i="87"/>
  <c r="X20" i="87"/>
  <c r="X19" i="87"/>
  <c r="X17" i="87"/>
  <c r="X16" i="87"/>
  <c r="X15" i="87"/>
  <c r="X14" i="87"/>
  <c r="X12" i="87"/>
  <c r="X11" i="87"/>
  <c r="X10" i="87"/>
  <c r="X9" i="87"/>
  <c r="X23" i="85"/>
  <c r="X22" i="85"/>
  <c r="X21" i="85"/>
  <c r="X20" i="85"/>
  <c r="X19" i="85"/>
  <c r="X17" i="85"/>
  <c r="X16" i="85"/>
  <c r="X15" i="85"/>
  <c r="X14" i="85"/>
  <c r="X12" i="85"/>
  <c r="X11" i="85"/>
  <c r="X10" i="85"/>
  <c r="X9" i="85"/>
  <c r="D8" i="82"/>
  <c r="E9" i="82" s="1"/>
  <c r="AK21" i="93"/>
  <c r="AJ21" i="93"/>
  <c r="AI21" i="93"/>
  <c r="AH21" i="93"/>
  <c r="AG21" i="93"/>
  <c r="AF21" i="93"/>
  <c r="AE21" i="93"/>
  <c r="AK20" i="93"/>
  <c r="AJ20" i="93"/>
  <c r="AI20" i="93"/>
  <c r="AH20" i="93"/>
  <c r="AG20" i="93"/>
  <c r="AF20" i="93"/>
  <c r="AE20" i="93"/>
  <c r="AK19" i="93"/>
  <c r="AJ19" i="93"/>
  <c r="AI19" i="93"/>
  <c r="AH19" i="93"/>
  <c r="AG19" i="93"/>
  <c r="AF19" i="93"/>
  <c r="AE19" i="93"/>
  <c r="AK16" i="93"/>
  <c r="AJ16" i="93"/>
  <c r="AI16" i="93"/>
  <c r="AH16" i="93"/>
  <c r="AG16" i="93"/>
  <c r="AF16" i="93"/>
  <c r="AE16" i="93"/>
  <c r="AK15" i="93"/>
  <c r="AJ15" i="93"/>
  <c r="AI15" i="93"/>
  <c r="AH15" i="93"/>
  <c r="AG15" i="93"/>
  <c r="AF15" i="93"/>
  <c r="AE15" i="93"/>
  <c r="AK14" i="93"/>
  <c r="AJ14" i="93"/>
  <c r="AI14" i="93"/>
  <c r="AH14" i="93"/>
  <c r="AG14" i="93"/>
  <c r="AF14" i="93"/>
  <c r="AE14" i="93"/>
  <c r="AK11" i="93"/>
  <c r="AJ11" i="93"/>
  <c r="AI11" i="93"/>
  <c r="AH11" i="93"/>
  <c r="AG11" i="93"/>
  <c r="AF11" i="93"/>
  <c r="AE11" i="93"/>
  <c r="AK10" i="93"/>
  <c r="AJ10" i="93"/>
  <c r="AI10" i="93"/>
  <c r="AH10" i="93"/>
  <c r="AG10" i="93"/>
  <c r="AF10" i="93"/>
  <c r="AE10" i="93"/>
  <c r="AK9" i="93"/>
  <c r="AJ9" i="93"/>
  <c r="AI9" i="93"/>
  <c r="AH9" i="93"/>
  <c r="AG9" i="93"/>
  <c r="AF9" i="93"/>
  <c r="AE9" i="93"/>
  <c r="Y22" i="93"/>
  <c r="Z22" i="93" s="1"/>
  <c r="Z21" i="93"/>
  <c r="V21" i="93"/>
  <c r="Z20" i="93"/>
  <c r="V20" i="93"/>
  <c r="Z19" i="93"/>
  <c r="V19" i="93"/>
  <c r="Y17" i="93"/>
  <c r="Z17" i="93" s="1"/>
  <c r="Z16" i="93"/>
  <c r="V16" i="93"/>
  <c r="Z15" i="93"/>
  <c r="V15" i="93"/>
  <c r="Z14" i="93"/>
  <c r="V14" i="93"/>
  <c r="Z12" i="93"/>
  <c r="Z11" i="93"/>
  <c r="V11" i="93"/>
  <c r="Z10" i="93"/>
  <c r="V10" i="93"/>
  <c r="Z9" i="93"/>
  <c r="V9" i="93"/>
  <c r="AK21" i="87"/>
  <c r="AJ21" i="87"/>
  <c r="AI21" i="87"/>
  <c r="AH21" i="87"/>
  <c r="AG21" i="87"/>
  <c r="AF21" i="87"/>
  <c r="AE21" i="87"/>
  <c r="AK20" i="87"/>
  <c r="AJ20" i="87"/>
  <c r="AI20" i="87"/>
  <c r="AH20" i="87"/>
  <c r="AG20" i="87"/>
  <c r="AF20" i="87"/>
  <c r="AE20" i="87"/>
  <c r="AK19" i="87"/>
  <c r="AJ19" i="87"/>
  <c r="AI19" i="87"/>
  <c r="AH19" i="87"/>
  <c r="AG19" i="87"/>
  <c r="AF19" i="87"/>
  <c r="AE19" i="87"/>
  <c r="AK16" i="87"/>
  <c r="AJ16" i="87"/>
  <c r="AI16" i="87"/>
  <c r="AH16" i="87"/>
  <c r="AG16" i="87"/>
  <c r="AF16" i="87"/>
  <c r="AE16" i="87"/>
  <c r="AK15" i="87"/>
  <c r="AJ15" i="87"/>
  <c r="AI15" i="87"/>
  <c r="AH15" i="87"/>
  <c r="AG15" i="87"/>
  <c r="AF15" i="87"/>
  <c r="AE15" i="87"/>
  <c r="AK14" i="87"/>
  <c r="AJ14" i="87"/>
  <c r="AI14" i="87"/>
  <c r="AH14" i="87"/>
  <c r="AG14" i="87"/>
  <c r="AF14" i="87"/>
  <c r="AE14" i="87"/>
  <c r="AK11" i="87"/>
  <c r="AJ11" i="87"/>
  <c r="AI11" i="87"/>
  <c r="AH11" i="87"/>
  <c r="AG11" i="87"/>
  <c r="AF11" i="87"/>
  <c r="AE11" i="87"/>
  <c r="AK10" i="87"/>
  <c r="AJ10" i="87"/>
  <c r="AI10" i="87"/>
  <c r="AH10" i="87"/>
  <c r="AG10" i="87"/>
  <c r="AF10" i="87"/>
  <c r="AE10" i="87"/>
  <c r="AK9" i="87"/>
  <c r="AJ9" i="87"/>
  <c r="AI9" i="87"/>
  <c r="AH9" i="87"/>
  <c r="AG9" i="87"/>
  <c r="AF9" i="87"/>
  <c r="AE9" i="87"/>
  <c r="Y68" i="87"/>
  <c r="Y67" i="87"/>
  <c r="Y66" i="87"/>
  <c r="Y65" i="87"/>
  <c r="Y64" i="87"/>
  <c r="Y63" i="87"/>
  <c r="Y62" i="87"/>
  <c r="Y61" i="87"/>
  <c r="Y60" i="87"/>
  <c r="Y59" i="87"/>
  <c r="Y58" i="87"/>
  <c r="Y57" i="87"/>
  <c r="Y56" i="87"/>
  <c r="Y55" i="87"/>
  <c r="Z55" i="87" s="1"/>
  <c r="Y54" i="87"/>
  <c r="Z54" i="87" s="1"/>
  <c r="Y53" i="87"/>
  <c r="Z53" i="87" s="1"/>
  <c r="Y52" i="87"/>
  <c r="Z52" i="87" s="1"/>
  <c r="Y51" i="87"/>
  <c r="Z51" i="87" s="1"/>
  <c r="Y50" i="87"/>
  <c r="Z50" i="87" s="1"/>
  <c r="Y49" i="87"/>
  <c r="Z49" i="87" s="1"/>
  <c r="Y48" i="87"/>
  <c r="Z48" i="87" s="1"/>
  <c r="Y47" i="87"/>
  <c r="Z47" i="87" s="1"/>
  <c r="Y46" i="87"/>
  <c r="Z46" i="87" s="1"/>
  <c r="Y45" i="87"/>
  <c r="Z45" i="87" s="1"/>
  <c r="Y44" i="87"/>
  <c r="Z44" i="87" s="1"/>
  <c r="Y43" i="87"/>
  <c r="Z43" i="87" s="1"/>
  <c r="Y42" i="87"/>
  <c r="Z42" i="87" s="1"/>
  <c r="Y41" i="87"/>
  <c r="Z41" i="87" s="1"/>
  <c r="Y40" i="87"/>
  <c r="Z40" i="87" s="1"/>
  <c r="Y39" i="87"/>
  <c r="Z39" i="87" s="1"/>
  <c r="Y38" i="87"/>
  <c r="Z38" i="87" s="1"/>
  <c r="Y37" i="87"/>
  <c r="Z37" i="87" s="1"/>
  <c r="Y36" i="87"/>
  <c r="Z36" i="87" s="1"/>
  <c r="Y35" i="87"/>
  <c r="Z35" i="87" s="1"/>
  <c r="Y34" i="87"/>
  <c r="Z34" i="87" s="1"/>
  <c r="Y33" i="87"/>
  <c r="Z33" i="87" s="1"/>
  <c r="Y32" i="87"/>
  <c r="Z32" i="87" s="1"/>
  <c r="Y31" i="87"/>
  <c r="Z31" i="87" s="1"/>
  <c r="Y30" i="87"/>
  <c r="Z30" i="87" s="1"/>
  <c r="Y29" i="87"/>
  <c r="Z29" i="87" s="1"/>
  <c r="Y28" i="87"/>
  <c r="Z28" i="87" s="1"/>
  <c r="Y27" i="87"/>
  <c r="Z27" i="87" s="1"/>
  <c r="Y26" i="87"/>
  <c r="Z26" i="87" s="1"/>
  <c r="Y25" i="87"/>
  <c r="Z25" i="87" s="1"/>
  <c r="Y24" i="87"/>
  <c r="Z24" i="87" s="1"/>
  <c r="Y23" i="87"/>
  <c r="Z23" i="87" s="1"/>
  <c r="Y22" i="87"/>
  <c r="Z22" i="87" s="1"/>
  <c r="Z21" i="87"/>
  <c r="V21" i="87"/>
  <c r="Z20" i="87"/>
  <c r="V20" i="87"/>
  <c r="Z19" i="87"/>
  <c r="V19" i="87"/>
  <c r="Y17" i="87"/>
  <c r="Z17" i="87" s="1"/>
  <c r="Z16" i="87"/>
  <c r="V16" i="87"/>
  <c r="Z15" i="87"/>
  <c r="V15" i="87"/>
  <c r="Z14" i="87"/>
  <c r="V14" i="87"/>
  <c r="Z12" i="87"/>
  <c r="Z11" i="87"/>
  <c r="V11" i="87"/>
  <c r="Z10" i="87"/>
  <c r="V10" i="87"/>
  <c r="Z9" i="87"/>
  <c r="V9" i="87"/>
  <c r="Y23" i="85"/>
  <c r="Z23" i="85" s="1"/>
  <c r="AX22" i="85"/>
  <c r="Y22" i="85"/>
  <c r="Z22" i="85" s="1"/>
  <c r="AX21" i="85"/>
  <c r="AK21" i="85"/>
  <c r="AJ21" i="85"/>
  <c r="AI21" i="85"/>
  <c r="AH21" i="85"/>
  <c r="AG21" i="85"/>
  <c r="AF21" i="85"/>
  <c r="AE21" i="85"/>
  <c r="Z21" i="85"/>
  <c r="V21" i="85"/>
  <c r="AX20" i="85"/>
  <c r="AK20" i="85"/>
  <c r="AJ20" i="85"/>
  <c r="AI20" i="85"/>
  <c r="AH20" i="85"/>
  <c r="AG20" i="85"/>
  <c r="AF20" i="85"/>
  <c r="AE20" i="85"/>
  <c r="Z20" i="85"/>
  <c r="V20" i="85"/>
  <c r="AX19" i="85"/>
  <c r="AK19" i="85"/>
  <c r="AJ19" i="85"/>
  <c r="AI19" i="85"/>
  <c r="AH19" i="85"/>
  <c r="AG19" i="85"/>
  <c r="AF19" i="85"/>
  <c r="AE19" i="85"/>
  <c r="Z19" i="85"/>
  <c r="V19" i="85"/>
  <c r="AX16" i="85"/>
  <c r="AK16" i="85"/>
  <c r="AJ16" i="85"/>
  <c r="AI16" i="85"/>
  <c r="AH16" i="85"/>
  <c r="AG16" i="85"/>
  <c r="AF16" i="85"/>
  <c r="AE16" i="85"/>
  <c r="Z16" i="85"/>
  <c r="V16" i="85"/>
  <c r="AX15" i="85"/>
  <c r="AK15" i="85"/>
  <c r="AJ15" i="85"/>
  <c r="AI15" i="85"/>
  <c r="AH15" i="85"/>
  <c r="AG15" i="85"/>
  <c r="AF15" i="85"/>
  <c r="AE15" i="85"/>
  <c r="Z15" i="85"/>
  <c r="V15" i="85"/>
  <c r="AX14" i="85"/>
  <c r="AK14" i="85"/>
  <c r="AJ14" i="85"/>
  <c r="AI14" i="85"/>
  <c r="AH14" i="85"/>
  <c r="AG14" i="85"/>
  <c r="AF14" i="85"/>
  <c r="AE14" i="85"/>
  <c r="Z14" i="85"/>
  <c r="V14" i="85"/>
  <c r="X18" i="85" l="1"/>
  <c r="X13" i="87"/>
  <c r="E10" i="82"/>
  <c r="E8" i="82"/>
  <c r="X13" i="93" s="1"/>
  <c r="Y8" i="87"/>
  <c r="Y8" i="93"/>
  <c r="Y13" i="93" l="1"/>
  <c r="AF8" i="92"/>
  <c r="Y13" i="87"/>
  <c r="W8" i="92"/>
  <c r="X18" i="87"/>
  <c r="X18" i="93"/>
  <c r="X13" i="85"/>
  <c r="V10" i="85"/>
  <c r="V11" i="85"/>
  <c r="V9" i="85"/>
  <c r="Y18" i="93" l="1"/>
  <c r="AF14" i="92" s="1"/>
  <c r="AF11" i="92"/>
  <c r="Y18" i="87"/>
  <c r="W14" i="92" s="1"/>
  <c r="W11" i="92"/>
  <c r="X8" i="93"/>
  <c r="X8" i="87"/>
  <c r="X8" i="85"/>
  <c r="Z9" i="85" l="1"/>
  <c r="Z10" i="85"/>
  <c r="Z11" i="85"/>
  <c r="Z12" i="85"/>
  <c r="Y17" i="85" l="1"/>
  <c r="Z17" i="85" s="1"/>
  <c r="AX17" i="85"/>
  <c r="AE9" i="85"/>
  <c r="AF9" i="85"/>
  <c r="AG9" i="85"/>
  <c r="AH9" i="85"/>
  <c r="AI9" i="85"/>
  <c r="AJ9" i="85"/>
  <c r="AK9" i="85"/>
  <c r="AE10" i="85"/>
  <c r="AF10" i="85"/>
  <c r="AG10" i="85"/>
  <c r="AH10" i="85"/>
  <c r="AI10" i="85"/>
  <c r="AJ10" i="85"/>
  <c r="AK10" i="85"/>
  <c r="AE11" i="85"/>
  <c r="AF11" i="85"/>
  <c r="AG11" i="85"/>
  <c r="AH11" i="85"/>
  <c r="AI11" i="85"/>
  <c r="AJ11" i="85"/>
  <c r="AK11" i="85"/>
  <c r="AX9" i="85"/>
  <c r="AX10" i="85"/>
  <c r="AX11" i="85"/>
  <c r="Y8" i="85" l="1"/>
  <c r="N8" i="92" l="1"/>
  <c r="Y13" i="85"/>
  <c r="N11" i="92" s="1"/>
  <c r="Y18" i="85" l="1"/>
  <c r="AX12" i="85"/>
  <c r="C314" i="81"/>
  <c r="D314" i="81"/>
  <c r="E314" i="81"/>
  <c r="F314" i="81"/>
  <c r="G314" i="81"/>
  <c r="H314" i="81"/>
  <c r="I314" i="81"/>
  <c r="J314" i="81"/>
  <c r="K314" i="81"/>
  <c r="L314" i="81"/>
  <c r="C315" i="81"/>
  <c r="D315" i="81"/>
  <c r="E315" i="81"/>
  <c r="F315" i="81"/>
  <c r="G315" i="81"/>
  <c r="H315" i="81"/>
  <c r="I315" i="81"/>
  <c r="J315" i="81"/>
  <c r="K315" i="81"/>
  <c r="L315" i="81"/>
  <c r="C316" i="81"/>
  <c r="D316" i="81"/>
  <c r="E316" i="81"/>
  <c r="F316" i="81"/>
  <c r="G316" i="81"/>
  <c r="H316" i="81"/>
  <c r="I316" i="81"/>
  <c r="J316" i="81"/>
  <c r="K316" i="81"/>
  <c r="L316" i="81"/>
  <c r="C317" i="81"/>
  <c r="D317" i="81"/>
  <c r="E317" i="81"/>
  <c r="F317" i="81"/>
  <c r="G317" i="81"/>
  <c r="H317" i="81"/>
  <c r="I317" i="81"/>
  <c r="J317" i="81"/>
  <c r="K317" i="81"/>
  <c r="L317" i="81"/>
  <c r="C318" i="81"/>
  <c r="D318" i="81"/>
  <c r="E318" i="81"/>
  <c r="F318" i="81"/>
  <c r="G318" i="81"/>
  <c r="H318" i="81"/>
  <c r="I318" i="81"/>
  <c r="J318" i="81"/>
  <c r="K318" i="81"/>
  <c r="L318" i="81"/>
  <c r="C319" i="81"/>
  <c r="D319" i="81"/>
  <c r="E319" i="81"/>
  <c r="F319" i="81"/>
  <c r="G319" i="81"/>
  <c r="H319" i="81"/>
  <c r="I319" i="81"/>
  <c r="J319" i="81"/>
  <c r="K319" i="81"/>
  <c r="L319" i="81"/>
  <c r="C320" i="81"/>
  <c r="D320" i="81"/>
  <c r="E320" i="81"/>
  <c r="F320" i="81"/>
  <c r="G320" i="81"/>
  <c r="H320" i="81"/>
  <c r="I320" i="81"/>
  <c r="J320" i="81"/>
  <c r="K320" i="81"/>
  <c r="L320" i="81"/>
  <c r="C321" i="81"/>
  <c r="D321" i="81"/>
  <c r="E321" i="81"/>
  <c r="F321" i="81"/>
  <c r="G321" i="81"/>
  <c r="H321" i="81"/>
  <c r="I321" i="81"/>
  <c r="J321" i="81"/>
  <c r="K321" i="81"/>
  <c r="L321" i="81"/>
  <c r="C322" i="81"/>
  <c r="D322" i="81"/>
  <c r="E322" i="81"/>
  <c r="F322" i="81"/>
  <c r="G322" i="81"/>
  <c r="H322" i="81"/>
  <c r="I322" i="81"/>
  <c r="J322" i="81"/>
  <c r="K322" i="81"/>
  <c r="L322" i="81"/>
  <c r="C323" i="81"/>
  <c r="D323" i="81"/>
  <c r="E323" i="81"/>
  <c r="F323" i="81"/>
  <c r="G323" i="81"/>
  <c r="H323" i="81"/>
  <c r="I323" i="81"/>
  <c r="J323" i="81"/>
  <c r="K323" i="81"/>
  <c r="L323" i="81"/>
  <c r="C324" i="81"/>
  <c r="D324" i="81"/>
  <c r="E324" i="81"/>
  <c r="F324" i="81"/>
  <c r="G324" i="81"/>
  <c r="H324" i="81"/>
  <c r="I324" i="81"/>
  <c r="J324" i="81"/>
  <c r="K324" i="81"/>
  <c r="L324" i="81"/>
  <c r="C325" i="81"/>
  <c r="D325" i="81"/>
  <c r="E325" i="81"/>
  <c r="F325" i="81"/>
  <c r="G325" i="81"/>
  <c r="H325" i="81"/>
  <c r="I325" i="81"/>
  <c r="J325" i="81"/>
  <c r="K325" i="81"/>
  <c r="L325" i="81"/>
  <c r="C326" i="81"/>
  <c r="D326" i="81"/>
  <c r="E326" i="81"/>
  <c r="F326" i="81"/>
  <c r="G326" i="81"/>
  <c r="H326" i="81"/>
  <c r="I326" i="81"/>
  <c r="J326" i="81"/>
  <c r="K326" i="81"/>
  <c r="L326" i="81"/>
  <c r="C327" i="81"/>
  <c r="D327" i="81"/>
  <c r="E327" i="81"/>
  <c r="F327" i="81"/>
  <c r="G327" i="81"/>
  <c r="H327" i="81"/>
  <c r="I327" i="81"/>
  <c r="J327" i="81"/>
  <c r="K327" i="81"/>
  <c r="L327" i="81"/>
  <c r="C328" i="81"/>
  <c r="D328" i="81"/>
  <c r="E328" i="81"/>
  <c r="F328" i="81"/>
  <c r="G328" i="81"/>
  <c r="H328" i="81"/>
  <c r="I328" i="81"/>
  <c r="J328" i="81"/>
  <c r="K328" i="81"/>
  <c r="L328" i="81"/>
  <c r="C329" i="81"/>
  <c r="D329" i="81"/>
  <c r="E329" i="81"/>
  <c r="F329" i="81"/>
  <c r="G329" i="81"/>
  <c r="H329" i="81"/>
  <c r="I329" i="81"/>
  <c r="J329" i="81"/>
  <c r="K329" i="81"/>
  <c r="L329" i="81"/>
  <c r="C330" i="81"/>
  <c r="D330" i="81"/>
  <c r="E330" i="81"/>
  <c r="F330" i="81"/>
  <c r="G330" i="81"/>
  <c r="H330" i="81"/>
  <c r="I330" i="81"/>
  <c r="J330" i="81"/>
  <c r="K330" i="81"/>
  <c r="L330" i="81"/>
  <c r="C331" i="81"/>
  <c r="D331" i="81"/>
  <c r="E331" i="81"/>
  <c r="F331" i="81"/>
  <c r="G331" i="81"/>
  <c r="H331" i="81"/>
  <c r="I331" i="81"/>
  <c r="J331" i="81"/>
  <c r="K331" i="81"/>
  <c r="L331" i="81"/>
  <c r="C332" i="81"/>
  <c r="D332" i="81"/>
  <c r="E332" i="81"/>
  <c r="F332" i="81"/>
  <c r="G332" i="81"/>
  <c r="H332" i="81"/>
  <c r="I332" i="81"/>
  <c r="J332" i="81"/>
  <c r="K332" i="81"/>
  <c r="L332" i="81"/>
  <c r="C333" i="81"/>
  <c r="D333" i="81"/>
  <c r="E333" i="81"/>
  <c r="F333" i="81"/>
  <c r="G333" i="81"/>
  <c r="H333" i="81"/>
  <c r="I333" i="81"/>
  <c r="J333" i="81"/>
  <c r="K333" i="81"/>
  <c r="L333" i="81"/>
  <c r="C334" i="81"/>
  <c r="D334" i="81"/>
  <c r="E334" i="81"/>
  <c r="F334" i="81"/>
  <c r="G334" i="81"/>
  <c r="H334" i="81"/>
  <c r="I334" i="81"/>
  <c r="J334" i="81"/>
  <c r="K334" i="81"/>
  <c r="L334" i="81"/>
  <c r="C335" i="81"/>
  <c r="D335" i="81"/>
  <c r="E335" i="81"/>
  <c r="F335" i="81"/>
  <c r="G335" i="81"/>
  <c r="H335" i="81"/>
  <c r="I335" i="81"/>
  <c r="J335" i="81"/>
  <c r="K335" i="81"/>
  <c r="L335" i="81"/>
  <c r="C336" i="81"/>
  <c r="D336" i="81"/>
  <c r="E336" i="81"/>
  <c r="F336" i="81"/>
  <c r="G336" i="81"/>
  <c r="H336" i="81"/>
  <c r="I336" i="81"/>
  <c r="J336" i="81"/>
  <c r="K336" i="81"/>
  <c r="L336" i="81"/>
  <c r="C337" i="81"/>
  <c r="D337" i="81"/>
  <c r="E337" i="81"/>
  <c r="F337" i="81"/>
  <c r="G337" i="81"/>
  <c r="H337" i="81"/>
  <c r="I337" i="81"/>
  <c r="J337" i="81"/>
  <c r="K337" i="81"/>
  <c r="L337" i="81"/>
  <c r="C338" i="81"/>
  <c r="D338" i="81"/>
  <c r="E338" i="81"/>
  <c r="F338" i="81"/>
  <c r="G338" i="81"/>
  <c r="H338" i="81"/>
  <c r="I338" i="81"/>
  <c r="J338" i="81"/>
  <c r="K338" i="81"/>
  <c r="L338" i="81"/>
  <c r="C5" i="81"/>
  <c r="D5" i="81"/>
  <c r="E5" i="81"/>
  <c r="F5" i="81"/>
  <c r="G5" i="81"/>
  <c r="H5" i="81"/>
  <c r="I5" i="81"/>
  <c r="J5" i="81"/>
  <c r="K5" i="81"/>
  <c r="L5" i="81"/>
  <c r="C6" i="81"/>
  <c r="D6" i="81"/>
  <c r="E6" i="81"/>
  <c r="F6" i="81"/>
  <c r="G6" i="81"/>
  <c r="H6" i="81"/>
  <c r="I6" i="81"/>
  <c r="J6" i="81"/>
  <c r="K6" i="81"/>
  <c r="L6" i="81"/>
  <c r="C7" i="81"/>
  <c r="D7" i="81"/>
  <c r="E7" i="81"/>
  <c r="F7" i="81"/>
  <c r="G7" i="81"/>
  <c r="H7" i="81"/>
  <c r="I7" i="81"/>
  <c r="J7" i="81"/>
  <c r="K7" i="81"/>
  <c r="L7" i="81"/>
  <c r="C8" i="81"/>
  <c r="D8" i="81"/>
  <c r="E8" i="81"/>
  <c r="F8" i="81"/>
  <c r="G8" i="81"/>
  <c r="H8" i="81"/>
  <c r="I8" i="81"/>
  <c r="J8" i="81"/>
  <c r="K8" i="81"/>
  <c r="L8" i="81"/>
  <c r="C9" i="81"/>
  <c r="D9" i="81"/>
  <c r="E9" i="81"/>
  <c r="F9" i="81"/>
  <c r="G9" i="81"/>
  <c r="H9" i="81"/>
  <c r="I9" i="81"/>
  <c r="J9" i="81"/>
  <c r="K9" i="81"/>
  <c r="L9" i="81"/>
  <c r="C10" i="81"/>
  <c r="D10" i="81"/>
  <c r="E10" i="81"/>
  <c r="F10" i="81"/>
  <c r="G10" i="81"/>
  <c r="H10" i="81"/>
  <c r="I10" i="81"/>
  <c r="J10" i="81"/>
  <c r="K10" i="81"/>
  <c r="L10" i="81"/>
  <c r="C11" i="81"/>
  <c r="D11" i="81"/>
  <c r="E11" i="81"/>
  <c r="F11" i="81"/>
  <c r="G11" i="81"/>
  <c r="H11" i="81"/>
  <c r="I11" i="81"/>
  <c r="J11" i="81"/>
  <c r="K11" i="81"/>
  <c r="L11" i="81"/>
  <c r="C12" i="81"/>
  <c r="D12" i="81"/>
  <c r="E12" i="81"/>
  <c r="F12" i="81"/>
  <c r="G12" i="81"/>
  <c r="H12" i="81"/>
  <c r="I12" i="81"/>
  <c r="J12" i="81"/>
  <c r="K12" i="81"/>
  <c r="L12" i="81"/>
  <c r="C13" i="81"/>
  <c r="D13" i="81"/>
  <c r="E13" i="81"/>
  <c r="F13" i="81"/>
  <c r="G13" i="81"/>
  <c r="H13" i="81"/>
  <c r="I13" i="81"/>
  <c r="J13" i="81"/>
  <c r="K13" i="81"/>
  <c r="L13" i="81"/>
  <c r="C14" i="81"/>
  <c r="D14" i="81"/>
  <c r="E14" i="81"/>
  <c r="F14" i="81"/>
  <c r="G14" i="81"/>
  <c r="H14" i="81"/>
  <c r="I14" i="81"/>
  <c r="J14" i="81"/>
  <c r="K14" i="81"/>
  <c r="L14" i="81"/>
  <c r="C15" i="81"/>
  <c r="D15" i="81"/>
  <c r="E15" i="81"/>
  <c r="F15" i="81"/>
  <c r="G15" i="81"/>
  <c r="H15" i="81"/>
  <c r="I15" i="81"/>
  <c r="J15" i="81"/>
  <c r="K15" i="81"/>
  <c r="L15" i="81"/>
  <c r="C16" i="81"/>
  <c r="D16" i="81"/>
  <c r="E16" i="81"/>
  <c r="F16" i="81"/>
  <c r="G16" i="81"/>
  <c r="H16" i="81"/>
  <c r="I16" i="81"/>
  <c r="J16" i="81"/>
  <c r="K16" i="81"/>
  <c r="L16" i="81"/>
  <c r="C17" i="81"/>
  <c r="D17" i="81"/>
  <c r="E17" i="81"/>
  <c r="F17" i="81"/>
  <c r="G17" i="81"/>
  <c r="H17" i="81"/>
  <c r="I17" i="81"/>
  <c r="J17" i="81"/>
  <c r="K17" i="81"/>
  <c r="L17" i="81"/>
  <c r="C18" i="81"/>
  <c r="D18" i="81"/>
  <c r="E18" i="81"/>
  <c r="F18" i="81"/>
  <c r="G18" i="81"/>
  <c r="H18" i="81"/>
  <c r="I18" i="81"/>
  <c r="J18" i="81"/>
  <c r="K18" i="81"/>
  <c r="L18" i="81"/>
  <c r="C19" i="81"/>
  <c r="D19" i="81"/>
  <c r="E19" i="81"/>
  <c r="F19" i="81"/>
  <c r="G19" i="81"/>
  <c r="H19" i="81"/>
  <c r="I19" i="81"/>
  <c r="J19" i="81"/>
  <c r="K19" i="81"/>
  <c r="L19" i="81"/>
  <c r="C20" i="81"/>
  <c r="D20" i="81"/>
  <c r="E20" i="81"/>
  <c r="F20" i="81"/>
  <c r="G20" i="81"/>
  <c r="H20" i="81"/>
  <c r="I20" i="81"/>
  <c r="J20" i="81"/>
  <c r="K20" i="81"/>
  <c r="L20" i="81"/>
  <c r="C21" i="81"/>
  <c r="D21" i="81"/>
  <c r="E21" i="81"/>
  <c r="F21" i="81"/>
  <c r="G21" i="81"/>
  <c r="H21" i="81"/>
  <c r="I21" i="81"/>
  <c r="J21" i="81"/>
  <c r="K21" i="81"/>
  <c r="L21" i="81"/>
  <c r="C22" i="81"/>
  <c r="D22" i="81"/>
  <c r="E22" i="81"/>
  <c r="F22" i="81"/>
  <c r="G22" i="81"/>
  <c r="H22" i="81"/>
  <c r="I22" i="81"/>
  <c r="J22" i="81"/>
  <c r="K22" i="81"/>
  <c r="L22" i="81"/>
  <c r="C23" i="81"/>
  <c r="D23" i="81"/>
  <c r="E23" i="81"/>
  <c r="F23" i="81"/>
  <c r="G23" i="81"/>
  <c r="H23" i="81"/>
  <c r="I23" i="81"/>
  <c r="J23" i="81"/>
  <c r="K23" i="81"/>
  <c r="L23" i="81"/>
  <c r="C24" i="81"/>
  <c r="D24" i="81"/>
  <c r="E24" i="81"/>
  <c r="F24" i="81"/>
  <c r="G24" i="81"/>
  <c r="H24" i="81"/>
  <c r="I24" i="81"/>
  <c r="J24" i="81"/>
  <c r="K24" i="81"/>
  <c r="L24" i="81"/>
  <c r="C25" i="81"/>
  <c r="D25" i="81"/>
  <c r="E25" i="81"/>
  <c r="F25" i="81"/>
  <c r="G25" i="81"/>
  <c r="H25" i="81"/>
  <c r="I25" i="81"/>
  <c r="J25" i="81"/>
  <c r="K25" i="81"/>
  <c r="L25" i="81"/>
  <c r="C26" i="81"/>
  <c r="D26" i="81"/>
  <c r="E26" i="81"/>
  <c r="F26" i="81"/>
  <c r="G26" i="81"/>
  <c r="H26" i="81"/>
  <c r="I26" i="81"/>
  <c r="J26" i="81"/>
  <c r="K26" i="81"/>
  <c r="L26" i="81"/>
  <c r="C27" i="81"/>
  <c r="D27" i="81"/>
  <c r="E27" i="81"/>
  <c r="F27" i="81"/>
  <c r="G27" i="81"/>
  <c r="H27" i="81"/>
  <c r="I27" i="81"/>
  <c r="J27" i="81"/>
  <c r="K27" i="81"/>
  <c r="L27" i="81"/>
  <c r="C28" i="81"/>
  <c r="D28" i="81"/>
  <c r="E28" i="81"/>
  <c r="F28" i="81"/>
  <c r="G28" i="81"/>
  <c r="H28" i="81"/>
  <c r="I28" i="81"/>
  <c r="J28" i="81"/>
  <c r="K28" i="81"/>
  <c r="L28" i="81"/>
  <c r="C29" i="81"/>
  <c r="D29" i="81"/>
  <c r="E29" i="81"/>
  <c r="F29" i="81"/>
  <c r="G29" i="81"/>
  <c r="H29" i="81"/>
  <c r="I29" i="81"/>
  <c r="J29" i="81"/>
  <c r="K29" i="81"/>
  <c r="L29" i="81"/>
  <c r="C30" i="81"/>
  <c r="D30" i="81"/>
  <c r="E30" i="81"/>
  <c r="F30" i="81"/>
  <c r="G30" i="81"/>
  <c r="H30" i="81"/>
  <c r="I30" i="81"/>
  <c r="J30" i="81"/>
  <c r="K30" i="81"/>
  <c r="L30" i="81"/>
  <c r="C31" i="81"/>
  <c r="D31" i="81"/>
  <c r="E31" i="81"/>
  <c r="F31" i="81"/>
  <c r="G31" i="81"/>
  <c r="H31" i="81"/>
  <c r="I31" i="81"/>
  <c r="J31" i="81"/>
  <c r="K31" i="81"/>
  <c r="L31" i="81"/>
  <c r="C32" i="81"/>
  <c r="D32" i="81"/>
  <c r="E32" i="81"/>
  <c r="F32" i="81"/>
  <c r="G32" i="81"/>
  <c r="H32" i="81"/>
  <c r="I32" i="81"/>
  <c r="J32" i="81"/>
  <c r="K32" i="81"/>
  <c r="L32" i="81"/>
  <c r="C33" i="81"/>
  <c r="D33" i="81"/>
  <c r="E33" i="81"/>
  <c r="F33" i="81"/>
  <c r="G33" i="81"/>
  <c r="H33" i="81"/>
  <c r="I33" i="81"/>
  <c r="J33" i="81"/>
  <c r="K33" i="81"/>
  <c r="L33" i="81"/>
  <c r="C34" i="81"/>
  <c r="D34" i="81"/>
  <c r="E34" i="81"/>
  <c r="F34" i="81"/>
  <c r="G34" i="81"/>
  <c r="H34" i="81"/>
  <c r="I34" i="81"/>
  <c r="J34" i="81"/>
  <c r="K34" i="81"/>
  <c r="L34" i="81"/>
  <c r="C35" i="81"/>
  <c r="D35" i="81"/>
  <c r="E35" i="81"/>
  <c r="F35" i="81"/>
  <c r="G35" i="81"/>
  <c r="H35" i="81"/>
  <c r="I35" i="81"/>
  <c r="J35" i="81"/>
  <c r="K35" i="81"/>
  <c r="L35" i="81"/>
  <c r="C36" i="81"/>
  <c r="D36" i="81"/>
  <c r="E36" i="81"/>
  <c r="F36" i="81"/>
  <c r="G36" i="81"/>
  <c r="H36" i="81"/>
  <c r="I36" i="81"/>
  <c r="J36" i="81"/>
  <c r="K36" i="81"/>
  <c r="L36" i="81"/>
  <c r="C37" i="81"/>
  <c r="D37" i="81"/>
  <c r="E37" i="81"/>
  <c r="F37" i="81"/>
  <c r="G37" i="81"/>
  <c r="H37" i="81"/>
  <c r="I37" i="81"/>
  <c r="J37" i="81"/>
  <c r="K37" i="81"/>
  <c r="L37" i="81"/>
  <c r="C38" i="81"/>
  <c r="D38" i="81"/>
  <c r="E38" i="81"/>
  <c r="F38" i="81"/>
  <c r="G38" i="81"/>
  <c r="H38" i="81"/>
  <c r="I38" i="81"/>
  <c r="J38" i="81"/>
  <c r="K38" i="81"/>
  <c r="L38" i="81"/>
  <c r="C39" i="81"/>
  <c r="D39" i="81"/>
  <c r="E39" i="81"/>
  <c r="F39" i="81"/>
  <c r="G39" i="81"/>
  <c r="H39" i="81"/>
  <c r="I39" i="81"/>
  <c r="J39" i="81"/>
  <c r="K39" i="81"/>
  <c r="L39" i="81"/>
  <c r="C40" i="81"/>
  <c r="D40" i="81"/>
  <c r="E40" i="81"/>
  <c r="F40" i="81"/>
  <c r="G40" i="81"/>
  <c r="H40" i="81"/>
  <c r="I40" i="81"/>
  <c r="J40" i="81"/>
  <c r="K40" i="81"/>
  <c r="L40" i="81"/>
  <c r="C41" i="81"/>
  <c r="D41" i="81"/>
  <c r="E41" i="81"/>
  <c r="F41" i="81"/>
  <c r="G41" i="81"/>
  <c r="H41" i="81"/>
  <c r="I41" i="81"/>
  <c r="J41" i="81"/>
  <c r="K41" i="81"/>
  <c r="L41" i="81"/>
  <c r="C42" i="81"/>
  <c r="D42" i="81"/>
  <c r="E42" i="81"/>
  <c r="F42" i="81"/>
  <c r="G42" i="81"/>
  <c r="H42" i="81"/>
  <c r="I42" i="81"/>
  <c r="J42" i="81"/>
  <c r="K42" i="81"/>
  <c r="L42" i="81"/>
  <c r="C43" i="81"/>
  <c r="D43" i="81"/>
  <c r="E43" i="81"/>
  <c r="F43" i="81"/>
  <c r="G43" i="81"/>
  <c r="H43" i="81"/>
  <c r="I43" i="81"/>
  <c r="J43" i="81"/>
  <c r="K43" i="81"/>
  <c r="L43" i="81"/>
  <c r="C44" i="81"/>
  <c r="D44" i="81"/>
  <c r="E44" i="81"/>
  <c r="F44" i="81"/>
  <c r="G44" i="81"/>
  <c r="H44" i="81"/>
  <c r="I44" i="81"/>
  <c r="J44" i="81"/>
  <c r="K44" i="81"/>
  <c r="L44" i="81"/>
  <c r="C45" i="81"/>
  <c r="D45" i="81"/>
  <c r="E45" i="81"/>
  <c r="F45" i="81"/>
  <c r="G45" i="81"/>
  <c r="H45" i="81"/>
  <c r="I45" i="81"/>
  <c r="J45" i="81"/>
  <c r="K45" i="81"/>
  <c r="L45" i="81"/>
  <c r="C46" i="81"/>
  <c r="D46" i="81"/>
  <c r="E46" i="81"/>
  <c r="F46" i="81"/>
  <c r="G46" i="81"/>
  <c r="H46" i="81"/>
  <c r="I46" i="81"/>
  <c r="J46" i="81"/>
  <c r="K46" i="81"/>
  <c r="L46" i="81"/>
  <c r="C47" i="81"/>
  <c r="D47" i="81"/>
  <c r="E47" i="81"/>
  <c r="F47" i="81"/>
  <c r="G47" i="81"/>
  <c r="H47" i="81"/>
  <c r="I47" i="81"/>
  <c r="J47" i="81"/>
  <c r="K47" i="81"/>
  <c r="L47" i="81"/>
  <c r="C48" i="81"/>
  <c r="D48" i="81"/>
  <c r="E48" i="81"/>
  <c r="F48" i="81"/>
  <c r="G48" i="81"/>
  <c r="H48" i="81"/>
  <c r="I48" i="81"/>
  <c r="J48" i="81"/>
  <c r="K48" i="81"/>
  <c r="L48" i="81"/>
  <c r="C49" i="81"/>
  <c r="D49" i="81"/>
  <c r="E49" i="81"/>
  <c r="F49" i="81"/>
  <c r="G49" i="81"/>
  <c r="H49" i="81"/>
  <c r="I49" i="81"/>
  <c r="J49" i="81"/>
  <c r="K49" i="81"/>
  <c r="L49" i="81"/>
  <c r="C50" i="81"/>
  <c r="D50" i="81"/>
  <c r="E50" i="81"/>
  <c r="F50" i="81"/>
  <c r="G50" i="81"/>
  <c r="H50" i="81"/>
  <c r="I50" i="81"/>
  <c r="J50" i="81"/>
  <c r="K50" i="81"/>
  <c r="L50" i="81"/>
  <c r="C51" i="81"/>
  <c r="D51" i="81"/>
  <c r="E51" i="81"/>
  <c r="F51" i="81"/>
  <c r="G51" i="81"/>
  <c r="H51" i="81"/>
  <c r="I51" i="81"/>
  <c r="J51" i="81"/>
  <c r="K51" i="81"/>
  <c r="L51" i="81"/>
  <c r="C52" i="81"/>
  <c r="D52" i="81"/>
  <c r="E52" i="81"/>
  <c r="F52" i="81"/>
  <c r="G52" i="81"/>
  <c r="H52" i="81"/>
  <c r="I52" i="81"/>
  <c r="J52" i="81"/>
  <c r="K52" i="81"/>
  <c r="L52" i="81"/>
  <c r="C53" i="81"/>
  <c r="D53" i="81"/>
  <c r="E53" i="81"/>
  <c r="F53" i="81"/>
  <c r="G53" i="81"/>
  <c r="H53" i="81"/>
  <c r="I53" i="81"/>
  <c r="J53" i="81"/>
  <c r="K53" i="81"/>
  <c r="L53" i="81"/>
  <c r="C54" i="81"/>
  <c r="D54" i="81"/>
  <c r="E54" i="81"/>
  <c r="F54" i="81"/>
  <c r="G54" i="81"/>
  <c r="H54" i="81"/>
  <c r="I54" i="81"/>
  <c r="J54" i="81"/>
  <c r="K54" i="81"/>
  <c r="L54" i="81"/>
  <c r="C55" i="81"/>
  <c r="D55" i="81"/>
  <c r="E55" i="81"/>
  <c r="F55" i="81"/>
  <c r="G55" i="81"/>
  <c r="H55" i="81"/>
  <c r="I55" i="81"/>
  <c r="J55" i="81"/>
  <c r="K55" i="81"/>
  <c r="L55" i="81"/>
  <c r="C56" i="81"/>
  <c r="D56" i="81"/>
  <c r="E56" i="81"/>
  <c r="F56" i="81"/>
  <c r="G56" i="81"/>
  <c r="H56" i="81"/>
  <c r="I56" i="81"/>
  <c r="J56" i="81"/>
  <c r="K56" i="81"/>
  <c r="L56" i="81"/>
  <c r="C57" i="81"/>
  <c r="D57" i="81"/>
  <c r="E57" i="81"/>
  <c r="F57" i="81"/>
  <c r="G57" i="81"/>
  <c r="H57" i="81"/>
  <c r="I57" i="81"/>
  <c r="J57" i="81"/>
  <c r="K57" i="81"/>
  <c r="L57" i="81"/>
  <c r="C58" i="81"/>
  <c r="D58" i="81"/>
  <c r="E58" i="81"/>
  <c r="F58" i="81"/>
  <c r="G58" i="81"/>
  <c r="H58" i="81"/>
  <c r="I58" i="81"/>
  <c r="J58" i="81"/>
  <c r="K58" i="81"/>
  <c r="L58" i="81"/>
  <c r="C59" i="81"/>
  <c r="D59" i="81"/>
  <c r="E59" i="81"/>
  <c r="F59" i="81"/>
  <c r="G59" i="81"/>
  <c r="H59" i="81"/>
  <c r="I59" i="81"/>
  <c r="J59" i="81"/>
  <c r="K59" i="81"/>
  <c r="L59" i="81"/>
  <c r="C60" i="81"/>
  <c r="D60" i="81"/>
  <c r="E60" i="81"/>
  <c r="F60" i="81"/>
  <c r="G60" i="81"/>
  <c r="H60" i="81"/>
  <c r="I60" i="81"/>
  <c r="J60" i="81"/>
  <c r="K60" i="81"/>
  <c r="L60" i="81"/>
  <c r="C61" i="81"/>
  <c r="D61" i="81"/>
  <c r="E61" i="81"/>
  <c r="F61" i="81"/>
  <c r="G61" i="81"/>
  <c r="H61" i="81"/>
  <c r="I61" i="81"/>
  <c r="J61" i="81"/>
  <c r="K61" i="81"/>
  <c r="L61" i="81"/>
  <c r="C62" i="81"/>
  <c r="D62" i="81"/>
  <c r="E62" i="81"/>
  <c r="F62" i="81"/>
  <c r="G62" i="81"/>
  <c r="H62" i="81"/>
  <c r="I62" i="81"/>
  <c r="J62" i="81"/>
  <c r="K62" i="81"/>
  <c r="L62" i="81"/>
  <c r="C63" i="81"/>
  <c r="D63" i="81"/>
  <c r="E63" i="81"/>
  <c r="F63" i="81"/>
  <c r="G63" i="81"/>
  <c r="H63" i="81"/>
  <c r="I63" i="81"/>
  <c r="J63" i="81"/>
  <c r="K63" i="81"/>
  <c r="L63" i="81"/>
  <c r="C64" i="81"/>
  <c r="D64" i="81"/>
  <c r="E64" i="81"/>
  <c r="F64" i="81"/>
  <c r="G64" i="81"/>
  <c r="H64" i="81"/>
  <c r="I64" i="81"/>
  <c r="J64" i="81"/>
  <c r="K64" i="81"/>
  <c r="L64" i="81"/>
  <c r="C65" i="81"/>
  <c r="D65" i="81"/>
  <c r="E65" i="81"/>
  <c r="F65" i="81"/>
  <c r="G65" i="81"/>
  <c r="H65" i="81"/>
  <c r="I65" i="81"/>
  <c r="J65" i="81"/>
  <c r="K65" i="81"/>
  <c r="L65" i="81"/>
  <c r="C66" i="81"/>
  <c r="D66" i="81"/>
  <c r="E66" i="81"/>
  <c r="F66" i="81"/>
  <c r="G66" i="81"/>
  <c r="H66" i="81"/>
  <c r="I66" i="81"/>
  <c r="J66" i="81"/>
  <c r="K66" i="81"/>
  <c r="L66" i="81"/>
  <c r="C67" i="81"/>
  <c r="D67" i="81"/>
  <c r="E67" i="81"/>
  <c r="F67" i="81"/>
  <c r="G67" i="81"/>
  <c r="H67" i="81"/>
  <c r="I67" i="81"/>
  <c r="J67" i="81"/>
  <c r="K67" i="81"/>
  <c r="L67" i="81"/>
  <c r="C68" i="81"/>
  <c r="D68" i="81"/>
  <c r="E68" i="81"/>
  <c r="F68" i="81"/>
  <c r="G68" i="81"/>
  <c r="H68" i="81"/>
  <c r="I68" i="81"/>
  <c r="J68" i="81"/>
  <c r="K68" i="81"/>
  <c r="L68" i="81"/>
  <c r="C69" i="81"/>
  <c r="D69" i="81"/>
  <c r="E69" i="81"/>
  <c r="F69" i="81"/>
  <c r="G69" i="81"/>
  <c r="H69" i="81"/>
  <c r="I69" i="81"/>
  <c r="J69" i="81"/>
  <c r="K69" i="81"/>
  <c r="L69" i="81"/>
  <c r="C70" i="81"/>
  <c r="D70" i="81"/>
  <c r="E70" i="81"/>
  <c r="F70" i="81"/>
  <c r="G70" i="81"/>
  <c r="H70" i="81"/>
  <c r="I70" i="81"/>
  <c r="J70" i="81"/>
  <c r="K70" i="81"/>
  <c r="L70" i="81"/>
  <c r="C71" i="81"/>
  <c r="D71" i="81"/>
  <c r="E71" i="81"/>
  <c r="F71" i="81"/>
  <c r="G71" i="81"/>
  <c r="H71" i="81"/>
  <c r="I71" i="81"/>
  <c r="J71" i="81"/>
  <c r="K71" i="81"/>
  <c r="L71" i="81"/>
  <c r="C72" i="81"/>
  <c r="D72" i="81"/>
  <c r="E72" i="81"/>
  <c r="F72" i="81"/>
  <c r="G72" i="81"/>
  <c r="H72" i="81"/>
  <c r="I72" i="81"/>
  <c r="J72" i="81"/>
  <c r="K72" i="81"/>
  <c r="L72" i="81"/>
  <c r="C73" i="81"/>
  <c r="D73" i="81"/>
  <c r="E73" i="81"/>
  <c r="F73" i="81"/>
  <c r="G73" i="81"/>
  <c r="H73" i="81"/>
  <c r="I73" i="81"/>
  <c r="J73" i="81"/>
  <c r="K73" i="81"/>
  <c r="L73" i="81"/>
  <c r="C74" i="81"/>
  <c r="D74" i="81"/>
  <c r="E74" i="81"/>
  <c r="F74" i="81"/>
  <c r="G74" i="81"/>
  <c r="H74" i="81"/>
  <c r="I74" i="81"/>
  <c r="J74" i="81"/>
  <c r="K74" i="81"/>
  <c r="L74" i="81"/>
  <c r="C75" i="81"/>
  <c r="D75" i="81"/>
  <c r="E75" i="81"/>
  <c r="F75" i="81"/>
  <c r="G75" i="81"/>
  <c r="H75" i="81"/>
  <c r="I75" i="81"/>
  <c r="J75" i="81"/>
  <c r="K75" i="81"/>
  <c r="L75" i="81"/>
  <c r="C76" i="81"/>
  <c r="D76" i="81"/>
  <c r="E76" i="81"/>
  <c r="F76" i="81"/>
  <c r="G76" i="81"/>
  <c r="H76" i="81"/>
  <c r="I76" i="81"/>
  <c r="J76" i="81"/>
  <c r="K76" i="81"/>
  <c r="L76" i="81"/>
  <c r="C77" i="81"/>
  <c r="D77" i="81"/>
  <c r="E77" i="81"/>
  <c r="F77" i="81"/>
  <c r="G77" i="81"/>
  <c r="H77" i="81"/>
  <c r="I77" i="81"/>
  <c r="J77" i="81"/>
  <c r="K77" i="81"/>
  <c r="L77" i="81"/>
  <c r="C78" i="81"/>
  <c r="D78" i="81"/>
  <c r="E78" i="81"/>
  <c r="F78" i="81"/>
  <c r="G78" i="81"/>
  <c r="H78" i="81"/>
  <c r="I78" i="81"/>
  <c r="J78" i="81"/>
  <c r="K78" i="81"/>
  <c r="L78" i="81"/>
  <c r="C79" i="81"/>
  <c r="D79" i="81"/>
  <c r="E79" i="81"/>
  <c r="F79" i="81"/>
  <c r="G79" i="81"/>
  <c r="H79" i="81"/>
  <c r="I79" i="81"/>
  <c r="J79" i="81"/>
  <c r="K79" i="81"/>
  <c r="L79" i="81"/>
  <c r="C80" i="81"/>
  <c r="D80" i="81"/>
  <c r="E80" i="81"/>
  <c r="F80" i="81"/>
  <c r="G80" i="81"/>
  <c r="H80" i="81"/>
  <c r="I80" i="81"/>
  <c r="J80" i="81"/>
  <c r="K80" i="81"/>
  <c r="L80" i="81"/>
  <c r="C81" i="81"/>
  <c r="D81" i="81"/>
  <c r="E81" i="81"/>
  <c r="F81" i="81"/>
  <c r="G81" i="81"/>
  <c r="H81" i="81"/>
  <c r="I81" i="81"/>
  <c r="J81" i="81"/>
  <c r="K81" i="81"/>
  <c r="L81" i="81"/>
  <c r="C82" i="81"/>
  <c r="D82" i="81"/>
  <c r="E82" i="81"/>
  <c r="F82" i="81"/>
  <c r="G82" i="81"/>
  <c r="H82" i="81"/>
  <c r="I82" i="81"/>
  <c r="J82" i="81"/>
  <c r="K82" i="81"/>
  <c r="L82" i="81"/>
  <c r="C83" i="81"/>
  <c r="D83" i="81"/>
  <c r="E83" i="81"/>
  <c r="F83" i="81"/>
  <c r="G83" i="81"/>
  <c r="H83" i="81"/>
  <c r="I83" i="81"/>
  <c r="J83" i="81"/>
  <c r="K83" i="81"/>
  <c r="L83" i="81"/>
  <c r="C84" i="81"/>
  <c r="D84" i="81"/>
  <c r="E84" i="81"/>
  <c r="F84" i="81"/>
  <c r="G84" i="81"/>
  <c r="H84" i="81"/>
  <c r="I84" i="81"/>
  <c r="J84" i="81"/>
  <c r="K84" i="81"/>
  <c r="L84" i="81"/>
  <c r="C85" i="81"/>
  <c r="D85" i="81"/>
  <c r="E85" i="81"/>
  <c r="F85" i="81"/>
  <c r="G85" i="81"/>
  <c r="H85" i="81"/>
  <c r="I85" i="81"/>
  <c r="J85" i="81"/>
  <c r="K85" i="81"/>
  <c r="L85" i="81"/>
  <c r="C86" i="81"/>
  <c r="D86" i="81"/>
  <c r="E86" i="81"/>
  <c r="F86" i="81"/>
  <c r="G86" i="81"/>
  <c r="H86" i="81"/>
  <c r="I86" i="81"/>
  <c r="J86" i="81"/>
  <c r="K86" i="81"/>
  <c r="L86" i="81"/>
  <c r="C87" i="81"/>
  <c r="D87" i="81"/>
  <c r="E87" i="81"/>
  <c r="F87" i="81"/>
  <c r="G87" i="81"/>
  <c r="H87" i="81"/>
  <c r="I87" i="81"/>
  <c r="J87" i="81"/>
  <c r="K87" i="81"/>
  <c r="L87" i="81"/>
  <c r="C88" i="81"/>
  <c r="D88" i="81"/>
  <c r="E88" i="81"/>
  <c r="F88" i="81"/>
  <c r="G88" i="81"/>
  <c r="H88" i="81"/>
  <c r="I88" i="81"/>
  <c r="J88" i="81"/>
  <c r="K88" i="81"/>
  <c r="L88" i="81"/>
  <c r="C89" i="81"/>
  <c r="D89" i="81"/>
  <c r="E89" i="81"/>
  <c r="F89" i="81"/>
  <c r="G89" i="81"/>
  <c r="H89" i="81"/>
  <c r="I89" i="81"/>
  <c r="J89" i="81"/>
  <c r="K89" i="81"/>
  <c r="L89" i="81"/>
  <c r="C90" i="81"/>
  <c r="D90" i="81"/>
  <c r="E90" i="81"/>
  <c r="F90" i="81"/>
  <c r="G90" i="81"/>
  <c r="H90" i="81"/>
  <c r="I90" i="81"/>
  <c r="J90" i="81"/>
  <c r="K90" i="81"/>
  <c r="L90" i="81"/>
  <c r="C91" i="81"/>
  <c r="D91" i="81"/>
  <c r="E91" i="81"/>
  <c r="F91" i="81"/>
  <c r="G91" i="81"/>
  <c r="H91" i="81"/>
  <c r="I91" i="81"/>
  <c r="J91" i="81"/>
  <c r="K91" i="81"/>
  <c r="L91" i="81"/>
  <c r="C92" i="81"/>
  <c r="D92" i="81"/>
  <c r="E92" i="81"/>
  <c r="F92" i="81"/>
  <c r="G92" i="81"/>
  <c r="H92" i="81"/>
  <c r="I92" i="81"/>
  <c r="J92" i="81"/>
  <c r="K92" i="81"/>
  <c r="L92" i="81"/>
  <c r="C93" i="81"/>
  <c r="D93" i="81"/>
  <c r="E93" i="81"/>
  <c r="F93" i="81"/>
  <c r="G93" i="81"/>
  <c r="H93" i="81"/>
  <c r="I93" i="81"/>
  <c r="J93" i="81"/>
  <c r="K93" i="81"/>
  <c r="L93" i="81"/>
  <c r="C94" i="81"/>
  <c r="D94" i="81"/>
  <c r="E94" i="81"/>
  <c r="F94" i="81"/>
  <c r="G94" i="81"/>
  <c r="H94" i="81"/>
  <c r="I94" i="81"/>
  <c r="J94" i="81"/>
  <c r="K94" i="81"/>
  <c r="L94" i="81"/>
  <c r="C95" i="81"/>
  <c r="D95" i="81"/>
  <c r="E95" i="81"/>
  <c r="F95" i="81"/>
  <c r="G95" i="81"/>
  <c r="H95" i="81"/>
  <c r="I95" i="81"/>
  <c r="J95" i="81"/>
  <c r="K95" i="81"/>
  <c r="L95" i="81"/>
  <c r="C96" i="81"/>
  <c r="D96" i="81"/>
  <c r="E96" i="81"/>
  <c r="F96" i="81"/>
  <c r="G96" i="81"/>
  <c r="H96" i="81"/>
  <c r="I96" i="81"/>
  <c r="J96" i="81"/>
  <c r="K96" i="81"/>
  <c r="L96" i="81"/>
  <c r="C97" i="81"/>
  <c r="D97" i="81"/>
  <c r="E97" i="81"/>
  <c r="F97" i="81"/>
  <c r="G97" i="81"/>
  <c r="H97" i="81"/>
  <c r="I97" i="81"/>
  <c r="J97" i="81"/>
  <c r="K97" i="81"/>
  <c r="L97" i="81"/>
  <c r="C98" i="81"/>
  <c r="D98" i="81"/>
  <c r="E98" i="81"/>
  <c r="F98" i="81"/>
  <c r="G98" i="81"/>
  <c r="H98" i="81"/>
  <c r="I98" i="81"/>
  <c r="J98" i="81"/>
  <c r="K98" i="81"/>
  <c r="L98" i="81"/>
  <c r="C99" i="81"/>
  <c r="D99" i="81"/>
  <c r="E99" i="81"/>
  <c r="F99" i="81"/>
  <c r="G99" i="81"/>
  <c r="H99" i="81"/>
  <c r="I99" i="81"/>
  <c r="J99" i="81"/>
  <c r="K99" i="81"/>
  <c r="L99" i="81"/>
  <c r="C100" i="81"/>
  <c r="D100" i="81"/>
  <c r="E100" i="81"/>
  <c r="F100" i="81"/>
  <c r="G100" i="81"/>
  <c r="H100" i="81"/>
  <c r="I100" i="81"/>
  <c r="J100" i="81"/>
  <c r="K100" i="81"/>
  <c r="L100" i="81"/>
  <c r="C101" i="81"/>
  <c r="D101" i="81"/>
  <c r="E101" i="81"/>
  <c r="F101" i="81"/>
  <c r="G101" i="81"/>
  <c r="H101" i="81"/>
  <c r="I101" i="81"/>
  <c r="J101" i="81"/>
  <c r="K101" i="81"/>
  <c r="L101" i="81"/>
  <c r="C102" i="81"/>
  <c r="D102" i="81"/>
  <c r="E102" i="81"/>
  <c r="F102" i="81"/>
  <c r="G102" i="81"/>
  <c r="H102" i="81"/>
  <c r="I102" i="81"/>
  <c r="J102" i="81"/>
  <c r="K102" i="81"/>
  <c r="L102" i="81"/>
  <c r="C103" i="81"/>
  <c r="D103" i="81"/>
  <c r="E103" i="81"/>
  <c r="F103" i="81"/>
  <c r="G103" i="81"/>
  <c r="H103" i="81"/>
  <c r="I103" i="81"/>
  <c r="J103" i="81"/>
  <c r="K103" i="81"/>
  <c r="L103" i="81"/>
  <c r="C104" i="81"/>
  <c r="D104" i="81"/>
  <c r="E104" i="81"/>
  <c r="F104" i="81"/>
  <c r="G104" i="81"/>
  <c r="H104" i="81"/>
  <c r="I104" i="81"/>
  <c r="J104" i="81"/>
  <c r="K104" i="81"/>
  <c r="L104" i="81"/>
  <c r="C105" i="81"/>
  <c r="D105" i="81"/>
  <c r="E105" i="81"/>
  <c r="F105" i="81"/>
  <c r="G105" i="81"/>
  <c r="H105" i="81"/>
  <c r="I105" i="81"/>
  <c r="J105" i="81"/>
  <c r="K105" i="81"/>
  <c r="L105" i="81"/>
  <c r="C106" i="81"/>
  <c r="D106" i="81"/>
  <c r="E106" i="81"/>
  <c r="F106" i="81"/>
  <c r="G106" i="81"/>
  <c r="H106" i="81"/>
  <c r="I106" i="81"/>
  <c r="J106" i="81"/>
  <c r="K106" i="81"/>
  <c r="L106" i="81"/>
  <c r="C107" i="81"/>
  <c r="D107" i="81"/>
  <c r="E107" i="81"/>
  <c r="F107" i="81"/>
  <c r="G107" i="81"/>
  <c r="H107" i="81"/>
  <c r="I107" i="81"/>
  <c r="J107" i="81"/>
  <c r="K107" i="81"/>
  <c r="L107" i="81"/>
  <c r="C108" i="81"/>
  <c r="D108" i="81"/>
  <c r="E108" i="81"/>
  <c r="F108" i="81"/>
  <c r="G108" i="81"/>
  <c r="H108" i="81"/>
  <c r="I108" i="81"/>
  <c r="J108" i="81"/>
  <c r="K108" i="81"/>
  <c r="L108" i="81"/>
  <c r="C109" i="81"/>
  <c r="D109" i="81"/>
  <c r="E109" i="81"/>
  <c r="F109" i="81"/>
  <c r="G109" i="81"/>
  <c r="H109" i="81"/>
  <c r="I109" i="81"/>
  <c r="J109" i="81"/>
  <c r="K109" i="81"/>
  <c r="L109" i="81"/>
  <c r="C110" i="81"/>
  <c r="D110" i="81"/>
  <c r="E110" i="81"/>
  <c r="F110" i="81"/>
  <c r="G110" i="81"/>
  <c r="H110" i="81"/>
  <c r="I110" i="81"/>
  <c r="J110" i="81"/>
  <c r="K110" i="81"/>
  <c r="L110" i="81"/>
  <c r="C111" i="81"/>
  <c r="D111" i="81"/>
  <c r="E111" i="81"/>
  <c r="F111" i="81"/>
  <c r="G111" i="81"/>
  <c r="H111" i="81"/>
  <c r="I111" i="81"/>
  <c r="J111" i="81"/>
  <c r="K111" i="81"/>
  <c r="L111" i="81"/>
  <c r="C112" i="81"/>
  <c r="D112" i="81"/>
  <c r="E112" i="81"/>
  <c r="F112" i="81"/>
  <c r="G112" i="81"/>
  <c r="H112" i="81"/>
  <c r="I112" i="81"/>
  <c r="J112" i="81"/>
  <c r="K112" i="81"/>
  <c r="L112" i="81"/>
  <c r="C113" i="81"/>
  <c r="D113" i="81"/>
  <c r="E113" i="81"/>
  <c r="F113" i="81"/>
  <c r="G113" i="81"/>
  <c r="H113" i="81"/>
  <c r="I113" i="81"/>
  <c r="J113" i="81"/>
  <c r="K113" i="81"/>
  <c r="L113" i="81"/>
  <c r="C114" i="81"/>
  <c r="D114" i="81"/>
  <c r="E114" i="81"/>
  <c r="F114" i="81"/>
  <c r="G114" i="81"/>
  <c r="H114" i="81"/>
  <c r="I114" i="81"/>
  <c r="J114" i="81"/>
  <c r="K114" i="81"/>
  <c r="L114" i="81"/>
  <c r="C115" i="81"/>
  <c r="D115" i="81"/>
  <c r="E115" i="81"/>
  <c r="F115" i="81"/>
  <c r="G115" i="81"/>
  <c r="H115" i="81"/>
  <c r="I115" i="81"/>
  <c r="J115" i="81"/>
  <c r="K115" i="81"/>
  <c r="L115" i="81"/>
  <c r="C116" i="81"/>
  <c r="D116" i="81"/>
  <c r="E116" i="81"/>
  <c r="F116" i="81"/>
  <c r="G116" i="81"/>
  <c r="H116" i="81"/>
  <c r="I116" i="81"/>
  <c r="J116" i="81"/>
  <c r="K116" i="81"/>
  <c r="L116" i="81"/>
  <c r="C117" i="81"/>
  <c r="D117" i="81"/>
  <c r="E117" i="81"/>
  <c r="F117" i="81"/>
  <c r="G117" i="81"/>
  <c r="H117" i="81"/>
  <c r="I117" i="81"/>
  <c r="J117" i="81"/>
  <c r="K117" i="81"/>
  <c r="L117" i="81"/>
  <c r="C118" i="81"/>
  <c r="D118" i="81"/>
  <c r="E118" i="81"/>
  <c r="F118" i="81"/>
  <c r="G118" i="81"/>
  <c r="H118" i="81"/>
  <c r="I118" i="81"/>
  <c r="J118" i="81"/>
  <c r="K118" i="81"/>
  <c r="L118" i="81"/>
  <c r="C119" i="81"/>
  <c r="D119" i="81"/>
  <c r="E119" i="81"/>
  <c r="F119" i="81"/>
  <c r="G119" i="81"/>
  <c r="H119" i="81"/>
  <c r="I119" i="81"/>
  <c r="J119" i="81"/>
  <c r="K119" i="81"/>
  <c r="L119" i="81"/>
  <c r="C120" i="81"/>
  <c r="D120" i="81"/>
  <c r="E120" i="81"/>
  <c r="F120" i="81"/>
  <c r="G120" i="81"/>
  <c r="H120" i="81"/>
  <c r="I120" i="81"/>
  <c r="J120" i="81"/>
  <c r="K120" i="81"/>
  <c r="L120" i="81"/>
  <c r="C121" i="81"/>
  <c r="D121" i="81"/>
  <c r="E121" i="81"/>
  <c r="F121" i="81"/>
  <c r="G121" i="81"/>
  <c r="H121" i="81"/>
  <c r="I121" i="81"/>
  <c r="J121" i="81"/>
  <c r="K121" i="81"/>
  <c r="L121" i="81"/>
  <c r="C122" i="81"/>
  <c r="D122" i="81"/>
  <c r="E122" i="81"/>
  <c r="F122" i="81"/>
  <c r="G122" i="81"/>
  <c r="H122" i="81"/>
  <c r="I122" i="81"/>
  <c r="J122" i="81"/>
  <c r="K122" i="81"/>
  <c r="L122" i="81"/>
  <c r="C123" i="81"/>
  <c r="D123" i="81"/>
  <c r="E123" i="81"/>
  <c r="F123" i="81"/>
  <c r="G123" i="81"/>
  <c r="H123" i="81"/>
  <c r="I123" i="81"/>
  <c r="J123" i="81"/>
  <c r="K123" i="81"/>
  <c r="L123" i="81"/>
  <c r="C124" i="81"/>
  <c r="D124" i="81"/>
  <c r="E124" i="81"/>
  <c r="F124" i="81"/>
  <c r="G124" i="81"/>
  <c r="H124" i="81"/>
  <c r="I124" i="81"/>
  <c r="J124" i="81"/>
  <c r="K124" i="81"/>
  <c r="L124" i="81"/>
  <c r="C125" i="81"/>
  <c r="D125" i="81"/>
  <c r="E125" i="81"/>
  <c r="F125" i="81"/>
  <c r="G125" i="81"/>
  <c r="H125" i="81"/>
  <c r="I125" i="81"/>
  <c r="J125" i="81"/>
  <c r="K125" i="81"/>
  <c r="L125" i="81"/>
  <c r="C126" i="81"/>
  <c r="D126" i="81"/>
  <c r="E126" i="81"/>
  <c r="F126" i="81"/>
  <c r="G126" i="81"/>
  <c r="H126" i="81"/>
  <c r="I126" i="81"/>
  <c r="J126" i="81"/>
  <c r="K126" i="81"/>
  <c r="L126" i="81"/>
  <c r="C127" i="81"/>
  <c r="D127" i="81"/>
  <c r="E127" i="81"/>
  <c r="F127" i="81"/>
  <c r="G127" i="81"/>
  <c r="H127" i="81"/>
  <c r="I127" i="81"/>
  <c r="J127" i="81"/>
  <c r="K127" i="81"/>
  <c r="L127" i="81"/>
  <c r="C128" i="81"/>
  <c r="D128" i="81"/>
  <c r="E128" i="81"/>
  <c r="F128" i="81"/>
  <c r="G128" i="81"/>
  <c r="H128" i="81"/>
  <c r="I128" i="81"/>
  <c r="J128" i="81"/>
  <c r="K128" i="81"/>
  <c r="L128" i="81"/>
  <c r="C129" i="81"/>
  <c r="D129" i="81"/>
  <c r="E129" i="81"/>
  <c r="F129" i="81"/>
  <c r="G129" i="81"/>
  <c r="H129" i="81"/>
  <c r="I129" i="81"/>
  <c r="J129" i="81"/>
  <c r="K129" i="81"/>
  <c r="L129" i="81"/>
  <c r="C130" i="81"/>
  <c r="D130" i="81"/>
  <c r="E130" i="81"/>
  <c r="F130" i="81"/>
  <c r="G130" i="81"/>
  <c r="H130" i="81"/>
  <c r="I130" i="81"/>
  <c r="J130" i="81"/>
  <c r="K130" i="81"/>
  <c r="L130" i="81"/>
  <c r="C131" i="81"/>
  <c r="D131" i="81"/>
  <c r="E131" i="81"/>
  <c r="F131" i="81"/>
  <c r="G131" i="81"/>
  <c r="H131" i="81"/>
  <c r="I131" i="81"/>
  <c r="J131" i="81"/>
  <c r="K131" i="81"/>
  <c r="L131" i="81"/>
  <c r="C132" i="81"/>
  <c r="D132" i="81"/>
  <c r="E132" i="81"/>
  <c r="F132" i="81"/>
  <c r="G132" i="81"/>
  <c r="H132" i="81"/>
  <c r="I132" i="81"/>
  <c r="J132" i="81"/>
  <c r="K132" i="81"/>
  <c r="L132" i="81"/>
  <c r="C133" i="81"/>
  <c r="D133" i="81"/>
  <c r="E133" i="81"/>
  <c r="F133" i="81"/>
  <c r="G133" i="81"/>
  <c r="H133" i="81"/>
  <c r="I133" i="81"/>
  <c r="J133" i="81"/>
  <c r="K133" i="81"/>
  <c r="L133" i="81"/>
  <c r="C134" i="81"/>
  <c r="D134" i="81"/>
  <c r="E134" i="81"/>
  <c r="F134" i="81"/>
  <c r="G134" i="81"/>
  <c r="H134" i="81"/>
  <c r="I134" i="81"/>
  <c r="J134" i="81"/>
  <c r="K134" i="81"/>
  <c r="L134" i="81"/>
  <c r="C135" i="81"/>
  <c r="D135" i="81"/>
  <c r="E135" i="81"/>
  <c r="F135" i="81"/>
  <c r="G135" i="81"/>
  <c r="H135" i="81"/>
  <c r="I135" i="81"/>
  <c r="J135" i="81"/>
  <c r="K135" i="81"/>
  <c r="L135" i="81"/>
  <c r="C136" i="81"/>
  <c r="D136" i="81"/>
  <c r="E136" i="81"/>
  <c r="F136" i="81"/>
  <c r="G136" i="81"/>
  <c r="H136" i="81"/>
  <c r="I136" i="81"/>
  <c r="J136" i="81"/>
  <c r="K136" i="81"/>
  <c r="L136" i="81"/>
  <c r="C137" i="81"/>
  <c r="D137" i="81"/>
  <c r="E137" i="81"/>
  <c r="F137" i="81"/>
  <c r="G137" i="81"/>
  <c r="H137" i="81"/>
  <c r="I137" i="81"/>
  <c r="J137" i="81"/>
  <c r="K137" i="81"/>
  <c r="L137" i="81"/>
  <c r="C138" i="81"/>
  <c r="D138" i="81"/>
  <c r="E138" i="81"/>
  <c r="F138" i="81"/>
  <c r="G138" i="81"/>
  <c r="H138" i="81"/>
  <c r="I138" i="81"/>
  <c r="J138" i="81"/>
  <c r="K138" i="81"/>
  <c r="L138" i="81"/>
  <c r="C139" i="81"/>
  <c r="D139" i="81"/>
  <c r="E139" i="81"/>
  <c r="F139" i="81"/>
  <c r="G139" i="81"/>
  <c r="H139" i="81"/>
  <c r="I139" i="81"/>
  <c r="J139" i="81"/>
  <c r="K139" i="81"/>
  <c r="L139" i="81"/>
  <c r="C140" i="81"/>
  <c r="D140" i="81"/>
  <c r="E140" i="81"/>
  <c r="F140" i="81"/>
  <c r="G140" i="81"/>
  <c r="H140" i="81"/>
  <c r="I140" i="81"/>
  <c r="J140" i="81"/>
  <c r="K140" i="81"/>
  <c r="L140" i="81"/>
  <c r="C141" i="81"/>
  <c r="D141" i="81"/>
  <c r="E141" i="81"/>
  <c r="F141" i="81"/>
  <c r="G141" i="81"/>
  <c r="H141" i="81"/>
  <c r="I141" i="81"/>
  <c r="J141" i="81"/>
  <c r="K141" i="81"/>
  <c r="L141" i="81"/>
  <c r="C142" i="81"/>
  <c r="D142" i="81"/>
  <c r="E142" i="81"/>
  <c r="F142" i="81"/>
  <c r="G142" i="81"/>
  <c r="H142" i="81"/>
  <c r="I142" i="81"/>
  <c r="J142" i="81"/>
  <c r="K142" i="81"/>
  <c r="L142" i="81"/>
  <c r="C143" i="81"/>
  <c r="D143" i="81"/>
  <c r="E143" i="81"/>
  <c r="F143" i="81"/>
  <c r="G143" i="81"/>
  <c r="H143" i="81"/>
  <c r="I143" i="81"/>
  <c r="J143" i="81"/>
  <c r="K143" i="81"/>
  <c r="L143" i="81"/>
  <c r="C144" i="81"/>
  <c r="D144" i="81"/>
  <c r="E144" i="81"/>
  <c r="F144" i="81"/>
  <c r="G144" i="81"/>
  <c r="H144" i="81"/>
  <c r="I144" i="81"/>
  <c r="J144" i="81"/>
  <c r="K144" i="81"/>
  <c r="L144" i="81"/>
  <c r="C145" i="81"/>
  <c r="D145" i="81"/>
  <c r="E145" i="81"/>
  <c r="F145" i="81"/>
  <c r="G145" i="81"/>
  <c r="H145" i="81"/>
  <c r="I145" i="81"/>
  <c r="J145" i="81"/>
  <c r="K145" i="81"/>
  <c r="L145" i="81"/>
  <c r="C146" i="81"/>
  <c r="D146" i="81"/>
  <c r="E146" i="81"/>
  <c r="F146" i="81"/>
  <c r="G146" i="81"/>
  <c r="H146" i="81"/>
  <c r="I146" i="81"/>
  <c r="J146" i="81"/>
  <c r="K146" i="81"/>
  <c r="L146" i="81"/>
  <c r="C147" i="81"/>
  <c r="D147" i="81"/>
  <c r="E147" i="81"/>
  <c r="F147" i="81"/>
  <c r="G147" i="81"/>
  <c r="H147" i="81"/>
  <c r="I147" i="81"/>
  <c r="J147" i="81"/>
  <c r="K147" i="81"/>
  <c r="L147" i="81"/>
  <c r="C148" i="81"/>
  <c r="D148" i="81"/>
  <c r="E148" i="81"/>
  <c r="F148" i="81"/>
  <c r="G148" i="81"/>
  <c r="H148" i="81"/>
  <c r="I148" i="81"/>
  <c r="J148" i="81"/>
  <c r="K148" i="81"/>
  <c r="L148" i="81"/>
  <c r="C149" i="81"/>
  <c r="D149" i="81"/>
  <c r="E149" i="81"/>
  <c r="F149" i="81"/>
  <c r="G149" i="81"/>
  <c r="H149" i="81"/>
  <c r="I149" i="81"/>
  <c r="J149" i="81"/>
  <c r="K149" i="81"/>
  <c r="L149" i="81"/>
  <c r="C150" i="81"/>
  <c r="D150" i="81"/>
  <c r="E150" i="81"/>
  <c r="F150" i="81"/>
  <c r="G150" i="81"/>
  <c r="H150" i="81"/>
  <c r="I150" i="81"/>
  <c r="J150" i="81"/>
  <c r="K150" i="81"/>
  <c r="L150" i="81"/>
  <c r="C151" i="81"/>
  <c r="D151" i="81"/>
  <c r="E151" i="81"/>
  <c r="F151" i="81"/>
  <c r="G151" i="81"/>
  <c r="H151" i="81"/>
  <c r="I151" i="81"/>
  <c r="J151" i="81"/>
  <c r="K151" i="81"/>
  <c r="L151" i="81"/>
  <c r="C152" i="81"/>
  <c r="D152" i="81"/>
  <c r="E152" i="81"/>
  <c r="F152" i="81"/>
  <c r="G152" i="81"/>
  <c r="H152" i="81"/>
  <c r="I152" i="81"/>
  <c r="J152" i="81"/>
  <c r="K152" i="81"/>
  <c r="L152" i="81"/>
  <c r="C153" i="81"/>
  <c r="D153" i="81"/>
  <c r="E153" i="81"/>
  <c r="F153" i="81"/>
  <c r="G153" i="81"/>
  <c r="H153" i="81"/>
  <c r="I153" i="81"/>
  <c r="J153" i="81"/>
  <c r="K153" i="81"/>
  <c r="L153" i="81"/>
  <c r="C154" i="81"/>
  <c r="D154" i="81"/>
  <c r="E154" i="81"/>
  <c r="F154" i="81"/>
  <c r="G154" i="81"/>
  <c r="H154" i="81"/>
  <c r="I154" i="81"/>
  <c r="J154" i="81"/>
  <c r="K154" i="81"/>
  <c r="L154" i="81"/>
  <c r="C155" i="81"/>
  <c r="D155" i="81"/>
  <c r="E155" i="81"/>
  <c r="F155" i="81"/>
  <c r="G155" i="81"/>
  <c r="H155" i="81"/>
  <c r="I155" i="81"/>
  <c r="J155" i="81"/>
  <c r="K155" i="81"/>
  <c r="L155" i="81"/>
  <c r="C156" i="81"/>
  <c r="D156" i="81"/>
  <c r="E156" i="81"/>
  <c r="F156" i="81"/>
  <c r="G156" i="81"/>
  <c r="H156" i="81"/>
  <c r="I156" i="81"/>
  <c r="J156" i="81"/>
  <c r="K156" i="81"/>
  <c r="L156" i="81"/>
  <c r="C157" i="81"/>
  <c r="D157" i="81"/>
  <c r="E157" i="81"/>
  <c r="F157" i="81"/>
  <c r="G157" i="81"/>
  <c r="H157" i="81"/>
  <c r="I157" i="81"/>
  <c r="J157" i="81"/>
  <c r="K157" i="81"/>
  <c r="L157" i="81"/>
  <c r="C158" i="81"/>
  <c r="D158" i="81"/>
  <c r="E158" i="81"/>
  <c r="F158" i="81"/>
  <c r="G158" i="81"/>
  <c r="H158" i="81"/>
  <c r="I158" i="81"/>
  <c r="J158" i="81"/>
  <c r="K158" i="81"/>
  <c r="L158" i="81"/>
  <c r="C159" i="81"/>
  <c r="D159" i="81"/>
  <c r="E159" i="81"/>
  <c r="F159" i="81"/>
  <c r="G159" i="81"/>
  <c r="H159" i="81"/>
  <c r="I159" i="81"/>
  <c r="J159" i="81"/>
  <c r="K159" i="81"/>
  <c r="L159" i="81"/>
  <c r="C160" i="81"/>
  <c r="D160" i="81"/>
  <c r="E160" i="81"/>
  <c r="F160" i="81"/>
  <c r="G160" i="81"/>
  <c r="H160" i="81"/>
  <c r="I160" i="81"/>
  <c r="J160" i="81"/>
  <c r="K160" i="81"/>
  <c r="L160" i="81"/>
  <c r="C161" i="81"/>
  <c r="D161" i="81"/>
  <c r="E161" i="81"/>
  <c r="F161" i="81"/>
  <c r="G161" i="81"/>
  <c r="H161" i="81"/>
  <c r="I161" i="81"/>
  <c r="J161" i="81"/>
  <c r="K161" i="81"/>
  <c r="L161" i="81"/>
  <c r="C162" i="81"/>
  <c r="D162" i="81"/>
  <c r="E162" i="81"/>
  <c r="F162" i="81"/>
  <c r="G162" i="81"/>
  <c r="H162" i="81"/>
  <c r="I162" i="81"/>
  <c r="J162" i="81"/>
  <c r="K162" i="81"/>
  <c r="L162" i="81"/>
  <c r="C163" i="81"/>
  <c r="D163" i="81"/>
  <c r="E163" i="81"/>
  <c r="F163" i="81"/>
  <c r="G163" i="81"/>
  <c r="H163" i="81"/>
  <c r="I163" i="81"/>
  <c r="J163" i="81"/>
  <c r="K163" i="81"/>
  <c r="L163" i="81"/>
  <c r="C164" i="81"/>
  <c r="D164" i="81"/>
  <c r="E164" i="81"/>
  <c r="F164" i="81"/>
  <c r="G164" i="81"/>
  <c r="H164" i="81"/>
  <c r="I164" i="81"/>
  <c r="J164" i="81"/>
  <c r="K164" i="81"/>
  <c r="L164" i="81"/>
  <c r="C165" i="81"/>
  <c r="D165" i="81"/>
  <c r="E165" i="81"/>
  <c r="F165" i="81"/>
  <c r="G165" i="81"/>
  <c r="H165" i="81"/>
  <c r="I165" i="81"/>
  <c r="J165" i="81"/>
  <c r="K165" i="81"/>
  <c r="L165" i="81"/>
  <c r="C166" i="81"/>
  <c r="D166" i="81"/>
  <c r="E166" i="81"/>
  <c r="F166" i="81"/>
  <c r="G166" i="81"/>
  <c r="H166" i="81"/>
  <c r="I166" i="81"/>
  <c r="J166" i="81"/>
  <c r="K166" i="81"/>
  <c r="L166" i="81"/>
  <c r="C167" i="81"/>
  <c r="D167" i="81"/>
  <c r="E167" i="81"/>
  <c r="F167" i="81"/>
  <c r="G167" i="81"/>
  <c r="H167" i="81"/>
  <c r="I167" i="81"/>
  <c r="J167" i="81"/>
  <c r="K167" i="81"/>
  <c r="L167" i="81"/>
  <c r="C168" i="81"/>
  <c r="D168" i="81"/>
  <c r="E168" i="81"/>
  <c r="F168" i="81"/>
  <c r="G168" i="81"/>
  <c r="H168" i="81"/>
  <c r="I168" i="81"/>
  <c r="J168" i="81"/>
  <c r="K168" i="81"/>
  <c r="L168" i="81"/>
  <c r="C169" i="81"/>
  <c r="D169" i="81"/>
  <c r="E169" i="81"/>
  <c r="F169" i="81"/>
  <c r="G169" i="81"/>
  <c r="H169" i="81"/>
  <c r="I169" i="81"/>
  <c r="J169" i="81"/>
  <c r="K169" i="81"/>
  <c r="L169" i="81"/>
  <c r="C170" i="81"/>
  <c r="D170" i="81"/>
  <c r="E170" i="81"/>
  <c r="F170" i="81"/>
  <c r="G170" i="81"/>
  <c r="H170" i="81"/>
  <c r="I170" i="81"/>
  <c r="J170" i="81"/>
  <c r="K170" i="81"/>
  <c r="L170" i="81"/>
  <c r="C171" i="81"/>
  <c r="D171" i="81"/>
  <c r="E171" i="81"/>
  <c r="F171" i="81"/>
  <c r="G171" i="81"/>
  <c r="H171" i="81"/>
  <c r="I171" i="81"/>
  <c r="J171" i="81"/>
  <c r="K171" i="81"/>
  <c r="L171" i="81"/>
  <c r="C172" i="81"/>
  <c r="D172" i="81"/>
  <c r="E172" i="81"/>
  <c r="F172" i="81"/>
  <c r="G172" i="81"/>
  <c r="H172" i="81"/>
  <c r="I172" i="81"/>
  <c r="J172" i="81"/>
  <c r="K172" i="81"/>
  <c r="L172" i="81"/>
  <c r="C173" i="81"/>
  <c r="D173" i="81"/>
  <c r="E173" i="81"/>
  <c r="F173" i="81"/>
  <c r="G173" i="81"/>
  <c r="H173" i="81"/>
  <c r="I173" i="81"/>
  <c r="J173" i="81"/>
  <c r="K173" i="81"/>
  <c r="L173" i="81"/>
  <c r="C174" i="81"/>
  <c r="D174" i="81"/>
  <c r="E174" i="81"/>
  <c r="F174" i="81"/>
  <c r="G174" i="81"/>
  <c r="H174" i="81"/>
  <c r="I174" i="81"/>
  <c r="J174" i="81"/>
  <c r="K174" i="81"/>
  <c r="L174" i="81"/>
  <c r="C175" i="81"/>
  <c r="D175" i="81"/>
  <c r="E175" i="81"/>
  <c r="F175" i="81"/>
  <c r="G175" i="81"/>
  <c r="H175" i="81"/>
  <c r="I175" i="81"/>
  <c r="J175" i="81"/>
  <c r="K175" i="81"/>
  <c r="L175" i="81"/>
  <c r="C176" i="81"/>
  <c r="D176" i="81"/>
  <c r="E176" i="81"/>
  <c r="F176" i="81"/>
  <c r="G176" i="81"/>
  <c r="H176" i="81"/>
  <c r="I176" i="81"/>
  <c r="J176" i="81"/>
  <c r="K176" i="81"/>
  <c r="L176" i="81"/>
  <c r="C177" i="81"/>
  <c r="D177" i="81"/>
  <c r="E177" i="81"/>
  <c r="F177" i="81"/>
  <c r="G177" i="81"/>
  <c r="H177" i="81"/>
  <c r="I177" i="81"/>
  <c r="J177" i="81"/>
  <c r="K177" i="81"/>
  <c r="L177" i="81"/>
  <c r="C178" i="81"/>
  <c r="D178" i="81"/>
  <c r="E178" i="81"/>
  <c r="F178" i="81"/>
  <c r="G178" i="81"/>
  <c r="H178" i="81"/>
  <c r="I178" i="81"/>
  <c r="J178" i="81"/>
  <c r="K178" i="81"/>
  <c r="L178" i="81"/>
  <c r="C179" i="81"/>
  <c r="D179" i="81"/>
  <c r="E179" i="81"/>
  <c r="F179" i="81"/>
  <c r="G179" i="81"/>
  <c r="H179" i="81"/>
  <c r="I179" i="81"/>
  <c r="J179" i="81"/>
  <c r="K179" i="81"/>
  <c r="L179" i="81"/>
  <c r="C180" i="81"/>
  <c r="D180" i="81"/>
  <c r="E180" i="81"/>
  <c r="F180" i="81"/>
  <c r="G180" i="81"/>
  <c r="H180" i="81"/>
  <c r="I180" i="81"/>
  <c r="J180" i="81"/>
  <c r="K180" i="81"/>
  <c r="L180" i="81"/>
  <c r="C181" i="81"/>
  <c r="D181" i="81"/>
  <c r="E181" i="81"/>
  <c r="F181" i="81"/>
  <c r="G181" i="81"/>
  <c r="H181" i="81"/>
  <c r="I181" i="81"/>
  <c r="J181" i="81"/>
  <c r="K181" i="81"/>
  <c r="L181" i="81"/>
  <c r="C182" i="81"/>
  <c r="D182" i="81"/>
  <c r="E182" i="81"/>
  <c r="F182" i="81"/>
  <c r="G182" i="81"/>
  <c r="H182" i="81"/>
  <c r="I182" i="81"/>
  <c r="J182" i="81"/>
  <c r="K182" i="81"/>
  <c r="L182" i="81"/>
  <c r="C183" i="81"/>
  <c r="D183" i="81"/>
  <c r="E183" i="81"/>
  <c r="F183" i="81"/>
  <c r="G183" i="81"/>
  <c r="H183" i="81"/>
  <c r="I183" i="81"/>
  <c r="J183" i="81"/>
  <c r="K183" i="81"/>
  <c r="L183" i="81"/>
  <c r="C184" i="81"/>
  <c r="D184" i="81"/>
  <c r="E184" i="81"/>
  <c r="F184" i="81"/>
  <c r="G184" i="81"/>
  <c r="H184" i="81"/>
  <c r="I184" i="81"/>
  <c r="J184" i="81"/>
  <c r="K184" i="81"/>
  <c r="L184" i="81"/>
  <c r="C185" i="81"/>
  <c r="D185" i="81"/>
  <c r="E185" i="81"/>
  <c r="F185" i="81"/>
  <c r="G185" i="81"/>
  <c r="H185" i="81"/>
  <c r="I185" i="81"/>
  <c r="J185" i="81"/>
  <c r="K185" i="81"/>
  <c r="L185" i="81"/>
  <c r="C186" i="81"/>
  <c r="D186" i="81"/>
  <c r="E186" i="81"/>
  <c r="F186" i="81"/>
  <c r="G186" i="81"/>
  <c r="H186" i="81"/>
  <c r="I186" i="81"/>
  <c r="J186" i="81"/>
  <c r="K186" i="81"/>
  <c r="L186" i="81"/>
  <c r="C187" i="81"/>
  <c r="D187" i="81"/>
  <c r="E187" i="81"/>
  <c r="F187" i="81"/>
  <c r="G187" i="81"/>
  <c r="H187" i="81"/>
  <c r="I187" i="81"/>
  <c r="J187" i="81"/>
  <c r="K187" i="81"/>
  <c r="L187" i="81"/>
  <c r="C188" i="81"/>
  <c r="D188" i="81"/>
  <c r="E188" i="81"/>
  <c r="F188" i="81"/>
  <c r="G188" i="81"/>
  <c r="H188" i="81"/>
  <c r="I188" i="81"/>
  <c r="J188" i="81"/>
  <c r="K188" i="81"/>
  <c r="L188" i="81"/>
  <c r="C189" i="81"/>
  <c r="D189" i="81"/>
  <c r="E189" i="81"/>
  <c r="F189" i="81"/>
  <c r="G189" i="81"/>
  <c r="H189" i="81"/>
  <c r="I189" i="81"/>
  <c r="J189" i="81"/>
  <c r="K189" i="81"/>
  <c r="L189" i="81"/>
  <c r="C190" i="81"/>
  <c r="D190" i="81"/>
  <c r="E190" i="81"/>
  <c r="F190" i="81"/>
  <c r="G190" i="81"/>
  <c r="H190" i="81"/>
  <c r="I190" i="81"/>
  <c r="J190" i="81"/>
  <c r="K190" i="81"/>
  <c r="L190" i="81"/>
  <c r="C191" i="81"/>
  <c r="D191" i="81"/>
  <c r="E191" i="81"/>
  <c r="F191" i="81"/>
  <c r="G191" i="81"/>
  <c r="H191" i="81"/>
  <c r="I191" i="81"/>
  <c r="J191" i="81"/>
  <c r="K191" i="81"/>
  <c r="L191" i="81"/>
  <c r="C192" i="81"/>
  <c r="D192" i="81"/>
  <c r="E192" i="81"/>
  <c r="F192" i="81"/>
  <c r="G192" i="81"/>
  <c r="H192" i="81"/>
  <c r="I192" i="81"/>
  <c r="J192" i="81"/>
  <c r="K192" i="81"/>
  <c r="L192" i="81"/>
  <c r="C193" i="81"/>
  <c r="D193" i="81"/>
  <c r="E193" i="81"/>
  <c r="F193" i="81"/>
  <c r="G193" i="81"/>
  <c r="H193" i="81"/>
  <c r="I193" i="81"/>
  <c r="J193" i="81"/>
  <c r="K193" i="81"/>
  <c r="L193" i="81"/>
  <c r="C194" i="81"/>
  <c r="D194" i="81"/>
  <c r="E194" i="81"/>
  <c r="F194" i="81"/>
  <c r="G194" i="81"/>
  <c r="H194" i="81"/>
  <c r="I194" i="81"/>
  <c r="J194" i="81"/>
  <c r="K194" i="81"/>
  <c r="L194" i="81"/>
  <c r="C195" i="81"/>
  <c r="D195" i="81"/>
  <c r="E195" i="81"/>
  <c r="F195" i="81"/>
  <c r="G195" i="81"/>
  <c r="H195" i="81"/>
  <c r="I195" i="81"/>
  <c r="J195" i="81"/>
  <c r="K195" i="81"/>
  <c r="L195" i="81"/>
  <c r="C196" i="81"/>
  <c r="D196" i="81"/>
  <c r="E196" i="81"/>
  <c r="F196" i="81"/>
  <c r="G196" i="81"/>
  <c r="H196" i="81"/>
  <c r="I196" i="81"/>
  <c r="J196" i="81"/>
  <c r="K196" i="81"/>
  <c r="L196" i="81"/>
  <c r="C197" i="81"/>
  <c r="D197" i="81"/>
  <c r="E197" i="81"/>
  <c r="F197" i="81"/>
  <c r="G197" i="81"/>
  <c r="H197" i="81"/>
  <c r="I197" i="81"/>
  <c r="J197" i="81"/>
  <c r="K197" i="81"/>
  <c r="L197" i="81"/>
  <c r="C198" i="81"/>
  <c r="D198" i="81"/>
  <c r="E198" i="81"/>
  <c r="F198" i="81"/>
  <c r="G198" i="81"/>
  <c r="H198" i="81"/>
  <c r="I198" i="81"/>
  <c r="J198" i="81"/>
  <c r="K198" i="81"/>
  <c r="L198" i="81"/>
  <c r="C199" i="81"/>
  <c r="D199" i="81"/>
  <c r="E199" i="81"/>
  <c r="F199" i="81"/>
  <c r="G199" i="81"/>
  <c r="H199" i="81"/>
  <c r="I199" i="81"/>
  <c r="J199" i="81"/>
  <c r="K199" i="81"/>
  <c r="L199" i="81"/>
  <c r="C200" i="81"/>
  <c r="D200" i="81"/>
  <c r="E200" i="81"/>
  <c r="F200" i="81"/>
  <c r="G200" i="81"/>
  <c r="H200" i="81"/>
  <c r="I200" i="81"/>
  <c r="J200" i="81"/>
  <c r="K200" i="81"/>
  <c r="L200" i="81"/>
  <c r="C201" i="81"/>
  <c r="D201" i="81"/>
  <c r="E201" i="81"/>
  <c r="F201" i="81"/>
  <c r="G201" i="81"/>
  <c r="H201" i="81"/>
  <c r="I201" i="81"/>
  <c r="J201" i="81"/>
  <c r="K201" i="81"/>
  <c r="L201" i="81"/>
  <c r="C202" i="81"/>
  <c r="D202" i="81"/>
  <c r="E202" i="81"/>
  <c r="F202" i="81"/>
  <c r="G202" i="81"/>
  <c r="H202" i="81"/>
  <c r="I202" i="81"/>
  <c r="J202" i="81"/>
  <c r="K202" i="81"/>
  <c r="L202" i="81"/>
  <c r="C203" i="81"/>
  <c r="D203" i="81"/>
  <c r="E203" i="81"/>
  <c r="F203" i="81"/>
  <c r="G203" i="81"/>
  <c r="H203" i="81"/>
  <c r="I203" i="81"/>
  <c r="J203" i="81"/>
  <c r="K203" i="81"/>
  <c r="L203" i="81"/>
  <c r="C204" i="81"/>
  <c r="D204" i="81"/>
  <c r="E204" i="81"/>
  <c r="F204" i="81"/>
  <c r="G204" i="81"/>
  <c r="H204" i="81"/>
  <c r="I204" i="81"/>
  <c r="J204" i="81"/>
  <c r="K204" i="81"/>
  <c r="L204" i="81"/>
  <c r="C205" i="81"/>
  <c r="D205" i="81"/>
  <c r="E205" i="81"/>
  <c r="F205" i="81"/>
  <c r="G205" i="81"/>
  <c r="H205" i="81"/>
  <c r="I205" i="81"/>
  <c r="J205" i="81"/>
  <c r="K205" i="81"/>
  <c r="L205" i="81"/>
  <c r="C206" i="81"/>
  <c r="D206" i="81"/>
  <c r="E206" i="81"/>
  <c r="F206" i="81"/>
  <c r="G206" i="81"/>
  <c r="H206" i="81"/>
  <c r="I206" i="81"/>
  <c r="J206" i="81"/>
  <c r="K206" i="81"/>
  <c r="L206" i="81"/>
  <c r="C207" i="81"/>
  <c r="D207" i="81"/>
  <c r="E207" i="81"/>
  <c r="F207" i="81"/>
  <c r="G207" i="81"/>
  <c r="H207" i="81"/>
  <c r="I207" i="81"/>
  <c r="J207" i="81"/>
  <c r="K207" i="81"/>
  <c r="L207" i="81"/>
  <c r="C208" i="81"/>
  <c r="D208" i="81"/>
  <c r="E208" i="81"/>
  <c r="F208" i="81"/>
  <c r="G208" i="81"/>
  <c r="H208" i="81"/>
  <c r="I208" i="81"/>
  <c r="J208" i="81"/>
  <c r="K208" i="81"/>
  <c r="L208" i="81"/>
  <c r="C209" i="81"/>
  <c r="D209" i="81"/>
  <c r="E209" i="81"/>
  <c r="F209" i="81"/>
  <c r="G209" i="81"/>
  <c r="H209" i="81"/>
  <c r="I209" i="81"/>
  <c r="J209" i="81"/>
  <c r="K209" i="81"/>
  <c r="L209" i="81"/>
  <c r="C210" i="81"/>
  <c r="D210" i="81"/>
  <c r="E210" i="81"/>
  <c r="F210" i="81"/>
  <c r="G210" i="81"/>
  <c r="H210" i="81"/>
  <c r="I210" i="81"/>
  <c r="J210" i="81"/>
  <c r="K210" i="81"/>
  <c r="L210" i="81"/>
  <c r="C211" i="81"/>
  <c r="D211" i="81"/>
  <c r="E211" i="81"/>
  <c r="F211" i="81"/>
  <c r="G211" i="81"/>
  <c r="H211" i="81"/>
  <c r="I211" i="81"/>
  <c r="J211" i="81"/>
  <c r="K211" i="81"/>
  <c r="L211" i="81"/>
  <c r="C212" i="81"/>
  <c r="D212" i="81"/>
  <c r="E212" i="81"/>
  <c r="F212" i="81"/>
  <c r="G212" i="81"/>
  <c r="H212" i="81"/>
  <c r="I212" i="81"/>
  <c r="J212" i="81"/>
  <c r="K212" i="81"/>
  <c r="L212" i="81"/>
  <c r="C213" i="81"/>
  <c r="D213" i="81"/>
  <c r="E213" i="81"/>
  <c r="F213" i="81"/>
  <c r="G213" i="81"/>
  <c r="H213" i="81"/>
  <c r="I213" i="81"/>
  <c r="J213" i="81"/>
  <c r="K213" i="81"/>
  <c r="L213" i="81"/>
  <c r="C214" i="81"/>
  <c r="D214" i="81"/>
  <c r="E214" i="81"/>
  <c r="F214" i="81"/>
  <c r="G214" i="81"/>
  <c r="H214" i="81"/>
  <c r="I214" i="81"/>
  <c r="J214" i="81"/>
  <c r="K214" i="81"/>
  <c r="L214" i="81"/>
  <c r="C215" i="81"/>
  <c r="D215" i="81"/>
  <c r="E215" i="81"/>
  <c r="F215" i="81"/>
  <c r="G215" i="81"/>
  <c r="H215" i="81"/>
  <c r="I215" i="81"/>
  <c r="J215" i="81"/>
  <c r="K215" i="81"/>
  <c r="L215" i="81"/>
  <c r="C216" i="81"/>
  <c r="D216" i="81"/>
  <c r="E216" i="81"/>
  <c r="F216" i="81"/>
  <c r="G216" i="81"/>
  <c r="H216" i="81"/>
  <c r="I216" i="81"/>
  <c r="J216" i="81"/>
  <c r="K216" i="81"/>
  <c r="L216" i="81"/>
  <c r="C217" i="81"/>
  <c r="D217" i="81"/>
  <c r="E217" i="81"/>
  <c r="F217" i="81"/>
  <c r="G217" i="81"/>
  <c r="H217" i="81"/>
  <c r="I217" i="81"/>
  <c r="J217" i="81"/>
  <c r="K217" i="81"/>
  <c r="L217" i="81"/>
  <c r="C218" i="81"/>
  <c r="D218" i="81"/>
  <c r="E218" i="81"/>
  <c r="F218" i="81"/>
  <c r="G218" i="81"/>
  <c r="H218" i="81"/>
  <c r="I218" i="81"/>
  <c r="J218" i="81"/>
  <c r="K218" i="81"/>
  <c r="L218" i="81"/>
  <c r="C219" i="81"/>
  <c r="D219" i="81"/>
  <c r="E219" i="81"/>
  <c r="F219" i="81"/>
  <c r="G219" i="81"/>
  <c r="H219" i="81"/>
  <c r="I219" i="81"/>
  <c r="J219" i="81"/>
  <c r="K219" i="81"/>
  <c r="L219" i="81"/>
  <c r="C220" i="81"/>
  <c r="D220" i="81"/>
  <c r="E220" i="81"/>
  <c r="F220" i="81"/>
  <c r="G220" i="81"/>
  <c r="H220" i="81"/>
  <c r="I220" i="81"/>
  <c r="J220" i="81"/>
  <c r="K220" i="81"/>
  <c r="L220" i="81"/>
  <c r="C221" i="81"/>
  <c r="D221" i="81"/>
  <c r="E221" i="81"/>
  <c r="F221" i="81"/>
  <c r="G221" i="81"/>
  <c r="H221" i="81"/>
  <c r="I221" i="81"/>
  <c r="J221" i="81"/>
  <c r="K221" i="81"/>
  <c r="L221" i="81"/>
  <c r="C222" i="81"/>
  <c r="D222" i="81"/>
  <c r="E222" i="81"/>
  <c r="F222" i="81"/>
  <c r="G222" i="81"/>
  <c r="H222" i="81"/>
  <c r="I222" i="81"/>
  <c r="J222" i="81"/>
  <c r="K222" i="81"/>
  <c r="L222" i="81"/>
  <c r="C223" i="81"/>
  <c r="D223" i="81"/>
  <c r="E223" i="81"/>
  <c r="F223" i="81"/>
  <c r="G223" i="81"/>
  <c r="H223" i="81"/>
  <c r="I223" i="81"/>
  <c r="J223" i="81"/>
  <c r="K223" i="81"/>
  <c r="L223" i="81"/>
  <c r="C224" i="81"/>
  <c r="D224" i="81"/>
  <c r="E224" i="81"/>
  <c r="F224" i="81"/>
  <c r="G224" i="81"/>
  <c r="H224" i="81"/>
  <c r="I224" i="81"/>
  <c r="J224" i="81"/>
  <c r="K224" i="81"/>
  <c r="L224" i="81"/>
  <c r="C225" i="81"/>
  <c r="D225" i="81"/>
  <c r="E225" i="81"/>
  <c r="F225" i="81"/>
  <c r="G225" i="81"/>
  <c r="H225" i="81"/>
  <c r="I225" i="81"/>
  <c r="J225" i="81"/>
  <c r="K225" i="81"/>
  <c r="L225" i="81"/>
  <c r="C226" i="81"/>
  <c r="D226" i="81"/>
  <c r="E226" i="81"/>
  <c r="F226" i="81"/>
  <c r="G226" i="81"/>
  <c r="H226" i="81"/>
  <c r="I226" i="81"/>
  <c r="J226" i="81"/>
  <c r="K226" i="81"/>
  <c r="L226" i="81"/>
  <c r="C227" i="81"/>
  <c r="D227" i="81"/>
  <c r="E227" i="81"/>
  <c r="F227" i="81"/>
  <c r="G227" i="81"/>
  <c r="H227" i="81"/>
  <c r="I227" i="81"/>
  <c r="J227" i="81"/>
  <c r="K227" i="81"/>
  <c r="L227" i="81"/>
  <c r="C228" i="81"/>
  <c r="D228" i="81"/>
  <c r="E228" i="81"/>
  <c r="F228" i="81"/>
  <c r="G228" i="81"/>
  <c r="H228" i="81"/>
  <c r="I228" i="81"/>
  <c r="J228" i="81"/>
  <c r="K228" i="81"/>
  <c r="L228" i="81"/>
  <c r="C229" i="81"/>
  <c r="D229" i="81"/>
  <c r="E229" i="81"/>
  <c r="F229" i="81"/>
  <c r="G229" i="81"/>
  <c r="H229" i="81"/>
  <c r="I229" i="81"/>
  <c r="J229" i="81"/>
  <c r="K229" i="81"/>
  <c r="L229" i="81"/>
  <c r="C230" i="81"/>
  <c r="D230" i="81"/>
  <c r="E230" i="81"/>
  <c r="F230" i="81"/>
  <c r="G230" i="81"/>
  <c r="H230" i="81"/>
  <c r="I230" i="81"/>
  <c r="J230" i="81"/>
  <c r="K230" i="81"/>
  <c r="L230" i="81"/>
  <c r="C231" i="81"/>
  <c r="D231" i="81"/>
  <c r="E231" i="81"/>
  <c r="F231" i="81"/>
  <c r="G231" i="81"/>
  <c r="H231" i="81"/>
  <c r="I231" i="81"/>
  <c r="J231" i="81"/>
  <c r="K231" i="81"/>
  <c r="L231" i="81"/>
  <c r="C232" i="81"/>
  <c r="D232" i="81"/>
  <c r="E232" i="81"/>
  <c r="F232" i="81"/>
  <c r="G232" i="81"/>
  <c r="H232" i="81"/>
  <c r="I232" i="81"/>
  <c r="J232" i="81"/>
  <c r="K232" i="81"/>
  <c r="L232" i="81"/>
  <c r="C233" i="81"/>
  <c r="D233" i="81"/>
  <c r="E233" i="81"/>
  <c r="F233" i="81"/>
  <c r="G233" i="81"/>
  <c r="H233" i="81"/>
  <c r="I233" i="81"/>
  <c r="J233" i="81"/>
  <c r="K233" i="81"/>
  <c r="L233" i="81"/>
  <c r="C234" i="81"/>
  <c r="D234" i="81"/>
  <c r="E234" i="81"/>
  <c r="F234" i="81"/>
  <c r="G234" i="81"/>
  <c r="H234" i="81"/>
  <c r="I234" i="81"/>
  <c r="J234" i="81"/>
  <c r="K234" i="81"/>
  <c r="L234" i="81"/>
  <c r="C235" i="81"/>
  <c r="D235" i="81"/>
  <c r="E235" i="81"/>
  <c r="F235" i="81"/>
  <c r="G235" i="81"/>
  <c r="H235" i="81"/>
  <c r="I235" i="81"/>
  <c r="J235" i="81"/>
  <c r="K235" i="81"/>
  <c r="L235" i="81"/>
  <c r="C236" i="81"/>
  <c r="D236" i="81"/>
  <c r="E236" i="81"/>
  <c r="F236" i="81"/>
  <c r="G236" i="81"/>
  <c r="H236" i="81"/>
  <c r="I236" i="81"/>
  <c r="J236" i="81"/>
  <c r="K236" i="81"/>
  <c r="L236" i="81"/>
  <c r="C237" i="81"/>
  <c r="D237" i="81"/>
  <c r="E237" i="81"/>
  <c r="F237" i="81"/>
  <c r="G237" i="81"/>
  <c r="H237" i="81"/>
  <c r="I237" i="81"/>
  <c r="J237" i="81"/>
  <c r="K237" i="81"/>
  <c r="L237" i="81"/>
  <c r="C238" i="81"/>
  <c r="D238" i="81"/>
  <c r="E238" i="81"/>
  <c r="F238" i="81"/>
  <c r="G238" i="81"/>
  <c r="H238" i="81"/>
  <c r="I238" i="81"/>
  <c r="J238" i="81"/>
  <c r="K238" i="81"/>
  <c r="L238" i="81"/>
  <c r="C239" i="81"/>
  <c r="D239" i="81"/>
  <c r="E239" i="81"/>
  <c r="F239" i="81"/>
  <c r="G239" i="81"/>
  <c r="H239" i="81"/>
  <c r="I239" i="81"/>
  <c r="J239" i="81"/>
  <c r="K239" i="81"/>
  <c r="L239" i="81"/>
  <c r="C240" i="81"/>
  <c r="D240" i="81"/>
  <c r="E240" i="81"/>
  <c r="F240" i="81"/>
  <c r="G240" i="81"/>
  <c r="H240" i="81"/>
  <c r="I240" i="81"/>
  <c r="J240" i="81"/>
  <c r="K240" i="81"/>
  <c r="L240" i="81"/>
  <c r="C241" i="81"/>
  <c r="D241" i="81"/>
  <c r="E241" i="81"/>
  <c r="F241" i="81"/>
  <c r="G241" i="81"/>
  <c r="H241" i="81"/>
  <c r="I241" i="81"/>
  <c r="J241" i="81"/>
  <c r="K241" i="81"/>
  <c r="L241" i="81"/>
  <c r="C242" i="81"/>
  <c r="D242" i="81"/>
  <c r="E242" i="81"/>
  <c r="F242" i="81"/>
  <c r="G242" i="81"/>
  <c r="H242" i="81"/>
  <c r="I242" i="81"/>
  <c r="J242" i="81"/>
  <c r="K242" i="81"/>
  <c r="L242" i="81"/>
  <c r="C243" i="81"/>
  <c r="D243" i="81"/>
  <c r="E243" i="81"/>
  <c r="F243" i="81"/>
  <c r="G243" i="81"/>
  <c r="H243" i="81"/>
  <c r="I243" i="81"/>
  <c r="J243" i="81"/>
  <c r="K243" i="81"/>
  <c r="L243" i="81"/>
  <c r="C244" i="81"/>
  <c r="D244" i="81"/>
  <c r="E244" i="81"/>
  <c r="F244" i="81"/>
  <c r="G244" i="81"/>
  <c r="H244" i="81"/>
  <c r="I244" i="81"/>
  <c r="J244" i="81"/>
  <c r="K244" i="81"/>
  <c r="L244" i="81"/>
  <c r="C245" i="81"/>
  <c r="D245" i="81"/>
  <c r="E245" i="81"/>
  <c r="F245" i="81"/>
  <c r="G245" i="81"/>
  <c r="H245" i="81"/>
  <c r="I245" i="81"/>
  <c r="J245" i="81"/>
  <c r="K245" i="81"/>
  <c r="L245" i="81"/>
  <c r="C246" i="81"/>
  <c r="D246" i="81"/>
  <c r="E246" i="81"/>
  <c r="F246" i="81"/>
  <c r="G246" i="81"/>
  <c r="H246" i="81"/>
  <c r="I246" i="81"/>
  <c r="J246" i="81"/>
  <c r="K246" i="81"/>
  <c r="L246" i="81"/>
  <c r="C247" i="81"/>
  <c r="D247" i="81"/>
  <c r="E247" i="81"/>
  <c r="F247" i="81"/>
  <c r="G247" i="81"/>
  <c r="H247" i="81"/>
  <c r="I247" i="81"/>
  <c r="J247" i="81"/>
  <c r="K247" i="81"/>
  <c r="L247" i="81"/>
  <c r="C248" i="81"/>
  <c r="D248" i="81"/>
  <c r="E248" i="81"/>
  <c r="F248" i="81"/>
  <c r="G248" i="81"/>
  <c r="H248" i="81"/>
  <c r="I248" i="81"/>
  <c r="J248" i="81"/>
  <c r="K248" i="81"/>
  <c r="L248" i="81"/>
  <c r="C249" i="81"/>
  <c r="D249" i="81"/>
  <c r="E249" i="81"/>
  <c r="F249" i="81"/>
  <c r="G249" i="81"/>
  <c r="H249" i="81"/>
  <c r="I249" i="81"/>
  <c r="J249" i="81"/>
  <c r="K249" i="81"/>
  <c r="L249" i="81"/>
  <c r="C250" i="81"/>
  <c r="D250" i="81"/>
  <c r="E250" i="81"/>
  <c r="F250" i="81"/>
  <c r="G250" i="81"/>
  <c r="H250" i="81"/>
  <c r="I250" i="81"/>
  <c r="J250" i="81"/>
  <c r="K250" i="81"/>
  <c r="L250" i="81"/>
  <c r="C251" i="81"/>
  <c r="D251" i="81"/>
  <c r="E251" i="81"/>
  <c r="F251" i="81"/>
  <c r="G251" i="81"/>
  <c r="H251" i="81"/>
  <c r="I251" i="81"/>
  <c r="J251" i="81"/>
  <c r="K251" i="81"/>
  <c r="L251" i="81"/>
  <c r="C252" i="81"/>
  <c r="D252" i="81"/>
  <c r="E252" i="81"/>
  <c r="F252" i="81"/>
  <c r="G252" i="81"/>
  <c r="H252" i="81"/>
  <c r="I252" i="81"/>
  <c r="J252" i="81"/>
  <c r="K252" i="81"/>
  <c r="L252" i="81"/>
  <c r="C253" i="81"/>
  <c r="D253" i="81"/>
  <c r="E253" i="81"/>
  <c r="F253" i="81"/>
  <c r="G253" i="81"/>
  <c r="H253" i="81"/>
  <c r="I253" i="81"/>
  <c r="J253" i="81"/>
  <c r="K253" i="81"/>
  <c r="L253" i="81"/>
  <c r="C254" i="81"/>
  <c r="D254" i="81"/>
  <c r="E254" i="81"/>
  <c r="F254" i="81"/>
  <c r="G254" i="81"/>
  <c r="H254" i="81"/>
  <c r="I254" i="81"/>
  <c r="J254" i="81"/>
  <c r="K254" i="81"/>
  <c r="L254" i="81"/>
  <c r="C255" i="81"/>
  <c r="D255" i="81"/>
  <c r="E255" i="81"/>
  <c r="F255" i="81"/>
  <c r="G255" i="81"/>
  <c r="H255" i="81"/>
  <c r="I255" i="81"/>
  <c r="J255" i="81"/>
  <c r="K255" i="81"/>
  <c r="L255" i="81"/>
  <c r="C256" i="81"/>
  <c r="D256" i="81"/>
  <c r="E256" i="81"/>
  <c r="F256" i="81"/>
  <c r="G256" i="81"/>
  <c r="H256" i="81"/>
  <c r="I256" i="81"/>
  <c r="J256" i="81"/>
  <c r="K256" i="81"/>
  <c r="L256" i="81"/>
  <c r="C257" i="81"/>
  <c r="D257" i="81"/>
  <c r="F257" i="81"/>
  <c r="G257" i="81"/>
  <c r="H257" i="81"/>
  <c r="I257" i="81"/>
  <c r="J257" i="81"/>
  <c r="K257" i="81"/>
  <c r="L257" i="81"/>
  <c r="C258" i="81"/>
  <c r="D258" i="81"/>
  <c r="E258" i="81"/>
  <c r="F258" i="81"/>
  <c r="G258" i="81"/>
  <c r="H258" i="81"/>
  <c r="I258" i="81"/>
  <c r="J258" i="81"/>
  <c r="K258" i="81"/>
  <c r="L258" i="81"/>
  <c r="C259" i="81"/>
  <c r="D259" i="81"/>
  <c r="E259" i="81"/>
  <c r="F259" i="81"/>
  <c r="G259" i="81"/>
  <c r="H259" i="81"/>
  <c r="I259" i="81"/>
  <c r="J259" i="81"/>
  <c r="K259" i="81"/>
  <c r="L259" i="81"/>
  <c r="C260" i="81"/>
  <c r="D260" i="81"/>
  <c r="E260" i="81"/>
  <c r="F260" i="81"/>
  <c r="G260" i="81"/>
  <c r="H260" i="81"/>
  <c r="I260" i="81"/>
  <c r="J260" i="81"/>
  <c r="K260" i="81"/>
  <c r="L260" i="81"/>
  <c r="C261" i="81"/>
  <c r="D261" i="81"/>
  <c r="E261" i="81"/>
  <c r="F261" i="81"/>
  <c r="G261" i="81"/>
  <c r="H261" i="81"/>
  <c r="I261" i="81"/>
  <c r="J261" i="81"/>
  <c r="K261" i="81"/>
  <c r="L261" i="81"/>
  <c r="C262" i="81"/>
  <c r="D262" i="81"/>
  <c r="E262" i="81"/>
  <c r="F262" i="81"/>
  <c r="G262" i="81"/>
  <c r="H262" i="81"/>
  <c r="I262" i="81"/>
  <c r="J262" i="81"/>
  <c r="K262" i="81"/>
  <c r="L262" i="81"/>
  <c r="C263" i="81"/>
  <c r="D263" i="81"/>
  <c r="E263" i="81"/>
  <c r="F263" i="81"/>
  <c r="G263" i="81"/>
  <c r="H263" i="81"/>
  <c r="I263" i="81"/>
  <c r="J263" i="81"/>
  <c r="K263" i="81"/>
  <c r="L263" i="81"/>
  <c r="C264" i="81"/>
  <c r="D264" i="81"/>
  <c r="E264" i="81"/>
  <c r="F264" i="81"/>
  <c r="G264" i="81"/>
  <c r="H264" i="81"/>
  <c r="I264" i="81"/>
  <c r="J264" i="81"/>
  <c r="K264" i="81"/>
  <c r="L264" i="81"/>
  <c r="C265" i="81"/>
  <c r="D265" i="81"/>
  <c r="E265" i="81"/>
  <c r="F265" i="81"/>
  <c r="G265" i="81"/>
  <c r="H265" i="81"/>
  <c r="I265" i="81"/>
  <c r="J265" i="81"/>
  <c r="K265" i="81"/>
  <c r="L265" i="81"/>
  <c r="C266" i="81"/>
  <c r="D266" i="81"/>
  <c r="E266" i="81"/>
  <c r="F266" i="81"/>
  <c r="G266" i="81"/>
  <c r="H266" i="81"/>
  <c r="I266" i="81"/>
  <c r="J266" i="81"/>
  <c r="K266" i="81"/>
  <c r="L266" i="81"/>
  <c r="C267" i="81"/>
  <c r="D267" i="81"/>
  <c r="E267" i="81"/>
  <c r="F267" i="81"/>
  <c r="G267" i="81"/>
  <c r="H267" i="81"/>
  <c r="I267" i="81"/>
  <c r="J267" i="81"/>
  <c r="K267" i="81"/>
  <c r="L267" i="81"/>
  <c r="C268" i="81"/>
  <c r="D268" i="81"/>
  <c r="E268" i="81"/>
  <c r="F268" i="81"/>
  <c r="G268" i="81"/>
  <c r="H268" i="81"/>
  <c r="I268" i="81"/>
  <c r="J268" i="81"/>
  <c r="K268" i="81"/>
  <c r="L268" i="81"/>
  <c r="C269" i="81"/>
  <c r="D269" i="81"/>
  <c r="E269" i="81"/>
  <c r="F269" i="81"/>
  <c r="G269" i="81"/>
  <c r="H269" i="81"/>
  <c r="I269" i="81"/>
  <c r="J269" i="81"/>
  <c r="K269" i="81"/>
  <c r="L269" i="81"/>
  <c r="C270" i="81"/>
  <c r="D270" i="81"/>
  <c r="E270" i="81"/>
  <c r="F270" i="81"/>
  <c r="G270" i="81"/>
  <c r="H270" i="81"/>
  <c r="I270" i="81"/>
  <c r="J270" i="81"/>
  <c r="K270" i="81"/>
  <c r="L270" i="81"/>
  <c r="C271" i="81"/>
  <c r="D271" i="81"/>
  <c r="E271" i="81"/>
  <c r="F271" i="81"/>
  <c r="G271" i="81"/>
  <c r="H271" i="81"/>
  <c r="I271" i="81"/>
  <c r="J271" i="81"/>
  <c r="K271" i="81"/>
  <c r="L271" i="81"/>
  <c r="C272" i="81"/>
  <c r="D272" i="81"/>
  <c r="E272" i="81"/>
  <c r="F272" i="81"/>
  <c r="G272" i="81"/>
  <c r="H272" i="81"/>
  <c r="I272" i="81"/>
  <c r="J272" i="81"/>
  <c r="K272" i="81"/>
  <c r="L272" i="81"/>
  <c r="C273" i="81"/>
  <c r="D273" i="81"/>
  <c r="E273" i="81"/>
  <c r="F273" i="81"/>
  <c r="G273" i="81"/>
  <c r="H273" i="81"/>
  <c r="I273" i="81"/>
  <c r="J273" i="81"/>
  <c r="K273" i="81"/>
  <c r="L273" i="81"/>
  <c r="C274" i="81"/>
  <c r="D274" i="81"/>
  <c r="E274" i="81"/>
  <c r="F274" i="81"/>
  <c r="G274" i="81"/>
  <c r="H274" i="81"/>
  <c r="I274" i="81"/>
  <c r="J274" i="81"/>
  <c r="K274" i="81"/>
  <c r="L274" i="81"/>
  <c r="C275" i="81"/>
  <c r="D275" i="81"/>
  <c r="E275" i="81"/>
  <c r="F275" i="81"/>
  <c r="G275" i="81"/>
  <c r="H275" i="81"/>
  <c r="I275" i="81"/>
  <c r="J275" i="81"/>
  <c r="K275" i="81"/>
  <c r="L275" i="81"/>
  <c r="C276" i="81"/>
  <c r="D276" i="81"/>
  <c r="E276" i="81"/>
  <c r="F276" i="81"/>
  <c r="G276" i="81"/>
  <c r="H276" i="81"/>
  <c r="I276" i="81"/>
  <c r="J276" i="81"/>
  <c r="K276" i="81"/>
  <c r="L276" i="81"/>
  <c r="C277" i="81"/>
  <c r="D277" i="81"/>
  <c r="E277" i="81"/>
  <c r="F277" i="81"/>
  <c r="G277" i="81"/>
  <c r="H277" i="81"/>
  <c r="I277" i="81"/>
  <c r="J277" i="81"/>
  <c r="K277" i="81"/>
  <c r="L277" i="81"/>
  <c r="C278" i="81"/>
  <c r="D278" i="81"/>
  <c r="E278" i="81"/>
  <c r="F278" i="81"/>
  <c r="G278" i="81"/>
  <c r="H278" i="81"/>
  <c r="I278" i="81"/>
  <c r="J278" i="81"/>
  <c r="K278" i="81"/>
  <c r="L278" i="81"/>
  <c r="C279" i="81"/>
  <c r="D279" i="81"/>
  <c r="E279" i="81"/>
  <c r="F279" i="81"/>
  <c r="G279" i="81"/>
  <c r="H279" i="81"/>
  <c r="I279" i="81"/>
  <c r="J279" i="81"/>
  <c r="K279" i="81"/>
  <c r="L279" i="81"/>
  <c r="C280" i="81"/>
  <c r="D280" i="81"/>
  <c r="E280" i="81"/>
  <c r="F280" i="81"/>
  <c r="G280" i="81"/>
  <c r="H280" i="81"/>
  <c r="I280" i="81"/>
  <c r="J280" i="81"/>
  <c r="K280" i="81"/>
  <c r="L280" i="81"/>
  <c r="C281" i="81"/>
  <c r="D281" i="81"/>
  <c r="E281" i="81"/>
  <c r="F281" i="81"/>
  <c r="G281" i="81"/>
  <c r="H281" i="81"/>
  <c r="I281" i="81"/>
  <c r="J281" i="81"/>
  <c r="K281" i="81"/>
  <c r="L281" i="81"/>
  <c r="C282" i="81"/>
  <c r="D282" i="81"/>
  <c r="E282" i="81"/>
  <c r="F282" i="81"/>
  <c r="G282" i="81"/>
  <c r="H282" i="81"/>
  <c r="I282" i="81"/>
  <c r="J282" i="81"/>
  <c r="K282" i="81"/>
  <c r="L282" i="81"/>
  <c r="C283" i="81"/>
  <c r="D283" i="81"/>
  <c r="E283" i="81"/>
  <c r="F283" i="81"/>
  <c r="G283" i="81"/>
  <c r="H283" i="81"/>
  <c r="I283" i="81"/>
  <c r="J283" i="81"/>
  <c r="K283" i="81"/>
  <c r="L283" i="81"/>
  <c r="C284" i="81"/>
  <c r="D284" i="81"/>
  <c r="E284" i="81"/>
  <c r="F284" i="81"/>
  <c r="G284" i="81"/>
  <c r="H284" i="81"/>
  <c r="I284" i="81"/>
  <c r="J284" i="81"/>
  <c r="K284" i="81"/>
  <c r="L284" i="81"/>
  <c r="C285" i="81"/>
  <c r="D285" i="81"/>
  <c r="E285" i="81"/>
  <c r="F285" i="81"/>
  <c r="G285" i="81"/>
  <c r="H285" i="81"/>
  <c r="I285" i="81"/>
  <c r="J285" i="81"/>
  <c r="K285" i="81"/>
  <c r="L285" i="81"/>
  <c r="C286" i="81"/>
  <c r="D286" i="81"/>
  <c r="E286" i="81"/>
  <c r="F286" i="81"/>
  <c r="G286" i="81"/>
  <c r="H286" i="81"/>
  <c r="I286" i="81"/>
  <c r="J286" i="81"/>
  <c r="K286" i="81"/>
  <c r="L286" i="81"/>
  <c r="C287" i="81"/>
  <c r="D287" i="81"/>
  <c r="E287" i="81"/>
  <c r="F287" i="81"/>
  <c r="G287" i="81"/>
  <c r="H287" i="81"/>
  <c r="I287" i="81"/>
  <c r="J287" i="81"/>
  <c r="K287" i="81"/>
  <c r="L287" i="81"/>
  <c r="C288" i="81"/>
  <c r="D288" i="81"/>
  <c r="E288" i="81"/>
  <c r="F288" i="81"/>
  <c r="G288" i="81"/>
  <c r="H288" i="81"/>
  <c r="I288" i="81"/>
  <c r="J288" i="81"/>
  <c r="K288" i="81"/>
  <c r="L288" i="81"/>
  <c r="C289" i="81"/>
  <c r="D289" i="81"/>
  <c r="E289" i="81"/>
  <c r="F289" i="81"/>
  <c r="G289" i="81"/>
  <c r="H289" i="81"/>
  <c r="I289" i="81"/>
  <c r="J289" i="81"/>
  <c r="K289" i="81"/>
  <c r="L289" i="81"/>
  <c r="C290" i="81"/>
  <c r="D290" i="81"/>
  <c r="E290" i="81"/>
  <c r="F290" i="81"/>
  <c r="G290" i="81"/>
  <c r="H290" i="81"/>
  <c r="I290" i="81"/>
  <c r="J290" i="81"/>
  <c r="K290" i="81"/>
  <c r="L290" i="81"/>
  <c r="C291" i="81"/>
  <c r="D291" i="81"/>
  <c r="E291" i="81"/>
  <c r="F291" i="81"/>
  <c r="G291" i="81"/>
  <c r="H291" i="81"/>
  <c r="I291" i="81"/>
  <c r="J291" i="81"/>
  <c r="K291" i="81"/>
  <c r="L291" i="81"/>
  <c r="C292" i="81"/>
  <c r="D292" i="81"/>
  <c r="E292" i="81"/>
  <c r="F292" i="81"/>
  <c r="G292" i="81"/>
  <c r="H292" i="81"/>
  <c r="I292" i="81"/>
  <c r="J292" i="81"/>
  <c r="K292" i="81"/>
  <c r="L292" i="81"/>
  <c r="C293" i="81"/>
  <c r="D293" i="81"/>
  <c r="E293" i="81"/>
  <c r="F293" i="81"/>
  <c r="G293" i="81"/>
  <c r="H293" i="81"/>
  <c r="I293" i="81"/>
  <c r="J293" i="81"/>
  <c r="K293" i="81"/>
  <c r="L293" i="81"/>
  <c r="C294" i="81"/>
  <c r="D294" i="81"/>
  <c r="E294" i="81"/>
  <c r="F294" i="81"/>
  <c r="G294" i="81"/>
  <c r="H294" i="81"/>
  <c r="I294" i="81"/>
  <c r="J294" i="81"/>
  <c r="K294" i="81"/>
  <c r="L294" i="81"/>
  <c r="C295" i="81"/>
  <c r="D295" i="81"/>
  <c r="E295" i="81"/>
  <c r="F295" i="81"/>
  <c r="G295" i="81"/>
  <c r="H295" i="81"/>
  <c r="I295" i="81"/>
  <c r="J295" i="81"/>
  <c r="K295" i="81"/>
  <c r="L295" i="81"/>
  <c r="C296" i="81"/>
  <c r="D296" i="81"/>
  <c r="E296" i="81"/>
  <c r="F296" i="81"/>
  <c r="G296" i="81"/>
  <c r="H296" i="81"/>
  <c r="I296" i="81"/>
  <c r="J296" i="81"/>
  <c r="K296" i="81"/>
  <c r="L296" i="81"/>
  <c r="C297" i="81"/>
  <c r="D297" i="81"/>
  <c r="E297" i="81"/>
  <c r="F297" i="81"/>
  <c r="G297" i="81"/>
  <c r="H297" i="81"/>
  <c r="I297" i="81"/>
  <c r="J297" i="81"/>
  <c r="K297" i="81"/>
  <c r="L297" i="81"/>
  <c r="C298" i="81"/>
  <c r="D298" i="81"/>
  <c r="E298" i="81"/>
  <c r="F298" i="81"/>
  <c r="G298" i="81"/>
  <c r="H298" i="81"/>
  <c r="I298" i="81"/>
  <c r="J298" i="81"/>
  <c r="K298" i="81"/>
  <c r="L298" i="81"/>
  <c r="C299" i="81"/>
  <c r="D299" i="81"/>
  <c r="E299" i="81"/>
  <c r="F299" i="81"/>
  <c r="G299" i="81"/>
  <c r="H299" i="81"/>
  <c r="I299" i="81"/>
  <c r="J299" i="81"/>
  <c r="K299" i="81"/>
  <c r="L299" i="81"/>
  <c r="C300" i="81"/>
  <c r="D300" i="81"/>
  <c r="E300" i="81"/>
  <c r="F300" i="81"/>
  <c r="G300" i="81"/>
  <c r="H300" i="81"/>
  <c r="I300" i="81"/>
  <c r="J300" i="81"/>
  <c r="K300" i="81"/>
  <c r="L300" i="81"/>
  <c r="C301" i="81"/>
  <c r="D301" i="81"/>
  <c r="E301" i="81"/>
  <c r="F301" i="81"/>
  <c r="G301" i="81"/>
  <c r="H301" i="81"/>
  <c r="I301" i="81"/>
  <c r="J301" i="81"/>
  <c r="K301" i="81"/>
  <c r="L301" i="81"/>
  <c r="C302" i="81"/>
  <c r="D302" i="81"/>
  <c r="E302" i="81"/>
  <c r="F302" i="81"/>
  <c r="G302" i="81"/>
  <c r="H302" i="81"/>
  <c r="I302" i="81"/>
  <c r="J302" i="81"/>
  <c r="K302" i="81"/>
  <c r="L302" i="81"/>
  <c r="C303" i="81"/>
  <c r="D303" i="81"/>
  <c r="E303" i="81"/>
  <c r="F303" i="81"/>
  <c r="G303" i="81"/>
  <c r="H303" i="81"/>
  <c r="I303" i="81"/>
  <c r="J303" i="81"/>
  <c r="K303" i="81"/>
  <c r="L303" i="81"/>
  <c r="C304" i="81"/>
  <c r="D304" i="81"/>
  <c r="E304" i="81"/>
  <c r="F304" i="81"/>
  <c r="G304" i="81"/>
  <c r="H304" i="81"/>
  <c r="I304" i="81"/>
  <c r="J304" i="81"/>
  <c r="K304" i="81"/>
  <c r="L304" i="81"/>
  <c r="C305" i="81"/>
  <c r="D305" i="81"/>
  <c r="E305" i="81"/>
  <c r="F305" i="81"/>
  <c r="G305" i="81"/>
  <c r="H305" i="81"/>
  <c r="I305" i="81"/>
  <c r="J305" i="81"/>
  <c r="K305" i="81"/>
  <c r="L305" i="81"/>
  <c r="C306" i="81"/>
  <c r="D306" i="81"/>
  <c r="E306" i="81"/>
  <c r="F306" i="81"/>
  <c r="G306" i="81"/>
  <c r="H306" i="81"/>
  <c r="I306" i="81"/>
  <c r="J306" i="81"/>
  <c r="K306" i="81"/>
  <c r="L306" i="81"/>
  <c r="C307" i="81"/>
  <c r="D307" i="81"/>
  <c r="E307" i="81"/>
  <c r="F307" i="81"/>
  <c r="G307" i="81"/>
  <c r="H307" i="81"/>
  <c r="I307" i="81"/>
  <c r="J307" i="81"/>
  <c r="K307" i="81"/>
  <c r="L307" i="81"/>
  <c r="C308" i="81"/>
  <c r="D308" i="81"/>
  <c r="E308" i="81"/>
  <c r="F308" i="81"/>
  <c r="G308" i="81"/>
  <c r="H308" i="81"/>
  <c r="I308" i="81"/>
  <c r="J308" i="81"/>
  <c r="K308" i="81"/>
  <c r="L308" i="81"/>
  <c r="C309" i="81"/>
  <c r="D309" i="81"/>
  <c r="E309" i="81"/>
  <c r="F309" i="81"/>
  <c r="G309" i="81"/>
  <c r="H309" i="81"/>
  <c r="I309" i="81"/>
  <c r="J309" i="81"/>
  <c r="K309" i="81"/>
  <c r="L309" i="81"/>
  <c r="C310" i="81"/>
  <c r="D310" i="81"/>
  <c r="E310" i="81"/>
  <c r="F310" i="81"/>
  <c r="G310" i="81"/>
  <c r="H310" i="81"/>
  <c r="I310" i="81"/>
  <c r="J310" i="81"/>
  <c r="K310" i="81"/>
  <c r="L310" i="81"/>
  <c r="C311" i="81"/>
  <c r="D311" i="81"/>
  <c r="E311" i="81"/>
  <c r="F311" i="81"/>
  <c r="G311" i="81"/>
  <c r="H311" i="81"/>
  <c r="I311" i="81"/>
  <c r="J311" i="81"/>
  <c r="K311" i="81"/>
  <c r="L311" i="81"/>
  <c r="C312" i="81"/>
  <c r="D312" i="81"/>
  <c r="E312" i="81"/>
  <c r="F312" i="81"/>
  <c r="G312" i="81"/>
  <c r="H312" i="81"/>
  <c r="I312" i="81"/>
  <c r="J312" i="81"/>
  <c r="K312" i="81"/>
  <c r="L312" i="81"/>
  <c r="C313" i="81"/>
  <c r="D313" i="81"/>
  <c r="E313" i="81"/>
  <c r="F313" i="81"/>
  <c r="G313" i="81"/>
  <c r="H313" i="81"/>
  <c r="I313" i="81"/>
  <c r="J313" i="81"/>
  <c r="K313" i="81"/>
  <c r="L313" i="81"/>
  <c r="N14" i="92" l="1"/>
  <c r="D4" i="81"/>
  <c r="E4" i="81"/>
  <c r="F4" i="81"/>
  <c r="G4" i="81"/>
  <c r="H4" i="81"/>
  <c r="I4" i="81"/>
  <c r="J4" i="81"/>
  <c r="K4" i="81"/>
  <c r="L4" i="81"/>
  <c r="C4" i="81"/>
  <c r="N114" i="64" l="1"/>
  <c r="P114" i="64"/>
  <c r="Q114" i="64"/>
  <c r="R114" i="64"/>
  <c r="S114" i="64"/>
  <c r="T114" i="64"/>
  <c r="W114" i="64"/>
  <c r="X114" i="64"/>
  <c r="Y114" i="64"/>
  <c r="Z114" i="64"/>
  <c r="AA114" i="64"/>
  <c r="N115" i="64"/>
  <c r="P115" i="64"/>
  <c r="Q115" i="64"/>
  <c r="R115" i="64"/>
  <c r="S115" i="64"/>
  <c r="T115" i="64"/>
  <c r="W115" i="64"/>
  <c r="X115" i="64"/>
  <c r="Y115" i="64"/>
  <c r="Z115" i="64"/>
  <c r="AA115" i="64"/>
  <c r="N116" i="64"/>
  <c r="P116" i="64"/>
  <c r="Q116" i="64"/>
  <c r="R116" i="64"/>
  <c r="S116" i="64"/>
  <c r="T116" i="64"/>
  <c r="W116" i="64"/>
  <c r="X116" i="64"/>
  <c r="Y116" i="64"/>
  <c r="Z116" i="64"/>
  <c r="AA116" i="64"/>
  <c r="N117" i="64"/>
  <c r="P117" i="64"/>
  <c r="Q117" i="64"/>
  <c r="R117" i="64"/>
  <c r="S117" i="64"/>
  <c r="T117" i="64"/>
  <c r="W117" i="64"/>
  <c r="X117" i="64"/>
  <c r="Y117" i="64"/>
  <c r="Z117" i="64"/>
  <c r="AA117" i="64"/>
  <c r="N118" i="64"/>
  <c r="P118" i="64"/>
  <c r="Q118" i="64"/>
  <c r="R118" i="64"/>
  <c r="S118" i="64"/>
  <c r="T118" i="64"/>
  <c r="W118" i="64"/>
  <c r="X118" i="64"/>
  <c r="Y118" i="64"/>
  <c r="Z118" i="64"/>
  <c r="AA118" i="64"/>
  <c r="N119" i="64"/>
  <c r="P119" i="64"/>
  <c r="Q119" i="64"/>
  <c r="R119" i="64"/>
  <c r="S119" i="64"/>
  <c r="T119" i="64"/>
  <c r="W119" i="64"/>
  <c r="X119" i="64"/>
  <c r="Y119" i="64"/>
  <c r="Z119" i="64"/>
  <c r="AA119" i="64"/>
  <c r="N120" i="64"/>
  <c r="P120" i="64"/>
  <c r="Q120" i="64"/>
  <c r="R120" i="64"/>
  <c r="S120" i="64"/>
  <c r="T120" i="64"/>
  <c r="W120" i="64"/>
  <c r="X120" i="64"/>
  <c r="Y120" i="64"/>
  <c r="Z120" i="64"/>
  <c r="AA120" i="64"/>
  <c r="N121" i="64"/>
  <c r="P121" i="64"/>
  <c r="Q121" i="64"/>
  <c r="R121" i="64"/>
  <c r="S121" i="64"/>
  <c r="T121" i="64"/>
  <c r="W121" i="64"/>
  <c r="X121" i="64"/>
  <c r="Y121" i="64"/>
  <c r="Z121" i="64"/>
  <c r="AA121" i="64"/>
  <c r="N122" i="64"/>
  <c r="P122" i="64"/>
  <c r="Q122" i="64"/>
  <c r="R122" i="64"/>
  <c r="S122" i="64"/>
  <c r="T122" i="64"/>
  <c r="W122" i="64"/>
  <c r="X122" i="64"/>
  <c r="Y122" i="64"/>
  <c r="Z122" i="64"/>
  <c r="AA122" i="64"/>
  <c r="N123" i="64"/>
  <c r="P123" i="64"/>
  <c r="Q123" i="64"/>
  <c r="R123" i="64"/>
  <c r="S123" i="64"/>
  <c r="T123" i="64"/>
  <c r="W123" i="64"/>
  <c r="X123" i="64"/>
  <c r="Y123" i="64"/>
  <c r="Z123" i="64"/>
  <c r="AA123" i="64"/>
  <c r="N124" i="64"/>
  <c r="P124" i="64"/>
  <c r="Q124" i="64"/>
  <c r="R124" i="64"/>
  <c r="S124" i="64"/>
  <c r="T124" i="64"/>
  <c r="W124" i="64"/>
  <c r="X124" i="64"/>
  <c r="Y124" i="64"/>
  <c r="Z124" i="64"/>
  <c r="AA124" i="64"/>
  <c r="N125" i="64"/>
  <c r="P125" i="64"/>
  <c r="Q125" i="64"/>
  <c r="R125" i="64"/>
  <c r="S125" i="64"/>
  <c r="T125" i="64"/>
  <c r="W125" i="64"/>
  <c r="X125" i="64"/>
  <c r="Y125" i="64"/>
  <c r="Z125" i="64"/>
  <c r="AA125" i="64"/>
  <c r="N126" i="64"/>
  <c r="P126" i="64"/>
  <c r="Q126" i="64"/>
  <c r="R126" i="64"/>
  <c r="S126" i="64"/>
  <c r="T126" i="64"/>
  <c r="W126" i="64"/>
  <c r="X126" i="64"/>
  <c r="Y126" i="64"/>
  <c r="Z126" i="64"/>
  <c r="AA126" i="64"/>
  <c r="N127" i="64"/>
  <c r="P127" i="64"/>
  <c r="Q127" i="64"/>
  <c r="R127" i="64"/>
  <c r="S127" i="64"/>
  <c r="T127" i="64"/>
  <c r="W127" i="64"/>
  <c r="X127" i="64"/>
  <c r="Y127" i="64"/>
  <c r="Z127" i="64"/>
  <c r="AA127" i="64"/>
  <c r="N128" i="64"/>
  <c r="P128" i="64"/>
  <c r="Q128" i="64"/>
  <c r="R128" i="64"/>
  <c r="S128" i="64"/>
  <c r="T128" i="64"/>
  <c r="W128" i="64"/>
  <c r="X128" i="64"/>
  <c r="Y128" i="64"/>
  <c r="Z128" i="64"/>
  <c r="AA128" i="64"/>
  <c r="N129" i="64"/>
  <c r="P129" i="64"/>
  <c r="Q129" i="64"/>
  <c r="R129" i="64"/>
  <c r="S129" i="64"/>
  <c r="T129" i="64"/>
  <c r="W129" i="64"/>
  <c r="X129" i="64"/>
  <c r="Y129" i="64"/>
  <c r="Z129" i="64"/>
  <c r="AA129" i="64"/>
  <c r="N130" i="64"/>
  <c r="P130" i="64"/>
  <c r="Q130" i="64"/>
  <c r="R130" i="64"/>
  <c r="S130" i="64"/>
  <c r="T130" i="64"/>
  <c r="W130" i="64"/>
  <c r="X130" i="64"/>
  <c r="Y130" i="64"/>
  <c r="Z130" i="64"/>
  <c r="AA130" i="64"/>
  <c r="N131" i="64"/>
  <c r="P131" i="64"/>
  <c r="Q131" i="64"/>
  <c r="R131" i="64"/>
  <c r="S131" i="64"/>
  <c r="T131" i="64"/>
  <c r="W131" i="64"/>
  <c r="X131" i="64"/>
  <c r="Y131" i="64"/>
  <c r="Z131" i="64"/>
  <c r="AA131" i="64"/>
  <c r="N132" i="64"/>
  <c r="P132" i="64"/>
  <c r="Q132" i="64"/>
  <c r="R132" i="64"/>
  <c r="S132" i="64"/>
  <c r="T132" i="64"/>
  <c r="W132" i="64"/>
  <c r="X132" i="64"/>
  <c r="Y132" i="64"/>
  <c r="Z132" i="64"/>
  <c r="AA132" i="64"/>
  <c r="N133" i="64"/>
  <c r="P133" i="64"/>
  <c r="Q133" i="64"/>
  <c r="R133" i="64"/>
  <c r="S133" i="64"/>
  <c r="T133" i="64"/>
  <c r="W133" i="64"/>
  <c r="X133" i="64"/>
  <c r="Y133" i="64"/>
  <c r="Z133" i="64"/>
  <c r="AA133" i="64"/>
  <c r="N134" i="64"/>
  <c r="P134" i="64"/>
  <c r="Q134" i="64"/>
  <c r="R134" i="64"/>
  <c r="S134" i="64"/>
  <c r="T134" i="64"/>
  <c r="W134" i="64"/>
  <c r="X134" i="64"/>
  <c r="Y134" i="64"/>
  <c r="Z134" i="64"/>
  <c r="AA134" i="64"/>
  <c r="N135" i="64"/>
  <c r="P135" i="64"/>
  <c r="Q135" i="64"/>
  <c r="R135" i="64"/>
  <c r="S135" i="64"/>
  <c r="T135" i="64"/>
  <c r="W135" i="64"/>
  <c r="X135" i="64"/>
  <c r="Y135" i="64"/>
  <c r="Z135" i="64"/>
  <c r="AA135" i="64"/>
  <c r="N136" i="64"/>
  <c r="P136" i="64"/>
  <c r="Q136" i="64"/>
  <c r="R136" i="64"/>
  <c r="S136" i="64"/>
  <c r="T136" i="64"/>
  <c r="W136" i="64"/>
  <c r="X136" i="64"/>
  <c r="Y136" i="64"/>
  <c r="Z136" i="64"/>
  <c r="AA136" i="64"/>
  <c r="N137" i="64"/>
  <c r="P137" i="64"/>
  <c r="Q137" i="64"/>
  <c r="R137" i="64"/>
  <c r="S137" i="64"/>
  <c r="T137" i="64"/>
  <c r="W137" i="64"/>
  <c r="X137" i="64"/>
  <c r="Y137" i="64"/>
  <c r="Z137" i="64"/>
  <c r="AA137" i="64"/>
  <c r="N138" i="64"/>
  <c r="P138" i="64"/>
  <c r="Q138" i="64"/>
  <c r="R138" i="64"/>
  <c r="S138" i="64"/>
  <c r="T138" i="64"/>
  <c r="W138" i="64"/>
  <c r="X138" i="64"/>
  <c r="Y138" i="64"/>
  <c r="Z138" i="64"/>
  <c r="AA138" i="64"/>
  <c r="N139" i="64"/>
  <c r="P139" i="64"/>
  <c r="Q139" i="64"/>
  <c r="R139" i="64"/>
  <c r="S139" i="64"/>
  <c r="T139" i="64"/>
  <c r="W139" i="64"/>
  <c r="X139" i="64"/>
  <c r="Y139" i="64"/>
  <c r="Z139" i="64"/>
  <c r="AA139" i="64"/>
  <c r="N140" i="64"/>
  <c r="P140" i="64"/>
  <c r="Q140" i="64"/>
  <c r="R140" i="64"/>
  <c r="S140" i="64"/>
  <c r="T140" i="64"/>
  <c r="W140" i="64"/>
  <c r="X140" i="64"/>
  <c r="Y140" i="64"/>
  <c r="Z140" i="64"/>
  <c r="AA140" i="64"/>
  <c r="N141" i="64"/>
  <c r="P141" i="64"/>
  <c r="Q141" i="64"/>
  <c r="R141" i="64"/>
  <c r="S141" i="64"/>
  <c r="T141" i="64"/>
  <c r="W141" i="64"/>
  <c r="X141" i="64"/>
  <c r="Y141" i="64"/>
  <c r="Z141" i="64"/>
  <c r="AA141" i="64"/>
  <c r="N142" i="64"/>
  <c r="P142" i="64"/>
  <c r="Q142" i="64"/>
  <c r="R142" i="64"/>
  <c r="S142" i="64"/>
  <c r="T142" i="64"/>
  <c r="W142" i="64"/>
  <c r="X142" i="64"/>
  <c r="Y142" i="64"/>
  <c r="Z142" i="64"/>
  <c r="AA142" i="64"/>
  <c r="N143" i="64"/>
  <c r="P143" i="64"/>
  <c r="Q143" i="64"/>
  <c r="R143" i="64"/>
  <c r="S143" i="64"/>
  <c r="T143" i="64"/>
  <c r="W143" i="64"/>
  <c r="X143" i="64"/>
  <c r="Y143" i="64"/>
  <c r="Z143" i="64"/>
  <c r="AA143" i="64"/>
  <c r="N144" i="64"/>
  <c r="P144" i="64"/>
  <c r="Q144" i="64"/>
  <c r="R144" i="64"/>
  <c r="S144" i="64"/>
  <c r="T144" i="64"/>
  <c r="W144" i="64"/>
  <c r="X144" i="64"/>
  <c r="Y144" i="64"/>
  <c r="Z144" i="64"/>
  <c r="AA144" i="64"/>
  <c r="N145" i="64"/>
  <c r="P145" i="64"/>
  <c r="Q145" i="64"/>
  <c r="R145" i="64"/>
  <c r="S145" i="64"/>
  <c r="T145" i="64"/>
  <c r="W145" i="64"/>
  <c r="X145" i="64"/>
  <c r="Y145" i="64"/>
  <c r="Z145" i="64"/>
  <c r="AA145" i="64"/>
  <c r="N146" i="64"/>
  <c r="P146" i="64"/>
  <c r="Q146" i="64"/>
  <c r="R146" i="64"/>
  <c r="S146" i="64"/>
  <c r="T146" i="64"/>
  <c r="W146" i="64"/>
  <c r="X146" i="64"/>
  <c r="Y146" i="64"/>
  <c r="Z146" i="64"/>
  <c r="AA146" i="64"/>
  <c r="N147" i="64"/>
  <c r="P147" i="64"/>
  <c r="Q147" i="64"/>
  <c r="R147" i="64"/>
  <c r="S147" i="64"/>
  <c r="T147" i="64"/>
  <c r="W147" i="64"/>
  <c r="X147" i="64"/>
  <c r="Y147" i="64"/>
  <c r="Z147" i="64"/>
  <c r="AA147" i="64"/>
  <c r="N148" i="64"/>
  <c r="P148" i="64"/>
  <c r="Q148" i="64"/>
  <c r="R148" i="64"/>
  <c r="S148" i="64"/>
  <c r="T148" i="64"/>
  <c r="W148" i="64"/>
  <c r="X148" i="64"/>
  <c r="Y148" i="64"/>
  <c r="Z148" i="64"/>
  <c r="AA148" i="64"/>
  <c r="N149" i="64"/>
  <c r="P149" i="64"/>
  <c r="Q149" i="64"/>
  <c r="R149" i="64"/>
  <c r="S149" i="64"/>
  <c r="T149" i="64"/>
  <c r="W149" i="64"/>
  <c r="X149" i="64"/>
  <c r="Y149" i="64"/>
  <c r="Z149" i="64"/>
  <c r="AA149" i="64"/>
  <c r="N150" i="64"/>
  <c r="P150" i="64"/>
  <c r="Q150" i="64"/>
  <c r="R150" i="64"/>
  <c r="S150" i="64"/>
  <c r="T150" i="64"/>
  <c r="W150" i="64"/>
  <c r="X150" i="64"/>
  <c r="Y150" i="64"/>
  <c r="Z150" i="64"/>
  <c r="AA150" i="64"/>
  <c r="N151" i="64"/>
  <c r="P151" i="64"/>
  <c r="Q151" i="64"/>
  <c r="R151" i="64"/>
  <c r="S151" i="64"/>
  <c r="T151" i="64"/>
  <c r="W151" i="64"/>
  <c r="X151" i="64"/>
  <c r="Y151" i="64"/>
  <c r="Z151" i="64"/>
  <c r="AA151" i="64"/>
  <c r="N152" i="64"/>
  <c r="P152" i="64"/>
  <c r="Q152" i="64"/>
  <c r="R152" i="64"/>
  <c r="S152" i="64"/>
  <c r="T152" i="64"/>
  <c r="W152" i="64"/>
  <c r="X152" i="64"/>
  <c r="Y152" i="64"/>
  <c r="Z152" i="64"/>
  <c r="AA152" i="64"/>
  <c r="N153" i="64"/>
  <c r="P153" i="64"/>
  <c r="Q153" i="64"/>
  <c r="R153" i="64"/>
  <c r="S153" i="64"/>
  <c r="T153" i="64"/>
  <c r="W153" i="64"/>
  <c r="X153" i="64"/>
  <c r="Y153" i="64"/>
  <c r="Z153" i="64"/>
  <c r="AA153" i="64"/>
  <c r="N154" i="64"/>
  <c r="P154" i="64"/>
  <c r="Q154" i="64"/>
  <c r="R154" i="64"/>
  <c r="S154" i="64"/>
  <c r="T154" i="64"/>
  <c r="W154" i="64"/>
  <c r="X154" i="64"/>
  <c r="Y154" i="64"/>
  <c r="Z154" i="64"/>
  <c r="AA154" i="64"/>
  <c r="N155" i="64"/>
  <c r="P155" i="64"/>
  <c r="Q155" i="64"/>
  <c r="R155" i="64"/>
  <c r="S155" i="64"/>
  <c r="T155" i="64"/>
  <c r="W155" i="64"/>
  <c r="X155" i="64"/>
  <c r="Y155" i="64"/>
  <c r="Z155" i="64"/>
  <c r="AA155" i="64"/>
  <c r="N156" i="64"/>
  <c r="P156" i="64"/>
  <c r="Q156" i="64"/>
  <c r="R156" i="64"/>
  <c r="S156" i="64"/>
  <c r="T156" i="64"/>
  <c r="W156" i="64"/>
  <c r="X156" i="64"/>
  <c r="Y156" i="64"/>
  <c r="Z156" i="64"/>
  <c r="AA156" i="64"/>
  <c r="N157" i="64"/>
  <c r="P157" i="64"/>
  <c r="Q157" i="64"/>
  <c r="R157" i="64"/>
  <c r="S157" i="64"/>
  <c r="T157" i="64"/>
  <c r="W157" i="64"/>
  <c r="X157" i="64"/>
  <c r="Y157" i="64"/>
  <c r="Z157" i="64"/>
  <c r="AA157" i="64"/>
  <c r="N158" i="64"/>
  <c r="P158" i="64"/>
  <c r="Q158" i="64"/>
  <c r="R158" i="64"/>
  <c r="S158" i="64"/>
  <c r="T158" i="64"/>
  <c r="W158" i="64"/>
  <c r="X158" i="64"/>
  <c r="Y158" i="64"/>
  <c r="Z158" i="64"/>
  <c r="AA158" i="64"/>
  <c r="N159" i="64"/>
  <c r="P159" i="64"/>
  <c r="Q159" i="64"/>
  <c r="R159" i="64"/>
  <c r="S159" i="64"/>
  <c r="T159" i="64"/>
  <c r="W159" i="64"/>
  <c r="X159" i="64"/>
  <c r="Y159" i="64"/>
  <c r="Z159" i="64"/>
  <c r="AA159" i="64"/>
  <c r="N160" i="64"/>
  <c r="P160" i="64"/>
  <c r="Q160" i="64"/>
  <c r="R160" i="64"/>
  <c r="S160" i="64"/>
  <c r="T160" i="64"/>
  <c r="W160" i="64"/>
  <c r="X160" i="64"/>
  <c r="Y160" i="64"/>
  <c r="Z160" i="64"/>
  <c r="AA160" i="64"/>
  <c r="N161" i="64"/>
  <c r="P161" i="64"/>
  <c r="Q161" i="64"/>
  <c r="R161" i="64"/>
  <c r="S161" i="64"/>
  <c r="T161" i="64"/>
  <c r="W161" i="64"/>
  <c r="X161" i="64"/>
  <c r="Y161" i="64"/>
  <c r="Z161" i="64"/>
  <c r="AA161" i="64"/>
  <c r="N162" i="64"/>
  <c r="P162" i="64"/>
  <c r="Q162" i="64"/>
  <c r="R162" i="64"/>
  <c r="S162" i="64"/>
  <c r="T162" i="64"/>
  <c r="W162" i="64"/>
  <c r="X162" i="64"/>
  <c r="Y162" i="64"/>
  <c r="Z162" i="64"/>
  <c r="AA162" i="64"/>
  <c r="N163" i="64"/>
  <c r="P163" i="64"/>
  <c r="Q163" i="64"/>
  <c r="R163" i="64"/>
  <c r="S163" i="64"/>
  <c r="T163" i="64"/>
  <c r="W163" i="64"/>
  <c r="X163" i="64"/>
  <c r="Y163" i="64"/>
  <c r="Z163" i="64"/>
  <c r="AA163" i="64"/>
  <c r="AD86" i="64" l="1"/>
  <c r="AD4" i="64"/>
  <c r="AD87" i="64"/>
  <c r="AD23" i="64"/>
  <c r="AD24" i="64"/>
  <c r="AD7" i="64"/>
  <c r="AD8" i="64"/>
  <c r="AD5" i="64"/>
  <c r="AF86" i="64"/>
  <c r="AF4" i="64"/>
  <c r="AF87" i="64"/>
  <c r="AF23" i="64"/>
  <c r="AF24" i="64"/>
  <c r="AF7" i="64"/>
  <c r="AF8" i="64"/>
  <c r="AF14" i="64"/>
  <c r="AF15" i="64"/>
  <c r="AF5" i="64"/>
  <c r="AF6" i="64"/>
  <c r="AF9" i="64"/>
  <c r="AF10" i="64"/>
  <c r="AF11" i="64"/>
  <c r="AF12" i="64"/>
  <c r="AF16" i="64"/>
  <c r="AF17" i="64"/>
  <c r="AF19" i="64"/>
  <c r="AF20" i="64"/>
  <c r="AF26" i="64"/>
  <c r="AF27" i="64"/>
  <c r="AF30" i="64"/>
  <c r="AF31" i="64"/>
  <c r="AF34" i="64"/>
  <c r="AF35" i="64"/>
  <c r="AF39" i="64"/>
  <c r="AF40" i="64"/>
  <c r="AF44" i="64"/>
  <c r="AF45" i="64"/>
  <c r="AF49" i="64"/>
  <c r="AF50" i="64"/>
  <c r="AF54" i="64"/>
  <c r="AF55" i="64"/>
  <c r="AF60" i="64"/>
  <c r="AF61" i="64"/>
  <c r="AF66" i="64"/>
  <c r="AF67" i="64"/>
  <c r="AF72" i="64"/>
  <c r="AF73" i="64"/>
  <c r="AF79" i="64"/>
  <c r="AF80" i="64"/>
  <c r="AG86" i="64"/>
  <c r="AG4" i="64"/>
  <c r="AG87" i="64"/>
  <c r="AG23" i="64"/>
  <c r="AG24" i="64"/>
  <c r="AG7" i="64"/>
  <c r="AG8" i="64"/>
  <c r="AG5" i="64"/>
  <c r="AG6" i="64"/>
  <c r="AG9" i="64"/>
  <c r="AG10" i="64"/>
  <c r="AG11" i="64"/>
  <c r="AG12" i="64"/>
  <c r="AG14" i="64"/>
  <c r="AG15" i="64"/>
  <c r="AG16" i="64"/>
  <c r="AG17" i="64"/>
  <c r="AG19" i="64"/>
  <c r="AG20" i="64"/>
  <c r="AG26" i="64"/>
  <c r="AG27" i="64"/>
  <c r="AG30" i="64"/>
  <c r="AG31" i="64"/>
  <c r="AG34" i="64"/>
  <c r="AG35" i="64"/>
  <c r="AG39" i="64"/>
  <c r="AG40" i="64"/>
  <c r="AG44" i="64"/>
  <c r="AG45" i="64"/>
  <c r="AG49" i="64"/>
  <c r="AG50" i="64"/>
  <c r="AG54" i="64"/>
  <c r="AG55" i="64"/>
  <c r="AG60" i="64"/>
  <c r="AG61" i="64"/>
  <c r="AG66" i="64"/>
  <c r="AG67" i="64"/>
  <c r="AG72" i="64"/>
  <c r="AG73" i="64"/>
  <c r="AG79" i="64"/>
  <c r="AG80" i="64"/>
  <c r="AH86" i="64"/>
  <c r="AH4" i="64"/>
  <c r="AH87" i="64"/>
  <c r="AH23" i="64"/>
  <c r="AH24" i="64"/>
  <c r="AH7" i="64"/>
  <c r="AH8" i="64"/>
  <c r="AH5" i="64"/>
  <c r="AH6" i="64"/>
  <c r="AH9" i="64"/>
  <c r="AH10" i="64"/>
  <c r="AH11" i="64"/>
  <c r="AH12" i="64"/>
  <c r="AH14" i="64"/>
  <c r="AH15" i="64"/>
  <c r="AH16" i="64"/>
  <c r="AH17" i="64"/>
  <c r="AH19" i="64"/>
  <c r="AH20" i="64"/>
  <c r="AH26" i="64"/>
  <c r="AH27" i="64"/>
  <c r="AH30" i="64"/>
  <c r="AH31" i="64"/>
  <c r="AH34" i="64"/>
  <c r="AH35" i="64"/>
  <c r="AH39" i="64"/>
  <c r="AH40" i="64"/>
  <c r="AH44" i="64"/>
  <c r="AH45" i="64"/>
  <c r="AH49" i="64"/>
  <c r="AH50" i="64"/>
  <c r="AH54" i="64"/>
  <c r="AH55" i="64"/>
  <c r="AH60" i="64"/>
  <c r="AH61" i="64"/>
  <c r="AH66" i="64"/>
  <c r="AH67" i="64"/>
  <c r="AH72" i="64"/>
  <c r="AH73" i="64"/>
  <c r="AH79" i="64"/>
  <c r="AH80" i="64"/>
  <c r="AE86" i="64"/>
  <c r="AE4" i="64"/>
  <c r="AE87" i="64"/>
  <c r="AE23" i="64"/>
  <c r="AE24" i="64"/>
  <c r="AE7" i="64"/>
  <c r="AE8" i="64"/>
  <c r="AE5" i="64"/>
  <c r="AE6" i="64"/>
  <c r="AD6" i="64"/>
  <c r="AD49" i="64"/>
  <c r="AD50" i="64"/>
  <c r="AD34" i="64"/>
  <c r="AD35" i="64"/>
  <c r="AD26" i="64"/>
  <c r="AD27" i="64"/>
  <c r="AD30" i="64"/>
  <c r="AD31" i="64"/>
  <c r="AE49" i="64"/>
  <c r="AE50" i="64"/>
  <c r="AE34" i="64"/>
  <c r="AE35" i="64"/>
  <c r="AE26" i="64"/>
  <c r="AE27" i="64"/>
  <c r="AE14" i="64"/>
  <c r="AE15" i="64"/>
  <c r="AE16" i="64"/>
  <c r="AE17" i="64"/>
  <c r="AE19" i="64"/>
  <c r="AE20" i="64"/>
  <c r="AD14" i="64"/>
  <c r="AD15" i="64"/>
  <c r="AD16" i="64"/>
  <c r="AD17" i="64"/>
  <c r="AD19" i="64"/>
  <c r="AD20" i="64"/>
  <c r="AE9" i="64"/>
  <c r="AE10" i="64"/>
  <c r="AE11" i="64"/>
  <c r="AE12" i="64"/>
  <c r="AD39" i="64"/>
  <c r="AD40" i="64"/>
  <c r="AD44" i="64"/>
  <c r="AD45" i="64"/>
  <c r="AE30" i="64"/>
  <c r="AE31" i="64"/>
  <c r="AE39" i="64"/>
  <c r="AE40" i="64"/>
  <c r="AE44" i="64"/>
  <c r="AE45" i="64"/>
  <c r="AE66" i="64"/>
  <c r="AE67" i="64"/>
  <c r="AE79" i="64"/>
  <c r="AE80" i="64"/>
  <c r="AE54" i="64"/>
  <c r="AE55" i="64"/>
  <c r="AE72" i="64"/>
  <c r="AE73" i="64"/>
  <c r="AE60" i="64"/>
  <c r="AE61" i="64"/>
  <c r="AD9" i="64"/>
  <c r="AD10" i="64"/>
  <c r="AD11" i="64"/>
  <c r="AD12" i="64"/>
  <c r="AD66" i="64"/>
  <c r="AD67" i="64"/>
  <c r="AD54" i="64"/>
  <c r="AD55" i="64"/>
  <c r="AD79" i="64"/>
  <c r="AD80" i="64"/>
  <c r="AD60" i="64"/>
  <c r="AD61" i="64"/>
  <c r="AD72" i="64"/>
  <c r="AD73" i="64"/>
  <c r="N4" i="64"/>
  <c r="N5" i="64"/>
  <c r="N6" i="64"/>
  <c r="N7" i="64"/>
  <c r="N8" i="64"/>
  <c r="N9" i="64"/>
  <c r="N10" i="64"/>
  <c r="N11" i="64"/>
  <c r="N12" i="64"/>
  <c r="N13" i="64"/>
  <c r="N14" i="64"/>
  <c r="N15" i="64"/>
  <c r="N16" i="64"/>
  <c r="N17" i="64"/>
  <c r="N18" i="64"/>
  <c r="N19" i="64"/>
  <c r="N20" i="64"/>
  <c r="N21" i="64"/>
  <c r="N22" i="64"/>
  <c r="N23" i="64"/>
  <c r="N24" i="64"/>
  <c r="N25" i="64"/>
  <c r="N26" i="64"/>
  <c r="N27" i="64"/>
  <c r="N28" i="64"/>
  <c r="N29" i="64"/>
  <c r="N30" i="64"/>
  <c r="N31" i="64"/>
  <c r="N32" i="64"/>
  <c r="N33" i="64"/>
  <c r="N34" i="64"/>
  <c r="N35" i="64"/>
  <c r="N36" i="64"/>
  <c r="N37" i="64"/>
  <c r="N38" i="64"/>
  <c r="N39" i="64"/>
  <c r="N40" i="64"/>
  <c r="N41" i="64"/>
  <c r="N42" i="64"/>
  <c r="N43" i="64"/>
  <c r="N44" i="64"/>
  <c r="N45" i="64"/>
  <c r="N46" i="64"/>
  <c r="N47" i="64"/>
  <c r="N48" i="64"/>
  <c r="N49" i="64"/>
  <c r="N50" i="64"/>
  <c r="N51" i="64"/>
  <c r="N52" i="64"/>
  <c r="N53" i="64"/>
  <c r="N54" i="64"/>
  <c r="N55" i="64"/>
  <c r="N56" i="64"/>
  <c r="N57" i="64"/>
  <c r="N58" i="64"/>
  <c r="N59" i="64"/>
  <c r="N60" i="64"/>
  <c r="N61" i="64"/>
  <c r="N62" i="64"/>
  <c r="N63" i="64"/>
  <c r="N64" i="64"/>
  <c r="N65" i="64"/>
  <c r="N66" i="64"/>
  <c r="N67" i="64"/>
  <c r="N68" i="64"/>
  <c r="N69" i="64"/>
  <c r="N70" i="64"/>
  <c r="N71" i="64"/>
  <c r="N72" i="64"/>
  <c r="N73" i="64"/>
  <c r="N74" i="64"/>
  <c r="N75" i="64"/>
  <c r="N76" i="64"/>
  <c r="N77" i="64"/>
  <c r="N78" i="64"/>
  <c r="N79" i="64"/>
  <c r="N80" i="64"/>
  <c r="N81" i="64"/>
  <c r="N82" i="64"/>
  <c r="N83" i="64"/>
  <c r="N84" i="64"/>
  <c r="N85" i="64"/>
  <c r="N86" i="64"/>
  <c r="N87" i="64"/>
  <c r="N88" i="64"/>
  <c r="N89" i="64"/>
  <c r="N90" i="64"/>
  <c r="N91" i="64"/>
  <c r="N92" i="64"/>
  <c r="N93" i="64"/>
  <c r="N94" i="64"/>
  <c r="N95" i="64"/>
  <c r="N96" i="64"/>
  <c r="N97" i="64"/>
  <c r="N98" i="64"/>
  <c r="N99" i="64"/>
  <c r="N100" i="64"/>
  <c r="N101" i="64"/>
  <c r="N102" i="64"/>
  <c r="N103" i="64"/>
  <c r="N104" i="64"/>
  <c r="N105" i="64"/>
  <c r="N106" i="64"/>
  <c r="N107" i="64"/>
  <c r="N108" i="64"/>
  <c r="N109" i="64"/>
  <c r="N110" i="64"/>
  <c r="N111" i="64"/>
  <c r="N112" i="64"/>
  <c r="N113" i="64"/>
  <c r="N3" i="64"/>
  <c r="BJ5" i="64"/>
  <c r="BK5" i="64"/>
  <c r="BL5" i="64"/>
  <c r="BM5" i="64"/>
  <c r="BN5" i="64"/>
  <c r="BJ6" i="64"/>
  <c r="BK6" i="64"/>
  <c r="BL6" i="64"/>
  <c r="BM6" i="64"/>
  <c r="BN6" i="64"/>
  <c r="BJ7" i="64"/>
  <c r="BK7" i="64"/>
  <c r="BL7" i="64"/>
  <c r="BM7" i="64"/>
  <c r="BN7" i="64"/>
  <c r="BJ8" i="64"/>
  <c r="BK8" i="64"/>
  <c r="BL8" i="64"/>
  <c r="BM8" i="64"/>
  <c r="BN8" i="64"/>
  <c r="BJ9" i="64"/>
  <c r="BK9" i="64"/>
  <c r="BL9" i="64"/>
  <c r="BM9" i="64"/>
  <c r="BN9" i="64"/>
  <c r="BJ10" i="64"/>
  <c r="BK10" i="64"/>
  <c r="BL10" i="64"/>
  <c r="BM10" i="64"/>
  <c r="BN10" i="64"/>
  <c r="BJ11" i="64"/>
  <c r="BK11" i="64"/>
  <c r="BL11" i="64"/>
  <c r="BM11" i="64"/>
  <c r="BN11" i="64"/>
  <c r="BJ12" i="64"/>
  <c r="BK12" i="64"/>
  <c r="BL12" i="64"/>
  <c r="BM12" i="64"/>
  <c r="BN12" i="64"/>
  <c r="BJ13" i="64"/>
  <c r="BK13" i="64"/>
  <c r="BL13" i="64"/>
  <c r="BM13" i="64"/>
  <c r="BN13" i="64"/>
  <c r="BJ14" i="64"/>
  <c r="BK14" i="64"/>
  <c r="BL14" i="64"/>
  <c r="BM14" i="64"/>
  <c r="BN14" i="64"/>
  <c r="BJ15" i="64"/>
  <c r="BK15" i="64"/>
  <c r="BL15" i="64"/>
  <c r="BM15" i="64"/>
  <c r="BN15" i="64"/>
  <c r="BJ16" i="64"/>
  <c r="BK16" i="64"/>
  <c r="BL16" i="64"/>
  <c r="BM16" i="64"/>
  <c r="BN16" i="64"/>
  <c r="BJ17" i="64"/>
  <c r="BK17" i="64"/>
  <c r="BL17" i="64"/>
  <c r="BM17" i="64"/>
  <c r="BN17" i="64"/>
  <c r="BJ18" i="64"/>
  <c r="BK18" i="64"/>
  <c r="BL18" i="64"/>
  <c r="BM18" i="64"/>
  <c r="BN18" i="64"/>
  <c r="BJ19" i="64"/>
  <c r="BK19" i="64"/>
  <c r="BL19" i="64"/>
  <c r="BM19" i="64"/>
  <c r="BN19" i="64"/>
  <c r="BJ20" i="64"/>
  <c r="BK20" i="64"/>
  <c r="BL20" i="64"/>
  <c r="BM20" i="64"/>
  <c r="BN20" i="64"/>
  <c r="BJ21" i="64"/>
  <c r="BK21" i="64"/>
  <c r="BL21" i="64"/>
  <c r="BM21" i="64"/>
  <c r="BN21" i="64"/>
  <c r="BJ22" i="64"/>
  <c r="BK22" i="64"/>
  <c r="BL22" i="64"/>
  <c r="BM22" i="64"/>
  <c r="BN22" i="64"/>
  <c r="BJ23" i="64"/>
  <c r="BK23" i="64"/>
  <c r="BL23" i="64"/>
  <c r="BM23" i="64"/>
  <c r="BN23" i="64"/>
  <c r="BJ24" i="64"/>
  <c r="BK24" i="64"/>
  <c r="BL24" i="64"/>
  <c r="BM24" i="64"/>
  <c r="BN24" i="64"/>
  <c r="BJ25" i="64"/>
  <c r="BK25" i="64"/>
  <c r="BL25" i="64"/>
  <c r="BM25" i="64"/>
  <c r="BN25" i="64"/>
  <c r="BJ26" i="64"/>
  <c r="BK26" i="64"/>
  <c r="BL26" i="64"/>
  <c r="BM26" i="64"/>
  <c r="BN26" i="64"/>
  <c r="BJ27" i="64"/>
  <c r="BK27" i="64"/>
  <c r="BL27" i="64"/>
  <c r="BM27" i="64"/>
  <c r="BN27" i="64"/>
  <c r="BJ28" i="64"/>
  <c r="BK28" i="64"/>
  <c r="BL28" i="64"/>
  <c r="BM28" i="64"/>
  <c r="BN28" i="64"/>
  <c r="BJ29" i="64"/>
  <c r="BK29" i="64"/>
  <c r="BL29" i="64"/>
  <c r="BM29" i="64"/>
  <c r="BN29" i="64"/>
  <c r="BJ30" i="64"/>
  <c r="BK30" i="64"/>
  <c r="BL30" i="64"/>
  <c r="BM30" i="64"/>
  <c r="BN30" i="64"/>
  <c r="BJ31" i="64"/>
  <c r="BK31" i="64"/>
  <c r="BL31" i="64"/>
  <c r="BM31" i="64"/>
  <c r="BN31" i="64"/>
  <c r="BJ32" i="64"/>
  <c r="BK32" i="64"/>
  <c r="BL32" i="64"/>
  <c r="BM32" i="64"/>
  <c r="BN32" i="64"/>
  <c r="BJ33" i="64"/>
  <c r="BK33" i="64"/>
  <c r="BL33" i="64"/>
  <c r="BM33" i="64"/>
  <c r="BN33" i="64"/>
  <c r="BJ34" i="64"/>
  <c r="BK34" i="64"/>
  <c r="BL34" i="64"/>
  <c r="BM34" i="64"/>
  <c r="BN34" i="64"/>
  <c r="BJ35" i="64"/>
  <c r="BK35" i="64"/>
  <c r="BL35" i="64"/>
  <c r="BM35" i="64"/>
  <c r="BN35" i="64"/>
  <c r="BJ36" i="64"/>
  <c r="BK36" i="64"/>
  <c r="BL36" i="64"/>
  <c r="BM36" i="64"/>
  <c r="BN36" i="64"/>
  <c r="BJ37" i="64"/>
  <c r="BK37" i="64"/>
  <c r="BL37" i="64"/>
  <c r="BM37" i="64"/>
  <c r="BN37" i="64"/>
  <c r="BJ38" i="64"/>
  <c r="BK38" i="64"/>
  <c r="BL38" i="64"/>
  <c r="BM38" i="64"/>
  <c r="BN38" i="64"/>
  <c r="BJ39" i="64"/>
  <c r="BK39" i="64"/>
  <c r="BL39" i="64"/>
  <c r="BM39" i="64"/>
  <c r="BN39" i="64"/>
  <c r="BJ40" i="64"/>
  <c r="BK40" i="64"/>
  <c r="BL40" i="64"/>
  <c r="BM40" i="64"/>
  <c r="BN40" i="64"/>
  <c r="BJ41" i="64"/>
  <c r="BK41" i="64"/>
  <c r="BL41" i="64"/>
  <c r="BM41" i="64"/>
  <c r="BN41" i="64"/>
  <c r="BJ42" i="64"/>
  <c r="BK42" i="64"/>
  <c r="BL42" i="64"/>
  <c r="BM42" i="64"/>
  <c r="BN42" i="64"/>
  <c r="BJ43" i="64"/>
  <c r="BK43" i="64"/>
  <c r="BL43" i="64"/>
  <c r="BM43" i="64"/>
  <c r="BN43" i="64"/>
  <c r="BJ44" i="64"/>
  <c r="BK44" i="64"/>
  <c r="BL44" i="64"/>
  <c r="BM44" i="64"/>
  <c r="BN44" i="64"/>
  <c r="BJ45" i="64"/>
  <c r="BK45" i="64"/>
  <c r="BL45" i="64"/>
  <c r="BM45" i="64"/>
  <c r="BN45" i="64"/>
  <c r="BJ46" i="64"/>
  <c r="BK46" i="64"/>
  <c r="BL46" i="64"/>
  <c r="BM46" i="64"/>
  <c r="BN46" i="64"/>
  <c r="BJ47" i="64"/>
  <c r="BK47" i="64"/>
  <c r="BL47" i="64"/>
  <c r="BM47" i="64"/>
  <c r="BN47" i="64"/>
  <c r="BJ48" i="64"/>
  <c r="BK48" i="64"/>
  <c r="BL48" i="64"/>
  <c r="BM48" i="64"/>
  <c r="BN48" i="64"/>
  <c r="BJ49" i="64"/>
  <c r="BK49" i="64"/>
  <c r="BL49" i="64"/>
  <c r="BM49" i="64"/>
  <c r="BN49" i="64"/>
  <c r="BJ50" i="64"/>
  <c r="BK50" i="64"/>
  <c r="BL50" i="64"/>
  <c r="BM50" i="64"/>
  <c r="BN50" i="64"/>
  <c r="BJ51" i="64"/>
  <c r="BK51" i="64"/>
  <c r="BL51" i="64"/>
  <c r="BM51" i="64"/>
  <c r="BN51" i="64"/>
  <c r="BJ52" i="64"/>
  <c r="BK52" i="64"/>
  <c r="BL52" i="64"/>
  <c r="BM52" i="64"/>
  <c r="BN52" i="64"/>
  <c r="BJ53" i="64"/>
  <c r="BK53" i="64"/>
  <c r="BL53" i="64"/>
  <c r="BM53" i="64"/>
  <c r="BN53" i="64"/>
  <c r="BJ54" i="64"/>
  <c r="BK54" i="64"/>
  <c r="BL54" i="64"/>
  <c r="BM54" i="64"/>
  <c r="BN54" i="64"/>
  <c r="BJ55" i="64"/>
  <c r="BK55" i="64"/>
  <c r="BL55" i="64"/>
  <c r="BM55" i="64"/>
  <c r="BN55" i="64"/>
  <c r="BJ56" i="64"/>
  <c r="BK56" i="64"/>
  <c r="BL56" i="64"/>
  <c r="BM56" i="64"/>
  <c r="BN56" i="64"/>
  <c r="BJ57" i="64"/>
  <c r="BK57" i="64"/>
  <c r="BL57" i="64"/>
  <c r="BM57" i="64"/>
  <c r="BN57" i="64"/>
  <c r="BJ58" i="64"/>
  <c r="BK58" i="64"/>
  <c r="BL58" i="64"/>
  <c r="BM58" i="64"/>
  <c r="BN58" i="64"/>
  <c r="BJ59" i="64"/>
  <c r="BK59" i="64"/>
  <c r="BL59" i="64"/>
  <c r="BM59" i="64"/>
  <c r="BN59" i="64"/>
  <c r="BJ60" i="64"/>
  <c r="BK60" i="64"/>
  <c r="BL60" i="64"/>
  <c r="BM60" i="64"/>
  <c r="BN60" i="64"/>
  <c r="BJ61" i="64"/>
  <c r="BK61" i="64"/>
  <c r="BL61" i="64"/>
  <c r="BM61" i="64"/>
  <c r="BN61" i="64"/>
  <c r="BJ62" i="64"/>
  <c r="BK62" i="64"/>
  <c r="BL62" i="64"/>
  <c r="BM62" i="64"/>
  <c r="BN62" i="64"/>
  <c r="BJ63" i="64"/>
  <c r="BK63" i="64"/>
  <c r="BL63" i="64"/>
  <c r="BM63" i="64"/>
  <c r="BN63" i="64"/>
  <c r="BJ64" i="64"/>
  <c r="BK64" i="64"/>
  <c r="BL64" i="64"/>
  <c r="BM64" i="64"/>
  <c r="BN64" i="64"/>
  <c r="BJ65" i="64"/>
  <c r="BK65" i="64"/>
  <c r="BL65" i="64"/>
  <c r="BM65" i="64"/>
  <c r="BN65" i="64"/>
  <c r="BJ66" i="64"/>
  <c r="BK66" i="64"/>
  <c r="BL66" i="64"/>
  <c r="BM66" i="64"/>
  <c r="BN66" i="64"/>
  <c r="BJ67" i="64"/>
  <c r="BK67" i="64"/>
  <c r="BL67" i="64"/>
  <c r="BM67" i="64"/>
  <c r="BN67" i="64"/>
  <c r="BJ68" i="64"/>
  <c r="BK68" i="64"/>
  <c r="BL68" i="64"/>
  <c r="BM68" i="64"/>
  <c r="BN68" i="64"/>
  <c r="BJ69" i="64"/>
  <c r="BK69" i="64"/>
  <c r="BL69" i="64"/>
  <c r="BM69" i="64"/>
  <c r="BN69" i="64"/>
  <c r="BJ70" i="64"/>
  <c r="BK70" i="64"/>
  <c r="BL70" i="64"/>
  <c r="BM70" i="64"/>
  <c r="BN70" i="64"/>
  <c r="BJ71" i="64"/>
  <c r="BK71" i="64"/>
  <c r="BL71" i="64"/>
  <c r="BM71" i="64"/>
  <c r="BN71" i="64"/>
  <c r="BJ72" i="64"/>
  <c r="BK72" i="64"/>
  <c r="BL72" i="64"/>
  <c r="BM72" i="64"/>
  <c r="BN72" i="64"/>
  <c r="BJ73" i="64"/>
  <c r="BK73" i="64"/>
  <c r="BL73" i="64"/>
  <c r="BM73" i="64"/>
  <c r="BN73" i="64"/>
  <c r="BJ74" i="64"/>
  <c r="BK74" i="64"/>
  <c r="BL74" i="64"/>
  <c r="BM74" i="64"/>
  <c r="BN74" i="64"/>
  <c r="BJ75" i="64"/>
  <c r="BK75" i="64"/>
  <c r="BL75" i="64"/>
  <c r="BM75" i="64"/>
  <c r="BN75" i="64"/>
  <c r="BJ76" i="64"/>
  <c r="BK76" i="64"/>
  <c r="BL76" i="64"/>
  <c r="BM76" i="64"/>
  <c r="BN76" i="64"/>
  <c r="BJ77" i="64"/>
  <c r="BK77" i="64"/>
  <c r="BL77" i="64"/>
  <c r="BM77" i="64"/>
  <c r="BN77" i="64"/>
  <c r="BJ78" i="64"/>
  <c r="BK78" i="64"/>
  <c r="BL78" i="64"/>
  <c r="BM78" i="64"/>
  <c r="BN78" i="64"/>
  <c r="BJ79" i="64"/>
  <c r="BK79" i="64"/>
  <c r="BL79" i="64"/>
  <c r="BM79" i="64"/>
  <c r="BN79" i="64"/>
  <c r="BJ80" i="64"/>
  <c r="BK80" i="64"/>
  <c r="BL80" i="64"/>
  <c r="BM80" i="64"/>
  <c r="BN80" i="64"/>
  <c r="BJ81" i="64"/>
  <c r="BK81" i="64"/>
  <c r="BL81" i="64"/>
  <c r="BM81" i="64"/>
  <c r="BN81" i="64"/>
  <c r="BJ82" i="64"/>
  <c r="BK82" i="64"/>
  <c r="BL82" i="64"/>
  <c r="BM82" i="64"/>
  <c r="BN82" i="64"/>
  <c r="BJ83" i="64"/>
  <c r="BK83" i="64"/>
  <c r="BL83" i="64"/>
  <c r="BM83" i="64"/>
  <c r="BN83" i="64"/>
  <c r="BJ84" i="64"/>
  <c r="BK84" i="64"/>
  <c r="BL84" i="64"/>
  <c r="BM84" i="64"/>
  <c r="BN84" i="64"/>
  <c r="BJ85" i="64"/>
  <c r="BK85" i="64"/>
  <c r="BL85" i="64"/>
  <c r="BM85" i="64"/>
  <c r="BN85" i="64"/>
  <c r="BJ86" i="64"/>
  <c r="BK86" i="64"/>
  <c r="BL86" i="64"/>
  <c r="BM86" i="64"/>
  <c r="BN86" i="64"/>
  <c r="BJ87" i="64"/>
  <c r="BK87" i="64"/>
  <c r="BL87" i="64"/>
  <c r="BM87" i="64"/>
  <c r="BN87" i="64"/>
  <c r="BJ88" i="64"/>
  <c r="BK88" i="64"/>
  <c r="BL88" i="64"/>
  <c r="BM88" i="64"/>
  <c r="BN88" i="64"/>
  <c r="BJ89" i="64"/>
  <c r="BK89" i="64"/>
  <c r="BL89" i="64"/>
  <c r="BM89" i="64"/>
  <c r="BN89" i="64"/>
  <c r="BJ90" i="64"/>
  <c r="BK90" i="64"/>
  <c r="BL90" i="64"/>
  <c r="BM90" i="64"/>
  <c r="BN90" i="64"/>
  <c r="BJ91" i="64"/>
  <c r="BK91" i="64"/>
  <c r="BL91" i="64"/>
  <c r="BM91" i="64"/>
  <c r="BN91" i="64"/>
  <c r="BJ92" i="64"/>
  <c r="BK92" i="64"/>
  <c r="BL92" i="64"/>
  <c r="BM92" i="64"/>
  <c r="BN92" i="64"/>
  <c r="BJ93" i="64"/>
  <c r="BK93" i="64"/>
  <c r="BL93" i="64"/>
  <c r="BM93" i="64"/>
  <c r="BN93" i="64"/>
  <c r="BJ94" i="64"/>
  <c r="BK94" i="64"/>
  <c r="BL94" i="64"/>
  <c r="BM94" i="64"/>
  <c r="BN94" i="64"/>
  <c r="BJ95" i="64"/>
  <c r="BK95" i="64"/>
  <c r="BL95" i="64"/>
  <c r="BM95" i="64"/>
  <c r="BN95" i="64"/>
  <c r="BJ96" i="64"/>
  <c r="BK96" i="64"/>
  <c r="BL96" i="64"/>
  <c r="BM96" i="64"/>
  <c r="BN96" i="64"/>
  <c r="BJ97" i="64"/>
  <c r="BK97" i="64"/>
  <c r="BL97" i="64"/>
  <c r="BM97" i="64"/>
  <c r="BN97" i="64"/>
  <c r="BJ98" i="64"/>
  <c r="BK98" i="64"/>
  <c r="BL98" i="64"/>
  <c r="BM98" i="64"/>
  <c r="BN98" i="64"/>
  <c r="BJ99" i="64"/>
  <c r="BK99" i="64"/>
  <c r="BL99" i="64"/>
  <c r="BM99" i="64"/>
  <c r="BN99" i="64"/>
  <c r="BJ100" i="64"/>
  <c r="BK100" i="64"/>
  <c r="BL100" i="64"/>
  <c r="BM100" i="64"/>
  <c r="BN100" i="64"/>
  <c r="BJ101" i="64"/>
  <c r="BK101" i="64"/>
  <c r="BL101" i="64"/>
  <c r="BM101" i="64"/>
  <c r="BN101" i="64"/>
  <c r="BJ102" i="64"/>
  <c r="BK102" i="64"/>
  <c r="BL102" i="64"/>
  <c r="BM102" i="64"/>
  <c r="BN102" i="64"/>
  <c r="BJ103" i="64"/>
  <c r="BK103" i="64"/>
  <c r="BL103" i="64"/>
  <c r="BM103" i="64"/>
  <c r="BN103" i="64"/>
  <c r="BN4" i="64"/>
  <c r="BM4" i="64"/>
  <c r="BL4" i="64"/>
  <c r="BK4" i="64"/>
  <c r="BJ4" i="64"/>
  <c r="BA5" i="64"/>
  <c r="BB5" i="64"/>
  <c r="BC5" i="64"/>
  <c r="BD5" i="64"/>
  <c r="BE5" i="64"/>
  <c r="BA6" i="64"/>
  <c r="BB6" i="64"/>
  <c r="BC6" i="64"/>
  <c r="BD6" i="64"/>
  <c r="BE6" i="64"/>
  <c r="BA7" i="64"/>
  <c r="BB7" i="64"/>
  <c r="BC7" i="64"/>
  <c r="BD7" i="64"/>
  <c r="BE7" i="64"/>
  <c r="BA8" i="64"/>
  <c r="BB8" i="64"/>
  <c r="BC8" i="64"/>
  <c r="BD8" i="64"/>
  <c r="BE8" i="64"/>
  <c r="BA9" i="64"/>
  <c r="BB9" i="64"/>
  <c r="BC9" i="64"/>
  <c r="BD9" i="64"/>
  <c r="BE9" i="64"/>
  <c r="BA10" i="64"/>
  <c r="BB10" i="64"/>
  <c r="BC10" i="64"/>
  <c r="BD10" i="64"/>
  <c r="BE10" i="64"/>
  <c r="BA11" i="64"/>
  <c r="BB11" i="64"/>
  <c r="BC11" i="64"/>
  <c r="BD11" i="64"/>
  <c r="BE11" i="64"/>
  <c r="BA12" i="64"/>
  <c r="BB12" i="64"/>
  <c r="BC12" i="64"/>
  <c r="BD12" i="64"/>
  <c r="BE12" i="64"/>
  <c r="BA13" i="64"/>
  <c r="BB13" i="64"/>
  <c r="BC13" i="64"/>
  <c r="BD13" i="64"/>
  <c r="BE13" i="64"/>
  <c r="BA14" i="64"/>
  <c r="BB14" i="64"/>
  <c r="BC14" i="64"/>
  <c r="BD14" i="64"/>
  <c r="BE14" i="64"/>
  <c r="BA15" i="64"/>
  <c r="BB15" i="64"/>
  <c r="BC15" i="64"/>
  <c r="BD15" i="64"/>
  <c r="BE15" i="64"/>
  <c r="BA16" i="64"/>
  <c r="BB16" i="64"/>
  <c r="BC16" i="64"/>
  <c r="BD16" i="64"/>
  <c r="BE16" i="64"/>
  <c r="BA17" i="64"/>
  <c r="BB17" i="64"/>
  <c r="BC17" i="64"/>
  <c r="BD17" i="64"/>
  <c r="BE17" i="64"/>
  <c r="BA18" i="64"/>
  <c r="BB18" i="64"/>
  <c r="BC18" i="64"/>
  <c r="BD18" i="64"/>
  <c r="BE18" i="64"/>
  <c r="BA19" i="64"/>
  <c r="BB19" i="64"/>
  <c r="BC19" i="64"/>
  <c r="BD19" i="64"/>
  <c r="BE19" i="64"/>
  <c r="BA20" i="64"/>
  <c r="BB20" i="64"/>
  <c r="BC20" i="64"/>
  <c r="BD20" i="64"/>
  <c r="BE20" i="64"/>
  <c r="BA21" i="64"/>
  <c r="BB21" i="64"/>
  <c r="BC21" i="64"/>
  <c r="BD21" i="64"/>
  <c r="BE21" i="64"/>
  <c r="BA22" i="64"/>
  <c r="BB22" i="64"/>
  <c r="BC22" i="64"/>
  <c r="BD22" i="64"/>
  <c r="BE22" i="64"/>
  <c r="BA23" i="64"/>
  <c r="BB23" i="64"/>
  <c r="BC23" i="64"/>
  <c r="BD23" i="64"/>
  <c r="BE23" i="64"/>
  <c r="BA24" i="64"/>
  <c r="BB24" i="64"/>
  <c r="BC24" i="64"/>
  <c r="BD24" i="64"/>
  <c r="BE24" i="64"/>
  <c r="BA25" i="64"/>
  <c r="BB25" i="64"/>
  <c r="BC25" i="64"/>
  <c r="BD25" i="64"/>
  <c r="BE25" i="64"/>
  <c r="BA26" i="64"/>
  <c r="BB26" i="64"/>
  <c r="BC26" i="64"/>
  <c r="BD26" i="64"/>
  <c r="BE26" i="64"/>
  <c r="BA27" i="64"/>
  <c r="BB27" i="64"/>
  <c r="BC27" i="64"/>
  <c r="BD27" i="64"/>
  <c r="BE27" i="64"/>
  <c r="BA28" i="64"/>
  <c r="BB28" i="64"/>
  <c r="BC28" i="64"/>
  <c r="BD28" i="64"/>
  <c r="BE28" i="64"/>
  <c r="BA29" i="64"/>
  <c r="BB29" i="64"/>
  <c r="BC29" i="64"/>
  <c r="BD29" i="64"/>
  <c r="BE29" i="64"/>
  <c r="BA30" i="64"/>
  <c r="BB30" i="64"/>
  <c r="BC30" i="64"/>
  <c r="BD30" i="64"/>
  <c r="BE30" i="64"/>
  <c r="BA31" i="64"/>
  <c r="BB31" i="64"/>
  <c r="BC31" i="64"/>
  <c r="BD31" i="64"/>
  <c r="BE31" i="64"/>
  <c r="BA32" i="64"/>
  <c r="BB32" i="64"/>
  <c r="BC32" i="64"/>
  <c r="BD32" i="64"/>
  <c r="BE32" i="64"/>
  <c r="BA33" i="64"/>
  <c r="BB33" i="64"/>
  <c r="BC33" i="64"/>
  <c r="BD33" i="64"/>
  <c r="BE33" i="64"/>
  <c r="BA34" i="64"/>
  <c r="BB34" i="64"/>
  <c r="BC34" i="64"/>
  <c r="BD34" i="64"/>
  <c r="BE34" i="64"/>
  <c r="BA35" i="64"/>
  <c r="BB35" i="64"/>
  <c r="BC35" i="64"/>
  <c r="BD35" i="64"/>
  <c r="BE35" i="64"/>
  <c r="BA36" i="64"/>
  <c r="BB36" i="64"/>
  <c r="BC36" i="64"/>
  <c r="BD36" i="64"/>
  <c r="BE36" i="64"/>
  <c r="BA37" i="64"/>
  <c r="BB37" i="64"/>
  <c r="BC37" i="64"/>
  <c r="BD37" i="64"/>
  <c r="BE37" i="64"/>
  <c r="BA38" i="64"/>
  <c r="BB38" i="64"/>
  <c r="BC38" i="64"/>
  <c r="BD38" i="64"/>
  <c r="BE38" i="64"/>
  <c r="BA39" i="64"/>
  <c r="BB39" i="64"/>
  <c r="BC39" i="64"/>
  <c r="BD39" i="64"/>
  <c r="BE39" i="64"/>
  <c r="BA40" i="64"/>
  <c r="BB40" i="64"/>
  <c r="BC40" i="64"/>
  <c r="BD40" i="64"/>
  <c r="BE40" i="64"/>
  <c r="BA41" i="64"/>
  <c r="BB41" i="64"/>
  <c r="BC41" i="64"/>
  <c r="BD41" i="64"/>
  <c r="BE41" i="64"/>
  <c r="BA42" i="64"/>
  <c r="BB42" i="64"/>
  <c r="BC42" i="64"/>
  <c r="BD42" i="64"/>
  <c r="BE42" i="64"/>
  <c r="BA43" i="64"/>
  <c r="BB43" i="64"/>
  <c r="BC43" i="64"/>
  <c r="BD43" i="64"/>
  <c r="BE43" i="64"/>
  <c r="BA44" i="64"/>
  <c r="BB44" i="64"/>
  <c r="BC44" i="64"/>
  <c r="BD44" i="64"/>
  <c r="BE44" i="64"/>
  <c r="BA45" i="64"/>
  <c r="BB45" i="64"/>
  <c r="BC45" i="64"/>
  <c r="BD45" i="64"/>
  <c r="BE45" i="64"/>
  <c r="BA46" i="64"/>
  <c r="BB46" i="64"/>
  <c r="BC46" i="64"/>
  <c r="BD46" i="64"/>
  <c r="BE46" i="64"/>
  <c r="BA47" i="64"/>
  <c r="BB47" i="64"/>
  <c r="BC47" i="64"/>
  <c r="BD47" i="64"/>
  <c r="BE47" i="64"/>
  <c r="BA48" i="64"/>
  <c r="BB48" i="64"/>
  <c r="BC48" i="64"/>
  <c r="BD48" i="64"/>
  <c r="BE48" i="64"/>
  <c r="BA49" i="64"/>
  <c r="BB49" i="64"/>
  <c r="BC49" i="64"/>
  <c r="BD49" i="64"/>
  <c r="BE49" i="64"/>
  <c r="BA50" i="64"/>
  <c r="BB50" i="64"/>
  <c r="BC50" i="64"/>
  <c r="BD50" i="64"/>
  <c r="BE50" i="64"/>
  <c r="BA51" i="64"/>
  <c r="BB51" i="64"/>
  <c r="BC51" i="64"/>
  <c r="BD51" i="64"/>
  <c r="BE51" i="64"/>
  <c r="BA52" i="64"/>
  <c r="BB52" i="64"/>
  <c r="BC52" i="64"/>
  <c r="BD52" i="64"/>
  <c r="BE52" i="64"/>
  <c r="BA53" i="64"/>
  <c r="BB53" i="64"/>
  <c r="BC53" i="64"/>
  <c r="BD53" i="64"/>
  <c r="BE53" i="64"/>
  <c r="BA54" i="64"/>
  <c r="BB54" i="64"/>
  <c r="BC54" i="64"/>
  <c r="BD54" i="64"/>
  <c r="BE54" i="64"/>
  <c r="BA55" i="64"/>
  <c r="BB55" i="64"/>
  <c r="BC55" i="64"/>
  <c r="BD55" i="64"/>
  <c r="BE55" i="64"/>
  <c r="BA56" i="64"/>
  <c r="BB56" i="64"/>
  <c r="BC56" i="64"/>
  <c r="BD56" i="64"/>
  <c r="BE56" i="64"/>
  <c r="BA57" i="64"/>
  <c r="BB57" i="64"/>
  <c r="BC57" i="64"/>
  <c r="BD57" i="64"/>
  <c r="BE57" i="64"/>
  <c r="BA58" i="64"/>
  <c r="BB58" i="64"/>
  <c r="BC58" i="64"/>
  <c r="BD58" i="64"/>
  <c r="BE58" i="64"/>
  <c r="BA59" i="64"/>
  <c r="BB59" i="64"/>
  <c r="BC59" i="64"/>
  <c r="BD59" i="64"/>
  <c r="BE59" i="64"/>
  <c r="BA60" i="64"/>
  <c r="BB60" i="64"/>
  <c r="BC60" i="64"/>
  <c r="BD60" i="64"/>
  <c r="BE60" i="64"/>
  <c r="BA61" i="64"/>
  <c r="BB61" i="64"/>
  <c r="BC61" i="64"/>
  <c r="BD61" i="64"/>
  <c r="BE61" i="64"/>
  <c r="BA62" i="64"/>
  <c r="BB62" i="64"/>
  <c r="BC62" i="64"/>
  <c r="BD62" i="64"/>
  <c r="BE62" i="64"/>
  <c r="BA63" i="64"/>
  <c r="BB63" i="64"/>
  <c r="BC63" i="64"/>
  <c r="BD63" i="64"/>
  <c r="BE63" i="64"/>
  <c r="BA64" i="64"/>
  <c r="BB64" i="64"/>
  <c r="BC64" i="64"/>
  <c r="BD64" i="64"/>
  <c r="BE64" i="64"/>
  <c r="BA65" i="64"/>
  <c r="BB65" i="64"/>
  <c r="BC65" i="64"/>
  <c r="BD65" i="64"/>
  <c r="BE65" i="64"/>
  <c r="BA66" i="64"/>
  <c r="BB66" i="64"/>
  <c r="BC66" i="64"/>
  <c r="BD66" i="64"/>
  <c r="BE66" i="64"/>
  <c r="BA67" i="64"/>
  <c r="BB67" i="64"/>
  <c r="BC67" i="64"/>
  <c r="BD67" i="64"/>
  <c r="BE67" i="64"/>
  <c r="BA68" i="64"/>
  <c r="BB68" i="64"/>
  <c r="BC68" i="64"/>
  <c r="BD68" i="64"/>
  <c r="BE68" i="64"/>
  <c r="BA69" i="64"/>
  <c r="BB69" i="64"/>
  <c r="BC69" i="64"/>
  <c r="BD69" i="64"/>
  <c r="BE69" i="64"/>
  <c r="BA70" i="64"/>
  <c r="BB70" i="64"/>
  <c r="BC70" i="64"/>
  <c r="BD70" i="64"/>
  <c r="BE70" i="64"/>
  <c r="BA71" i="64"/>
  <c r="BB71" i="64"/>
  <c r="BC71" i="64"/>
  <c r="BD71" i="64"/>
  <c r="BE71" i="64"/>
  <c r="BA72" i="64"/>
  <c r="BB72" i="64"/>
  <c r="BC72" i="64"/>
  <c r="BD72" i="64"/>
  <c r="BE72" i="64"/>
  <c r="BA73" i="64"/>
  <c r="BB73" i="64"/>
  <c r="BC73" i="64"/>
  <c r="BD73" i="64"/>
  <c r="BE73" i="64"/>
  <c r="BA74" i="64"/>
  <c r="BB74" i="64"/>
  <c r="BC74" i="64"/>
  <c r="BD74" i="64"/>
  <c r="BE74" i="64"/>
  <c r="BA75" i="64"/>
  <c r="BB75" i="64"/>
  <c r="BC75" i="64"/>
  <c r="BD75" i="64"/>
  <c r="BE75" i="64"/>
  <c r="BA76" i="64"/>
  <c r="BB76" i="64"/>
  <c r="BC76" i="64"/>
  <c r="BD76" i="64"/>
  <c r="BE76" i="64"/>
  <c r="BA77" i="64"/>
  <c r="BB77" i="64"/>
  <c r="BC77" i="64"/>
  <c r="BD77" i="64"/>
  <c r="BE77" i="64"/>
  <c r="BA78" i="64"/>
  <c r="BB78" i="64"/>
  <c r="BC78" i="64"/>
  <c r="BD78" i="64"/>
  <c r="BE78" i="64"/>
  <c r="BA79" i="64"/>
  <c r="BB79" i="64"/>
  <c r="BC79" i="64"/>
  <c r="BD79" i="64"/>
  <c r="BE79" i="64"/>
  <c r="BA80" i="64"/>
  <c r="BB80" i="64"/>
  <c r="BC80" i="64"/>
  <c r="BD80" i="64"/>
  <c r="BE80" i="64"/>
  <c r="BA81" i="64"/>
  <c r="BB81" i="64"/>
  <c r="BC81" i="64"/>
  <c r="BD81" i="64"/>
  <c r="BE81" i="64"/>
  <c r="BA82" i="64"/>
  <c r="BB82" i="64"/>
  <c r="BC82" i="64"/>
  <c r="BD82" i="64"/>
  <c r="BE82" i="64"/>
  <c r="BA83" i="64"/>
  <c r="BB83" i="64"/>
  <c r="BC83" i="64"/>
  <c r="BD83" i="64"/>
  <c r="BE83" i="64"/>
  <c r="BA84" i="64"/>
  <c r="BB84" i="64"/>
  <c r="BC84" i="64"/>
  <c r="BD84" i="64"/>
  <c r="BE84" i="64"/>
  <c r="BA85" i="64"/>
  <c r="BB85" i="64"/>
  <c r="BC85" i="64"/>
  <c r="BD85" i="64"/>
  <c r="BE85" i="64"/>
  <c r="BA86" i="64"/>
  <c r="BB86" i="64"/>
  <c r="BC86" i="64"/>
  <c r="BD86" i="64"/>
  <c r="BE86" i="64"/>
  <c r="BA87" i="64"/>
  <c r="BB87" i="64"/>
  <c r="BC87" i="64"/>
  <c r="BD87" i="64"/>
  <c r="BE87" i="64"/>
  <c r="BA88" i="64"/>
  <c r="BB88" i="64"/>
  <c r="BC88" i="64"/>
  <c r="BD88" i="64"/>
  <c r="BE88" i="64"/>
  <c r="BA89" i="64"/>
  <c r="BB89" i="64"/>
  <c r="BC89" i="64"/>
  <c r="BD89" i="64"/>
  <c r="BE89" i="64"/>
  <c r="BA90" i="64"/>
  <c r="BB90" i="64"/>
  <c r="BC90" i="64"/>
  <c r="BD90" i="64"/>
  <c r="BE90" i="64"/>
  <c r="BA91" i="64"/>
  <c r="BB91" i="64"/>
  <c r="BC91" i="64"/>
  <c r="BD91" i="64"/>
  <c r="BE91" i="64"/>
  <c r="BA92" i="64"/>
  <c r="BB92" i="64"/>
  <c r="BC92" i="64"/>
  <c r="BD92" i="64"/>
  <c r="BE92" i="64"/>
  <c r="BA93" i="64"/>
  <c r="BB93" i="64"/>
  <c r="BC93" i="64"/>
  <c r="BD93" i="64"/>
  <c r="BE93" i="64"/>
  <c r="BA94" i="64"/>
  <c r="BB94" i="64"/>
  <c r="BC94" i="64"/>
  <c r="BD94" i="64"/>
  <c r="BE94" i="64"/>
  <c r="BA95" i="64"/>
  <c r="BB95" i="64"/>
  <c r="BC95" i="64"/>
  <c r="BD95" i="64"/>
  <c r="BE95" i="64"/>
  <c r="BA96" i="64"/>
  <c r="BB96" i="64"/>
  <c r="BC96" i="64"/>
  <c r="BD96" i="64"/>
  <c r="BE96" i="64"/>
  <c r="BA97" i="64"/>
  <c r="BB97" i="64"/>
  <c r="BC97" i="64"/>
  <c r="BD97" i="64"/>
  <c r="BE97" i="64"/>
  <c r="BA98" i="64"/>
  <c r="BB98" i="64"/>
  <c r="BC98" i="64"/>
  <c r="BD98" i="64"/>
  <c r="BE98" i="64"/>
  <c r="BA99" i="64"/>
  <c r="BB99" i="64"/>
  <c r="BC99" i="64"/>
  <c r="BD99" i="64"/>
  <c r="BE99" i="64"/>
  <c r="BA100" i="64"/>
  <c r="BB100" i="64"/>
  <c r="BC100" i="64"/>
  <c r="BD100" i="64"/>
  <c r="BE100" i="64"/>
  <c r="BA101" i="64"/>
  <c r="BB101" i="64"/>
  <c r="BC101" i="64"/>
  <c r="BD101" i="64"/>
  <c r="BE101" i="64"/>
  <c r="BA102" i="64"/>
  <c r="BB102" i="64"/>
  <c r="BC102" i="64"/>
  <c r="BD102" i="64"/>
  <c r="BE102" i="64"/>
  <c r="BA103" i="64"/>
  <c r="BB103" i="64"/>
  <c r="BC103" i="64"/>
  <c r="BD103" i="64"/>
  <c r="BE103" i="64"/>
  <c r="BA104" i="64"/>
  <c r="BB104" i="64"/>
  <c r="BC104" i="64"/>
  <c r="BD104" i="64"/>
  <c r="BE104" i="64"/>
  <c r="BA105" i="64"/>
  <c r="BB105" i="64"/>
  <c r="BC105" i="64"/>
  <c r="BD105" i="64"/>
  <c r="BE105" i="64"/>
  <c r="BA106" i="64"/>
  <c r="BB106" i="64"/>
  <c r="BC106" i="64"/>
  <c r="BD106" i="64"/>
  <c r="BE106" i="64"/>
  <c r="BA107" i="64"/>
  <c r="BB107" i="64"/>
  <c r="BC107" i="64"/>
  <c r="BD107" i="64"/>
  <c r="BE107" i="64"/>
  <c r="BA108" i="64"/>
  <c r="BB108" i="64"/>
  <c r="BC108" i="64"/>
  <c r="BD108" i="64"/>
  <c r="BE108" i="64"/>
  <c r="BA109" i="64"/>
  <c r="BB109" i="64"/>
  <c r="BC109" i="64"/>
  <c r="BD109" i="64"/>
  <c r="BE109" i="64"/>
  <c r="BA110" i="64"/>
  <c r="BB110" i="64"/>
  <c r="BC110" i="64"/>
  <c r="BD110" i="64"/>
  <c r="BE110" i="64"/>
  <c r="BA111" i="64"/>
  <c r="BB111" i="64"/>
  <c r="BC111" i="64"/>
  <c r="BD111" i="64"/>
  <c r="BE111" i="64"/>
  <c r="BA112" i="64"/>
  <c r="BB112" i="64"/>
  <c r="BC112" i="64"/>
  <c r="BD112" i="64"/>
  <c r="BE112" i="64"/>
  <c r="BA113" i="64"/>
  <c r="BB113" i="64"/>
  <c r="BC113" i="64"/>
  <c r="BD113" i="64"/>
  <c r="BE113" i="64"/>
  <c r="BA114" i="64"/>
  <c r="BB114" i="64"/>
  <c r="BC114" i="64"/>
  <c r="BD114" i="64"/>
  <c r="BE114" i="64"/>
  <c r="BA115" i="64"/>
  <c r="BB115" i="64"/>
  <c r="BC115" i="64"/>
  <c r="BD115" i="64"/>
  <c r="BE115" i="64"/>
  <c r="BA116" i="64"/>
  <c r="BB116" i="64"/>
  <c r="BC116" i="64"/>
  <c r="BD116" i="64"/>
  <c r="BE116" i="64"/>
  <c r="BA117" i="64"/>
  <c r="BB117" i="64"/>
  <c r="BC117" i="64"/>
  <c r="BD117" i="64"/>
  <c r="BE117" i="64"/>
  <c r="BA118" i="64"/>
  <c r="BB118" i="64"/>
  <c r="BC118" i="64"/>
  <c r="BD118" i="64"/>
  <c r="BE118" i="64"/>
  <c r="BA119" i="64"/>
  <c r="BB119" i="64"/>
  <c r="BC119" i="64"/>
  <c r="BD119" i="64"/>
  <c r="BE119" i="64"/>
  <c r="BA120" i="64"/>
  <c r="BB120" i="64"/>
  <c r="BC120" i="64"/>
  <c r="BD120" i="64"/>
  <c r="BE120" i="64"/>
  <c r="BA121" i="64"/>
  <c r="BB121" i="64"/>
  <c r="BC121" i="64"/>
  <c r="BD121" i="64"/>
  <c r="BE121" i="64"/>
  <c r="BA122" i="64"/>
  <c r="BB122" i="64"/>
  <c r="BC122" i="64"/>
  <c r="BD122" i="64"/>
  <c r="BE122" i="64"/>
  <c r="BA123" i="64"/>
  <c r="BB123" i="64"/>
  <c r="BC123" i="64"/>
  <c r="BD123" i="64"/>
  <c r="BE123" i="64"/>
  <c r="BA124" i="64"/>
  <c r="BB124" i="64"/>
  <c r="BC124" i="64"/>
  <c r="BD124" i="64"/>
  <c r="BE124" i="64"/>
  <c r="BA125" i="64"/>
  <c r="BB125" i="64"/>
  <c r="BC125" i="64"/>
  <c r="BD125" i="64"/>
  <c r="BE125" i="64"/>
  <c r="BA126" i="64"/>
  <c r="BB126" i="64"/>
  <c r="BC126" i="64"/>
  <c r="BD126" i="64"/>
  <c r="BE126" i="64"/>
  <c r="BA127" i="64"/>
  <c r="BB127" i="64"/>
  <c r="BC127" i="64"/>
  <c r="BD127" i="64"/>
  <c r="BE127" i="64"/>
  <c r="BA128" i="64"/>
  <c r="BB128" i="64"/>
  <c r="BC128" i="64"/>
  <c r="BD128" i="64"/>
  <c r="BE128" i="64"/>
  <c r="BA129" i="64"/>
  <c r="BB129" i="64"/>
  <c r="BC129" i="64"/>
  <c r="BD129" i="64"/>
  <c r="BE129" i="64"/>
  <c r="BA130" i="64"/>
  <c r="BB130" i="64"/>
  <c r="BC130" i="64"/>
  <c r="BD130" i="64"/>
  <c r="BE130" i="64"/>
  <c r="BA131" i="64"/>
  <c r="BB131" i="64"/>
  <c r="BC131" i="64"/>
  <c r="BD131" i="64"/>
  <c r="BE131" i="64"/>
  <c r="BA132" i="64"/>
  <c r="BB132" i="64"/>
  <c r="BC132" i="64"/>
  <c r="BD132" i="64"/>
  <c r="BE132" i="64"/>
  <c r="BA133" i="64"/>
  <c r="BB133" i="64"/>
  <c r="BC133" i="64"/>
  <c r="BD133" i="64"/>
  <c r="BE133" i="64"/>
  <c r="BA134" i="64"/>
  <c r="BB134" i="64"/>
  <c r="BC134" i="64"/>
  <c r="BD134" i="64"/>
  <c r="BE134" i="64"/>
  <c r="BA135" i="64"/>
  <c r="BB135" i="64"/>
  <c r="BC135" i="64"/>
  <c r="BD135" i="64"/>
  <c r="BE135" i="64"/>
  <c r="BA136" i="64"/>
  <c r="BB136" i="64"/>
  <c r="BC136" i="64"/>
  <c r="BD136" i="64"/>
  <c r="BE136" i="64"/>
  <c r="BA137" i="64"/>
  <c r="BB137" i="64"/>
  <c r="BC137" i="64"/>
  <c r="BD137" i="64"/>
  <c r="BE137" i="64"/>
  <c r="BA138" i="64"/>
  <c r="BB138" i="64"/>
  <c r="BC138" i="64"/>
  <c r="BD138" i="64"/>
  <c r="BE138" i="64"/>
  <c r="BA139" i="64"/>
  <c r="BB139" i="64"/>
  <c r="BC139" i="64"/>
  <c r="BD139" i="64"/>
  <c r="BE139" i="64"/>
  <c r="BA140" i="64"/>
  <c r="BB140" i="64"/>
  <c r="BC140" i="64"/>
  <c r="BD140" i="64"/>
  <c r="BE140" i="64"/>
  <c r="BA141" i="64"/>
  <c r="BB141" i="64"/>
  <c r="BC141" i="64"/>
  <c r="BD141" i="64"/>
  <c r="BE141" i="64"/>
  <c r="BA142" i="64"/>
  <c r="BB142" i="64"/>
  <c r="BC142" i="64"/>
  <c r="BD142" i="64"/>
  <c r="BE142" i="64"/>
  <c r="BA143" i="64"/>
  <c r="BB143" i="64"/>
  <c r="BC143" i="64"/>
  <c r="BD143" i="64"/>
  <c r="BE143" i="64"/>
  <c r="BA144" i="64"/>
  <c r="BB144" i="64"/>
  <c r="BC144" i="64"/>
  <c r="BD144" i="64"/>
  <c r="BE144" i="64"/>
  <c r="BA145" i="64"/>
  <c r="BB145" i="64"/>
  <c r="BC145" i="64"/>
  <c r="BD145" i="64"/>
  <c r="BE145" i="64"/>
  <c r="BA146" i="64"/>
  <c r="BB146" i="64"/>
  <c r="BC146" i="64"/>
  <c r="BD146" i="64"/>
  <c r="BE146" i="64"/>
  <c r="BA147" i="64"/>
  <c r="BB147" i="64"/>
  <c r="BC147" i="64"/>
  <c r="BD147" i="64"/>
  <c r="BE147" i="64"/>
  <c r="BA148" i="64"/>
  <c r="BB148" i="64"/>
  <c r="BC148" i="64"/>
  <c r="BD148" i="64"/>
  <c r="BE148" i="64"/>
  <c r="BA149" i="64"/>
  <c r="BB149" i="64"/>
  <c r="BC149" i="64"/>
  <c r="BD149" i="64"/>
  <c r="BE149" i="64"/>
  <c r="BA150" i="64"/>
  <c r="BB150" i="64"/>
  <c r="BC150" i="64"/>
  <c r="BD150" i="64"/>
  <c r="BE150" i="64"/>
  <c r="BA151" i="64"/>
  <c r="BB151" i="64"/>
  <c r="BC151" i="64"/>
  <c r="BD151" i="64"/>
  <c r="BE151" i="64"/>
  <c r="BA152" i="64"/>
  <c r="BB152" i="64"/>
  <c r="BC152" i="64"/>
  <c r="BD152" i="64"/>
  <c r="BE152" i="64"/>
  <c r="BA153" i="64"/>
  <c r="BB153" i="64"/>
  <c r="BC153" i="64"/>
  <c r="BD153" i="64"/>
  <c r="BE153" i="64"/>
  <c r="BA154" i="64"/>
  <c r="BB154" i="64"/>
  <c r="BC154" i="64"/>
  <c r="BD154" i="64"/>
  <c r="BE154" i="64"/>
  <c r="BA155" i="64"/>
  <c r="BB155" i="64"/>
  <c r="BC155" i="64"/>
  <c r="BD155" i="64"/>
  <c r="BE155" i="64"/>
  <c r="BA156" i="64"/>
  <c r="BB156" i="64"/>
  <c r="BC156" i="64"/>
  <c r="BD156" i="64"/>
  <c r="BE156" i="64"/>
  <c r="BA157" i="64"/>
  <c r="BB157" i="64"/>
  <c r="BC157" i="64"/>
  <c r="BD157" i="64"/>
  <c r="BE157" i="64"/>
  <c r="BA158" i="64"/>
  <c r="BB158" i="64"/>
  <c r="BC158" i="64"/>
  <c r="BD158" i="64"/>
  <c r="BE158" i="64"/>
  <c r="BA159" i="64"/>
  <c r="BB159" i="64"/>
  <c r="BC159" i="64"/>
  <c r="BD159" i="64"/>
  <c r="BE159" i="64"/>
  <c r="BA160" i="64"/>
  <c r="BB160" i="64"/>
  <c r="BC160" i="64"/>
  <c r="BD160" i="64"/>
  <c r="BE160" i="64"/>
  <c r="BA161" i="64"/>
  <c r="BB161" i="64"/>
  <c r="BC161" i="64"/>
  <c r="BD161" i="64"/>
  <c r="BE161" i="64"/>
  <c r="BA162" i="64"/>
  <c r="BB162" i="64"/>
  <c r="BC162" i="64"/>
  <c r="BD162" i="64"/>
  <c r="BE162" i="64"/>
  <c r="BA163" i="64"/>
  <c r="BB163" i="64"/>
  <c r="BC163" i="64"/>
  <c r="BD163" i="64"/>
  <c r="BE163" i="64"/>
  <c r="BA164" i="64"/>
  <c r="BB164" i="64"/>
  <c r="BC164" i="64"/>
  <c r="BD164" i="64"/>
  <c r="BE164" i="64"/>
  <c r="BA165" i="64"/>
  <c r="BB165" i="64"/>
  <c r="BC165" i="64"/>
  <c r="BD165" i="64"/>
  <c r="BE165" i="64"/>
  <c r="BA166" i="64"/>
  <c r="BB166" i="64"/>
  <c r="BC166" i="64"/>
  <c r="BD166" i="64"/>
  <c r="BE166" i="64"/>
  <c r="BA167" i="64"/>
  <c r="BB167" i="64"/>
  <c r="BC167" i="64"/>
  <c r="BD167" i="64"/>
  <c r="BE167" i="64"/>
  <c r="BA168" i="64"/>
  <c r="BB168" i="64"/>
  <c r="BC168" i="64"/>
  <c r="BD168" i="64"/>
  <c r="BE168" i="64"/>
  <c r="BA169" i="64"/>
  <c r="BB169" i="64"/>
  <c r="BC169" i="64"/>
  <c r="BD169" i="64"/>
  <c r="BE169" i="64"/>
  <c r="BA170" i="64"/>
  <c r="BB170" i="64"/>
  <c r="BC170" i="64"/>
  <c r="BD170" i="64"/>
  <c r="BE170" i="64"/>
  <c r="BA171" i="64"/>
  <c r="BB171" i="64"/>
  <c r="BC171" i="64"/>
  <c r="BD171" i="64"/>
  <c r="BE171" i="64"/>
  <c r="BA172" i="64"/>
  <c r="BB172" i="64"/>
  <c r="BC172" i="64"/>
  <c r="BD172" i="64"/>
  <c r="BE172" i="64"/>
  <c r="BA173" i="64"/>
  <c r="BB173" i="64"/>
  <c r="BC173" i="64"/>
  <c r="BD173" i="64"/>
  <c r="BE173" i="64"/>
  <c r="BA174" i="64"/>
  <c r="BB174" i="64"/>
  <c r="BC174" i="64"/>
  <c r="BD174" i="64"/>
  <c r="BE174" i="64"/>
  <c r="BA175" i="64"/>
  <c r="BB175" i="64"/>
  <c r="BC175" i="64"/>
  <c r="BD175" i="64"/>
  <c r="BE175" i="64"/>
  <c r="BA176" i="64"/>
  <c r="BB176" i="64"/>
  <c r="BC176" i="64"/>
  <c r="BD176" i="64"/>
  <c r="BE176" i="64"/>
  <c r="BA177" i="64"/>
  <c r="BB177" i="64"/>
  <c r="BC177" i="64"/>
  <c r="BD177" i="64"/>
  <c r="BE177" i="64"/>
  <c r="BA178" i="64"/>
  <c r="BB178" i="64"/>
  <c r="BC178" i="64"/>
  <c r="BD178" i="64"/>
  <c r="BE178" i="64"/>
  <c r="BA179" i="64"/>
  <c r="BB179" i="64"/>
  <c r="BC179" i="64"/>
  <c r="BD179" i="64"/>
  <c r="BE179" i="64"/>
  <c r="BA180" i="64"/>
  <c r="BB180" i="64"/>
  <c r="BC180" i="64"/>
  <c r="BD180" i="64"/>
  <c r="BE180" i="64"/>
  <c r="BA181" i="64"/>
  <c r="BB181" i="64"/>
  <c r="BC181" i="64"/>
  <c r="BD181" i="64"/>
  <c r="BE181" i="64"/>
  <c r="BA182" i="64"/>
  <c r="BB182" i="64"/>
  <c r="BC182" i="64"/>
  <c r="BD182" i="64"/>
  <c r="BE182" i="64"/>
  <c r="BA183" i="64"/>
  <c r="BB183" i="64"/>
  <c r="BC183" i="64"/>
  <c r="BD183" i="64"/>
  <c r="BE183" i="64"/>
  <c r="BA184" i="64"/>
  <c r="BB184" i="64"/>
  <c r="BC184" i="64"/>
  <c r="BD184" i="64"/>
  <c r="BE184" i="64"/>
  <c r="BA185" i="64"/>
  <c r="BB185" i="64"/>
  <c r="BC185" i="64"/>
  <c r="BD185" i="64"/>
  <c r="BE185" i="64"/>
  <c r="BA186" i="64"/>
  <c r="BB186" i="64"/>
  <c r="BC186" i="64"/>
  <c r="BD186" i="64"/>
  <c r="BE186" i="64"/>
  <c r="BA187" i="64"/>
  <c r="BB187" i="64"/>
  <c r="BC187" i="64"/>
  <c r="BD187" i="64"/>
  <c r="BE187" i="64"/>
  <c r="BA188" i="64"/>
  <c r="BB188" i="64"/>
  <c r="BC188" i="64"/>
  <c r="BD188" i="64"/>
  <c r="BE188" i="64"/>
  <c r="BA189" i="64"/>
  <c r="BB189" i="64"/>
  <c r="BC189" i="64"/>
  <c r="BD189" i="64"/>
  <c r="BE189" i="64"/>
  <c r="BA190" i="64"/>
  <c r="BB190" i="64"/>
  <c r="BC190" i="64"/>
  <c r="BD190" i="64"/>
  <c r="BE190" i="64"/>
  <c r="BA191" i="64"/>
  <c r="BB191" i="64"/>
  <c r="BC191" i="64"/>
  <c r="BD191" i="64"/>
  <c r="BE191" i="64"/>
  <c r="BA192" i="64"/>
  <c r="BB192" i="64"/>
  <c r="BC192" i="64"/>
  <c r="BD192" i="64"/>
  <c r="BE192" i="64"/>
  <c r="BA193" i="64"/>
  <c r="BB193" i="64"/>
  <c r="BC193" i="64"/>
  <c r="BD193" i="64"/>
  <c r="BE193" i="64"/>
  <c r="BA194" i="64"/>
  <c r="BB194" i="64"/>
  <c r="BC194" i="64"/>
  <c r="BD194" i="64"/>
  <c r="BE194" i="64"/>
  <c r="BA195" i="64"/>
  <c r="BB195" i="64"/>
  <c r="BC195" i="64"/>
  <c r="BD195" i="64"/>
  <c r="BE195" i="64"/>
  <c r="BA196" i="64"/>
  <c r="BB196" i="64"/>
  <c r="BC196" i="64"/>
  <c r="BD196" i="64"/>
  <c r="BE196" i="64"/>
  <c r="BA197" i="64"/>
  <c r="BB197" i="64"/>
  <c r="BC197" i="64"/>
  <c r="BD197" i="64"/>
  <c r="BE197" i="64"/>
  <c r="BA198" i="64"/>
  <c r="BB198" i="64"/>
  <c r="BC198" i="64"/>
  <c r="BD198" i="64"/>
  <c r="BE198" i="64"/>
  <c r="BA199" i="64"/>
  <c r="BB199" i="64"/>
  <c r="BC199" i="64"/>
  <c r="BD199" i="64"/>
  <c r="BE199" i="64"/>
  <c r="BA200" i="64"/>
  <c r="BB200" i="64"/>
  <c r="BC200" i="64"/>
  <c r="BD200" i="64"/>
  <c r="BE200" i="64"/>
  <c r="BA201" i="64"/>
  <c r="BB201" i="64"/>
  <c r="BC201" i="64"/>
  <c r="BD201" i="64"/>
  <c r="BE201" i="64"/>
  <c r="BA202" i="64"/>
  <c r="BB202" i="64"/>
  <c r="BC202" i="64"/>
  <c r="BD202" i="64"/>
  <c r="BE202" i="64"/>
  <c r="BA203" i="64"/>
  <c r="BB203" i="64"/>
  <c r="BC203" i="64"/>
  <c r="BD203" i="64"/>
  <c r="BE203" i="64"/>
  <c r="BA204" i="64"/>
  <c r="BB204" i="64"/>
  <c r="BC204" i="64"/>
  <c r="BD204" i="64"/>
  <c r="BE204" i="64"/>
  <c r="BA205" i="64"/>
  <c r="BB205" i="64"/>
  <c r="BC205" i="64"/>
  <c r="BD205" i="64"/>
  <c r="BE205" i="64"/>
  <c r="BA206" i="64"/>
  <c r="BB206" i="64"/>
  <c r="BC206" i="64"/>
  <c r="BD206" i="64"/>
  <c r="BE206" i="64"/>
  <c r="BA207" i="64"/>
  <c r="BB207" i="64"/>
  <c r="BC207" i="64"/>
  <c r="BD207" i="64"/>
  <c r="BE207" i="64"/>
  <c r="BA208" i="64"/>
  <c r="BB208" i="64"/>
  <c r="BC208" i="64"/>
  <c r="BD208" i="64"/>
  <c r="BE208" i="64"/>
  <c r="BA209" i="64"/>
  <c r="BB209" i="64"/>
  <c r="BC209" i="64"/>
  <c r="BD209" i="64"/>
  <c r="BE209" i="64"/>
  <c r="BA210" i="64"/>
  <c r="BB210" i="64"/>
  <c r="BC210" i="64"/>
  <c r="BD210" i="64"/>
  <c r="BE210" i="64"/>
  <c r="BA211" i="64"/>
  <c r="BB211" i="64"/>
  <c r="BC211" i="64"/>
  <c r="BD211" i="64"/>
  <c r="BE211" i="64"/>
  <c r="BA212" i="64"/>
  <c r="BB212" i="64"/>
  <c r="BC212" i="64"/>
  <c r="BD212" i="64"/>
  <c r="BE212" i="64"/>
  <c r="BA213" i="64"/>
  <c r="BB213" i="64"/>
  <c r="BC213" i="64"/>
  <c r="BD213" i="64"/>
  <c r="BE213" i="64"/>
  <c r="BA214" i="64"/>
  <c r="BB214" i="64"/>
  <c r="BC214" i="64"/>
  <c r="BD214" i="64"/>
  <c r="BE214" i="64"/>
  <c r="BA215" i="64"/>
  <c r="BB215" i="64"/>
  <c r="BC215" i="64"/>
  <c r="BD215" i="64"/>
  <c r="BE215" i="64"/>
  <c r="BA216" i="64"/>
  <c r="BB216" i="64"/>
  <c r="BC216" i="64"/>
  <c r="BD216" i="64"/>
  <c r="BE216" i="64"/>
  <c r="BA217" i="64"/>
  <c r="BB217" i="64"/>
  <c r="BC217" i="64"/>
  <c r="BD217" i="64"/>
  <c r="BE217" i="64"/>
  <c r="BA218" i="64"/>
  <c r="BB218" i="64"/>
  <c r="BC218" i="64"/>
  <c r="BD218" i="64"/>
  <c r="BE218" i="64"/>
  <c r="BA219" i="64"/>
  <c r="BB219" i="64"/>
  <c r="BC219" i="64"/>
  <c r="BD219" i="64"/>
  <c r="BE219" i="64"/>
  <c r="BA220" i="64"/>
  <c r="BB220" i="64"/>
  <c r="BC220" i="64"/>
  <c r="BD220" i="64"/>
  <c r="BE220" i="64"/>
  <c r="BA221" i="64"/>
  <c r="BB221" i="64"/>
  <c r="BC221" i="64"/>
  <c r="BD221" i="64"/>
  <c r="BE221" i="64"/>
  <c r="BA222" i="64"/>
  <c r="BB222" i="64"/>
  <c r="BC222" i="64"/>
  <c r="BD222" i="64"/>
  <c r="BE222" i="64"/>
  <c r="BA223" i="64"/>
  <c r="BB223" i="64"/>
  <c r="BC223" i="64"/>
  <c r="BD223" i="64"/>
  <c r="BE223" i="64"/>
  <c r="BA224" i="64"/>
  <c r="BB224" i="64"/>
  <c r="BC224" i="64"/>
  <c r="BD224" i="64"/>
  <c r="BE224" i="64"/>
  <c r="BA225" i="64"/>
  <c r="BB225" i="64"/>
  <c r="BC225" i="64"/>
  <c r="BD225" i="64"/>
  <c r="BE225" i="64"/>
  <c r="BA226" i="64"/>
  <c r="BB226" i="64"/>
  <c r="BC226" i="64"/>
  <c r="BD226" i="64"/>
  <c r="BE226" i="64"/>
  <c r="BA227" i="64"/>
  <c r="BB227" i="64"/>
  <c r="BC227" i="64"/>
  <c r="BD227" i="64"/>
  <c r="BE227" i="64"/>
  <c r="BA228" i="64"/>
  <c r="BB228" i="64"/>
  <c r="BC228" i="64"/>
  <c r="BD228" i="64"/>
  <c r="BE228" i="64"/>
  <c r="BA229" i="64"/>
  <c r="BB229" i="64"/>
  <c r="BC229" i="64"/>
  <c r="BD229" i="64"/>
  <c r="BE229" i="64"/>
  <c r="BA230" i="64"/>
  <c r="BB230" i="64"/>
  <c r="BC230" i="64"/>
  <c r="BD230" i="64"/>
  <c r="BE230" i="64"/>
  <c r="BA231" i="64"/>
  <c r="BB231" i="64"/>
  <c r="BC231" i="64"/>
  <c r="BD231" i="64"/>
  <c r="BE231" i="64"/>
  <c r="BA232" i="64"/>
  <c r="BB232" i="64"/>
  <c r="BC232" i="64"/>
  <c r="BD232" i="64"/>
  <c r="BE232" i="64"/>
  <c r="BA233" i="64"/>
  <c r="BB233" i="64"/>
  <c r="BC233" i="64"/>
  <c r="BD233" i="64"/>
  <c r="BE233" i="64"/>
  <c r="BA234" i="64"/>
  <c r="BB234" i="64"/>
  <c r="BC234" i="64"/>
  <c r="BD234" i="64"/>
  <c r="BE234" i="64"/>
  <c r="BA235" i="64"/>
  <c r="BB235" i="64"/>
  <c r="BC235" i="64"/>
  <c r="BD235" i="64"/>
  <c r="BE235" i="64"/>
  <c r="BA236" i="64"/>
  <c r="BB236" i="64"/>
  <c r="BC236" i="64"/>
  <c r="BD236" i="64"/>
  <c r="BE236" i="64"/>
  <c r="BA237" i="64"/>
  <c r="BB237" i="64"/>
  <c r="BC237" i="64"/>
  <c r="BD237" i="64"/>
  <c r="BE237" i="64"/>
  <c r="BA238" i="64"/>
  <c r="BB238" i="64"/>
  <c r="BC238" i="64"/>
  <c r="BD238" i="64"/>
  <c r="BE238" i="64"/>
  <c r="BA239" i="64"/>
  <c r="BB239" i="64"/>
  <c r="BC239" i="64"/>
  <c r="BD239" i="64"/>
  <c r="BE239" i="64"/>
  <c r="BA240" i="64"/>
  <c r="BB240" i="64"/>
  <c r="BC240" i="64"/>
  <c r="BD240" i="64"/>
  <c r="BE240" i="64"/>
  <c r="BA241" i="64"/>
  <c r="BB241" i="64"/>
  <c r="BC241" i="64"/>
  <c r="BD241" i="64"/>
  <c r="BE241" i="64"/>
  <c r="BA242" i="64"/>
  <c r="BB242" i="64"/>
  <c r="BC242" i="64"/>
  <c r="BD242" i="64"/>
  <c r="BE242" i="64"/>
  <c r="BA243" i="64"/>
  <c r="BB243" i="64"/>
  <c r="BC243" i="64"/>
  <c r="BD243" i="64"/>
  <c r="BE243" i="64"/>
  <c r="BA244" i="64"/>
  <c r="BB244" i="64"/>
  <c r="BC244" i="64"/>
  <c r="BD244" i="64"/>
  <c r="BE244" i="64"/>
  <c r="BA245" i="64"/>
  <c r="BB245" i="64"/>
  <c r="BC245" i="64"/>
  <c r="BD245" i="64"/>
  <c r="BE245" i="64"/>
  <c r="BA246" i="64"/>
  <c r="BB246" i="64"/>
  <c r="BC246" i="64"/>
  <c r="BD246" i="64"/>
  <c r="BE246" i="64"/>
  <c r="BA247" i="64"/>
  <c r="BB247" i="64"/>
  <c r="BC247" i="64"/>
  <c r="BD247" i="64"/>
  <c r="BE247" i="64"/>
  <c r="BA248" i="64"/>
  <c r="BB248" i="64"/>
  <c r="BC248" i="64"/>
  <c r="BD248" i="64"/>
  <c r="BE248" i="64"/>
  <c r="BA249" i="64"/>
  <c r="BB249" i="64"/>
  <c r="BC249" i="64"/>
  <c r="BD249" i="64"/>
  <c r="BE249" i="64"/>
  <c r="BA250" i="64"/>
  <c r="BB250" i="64"/>
  <c r="BC250" i="64"/>
  <c r="BD250" i="64"/>
  <c r="BE250" i="64"/>
  <c r="BA251" i="64"/>
  <c r="BB251" i="64"/>
  <c r="BC251" i="64"/>
  <c r="BD251" i="64"/>
  <c r="BE251" i="64"/>
  <c r="BA252" i="64"/>
  <c r="BB252" i="64"/>
  <c r="BC252" i="64"/>
  <c r="BD252" i="64"/>
  <c r="BE252" i="64"/>
  <c r="BA253" i="64"/>
  <c r="BB253" i="64"/>
  <c r="BC253" i="64"/>
  <c r="BD253" i="64"/>
  <c r="BE253" i="64"/>
  <c r="BA254" i="64"/>
  <c r="BB254" i="64"/>
  <c r="BC254" i="64"/>
  <c r="BD254" i="64"/>
  <c r="BE254" i="64"/>
  <c r="BA255" i="64"/>
  <c r="BB255" i="64"/>
  <c r="BC255" i="64"/>
  <c r="BD255" i="64"/>
  <c r="BE255" i="64"/>
  <c r="BA256" i="64"/>
  <c r="BB256" i="64"/>
  <c r="BC256" i="64"/>
  <c r="BD256" i="64"/>
  <c r="BE256" i="64"/>
  <c r="BA257" i="64"/>
  <c r="BB257" i="64"/>
  <c r="BC257" i="64"/>
  <c r="BD257" i="64"/>
  <c r="BE257" i="64"/>
  <c r="BA258" i="64"/>
  <c r="BB258" i="64"/>
  <c r="BC258" i="64"/>
  <c r="BD258" i="64"/>
  <c r="BE258" i="64"/>
  <c r="BA259" i="64"/>
  <c r="BB259" i="64"/>
  <c r="BC259" i="64"/>
  <c r="BD259" i="64"/>
  <c r="BE259" i="64"/>
  <c r="BA260" i="64"/>
  <c r="BB260" i="64"/>
  <c r="BC260" i="64"/>
  <c r="BD260" i="64"/>
  <c r="BE260" i="64"/>
  <c r="BA261" i="64"/>
  <c r="BB261" i="64"/>
  <c r="BC261" i="64"/>
  <c r="BD261" i="64"/>
  <c r="BE261" i="64"/>
  <c r="BA262" i="64"/>
  <c r="BB262" i="64"/>
  <c r="BC262" i="64"/>
  <c r="BD262" i="64"/>
  <c r="BE262" i="64"/>
  <c r="BA263" i="64"/>
  <c r="BB263" i="64"/>
  <c r="BC263" i="64"/>
  <c r="BD263" i="64"/>
  <c r="BE263" i="64"/>
  <c r="BA264" i="64"/>
  <c r="BB264" i="64"/>
  <c r="BC264" i="64"/>
  <c r="BD264" i="64"/>
  <c r="BE264" i="64"/>
  <c r="BA265" i="64"/>
  <c r="BB265" i="64"/>
  <c r="BC265" i="64"/>
  <c r="BD265" i="64"/>
  <c r="BE265" i="64"/>
  <c r="BA266" i="64"/>
  <c r="BB266" i="64"/>
  <c r="BC266" i="64"/>
  <c r="BD266" i="64"/>
  <c r="BE266" i="64"/>
  <c r="BA267" i="64"/>
  <c r="BB267" i="64"/>
  <c r="BC267" i="64"/>
  <c r="BD267" i="64"/>
  <c r="BE267" i="64"/>
  <c r="BA268" i="64"/>
  <c r="BB268" i="64"/>
  <c r="BC268" i="64"/>
  <c r="BD268" i="64"/>
  <c r="BE268" i="64"/>
  <c r="BA269" i="64"/>
  <c r="BB269" i="64"/>
  <c r="BC269" i="64"/>
  <c r="BD269" i="64"/>
  <c r="BE269" i="64"/>
  <c r="BA270" i="64"/>
  <c r="BB270" i="64"/>
  <c r="BC270" i="64"/>
  <c r="BD270" i="64"/>
  <c r="BE270" i="64"/>
  <c r="BA271" i="64"/>
  <c r="BB271" i="64"/>
  <c r="BC271" i="64"/>
  <c r="BD271" i="64"/>
  <c r="BE271" i="64"/>
  <c r="BA272" i="64"/>
  <c r="BB272" i="64"/>
  <c r="BC272" i="64"/>
  <c r="BD272" i="64"/>
  <c r="BE272" i="64"/>
  <c r="BA273" i="64"/>
  <c r="BB273" i="64"/>
  <c r="BC273" i="64"/>
  <c r="BD273" i="64"/>
  <c r="BE273" i="64"/>
  <c r="BA274" i="64"/>
  <c r="BB274" i="64"/>
  <c r="BC274" i="64"/>
  <c r="BD274" i="64"/>
  <c r="BE274" i="64"/>
  <c r="BA275" i="64"/>
  <c r="BB275" i="64"/>
  <c r="BC275" i="64"/>
  <c r="BD275" i="64"/>
  <c r="BE275" i="64"/>
  <c r="BA276" i="64"/>
  <c r="BB276" i="64"/>
  <c r="BC276" i="64"/>
  <c r="BD276" i="64"/>
  <c r="BE276" i="64"/>
  <c r="BA277" i="64"/>
  <c r="BB277" i="64"/>
  <c r="BC277" i="64"/>
  <c r="BD277" i="64"/>
  <c r="BE277" i="64"/>
  <c r="BA278" i="64"/>
  <c r="BB278" i="64"/>
  <c r="BC278" i="64"/>
  <c r="BD278" i="64"/>
  <c r="BE278" i="64"/>
  <c r="BA279" i="64"/>
  <c r="BB279" i="64"/>
  <c r="BC279" i="64"/>
  <c r="BD279" i="64"/>
  <c r="BE279" i="64"/>
  <c r="BA280" i="64"/>
  <c r="BB280" i="64"/>
  <c r="BC280" i="64"/>
  <c r="BD280" i="64"/>
  <c r="BE280" i="64"/>
  <c r="BA281" i="64"/>
  <c r="BB281" i="64"/>
  <c r="BC281" i="64"/>
  <c r="BD281" i="64"/>
  <c r="BE281" i="64"/>
  <c r="BA282" i="64"/>
  <c r="BB282" i="64"/>
  <c r="BC282" i="64"/>
  <c r="BD282" i="64"/>
  <c r="BE282" i="64"/>
  <c r="BA283" i="64"/>
  <c r="BB283" i="64"/>
  <c r="BC283" i="64"/>
  <c r="BD283" i="64"/>
  <c r="BE283" i="64"/>
  <c r="BA284" i="64"/>
  <c r="BB284" i="64"/>
  <c r="BC284" i="64"/>
  <c r="BD284" i="64"/>
  <c r="BE284" i="64"/>
  <c r="BA285" i="64"/>
  <c r="BB285" i="64"/>
  <c r="BC285" i="64"/>
  <c r="BD285" i="64"/>
  <c r="BE285" i="64"/>
  <c r="BA286" i="64"/>
  <c r="BB286" i="64"/>
  <c r="BC286" i="64"/>
  <c r="BD286" i="64"/>
  <c r="BE286" i="64"/>
  <c r="BA287" i="64"/>
  <c r="BB287" i="64"/>
  <c r="BC287" i="64"/>
  <c r="BD287" i="64"/>
  <c r="BE287" i="64"/>
  <c r="BA288" i="64"/>
  <c r="BB288" i="64"/>
  <c r="BC288" i="64"/>
  <c r="BD288" i="64"/>
  <c r="BE288" i="64"/>
  <c r="BA289" i="64"/>
  <c r="BB289" i="64"/>
  <c r="BC289" i="64"/>
  <c r="BD289" i="64"/>
  <c r="BE289" i="64"/>
  <c r="BA290" i="64"/>
  <c r="BB290" i="64"/>
  <c r="BC290" i="64"/>
  <c r="BD290" i="64"/>
  <c r="BE290" i="64"/>
  <c r="BA291" i="64"/>
  <c r="BB291" i="64"/>
  <c r="BC291" i="64"/>
  <c r="BD291" i="64"/>
  <c r="BE291" i="64"/>
  <c r="BA292" i="64"/>
  <c r="BB292" i="64"/>
  <c r="BC292" i="64"/>
  <c r="BD292" i="64"/>
  <c r="BE292" i="64"/>
  <c r="BA293" i="64"/>
  <c r="BB293" i="64"/>
  <c r="BC293" i="64"/>
  <c r="BD293" i="64"/>
  <c r="BE293" i="64"/>
  <c r="BA294" i="64"/>
  <c r="BB294" i="64"/>
  <c r="BC294" i="64"/>
  <c r="BD294" i="64"/>
  <c r="BE294" i="64"/>
  <c r="BA295" i="64"/>
  <c r="BB295" i="64"/>
  <c r="BC295" i="64"/>
  <c r="BD295" i="64"/>
  <c r="BE295" i="64"/>
  <c r="BA296" i="64"/>
  <c r="BB296" i="64"/>
  <c r="BC296" i="64"/>
  <c r="BD296" i="64"/>
  <c r="BE296" i="64"/>
  <c r="BA297" i="64"/>
  <c r="BB297" i="64"/>
  <c r="BC297" i="64"/>
  <c r="BD297" i="64"/>
  <c r="BE297" i="64"/>
  <c r="BA298" i="64"/>
  <c r="BB298" i="64"/>
  <c r="BC298" i="64"/>
  <c r="BD298" i="64"/>
  <c r="BE298" i="64"/>
  <c r="BA299" i="64"/>
  <c r="BB299" i="64"/>
  <c r="BC299" i="64"/>
  <c r="BD299" i="64"/>
  <c r="BE299" i="64"/>
  <c r="BA300" i="64"/>
  <c r="BB300" i="64"/>
  <c r="BC300" i="64"/>
  <c r="BD300" i="64"/>
  <c r="BE300" i="64"/>
  <c r="BA301" i="64"/>
  <c r="BB301" i="64"/>
  <c r="BC301" i="64"/>
  <c r="BD301" i="64"/>
  <c r="BE301" i="64"/>
  <c r="BA302" i="64"/>
  <c r="BB302" i="64"/>
  <c r="BC302" i="64"/>
  <c r="BD302" i="64"/>
  <c r="BE302" i="64"/>
  <c r="BA303" i="64"/>
  <c r="BB303" i="64"/>
  <c r="BC303" i="64"/>
  <c r="BD303" i="64"/>
  <c r="BE303" i="64"/>
  <c r="BA304" i="64"/>
  <c r="BB304" i="64"/>
  <c r="BC304" i="64"/>
  <c r="BD304" i="64"/>
  <c r="BE304" i="64"/>
  <c r="BA305" i="64"/>
  <c r="BB305" i="64"/>
  <c r="BC305" i="64"/>
  <c r="BD305" i="64"/>
  <c r="BE305" i="64"/>
  <c r="BA306" i="64"/>
  <c r="BB306" i="64"/>
  <c r="BC306" i="64"/>
  <c r="BD306" i="64"/>
  <c r="BE306" i="64"/>
  <c r="BA307" i="64"/>
  <c r="BB307" i="64"/>
  <c r="BC307" i="64"/>
  <c r="BD307" i="64"/>
  <c r="BE307" i="64"/>
  <c r="BA308" i="64"/>
  <c r="BB308" i="64"/>
  <c r="BC308" i="64"/>
  <c r="BD308" i="64"/>
  <c r="BE308" i="64"/>
  <c r="BA309" i="64"/>
  <c r="BB309" i="64"/>
  <c r="BC309" i="64"/>
  <c r="BD309" i="64"/>
  <c r="BE309" i="64"/>
  <c r="BA310" i="64"/>
  <c r="BB310" i="64"/>
  <c r="BC310" i="64"/>
  <c r="BD310" i="64"/>
  <c r="BE310" i="64"/>
  <c r="BA311" i="64"/>
  <c r="BB311" i="64"/>
  <c r="BC311" i="64"/>
  <c r="BD311" i="64"/>
  <c r="BE311" i="64"/>
  <c r="BA312" i="64"/>
  <c r="BB312" i="64"/>
  <c r="BC312" i="64"/>
  <c r="BD312" i="64"/>
  <c r="BE312" i="64"/>
  <c r="BA313" i="64"/>
  <c r="BB313" i="64"/>
  <c r="BC313" i="64"/>
  <c r="BD313" i="64"/>
  <c r="BE313" i="64"/>
  <c r="BA314" i="64"/>
  <c r="BB314" i="64"/>
  <c r="BC314" i="64"/>
  <c r="BD314" i="64"/>
  <c r="BE314" i="64"/>
  <c r="BA315" i="64"/>
  <c r="BB315" i="64"/>
  <c r="BC315" i="64"/>
  <c r="BD315" i="64"/>
  <c r="BE315" i="64"/>
  <c r="BA316" i="64"/>
  <c r="BB316" i="64"/>
  <c r="BC316" i="64"/>
  <c r="BD316" i="64"/>
  <c r="BE316" i="64"/>
  <c r="BA317" i="64"/>
  <c r="BB317" i="64"/>
  <c r="BC317" i="64"/>
  <c r="BD317" i="64"/>
  <c r="BE317" i="64"/>
  <c r="BA318" i="64"/>
  <c r="BB318" i="64"/>
  <c r="BC318" i="64"/>
  <c r="BD318" i="64"/>
  <c r="BE318" i="64"/>
  <c r="BA319" i="64"/>
  <c r="BB319" i="64"/>
  <c r="BC319" i="64"/>
  <c r="BD319" i="64"/>
  <c r="BE319" i="64"/>
  <c r="BA320" i="64"/>
  <c r="BB320" i="64"/>
  <c r="BC320" i="64"/>
  <c r="BD320" i="64"/>
  <c r="BE320" i="64"/>
  <c r="BA321" i="64"/>
  <c r="BB321" i="64"/>
  <c r="BC321" i="64"/>
  <c r="BD321" i="64"/>
  <c r="BE321" i="64"/>
  <c r="BA322" i="64"/>
  <c r="BB322" i="64"/>
  <c r="BC322" i="64"/>
  <c r="BD322" i="64"/>
  <c r="BE322" i="64"/>
  <c r="BA323" i="64"/>
  <c r="BB323" i="64"/>
  <c r="BC323" i="64"/>
  <c r="BD323" i="64"/>
  <c r="BE323" i="64"/>
  <c r="BA324" i="64"/>
  <c r="BB324" i="64"/>
  <c r="BC324" i="64"/>
  <c r="BD324" i="64"/>
  <c r="BE324" i="64"/>
  <c r="BA325" i="64"/>
  <c r="BB325" i="64"/>
  <c r="BC325" i="64"/>
  <c r="BD325" i="64"/>
  <c r="BE325" i="64"/>
  <c r="BA326" i="64"/>
  <c r="BB326" i="64"/>
  <c r="BC326" i="64"/>
  <c r="BD326" i="64"/>
  <c r="BE326" i="64"/>
  <c r="BA327" i="64"/>
  <c r="BB327" i="64"/>
  <c r="BC327" i="64"/>
  <c r="BD327" i="64"/>
  <c r="BE327" i="64"/>
  <c r="BA328" i="64"/>
  <c r="BB328" i="64"/>
  <c r="BC328" i="64"/>
  <c r="BD328" i="64"/>
  <c r="BE328" i="64"/>
  <c r="BA329" i="64"/>
  <c r="BB329" i="64"/>
  <c r="BC329" i="64"/>
  <c r="BD329" i="64"/>
  <c r="BE329" i="64"/>
  <c r="BA330" i="64"/>
  <c r="BB330" i="64"/>
  <c r="BC330" i="64"/>
  <c r="BD330" i="64"/>
  <c r="BE330" i="64"/>
  <c r="BA331" i="64"/>
  <c r="BB331" i="64"/>
  <c r="BC331" i="64"/>
  <c r="BD331" i="64"/>
  <c r="BE331" i="64"/>
  <c r="BA332" i="64"/>
  <c r="BB332" i="64"/>
  <c r="BC332" i="64"/>
  <c r="BD332" i="64"/>
  <c r="BE332" i="64"/>
  <c r="BA333" i="64"/>
  <c r="BB333" i="64"/>
  <c r="BC333" i="64"/>
  <c r="BD333" i="64"/>
  <c r="BE333" i="64"/>
  <c r="BA334" i="64"/>
  <c r="BB334" i="64"/>
  <c r="BC334" i="64"/>
  <c r="BD334" i="64"/>
  <c r="BE334" i="64"/>
  <c r="BA335" i="64"/>
  <c r="BB335" i="64"/>
  <c r="BC335" i="64"/>
  <c r="BD335" i="64"/>
  <c r="BE335" i="64"/>
  <c r="BA336" i="64"/>
  <c r="BB336" i="64"/>
  <c r="BC336" i="64"/>
  <c r="BD336" i="64"/>
  <c r="BE336" i="64"/>
  <c r="BA337" i="64"/>
  <c r="BB337" i="64"/>
  <c r="BC337" i="64"/>
  <c r="BD337" i="64"/>
  <c r="BE337" i="64"/>
  <c r="BA338" i="64"/>
  <c r="BB338" i="64"/>
  <c r="BC338" i="64"/>
  <c r="BD338" i="64"/>
  <c r="BE338" i="64"/>
  <c r="BA339" i="64"/>
  <c r="BB339" i="64"/>
  <c r="BC339" i="64"/>
  <c r="BD339" i="64"/>
  <c r="BE339" i="64"/>
  <c r="BA340" i="64"/>
  <c r="BB340" i="64"/>
  <c r="BC340" i="64"/>
  <c r="BD340" i="64"/>
  <c r="BE340" i="64"/>
  <c r="BA341" i="64"/>
  <c r="BB341" i="64"/>
  <c r="BC341" i="64"/>
  <c r="BD341" i="64"/>
  <c r="BE341" i="64"/>
  <c r="BA342" i="64"/>
  <c r="BB342" i="64"/>
  <c r="BC342" i="64"/>
  <c r="BD342" i="64"/>
  <c r="BE342" i="64"/>
  <c r="BA343" i="64"/>
  <c r="BB343" i="64"/>
  <c r="BC343" i="64"/>
  <c r="BD343" i="64"/>
  <c r="BE343" i="64"/>
  <c r="BA344" i="64"/>
  <c r="BB344" i="64"/>
  <c r="BC344" i="64"/>
  <c r="BD344" i="64"/>
  <c r="BE344" i="64"/>
  <c r="BA345" i="64"/>
  <c r="BB345" i="64"/>
  <c r="BC345" i="64"/>
  <c r="BD345" i="64"/>
  <c r="BE345" i="64"/>
  <c r="BA346" i="64"/>
  <c r="BB346" i="64"/>
  <c r="BC346" i="64"/>
  <c r="BD346" i="64"/>
  <c r="BE346" i="64"/>
  <c r="BA347" i="64"/>
  <c r="BB347" i="64"/>
  <c r="BC347" i="64"/>
  <c r="BD347" i="64"/>
  <c r="BE347" i="64"/>
  <c r="BA348" i="64"/>
  <c r="BB348" i="64"/>
  <c r="BC348" i="64"/>
  <c r="BD348" i="64"/>
  <c r="BE348" i="64"/>
  <c r="BA349" i="64"/>
  <c r="BB349" i="64"/>
  <c r="BC349" i="64"/>
  <c r="BD349" i="64"/>
  <c r="BE349" i="64"/>
  <c r="BA350" i="64"/>
  <c r="BB350" i="64"/>
  <c r="BC350" i="64"/>
  <c r="BD350" i="64"/>
  <c r="BE350" i="64"/>
  <c r="BA351" i="64"/>
  <c r="BB351" i="64"/>
  <c r="BC351" i="64"/>
  <c r="BD351" i="64"/>
  <c r="BE351" i="64"/>
  <c r="BA352" i="64"/>
  <c r="BB352" i="64"/>
  <c r="BC352" i="64"/>
  <c r="BD352" i="64"/>
  <c r="BE352" i="64"/>
  <c r="BA353" i="64"/>
  <c r="BB353" i="64"/>
  <c r="BC353" i="64"/>
  <c r="BD353" i="64"/>
  <c r="BE353" i="64"/>
  <c r="BA354" i="64"/>
  <c r="BB354" i="64"/>
  <c r="BC354" i="64"/>
  <c r="BD354" i="64"/>
  <c r="BE354" i="64"/>
  <c r="BA355" i="64"/>
  <c r="BB355" i="64"/>
  <c r="BC355" i="64"/>
  <c r="BD355" i="64"/>
  <c r="BE355" i="64"/>
  <c r="BA356" i="64"/>
  <c r="BB356" i="64"/>
  <c r="BC356" i="64"/>
  <c r="BD356" i="64"/>
  <c r="BE356" i="64"/>
  <c r="BA357" i="64"/>
  <c r="BB357" i="64"/>
  <c r="BC357" i="64"/>
  <c r="BD357" i="64"/>
  <c r="BE357" i="64"/>
  <c r="BA358" i="64"/>
  <c r="BB358" i="64"/>
  <c r="BC358" i="64"/>
  <c r="BD358" i="64"/>
  <c r="BE358" i="64"/>
  <c r="BA359" i="64"/>
  <c r="BB359" i="64"/>
  <c r="BC359" i="64"/>
  <c r="BD359" i="64"/>
  <c r="BE359" i="64"/>
  <c r="BA360" i="64"/>
  <c r="BB360" i="64"/>
  <c r="BC360" i="64"/>
  <c r="BD360" i="64"/>
  <c r="BE360" i="64"/>
  <c r="BA361" i="64"/>
  <c r="BB361" i="64"/>
  <c r="BC361" i="64"/>
  <c r="BD361" i="64"/>
  <c r="BE361" i="64"/>
  <c r="BA362" i="64"/>
  <c r="BB362" i="64"/>
  <c r="BC362" i="64"/>
  <c r="BD362" i="64"/>
  <c r="BE362" i="64"/>
  <c r="BA363" i="64"/>
  <c r="BB363" i="64"/>
  <c r="BC363" i="64"/>
  <c r="BD363" i="64"/>
  <c r="BE363" i="64"/>
  <c r="BE4" i="64"/>
  <c r="BD4" i="64"/>
  <c r="BC4" i="64"/>
  <c r="BB4" i="64"/>
  <c r="BA4" i="64"/>
  <c r="AT5" i="64"/>
  <c r="AU5" i="64"/>
  <c r="AV5" i="64"/>
  <c r="AW5" i="64"/>
  <c r="AX5" i="64"/>
  <c r="AT6" i="64"/>
  <c r="AU6" i="64"/>
  <c r="AV6" i="64"/>
  <c r="AW6" i="64"/>
  <c r="AX6" i="64"/>
  <c r="AT7" i="64"/>
  <c r="AU7" i="64"/>
  <c r="AV7" i="64"/>
  <c r="AW7" i="64"/>
  <c r="AX7" i="64"/>
  <c r="AT8" i="64"/>
  <c r="AU8" i="64"/>
  <c r="AV8" i="64"/>
  <c r="AW8" i="64"/>
  <c r="AX8" i="64"/>
  <c r="AT9" i="64"/>
  <c r="AU9" i="64"/>
  <c r="AV9" i="64"/>
  <c r="AW9" i="64"/>
  <c r="AX9" i="64"/>
  <c r="AT10" i="64"/>
  <c r="AU10" i="64"/>
  <c r="AV10" i="64"/>
  <c r="AW10" i="64"/>
  <c r="AX10" i="64"/>
  <c r="AT11" i="64"/>
  <c r="AU11" i="64"/>
  <c r="AV11" i="64"/>
  <c r="AW11" i="64"/>
  <c r="AX11" i="64"/>
  <c r="AT12" i="64"/>
  <c r="AU12" i="64"/>
  <c r="AV12" i="64"/>
  <c r="AW12" i="64"/>
  <c r="AX12" i="64"/>
  <c r="AT13" i="64"/>
  <c r="AU13" i="64"/>
  <c r="AV13" i="64"/>
  <c r="AW13" i="64"/>
  <c r="AX13" i="64"/>
  <c r="AT14" i="64"/>
  <c r="AU14" i="64"/>
  <c r="AV14" i="64"/>
  <c r="AW14" i="64"/>
  <c r="AX14" i="64"/>
  <c r="AT15" i="64"/>
  <c r="AU15" i="64"/>
  <c r="AV15" i="64"/>
  <c r="AW15" i="64"/>
  <c r="AX15" i="64"/>
  <c r="AT16" i="64"/>
  <c r="AU16" i="64"/>
  <c r="AV16" i="64"/>
  <c r="AW16" i="64"/>
  <c r="AX16" i="64"/>
  <c r="AT17" i="64"/>
  <c r="AU17" i="64"/>
  <c r="AV17" i="64"/>
  <c r="AW17" i="64"/>
  <c r="AX17" i="64"/>
  <c r="AT18" i="64"/>
  <c r="AU18" i="64"/>
  <c r="AV18" i="64"/>
  <c r="AW18" i="64"/>
  <c r="AX18" i="64"/>
  <c r="AT19" i="64"/>
  <c r="AU19" i="64"/>
  <c r="AV19" i="64"/>
  <c r="AW19" i="64"/>
  <c r="AX19" i="64"/>
  <c r="AT20" i="64"/>
  <c r="AU20" i="64"/>
  <c r="AV20" i="64"/>
  <c r="AW20" i="64"/>
  <c r="AX20" i="64"/>
  <c r="AT21" i="64"/>
  <c r="AU21" i="64"/>
  <c r="AV21" i="64"/>
  <c r="AW21" i="64"/>
  <c r="AX21" i="64"/>
  <c r="AT22" i="64"/>
  <c r="AU22" i="64"/>
  <c r="AV22" i="64"/>
  <c r="AW22" i="64"/>
  <c r="AX22" i="64"/>
  <c r="AT23" i="64"/>
  <c r="AU23" i="64"/>
  <c r="AV23" i="64"/>
  <c r="AW23" i="64"/>
  <c r="AX23" i="64"/>
  <c r="AT24" i="64"/>
  <c r="AU24" i="64"/>
  <c r="AV24" i="64"/>
  <c r="AW24" i="64"/>
  <c r="AX24" i="64"/>
  <c r="AT25" i="64"/>
  <c r="AU25" i="64"/>
  <c r="AV25" i="64"/>
  <c r="AW25" i="64"/>
  <c r="AX25" i="64"/>
  <c r="AT26" i="64"/>
  <c r="AU26" i="64"/>
  <c r="AV26" i="64"/>
  <c r="AW26" i="64"/>
  <c r="AX26" i="64"/>
  <c r="AT27" i="64"/>
  <c r="AU27" i="64"/>
  <c r="AV27" i="64"/>
  <c r="AW27" i="64"/>
  <c r="AX27" i="64"/>
  <c r="AT28" i="64"/>
  <c r="AU28" i="64"/>
  <c r="AV28" i="64"/>
  <c r="AW28" i="64"/>
  <c r="AX28" i="64"/>
  <c r="AT29" i="64"/>
  <c r="AU29" i="64"/>
  <c r="AV29" i="64"/>
  <c r="AW29" i="64"/>
  <c r="AX29" i="64"/>
  <c r="AT30" i="64"/>
  <c r="AU30" i="64"/>
  <c r="AV30" i="64"/>
  <c r="AW30" i="64"/>
  <c r="AX30" i="64"/>
  <c r="AT31" i="64"/>
  <c r="AU31" i="64"/>
  <c r="AV31" i="64"/>
  <c r="AW31" i="64"/>
  <c r="AX31" i="64"/>
  <c r="AT32" i="64"/>
  <c r="AU32" i="64"/>
  <c r="AV32" i="64"/>
  <c r="AW32" i="64"/>
  <c r="AX32" i="64"/>
  <c r="AT33" i="64"/>
  <c r="AU33" i="64"/>
  <c r="AV33" i="64"/>
  <c r="AW33" i="64"/>
  <c r="AX33" i="64"/>
  <c r="AT34" i="64"/>
  <c r="AU34" i="64"/>
  <c r="AV34" i="64"/>
  <c r="AW34" i="64"/>
  <c r="AX34" i="64"/>
  <c r="AT35" i="64"/>
  <c r="AU35" i="64"/>
  <c r="AV35" i="64"/>
  <c r="AW35" i="64"/>
  <c r="AX35" i="64"/>
  <c r="AT36" i="64"/>
  <c r="AU36" i="64"/>
  <c r="AV36" i="64"/>
  <c r="AW36" i="64"/>
  <c r="AX36" i="64"/>
  <c r="AT37" i="64"/>
  <c r="AU37" i="64"/>
  <c r="AV37" i="64"/>
  <c r="AW37" i="64"/>
  <c r="AX37" i="64"/>
  <c r="AT38" i="64"/>
  <c r="AU38" i="64"/>
  <c r="AV38" i="64"/>
  <c r="AW38" i="64"/>
  <c r="AX38" i="64"/>
  <c r="AT39" i="64"/>
  <c r="AU39" i="64"/>
  <c r="AV39" i="64"/>
  <c r="AW39" i="64"/>
  <c r="AX39" i="64"/>
  <c r="AT40" i="64"/>
  <c r="AU40" i="64"/>
  <c r="AV40" i="64"/>
  <c r="AW40" i="64"/>
  <c r="AX40" i="64"/>
  <c r="AT41" i="64"/>
  <c r="AU41" i="64"/>
  <c r="AV41" i="64"/>
  <c r="AW41" i="64"/>
  <c r="AX41" i="64"/>
  <c r="AT42" i="64"/>
  <c r="AU42" i="64"/>
  <c r="AV42" i="64"/>
  <c r="AW42" i="64"/>
  <c r="AX42" i="64"/>
  <c r="AT43" i="64"/>
  <c r="AU43" i="64"/>
  <c r="AV43" i="64"/>
  <c r="AW43" i="64"/>
  <c r="AX43" i="64"/>
  <c r="AT44" i="64"/>
  <c r="AU44" i="64"/>
  <c r="AV44" i="64"/>
  <c r="AW44" i="64"/>
  <c r="AX44" i="64"/>
  <c r="AT45" i="64"/>
  <c r="AU45" i="64"/>
  <c r="AV45" i="64"/>
  <c r="AW45" i="64"/>
  <c r="AX45" i="64"/>
  <c r="AT46" i="64"/>
  <c r="AU46" i="64"/>
  <c r="AV46" i="64"/>
  <c r="AW46" i="64"/>
  <c r="AX46" i="64"/>
  <c r="AT47" i="64"/>
  <c r="AU47" i="64"/>
  <c r="AV47" i="64"/>
  <c r="AW47" i="64"/>
  <c r="AX47" i="64"/>
  <c r="AT48" i="64"/>
  <c r="AU48" i="64"/>
  <c r="AV48" i="64"/>
  <c r="AW48" i="64"/>
  <c r="AX48" i="64"/>
  <c r="AT49" i="64"/>
  <c r="AU49" i="64"/>
  <c r="AV49" i="64"/>
  <c r="AW49" i="64"/>
  <c r="AX49" i="64"/>
  <c r="AT50" i="64"/>
  <c r="AU50" i="64"/>
  <c r="AV50" i="64"/>
  <c r="AW50" i="64"/>
  <c r="AX50" i="64"/>
  <c r="AT51" i="64"/>
  <c r="AU51" i="64"/>
  <c r="AV51" i="64"/>
  <c r="AW51" i="64"/>
  <c r="AX51" i="64"/>
  <c r="AT52" i="64"/>
  <c r="AU52" i="64"/>
  <c r="AV52" i="64"/>
  <c r="AW52" i="64"/>
  <c r="AX52" i="64"/>
  <c r="AT53" i="64"/>
  <c r="AU53" i="64"/>
  <c r="AV53" i="64"/>
  <c r="AW53" i="64"/>
  <c r="AX53" i="64"/>
  <c r="AX4" i="64"/>
  <c r="AW4" i="64"/>
  <c r="AV4" i="64"/>
  <c r="AU4" i="64"/>
  <c r="AT4" i="64"/>
  <c r="AM5" i="64"/>
  <c r="AN5" i="64"/>
  <c r="AO5" i="64"/>
  <c r="AP5" i="64"/>
  <c r="AQ5" i="64"/>
  <c r="AM6" i="64"/>
  <c r="AN6" i="64"/>
  <c r="AO6" i="64"/>
  <c r="AP6" i="64"/>
  <c r="AQ6" i="64"/>
  <c r="AM7" i="64"/>
  <c r="AN7" i="64"/>
  <c r="AO7" i="64"/>
  <c r="AP7" i="64"/>
  <c r="AQ7" i="64"/>
  <c r="AM8" i="64"/>
  <c r="AN8" i="64"/>
  <c r="AO8" i="64"/>
  <c r="AP8" i="64"/>
  <c r="AQ8" i="64"/>
  <c r="AM9" i="64"/>
  <c r="AN9" i="64"/>
  <c r="AO9" i="64"/>
  <c r="AP9" i="64"/>
  <c r="AQ9" i="64"/>
  <c r="AM10" i="64"/>
  <c r="AN10" i="64"/>
  <c r="AO10" i="64"/>
  <c r="AP10" i="64"/>
  <c r="AQ10" i="64"/>
  <c r="AM11" i="64"/>
  <c r="AN11" i="64"/>
  <c r="AO11" i="64"/>
  <c r="AP11" i="64"/>
  <c r="AQ11" i="64"/>
  <c r="AM12" i="64"/>
  <c r="AN12" i="64"/>
  <c r="AO12" i="64"/>
  <c r="AP12" i="64"/>
  <c r="AQ12" i="64"/>
  <c r="AM13" i="64"/>
  <c r="AN13" i="64"/>
  <c r="AO13" i="64"/>
  <c r="AP13" i="64"/>
  <c r="AQ13" i="64"/>
  <c r="AM14" i="64"/>
  <c r="AN14" i="64"/>
  <c r="AO14" i="64"/>
  <c r="AP14" i="64"/>
  <c r="AQ14" i="64"/>
  <c r="AM15" i="64"/>
  <c r="AN15" i="64"/>
  <c r="AO15" i="64"/>
  <c r="AP15" i="64"/>
  <c r="AQ15" i="64"/>
  <c r="AM16" i="64"/>
  <c r="AN16" i="64"/>
  <c r="AO16" i="64"/>
  <c r="AP16" i="64"/>
  <c r="AQ16" i="64"/>
  <c r="AM17" i="64"/>
  <c r="AN17" i="64"/>
  <c r="AO17" i="64"/>
  <c r="AP17" i="64"/>
  <c r="AQ17" i="64"/>
  <c r="AM18" i="64"/>
  <c r="AN18" i="64"/>
  <c r="AO18" i="64"/>
  <c r="AP18" i="64"/>
  <c r="AQ18" i="64"/>
  <c r="AM19" i="64"/>
  <c r="AN19" i="64"/>
  <c r="AO19" i="64"/>
  <c r="AP19" i="64"/>
  <c r="AQ19" i="64"/>
  <c r="AM20" i="64"/>
  <c r="AN20" i="64"/>
  <c r="AO20" i="64"/>
  <c r="AP20" i="64"/>
  <c r="AQ20" i="64"/>
  <c r="AM21" i="64"/>
  <c r="AN21" i="64"/>
  <c r="AO21" i="64"/>
  <c r="AP21" i="64"/>
  <c r="AQ21" i="64"/>
  <c r="AM22" i="64"/>
  <c r="AN22" i="64"/>
  <c r="AO22" i="64"/>
  <c r="AP22" i="64"/>
  <c r="AQ22" i="64"/>
  <c r="AM23" i="64"/>
  <c r="AN23" i="64"/>
  <c r="AO23" i="64"/>
  <c r="AP23" i="64"/>
  <c r="AQ23" i="64"/>
  <c r="AM24" i="64"/>
  <c r="AN24" i="64"/>
  <c r="AO24" i="64"/>
  <c r="AP24" i="64"/>
  <c r="AQ24" i="64"/>
  <c r="AM25" i="64"/>
  <c r="AN25" i="64"/>
  <c r="AO25" i="64"/>
  <c r="AP25" i="64"/>
  <c r="AQ25" i="64"/>
  <c r="AM26" i="64"/>
  <c r="AN26" i="64"/>
  <c r="AO26" i="64"/>
  <c r="AP26" i="64"/>
  <c r="AQ26" i="64"/>
  <c r="AM27" i="64"/>
  <c r="AN27" i="64"/>
  <c r="AO27" i="64"/>
  <c r="AP27" i="64"/>
  <c r="AQ27" i="64"/>
  <c r="AM28" i="64"/>
  <c r="AN28" i="64"/>
  <c r="AO28" i="64"/>
  <c r="AP28" i="64"/>
  <c r="AQ28" i="64"/>
  <c r="AM29" i="64"/>
  <c r="AN29" i="64"/>
  <c r="AO29" i="64"/>
  <c r="AP29" i="64"/>
  <c r="AQ29" i="64"/>
  <c r="AM30" i="64"/>
  <c r="AN30" i="64"/>
  <c r="AO30" i="64"/>
  <c r="AP30" i="64"/>
  <c r="AQ30" i="64"/>
  <c r="AM31" i="64"/>
  <c r="AN31" i="64"/>
  <c r="AO31" i="64"/>
  <c r="AP31" i="64"/>
  <c r="AQ31" i="64"/>
  <c r="AM32" i="64"/>
  <c r="AN32" i="64"/>
  <c r="AO32" i="64"/>
  <c r="AP32" i="64"/>
  <c r="AQ32" i="64"/>
  <c r="AM33" i="64"/>
  <c r="AN33" i="64"/>
  <c r="AO33" i="64"/>
  <c r="AP33" i="64"/>
  <c r="AQ33" i="64"/>
  <c r="AM34" i="64"/>
  <c r="AN34" i="64"/>
  <c r="AO34" i="64"/>
  <c r="AP34" i="64"/>
  <c r="AQ34" i="64"/>
  <c r="AM35" i="64"/>
  <c r="AN35" i="64"/>
  <c r="AO35" i="64"/>
  <c r="AP35" i="64"/>
  <c r="AQ35" i="64"/>
  <c r="AM36" i="64"/>
  <c r="AN36" i="64"/>
  <c r="AO36" i="64"/>
  <c r="AP36" i="64"/>
  <c r="AQ36" i="64"/>
  <c r="AM37" i="64"/>
  <c r="AN37" i="64"/>
  <c r="AO37" i="64"/>
  <c r="AP37" i="64"/>
  <c r="AQ37" i="64"/>
  <c r="AM38" i="64"/>
  <c r="AN38" i="64"/>
  <c r="AO38" i="64"/>
  <c r="AP38" i="64"/>
  <c r="AQ38" i="64"/>
  <c r="AM39" i="64"/>
  <c r="AN39" i="64"/>
  <c r="AO39" i="64"/>
  <c r="AP39" i="64"/>
  <c r="AQ39" i="64"/>
  <c r="AM40" i="64"/>
  <c r="AN40" i="64"/>
  <c r="AO40" i="64"/>
  <c r="AP40" i="64"/>
  <c r="AQ40" i="64"/>
  <c r="AM41" i="64"/>
  <c r="AN41" i="64"/>
  <c r="AO41" i="64"/>
  <c r="AP41" i="64"/>
  <c r="AQ41" i="64"/>
  <c r="AM42" i="64"/>
  <c r="AN42" i="64"/>
  <c r="AO42" i="64"/>
  <c r="AP42" i="64"/>
  <c r="AQ42" i="64"/>
  <c r="AM43" i="64"/>
  <c r="AN43" i="64"/>
  <c r="AO43" i="64"/>
  <c r="AP43" i="64"/>
  <c r="AQ43" i="64"/>
  <c r="AM44" i="64"/>
  <c r="AN44" i="64"/>
  <c r="AO44" i="64"/>
  <c r="AP44" i="64"/>
  <c r="AQ44" i="64"/>
  <c r="AM45" i="64"/>
  <c r="AN45" i="64"/>
  <c r="AO45" i="64"/>
  <c r="AP45" i="64"/>
  <c r="AQ45" i="64"/>
  <c r="AM46" i="64"/>
  <c r="AN46" i="64"/>
  <c r="AO46" i="64"/>
  <c r="AP46" i="64"/>
  <c r="AQ46" i="64"/>
  <c r="AM47" i="64"/>
  <c r="AN47" i="64"/>
  <c r="AO47" i="64"/>
  <c r="AP47" i="64"/>
  <c r="AQ47" i="64"/>
  <c r="AM48" i="64"/>
  <c r="AN48" i="64"/>
  <c r="AO48" i="64"/>
  <c r="AP48" i="64"/>
  <c r="AQ48" i="64"/>
  <c r="AM49" i="64"/>
  <c r="AN49" i="64"/>
  <c r="AO49" i="64"/>
  <c r="AP49" i="64"/>
  <c r="AQ49" i="64"/>
  <c r="AM50" i="64"/>
  <c r="AN50" i="64"/>
  <c r="AO50" i="64"/>
  <c r="AP50" i="64"/>
  <c r="AQ50" i="64"/>
  <c r="AM51" i="64"/>
  <c r="AN51" i="64"/>
  <c r="AO51" i="64"/>
  <c r="AP51" i="64"/>
  <c r="AQ51" i="64"/>
  <c r="AM52" i="64"/>
  <c r="AN52" i="64"/>
  <c r="AO52" i="64"/>
  <c r="AP52" i="64"/>
  <c r="AQ52" i="64"/>
  <c r="AM53" i="64"/>
  <c r="AN53" i="64"/>
  <c r="AO53" i="64"/>
  <c r="AP53" i="64"/>
  <c r="AQ53" i="64"/>
  <c r="AQ4" i="64"/>
  <c r="AP4" i="64"/>
  <c r="AO4" i="64"/>
  <c r="AN4" i="64"/>
  <c r="AM4" i="64"/>
  <c r="AD13" i="64"/>
  <c r="AE13" i="64"/>
  <c r="AF13" i="64"/>
  <c r="AG13" i="64"/>
  <c r="AH13" i="64"/>
  <c r="AD18" i="64"/>
  <c r="AE18" i="64"/>
  <c r="AF18" i="64"/>
  <c r="AG18" i="64"/>
  <c r="AH18" i="64"/>
  <c r="AD21" i="64"/>
  <c r="AE21" i="64"/>
  <c r="AF21" i="64"/>
  <c r="AG21" i="64"/>
  <c r="AH21" i="64"/>
  <c r="AD22" i="64"/>
  <c r="AE22" i="64"/>
  <c r="AF22" i="64"/>
  <c r="AG22" i="64"/>
  <c r="AH22" i="64"/>
  <c r="AD25" i="64"/>
  <c r="AE25" i="64"/>
  <c r="AF25" i="64"/>
  <c r="AG25" i="64"/>
  <c r="AH25" i="64"/>
  <c r="AD28" i="64"/>
  <c r="AE28" i="64"/>
  <c r="AF28" i="64"/>
  <c r="AG28" i="64"/>
  <c r="AH28" i="64"/>
  <c r="AD29" i="64"/>
  <c r="AE29" i="64"/>
  <c r="AF29" i="64"/>
  <c r="AG29" i="64"/>
  <c r="AH29" i="64"/>
  <c r="AD32" i="64"/>
  <c r="AE32" i="64"/>
  <c r="AF32" i="64"/>
  <c r="AG32" i="64"/>
  <c r="AH32" i="64"/>
  <c r="AD33" i="64"/>
  <c r="AE33" i="64"/>
  <c r="AF33" i="64"/>
  <c r="AG33" i="64"/>
  <c r="AH33" i="64"/>
  <c r="AD36" i="64"/>
  <c r="AE36" i="64"/>
  <c r="AF36" i="64"/>
  <c r="AG36" i="64"/>
  <c r="AH36" i="64"/>
  <c r="AD37" i="64"/>
  <c r="AE37" i="64"/>
  <c r="AF37" i="64"/>
  <c r="AG37" i="64"/>
  <c r="AH37" i="64"/>
  <c r="AD38" i="64"/>
  <c r="AE38" i="64"/>
  <c r="AF38" i="64"/>
  <c r="AG38" i="64"/>
  <c r="AH38" i="64"/>
  <c r="AD41" i="64"/>
  <c r="AE41" i="64"/>
  <c r="AF41" i="64"/>
  <c r="AG41" i="64"/>
  <c r="AH41" i="64"/>
  <c r="AD42" i="64"/>
  <c r="AE42" i="64"/>
  <c r="AF42" i="64"/>
  <c r="AG42" i="64"/>
  <c r="AH42" i="64"/>
  <c r="AD43" i="64"/>
  <c r="AE43" i="64"/>
  <c r="AF43" i="64"/>
  <c r="AG43" i="64"/>
  <c r="AH43" i="64"/>
  <c r="AD46" i="64"/>
  <c r="AE46" i="64"/>
  <c r="AF46" i="64"/>
  <c r="AG46" i="64"/>
  <c r="AH46" i="64"/>
  <c r="AD47" i="64"/>
  <c r="AE47" i="64"/>
  <c r="AF47" i="64"/>
  <c r="AG47" i="64"/>
  <c r="AH47" i="64"/>
  <c r="AD48" i="64"/>
  <c r="AE48" i="64"/>
  <c r="AF48" i="64"/>
  <c r="AG48" i="64"/>
  <c r="AH48" i="64"/>
  <c r="AD51" i="64"/>
  <c r="AE51" i="64"/>
  <c r="AF51" i="64"/>
  <c r="AG51" i="64"/>
  <c r="AH51" i="64"/>
  <c r="AD52" i="64"/>
  <c r="AE52" i="64"/>
  <c r="AF52" i="64"/>
  <c r="AG52" i="64"/>
  <c r="AH52" i="64"/>
  <c r="AD53" i="64"/>
  <c r="AE53" i="64"/>
  <c r="AF53" i="64"/>
  <c r="AG53" i="64"/>
  <c r="AH53" i="64"/>
  <c r="AD56" i="64"/>
  <c r="AE56" i="64"/>
  <c r="AF56" i="64"/>
  <c r="AG56" i="64"/>
  <c r="AH56" i="64"/>
  <c r="AD57" i="64"/>
  <c r="AE57" i="64"/>
  <c r="AF57" i="64"/>
  <c r="AG57" i="64"/>
  <c r="AH57" i="64"/>
  <c r="AD58" i="64"/>
  <c r="AE58" i="64"/>
  <c r="AF58" i="64"/>
  <c r="AG58" i="64"/>
  <c r="AH58" i="64"/>
  <c r="AD59" i="64"/>
  <c r="AE59" i="64"/>
  <c r="AF59" i="64"/>
  <c r="AG59" i="64"/>
  <c r="AH59" i="64"/>
  <c r="AD62" i="64"/>
  <c r="AE62" i="64"/>
  <c r="AF62" i="64"/>
  <c r="AG62" i="64"/>
  <c r="AH62" i="64"/>
  <c r="AD63" i="64"/>
  <c r="AE63" i="64"/>
  <c r="AF63" i="64"/>
  <c r="AG63" i="64"/>
  <c r="AH63" i="64"/>
  <c r="AD64" i="64"/>
  <c r="AE64" i="64"/>
  <c r="AF64" i="64"/>
  <c r="AG64" i="64"/>
  <c r="AH64" i="64"/>
  <c r="AD65" i="64"/>
  <c r="AE65" i="64"/>
  <c r="AF65" i="64"/>
  <c r="AG65" i="64"/>
  <c r="AH65" i="64"/>
  <c r="AD68" i="64"/>
  <c r="AE68" i="64"/>
  <c r="AF68" i="64"/>
  <c r="AG68" i="64"/>
  <c r="AH68" i="64"/>
  <c r="AD69" i="64"/>
  <c r="AE69" i="64"/>
  <c r="AF69" i="64"/>
  <c r="AG69" i="64"/>
  <c r="AH69" i="64"/>
  <c r="AD70" i="64"/>
  <c r="AE70" i="64"/>
  <c r="AF70" i="64"/>
  <c r="AG70" i="64"/>
  <c r="AH70" i="64"/>
  <c r="AD71" i="64"/>
  <c r="AE71" i="64"/>
  <c r="AF71" i="64"/>
  <c r="AG71" i="64"/>
  <c r="AH71" i="64"/>
  <c r="AD74" i="64"/>
  <c r="AE74" i="64"/>
  <c r="AF74" i="64"/>
  <c r="AG74" i="64"/>
  <c r="AH74" i="64"/>
  <c r="AD75" i="64"/>
  <c r="AE75" i="64"/>
  <c r="AF75" i="64"/>
  <c r="AG75" i="64"/>
  <c r="AH75" i="64"/>
  <c r="AD76" i="64"/>
  <c r="AE76" i="64"/>
  <c r="AF76" i="64"/>
  <c r="AG76" i="64"/>
  <c r="AH76" i="64"/>
  <c r="AD77" i="64"/>
  <c r="AE77" i="64"/>
  <c r="AF77" i="64"/>
  <c r="AG77" i="64"/>
  <c r="AH77" i="64"/>
  <c r="AD78" i="64"/>
  <c r="AE78" i="64"/>
  <c r="AF78" i="64"/>
  <c r="AG78" i="64"/>
  <c r="AH78" i="64"/>
  <c r="AD81" i="64"/>
  <c r="AE81" i="64"/>
  <c r="AF81" i="64"/>
  <c r="AG81" i="64"/>
  <c r="AH81" i="64"/>
  <c r="AD82" i="64"/>
  <c r="AE82" i="64"/>
  <c r="AF82" i="64"/>
  <c r="AG82" i="64"/>
  <c r="AH82" i="64"/>
  <c r="AD83" i="64"/>
  <c r="AE83" i="64"/>
  <c r="AF83" i="64"/>
  <c r="AG83" i="64"/>
  <c r="AH83" i="64"/>
  <c r="AD84" i="64"/>
  <c r="AE84" i="64"/>
  <c r="AF84" i="64"/>
  <c r="AG84" i="64"/>
  <c r="AH84" i="64"/>
  <c r="AD85" i="64"/>
  <c r="AE85" i="64"/>
  <c r="AF85" i="64"/>
  <c r="AG85" i="64"/>
  <c r="AH85" i="64"/>
  <c r="AD88" i="64"/>
  <c r="AE88" i="64"/>
  <c r="AF88" i="64"/>
  <c r="AG88" i="64"/>
  <c r="AH88" i="64"/>
  <c r="AD89" i="64"/>
  <c r="AE89" i="64"/>
  <c r="AF89" i="64"/>
  <c r="AG89" i="64"/>
  <c r="AH89" i="64"/>
  <c r="AD90" i="64"/>
  <c r="AE90" i="64"/>
  <c r="AF90" i="64"/>
  <c r="AG90" i="64"/>
  <c r="AH90" i="64"/>
  <c r="AD91" i="64"/>
  <c r="AE91" i="64"/>
  <c r="AF91" i="64"/>
  <c r="AG91" i="64"/>
  <c r="AH91" i="64"/>
  <c r="AD92" i="64"/>
  <c r="AE92" i="64"/>
  <c r="AF92" i="64"/>
  <c r="AG92" i="64"/>
  <c r="AH92" i="64"/>
  <c r="AD93" i="64"/>
  <c r="AE93" i="64"/>
  <c r="AF93" i="64"/>
  <c r="AG93" i="64"/>
  <c r="AH93" i="64"/>
  <c r="AD94" i="64"/>
  <c r="AE94" i="64"/>
  <c r="AF94" i="64"/>
  <c r="AG94" i="64"/>
  <c r="AH94" i="64"/>
  <c r="AD95" i="64"/>
  <c r="AE95" i="64"/>
  <c r="AF95" i="64"/>
  <c r="AG95" i="64"/>
  <c r="AH95" i="64"/>
  <c r="AD96" i="64"/>
  <c r="AE96" i="64"/>
  <c r="AF96" i="64"/>
  <c r="AG96" i="64"/>
  <c r="AH96" i="64"/>
  <c r="AD97" i="64"/>
  <c r="AE97" i="64"/>
  <c r="AF97" i="64"/>
  <c r="AG97" i="64"/>
  <c r="AH97" i="64"/>
  <c r="AD98" i="64"/>
  <c r="AE98" i="64"/>
  <c r="AF98" i="64"/>
  <c r="AG98" i="64"/>
  <c r="AH98" i="64"/>
  <c r="AD99" i="64"/>
  <c r="AE99" i="64"/>
  <c r="AF99" i="64"/>
  <c r="AG99" i="64"/>
  <c r="AH99" i="64"/>
  <c r="AD100" i="64"/>
  <c r="AE100" i="64"/>
  <c r="AF100" i="64"/>
  <c r="AG100" i="64"/>
  <c r="AH100" i="64"/>
  <c r="AD101" i="64"/>
  <c r="AE101" i="64"/>
  <c r="AF101" i="64"/>
  <c r="AG101" i="64"/>
  <c r="AH101" i="64"/>
  <c r="AD102" i="64"/>
  <c r="AE102" i="64"/>
  <c r="AF102" i="64"/>
  <c r="AG102" i="64"/>
  <c r="AH102" i="64"/>
  <c r="AD103" i="64"/>
  <c r="AE103" i="64"/>
  <c r="AF103" i="64"/>
  <c r="AG103" i="64"/>
  <c r="AH103" i="64"/>
  <c r="AD104" i="64"/>
  <c r="AE104" i="64"/>
  <c r="AF104" i="64"/>
  <c r="AG104" i="64"/>
  <c r="AH104" i="64"/>
  <c r="AD105" i="64"/>
  <c r="AE105" i="64"/>
  <c r="AF105" i="64"/>
  <c r="AG105" i="64"/>
  <c r="AH105" i="64"/>
  <c r="AD106" i="64"/>
  <c r="AE106" i="64"/>
  <c r="AF106" i="64"/>
  <c r="AG106" i="64"/>
  <c r="AH106" i="64"/>
  <c r="AD107" i="64"/>
  <c r="AE107" i="64"/>
  <c r="AF107" i="64"/>
  <c r="AG107" i="64"/>
  <c r="AH107" i="64"/>
  <c r="AD108" i="64"/>
  <c r="AE108" i="64"/>
  <c r="AF108" i="64"/>
  <c r="AG108" i="64"/>
  <c r="AH108" i="64"/>
  <c r="AD109" i="64"/>
  <c r="AE109" i="64"/>
  <c r="AF109" i="64"/>
  <c r="AG109" i="64"/>
  <c r="AH109" i="64"/>
  <c r="AD110" i="64"/>
  <c r="AE110" i="64"/>
  <c r="AF110" i="64"/>
  <c r="AG110" i="64"/>
  <c r="AH110" i="64"/>
  <c r="AD111" i="64"/>
  <c r="AE111" i="64"/>
  <c r="AF111" i="64"/>
  <c r="AG111" i="64"/>
  <c r="AH111" i="64"/>
  <c r="AD112" i="64"/>
  <c r="AE112" i="64"/>
  <c r="AF112" i="64"/>
  <c r="AG112" i="64"/>
  <c r="AH112" i="64"/>
  <c r="AD113" i="64"/>
  <c r="AE113" i="64"/>
  <c r="AF113" i="64"/>
  <c r="AG113" i="64"/>
  <c r="AH113" i="64"/>
  <c r="AD114" i="64"/>
  <c r="AE114" i="64"/>
  <c r="AF114" i="64"/>
  <c r="AG114" i="64"/>
  <c r="AH114" i="64"/>
  <c r="AD115" i="64"/>
  <c r="AE115" i="64"/>
  <c r="AF115" i="64"/>
  <c r="AG115" i="64"/>
  <c r="AH115" i="64"/>
  <c r="AD116" i="64"/>
  <c r="AE116" i="64"/>
  <c r="AF116" i="64"/>
  <c r="AG116" i="64"/>
  <c r="AH116" i="64"/>
  <c r="AD117" i="64"/>
  <c r="AE117" i="64"/>
  <c r="AF117" i="64"/>
  <c r="AG117" i="64"/>
  <c r="AH117" i="64"/>
  <c r="AD118" i="64"/>
  <c r="AE118" i="64"/>
  <c r="AF118" i="64"/>
  <c r="AG118" i="64"/>
  <c r="AH118" i="64"/>
  <c r="AD119" i="64"/>
  <c r="AE119" i="64"/>
  <c r="AF119" i="64"/>
  <c r="AG119" i="64"/>
  <c r="AH119" i="64"/>
  <c r="AD120" i="64"/>
  <c r="AE120" i="64"/>
  <c r="AF120" i="64"/>
  <c r="AG120" i="64"/>
  <c r="AH120" i="64"/>
  <c r="AD121" i="64"/>
  <c r="AE121" i="64"/>
  <c r="AF121" i="64"/>
  <c r="AG121" i="64"/>
  <c r="AH121" i="64"/>
  <c r="AD122" i="64"/>
  <c r="AE122" i="64"/>
  <c r="AF122" i="64"/>
  <c r="AG122" i="64"/>
  <c r="AH122" i="64"/>
  <c r="AD123" i="64"/>
  <c r="AE123" i="64"/>
  <c r="AF123" i="64"/>
  <c r="AG123" i="64"/>
  <c r="AH123" i="64"/>
  <c r="AD124" i="64"/>
  <c r="AE124" i="64"/>
  <c r="AF124" i="64"/>
  <c r="AG124" i="64"/>
  <c r="AH124" i="64"/>
  <c r="AD125" i="64"/>
  <c r="AE125" i="64"/>
  <c r="AF125" i="64"/>
  <c r="AG125" i="64"/>
  <c r="AH125" i="64"/>
  <c r="AD126" i="64"/>
  <c r="AE126" i="64"/>
  <c r="AF126" i="64"/>
  <c r="AG126" i="64"/>
  <c r="AH126" i="64"/>
  <c r="AD127" i="64"/>
  <c r="AE127" i="64"/>
  <c r="AF127" i="64"/>
  <c r="AG127" i="64"/>
  <c r="AH127" i="64"/>
  <c r="AD128" i="64"/>
  <c r="AE128" i="64"/>
  <c r="AF128" i="64"/>
  <c r="AG128" i="64"/>
  <c r="AH128" i="64"/>
  <c r="AD129" i="64"/>
  <c r="AE129" i="64"/>
  <c r="AF129" i="64"/>
  <c r="AG129" i="64"/>
  <c r="AH129" i="64"/>
  <c r="AD130" i="64"/>
  <c r="AE130" i="64"/>
  <c r="AF130" i="64"/>
  <c r="AG130" i="64"/>
  <c r="AH130" i="64"/>
  <c r="AD131" i="64"/>
  <c r="AE131" i="64"/>
  <c r="AF131" i="64"/>
  <c r="AG131" i="64"/>
  <c r="AH131" i="64"/>
  <c r="AD132" i="64"/>
  <c r="AE132" i="64"/>
  <c r="AF132" i="64"/>
  <c r="AG132" i="64"/>
  <c r="AH132" i="64"/>
  <c r="AD133" i="64"/>
  <c r="AE133" i="64"/>
  <c r="AF133" i="64"/>
  <c r="AG133" i="64"/>
  <c r="AH133" i="64"/>
  <c r="AD134" i="64"/>
  <c r="AE134" i="64"/>
  <c r="AF134" i="64"/>
  <c r="AG134" i="64"/>
  <c r="AH134" i="64"/>
  <c r="AD135" i="64"/>
  <c r="AE135" i="64"/>
  <c r="AF135" i="64"/>
  <c r="AG135" i="64"/>
  <c r="AH135" i="64"/>
  <c r="AD136" i="64"/>
  <c r="AE136" i="64"/>
  <c r="AF136" i="64"/>
  <c r="AG136" i="64"/>
  <c r="AH136" i="64"/>
  <c r="AD137" i="64"/>
  <c r="AE137" i="64"/>
  <c r="AF137" i="64"/>
  <c r="AG137" i="64"/>
  <c r="AH137" i="64"/>
  <c r="AD138" i="64"/>
  <c r="AE138" i="64"/>
  <c r="AF138" i="64"/>
  <c r="AG138" i="64"/>
  <c r="AH138" i="64"/>
  <c r="AD139" i="64"/>
  <c r="AE139" i="64"/>
  <c r="AF139" i="64"/>
  <c r="AG139" i="64"/>
  <c r="AH139" i="64"/>
  <c r="AD140" i="64"/>
  <c r="AE140" i="64"/>
  <c r="AF140" i="64"/>
  <c r="AG140" i="64"/>
  <c r="AH140" i="64"/>
  <c r="AD141" i="64"/>
  <c r="AE141" i="64"/>
  <c r="AF141" i="64"/>
  <c r="AG141" i="64"/>
  <c r="AH141" i="64"/>
  <c r="AD142" i="64"/>
  <c r="AE142" i="64"/>
  <c r="AF142" i="64"/>
  <c r="AG142" i="64"/>
  <c r="AH142" i="64"/>
  <c r="AD143" i="64"/>
  <c r="AE143" i="64"/>
  <c r="AF143" i="64"/>
  <c r="AG143" i="64"/>
  <c r="AH143" i="64"/>
  <c r="AD144" i="64"/>
  <c r="AE144" i="64"/>
  <c r="AF144" i="64"/>
  <c r="AG144" i="64"/>
  <c r="AH144" i="64"/>
  <c r="AD145" i="64"/>
  <c r="AE145" i="64"/>
  <c r="AF145" i="64"/>
  <c r="AG145" i="64"/>
  <c r="AH145" i="64"/>
  <c r="AD146" i="64"/>
  <c r="AE146" i="64"/>
  <c r="AF146" i="64"/>
  <c r="AG146" i="64"/>
  <c r="AH146" i="64"/>
  <c r="AD147" i="64"/>
  <c r="AE147" i="64"/>
  <c r="AF147" i="64"/>
  <c r="AG147" i="64"/>
  <c r="AH147" i="64"/>
  <c r="AD148" i="64"/>
  <c r="AE148" i="64"/>
  <c r="AF148" i="64"/>
  <c r="AG148" i="64"/>
  <c r="AH148" i="64"/>
  <c r="AD149" i="64"/>
  <c r="AE149" i="64"/>
  <c r="AF149" i="64"/>
  <c r="AG149" i="64"/>
  <c r="AH149" i="64"/>
  <c r="AD150" i="64"/>
  <c r="AE150" i="64"/>
  <c r="AF150" i="64"/>
  <c r="AG150" i="64"/>
  <c r="AH150" i="64"/>
  <c r="AD151" i="64"/>
  <c r="AE151" i="64"/>
  <c r="AF151" i="64"/>
  <c r="AG151" i="64"/>
  <c r="AH151" i="64"/>
  <c r="AD152" i="64"/>
  <c r="AE152" i="64"/>
  <c r="AF152" i="64"/>
  <c r="AG152" i="64"/>
  <c r="AH152" i="64"/>
  <c r="AD153" i="64"/>
  <c r="AE153" i="64"/>
  <c r="AF153" i="64"/>
  <c r="AG153" i="64"/>
  <c r="AH153" i="64"/>
  <c r="AD154" i="64"/>
  <c r="AE154" i="64"/>
  <c r="AF154" i="64"/>
  <c r="AG154" i="64"/>
  <c r="AH154" i="64"/>
  <c r="AD155" i="64"/>
  <c r="AE155" i="64"/>
  <c r="AF155" i="64"/>
  <c r="AG155" i="64"/>
  <c r="AH155" i="64"/>
  <c r="AD156" i="64"/>
  <c r="AE156" i="64"/>
  <c r="AF156" i="64"/>
  <c r="AG156" i="64"/>
  <c r="AH156" i="64"/>
  <c r="AD157" i="64"/>
  <c r="AE157" i="64"/>
  <c r="AF157" i="64"/>
  <c r="AG157" i="64"/>
  <c r="AH157" i="64"/>
  <c r="AD158" i="64"/>
  <c r="AE158" i="64"/>
  <c r="AF158" i="64"/>
  <c r="AG158" i="64"/>
  <c r="AH158" i="64"/>
  <c r="AD159" i="64"/>
  <c r="AE159" i="64"/>
  <c r="AF159" i="64"/>
  <c r="AG159" i="64"/>
  <c r="AH159" i="64"/>
  <c r="AD160" i="64"/>
  <c r="AE160" i="64"/>
  <c r="AF160" i="64"/>
  <c r="AG160" i="64"/>
  <c r="AH160" i="64"/>
  <c r="AD161" i="64"/>
  <c r="AE161" i="64"/>
  <c r="AF161" i="64"/>
  <c r="AG161" i="64"/>
  <c r="AH161" i="64"/>
  <c r="AD162" i="64"/>
  <c r="AE162" i="64"/>
  <c r="AF162" i="64"/>
  <c r="AG162" i="64"/>
  <c r="AH162" i="64"/>
  <c r="AD163" i="64"/>
  <c r="AE163" i="64"/>
  <c r="AF163" i="64"/>
  <c r="AG163" i="64"/>
  <c r="AH163" i="64"/>
  <c r="AD164" i="64"/>
  <c r="AE164" i="64"/>
  <c r="AF164" i="64"/>
  <c r="AG164" i="64"/>
  <c r="AH164" i="64"/>
  <c r="AD165" i="64"/>
  <c r="AE165" i="64"/>
  <c r="AF165" i="64"/>
  <c r="AG165" i="64"/>
  <c r="AH165" i="64"/>
  <c r="AD166" i="64"/>
  <c r="AE166" i="64"/>
  <c r="AF166" i="64"/>
  <c r="AG166" i="64"/>
  <c r="AH166" i="64"/>
  <c r="AD167" i="64"/>
  <c r="AE167" i="64"/>
  <c r="AF167" i="64"/>
  <c r="AG167" i="64"/>
  <c r="AH167" i="64"/>
  <c r="AD168" i="64"/>
  <c r="AE168" i="64"/>
  <c r="AF168" i="64"/>
  <c r="AG168" i="64"/>
  <c r="AH168" i="64"/>
  <c r="AD169" i="64"/>
  <c r="AE169" i="64"/>
  <c r="AF169" i="64"/>
  <c r="AG169" i="64"/>
  <c r="AH169" i="64"/>
  <c r="AD170" i="64"/>
  <c r="AE170" i="64"/>
  <c r="AF170" i="64"/>
  <c r="AG170" i="64"/>
  <c r="AH170" i="64"/>
  <c r="AD171" i="64"/>
  <c r="AE171" i="64"/>
  <c r="AF171" i="64"/>
  <c r="AG171" i="64"/>
  <c r="AH171" i="64"/>
  <c r="AD172" i="64"/>
  <c r="AE172" i="64"/>
  <c r="AF172" i="64"/>
  <c r="AG172" i="64"/>
  <c r="AH172" i="64"/>
  <c r="AD173" i="64"/>
  <c r="AE173" i="64"/>
  <c r="AF173" i="64"/>
  <c r="AG173" i="64"/>
  <c r="AH173" i="64"/>
  <c r="AD174" i="64"/>
  <c r="AE174" i="64"/>
  <c r="AF174" i="64"/>
  <c r="AG174" i="64"/>
  <c r="AH174" i="64"/>
  <c r="AD175" i="64"/>
  <c r="AE175" i="64"/>
  <c r="AF175" i="64"/>
  <c r="AG175" i="64"/>
  <c r="AH175" i="64"/>
  <c r="AD176" i="64"/>
  <c r="AE176" i="64"/>
  <c r="AF176" i="64"/>
  <c r="AG176" i="64"/>
  <c r="AH176" i="64"/>
  <c r="AD177" i="64"/>
  <c r="AE177" i="64"/>
  <c r="AF177" i="64"/>
  <c r="AG177" i="64"/>
  <c r="AH177" i="64"/>
  <c r="AD178" i="64"/>
  <c r="AE178" i="64"/>
  <c r="AF178" i="64"/>
  <c r="AG178" i="64"/>
  <c r="AH178" i="64"/>
  <c r="AD179" i="64"/>
  <c r="AE179" i="64"/>
  <c r="AF179" i="64"/>
  <c r="AG179" i="64"/>
  <c r="AH179" i="64"/>
  <c r="AD180" i="64"/>
  <c r="AE180" i="64"/>
  <c r="AF180" i="64"/>
  <c r="AG180" i="64"/>
  <c r="AH180" i="64"/>
  <c r="AD181" i="64"/>
  <c r="AE181" i="64"/>
  <c r="AF181" i="64"/>
  <c r="AG181" i="64"/>
  <c r="AH181" i="64"/>
  <c r="AD182" i="64"/>
  <c r="AE182" i="64"/>
  <c r="AF182" i="64"/>
  <c r="AG182" i="64"/>
  <c r="AH182" i="64"/>
  <c r="AD183" i="64"/>
  <c r="AE183" i="64"/>
  <c r="AF183" i="64"/>
  <c r="AG183" i="64"/>
  <c r="AH183" i="64"/>
  <c r="AD184" i="64"/>
  <c r="AE184" i="64"/>
  <c r="AF184" i="64"/>
  <c r="AG184" i="64"/>
  <c r="AH184" i="64"/>
  <c r="AD185" i="64"/>
  <c r="AE185" i="64"/>
  <c r="AF185" i="64"/>
  <c r="AG185" i="64"/>
  <c r="AH185" i="64"/>
  <c r="AD186" i="64"/>
  <c r="AE186" i="64"/>
  <c r="AF186" i="64"/>
  <c r="AG186" i="64"/>
  <c r="AH186" i="64"/>
  <c r="AD187" i="64"/>
  <c r="AE187" i="64"/>
  <c r="AF187" i="64"/>
  <c r="AG187" i="64"/>
  <c r="AH187" i="64"/>
  <c r="AD188" i="64"/>
  <c r="AE188" i="64"/>
  <c r="AF188" i="64"/>
  <c r="AG188" i="64"/>
  <c r="AH188" i="64"/>
  <c r="AD189" i="64"/>
  <c r="AE189" i="64"/>
  <c r="AF189" i="64"/>
  <c r="AG189" i="64"/>
  <c r="AH189" i="64"/>
  <c r="AD190" i="64"/>
  <c r="AE190" i="64"/>
  <c r="AF190" i="64"/>
  <c r="AG190" i="64"/>
  <c r="AH190" i="64"/>
  <c r="AD191" i="64"/>
  <c r="AE191" i="64"/>
  <c r="AF191" i="64"/>
  <c r="AG191" i="64"/>
  <c r="AH191" i="64"/>
  <c r="AD192" i="64"/>
  <c r="AE192" i="64"/>
  <c r="AF192" i="64"/>
  <c r="AG192" i="64"/>
  <c r="AH192" i="64"/>
  <c r="AD193" i="64"/>
  <c r="AE193" i="64"/>
  <c r="AF193" i="64"/>
  <c r="AG193" i="64"/>
  <c r="AH193" i="64"/>
  <c r="AD194" i="64"/>
  <c r="AE194" i="64"/>
  <c r="AF194" i="64"/>
  <c r="AG194" i="64"/>
  <c r="AH194" i="64"/>
  <c r="AD195" i="64"/>
  <c r="AE195" i="64"/>
  <c r="AF195" i="64"/>
  <c r="AG195" i="64"/>
  <c r="AH195" i="64"/>
  <c r="AD196" i="64"/>
  <c r="AE196" i="64"/>
  <c r="AF196" i="64"/>
  <c r="AG196" i="64"/>
  <c r="AH196" i="64"/>
  <c r="AD197" i="64"/>
  <c r="AE197" i="64"/>
  <c r="AF197" i="64"/>
  <c r="AG197" i="64"/>
  <c r="AH197" i="64"/>
  <c r="AD198" i="64"/>
  <c r="AE198" i="64"/>
  <c r="AF198" i="64"/>
  <c r="AG198" i="64"/>
  <c r="AH198" i="64"/>
  <c r="AD199" i="64"/>
  <c r="AE199" i="64"/>
  <c r="AF199" i="64"/>
  <c r="AG199" i="64"/>
  <c r="AH199" i="64"/>
  <c r="AD200" i="64"/>
  <c r="AE200" i="64"/>
  <c r="AF200" i="64"/>
  <c r="AG200" i="64"/>
  <c r="AH200" i="64"/>
  <c r="AD201" i="64"/>
  <c r="AE201" i="64"/>
  <c r="AF201" i="64"/>
  <c r="AG201" i="64"/>
  <c r="AH201" i="64"/>
  <c r="AD202" i="64"/>
  <c r="AE202" i="64"/>
  <c r="AF202" i="64"/>
  <c r="AG202" i="64"/>
  <c r="AH202" i="64"/>
  <c r="AD203" i="64"/>
  <c r="AE203" i="64"/>
  <c r="AF203" i="64"/>
  <c r="AG203" i="64"/>
  <c r="AH203" i="64"/>
  <c r="AD204" i="64"/>
  <c r="AE204" i="64"/>
  <c r="AF204" i="64"/>
  <c r="AG204" i="64"/>
  <c r="AH204" i="64"/>
  <c r="AD205" i="64"/>
  <c r="AE205" i="64"/>
  <c r="AF205" i="64"/>
  <c r="AG205" i="64"/>
  <c r="AH205" i="64"/>
  <c r="AD206" i="64"/>
  <c r="AE206" i="64"/>
  <c r="AF206" i="64"/>
  <c r="AG206" i="64"/>
  <c r="AH206" i="64"/>
  <c r="AD207" i="64"/>
  <c r="AE207" i="64"/>
  <c r="AF207" i="64"/>
  <c r="AG207" i="64"/>
  <c r="AH207" i="64"/>
  <c r="AD208" i="64"/>
  <c r="AE208" i="64"/>
  <c r="AF208" i="64"/>
  <c r="AG208" i="64"/>
  <c r="AH208" i="64"/>
  <c r="AD209" i="64"/>
  <c r="AE209" i="64"/>
  <c r="AF209" i="64"/>
  <c r="AG209" i="64"/>
  <c r="AH209" i="64"/>
  <c r="AD210" i="64"/>
  <c r="AE210" i="64"/>
  <c r="AF210" i="64"/>
  <c r="AG210" i="64"/>
  <c r="AH210" i="64"/>
  <c r="AD211" i="64"/>
  <c r="AE211" i="64"/>
  <c r="AF211" i="64"/>
  <c r="AG211" i="64"/>
  <c r="AH211" i="64"/>
  <c r="AD212" i="64"/>
  <c r="AE212" i="64"/>
  <c r="AF212" i="64"/>
  <c r="AG212" i="64"/>
  <c r="AH212" i="64"/>
  <c r="AD213" i="64"/>
  <c r="AE213" i="64"/>
  <c r="AF213" i="64"/>
  <c r="AG213" i="64"/>
  <c r="AH213" i="64"/>
  <c r="AD214" i="64"/>
  <c r="AE214" i="64"/>
  <c r="AF214" i="64"/>
  <c r="AG214" i="64"/>
  <c r="AH214" i="64"/>
  <c r="AD215" i="64"/>
  <c r="AE215" i="64"/>
  <c r="AF215" i="64"/>
  <c r="AG215" i="64"/>
  <c r="AH215" i="64"/>
  <c r="AD216" i="64"/>
  <c r="AE216" i="64"/>
  <c r="AF216" i="64"/>
  <c r="AG216" i="64"/>
  <c r="AH216" i="64"/>
  <c r="AD217" i="64"/>
  <c r="AE217" i="64"/>
  <c r="AF217" i="64"/>
  <c r="AG217" i="64"/>
  <c r="AH217" i="64"/>
  <c r="AD218" i="64"/>
  <c r="AE218" i="64"/>
  <c r="AF218" i="64"/>
  <c r="AG218" i="64"/>
  <c r="AH218" i="64"/>
  <c r="AD219" i="64"/>
  <c r="AE219" i="64"/>
  <c r="AF219" i="64"/>
  <c r="AG219" i="64"/>
  <c r="AH219" i="64"/>
  <c r="AD220" i="64"/>
  <c r="AE220" i="64"/>
  <c r="AF220" i="64"/>
  <c r="AG220" i="64"/>
  <c r="AH220" i="64"/>
  <c r="AD221" i="64"/>
  <c r="AE221" i="64"/>
  <c r="AF221" i="64"/>
  <c r="AG221" i="64"/>
  <c r="AH221" i="64"/>
  <c r="AD222" i="64"/>
  <c r="AE222" i="64"/>
  <c r="AF222" i="64"/>
  <c r="AG222" i="64"/>
  <c r="AH222" i="64"/>
  <c r="AD223" i="64"/>
  <c r="AE223" i="64"/>
  <c r="AF223" i="64"/>
  <c r="AG223" i="64"/>
  <c r="AH223" i="64"/>
  <c r="AD224" i="64"/>
  <c r="AE224" i="64"/>
  <c r="AF224" i="64"/>
  <c r="AG224" i="64"/>
  <c r="AH224" i="64"/>
  <c r="AD225" i="64"/>
  <c r="AE225" i="64"/>
  <c r="AF225" i="64"/>
  <c r="AG225" i="64"/>
  <c r="AH225" i="64"/>
  <c r="AD226" i="64"/>
  <c r="AE226" i="64"/>
  <c r="AF226" i="64"/>
  <c r="AG226" i="64"/>
  <c r="AH226" i="64"/>
  <c r="AD227" i="64"/>
  <c r="AE227" i="64"/>
  <c r="AF227" i="64"/>
  <c r="AG227" i="64"/>
  <c r="AH227" i="64"/>
  <c r="AD228" i="64"/>
  <c r="AE228" i="64"/>
  <c r="AF228" i="64"/>
  <c r="AG228" i="64"/>
  <c r="AH228" i="64"/>
  <c r="AD229" i="64"/>
  <c r="AE229" i="64"/>
  <c r="AF229" i="64"/>
  <c r="AG229" i="64"/>
  <c r="AH229" i="64"/>
  <c r="AD230" i="64"/>
  <c r="AE230" i="64"/>
  <c r="AF230" i="64"/>
  <c r="AG230" i="64"/>
  <c r="AH230" i="64"/>
  <c r="AD231" i="64"/>
  <c r="AE231" i="64"/>
  <c r="AF231" i="64"/>
  <c r="AG231" i="64"/>
  <c r="AH231" i="64"/>
  <c r="AD232" i="64"/>
  <c r="AE232" i="64"/>
  <c r="AF232" i="64"/>
  <c r="AG232" i="64"/>
  <c r="AH232" i="64"/>
  <c r="AD233" i="64"/>
  <c r="AE233" i="64"/>
  <c r="AF233" i="64"/>
  <c r="AG233" i="64"/>
  <c r="AH233" i="64"/>
  <c r="AD234" i="64"/>
  <c r="AE234" i="64"/>
  <c r="AF234" i="64"/>
  <c r="AG234" i="64"/>
  <c r="AH234" i="64"/>
  <c r="AD235" i="64"/>
  <c r="AE235" i="64"/>
  <c r="AF235" i="64"/>
  <c r="AG235" i="64"/>
  <c r="AH235" i="64"/>
  <c r="AD236" i="64"/>
  <c r="AE236" i="64"/>
  <c r="AF236" i="64"/>
  <c r="AG236" i="64"/>
  <c r="AH236" i="64"/>
  <c r="AD237" i="64"/>
  <c r="AE237" i="64"/>
  <c r="AF237" i="64"/>
  <c r="AG237" i="64"/>
  <c r="AH237" i="64"/>
  <c r="AD238" i="64"/>
  <c r="AE238" i="64"/>
  <c r="AF238" i="64"/>
  <c r="AG238" i="64"/>
  <c r="AH238" i="64"/>
  <c r="AD239" i="64"/>
  <c r="AE239" i="64"/>
  <c r="AF239" i="64"/>
  <c r="AG239" i="64"/>
  <c r="AH239" i="64"/>
  <c r="AD240" i="64"/>
  <c r="AE240" i="64"/>
  <c r="AF240" i="64"/>
  <c r="AG240" i="64"/>
  <c r="AH240" i="64"/>
  <c r="AD241" i="64"/>
  <c r="AE241" i="64"/>
  <c r="AF241" i="64"/>
  <c r="AG241" i="64"/>
  <c r="AH241" i="64"/>
  <c r="AD242" i="64"/>
  <c r="AE242" i="64"/>
  <c r="AF242" i="64"/>
  <c r="AG242" i="64"/>
  <c r="AH242" i="64"/>
  <c r="AD243" i="64"/>
  <c r="AE243" i="64"/>
  <c r="AF243" i="64"/>
  <c r="AG243" i="64"/>
  <c r="AH243" i="64"/>
  <c r="AD244" i="64"/>
  <c r="AE244" i="64"/>
  <c r="AF244" i="64"/>
  <c r="AG244" i="64"/>
  <c r="AH244" i="64"/>
  <c r="AD245" i="64"/>
  <c r="AE245" i="64"/>
  <c r="AF245" i="64"/>
  <c r="AG245" i="64"/>
  <c r="AH245" i="64"/>
  <c r="AD246" i="64"/>
  <c r="AE246" i="64"/>
  <c r="AF246" i="64"/>
  <c r="AG246" i="64"/>
  <c r="AH246" i="64"/>
  <c r="AD247" i="64"/>
  <c r="AE247" i="64"/>
  <c r="AF247" i="64"/>
  <c r="AG247" i="64"/>
  <c r="AH247" i="64"/>
  <c r="AD248" i="64"/>
  <c r="AE248" i="64"/>
  <c r="AF248" i="64"/>
  <c r="AG248" i="64"/>
  <c r="AH248" i="64"/>
  <c r="AD249" i="64"/>
  <c r="AE249" i="64"/>
  <c r="AF249" i="64"/>
  <c r="AG249" i="64"/>
  <c r="AH249" i="64"/>
  <c r="AD250" i="64"/>
  <c r="AE250" i="64"/>
  <c r="AF250" i="64"/>
  <c r="AG250" i="64"/>
  <c r="AH250" i="64"/>
  <c r="AD251" i="64"/>
  <c r="AE251" i="64"/>
  <c r="AF251" i="64"/>
  <c r="AG251" i="64"/>
  <c r="AH251" i="64"/>
  <c r="AD252" i="64"/>
  <c r="AE252" i="64"/>
  <c r="AF252" i="64"/>
  <c r="AG252" i="64"/>
  <c r="AH252" i="64"/>
  <c r="AD253" i="64"/>
  <c r="AE253" i="64"/>
  <c r="AF253" i="64"/>
  <c r="AG253" i="64"/>
  <c r="AH253" i="64"/>
  <c r="AD254" i="64"/>
  <c r="AE254" i="64"/>
  <c r="AF254" i="64"/>
  <c r="AG254" i="64"/>
  <c r="AH254" i="64"/>
  <c r="AD255" i="64"/>
  <c r="AE255" i="64"/>
  <c r="AF255" i="64"/>
  <c r="AG255" i="64"/>
  <c r="AH255" i="64"/>
  <c r="AD256" i="64"/>
  <c r="AE256" i="64"/>
  <c r="AF256" i="64"/>
  <c r="AG256" i="64"/>
  <c r="AH256" i="64"/>
  <c r="AD257" i="64"/>
  <c r="AE257" i="64"/>
  <c r="AF257" i="64"/>
  <c r="AG257" i="64"/>
  <c r="AH257" i="64"/>
  <c r="AD258" i="64"/>
  <c r="AE258" i="64"/>
  <c r="AF258" i="64"/>
  <c r="AG258" i="64"/>
  <c r="AH258" i="64"/>
  <c r="AD259" i="64"/>
  <c r="AE259" i="64"/>
  <c r="AF259" i="64"/>
  <c r="AG259" i="64"/>
  <c r="AH259" i="64"/>
  <c r="AD260" i="64"/>
  <c r="AE260" i="64"/>
  <c r="AF260" i="64"/>
  <c r="AG260" i="64"/>
  <c r="AH260" i="64"/>
  <c r="AD261" i="64"/>
  <c r="AE261" i="64"/>
  <c r="AF261" i="64"/>
  <c r="AG261" i="64"/>
  <c r="AH261" i="64"/>
  <c r="AD262" i="64"/>
  <c r="AE262" i="64"/>
  <c r="AF262" i="64"/>
  <c r="AG262" i="64"/>
  <c r="AH262" i="64"/>
  <c r="AD263" i="64"/>
  <c r="AE263" i="64"/>
  <c r="AF263" i="64"/>
  <c r="AG263" i="64"/>
  <c r="AH263" i="64"/>
  <c r="AD264" i="64"/>
  <c r="AE264" i="64"/>
  <c r="AF264" i="64"/>
  <c r="AG264" i="64"/>
  <c r="AH264" i="64"/>
  <c r="AD265" i="64"/>
  <c r="AE265" i="64"/>
  <c r="AF265" i="64"/>
  <c r="AG265" i="64"/>
  <c r="AH265" i="64"/>
  <c r="AD266" i="64"/>
  <c r="AE266" i="64"/>
  <c r="AF266" i="64"/>
  <c r="AG266" i="64"/>
  <c r="AH266" i="64"/>
  <c r="AD267" i="64"/>
  <c r="AE267" i="64"/>
  <c r="AF267" i="64"/>
  <c r="AG267" i="64"/>
  <c r="AH267" i="64"/>
  <c r="AD268" i="64"/>
  <c r="AE268" i="64"/>
  <c r="AF268" i="64"/>
  <c r="AG268" i="64"/>
  <c r="AH268" i="64"/>
  <c r="AD269" i="64"/>
  <c r="AE269" i="64"/>
  <c r="AF269" i="64"/>
  <c r="AG269" i="64"/>
  <c r="AH269" i="64"/>
  <c r="AD270" i="64"/>
  <c r="AE270" i="64"/>
  <c r="AF270" i="64"/>
  <c r="AG270" i="64"/>
  <c r="AH270" i="64"/>
  <c r="AD271" i="64"/>
  <c r="AE271" i="64"/>
  <c r="AF271" i="64"/>
  <c r="AG271" i="64"/>
  <c r="AH271" i="64"/>
  <c r="AD272" i="64"/>
  <c r="AE272" i="64"/>
  <c r="AF272" i="64"/>
  <c r="AG272" i="64"/>
  <c r="AH272" i="64"/>
  <c r="AD273" i="64"/>
  <c r="AE273" i="64"/>
  <c r="AF273" i="64"/>
  <c r="AG273" i="64"/>
  <c r="AH273" i="64"/>
  <c r="AD274" i="64"/>
  <c r="AE274" i="64"/>
  <c r="AF274" i="64"/>
  <c r="AG274" i="64"/>
  <c r="AH274" i="64"/>
  <c r="AD275" i="64"/>
  <c r="AE275" i="64"/>
  <c r="AF275" i="64"/>
  <c r="AG275" i="64"/>
  <c r="AH275" i="64"/>
  <c r="AD276" i="64"/>
  <c r="AE276" i="64"/>
  <c r="AF276" i="64"/>
  <c r="AG276" i="64"/>
  <c r="AH276" i="64"/>
  <c r="AD277" i="64"/>
  <c r="AE277" i="64"/>
  <c r="AF277" i="64"/>
  <c r="AG277" i="64"/>
  <c r="AH277" i="64"/>
  <c r="AD278" i="64"/>
  <c r="AE278" i="64"/>
  <c r="AF278" i="64"/>
  <c r="AG278" i="64"/>
  <c r="AH278" i="64"/>
  <c r="AD279" i="64"/>
  <c r="AE279" i="64"/>
  <c r="AF279" i="64"/>
  <c r="AG279" i="64"/>
  <c r="AH279" i="64"/>
  <c r="AD280" i="64"/>
  <c r="AE280" i="64"/>
  <c r="AF280" i="64"/>
  <c r="AG280" i="64"/>
  <c r="AH280" i="64"/>
  <c r="AD281" i="64"/>
  <c r="AE281" i="64"/>
  <c r="AF281" i="64"/>
  <c r="AG281" i="64"/>
  <c r="AH281" i="64"/>
  <c r="AD282" i="64"/>
  <c r="AE282" i="64"/>
  <c r="AF282" i="64"/>
  <c r="AG282" i="64"/>
  <c r="AH282" i="64"/>
  <c r="AD283" i="64"/>
  <c r="AE283" i="64"/>
  <c r="AF283" i="64"/>
  <c r="AG283" i="64"/>
  <c r="AH283" i="64"/>
  <c r="AD284" i="64"/>
  <c r="AE284" i="64"/>
  <c r="AF284" i="64"/>
  <c r="AG284" i="64"/>
  <c r="AH284" i="64"/>
  <c r="AD285" i="64"/>
  <c r="AE285" i="64"/>
  <c r="AF285" i="64"/>
  <c r="AG285" i="64"/>
  <c r="AH285" i="64"/>
  <c r="AD286" i="64"/>
  <c r="AE286" i="64"/>
  <c r="AF286" i="64"/>
  <c r="AG286" i="64"/>
  <c r="AH286" i="64"/>
  <c r="AD287" i="64"/>
  <c r="AE287" i="64"/>
  <c r="AF287" i="64"/>
  <c r="AG287" i="64"/>
  <c r="AH287" i="64"/>
  <c r="AD288" i="64"/>
  <c r="AE288" i="64"/>
  <c r="AF288" i="64"/>
  <c r="AG288" i="64"/>
  <c r="AH288" i="64"/>
  <c r="AD289" i="64"/>
  <c r="AE289" i="64"/>
  <c r="AF289" i="64"/>
  <c r="AG289" i="64"/>
  <c r="AH289" i="64"/>
  <c r="AD290" i="64"/>
  <c r="AE290" i="64"/>
  <c r="AF290" i="64"/>
  <c r="AG290" i="64"/>
  <c r="AH290" i="64"/>
  <c r="AD291" i="64"/>
  <c r="AE291" i="64"/>
  <c r="AF291" i="64"/>
  <c r="AG291" i="64"/>
  <c r="AH291" i="64"/>
  <c r="AD292" i="64"/>
  <c r="AE292" i="64"/>
  <c r="AF292" i="64"/>
  <c r="AG292" i="64"/>
  <c r="AH292" i="64"/>
  <c r="AD293" i="64"/>
  <c r="AE293" i="64"/>
  <c r="AF293" i="64"/>
  <c r="AG293" i="64"/>
  <c r="AH293" i="64"/>
  <c r="AD294" i="64"/>
  <c r="AE294" i="64"/>
  <c r="AF294" i="64"/>
  <c r="AG294" i="64"/>
  <c r="AH294" i="64"/>
  <c r="AD295" i="64"/>
  <c r="AE295" i="64"/>
  <c r="AF295" i="64"/>
  <c r="AG295" i="64"/>
  <c r="AH295" i="64"/>
  <c r="AD296" i="64"/>
  <c r="AE296" i="64"/>
  <c r="AF296" i="64"/>
  <c r="AG296" i="64"/>
  <c r="AH296" i="64"/>
  <c r="AD297" i="64"/>
  <c r="AE297" i="64"/>
  <c r="AF297" i="64"/>
  <c r="AG297" i="64"/>
  <c r="AH297" i="64"/>
  <c r="AD298" i="64"/>
  <c r="AE298" i="64"/>
  <c r="AF298" i="64"/>
  <c r="AG298" i="64"/>
  <c r="AH298" i="64"/>
  <c r="AD299" i="64"/>
  <c r="AE299" i="64"/>
  <c r="AF299" i="64"/>
  <c r="AG299" i="64"/>
  <c r="AH299" i="64"/>
  <c r="AD300" i="64"/>
  <c r="AE300" i="64"/>
  <c r="AF300" i="64"/>
  <c r="AG300" i="64"/>
  <c r="AH300" i="64"/>
  <c r="AD301" i="64"/>
  <c r="AE301" i="64"/>
  <c r="AF301" i="64"/>
  <c r="AG301" i="64"/>
  <c r="AH301" i="64"/>
  <c r="AD302" i="64"/>
  <c r="AE302" i="64"/>
  <c r="AF302" i="64"/>
  <c r="AG302" i="64"/>
  <c r="AH302" i="64"/>
  <c r="AD303" i="64"/>
  <c r="AE303" i="64"/>
  <c r="AF303" i="64"/>
  <c r="AG303" i="64"/>
  <c r="AH303" i="64"/>
  <c r="AD304" i="64"/>
  <c r="AE304" i="64"/>
  <c r="AF304" i="64"/>
  <c r="AG304" i="64"/>
  <c r="AH304" i="64"/>
  <c r="AD305" i="64"/>
  <c r="AE305" i="64"/>
  <c r="AF305" i="64"/>
  <c r="AG305" i="64"/>
  <c r="AH305" i="64"/>
  <c r="AD306" i="64"/>
  <c r="AE306" i="64"/>
  <c r="AF306" i="64"/>
  <c r="AG306" i="64"/>
  <c r="AH306" i="64"/>
  <c r="AD307" i="64"/>
  <c r="AE307" i="64"/>
  <c r="AF307" i="64"/>
  <c r="AG307" i="64"/>
  <c r="AH307" i="64"/>
  <c r="AD308" i="64"/>
  <c r="AE308" i="64"/>
  <c r="AF308" i="64"/>
  <c r="AG308" i="64"/>
  <c r="AH308" i="64"/>
  <c r="AD309" i="64"/>
  <c r="AE309" i="64"/>
  <c r="AF309" i="64"/>
  <c r="AG309" i="64"/>
  <c r="AH309" i="64"/>
  <c r="AD310" i="64"/>
  <c r="AE310" i="64"/>
  <c r="AF310" i="64"/>
  <c r="AG310" i="64"/>
  <c r="AH310" i="64"/>
  <c r="AD311" i="64"/>
  <c r="AE311" i="64"/>
  <c r="AF311" i="64"/>
  <c r="AG311" i="64"/>
  <c r="AH311" i="64"/>
  <c r="AD312" i="64"/>
  <c r="AE312" i="64"/>
  <c r="AF312" i="64"/>
  <c r="AG312" i="64"/>
  <c r="AH312" i="64"/>
  <c r="AD313" i="64"/>
  <c r="AE313" i="64"/>
  <c r="AF313" i="64"/>
  <c r="AG313" i="64"/>
  <c r="AH313" i="64"/>
  <c r="AD314" i="64"/>
  <c r="AE314" i="64"/>
  <c r="AF314" i="64"/>
  <c r="AG314" i="64"/>
  <c r="AH314" i="64"/>
  <c r="AD315" i="64"/>
  <c r="AE315" i="64"/>
  <c r="AF315" i="64"/>
  <c r="AG315" i="64"/>
  <c r="AH315" i="64"/>
  <c r="AD316" i="64"/>
  <c r="AE316" i="64"/>
  <c r="AF316" i="64"/>
  <c r="AG316" i="64"/>
  <c r="AH316" i="64"/>
  <c r="AD317" i="64"/>
  <c r="AE317" i="64"/>
  <c r="AF317" i="64"/>
  <c r="AG317" i="64"/>
  <c r="AH317" i="64"/>
  <c r="AD318" i="64"/>
  <c r="AE318" i="64"/>
  <c r="AF318" i="64"/>
  <c r="AG318" i="64"/>
  <c r="AH318" i="64"/>
  <c r="AD319" i="64"/>
  <c r="AE319" i="64"/>
  <c r="AF319" i="64"/>
  <c r="AG319" i="64"/>
  <c r="AH319" i="64"/>
  <c r="AD320" i="64"/>
  <c r="AE320" i="64"/>
  <c r="AF320" i="64"/>
  <c r="AG320" i="64"/>
  <c r="AH320" i="64"/>
  <c r="AD321" i="64"/>
  <c r="AE321" i="64"/>
  <c r="AF321" i="64"/>
  <c r="AG321" i="64"/>
  <c r="AH321" i="64"/>
  <c r="AD322" i="64"/>
  <c r="AE322" i="64"/>
  <c r="AF322" i="64"/>
  <c r="AG322" i="64"/>
  <c r="AH322" i="64"/>
  <c r="AD323" i="64"/>
  <c r="AE323" i="64"/>
  <c r="AF323" i="64"/>
  <c r="AG323" i="64"/>
  <c r="AH323" i="64"/>
  <c r="AD324" i="64"/>
  <c r="AE324" i="64"/>
  <c r="AF324" i="64"/>
  <c r="AG324" i="64"/>
  <c r="AH324" i="64"/>
  <c r="AD325" i="64"/>
  <c r="AE325" i="64"/>
  <c r="AF325" i="64"/>
  <c r="AG325" i="64"/>
  <c r="AH325" i="64"/>
  <c r="AD326" i="64"/>
  <c r="AE326" i="64"/>
  <c r="AF326" i="64"/>
  <c r="AG326" i="64"/>
  <c r="AH326" i="64"/>
  <c r="AD327" i="64"/>
  <c r="AE327" i="64"/>
  <c r="AF327" i="64"/>
  <c r="AG327" i="64"/>
  <c r="AH327" i="64"/>
  <c r="AD328" i="64"/>
  <c r="AE328" i="64"/>
  <c r="AF328" i="64"/>
  <c r="AG328" i="64"/>
  <c r="AH328" i="64"/>
  <c r="AD329" i="64"/>
  <c r="AE329" i="64"/>
  <c r="AF329" i="64"/>
  <c r="AG329" i="64"/>
  <c r="AH329" i="64"/>
  <c r="AD330" i="64"/>
  <c r="AE330" i="64"/>
  <c r="AF330" i="64"/>
  <c r="AG330" i="64"/>
  <c r="AH330" i="64"/>
  <c r="AD331" i="64"/>
  <c r="AE331" i="64"/>
  <c r="AF331" i="64"/>
  <c r="AG331" i="64"/>
  <c r="AH331" i="64"/>
  <c r="AD332" i="64"/>
  <c r="AE332" i="64"/>
  <c r="AF332" i="64"/>
  <c r="AG332" i="64"/>
  <c r="AH332" i="64"/>
  <c r="AD333" i="64"/>
  <c r="AE333" i="64"/>
  <c r="AF333" i="64"/>
  <c r="AG333" i="64"/>
  <c r="AH333" i="64"/>
  <c r="AD334" i="64"/>
  <c r="AE334" i="64"/>
  <c r="AF334" i="64"/>
  <c r="AG334" i="64"/>
  <c r="AH334" i="64"/>
  <c r="AD335" i="64"/>
  <c r="AE335" i="64"/>
  <c r="AF335" i="64"/>
  <c r="AG335" i="64"/>
  <c r="AH335" i="64"/>
  <c r="AD336" i="64"/>
  <c r="AE336" i="64"/>
  <c r="AF336" i="64"/>
  <c r="AG336" i="64"/>
  <c r="AH336" i="64"/>
  <c r="AD337" i="64"/>
  <c r="AE337" i="64"/>
  <c r="AF337" i="64"/>
  <c r="AG337" i="64"/>
  <c r="AH337" i="64"/>
  <c r="AD338" i="64"/>
  <c r="AE338" i="64"/>
  <c r="AF338" i="64"/>
  <c r="AG338" i="64"/>
  <c r="AH338" i="64"/>
  <c r="AD339" i="64"/>
  <c r="AE339" i="64"/>
  <c r="AF339" i="64"/>
  <c r="AG339" i="64"/>
  <c r="AH339" i="64"/>
  <c r="AD340" i="64"/>
  <c r="AE340" i="64"/>
  <c r="AF340" i="64"/>
  <c r="AG340" i="64"/>
  <c r="AH340" i="64"/>
  <c r="AD341" i="64"/>
  <c r="AE341" i="64"/>
  <c r="AF341" i="64"/>
  <c r="AG341" i="64"/>
  <c r="AH341" i="64"/>
  <c r="AD342" i="64"/>
  <c r="AE342" i="64"/>
  <c r="AF342" i="64"/>
  <c r="AG342" i="64"/>
  <c r="AH342" i="64"/>
  <c r="AD343" i="64"/>
  <c r="AE343" i="64"/>
  <c r="AF343" i="64"/>
  <c r="AG343" i="64"/>
  <c r="AH343" i="64"/>
  <c r="AD344" i="64"/>
  <c r="AE344" i="64"/>
  <c r="AF344" i="64"/>
  <c r="AG344" i="64"/>
  <c r="AH344" i="64"/>
  <c r="AD345" i="64"/>
  <c r="AE345" i="64"/>
  <c r="AF345" i="64"/>
  <c r="AG345" i="64"/>
  <c r="AH345" i="64"/>
  <c r="AD346" i="64"/>
  <c r="AE346" i="64"/>
  <c r="AF346" i="64"/>
  <c r="AG346" i="64"/>
  <c r="AH346" i="64"/>
  <c r="AD347" i="64"/>
  <c r="AE347" i="64"/>
  <c r="AF347" i="64"/>
  <c r="AG347" i="64"/>
  <c r="AH347" i="64"/>
  <c r="AD348" i="64"/>
  <c r="AE348" i="64"/>
  <c r="AF348" i="64"/>
  <c r="AG348" i="64"/>
  <c r="AH348" i="64"/>
  <c r="AD349" i="64"/>
  <c r="AE349" i="64"/>
  <c r="AF349" i="64"/>
  <c r="AG349" i="64"/>
  <c r="AH349" i="64"/>
  <c r="AD350" i="64"/>
  <c r="AE350" i="64"/>
  <c r="AF350" i="64"/>
  <c r="AG350" i="64"/>
  <c r="AH350" i="64"/>
  <c r="AD351" i="64"/>
  <c r="AE351" i="64"/>
  <c r="AF351" i="64"/>
  <c r="AG351" i="64"/>
  <c r="AH351" i="64"/>
  <c r="AD352" i="64"/>
  <c r="AE352" i="64"/>
  <c r="AF352" i="64"/>
  <c r="AG352" i="64"/>
  <c r="AH352" i="64"/>
  <c r="AD353" i="64"/>
  <c r="AE353" i="64"/>
  <c r="AF353" i="64"/>
  <c r="AG353" i="64"/>
  <c r="AH353" i="64"/>
  <c r="AD354" i="64"/>
  <c r="AE354" i="64"/>
  <c r="AF354" i="64"/>
  <c r="AG354" i="64"/>
  <c r="AH354" i="64"/>
  <c r="AD355" i="64"/>
  <c r="AE355" i="64"/>
  <c r="AF355" i="64"/>
  <c r="AG355" i="64"/>
  <c r="AH355" i="64"/>
  <c r="AD356" i="64"/>
  <c r="AE356" i="64"/>
  <c r="AF356" i="64"/>
  <c r="AG356" i="64"/>
  <c r="AH356" i="64"/>
  <c r="AD357" i="64"/>
  <c r="AE357" i="64"/>
  <c r="AF357" i="64"/>
  <c r="AG357" i="64"/>
  <c r="AH357" i="64"/>
  <c r="AD358" i="64"/>
  <c r="AE358" i="64"/>
  <c r="AF358" i="64"/>
  <c r="AG358" i="64"/>
  <c r="AH358" i="64"/>
  <c r="AD359" i="64"/>
  <c r="AE359" i="64"/>
  <c r="AF359" i="64"/>
  <c r="AG359" i="64"/>
  <c r="AH359" i="64"/>
  <c r="AD360" i="64"/>
  <c r="AE360" i="64"/>
  <c r="AF360" i="64"/>
  <c r="AG360" i="64"/>
  <c r="AH360" i="64"/>
  <c r="AD361" i="64"/>
  <c r="AE361" i="64"/>
  <c r="AF361" i="64"/>
  <c r="AG361" i="64"/>
  <c r="AH361" i="64"/>
  <c r="AD362" i="64"/>
  <c r="AE362" i="64"/>
  <c r="AF362" i="64"/>
  <c r="AG362" i="64"/>
  <c r="AH362" i="64"/>
  <c r="AD363" i="64"/>
  <c r="AE363" i="64"/>
  <c r="AF363" i="64"/>
  <c r="AG363" i="64"/>
  <c r="AH363" i="64"/>
  <c r="W5" i="64"/>
  <c r="X5" i="64"/>
  <c r="Y5" i="64"/>
  <c r="Z5" i="64"/>
  <c r="AA5" i="64"/>
  <c r="W6" i="64"/>
  <c r="X6" i="64"/>
  <c r="Y6" i="64"/>
  <c r="Z6" i="64"/>
  <c r="AA6" i="64"/>
  <c r="W7" i="64"/>
  <c r="X7" i="64"/>
  <c r="Y7" i="64"/>
  <c r="Z7" i="64"/>
  <c r="AA7" i="64"/>
  <c r="W8" i="64"/>
  <c r="X8" i="64"/>
  <c r="Y8" i="64"/>
  <c r="Z8" i="64"/>
  <c r="AA8" i="64"/>
  <c r="W9" i="64"/>
  <c r="X9" i="64"/>
  <c r="Y9" i="64"/>
  <c r="Z9" i="64"/>
  <c r="AA9" i="64"/>
  <c r="W10" i="64"/>
  <c r="X10" i="64"/>
  <c r="Y10" i="64"/>
  <c r="Z10" i="64"/>
  <c r="AA10" i="64"/>
  <c r="W11" i="64"/>
  <c r="X11" i="64"/>
  <c r="Y11" i="64"/>
  <c r="Z11" i="64"/>
  <c r="AA11" i="64"/>
  <c r="W12" i="64"/>
  <c r="X12" i="64"/>
  <c r="Y12" i="64"/>
  <c r="Z12" i="64"/>
  <c r="AA12" i="64"/>
  <c r="W13" i="64"/>
  <c r="X13" i="64"/>
  <c r="Y13" i="64"/>
  <c r="Z13" i="64"/>
  <c r="AA13" i="64"/>
  <c r="W14" i="64"/>
  <c r="X14" i="64"/>
  <c r="Y14" i="64"/>
  <c r="Z14" i="64"/>
  <c r="AA14" i="64"/>
  <c r="W15" i="64"/>
  <c r="X15" i="64"/>
  <c r="Y15" i="64"/>
  <c r="Z15" i="64"/>
  <c r="AA15" i="64"/>
  <c r="W16" i="64"/>
  <c r="X16" i="64"/>
  <c r="Y16" i="64"/>
  <c r="Z16" i="64"/>
  <c r="AA16" i="64"/>
  <c r="W17" i="64"/>
  <c r="X17" i="64"/>
  <c r="Y17" i="64"/>
  <c r="Z17" i="64"/>
  <c r="AA17" i="64"/>
  <c r="W18" i="64"/>
  <c r="X18" i="64"/>
  <c r="Y18" i="64"/>
  <c r="Z18" i="64"/>
  <c r="AA18" i="64"/>
  <c r="W19" i="64"/>
  <c r="X19" i="64"/>
  <c r="Y19" i="64"/>
  <c r="Z19" i="64"/>
  <c r="AA19" i="64"/>
  <c r="W20" i="64"/>
  <c r="X20" i="64"/>
  <c r="Y20" i="64"/>
  <c r="Z20" i="64"/>
  <c r="AA20" i="64"/>
  <c r="W21" i="64"/>
  <c r="X21" i="64"/>
  <c r="Y21" i="64"/>
  <c r="Z21" i="64"/>
  <c r="AA21" i="64"/>
  <c r="W22" i="64"/>
  <c r="X22" i="64"/>
  <c r="Y22" i="64"/>
  <c r="Z22" i="64"/>
  <c r="AA22" i="64"/>
  <c r="W23" i="64"/>
  <c r="X23" i="64"/>
  <c r="Y23" i="64"/>
  <c r="Z23" i="64"/>
  <c r="AA23" i="64"/>
  <c r="W24" i="64"/>
  <c r="X24" i="64"/>
  <c r="Y24" i="64"/>
  <c r="Z24" i="64"/>
  <c r="AA24" i="64"/>
  <c r="W25" i="64"/>
  <c r="X25" i="64"/>
  <c r="Y25" i="64"/>
  <c r="Z25" i="64"/>
  <c r="AA25" i="64"/>
  <c r="W26" i="64"/>
  <c r="X26" i="64"/>
  <c r="Y26" i="64"/>
  <c r="Z26" i="64"/>
  <c r="AA26" i="64"/>
  <c r="W27" i="64"/>
  <c r="X27" i="64"/>
  <c r="Y27" i="64"/>
  <c r="Z27" i="64"/>
  <c r="AA27" i="64"/>
  <c r="W28" i="64"/>
  <c r="X28" i="64"/>
  <c r="Y28" i="64"/>
  <c r="Z28" i="64"/>
  <c r="AA28" i="64"/>
  <c r="W29" i="64"/>
  <c r="X29" i="64"/>
  <c r="Y29" i="64"/>
  <c r="Z29" i="64"/>
  <c r="AA29" i="64"/>
  <c r="W30" i="64"/>
  <c r="X30" i="64"/>
  <c r="Y30" i="64"/>
  <c r="Z30" i="64"/>
  <c r="AA30" i="64"/>
  <c r="W31" i="64"/>
  <c r="X31" i="64"/>
  <c r="Y31" i="64"/>
  <c r="Z31" i="64"/>
  <c r="AA31" i="64"/>
  <c r="W32" i="64"/>
  <c r="X32" i="64"/>
  <c r="Y32" i="64"/>
  <c r="Z32" i="64"/>
  <c r="AA32" i="64"/>
  <c r="W33" i="64"/>
  <c r="X33" i="64"/>
  <c r="Y33" i="64"/>
  <c r="Z33" i="64"/>
  <c r="AA33" i="64"/>
  <c r="W34" i="64"/>
  <c r="X34" i="64"/>
  <c r="Y34" i="64"/>
  <c r="Z34" i="64"/>
  <c r="AA34" i="64"/>
  <c r="W35" i="64"/>
  <c r="X35" i="64"/>
  <c r="Y35" i="64"/>
  <c r="Z35" i="64"/>
  <c r="AA35" i="64"/>
  <c r="W36" i="64"/>
  <c r="X36" i="64"/>
  <c r="Y36" i="64"/>
  <c r="Z36" i="64"/>
  <c r="AA36" i="64"/>
  <c r="W37" i="64"/>
  <c r="X37" i="64"/>
  <c r="Y37" i="64"/>
  <c r="Z37" i="64"/>
  <c r="AA37" i="64"/>
  <c r="W38" i="64"/>
  <c r="X38" i="64"/>
  <c r="Y38" i="64"/>
  <c r="Z38" i="64"/>
  <c r="AA38" i="64"/>
  <c r="W39" i="64"/>
  <c r="X39" i="64"/>
  <c r="Y39" i="64"/>
  <c r="Z39" i="64"/>
  <c r="AA39" i="64"/>
  <c r="W40" i="64"/>
  <c r="X40" i="64"/>
  <c r="Y40" i="64"/>
  <c r="Z40" i="64"/>
  <c r="AA40" i="64"/>
  <c r="W41" i="64"/>
  <c r="X41" i="64"/>
  <c r="Y41" i="64"/>
  <c r="Z41" i="64"/>
  <c r="AA41" i="64"/>
  <c r="W42" i="64"/>
  <c r="X42" i="64"/>
  <c r="Y42" i="64"/>
  <c r="Z42" i="64"/>
  <c r="AA42" i="64"/>
  <c r="W43" i="64"/>
  <c r="X43" i="64"/>
  <c r="Y43" i="64"/>
  <c r="Z43" i="64"/>
  <c r="AA43" i="64"/>
  <c r="W44" i="64"/>
  <c r="X44" i="64"/>
  <c r="Y44" i="64"/>
  <c r="Z44" i="64"/>
  <c r="AA44" i="64"/>
  <c r="W45" i="64"/>
  <c r="X45" i="64"/>
  <c r="Y45" i="64"/>
  <c r="Z45" i="64"/>
  <c r="AA45" i="64"/>
  <c r="W46" i="64"/>
  <c r="X46" i="64"/>
  <c r="Y46" i="64"/>
  <c r="Z46" i="64"/>
  <c r="AA46" i="64"/>
  <c r="W47" i="64"/>
  <c r="X47" i="64"/>
  <c r="Y47" i="64"/>
  <c r="Z47" i="64"/>
  <c r="AA47" i="64"/>
  <c r="W48" i="64"/>
  <c r="X48" i="64"/>
  <c r="Y48" i="64"/>
  <c r="Z48" i="64"/>
  <c r="AA48" i="64"/>
  <c r="W49" i="64"/>
  <c r="X49" i="64"/>
  <c r="Y49" i="64"/>
  <c r="Z49" i="64"/>
  <c r="AA49" i="64"/>
  <c r="W50" i="64"/>
  <c r="X50" i="64"/>
  <c r="Y50" i="64"/>
  <c r="Z50" i="64"/>
  <c r="AA50" i="64"/>
  <c r="W51" i="64"/>
  <c r="X51" i="64"/>
  <c r="Y51" i="64"/>
  <c r="Z51" i="64"/>
  <c r="AA51" i="64"/>
  <c r="W52" i="64"/>
  <c r="X52" i="64"/>
  <c r="Y52" i="64"/>
  <c r="Z52" i="64"/>
  <c r="AA52" i="64"/>
  <c r="W53" i="64"/>
  <c r="X53" i="64"/>
  <c r="Y53" i="64"/>
  <c r="Z53" i="64"/>
  <c r="AA53" i="64"/>
  <c r="W54" i="64"/>
  <c r="X54" i="64"/>
  <c r="Y54" i="64"/>
  <c r="Z54" i="64"/>
  <c r="AA54" i="64"/>
  <c r="W55" i="64"/>
  <c r="X55" i="64"/>
  <c r="Y55" i="64"/>
  <c r="Z55" i="64"/>
  <c r="AA55" i="64"/>
  <c r="W56" i="64"/>
  <c r="X56" i="64"/>
  <c r="Y56" i="64"/>
  <c r="Z56" i="64"/>
  <c r="AA56" i="64"/>
  <c r="W57" i="64"/>
  <c r="X57" i="64"/>
  <c r="Y57" i="64"/>
  <c r="Z57" i="64"/>
  <c r="AA57" i="64"/>
  <c r="W58" i="64"/>
  <c r="X58" i="64"/>
  <c r="Y58" i="64"/>
  <c r="Z58" i="64"/>
  <c r="AA58" i="64"/>
  <c r="W59" i="64"/>
  <c r="X59" i="64"/>
  <c r="Y59" i="64"/>
  <c r="Z59" i="64"/>
  <c r="AA59" i="64"/>
  <c r="W60" i="64"/>
  <c r="X60" i="64"/>
  <c r="Y60" i="64"/>
  <c r="Z60" i="64"/>
  <c r="AA60" i="64"/>
  <c r="W61" i="64"/>
  <c r="X61" i="64"/>
  <c r="Y61" i="64"/>
  <c r="Z61" i="64"/>
  <c r="AA61" i="64"/>
  <c r="W62" i="64"/>
  <c r="X62" i="64"/>
  <c r="Y62" i="64"/>
  <c r="Z62" i="64"/>
  <c r="AA62" i="64"/>
  <c r="W63" i="64"/>
  <c r="X63" i="64"/>
  <c r="Y63" i="64"/>
  <c r="Z63" i="64"/>
  <c r="AA63" i="64"/>
  <c r="W64" i="64"/>
  <c r="X64" i="64"/>
  <c r="Y64" i="64"/>
  <c r="Z64" i="64"/>
  <c r="AA64" i="64"/>
  <c r="W65" i="64"/>
  <c r="X65" i="64"/>
  <c r="Y65" i="64"/>
  <c r="Z65" i="64"/>
  <c r="AA65" i="64"/>
  <c r="W66" i="64"/>
  <c r="X66" i="64"/>
  <c r="Y66" i="64"/>
  <c r="Z66" i="64"/>
  <c r="AA66" i="64"/>
  <c r="W67" i="64"/>
  <c r="X67" i="64"/>
  <c r="Y67" i="64"/>
  <c r="Z67" i="64"/>
  <c r="AA67" i="64"/>
  <c r="W68" i="64"/>
  <c r="X68" i="64"/>
  <c r="Y68" i="64"/>
  <c r="Z68" i="64"/>
  <c r="AA68" i="64"/>
  <c r="W69" i="64"/>
  <c r="X69" i="64"/>
  <c r="Y69" i="64"/>
  <c r="Z69" i="64"/>
  <c r="AA69" i="64"/>
  <c r="W70" i="64"/>
  <c r="X70" i="64"/>
  <c r="Y70" i="64"/>
  <c r="Z70" i="64"/>
  <c r="AA70" i="64"/>
  <c r="W71" i="64"/>
  <c r="X71" i="64"/>
  <c r="Y71" i="64"/>
  <c r="Z71" i="64"/>
  <c r="AA71" i="64"/>
  <c r="W72" i="64"/>
  <c r="X72" i="64"/>
  <c r="Y72" i="64"/>
  <c r="Z72" i="64"/>
  <c r="AA72" i="64"/>
  <c r="W73" i="64"/>
  <c r="X73" i="64"/>
  <c r="Y73" i="64"/>
  <c r="Z73" i="64"/>
  <c r="AA73" i="64"/>
  <c r="W74" i="64"/>
  <c r="X74" i="64"/>
  <c r="Y74" i="64"/>
  <c r="Z74" i="64"/>
  <c r="AA74" i="64"/>
  <c r="W75" i="64"/>
  <c r="X75" i="64"/>
  <c r="Y75" i="64"/>
  <c r="Z75" i="64"/>
  <c r="AA75" i="64"/>
  <c r="W76" i="64"/>
  <c r="X76" i="64"/>
  <c r="Y76" i="64"/>
  <c r="Z76" i="64"/>
  <c r="AA76" i="64"/>
  <c r="W77" i="64"/>
  <c r="X77" i="64"/>
  <c r="Y77" i="64"/>
  <c r="Z77" i="64"/>
  <c r="AA77" i="64"/>
  <c r="W78" i="64"/>
  <c r="X78" i="64"/>
  <c r="Y78" i="64"/>
  <c r="Z78" i="64"/>
  <c r="AA78" i="64"/>
  <c r="W79" i="64"/>
  <c r="X79" i="64"/>
  <c r="Y79" i="64"/>
  <c r="Z79" i="64"/>
  <c r="AA79" i="64"/>
  <c r="W80" i="64"/>
  <c r="X80" i="64"/>
  <c r="Y80" i="64"/>
  <c r="Z80" i="64"/>
  <c r="AA80" i="64"/>
  <c r="W81" i="64"/>
  <c r="X81" i="64"/>
  <c r="Y81" i="64"/>
  <c r="Z81" i="64"/>
  <c r="AA81" i="64"/>
  <c r="W82" i="64"/>
  <c r="X82" i="64"/>
  <c r="Y82" i="64"/>
  <c r="Z82" i="64"/>
  <c r="AA82" i="64"/>
  <c r="W83" i="64"/>
  <c r="X83" i="64"/>
  <c r="Y83" i="64"/>
  <c r="Z83" i="64"/>
  <c r="AA83" i="64"/>
  <c r="W84" i="64"/>
  <c r="X84" i="64"/>
  <c r="Y84" i="64"/>
  <c r="Z84" i="64"/>
  <c r="AA84" i="64"/>
  <c r="W85" i="64"/>
  <c r="X85" i="64"/>
  <c r="Y85" i="64"/>
  <c r="Z85" i="64"/>
  <c r="AA85" i="64"/>
  <c r="W86" i="64"/>
  <c r="X86" i="64"/>
  <c r="Y86" i="64"/>
  <c r="Z86" i="64"/>
  <c r="AA86" i="64"/>
  <c r="W87" i="64"/>
  <c r="X87" i="64"/>
  <c r="Y87" i="64"/>
  <c r="Z87" i="64"/>
  <c r="AA87" i="64"/>
  <c r="W88" i="64"/>
  <c r="X88" i="64"/>
  <c r="Y88" i="64"/>
  <c r="Z88" i="64"/>
  <c r="AA88" i="64"/>
  <c r="W89" i="64"/>
  <c r="X89" i="64"/>
  <c r="Y89" i="64"/>
  <c r="Z89" i="64"/>
  <c r="AA89" i="64"/>
  <c r="W90" i="64"/>
  <c r="X90" i="64"/>
  <c r="Y90" i="64"/>
  <c r="Z90" i="64"/>
  <c r="AA90" i="64"/>
  <c r="W91" i="64"/>
  <c r="X91" i="64"/>
  <c r="Y91" i="64"/>
  <c r="Z91" i="64"/>
  <c r="AA91" i="64"/>
  <c r="W92" i="64"/>
  <c r="X92" i="64"/>
  <c r="Y92" i="64"/>
  <c r="Z92" i="64"/>
  <c r="AA92" i="64"/>
  <c r="W93" i="64"/>
  <c r="X93" i="64"/>
  <c r="Y93" i="64"/>
  <c r="Z93" i="64"/>
  <c r="AA93" i="64"/>
  <c r="W94" i="64"/>
  <c r="X94" i="64"/>
  <c r="Y94" i="64"/>
  <c r="Z94" i="64"/>
  <c r="AA94" i="64"/>
  <c r="W95" i="64"/>
  <c r="X95" i="64"/>
  <c r="Y95" i="64"/>
  <c r="Z95" i="64"/>
  <c r="AA95" i="64"/>
  <c r="W96" i="64"/>
  <c r="X96" i="64"/>
  <c r="Y96" i="64"/>
  <c r="Z96" i="64"/>
  <c r="AA96" i="64"/>
  <c r="W97" i="64"/>
  <c r="X97" i="64"/>
  <c r="Y97" i="64"/>
  <c r="Z97" i="64"/>
  <c r="AA97" i="64"/>
  <c r="W98" i="64"/>
  <c r="X98" i="64"/>
  <c r="Y98" i="64"/>
  <c r="Z98" i="64"/>
  <c r="AA98" i="64"/>
  <c r="W99" i="64"/>
  <c r="X99" i="64"/>
  <c r="Y99" i="64"/>
  <c r="Z99" i="64"/>
  <c r="AA99" i="64"/>
  <c r="W100" i="64"/>
  <c r="X100" i="64"/>
  <c r="Y100" i="64"/>
  <c r="Z100" i="64"/>
  <c r="AA100" i="64"/>
  <c r="W101" i="64"/>
  <c r="X101" i="64"/>
  <c r="Y101" i="64"/>
  <c r="Z101" i="64"/>
  <c r="AA101" i="64"/>
  <c r="W102" i="64"/>
  <c r="X102" i="64"/>
  <c r="Y102" i="64"/>
  <c r="Z102" i="64"/>
  <c r="AA102" i="64"/>
  <c r="W103" i="64"/>
  <c r="X103" i="64"/>
  <c r="Y103" i="64"/>
  <c r="Z103" i="64"/>
  <c r="AA103" i="64"/>
  <c r="W104" i="64"/>
  <c r="X104" i="64"/>
  <c r="Y104" i="64"/>
  <c r="Z104" i="64"/>
  <c r="AA104" i="64"/>
  <c r="W105" i="64"/>
  <c r="X105" i="64"/>
  <c r="Y105" i="64"/>
  <c r="Z105" i="64"/>
  <c r="AA105" i="64"/>
  <c r="W106" i="64"/>
  <c r="X106" i="64"/>
  <c r="Y106" i="64"/>
  <c r="Z106" i="64"/>
  <c r="AA106" i="64"/>
  <c r="W107" i="64"/>
  <c r="X107" i="64"/>
  <c r="Y107" i="64"/>
  <c r="Z107" i="64"/>
  <c r="AA107" i="64"/>
  <c r="W108" i="64"/>
  <c r="X108" i="64"/>
  <c r="Y108" i="64"/>
  <c r="Z108" i="64"/>
  <c r="AA108" i="64"/>
  <c r="W109" i="64"/>
  <c r="X109" i="64"/>
  <c r="Y109" i="64"/>
  <c r="Z109" i="64"/>
  <c r="AA109" i="64"/>
  <c r="W110" i="64"/>
  <c r="X110" i="64"/>
  <c r="Y110" i="64"/>
  <c r="Z110" i="64"/>
  <c r="AA110" i="64"/>
  <c r="W111" i="64"/>
  <c r="X111" i="64"/>
  <c r="Y111" i="64"/>
  <c r="Z111" i="64"/>
  <c r="AA111" i="64"/>
  <c r="W112" i="64"/>
  <c r="X112" i="64"/>
  <c r="Y112" i="64"/>
  <c r="Z112" i="64"/>
  <c r="AA112" i="64"/>
  <c r="W113" i="64"/>
  <c r="X113" i="64"/>
  <c r="Y113" i="64"/>
  <c r="Z113" i="64"/>
  <c r="AA113" i="64"/>
  <c r="AA4" i="64"/>
  <c r="Z4" i="64"/>
  <c r="Y4" i="64"/>
  <c r="X4" i="64"/>
  <c r="W4" i="64"/>
  <c r="P5" i="64"/>
  <c r="Q5" i="64"/>
  <c r="R5" i="64"/>
  <c r="S5" i="64"/>
  <c r="T5" i="64"/>
  <c r="P6" i="64"/>
  <c r="Q6" i="64"/>
  <c r="R6" i="64"/>
  <c r="S6" i="64"/>
  <c r="T6" i="64"/>
  <c r="P7" i="64"/>
  <c r="Q7" i="64"/>
  <c r="R7" i="64"/>
  <c r="S7" i="64"/>
  <c r="T7" i="64"/>
  <c r="P8" i="64"/>
  <c r="Q8" i="64"/>
  <c r="R8" i="64"/>
  <c r="S8" i="64"/>
  <c r="T8" i="64"/>
  <c r="P9" i="64"/>
  <c r="Q9" i="64"/>
  <c r="R9" i="64"/>
  <c r="S9" i="64"/>
  <c r="T9" i="64"/>
  <c r="P10" i="64"/>
  <c r="Q10" i="64"/>
  <c r="R10" i="64"/>
  <c r="S10" i="64"/>
  <c r="T10" i="64"/>
  <c r="P11" i="64"/>
  <c r="Q11" i="64"/>
  <c r="R11" i="64"/>
  <c r="S11" i="64"/>
  <c r="T11" i="64"/>
  <c r="P12" i="64"/>
  <c r="Q12" i="64"/>
  <c r="R12" i="64"/>
  <c r="S12" i="64"/>
  <c r="T12" i="64"/>
  <c r="P13" i="64"/>
  <c r="Q13" i="64"/>
  <c r="R13" i="64"/>
  <c r="S13" i="64"/>
  <c r="T13" i="64"/>
  <c r="P14" i="64"/>
  <c r="Q14" i="64"/>
  <c r="R14" i="64"/>
  <c r="S14" i="64"/>
  <c r="T14" i="64"/>
  <c r="P15" i="64"/>
  <c r="Q15" i="64"/>
  <c r="R15" i="64"/>
  <c r="S15" i="64"/>
  <c r="T15" i="64"/>
  <c r="P16" i="64"/>
  <c r="Q16" i="64"/>
  <c r="R16" i="64"/>
  <c r="S16" i="64"/>
  <c r="T16" i="64"/>
  <c r="P17" i="64"/>
  <c r="Q17" i="64"/>
  <c r="R17" i="64"/>
  <c r="S17" i="64"/>
  <c r="T17" i="64"/>
  <c r="P18" i="64"/>
  <c r="Q18" i="64"/>
  <c r="R18" i="64"/>
  <c r="S18" i="64"/>
  <c r="T18" i="64"/>
  <c r="P19" i="64"/>
  <c r="Q19" i="64"/>
  <c r="R19" i="64"/>
  <c r="S19" i="64"/>
  <c r="T19" i="64"/>
  <c r="P20" i="64"/>
  <c r="Q20" i="64"/>
  <c r="R20" i="64"/>
  <c r="S20" i="64"/>
  <c r="T20" i="64"/>
  <c r="P21" i="64"/>
  <c r="Q21" i="64"/>
  <c r="R21" i="64"/>
  <c r="S21" i="64"/>
  <c r="T21" i="64"/>
  <c r="P22" i="64"/>
  <c r="Q22" i="64"/>
  <c r="R22" i="64"/>
  <c r="S22" i="64"/>
  <c r="T22" i="64"/>
  <c r="P23" i="64"/>
  <c r="Q23" i="64"/>
  <c r="R23" i="64"/>
  <c r="S23" i="64"/>
  <c r="T23" i="64"/>
  <c r="P24" i="64"/>
  <c r="Q24" i="64"/>
  <c r="R24" i="64"/>
  <c r="S24" i="64"/>
  <c r="T24" i="64"/>
  <c r="P25" i="64"/>
  <c r="Q25" i="64"/>
  <c r="R25" i="64"/>
  <c r="S25" i="64"/>
  <c r="T25" i="64"/>
  <c r="P26" i="64"/>
  <c r="Q26" i="64"/>
  <c r="R26" i="64"/>
  <c r="S26" i="64"/>
  <c r="T26" i="64"/>
  <c r="P27" i="64"/>
  <c r="Q27" i="64"/>
  <c r="R27" i="64"/>
  <c r="S27" i="64"/>
  <c r="T27" i="64"/>
  <c r="P28" i="64"/>
  <c r="Q28" i="64"/>
  <c r="R28" i="64"/>
  <c r="S28" i="64"/>
  <c r="T28" i="64"/>
  <c r="P29" i="64"/>
  <c r="Q29" i="64"/>
  <c r="R29" i="64"/>
  <c r="S29" i="64"/>
  <c r="T29" i="64"/>
  <c r="P30" i="64"/>
  <c r="Q30" i="64"/>
  <c r="R30" i="64"/>
  <c r="S30" i="64"/>
  <c r="T30" i="64"/>
  <c r="P31" i="64"/>
  <c r="Q31" i="64"/>
  <c r="R31" i="64"/>
  <c r="S31" i="64"/>
  <c r="T31" i="64"/>
  <c r="P32" i="64"/>
  <c r="Q32" i="64"/>
  <c r="R32" i="64"/>
  <c r="S32" i="64"/>
  <c r="T32" i="64"/>
  <c r="P33" i="64"/>
  <c r="Q33" i="64"/>
  <c r="R33" i="64"/>
  <c r="S33" i="64"/>
  <c r="T33" i="64"/>
  <c r="P34" i="64"/>
  <c r="Q34" i="64"/>
  <c r="R34" i="64"/>
  <c r="S34" i="64"/>
  <c r="T34" i="64"/>
  <c r="P35" i="64"/>
  <c r="Q35" i="64"/>
  <c r="R35" i="64"/>
  <c r="S35" i="64"/>
  <c r="T35" i="64"/>
  <c r="P36" i="64"/>
  <c r="Q36" i="64"/>
  <c r="R36" i="64"/>
  <c r="S36" i="64"/>
  <c r="T36" i="64"/>
  <c r="P37" i="64"/>
  <c r="Q37" i="64"/>
  <c r="R37" i="64"/>
  <c r="S37" i="64"/>
  <c r="T37" i="64"/>
  <c r="P38" i="64"/>
  <c r="Q38" i="64"/>
  <c r="R38" i="64"/>
  <c r="S38" i="64"/>
  <c r="T38" i="64"/>
  <c r="P39" i="64"/>
  <c r="Q39" i="64"/>
  <c r="R39" i="64"/>
  <c r="S39" i="64"/>
  <c r="T39" i="64"/>
  <c r="P40" i="64"/>
  <c r="Q40" i="64"/>
  <c r="R40" i="64"/>
  <c r="S40" i="64"/>
  <c r="T40" i="64"/>
  <c r="P41" i="64"/>
  <c r="Q41" i="64"/>
  <c r="R41" i="64"/>
  <c r="S41" i="64"/>
  <c r="T41" i="64"/>
  <c r="P42" i="64"/>
  <c r="Q42" i="64"/>
  <c r="R42" i="64"/>
  <c r="S42" i="64"/>
  <c r="T42" i="64"/>
  <c r="P43" i="64"/>
  <c r="Q43" i="64"/>
  <c r="R43" i="64"/>
  <c r="S43" i="64"/>
  <c r="T43" i="64"/>
  <c r="P44" i="64"/>
  <c r="Q44" i="64"/>
  <c r="R44" i="64"/>
  <c r="S44" i="64"/>
  <c r="T44" i="64"/>
  <c r="P45" i="64"/>
  <c r="Q45" i="64"/>
  <c r="R45" i="64"/>
  <c r="S45" i="64"/>
  <c r="T45" i="64"/>
  <c r="P46" i="64"/>
  <c r="Q46" i="64"/>
  <c r="R46" i="64"/>
  <c r="S46" i="64"/>
  <c r="T46" i="64"/>
  <c r="P47" i="64"/>
  <c r="Q47" i="64"/>
  <c r="R47" i="64"/>
  <c r="S47" i="64"/>
  <c r="T47" i="64"/>
  <c r="P48" i="64"/>
  <c r="Q48" i="64"/>
  <c r="R48" i="64"/>
  <c r="S48" i="64"/>
  <c r="T48" i="64"/>
  <c r="P49" i="64"/>
  <c r="Q49" i="64"/>
  <c r="R49" i="64"/>
  <c r="S49" i="64"/>
  <c r="T49" i="64"/>
  <c r="P50" i="64"/>
  <c r="Q50" i="64"/>
  <c r="R50" i="64"/>
  <c r="S50" i="64"/>
  <c r="T50" i="64"/>
  <c r="P51" i="64"/>
  <c r="Q51" i="64"/>
  <c r="R51" i="64"/>
  <c r="S51" i="64"/>
  <c r="T51" i="64"/>
  <c r="P52" i="64"/>
  <c r="Q52" i="64"/>
  <c r="R52" i="64"/>
  <c r="S52" i="64"/>
  <c r="T52" i="64"/>
  <c r="P53" i="64"/>
  <c r="Q53" i="64"/>
  <c r="R53" i="64"/>
  <c r="S53" i="64"/>
  <c r="T53" i="64"/>
  <c r="P54" i="64"/>
  <c r="Q54" i="64"/>
  <c r="R54" i="64"/>
  <c r="S54" i="64"/>
  <c r="T54" i="64"/>
  <c r="P55" i="64"/>
  <c r="Q55" i="64"/>
  <c r="R55" i="64"/>
  <c r="S55" i="64"/>
  <c r="T55" i="64"/>
  <c r="P56" i="64"/>
  <c r="Q56" i="64"/>
  <c r="R56" i="64"/>
  <c r="S56" i="64"/>
  <c r="T56" i="64"/>
  <c r="P57" i="64"/>
  <c r="Q57" i="64"/>
  <c r="R57" i="64"/>
  <c r="S57" i="64"/>
  <c r="T57" i="64"/>
  <c r="P58" i="64"/>
  <c r="Q58" i="64"/>
  <c r="R58" i="64"/>
  <c r="S58" i="64"/>
  <c r="T58" i="64"/>
  <c r="P59" i="64"/>
  <c r="Q59" i="64"/>
  <c r="R59" i="64"/>
  <c r="S59" i="64"/>
  <c r="T59" i="64"/>
  <c r="P60" i="64"/>
  <c r="Q60" i="64"/>
  <c r="R60" i="64"/>
  <c r="S60" i="64"/>
  <c r="T60" i="64"/>
  <c r="P61" i="64"/>
  <c r="Q61" i="64"/>
  <c r="R61" i="64"/>
  <c r="S61" i="64"/>
  <c r="T61" i="64"/>
  <c r="P62" i="64"/>
  <c r="Q62" i="64"/>
  <c r="R62" i="64"/>
  <c r="S62" i="64"/>
  <c r="T62" i="64"/>
  <c r="P63" i="64"/>
  <c r="Q63" i="64"/>
  <c r="R63" i="64"/>
  <c r="S63" i="64"/>
  <c r="T63" i="64"/>
  <c r="P64" i="64"/>
  <c r="Q64" i="64"/>
  <c r="R64" i="64"/>
  <c r="S64" i="64"/>
  <c r="T64" i="64"/>
  <c r="P65" i="64"/>
  <c r="Q65" i="64"/>
  <c r="R65" i="64"/>
  <c r="S65" i="64"/>
  <c r="T65" i="64"/>
  <c r="P66" i="64"/>
  <c r="Q66" i="64"/>
  <c r="R66" i="64"/>
  <c r="S66" i="64"/>
  <c r="T66" i="64"/>
  <c r="P67" i="64"/>
  <c r="Q67" i="64"/>
  <c r="R67" i="64"/>
  <c r="S67" i="64"/>
  <c r="T67" i="64"/>
  <c r="P68" i="64"/>
  <c r="Q68" i="64"/>
  <c r="R68" i="64"/>
  <c r="S68" i="64"/>
  <c r="T68" i="64"/>
  <c r="P69" i="64"/>
  <c r="Q69" i="64"/>
  <c r="R69" i="64"/>
  <c r="S69" i="64"/>
  <c r="T69" i="64"/>
  <c r="P70" i="64"/>
  <c r="Q70" i="64"/>
  <c r="R70" i="64"/>
  <c r="S70" i="64"/>
  <c r="T70" i="64"/>
  <c r="P71" i="64"/>
  <c r="Q71" i="64"/>
  <c r="R71" i="64"/>
  <c r="S71" i="64"/>
  <c r="T71" i="64"/>
  <c r="P72" i="64"/>
  <c r="Q72" i="64"/>
  <c r="R72" i="64"/>
  <c r="S72" i="64"/>
  <c r="T72" i="64"/>
  <c r="P73" i="64"/>
  <c r="Q73" i="64"/>
  <c r="R73" i="64"/>
  <c r="S73" i="64"/>
  <c r="T73" i="64"/>
  <c r="P74" i="64"/>
  <c r="Q74" i="64"/>
  <c r="R74" i="64"/>
  <c r="S74" i="64"/>
  <c r="T74" i="64"/>
  <c r="P75" i="64"/>
  <c r="Q75" i="64"/>
  <c r="R75" i="64"/>
  <c r="S75" i="64"/>
  <c r="T75" i="64"/>
  <c r="P76" i="64"/>
  <c r="Q76" i="64"/>
  <c r="R76" i="64"/>
  <c r="S76" i="64"/>
  <c r="T76" i="64"/>
  <c r="P77" i="64"/>
  <c r="Q77" i="64"/>
  <c r="R77" i="64"/>
  <c r="S77" i="64"/>
  <c r="T77" i="64"/>
  <c r="P78" i="64"/>
  <c r="Q78" i="64"/>
  <c r="R78" i="64"/>
  <c r="S78" i="64"/>
  <c r="T78" i="64"/>
  <c r="P79" i="64"/>
  <c r="Q79" i="64"/>
  <c r="R79" i="64"/>
  <c r="S79" i="64"/>
  <c r="T79" i="64"/>
  <c r="P80" i="64"/>
  <c r="Q80" i="64"/>
  <c r="R80" i="64"/>
  <c r="S80" i="64"/>
  <c r="T80" i="64"/>
  <c r="P81" i="64"/>
  <c r="Q81" i="64"/>
  <c r="R81" i="64"/>
  <c r="S81" i="64"/>
  <c r="T81" i="64"/>
  <c r="P82" i="64"/>
  <c r="Q82" i="64"/>
  <c r="R82" i="64"/>
  <c r="S82" i="64"/>
  <c r="T82" i="64"/>
  <c r="P83" i="64"/>
  <c r="Q83" i="64"/>
  <c r="R83" i="64"/>
  <c r="S83" i="64"/>
  <c r="T83" i="64"/>
  <c r="P84" i="64"/>
  <c r="Q84" i="64"/>
  <c r="R84" i="64"/>
  <c r="S84" i="64"/>
  <c r="T84" i="64"/>
  <c r="P85" i="64"/>
  <c r="Q85" i="64"/>
  <c r="R85" i="64"/>
  <c r="S85" i="64"/>
  <c r="T85" i="64"/>
  <c r="P86" i="64"/>
  <c r="Q86" i="64"/>
  <c r="R86" i="64"/>
  <c r="S86" i="64"/>
  <c r="T86" i="64"/>
  <c r="P87" i="64"/>
  <c r="Q87" i="64"/>
  <c r="R87" i="64"/>
  <c r="S87" i="64"/>
  <c r="T87" i="64"/>
  <c r="P88" i="64"/>
  <c r="Q88" i="64"/>
  <c r="R88" i="64"/>
  <c r="S88" i="64"/>
  <c r="T88" i="64"/>
  <c r="P89" i="64"/>
  <c r="Q89" i="64"/>
  <c r="R89" i="64"/>
  <c r="S89" i="64"/>
  <c r="T89" i="64"/>
  <c r="P90" i="64"/>
  <c r="Q90" i="64"/>
  <c r="R90" i="64"/>
  <c r="S90" i="64"/>
  <c r="T90" i="64"/>
  <c r="P91" i="64"/>
  <c r="Q91" i="64"/>
  <c r="R91" i="64"/>
  <c r="S91" i="64"/>
  <c r="T91" i="64"/>
  <c r="P92" i="64"/>
  <c r="Q92" i="64"/>
  <c r="R92" i="64"/>
  <c r="S92" i="64"/>
  <c r="T92" i="64"/>
  <c r="P93" i="64"/>
  <c r="Q93" i="64"/>
  <c r="R93" i="64"/>
  <c r="S93" i="64"/>
  <c r="T93" i="64"/>
  <c r="P94" i="64"/>
  <c r="Q94" i="64"/>
  <c r="R94" i="64"/>
  <c r="S94" i="64"/>
  <c r="T94" i="64"/>
  <c r="P95" i="64"/>
  <c r="Q95" i="64"/>
  <c r="R95" i="64"/>
  <c r="S95" i="64"/>
  <c r="T95" i="64"/>
  <c r="P96" i="64"/>
  <c r="Q96" i="64"/>
  <c r="R96" i="64"/>
  <c r="S96" i="64"/>
  <c r="T96" i="64"/>
  <c r="P97" i="64"/>
  <c r="Q97" i="64"/>
  <c r="R97" i="64"/>
  <c r="S97" i="64"/>
  <c r="T97" i="64"/>
  <c r="P98" i="64"/>
  <c r="Q98" i="64"/>
  <c r="R98" i="64"/>
  <c r="S98" i="64"/>
  <c r="T98" i="64"/>
  <c r="P99" i="64"/>
  <c r="Q99" i="64"/>
  <c r="R99" i="64"/>
  <c r="S99" i="64"/>
  <c r="T99" i="64"/>
  <c r="P100" i="64"/>
  <c r="Q100" i="64"/>
  <c r="R100" i="64"/>
  <c r="S100" i="64"/>
  <c r="T100" i="64"/>
  <c r="P101" i="64"/>
  <c r="Q101" i="64"/>
  <c r="R101" i="64"/>
  <c r="S101" i="64"/>
  <c r="T101" i="64"/>
  <c r="P102" i="64"/>
  <c r="Q102" i="64"/>
  <c r="R102" i="64"/>
  <c r="S102" i="64"/>
  <c r="T102" i="64"/>
  <c r="P103" i="64"/>
  <c r="Q103" i="64"/>
  <c r="R103" i="64"/>
  <c r="S103" i="64"/>
  <c r="T103" i="64"/>
  <c r="P104" i="64"/>
  <c r="Q104" i="64"/>
  <c r="R104" i="64"/>
  <c r="S104" i="64"/>
  <c r="T104" i="64"/>
  <c r="P105" i="64"/>
  <c r="Q105" i="64"/>
  <c r="R105" i="64"/>
  <c r="S105" i="64"/>
  <c r="T105" i="64"/>
  <c r="P106" i="64"/>
  <c r="Q106" i="64"/>
  <c r="R106" i="64"/>
  <c r="S106" i="64"/>
  <c r="T106" i="64"/>
  <c r="P107" i="64"/>
  <c r="Q107" i="64"/>
  <c r="R107" i="64"/>
  <c r="S107" i="64"/>
  <c r="T107" i="64"/>
  <c r="P108" i="64"/>
  <c r="Q108" i="64"/>
  <c r="R108" i="64"/>
  <c r="S108" i="64"/>
  <c r="T108" i="64"/>
  <c r="P109" i="64"/>
  <c r="Q109" i="64"/>
  <c r="R109" i="64"/>
  <c r="S109" i="64"/>
  <c r="T109" i="64"/>
  <c r="P110" i="64"/>
  <c r="Q110" i="64"/>
  <c r="R110" i="64"/>
  <c r="S110" i="64"/>
  <c r="T110" i="64"/>
  <c r="P111" i="64"/>
  <c r="Q111" i="64"/>
  <c r="R111" i="64"/>
  <c r="S111" i="64"/>
  <c r="T111" i="64"/>
  <c r="P112" i="64"/>
  <c r="Q112" i="64"/>
  <c r="R112" i="64"/>
  <c r="S112" i="64"/>
  <c r="T112" i="64"/>
  <c r="P113" i="64"/>
  <c r="Q113" i="64"/>
  <c r="R113" i="64"/>
  <c r="S113" i="64"/>
  <c r="T113" i="64"/>
  <c r="T4" i="64"/>
  <c r="S4" i="64"/>
  <c r="R4" i="64"/>
  <c r="Q4" i="64"/>
  <c r="P4" i="64"/>
  <c r="I4" i="64"/>
  <c r="J4" i="64"/>
  <c r="K4" i="64"/>
  <c r="I5" i="64"/>
  <c r="J5" i="64"/>
  <c r="K5" i="64"/>
  <c r="I6" i="64"/>
  <c r="J6" i="64"/>
  <c r="K6" i="64"/>
  <c r="I7" i="64"/>
  <c r="J7" i="64"/>
  <c r="K7" i="64"/>
  <c r="I8" i="64"/>
  <c r="J8" i="64"/>
  <c r="K8" i="64"/>
  <c r="I9" i="64"/>
  <c r="J9" i="64"/>
  <c r="K9" i="64"/>
  <c r="I10" i="64"/>
  <c r="J10" i="64"/>
  <c r="K10" i="64"/>
  <c r="I11" i="64"/>
  <c r="J11" i="64"/>
  <c r="K11" i="64"/>
  <c r="I12" i="64"/>
  <c r="J12" i="64"/>
  <c r="K12" i="64"/>
  <c r="I13" i="64"/>
  <c r="J13" i="64"/>
  <c r="K13" i="64"/>
  <c r="I14" i="64"/>
  <c r="J14" i="64"/>
  <c r="K14" i="64"/>
  <c r="I15" i="64"/>
  <c r="J15" i="64"/>
  <c r="K15" i="64"/>
  <c r="I16" i="64"/>
  <c r="J16" i="64"/>
  <c r="K16" i="64"/>
  <c r="I17" i="64"/>
  <c r="J17" i="64"/>
  <c r="K17" i="64"/>
  <c r="I18" i="64"/>
  <c r="J18" i="64"/>
  <c r="K18" i="64"/>
  <c r="I19" i="64"/>
  <c r="J19" i="64"/>
  <c r="K19" i="64"/>
  <c r="I20" i="64"/>
  <c r="J20" i="64"/>
  <c r="K20" i="64"/>
  <c r="I21" i="64"/>
  <c r="J21" i="64"/>
  <c r="K21" i="64"/>
  <c r="I22" i="64"/>
  <c r="J22" i="64"/>
  <c r="K22" i="64"/>
  <c r="I23" i="64"/>
  <c r="J23" i="64"/>
  <c r="K23" i="64"/>
  <c r="I24" i="64"/>
  <c r="J24" i="64"/>
  <c r="K24" i="64"/>
  <c r="I25" i="64"/>
  <c r="J25" i="64"/>
  <c r="K25" i="64"/>
  <c r="I26" i="64"/>
  <c r="J26" i="64"/>
  <c r="K26" i="64"/>
  <c r="I27" i="64"/>
  <c r="J27" i="64"/>
  <c r="K27" i="64"/>
  <c r="I28" i="64"/>
  <c r="J28" i="64"/>
  <c r="K28" i="64"/>
  <c r="I29" i="64"/>
  <c r="J29" i="64"/>
  <c r="K29" i="64"/>
  <c r="I30" i="64"/>
  <c r="J30" i="64"/>
  <c r="K30" i="64"/>
  <c r="I31" i="64"/>
  <c r="J31" i="64"/>
  <c r="K31" i="64"/>
  <c r="I32" i="64"/>
  <c r="J32" i="64"/>
  <c r="K32" i="64"/>
  <c r="I33" i="64"/>
  <c r="J33" i="64"/>
  <c r="K33" i="64"/>
  <c r="I34" i="64"/>
  <c r="J34" i="64"/>
  <c r="K34" i="64"/>
  <c r="I35" i="64"/>
  <c r="J35" i="64"/>
  <c r="K35" i="64"/>
  <c r="I36" i="64"/>
  <c r="J36" i="64"/>
  <c r="K36" i="64"/>
  <c r="I37" i="64"/>
  <c r="J37" i="64"/>
  <c r="K37" i="64"/>
  <c r="I38" i="64"/>
  <c r="J38" i="64"/>
  <c r="K38" i="64"/>
  <c r="I39" i="64"/>
  <c r="J39" i="64"/>
  <c r="K39" i="64"/>
  <c r="I40" i="64"/>
  <c r="J40" i="64"/>
  <c r="K40" i="64"/>
  <c r="I41" i="64"/>
  <c r="J41" i="64"/>
  <c r="K41" i="64"/>
  <c r="I42" i="64"/>
  <c r="J42" i="64"/>
  <c r="K42" i="64"/>
  <c r="I43" i="64"/>
  <c r="J43" i="64"/>
  <c r="K43" i="64"/>
  <c r="I44" i="64"/>
  <c r="J44" i="64"/>
  <c r="K44" i="64"/>
  <c r="I45" i="64"/>
  <c r="J45" i="64"/>
  <c r="K45" i="64"/>
  <c r="I46" i="64"/>
  <c r="J46" i="64"/>
  <c r="K46" i="64"/>
  <c r="I47" i="64"/>
  <c r="J47" i="64"/>
  <c r="K47" i="64"/>
  <c r="I48" i="64"/>
  <c r="J48" i="64"/>
  <c r="K48" i="64"/>
  <c r="I49" i="64"/>
  <c r="J49" i="64"/>
  <c r="K49" i="64"/>
  <c r="I50" i="64"/>
  <c r="J50" i="64"/>
  <c r="K50" i="64"/>
  <c r="I51" i="64"/>
  <c r="J51" i="64"/>
  <c r="K51" i="64"/>
  <c r="I52" i="64"/>
  <c r="J52" i="64"/>
  <c r="K52" i="64"/>
  <c r="K3" i="64"/>
  <c r="J3" i="64"/>
  <c r="I3" i="64"/>
  <c r="F4" i="64"/>
  <c r="G4" i="64"/>
  <c r="F5" i="64"/>
  <c r="G5" i="64"/>
  <c r="F6" i="64"/>
  <c r="G6" i="64"/>
  <c r="F7" i="64"/>
  <c r="G7" i="64"/>
  <c r="F8" i="64"/>
  <c r="G8" i="64"/>
  <c r="F9" i="64"/>
  <c r="G9" i="64"/>
  <c r="F10" i="64"/>
  <c r="G10" i="64"/>
  <c r="F11" i="64"/>
  <c r="G11" i="64"/>
  <c r="F12" i="64"/>
  <c r="G12" i="64"/>
  <c r="F13" i="64"/>
  <c r="G13" i="64"/>
  <c r="F14" i="64"/>
  <c r="G14" i="64"/>
  <c r="F15" i="64"/>
  <c r="G15" i="64"/>
  <c r="F16" i="64"/>
  <c r="G16" i="64"/>
  <c r="F17" i="64"/>
  <c r="G17" i="64"/>
  <c r="F18" i="64"/>
  <c r="G18" i="64"/>
  <c r="F19" i="64"/>
  <c r="G19" i="64"/>
  <c r="F20" i="64"/>
  <c r="G20" i="64"/>
  <c r="F21" i="64"/>
  <c r="G21" i="64"/>
  <c r="F22" i="64"/>
  <c r="G22" i="64"/>
  <c r="F23" i="64"/>
  <c r="G23" i="64"/>
  <c r="F24" i="64"/>
  <c r="G24" i="64"/>
  <c r="F25" i="64"/>
  <c r="G25" i="64"/>
  <c r="F26" i="64"/>
  <c r="G26" i="64"/>
  <c r="F27" i="64"/>
  <c r="G27" i="64"/>
  <c r="F28" i="64"/>
  <c r="G28" i="64"/>
  <c r="F29" i="64"/>
  <c r="G29" i="64"/>
  <c r="F30" i="64"/>
  <c r="G30" i="64"/>
  <c r="F31" i="64"/>
  <c r="G31" i="64"/>
  <c r="F32" i="64"/>
  <c r="G32" i="64"/>
  <c r="F33" i="64"/>
  <c r="G33" i="64"/>
  <c r="F34" i="64"/>
  <c r="G34" i="64"/>
  <c r="F35" i="64"/>
  <c r="G35" i="64"/>
  <c r="F36" i="64"/>
  <c r="G36" i="64"/>
  <c r="F37" i="64"/>
  <c r="G37" i="64"/>
  <c r="F38" i="64"/>
  <c r="G38" i="64"/>
  <c r="F39" i="64"/>
  <c r="G39" i="64"/>
  <c r="F40" i="64"/>
  <c r="G40" i="64"/>
  <c r="F41" i="64"/>
  <c r="G41" i="64"/>
  <c r="F42" i="64"/>
  <c r="G42" i="64"/>
  <c r="F43" i="64"/>
  <c r="G43" i="64"/>
  <c r="F44" i="64"/>
  <c r="G44" i="64"/>
  <c r="F45" i="64"/>
  <c r="G45" i="64"/>
  <c r="F46" i="64"/>
  <c r="G46" i="64"/>
  <c r="F47" i="64"/>
  <c r="G47" i="64"/>
  <c r="F48" i="64"/>
  <c r="G48" i="64"/>
  <c r="F49" i="64"/>
  <c r="G49" i="64"/>
  <c r="F50" i="64"/>
  <c r="G50" i="64"/>
  <c r="F51" i="64"/>
  <c r="G51" i="64"/>
  <c r="F52" i="64"/>
  <c r="G52" i="64"/>
  <c r="F53" i="64"/>
  <c r="G53" i="64"/>
  <c r="F54" i="64"/>
  <c r="G54" i="64"/>
  <c r="F55" i="64"/>
  <c r="G55" i="64"/>
  <c r="F56" i="64"/>
  <c r="G56" i="64"/>
  <c r="F57" i="64"/>
  <c r="G57" i="64"/>
  <c r="F58" i="64"/>
  <c r="G58" i="64"/>
  <c r="F59" i="64"/>
  <c r="G59" i="64"/>
  <c r="F60" i="64"/>
  <c r="G60" i="64"/>
  <c r="F61" i="64"/>
  <c r="G61" i="64"/>
  <c r="F62" i="64"/>
  <c r="G62" i="64"/>
  <c r="F63" i="64"/>
  <c r="G63" i="64"/>
  <c r="F64" i="64"/>
  <c r="G64" i="64"/>
  <c r="F65" i="64"/>
  <c r="G65" i="64"/>
  <c r="F66" i="64"/>
  <c r="G66" i="64"/>
  <c r="F67" i="64"/>
  <c r="G67" i="64"/>
  <c r="F68" i="64"/>
  <c r="G68" i="64"/>
  <c r="F69" i="64"/>
  <c r="G69" i="64"/>
  <c r="F70" i="64"/>
  <c r="G70" i="64"/>
  <c r="F71" i="64"/>
  <c r="G71" i="64"/>
  <c r="F72" i="64"/>
  <c r="G72" i="64"/>
  <c r="F73" i="64"/>
  <c r="G73" i="64"/>
  <c r="F74" i="64"/>
  <c r="G74" i="64"/>
  <c r="F75" i="64"/>
  <c r="G75" i="64"/>
  <c r="F76" i="64"/>
  <c r="G76" i="64"/>
  <c r="F77" i="64"/>
  <c r="G77" i="64"/>
  <c r="F78" i="64"/>
  <c r="G78" i="64"/>
  <c r="F79" i="64"/>
  <c r="G79" i="64"/>
  <c r="F80" i="64"/>
  <c r="G80" i="64"/>
  <c r="F81" i="64"/>
  <c r="G81" i="64"/>
  <c r="F82" i="64"/>
  <c r="G82" i="64"/>
  <c r="F83" i="64"/>
  <c r="G83" i="64"/>
  <c r="F84" i="64"/>
  <c r="G84" i="64"/>
  <c r="F85" i="64"/>
  <c r="G85" i="64"/>
  <c r="F86" i="64"/>
  <c r="G86" i="64"/>
  <c r="F87" i="64"/>
  <c r="G87" i="64"/>
  <c r="F88" i="64"/>
  <c r="G88" i="64"/>
  <c r="F89" i="64"/>
  <c r="G89" i="64"/>
  <c r="F90" i="64"/>
  <c r="G90" i="64"/>
  <c r="F91" i="64"/>
  <c r="G91" i="64"/>
  <c r="F92" i="64"/>
  <c r="G92" i="64"/>
  <c r="F93" i="64"/>
  <c r="G93" i="64"/>
  <c r="F94" i="64"/>
  <c r="G94" i="64"/>
  <c r="F95" i="64"/>
  <c r="G95" i="64"/>
  <c r="F96" i="64"/>
  <c r="G96" i="64"/>
  <c r="F97" i="64"/>
  <c r="G97" i="64"/>
  <c r="F98" i="64"/>
  <c r="G98" i="64"/>
  <c r="F99" i="64"/>
  <c r="G99" i="64"/>
  <c r="F100" i="64"/>
  <c r="G100" i="64"/>
  <c r="F101" i="64"/>
  <c r="G101" i="64"/>
  <c r="F102" i="64"/>
  <c r="G102" i="64"/>
  <c r="F103" i="64"/>
  <c r="G103" i="64"/>
  <c r="F104" i="64"/>
  <c r="G104" i="64"/>
  <c r="F105" i="64"/>
  <c r="G105" i="64"/>
  <c r="F106" i="64"/>
  <c r="G106" i="64"/>
  <c r="F107" i="64"/>
  <c r="G107" i="64"/>
  <c r="F108" i="64"/>
  <c r="G108" i="64"/>
  <c r="F109" i="64"/>
  <c r="G109" i="64"/>
  <c r="F110" i="64"/>
  <c r="G110" i="64"/>
  <c r="F111" i="64"/>
  <c r="G111" i="64"/>
  <c r="F112" i="64"/>
  <c r="G112" i="64"/>
  <c r="F113" i="64"/>
  <c r="G113" i="64"/>
  <c r="F114" i="64"/>
  <c r="G114" i="64"/>
  <c r="F115" i="64"/>
  <c r="G115" i="64"/>
  <c r="F116" i="64"/>
  <c r="G116" i="64"/>
  <c r="F117" i="64"/>
  <c r="G117" i="64"/>
  <c r="F118" i="64"/>
  <c r="G118" i="64"/>
  <c r="F119" i="64"/>
  <c r="G119" i="64"/>
  <c r="F120" i="64"/>
  <c r="G120" i="64"/>
  <c r="F121" i="64"/>
  <c r="G121" i="64"/>
  <c r="F122" i="64"/>
  <c r="G122" i="64"/>
  <c r="F123" i="64"/>
  <c r="G123" i="64"/>
  <c r="F124" i="64"/>
  <c r="G124" i="64"/>
  <c r="F125" i="64"/>
  <c r="G125" i="64"/>
  <c r="F126" i="64"/>
  <c r="G126" i="64"/>
  <c r="F127" i="64"/>
  <c r="G127" i="64"/>
  <c r="F128" i="64"/>
  <c r="G128" i="64"/>
  <c r="F129" i="64"/>
  <c r="G129" i="64"/>
  <c r="F130" i="64"/>
  <c r="G130" i="64"/>
  <c r="F131" i="64"/>
  <c r="G131" i="64"/>
  <c r="F132" i="64"/>
  <c r="G132" i="64"/>
  <c r="F133" i="64"/>
  <c r="G133" i="64"/>
  <c r="F134" i="64"/>
  <c r="G134" i="64"/>
  <c r="F135" i="64"/>
  <c r="G135" i="64"/>
  <c r="F136" i="64"/>
  <c r="G136" i="64"/>
  <c r="F137" i="64"/>
  <c r="G137" i="64"/>
  <c r="F138" i="64"/>
  <c r="G138" i="64"/>
  <c r="F139" i="64"/>
  <c r="G139" i="64"/>
  <c r="F140" i="64"/>
  <c r="G140" i="64"/>
  <c r="F141" i="64"/>
  <c r="G141" i="64"/>
  <c r="F142" i="64"/>
  <c r="G142" i="64"/>
  <c r="F143" i="64"/>
  <c r="G143" i="64"/>
  <c r="F144" i="64"/>
  <c r="G144" i="64"/>
  <c r="F145" i="64"/>
  <c r="G145" i="64"/>
  <c r="F146" i="64"/>
  <c r="G146" i="64"/>
  <c r="F147" i="64"/>
  <c r="G147" i="64"/>
  <c r="F148" i="64"/>
  <c r="G148" i="64"/>
  <c r="F149" i="64"/>
  <c r="G149" i="64"/>
  <c r="F150" i="64"/>
  <c r="G150" i="64"/>
  <c r="F151" i="64"/>
  <c r="G151" i="64"/>
  <c r="F152" i="64"/>
  <c r="G152" i="64"/>
  <c r="G3" i="64"/>
  <c r="F3" i="64"/>
  <c r="D35" i="64"/>
  <c r="C35" i="64"/>
  <c r="B35" i="64"/>
  <c r="D34" i="64"/>
  <c r="C34" i="64"/>
  <c r="B34" i="64"/>
  <c r="D33" i="64"/>
  <c r="C33" i="64"/>
  <c r="B33" i="64"/>
  <c r="D32" i="64"/>
  <c r="C32" i="64"/>
  <c r="B32" i="64"/>
  <c r="D31" i="64"/>
  <c r="C31" i="64"/>
  <c r="B31" i="64"/>
  <c r="D30" i="64"/>
  <c r="C30" i="64"/>
  <c r="B30" i="64"/>
  <c r="D29" i="64"/>
  <c r="C29" i="64"/>
  <c r="B29" i="64"/>
  <c r="D28" i="64"/>
  <c r="C28" i="64"/>
  <c r="B28" i="64"/>
  <c r="D27" i="64"/>
  <c r="C27" i="64"/>
  <c r="B27" i="64"/>
  <c r="D26" i="64"/>
  <c r="C26" i="64"/>
  <c r="B26" i="64"/>
  <c r="D25" i="64"/>
  <c r="C25" i="64"/>
  <c r="B25" i="64"/>
  <c r="D24" i="64"/>
  <c r="C24" i="64"/>
  <c r="B24" i="64"/>
  <c r="B9" i="64"/>
  <c r="C9" i="64"/>
  <c r="D9" i="64"/>
  <c r="B10" i="64"/>
  <c r="C10" i="64"/>
  <c r="D10" i="64"/>
  <c r="B11" i="64"/>
  <c r="C11" i="64"/>
  <c r="D11" i="64"/>
  <c r="B12" i="64"/>
  <c r="C12" i="64"/>
  <c r="D12" i="64"/>
  <c r="B13" i="64"/>
  <c r="C13" i="64"/>
  <c r="D13" i="64"/>
  <c r="B14" i="64"/>
  <c r="C14" i="64"/>
  <c r="D14" i="64"/>
  <c r="B15" i="64"/>
  <c r="C15" i="64"/>
  <c r="D15" i="64"/>
  <c r="B16" i="64"/>
  <c r="C16" i="64"/>
  <c r="D16" i="64"/>
  <c r="B17" i="64"/>
  <c r="C17" i="64"/>
  <c r="D17" i="64"/>
  <c r="C8" i="64"/>
  <c r="D8" i="64"/>
  <c r="B8" i="64"/>
  <c r="D8" i="71"/>
  <c r="C8" i="71"/>
  <c r="L67" i="71" s="1"/>
  <c r="C20" i="71"/>
  <c r="D9" i="71"/>
  <c r="D10" i="71"/>
  <c r="D11" i="71"/>
  <c r="C9" i="71"/>
  <c r="Q82" i="71" s="1"/>
  <c r="C10" i="71"/>
  <c r="V83" i="71" s="1"/>
  <c r="C11" i="71"/>
  <c r="AA72" i="71" s="1"/>
  <c r="S51" i="71"/>
  <c r="I72" i="71"/>
  <c r="I11" i="71"/>
  <c r="X76" i="71"/>
  <c r="N76" i="71"/>
  <c r="I76" i="71"/>
  <c r="X32" i="71"/>
  <c r="Z32" i="71"/>
  <c r="I32" i="71"/>
  <c r="S39" i="71"/>
  <c r="X105" i="71"/>
  <c r="Z105" i="71" s="1"/>
  <c r="S105" i="71"/>
  <c r="U105" i="71" s="1"/>
  <c r="X67" i="71"/>
  <c r="Z67" i="71" s="1"/>
  <c r="N67" i="71"/>
  <c r="X24" i="71"/>
  <c r="Z24" i="71" s="1"/>
  <c r="I86" i="71"/>
  <c r="H28" i="71"/>
  <c r="K28" i="71" s="1"/>
  <c r="I28" i="71"/>
  <c r="X90" i="71"/>
  <c r="Z90" i="71" s="1"/>
  <c r="H46" i="71"/>
  <c r="K46" i="71" s="1"/>
  <c r="T55" i="71"/>
  <c r="O19" i="71"/>
  <c r="X81" i="71"/>
  <c r="Z81" i="71" s="1"/>
  <c r="S81" i="71"/>
  <c r="U81" i="71" s="1"/>
  <c r="X40" i="71"/>
  <c r="Z40" i="71" s="1"/>
  <c r="I40" i="71"/>
  <c r="I106" i="71"/>
  <c r="T41" i="71"/>
  <c r="I41" i="71"/>
  <c r="N102" i="71"/>
  <c r="P102" i="71" s="1"/>
  <c r="O102" i="71"/>
  <c r="H62" i="71"/>
  <c r="K62" i="71"/>
  <c r="H36" i="71"/>
  <c r="K36" i="71" s="1"/>
  <c r="O99" i="71"/>
  <c r="Q99" i="71" s="1"/>
  <c r="S99" i="71"/>
  <c r="U99" i="71" s="1"/>
  <c r="T56" i="71"/>
  <c r="I56" i="71"/>
  <c r="T57" i="71"/>
  <c r="I57" i="71"/>
  <c r="Y15" i="71"/>
  <c r="H15" i="71"/>
  <c r="J15" i="71" s="1"/>
  <c r="K15" i="71"/>
  <c r="I15" i="71"/>
  <c r="X80" i="71"/>
  <c r="Z80" i="71" s="1"/>
  <c r="O80" i="71"/>
  <c r="N89" i="71"/>
  <c r="H27" i="71"/>
  <c r="K27" i="71" s="1"/>
  <c r="X93" i="71"/>
  <c r="Y16" i="71"/>
  <c r="S16" i="71"/>
  <c r="H30" i="71"/>
  <c r="K30" i="71" s="1"/>
  <c r="H92" i="71"/>
  <c r="K92" i="71" s="1"/>
  <c r="I92" i="71"/>
  <c r="L92" i="71" s="1"/>
  <c r="S14" i="71"/>
  <c r="U14" i="71" s="1"/>
  <c r="N14" i="71"/>
  <c r="T14" i="71"/>
  <c r="T77" i="71"/>
  <c r="N45" i="71"/>
  <c r="P45" i="71"/>
  <c r="Y101" i="71"/>
  <c r="S101" i="71"/>
  <c r="U101" i="71" s="1"/>
  <c r="S49" i="71"/>
  <c r="X49" i="71"/>
  <c r="Z49" i="71" s="1"/>
  <c r="X44" i="71"/>
  <c r="Z44" i="71" s="1"/>
  <c r="S44" i="71"/>
  <c r="T29" i="71"/>
  <c r="O29" i="71"/>
  <c r="Y95" i="71"/>
  <c r="AA95" i="71" s="1"/>
  <c r="T95" i="71"/>
  <c r="I85" i="71"/>
  <c r="L85" i="71" s="1"/>
  <c r="T85" i="71"/>
  <c r="Y61" i="71"/>
  <c r="S61" i="71"/>
  <c r="U61" i="71" s="1"/>
  <c r="S79" i="71"/>
  <c r="X79" i="71"/>
  <c r="Z79" i="71" s="1"/>
  <c r="O60" i="71"/>
  <c r="T60" i="71"/>
  <c r="O47" i="71"/>
  <c r="S12" i="71"/>
  <c r="U12" i="71" s="1"/>
  <c r="T12" i="71"/>
  <c r="N75" i="71"/>
  <c r="P75" i="71" s="1"/>
  <c r="X75" i="71"/>
  <c r="Z75" i="71" s="1"/>
  <c r="O75" i="71"/>
  <c r="O13" i="71"/>
  <c r="Y13" i="71"/>
  <c r="S78" i="71"/>
  <c r="O63" i="71"/>
  <c r="X63" i="71"/>
  <c r="Z63" i="71" s="1"/>
  <c r="T20" i="71"/>
  <c r="I48" i="71"/>
  <c r="S33" i="71"/>
  <c r="U33" i="71" s="1"/>
  <c r="Y33" i="71"/>
  <c r="X100" i="71"/>
  <c r="Z100" i="71" s="1"/>
  <c r="Y100" i="71"/>
  <c r="X26" i="71"/>
  <c r="Z26" i="71" s="1"/>
  <c r="I26" i="71"/>
  <c r="N26" i="71"/>
  <c r="S88" i="71"/>
  <c r="N17" i="71"/>
  <c r="P17" i="71" s="1"/>
  <c r="I17" i="71"/>
  <c r="H17" i="71"/>
  <c r="K17" i="71"/>
  <c r="I83" i="71"/>
  <c r="L83" i="71" s="1"/>
  <c r="H68" i="71"/>
  <c r="K68" i="71" s="1"/>
  <c r="I66" i="71"/>
  <c r="N59" i="71"/>
  <c r="T34" i="71"/>
  <c r="T96" i="71"/>
  <c r="Y96" i="71"/>
  <c r="Y18" i="71"/>
  <c r="S82" i="71"/>
  <c r="U82" i="71"/>
  <c r="S98" i="71"/>
  <c r="U98" i="71" s="1"/>
  <c r="X98" i="71"/>
  <c r="Z98" i="71" s="1"/>
  <c r="Y9" i="71"/>
  <c r="S9" i="71"/>
  <c r="U9" i="71" s="1"/>
  <c r="I74" i="71"/>
  <c r="N74" i="71"/>
  <c r="N58" i="71"/>
  <c r="H58" i="71"/>
  <c r="K58" i="71" s="1"/>
  <c r="I58" i="71"/>
  <c r="L58" i="71" s="1"/>
  <c r="O107" i="71"/>
  <c r="I107" i="71"/>
  <c r="T107" i="71"/>
  <c r="I35" i="71"/>
  <c r="N91" i="71"/>
  <c r="X91" i="71"/>
  <c r="Z91" i="71"/>
  <c r="Y22" i="71"/>
  <c r="N43" i="71"/>
  <c r="X97" i="71"/>
  <c r="Z97" i="71"/>
  <c r="H97" i="71"/>
  <c r="K97" i="71" s="1"/>
  <c r="N84" i="71"/>
  <c r="P84" i="71" s="1"/>
  <c r="S37" i="71"/>
  <c r="U37" i="71" s="1"/>
  <c r="N37" i="71"/>
  <c r="X37" i="71"/>
  <c r="Z37" i="71" s="1"/>
  <c r="N64" i="71"/>
  <c r="O64" i="71"/>
  <c r="S64" i="71"/>
  <c r="U64" i="71"/>
  <c r="T52" i="71"/>
  <c r="N52" i="71"/>
  <c r="P52" i="71" s="1"/>
  <c r="X104" i="71"/>
  <c r="Z104" i="71" s="1"/>
  <c r="N104" i="71"/>
  <c r="I104" i="71"/>
  <c r="O25" i="71"/>
  <c r="T25" i="71"/>
  <c r="H69" i="71"/>
  <c r="K69" i="71" s="1"/>
  <c r="S54" i="71"/>
  <c r="U54" i="71" s="1"/>
  <c r="N21" i="71"/>
  <c r="I21" i="71"/>
  <c r="L21" i="71" s="1"/>
  <c r="T21" i="71"/>
  <c r="I53" i="71"/>
  <c r="T53" i="71"/>
  <c r="S73" i="71"/>
  <c r="U73" i="71" s="1"/>
  <c r="Y87" i="71"/>
  <c r="T87" i="71"/>
  <c r="H31" i="71"/>
  <c r="K31" i="71" s="1"/>
  <c r="S31" i="71"/>
  <c r="U31" i="71" s="1"/>
  <c r="S10" i="71"/>
  <c r="U10" i="71" s="1"/>
  <c r="X10" i="71"/>
  <c r="Z10" i="71" s="1"/>
  <c r="I65" i="71"/>
  <c r="L65" i="71" s="1"/>
  <c r="H65" i="71"/>
  <c r="K65" i="71" s="1"/>
  <c r="S103" i="71"/>
  <c r="U103" i="71" s="1"/>
  <c r="X103" i="71"/>
  <c r="Z103" i="71" s="1"/>
  <c r="S42" i="71"/>
  <c r="U42" i="71"/>
  <c r="Y42" i="71"/>
  <c r="I108" i="71"/>
  <c r="N51" i="71"/>
  <c r="X72" i="71"/>
  <c r="Z72" i="71" s="1"/>
  <c r="N72" i="71"/>
  <c r="S72" i="71"/>
  <c r="U72" i="71" s="1"/>
  <c r="X11" i="71"/>
  <c r="Z11" i="71" s="1"/>
  <c r="S11" i="71"/>
  <c r="U11" i="71" s="1"/>
  <c r="O11" i="71"/>
  <c r="Y76" i="71"/>
  <c r="S76" i="71"/>
  <c r="U76" i="71" s="1"/>
  <c r="O76" i="71"/>
  <c r="O32" i="71"/>
  <c r="S32" i="71"/>
  <c r="U32" i="71" s="1"/>
  <c r="Y94" i="71"/>
  <c r="S94" i="71"/>
  <c r="U94" i="71" s="1"/>
  <c r="I39" i="71"/>
  <c r="L39" i="71" s="1"/>
  <c r="N39" i="71"/>
  <c r="I105" i="71"/>
  <c r="H105" i="71"/>
  <c r="K105" i="71" s="1"/>
  <c r="O67" i="71"/>
  <c r="S67" i="71"/>
  <c r="U67" i="71" s="1"/>
  <c r="Y24" i="71"/>
  <c r="N24" i="71"/>
  <c r="S24" i="71"/>
  <c r="U24" i="71" s="1"/>
  <c r="S86" i="71"/>
  <c r="U86" i="71" s="1"/>
  <c r="X86" i="71"/>
  <c r="Z86" i="71" s="1"/>
  <c r="N86" i="71"/>
  <c r="O28" i="71"/>
  <c r="S90" i="71"/>
  <c r="U90" i="71" s="1"/>
  <c r="I90" i="71"/>
  <c r="N90" i="71"/>
  <c r="X46" i="71"/>
  <c r="Z46" i="71" s="1"/>
  <c r="S46" i="71"/>
  <c r="U46" i="71"/>
  <c r="O46" i="71"/>
  <c r="I55" i="71"/>
  <c r="S19" i="71"/>
  <c r="U19" i="71" s="1"/>
  <c r="I81" i="71"/>
  <c r="H81" i="71"/>
  <c r="J81" i="71" s="1"/>
  <c r="K81" i="71"/>
  <c r="Y40" i="71"/>
  <c r="AA40" i="71" s="1"/>
  <c r="S40" i="71"/>
  <c r="U40" i="71" s="1"/>
  <c r="O40" i="71"/>
  <c r="Y106" i="71"/>
  <c r="H106" i="71"/>
  <c r="K106" i="71" s="1"/>
  <c r="S41" i="71"/>
  <c r="U41" i="71"/>
  <c r="O41" i="71"/>
  <c r="X102" i="71"/>
  <c r="Z102" i="71" s="1"/>
  <c r="H102" i="71"/>
  <c r="K102" i="71" s="1"/>
  <c r="S102" i="71"/>
  <c r="U102" i="71" s="1"/>
  <c r="O62" i="71"/>
  <c r="Y71" i="71"/>
  <c r="AA71" i="71" s="1"/>
  <c r="I71" i="71"/>
  <c r="X36" i="71"/>
  <c r="Z36" i="71" s="1"/>
  <c r="I99" i="71"/>
  <c r="L99" i="71" s="1"/>
  <c r="O56" i="71"/>
  <c r="O57" i="71"/>
  <c r="X15" i="71"/>
  <c r="Z15" i="71"/>
  <c r="N15" i="71"/>
  <c r="S80" i="71"/>
  <c r="U80" i="71" s="1"/>
  <c r="T80" i="71"/>
  <c r="Y23" i="71"/>
  <c r="H23" i="71"/>
  <c r="K23" i="71" s="1"/>
  <c r="I89" i="71"/>
  <c r="S89" i="71"/>
  <c r="U89" i="71" s="1"/>
  <c r="S27" i="71"/>
  <c r="U27" i="71" s="1"/>
  <c r="Y93" i="71"/>
  <c r="H93" i="71"/>
  <c r="K93" i="71" s="1"/>
  <c r="X16" i="71"/>
  <c r="Z16" i="71" s="1"/>
  <c r="N16" i="71"/>
  <c r="P16" i="71" s="1"/>
  <c r="N30" i="71"/>
  <c r="Y30" i="71"/>
  <c r="O30" i="71"/>
  <c r="S92" i="71"/>
  <c r="U92" i="71" s="1"/>
  <c r="H14" i="71"/>
  <c r="K14" i="71" s="1"/>
  <c r="I14" i="71"/>
  <c r="H77" i="71"/>
  <c r="K77" i="71" s="1"/>
  <c r="I77" i="71"/>
  <c r="H50" i="71"/>
  <c r="K50" i="71" s="1"/>
  <c r="X50" i="71"/>
  <c r="Z50" i="71" s="1"/>
  <c r="I50" i="71"/>
  <c r="I45" i="71"/>
  <c r="X101" i="71"/>
  <c r="Z101" i="71"/>
  <c r="H101" i="71"/>
  <c r="K101" i="71" s="1"/>
  <c r="T49" i="71"/>
  <c r="O49" i="71"/>
  <c r="Q49" i="71" s="1"/>
  <c r="Y44" i="71"/>
  <c r="H44" i="71"/>
  <c r="K44" i="71" s="1"/>
  <c r="I44" i="71"/>
  <c r="I29" i="71"/>
  <c r="H95" i="71"/>
  <c r="K95" i="71" s="1"/>
  <c r="I95" i="71"/>
  <c r="S85" i="71"/>
  <c r="U85" i="71"/>
  <c r="H85" i="71"/>
  <c r="K85" i="71" s="1"/>
  <c r="I61" i="71"/>
  <c r="O79" i="71"/>
  <c r="H60" i="71"/>
  <c r="K60" i="71" s="1"/>
  <c r="I60" i="71"/>
  <c r="H47" i="71"/>
  <c r="K47" i="71"/>
  <c r="N47" i="71"/>
  <c r="I12" i="71"/>
  <c r="L12" i="71" s="1"/>
  <c r="S75" i="71"/>
  <c r="U75" i="71" s="1"/>
  <c r="I75" i="71"/>
  <c r="T75" i="71"/>
  <c r="S13" i="71"/>
  <c r="U13" i="71" s="1"/>
  <c r="H13" i="71"/>
  <c r="K13" i="71"/>
  <c r="N78" i="71"/>
  <c r="P78" i="71"/>
  <c r="I78" i="71"/>
  <c r="T78" i="71"/>
  <c r="H63" i="71"/>
  <c r="K63" i="71" s="1"/>
  <c r="N63" i="71"/>
  <c r="N20" i="71"/>
  <c r="X20" i="71"/>
  <c r="Z20" i="71" s="1"/>
  <c r="N48" i="71"/>
  <c r="P48" i="71" s="1"/>
  <c r="X33" i="71"/>
  <c r="Z33" i="71" s="1"/>
  <c r="O33" i="71"/>
  <c r="S100" i="71"/>
  <c r="U100" i="71" s="1"/>
  <c r="H26" i="71"/>
  <c r="K26" i="71" s="1"/>
  <c r="Y26" i="71"/>
  <c r="I88" i="71"/>
  <c r="H88" i="71"/>
  <c r="J88" i="71" s="1"/>
  <c r="K88" i="71"/>
  <c r="X17" i="71"/>
  <c r="Z17" i="71" s="1"/>
  <c r="S68" i="71"/>
  <c r="U68" i="71" s="1"/>
  <c r="X68" i="71"/>
  <c r="Z68" i="71" s="1"/>
  <c r="S66" i="71"/>
  <c r="U66" i="71" s="1"/>
  <c r="S59" i="71"/>
  <c r="U59" i="71" s="1"/>
  <c r="S70" i="71"/>
  <c r="U70" i="71"/>
  <c r="X34" i="71"/>
  <c r="Z34" i="71" s="1"/>
  <c r="S96" i="71"/>
  <c r="U96" i="71" s="1"/>
  <c r="X96" i="71"/>
  <c r="Z96" i="71" s="1"/>
  <c r="X18" i="71"/>
  <c r="Z18" i="71"/>
  <c r="S18" i="71"/>
  <c r="U18" i="71"/>
  <c r="T82" i="71"/>
  <c r="O98" i="71"/>
  <c r="H98" i="71"/>
  <c r="K98" i="71" s="1"/>
  <c r="N9" i="71"/>
  <c r="P9" i="71" s="1"/>
  <c r="I9" i="71"/>
  <c r="L9" i="71" s="1"/>
  <c r="T9" i="71"/>
  <c r="H74" i="71"/>
  <c r="K74" i="71" s="1"/>
  <c r="X58" i="71"/>
  <c r="Z58" i="71" s="1"/>
  <c r="Y107" i="71"/>
  <c r="S107" i="71"/>
  <c r="U107" i="71" s="1"/>
  <c r="Y35" i="71"/>
  <c r="I91" i="71"/>
  <c r="L91" i="71" s="1"/>
  <c r="H22" i="71"/>
  <c r="K22" i="71" s="1"/>
  <c r="S22" i="71"/>
  <c r="U22" i="71" s="1"/>
  <c r="S43" i="71"/>
  <c r="U43" i="71" s="1"/>
  <c r="O97" i="71"/>
  <c r="Q97" i="71"/>
  <c r="I84" i="71"/>
  <c r="S84" i="71"/>
  <c r="U84" i="71" s="1"/>
  <c r="Y37" i="71"/>
  <c r="I37" i="71"/>
  <c r="I64" i="71"/>
  <c r="L64" i="71" s="1"/>
  <c r="X52" i="71"/>
  <c r="Z52" i="71" s="1"/>
  <c r="Y52" i="71"/>
  <c r="S104" i="71"/>
  <c r="U104" i="71" s="1"/>
  <c r="O104" i="71"/>
  <c r="H25" i="71"/>
  <c r="K25" i="71" s="1"/>
  <c r="S25" i="71"/>
  <c r="U25" i="71" s="1"/>
  <c r="I25" i="71"/>
  <c r="I69" i="71"/>
  <c r="H54" i="71"/>
  <c r="K54" i="71" s="1"/>
  <c r="T54" i="71"/>
  <c r="N54" i="71"/>
  <c r="S53" i="71"/>
  <c r="U53" i="71" s="1"/>
  <c r="H73" i="71"/>
  <c r="K73" i="71" s="1"/>
  <c r="N73" i="71"/>
  <c r="I73" i="71"/>
  <c r="N87" i="71"/>
  <c r="I31" i="71"/>
  <c r="L31" i="71" s="1"/>
  <c r="Y38" i="71"/>
  <c r="O10" i="71"/>
  <c r="Q10" i="71" s="1"/>
  <c r="N65" i="71"/>
  <c r="P65" i="71" s="1"/>
  <c r="O103" i="71"/>
  <c r="T103" i="71"/>
  <c r="X42" i="71"/>
  <c r="Z42" i="71" s="1"/>
  <c r="N108" i="71"/>
  <c r="P108" i="71" s="1"/>
  <c r="O108" i="71"/>
  <c r="I51" i="71"/>
  <c r="H51" i="71"/>
  <c r="K51" i="71" s="1"/>
  <c r="X51" i="71"/>
  <c r="Z51" i="71" s="1"/>
  <c r="H11" i="71"/>
  <c r="K11" i="71" s="1"/>
  <c r="N32" i="71"/>
  <c r="H32" i="71"/>
  <c r="K32" i="71"/>
  <c r="Y32" i="71"/>
  <c r="AA32" i="71" s="1"/>
  <c r="N94" i="71"/>
  <c r="I94" i="71"/>
  <c r="X94" i="71"/>
  <c r="Z94" i="71" s="1"/>
  <c r="H39" i="71"/>
  <c r="K39" i="71" s="1"/>
  <c r="Y39" i="71"/>
  <c r="N105" i="71"/>
  <c r="T105" i="71"/>
  <c r="I67" i="71"/>
  <c r="H67" i="71"/>
  <c r="K67" i="71"/>
  <c r="Y67" i="71"/>
  <c r="AA67" i="71" s="1"/>
  <c r="I24" i="71"/>
  <c r="H24" i="71"/>
  <c r="K24" i="71" s="1"/>
  <c r="Y86" i="71"/>
  <c r="X28" i="71"/>
  <c r="Z28" i="71" s="1"/>
  <c r="H90" i="71"/>
  <c r="K90" i="71" s="1"/>
  <c r="N46" i="71"/>
  <c r="I46" i="71"/>
  <c r="H55" i="71"/>
  <c r="K55" i="71" s="1"/>
  <c r="N55" i="71"/>
  <c r="X55" i="71"/>
  <c r="Z55" i="71" s="1"/>
  <c r="I19" i="71"/>
  <c r="H19" i="71"/>
  <c r="K19" i="71" s="1"/>
  <c r="X19" i="71"/>
  <c r="Z19" i="71" s="1"/>
  <c r="N81" i="71"/>
  <c r="P81" i="71" s="1"/>
  <c r="T81" i="71"/>
  <c r="H40" i="71"/>
  <c r="K40" i="71" s="1"/>
  <c r="N106" i="71"/>
  <c r="P106" i="71" s="1"/>
  <c r="S106" i="71"/>
  <c r="U106" i="71" s="1"/>
  <c r="H41" i="71"/>
  <c r="K41" i="71" s="1"/>
  <c r="X41" i="71"/>
  <c r="Z41" i="71" s="1"/>
  <c r="I102" i="71"/>
  <c r="L102" i="71" s="1"/>
  <c r="S62" i="71"/>
  <c r="U62" i="71" s="1"/>
  <c r="I62" i="71"/>
  <c r="Y62" i="71"/>
  <c r="H71" i="71"/>
  <c r="K71" i="71" s="1"/>
  <c r="N71" i="71"/>
  <c r="S71" i="71"/>
  <c r="U71" i="71" s="1"/>
  <c r="I36" i="71"/>
  <c r="N36" i="71"/>
  <c r="T36" i="71"/>
  <c r="H99" i="71"/>
  <c r="K99" i="71" s="1"/>
  <c r="X99" i="71"/>
  <c r="Z99" i="71"/>
  <c r="H56" i="71"/>
  <c r="K56" i="71"/>
  <c r="X56" i="71"/>
  <c r="Z56" i="71"/>
  <c r="Y57" i="71"/>
  <c r="H57" i="71"/>
  <c r="K57" i="71"/>
  <c r="O15" i="71"/>
  <c r="H80" i="71"/>
  <c r="K80" i="71"/>
  <c r="N23" i="71"/>
  <c r="I23" i="71"/>
  <c r="S23" i="71"/>
  <c r="U23" i="71" s="1"/>
  <c r="H89" i="71"/>
  <c r="K89" i="71" s="1"/>
  <c r="I27" i="71"/>
  <c r="S93" i="71"/>
  <c r="U93" i="71" s="1"/>
  <c r="I93" i="71"/>
  <c r="L93" i="71" s="1"/>
  <c r="I16" i="71"/>
  <c r="J16" i="71" s="1"/>
  <c r="H16" i="71"/>
  <c r="K16" i="71" s="1"/>
  <c r="I30" i="71"/>
  <c r="S30" i="71"/>
  <c r="U30" i="71" s="1"/>
  <c r="X92" i="71"/>
  <c r="Z92" i="71" s="1"/>
  <c r="X14" i="71"/>
  <c r="Z14" i="71" s="1"/>
  <c r="Y14" i="71"/>
  <c r="S77" i="71"/>
  <c r="U77" i="71" s="1"/>
  <c r="X77" i="71"/>
  <c r="Z77" i="71" s="1"/>
  <c r="T50" i="71"/>
  <c r="N50" i="71"/>
  <c r="O45" i="71"/>
  <c r="N101" i="71"/>
  <c r="P101" i="71" s="1"/>
  <c r="I49" i="71"/>
  <c r="H49" i="71"/>
  <c r="K49" i="71" s="1"/>
  <c r="T44" i="71"/>
  <c r="N44" i="71"/>
  <c r="S29" i="71"/>
  <c r="U29" i="71"/>
  <c r="X29" i="71"/>
  <c r="Z29" i="71"/>
  <c r="N95" i="71"/>
  <c r="O85" i="71"/>
  <c r="X85" i="71"/>
  <c r="Z85" i="71" s="1"/>
  <c r="N61" i="71"/>
  <c r="X61" i="71"/>
  <c r="Z61" i="71"/>
  <c r="N79" i="71"/>
  <c r="X60" i="71"/>
  <c r="Z60" i="71" s="1"/>
  <c r="S60" i="71"/>
  <c r="U60" i="71"/>
  <c r="Y47" i="71"/>
  <c r="AA47" i="71" s="1"/>
  <c r="I47" i="71"/>
  <c r="X12" i="71"/>
  <c r="Z12" i="71" s="1"/>
  <c r="H12" i="71"/>
  <c r="K12" i="71" s="1"/>
  <c r="N13" i="71"/>
  <c r="T13" i="71"/>
  <c r="Y78" i="71"/>
  <c r="O78" i="71"/>
  <c r="S63" i="71"/>
  <c r="U63" i="71" s="1"/>
  <c r="T63" i="71"/>
  <c r="H20" i="71"/>
  <c r="K20" i="71" s="1"/>
  <c r="X48" i="71"/>
  <c r="Z48" i="71" s="1"/>
  <c r="N33" i="71"/>
  <c r="I33" i="71"/>
  <c r="H33" i="71"/>
  <c r="K33" i="71"/>
  <c r="I100" i="71"/>
  <c r="N100" i="71"/>
  <c r="P100" i="71" s="1"/>
  <c r="S26" i="71"/>
  <c r="U26" i="71" s="1"/>
  <c r="T26" i="71"/>
  <c r="O88" i="71"/>
  <c r="Y88" i="71"/>
  <c r="T17" i="71"/>
  <c r="X83" i="71"/>
  <c r="Z83" i="71" s="1"/>
  <c r="O68" i="71"/>
  <c r="Q68" i="71" s="1"/>
  <c r="N66" i="71"/>
  <c r="P66" i="71" s="1"/>
  <c r="H66" i="71"/>
  <c r="K66" i="71" s="1"/>
  <c r="Y66" i="71"/>
  <c r="I59" i="71"/>
  <c r="T59" i="71"/>
  <c r="T70" i="71"/>
  <c r="N70" i="71"/>
  <c r="N34" i="71"/>
  <c r="O34" i="71"/>
  <c r="N96" i="71"/>
  <c r="O96" i="71"/>
  <c r="Q96" i="71"/>
  <c r="O18" i="71"/>
  <c r="I18" i="71"/>
  <c r="H18" i="71"/>
  <c r="K18" i="71" s="1"/>
  <c r="H82" i="71"/>
  <c r="K82" i="71" s="1"/>
  <c r="N98" i="71"/>
  <c r="P98" i="71" s="1"/>
  <c r="O9" i="71"/>
  <c r="X9" i="71"/>
  <c r="Z9" i="71" s="1"/>
  <c r="X74" i="71"/>
  <c r="Z74" i="71" s="1"/>
  <c r="Y58" i="71"/>
  <c r="H107" i="71"/>
  <c r="K107" i="71" s="1"/>
  <c r="S35" i="71"/>
  <c r="U35" i="71" s="1"/>
  <c r="H35" i="71"/>
  <c r="K35" i="71" s="1"/>
  <c r="X35" i="71"/>
  <c r="Z35" i="71" s="1"/>
  <c r="S91" i="71"/>
  <c r="U91" i="71" s="1"/>
  <c r="I22" i="71"/>
  <c r="I43" i="71"/>
  <c r="S97" i="71"/>
  <c r="U97" i="71" s="1"/>
  <c r="H84" i="71"/>
  <c r="K84" i="71" s="1"/>
  <c r="X84" i="71"/>
  <c r="Z84" i="71" s="1"/>
  <c r="H37" i="71"/>
  <c r="K37" i="71" s="1"/>
  <c r="O37" i="71"/>
  <c r="S52" i="71"/>
  <c r="U52" i="71" s="1"/>
  <c r="H104" i="71"/>
  <c r="K104" i="71" s="1"/>
  <c r="X69" i="71"/>
  <c r="Z69" i="71" s="1"/>
  <c r="N69" i="71"/>
  <c r="I54" i="71"/>
  <c r="X54" i="71"/>
  <c r="Z54" i="71" s="1"/>
  <c r="Y21" i="71"/>
  <c r="AA21" i="71"/>
  <c r="H21" i="71"/>
  <c r="K21" i="71" s="1"/>
  <c r="S21" i="71"/>
  <c r="U21" i="71" s="1"/>
  <c r="X53" i="71"/>
  <c r="Z53" i="71" s="1"/>
  <c r="H53" i="71"/>
  <c r="K53" i="71" s="1"/>
  <c r="S87" i="71"/>
  <c r="U87" i="71" s="1"/>
  <c r="I87" i="71"/>
  <c r="L87" i="71" s="1"/>
  <c r="X31" i="71"/>
  <c r="Z31" i="71" s="1"/>
  <c r="O31" i="71"/>
  <c r="H38" i="71"/>
  <c r="K38" i="71" s="1"/>
  <c r="S38" i="71"/>
  <c r="U38" i="71" s="1"/>
  <c r="N38" i="71"/>
  <c r="N10" i="71"/>
  <c r="Y65" i="71"/>
  <c r="S65" i="71"/>
  <c r="U65" i="71" s="1"/>
  <c r="N103" i="71"/>
  <c r="I103" i="71"/>
  <c r="N42" i="71"/>
  <c r="H42" i="71"/>
  <c r="K42" i="71"/>
  <c r="I42" i="71"/>
  <c r="J42" i="71" s="1"/>
  <c r="O51" i="71"/>
  <c r="Y51" i="71"/>
  <c r="N11" i="71"/>
  <c r="H76" i="71"/>
  <c r="K76" i="71" s="1"/>
  <c r="T32" i="71"/>
  <c r="O94" i="71"/>
  <c r="H94" i="71"/>
  <c r="K94" i="71" s="1"/>
  <c r="X39" i="71"/>
  <c r="Z39" i="71" s="1"/>
  <c r="Y105" i="71"/>
  <c r="H86" i="71"/>
  <c r="K86" i="71" s="1"/>
  <c r="N28" i="71"/>
  <c r="S28" i="71"/>
  <c r="U28" i="71" s="1"/>
  <c r="Y90" i="71"/>
  <c r="T90" i="71"/>
  <c r="T46" i="71"/>
  <c r="O55" i="71"/>
  <c r="S55" i="71"/>
  <c r="U55" i="71" s="1"/>
  <c r="N19" i="71"/>
  <c r="T19" i="71"/>
  <c r="O81" i="71"/>
  <c r="Y81" i="71"/>
  <c r="N40" i="71"/>
  <c r="P40" i="71" s="1"/>
  <c r="X106" i="71"/>
  <c r="Z106" i="71" s="1"/>
  <c r="O106" i="71"/>
  <c r="N41" i="71"/>
  <c r="P41" i="71" s="1"/>
  <c r="Y102" i="71"/>
  <c r="N62" i="71"/>
  <c r="X62" i="71"/>
  <c r="Z62" i="71" s="1"/>
  <c r="X71" i="71"/>
  <c r="Z71" i="71" s="1"/>
  <c r="S36" i="71"/>
  <c r="U36" i="71" s="1"/>
  <c r="Y36" i="71"/>
  <c r="N99" i="71"/>
  <c r="Y99" i="71"/>
  <c r="N56" i="71"/>
  <c r="S56" i="71"/>
  <c r="U56" i="71" s="1"/>
  <c r="X57" i="71"/>
  <c r="Z57" i="71" s="1"/>
  <c r="N57" i="71"/>
  <c r="P57" i="71" s="1"/>
  <c r="S57" i="71"/>
  <c r="U57" i="71" s="1"/>
  <c r="S15" i="71"/>
  <c r="U15" i="71" s="1"/>
  <c r="N80" i="71"/>
  <c r="I80" i="71"/>
  <c r="J80" i="71" s="1"/>
  <c r="X23" i="71"/>
  <c r="Z23" i="71" s="1"/>
  <c r="O23" i="71"/>
  <c r="T23" i="71"/>
  <c r="O89" i="71"/>
  <c r="Q89" i="71" s="1"/>
  <c r="X89" i="71"/>
  <c r="Z89" i="71" s="1"/>
  <c r="T27" i="71"/>
  <c r="N27" i="71"/>
  <c r="X27" i="71"/>
  <c r="Z27" i="71"/>
  <c r="T93" i="71"/>
  <c r="N93" i="71"/>
  <c r="P93" i="71" s="1"/>
  <c r="O16" i="71"/>
  <c r="X30" i="71"/>
  <c r="Z30" i="71"/>
  <c r="T92" i="71"/>
  <c r="N92" i="71"/>
  <c r="P92" i="71"/>
  <c r="Y92" i="71"/>
  <c r="O14" i="71"/>
  <c r="Y77" i="71"/>
  <c r="N77" i="71"/>
  <c r="P77" i="71"/>
  <c r="S50" i="71"/>
  <c r="U50" i="71"/>
  <c r="Y50" i="71"/>
  <c r="S45" i="71"/>
  <c r="U45" i="71"/>
  <c r="H45" i="71"/>
  <c r="K45" i="71" s="1"/>
  <c r="X45" i="71"/>
  <c r="Z45" i="71"/>
  <c r="I101" i="71"/>
  <c r="T101" i="71"/>
  <c r="N49" i="71"/>
  <c r="Y49" i="71"/>
  <c r="Y29" i="71"/>
  <c r="H29" i="71"/>
  <c r="K29" i="71" s="1"/>
  <c r="N29" i="71"/>
  <c r="P29" i="71" s="1"/>
  <c r="X95" i="71"/>
  <c r="Z95" i="71" s="1"/>
  <c r="S95" i="71"/>
  <c r="U95" i="71" s="1"/>
  <c r="O95" i="71"/>
  <c r="N85" i="71"/>
  <c r="Y85" i="71"/>
  <c r="O61" i="71"/>
  <c r="H61" i="71"/>
  <c r="K61" i="71" s="1"/>
  <c r="T61" i="71"/>
  <c r="I79" i="71"/>
  <c r="N60" i="71"/>
  <c r="P60" i="71"/>
  <c r="Y60" i="71"/>
  <c r="X47" i="71"/>
  <c r="Z47" i="71" s="1"/>
  <c r="S47" i="71"/>
  <c r="U47" i="71"/>
  <c r="N12" i="71"/>
  <c r="P12" i="71"/>
  <c r="Y12" i="71"/>
  <c r="O12" i="71"/>
  <c r="Y75" i="71"/>
  <c r="H75" i="71"/>
  <c r="K75" i="71" s="1"/>
  <c r="X13" i="71"/>
  <c r="Z13" i="71"/>
  <c r="I13" i="71"/>
  <c r="X78" i="71"/>
  <c r="Z78" i="71" s="1"/>
  <c r="H78" i="71"/>
  <c r="K78" i="71" s="1"/>
  <c r="I63" i="71"/>
  <c r="S20" i="71"/>
  <c r="U20" i="71"/>
  <c r="I20" i="71"/>
  <c r="H48" i="71"/>
  <c r="K48" i="71" s="1"/>
  <c r="O48" i="71"/>
  <c r="S48" i="71"/>
  <c r="U48" i="71" s="1"/>
  <c r="H100" i="71"/>
  <c r="K100" i="71" s="1"/>
  <c r="X88" i="71"/>
  <c r="Z88" i="71" s="1"/>
  <c r="N88" i="71"/>
  <c r="O17" i="71"/>
  <c r="Q17" i="71" s="1"/>
  <c r="S17" i="71"/>
  <c r="U17" i="71" s="1"/>
  <c r="N83" i="71"/>
  <c r="O83" i="71"/>
  <c r="S83" i="71"/>
  <c r="U83" i="71" s="1"/>
  <c r="N68" i="71"/>
  <c r="P68" i="71" s="1"/>
  <c r="I68" i="71"/>
  <c r="J68" i="71" s="1"/>
  <c r="O66" i="71"/>
  <c r="X66" i="71"/>
  <c r="Z66" i="71" s="1"/>
  <c r="X59" i="71"/>
  <c r="Z59" i="71"/>
  <c r="I70" i="71"/>
  <c r="X70" i="71"/>
  <c r="Z70" i="71" s="1"/>
  <c r="I34" i="71"/>
  <c r="S34" i="71"/>
  <c r="U34" i="71" s="1"/>
  <c r="I96" i="71"/>
  <c r="L96" i="71" s="1"/>
  <c r="H96" i="71"/>
  <c r="K96" i="71" s="1"/>
  <c r="N18" i="71"/>
  <c r="P18" i="71"/>
  <c r="N82" i="71"/>
  <c r="X82" i="71"/>
  <c r="Z82" i="71"/>
  <c r="I82" i="71"/>
  <c r="J82" i="71" s="1"/>
  <c r="I98" i="71"/>
  <c r="L98" i="71" s="1"/>
  <c r="H9" i="71"/>
  <c r="K9" i="71"/>
  <c r="Y74" i="71"/>
  <c r="S74" i="71"/>
  <c r="U74" i="71"/>
  <c r="S58" i="71"/>
  <c r="U58" i="71" s="1"/>
  <c r="T58" i="71"/>
  <c r="N107" i="71"/>
  <c r="X107" i="71"/>
  <c r="Z107" i="71"/>
  <c r="N35" i="71"/>
  <c r="P35" i="71" s="1"/>
  <c r="T35" i="71"/>
  <c r="X22" i="71"/>
  <c r="Z22" i="71" s="1"/>
  <c r="N22" i="71"/>
  <c r="P22" i="71"/>
  <c r="O22" i="71"/>
  <c r="X43" i="71"/>
  <c r="Z43" i="71"/>
  <c r="I97" i="71"/>
  <c r="N97" i="71"/>
  <c r="P97" i="71" s="1"/>
  <c r="Y97" i="71"/>
  <c r="T84" i="71"/>
  <c r="O84" i="71"/>
  <c r="X64" i="71"/>
  <c r="Z64" i="71" s="1"/>
  <c r="I52" i="71"/>
  <c r="L52" i="71" s="1"/>
  <c r="H52" i="71"/>
  <c r="K52" i="71" s="1"/>
  <c r="Y104" i="71"/>
  <c r="AA104" i="71" s="1"/>
  <c r="N25" i="71"/>
  <c r="X25" i="71"/>
  <c r="Z25" i="71"/>
  <c r="S69" i="71"/>
  <c r="U69" i="71" s="1"/>
  <c r="T69" i="71"/>
  <c r="Y69" i="71"/>
  <c r="AA69" i="71" s="1"/>
  <c r="X21" i="71"/>
  <c r="Z21" i="71"/>
  <c r="N53" i="71"/>
  <c r="P53" i="71" s="1"/>
  <c r="Y53" i="71"/>
  <c r="T73" i="71"/>
  <c r="X73" i="71"/>
  <c r="Z73" i="71"/>
  <c r="X87" i="71"/>
  <c r="Z87" i="71" s="1"/>
  <c r="H87" i="71"/>
  <c r="K87" i="71" s="1"/>
  <c r="N31" i="71"/>
  <c r="Y31" i="71"/>
  <c r="AA31" i="71" s="1"/>
  <c r="X38" i="71"/>
  <c r="Z38" i="71" s="1"/>
  <c r="I38" i="71"/>
  <c r="I10" i="71"/>
  <c r="X65" i="71"/>
  <c r="Z65" i="71" s="1"/>
  <c r="H103" i="71"/>
  <c r="J103" i="71" s="1"/>
  <c r="X108" i="71"/>
  <c r="Z108" i="71" s="1"/>
  <c r="S108" i="71"/>
  <c r="U108" i="71"/>
  <c r="H108" i="71"/>
  <c r="K108" i="71" s="1"/>
  <c r="Y54" i="71"/>
  <c r="Y43" i="71"/>
  <c r="O91" i="71"/>
  <c r="T100" i="71"/>
  <c r="J13" i="71"/>
  <c r="L79" i="71"/>
  <c r="T28" i="71"/>
  <c r="T72" i="71"/>
  <c r="V72" i="71" s="1"/>
  <c r="H10" i="71"/>
  <c r="K10" i="71" s="1"/>
  <c r="H43" i="71"/>
  <c r="J43" i="71" s="1"/>
  <c r="K43" i="71"/>
  <c r="T22" i="71"/>
  <c r="H91" i="71"/>
  <c r="K91" i="71" s="1"/>
  <c r="T98" i="71"/>
  <c r="T83" i="71"/>
  <c r="O20" i="71"/>
  <c r="O101" i="71"/>
  <c r="O92" i="71"/>
  <c r="Q92" i="71" s="1"/>
  <c r="T30" i="71"/>
  <c r="V30" i="71" s="1"/>
  <c r="L23" i="71"/>
  <c r="J23" i="71"/>
  <c r="J67" i="71"/>
  <c r="T76" i="71"/>
  <c r="T11" i="71"/>
  <c r="Y10" i="71"/>
  <c r="O35" i="71"/>
  <c r="Y34" i="71"/>
  <c r="AA34" i="71" s="1"/>
  <c r="Y79" i="71"/>
  <c r="T89" i="71"/>
  <c r="L81" i="71"/>
  <c r="Y19" i="71"/>
  <c r="AA19" i="71" s="1"/>
  <c r="L105" i="71"/>
  <c r="J105" i="71"/>
  <c r="Y108" i="71"/>
  <c r="O38" i="71"/>
  <c r="L53" i="71"/>
  <c r="J53" i="71"/>
  <c r="Y70" i="71"/>
  <c r="J17" i="71"/>
  <c r="Y27" i="71"/>
  <c r="Y56" i="71"/>
  <c r="T62" i="71"/>
  <c r="L41" i="71"/>
  <c r="J41" i="71"/>
  <c r="T40" i="71"/>
  <c r="T86" i="71"/>
  <c r="T24" i="71"/>
  <c r="T39" i="71"/>
  <c r="J76" i="71"/>
  <c r="O65" i="71"/>
  <c r="H64" i="71"/>
  <c r="K64" i="71" s="1"/>
  <c r="O71" i="71"/>
  <c r="Q71" i="71" s="1"/>
  <c r="O86" i="71"/>
  <c r="T67" i="71"/>
  <c r="T65" i="71"/>
  <c r="T31" i="71"/>
  <c r="J54" i="71"/>
  <c r="O52" i="71"/>
  <c r="L22" i="71"/>
  <c r="J22" i="71"/>
  <c r="O74" i="71"/>
  <c r="H70" i="71"/>
  <c r="K70" i="71" s="1"/>
  <c r="T68" i="71"/>
  <c r="T48" i="71"/>
  <c r="H79" i="71"/>
  <c r="K79" i="71" s="1"/>
  <c r="O44" i="71"/>
  <c r="J30" i="71"/>
  <c r="L16" i="71"/>
  <c r="O27" i="71"/>
  <c r="T102" i="71"/>
  <c r="Y28" i="71"/>
  <c r="J24" i="71"/>
  <c r="J94" i="71"/>
  <c r="Y11" i="71"/>
  <c r="H72" i="71"/>
  <c r="K72" i="71" s="1"/>
  <c r="L51" i="71"/>
  <c r="J51" i="71"/>
  <c r="T108" i="71"/>
  <c r="J73" i="71"/>
  <c r="L75" i="71"/>
  <c r="J75" i="71"/>
  <c r="L29" i="71"/>
  <c r="J44" i="71"/>
  <c r="T45" i="71"/>
  <c r="T99" i="71"/>
  <c r="Y73" i="71"/>
  <c r="AA73" i="71" s="1"/>
  <c r="O53" i="71"/>
  <c r="T43" i="71"/>
  <c r="H34" i="71"/>
  <c r="J34" i="71" s="1"/>
  <c r="J66" i="71"/>
  <c r="O50" i="71"/>
  <c r="T71" i="71"/>
  <c r="J40" i="71"/>
  <c r="Y46" i="71"/>
  <c r="J38" i="71"/>
  <c r="O21" i="71"/>
  <c r="Q21" i="71" s="1"/>
  <c r="O54" i="71"/>
  <c r="Q54" i="71" s="1"/>
  <c r="O43" i="71"/>
  <c r="Y91" i="71"/>
  <c r="O58" i="71"/>
  <c r="O100" i="71"/>
  <c r="T33" i="71"/>
  <c r="O105" i="71"/>
  <c r="O39" i="71"/>
  <c r="T94" i="71"/>
  <c r="O72" i="71"/>
  <c r="L42" i="71"/>
  <c r="T91" i="71"/>
  <c r="H59" i="71"/>
  <c r="J59" i="71" s="1"/>
  <c r="H83" i="71"/>
  <c r="K83" i="71" s="1"/>
  <c r="J47" i="71"/>
  <c r="T16" i="71"/>
  <c r="L36" i="71"/>
  <c r="J62" i="71"/>
  <c r="Y103" i="71"/>
  <c r="T38" i="71"/>
  <c r="O87" i="71"/>
  <c r="T104" i="71"/>
  <c r="L37" i="71"/>
  <c r="J37" i="71"/>
  <c r="Y59" i="71"/>
  <c r="T66" i="71"/>
  <c r="Y20" i="71"/>
  <c r="J50" i="71"/>
  <c r="J14" i="71"/>
  <c r="O93" i="71"/>
  <c r="L89" i="71"/>
  <c r="J89" i="71"/>
  <c r="J90" i="71"/>
  <c r="O69" i="71"/>
  <c r="Q69" i="71"/>
  <c r="L104" i="71"/>
  <c r="Y84" i="71"/>
  <c r="J107" i="71"/>
  <c r="L107" i="71"/>
  <c r="J74" i="71"/>
  <c r="O70" i="71"/>
  <c r="J26" i="71"/>
  <c r="T47" i="71"/>
  <c r="O77" i="71"/>
  <c r="J57" i="71"/>
  <c r="L56" i="71"/>
  <c r="J56" i="71"/>
  <c r="T106" i="71"/>
  <c r="J32" i="71"/>
  <c r="T51" i="71"/>
  <c r="T10" i="71"/>
  <c r="T64" i="71"/>
  <c r="T37" i="71"/>
  <c r="Y98" i="71"/>
  <c r="L82" i="71"/>
  <c r="T18" i="71"/>
  <c r="O59" i="71"/>
  <c r="O26" i="71"/>
  <c r="Q26" i="71" s="1"/>
  <c r="Y63" i="71"/>
  <c r="L101" i="71"/>
  <c r="L80" i="71"/>
  <c r="T15" i="71"/>
  <c r="O36" i="71"/>
  <c r="Y55" i="71"/>
  <c r="O90" i="71"/>
  <c r="O24" i="71"/>
  <c r="O73" i="71"/>
  <c r="Y64" i="71"/>
  <c r="AA64" i="71" s="1"/>
  <c r="T74" i="71"/>
  <c r="O82" i="71"/>
  <c r="J18" i="71"/>
  <c r="Y68" i="71"/>
  <c r="AA68" i="71" s="1"/>
  <c r="Y48" i="71"/>
  <c r="L49" i="71"/>
  <c r="J49" i="71"/>
  <c r="Y89" i="71"/>
  <c r="J19" i="71"/>
  <c r="J46" i="71"/>
  <c r="Y72" i="71"/>
  <c r="T42" i="71"/>
  <c r="V42" i="71" s="1"/>
  <c r="O42" i="71"/>
  <c r="J69" i="71"/>
  <c r="T97" i="71"/>
  <c r="Y83" i="71"/>
  <c r="AA83" i="71" s="1"/>
  <c r="Y17" i="71"/>
  <c r="AA17" i="71" s="1"/>
  <c r="L61" i="71"/>
  <c r="J61" i="71"/>
  <c r="L95" i="71"/>
  <c r="J95" i="71"/>
  <c r="Y45" i="71"/>
  <c r="AA45" i="71" s="1"/>
  <c r="L77" i="71"/>
  <c r="Y41" i="71"/>
  <c r="AA41" i="71" s="1"/>
  <c r="J55" i="71"/>
  <c r="Y25" i="71"/>
  <c r="AA25" i="71"/>
  <c r="L35" i="71"/>
  <c r="J35" i="71"/>
  <c r="Y82" i="71"/>
  <c r="AA82" i="71" s="1"/>
  <c r="T88" i="71"/>
  <c r="T79" i="71"/>
  <c r="Y80" i="71"/>
  <c r="L15" i="71"/>
  <c r="J106" i="71"/>
  <c r="J28" i="71"/>
  <c r="J11" i="71"/>
  <c r="J79" i="71"/>
  <c r="J70" i="71"/>
  <c r="T31" i="89"/>
  <c r="U72" i="89"/>
  <c r="T65" i="89"/>
  <c r="V106" i="89"/>
  <c r="U42" i="89"/>
  <c r="W76" i="89"/>
  <c r="V70" i="89"/>
  <c r="V98" i="89"/>
  <c r="W60" i="89"/>
  <c r="X58" i="89"/>
  <c r="T13" i="89"/>
  <c r="T107" i="89"/>
  <c r="T17" i="89"/>
  <c r="T86" i="89"/>
  <c r="W33" i="89"/>
  <c r="X35" i="89"/>
  <c r="W49" i="89"/>
  <c r="V105" i="89"/>
  <c r="X51" i="89"/>
  <c r="V88" i="89"/>
  <c r="T95" i="89"/>
  <c r="X92" i="89"/>
  <c r="X90" i="89"/>
  <c r="W83" i="89"/>
  <c r="V75" i="89"/>
  <c r="X22" i="89"/>
  <c r="U67" i="89"/>
  <c r="U86" i="89"/>
  <c r="T57" i="89"/>
  <c r="T52" i="89"/>
  <c r="W42" i="89"/>
  <c r="T106" i="89"/>
  <c r="U11" i="89"/>
  <c r="W45" i="89"/>
  <c r="V81" i="89"/>
  <c r="W105" i="89"/>
  <c r="V58" i="89"/>
  <c r="X45" i="89"/>
  <c r="V21" i="89"/>
  <c r="U94" i="89"/>
  <c r="V8" i="89"/>
  <c r="X80" i="89"/>
  <c r="X56" i="89"/>
  <c r="V86" i="89"/>
  <c r="W34" i="89"/>
  <c r="T93" i="89"/>
  <c r="U70" i="89"/>
  <c r="W85" i="89"/>
  <c r="U49" i="89"/>
  <c r="V57" i="89"/>
  <c r="V93" i="89"/>
  <c r="X94" i="89"/>
  <c r="W44" i="89"/>
  <c r="V15" i="89"/>
  <c r="T35" i="89"/>
  <c r="X73" i="89"/>
  <c r="X59" i="89"/>
  <c r="U54" i="89"/>
  <c r="V66" i="89"/>
  <c r="X91" i="89"/>
  <c r="V38" i="89"/>
  <c r="V60" i="89"/>
  <c r="U90" i="89"/>
  <c r="U55" i="89"/>
  <c r="W11" i="89"/>
  <c r="X105" i="89"/>
  <c r="X78" i="89"/>
  <c r="W10" i="89"/>
  <c r="X68" i="89"/>
  <c r="U16" i="89"/>
  <c r="T40" i="89"/>
  <c r="W107" i="89"/>
  <c r="V68" i="89"/>
  <c r="U47" i="89"/>
  <c r="U84" i="89"/>
  <c r="U24" i="89"/>
  <c r="W9" i="89"/>
  <c r="V64" i="89"/>
  <c r="V41" i="89"/>
  <c r="V90" i="89"/>
  <c r="T25" i="89"/>
  <c r="T56" i="89"/>
  <c r="X95" i="89"/>
  <c r="U101" i="89"/>
  <c r="W24" i="89"/>
  <c r="V52" i="89"/>
  <c r="W21" i="89"/>
  <c r="X18" i="89"/>
  <c r="X72" i="89"/>
  <c r="T19" i="89"/>
  <c r="V87" i="89"/>
  <c r="X103" i="89"/>
  <c r="V80" i="89"/>
  <c r="U28" i="89"/>
  <c r="V97" i="89"/>
  <c r="V23" i="89"/>
  <c r="T74" i="89"/>
  <c r="T101" i="89"/>
  <c r="W62" i="89"/>
  <c r="T28" i="89"/>
  <c r="V85" i="89"/>
  <c r="W15" i="89"/>
  <c r="X14" i="89"/>
  <c r="V16" i="89"/>
  <c r="X23" i="89"/>
  <c r="U75" i="89"/>
  <c r="W58" i="89"/>
  <c r="T139" i="89"/>
  <c r="T115" i="89"/>
  <c r="T110" i="89"/>
  <c r="T165" i="89"/>
  <c r="T153" i="89"/>
  <c r="T141" i="89"/>
  <c r="T129" i="89"/>
  <c r="T117" i="89"/>
  <c r="T134" i="89"/>
  <c r="T160" i="89"/>
  <c r="T148" i="89"/>
  <c r="T136" i="89"/>
  <c r="T124" i="89"/>
  <c r="T112" i="89"/>
  <c r="T167" i="89"/>
  <c r="T155" i="89"/>
  <c r="T143" i="89"/>
  <c r="T131" i="89"/>
  <c r="T119" i="89"/>
  <c r="T151" i="89"/>
  <c r="T150" i="89"/>
  <c r="T126" i="89"/>
  <c r="T114" i="89"/>
  <c r="T127" i="89"/>
  <c r="T138" i="89"/>
  <c r="T169" i="89"/>
  <c r="T157" i="89"/>
  <c r="T145" i="89"/>
  <c r="T133" i="89"/>
  <c r="T121" i="89"/>
  <c r="T109" i="89"/>
  <c r="T163" i="89"/>
  <c r="T170" i="89"/>
  <c r="T164" i="89"/>
  <c r="T152" i="89"/>
  <c r="T140" i="89"/>
  <c r="T128" i="89"/>
  <c r="T116" i="89"/>
  <c r="T158" i="89"/>
  <c r="T122" i="89"/>
  <c r="T162" i="89"/>
  <c r="T159" i="89"/>
  <c r="T147" i="89"/>
  <c r="T135" i="89"/>
  <c r="T123" i="89"/>
  <c r="T111" i="89"/>
  <c r="T166" i="89"/>
  <c r="T154" i="89"/>
  <c r="T142" i="89"/>
  <c r="T130" i="89"/>
  <c r="T118" i="89"/>
  <c r="T161" i="89"/>
  <c r="T149" i="89"/>
  <c r="T137" i="89"/>
  <c r="T125" i="89"/>
  <c r="T113" i="89"/>
  <c r="T146" i="89"/>
  <c r="T168" i="89"/>
  <c r="T156" i="89"/>
  <c r="T144" i="89"/>
  <c r="T132" i="89"/>
  <c r="T120" i="89"/>
  <c r="T108" i="89"/>
  <c r="T238" i="89"/>
  <c r="T226" i="89"/>
  <c r="T329" i="89"/>
  <c r="T317" i="89"/>
  <c r="T305" i="89"/>
  <c r="T293" i="89"/>
  <c r="T281" i="89"/>
  <c r="T269" i="89"/>
  <c r="T257" i="89"/>
  <c r="T245" i="89"/>
  <c r="T233" i="89"/>
  <c r="T221" i="89"/>
  <c r="T209" i="89"/>
  <c r="T197" i="89"/>
  <c r="T185" i="89"/>
  <c r="T173" i="89"/>
  <c r="T322" i="89"/>
  <c r="T286" i="89"/>
  <c r="T336" i="89"/>
  <c r="T324" i="89"/>
  <c r="T312" i="89"/>
  <c r="T300" i="89"/>
  <c r="T288" i="89"/>
  <c r="T276" i="89"/>
  <c r="T264" i="89"/>
  <c r="T252" i="89"/>
  <c r="T240" i="89"/>
  <c r="T228" i="89"/>
  <c r="T216" i="89"/>
  <c r="T204" i="89"/>
  <c r="T192" i="89"/>
  <c r="T180" i="89"/>
  <c r="T310" i="89"/>
  <c r="T298" i="89"/>
  <c r="T262" i="89"/>
  <c r="T202" i="89"/>
  <c r="T190" i="89"/>
  <c r="T331" i="89"/>
  <c r="T319" i="89"/>
  <c r="T307" i="89"/>
  <c r="T295" i="89"/>
  <c r="T283" i="89"/>
  <c r="T271" i="89"/>
  <c r="T259" i="89"/>
  <c r="T247" i="89"/>
  <c r="T235" i="89"/>
  <c r="T223" i="89"/>
  <c r="T211" i="89"/>
  <c r="T199" i="89"/>
  <c r="T187" i="89"/>
  <c r="T175" i="89"/>
  <c r="T250" i="89"/>
  <c r="T178" i="89"/>
  <c r="T326" i="89"/>
  <c r="T314" i="89"/>
  <c r="T302" i="89"/>
  <c r="T290" i="89"/>
  <c r="T278" i="89"/>
  <c r="T266" i="89"/>
  <c r="T254" i="89"/>
  <c r="T242" i="89"/>
  <c r="T230" i="89"/>
  <c r="T218" i="89"/>
  <c r="T206" i="89"/>
  <c r="T194" i="89"/>
  <c r="T182" i="89"/>
  <c r="T285" i="89"/>
  <c r="T273" i="89"/>
  <c r="T261" i="89"/>
  <c r="T249" i="89"/>
  <c r="T237" i="89"/>
  <c r="T225" i="89"/>
  <c r="T213" i="89"/>
  <c r="T201" i="89"/>
  <c r="T189" i="89"/>
  <c r="T177" i="89"/>
  <c r="T316" i="89"/>
  <c r="T292" i="89"/>
  <c r="T280" i="89"/>
  <c r="T268" i="89"/>
  <c r="T256" i="89"/>
  <c r="T244" i="89"/>
  <c r="T232" i="89"/>
  <c r="T220" i="89"/>
  <c r="T208" i="89"/>
  <c r="T196" i="89"/>
  <c r="T184" i="89"/>
  <c r="T172" i="89"/>
  <c r="T274" i="89"/>
  <c r="T214" i="89"/>
  <c r="T309" i="89"/>
  <c r="T304" i="89"/>
  <c r="T323" i="89"/>
  <c r="T311" i="89"/>
  <c r="T299" i="89"/>
  <c r="T287" i="89"/>
  <c r="T275" i="89"/>
  <c r="T263" i="89"/>
  <c r="T251" i="89"/>
  <c r="T239" i="89"/>
  <c r="T227" i="89"/>
  <c r="T215" i="89"/>
  <c r="T203" i="89"/>
  <c r="T191" i="89"/>
  <c r="T179" i="89"/>
  <c r="T333" i="89"/>
  <c r="T321" i="89"/>
  <c r="T328" i="89"/>
  <c r="T330" i="89"/>
  <c r="T318" i="89"/>
  <c r="T306" i="89"/>
  <c r="T294" i="89"/>
  <c r="T282" i="89"/>
  <c r="T270" i="89"/>
  <c r="T258" i="89"/>
  <c r="T246" i="89"/>
  <c r="T234" i="89"/>
  <c r="T222" i="89"/>
  <c r="T210" i="89"/>
  <c r="T198" i="89"/>
  <c r="T186" i="89"/>
  <c r="T174" i="89"/>
  <c r="T334" i="89"/>
  <c r="T297" i="89"/>
  <c r="T313" i="89"/>
  <c r="T301" i="89"/>
  <c r="T289" i="89"/>
  <c r="T277" i="89"/>
  <c r="T265" i="89"/>
  <c r="T253" i="89"/>
  <c r="T241" i="89"/>
  <c r="T229" i="89"/>
  <c r="T217" i="89"/>
  <c r="T205" i="89"/>
  <c r="T193" i="89"/>
  <c r="T181" i="89"/>
  <c r="T335" i="89"/>
  <c r="T325" i="89"/>
  <c r="T332" i="89"/>
  <c r="T320" i="89"/>
  <c r="T308" i="89"/>
  <c r="T296" i="89"/>
  <c r="T284" i="89"/>
  <c r="T272" i="89"/>
  <c r="T260" i="89"/>
  <c r="T248" i="89"/>
  <c r="T236" i="89"/>
  <c r="T224" i="89"/>
  <c r="T212" i="89"/>
  <c r="T200" i="89"/>
  <c r="T188" i="89"/>
  <c r="T176" i="89"/>
  <c r="T327" i="89"/>
  <c r="T315" i="89"/>
  <c r="T303" i="89"/>
  <c r="T291" i="89"/>
  <c r="T279" i="89"/>
  <c r="T267" i="89"/>
  <c r="T255" i="89"/>
  <c r="T243" i="89"/>
  <c r="T231" i="89"/>
  <c r="T219" i="89"/>
  <c r="T207" i="89"/>
  <c r="T195" i="89"/>
  <c r="T183" i="89"/>
  <c r="T171" i="89"/>
  <c r="U32" i="89"/>
  <c r="W98" i="89"/>
  <c r="T103" i="89"/>
  <c r="W91" i="89"/>
  <c r="W18" i="89"/>
  <c r="T29" i="89"/>
  <c r="T79" i="89"/>
  <c r="X29" i="89"/>
  <c r="U106" i="89"/>
  <c r="U58" i="89"/>
  <c r="T16" i="89"/>
  <c r="W87" i="89"/>
  <c r="T36" i="89"/>
  <c r="W19" i="89"/>
  <c r="U56" i="89"/>
  <c r="T91" i="89"/>
  <c r="T64" i="89"/>
  <c r="V30" i="89"/>
  <c r="V9" i="89"/>
  <c r="W86" i="89"/>
  <c r="X11" i="89"/>
  <c r="V62" i="89"/>
  <c r="T61" i="89"/>
  <c r="U23" i="89"/>
  <c r="T33" i="89"/>
  <c r="W35" i="89"/>
  <c r="X65" i="89"/>
  <c r="U27" i="89"/>
  <c r="W94" i="89"/>
  <c r="T70" i="89"/>
  <c r="X98" i="89"/>
  <c r="X70" i="89"/>
  <c r="V55" i="89"/>
  <c r="W72" i="89"/>
  <c r="X39" i="89"/>
  <c r="V91" i="89"/>
  <c r="U63" i="89"/>
  <c r="T11" i="89"/>
  <c r="T15" i="89"/>
  <c r="V71" i="89"/>
  <c r="X30" i="89"/>
  <c r="U46" i="89"/>
  <c r="X33" i="89"/>
  <c r="X10" i="89"/>
  <c r="V53" i="89"/>
  <c r="U48" i="89"/>
  <c r="U89" i="89"/>
  <c r="U77" i="89"/>
  <c r="W101" i="89"/>
  <c r="T42" i="89"/>
  <c r="U29" i="89"/>
  <c r="X76" i="89"/>
  <c r="W37" i="89"/>
  <c r="W41" i="89"/>
  <c r="U83" i="89"/>
  <c r="U99" i="89"/>
  <c r="U148" i="89"/>
  <c r="U136" i="89"/>
  <c r="U124" i="89"/>
  <c r="U112" i="89"/>
  <c r="U165" i="89"/>
  <c r="U141" i="89"/>
  <c r="U167" i="89"/>
  <c r="U155" i="89"/>
  <c r="U143" i="89"/>
  <c r="U131" i="89"/>
  <c r="U119" i="89"/>
  <c r="U146" i="89"/>
  <c r="U110" i="89"/>
  <c r="U160" i="89"/>
  <c r="U162" i="89"/>
  <c r="U150" i="89"/>
  <c r="U138" i="89"/>
  <c r="U126" i="89"/>
  <c r="U114" i="89"/>
  <c r="U170" i="89"/>
  <c r="U145" i="89"/>
  <c r="U133" i="89"/>
  <c r="U121" i="89"/>
  <c r="U109" i="89"/>
  <c r="U158" i="89"/>
  <c r="U129" i="89"/>
  <c r="U164" i="89"/>
  <c r="U152" i="89"/>
  <c r="U140" i="89"/>
  <c r="U128" i="89"/>
  <c r="U116" i="89"/>
  <c r="U169" i="89"/>
  <c r="U159" i="89"/>
  <c r="U147" i="89"/>
  <c r="U135" i="89"/>
  <c r="U123" i="89"/>
  <c r="U111" i="89"/>
  <c r="U166" i="89"/>
  <c r="U154" i="89"/>
  <c r="U142" i="89"/>
  <c r="U130" i="89"/>
  <c r="U118" i="89"/>
  <c r="U157" i="89"/>
  <c r="U161" i="89"/>
  <c r="U149" i="89"/>
  <c r="U137" i="89"/>
  <c r="U125" i="89"/>
  <c r="U113" i="89"/>
  <c r="U134" i="89"/>
  <c r="U122" i="89"/>
  <c r="U153" i="89"/>
  <c r="U168" i="89"/>
  <c r="U156" i="89"/>
  <c r="U144" i="89"/>
  <c r="U132" i="89"/>
  <c r="U120" i="89"/>
  <c r="U108" i="89"/>
  <c r="U117" i="89"/>
  <c r="U163" i="89"/>
  <c r="U151" i="89"/>
  <c r="U139" i="89"/>
  <c r="U127" i="89"/>
  <c r="U115" i="89"/>
  <c r="U257" i="89"/>
  <c r="U185" i="89"/>
  <c r="U173" i="89"/>
  <c r="U336" i="89"/>
  <c r="U324" i="89"/>
  <c r="U312" i="89"/>
  <c r="U300" i="89"/>
  <c r="U288" i="89"/>
  <c r="U276" i="89"/>
  <c r="U264" i="89"/>
  <c r="U252" i="89"/>
  <c r="U240" i="89"/>
  <c r="U228" i="89"/>
  <c r="U216" i="89"/>
  <c r="U204" i="89"/>
  <c r="U192" i="89"/>
  <c r="U180" i="89"/>
  <c r="U305" i="89"/>
  <c r="U293" i="89"/>
  <c r="U245" i="89"/>
  <c r="U197" i="89"/>
  <c r="U331" i="89"/>
  <c r="U319" i="89"/>
  <c r="U307" i="89"/>
  <c r="U295" i="89"/>
  <c r="U283" i="89"/>
  <c r="U271" i="89"/>
  <c r="U259" i="89"/>
  <c r="U247" i="89"/>
  <c r="U235" i="89"/>
  <c r="U223" i="89"/>
  <c r="U211" i="89"/>
  <c r="U199" i="89"/>
  <c r="U187" i="89"/>
  <c r="U175" i="89"/>
  <c r="U329" i="89"/>
  <c r="U233" i="89"/>
  <c r="U314" i="89"/>
  <c r="U302" i="89"/>
  <c r="U290" i="89"/>
  <c r="U278" i="89"/>
  <c r="U266" i="89"/>
  <c r="U254" i="89"/>
  <c r="U242" i="89"/>
  <c r="U230" i="89"/>
  <c r="U218" i="89"/>
  <c r="U206" i="89"/>
  <c r="U194" i="89"/>
  <c r="U182" i="89"/>
  <c r="U221" i="89"/>
  <c r="U326" i="89"/>
  <c r="U333" i="89"/>
  <c r="U321" i="89"/>
  <c r="U309" i="89"/>
  <c r="U297" i="89"/>
  <c r="U285" i="89"/>
  <c r="U273" i="89"/>
  <c r="U261" i="89"/>
  <c r="U249" i="89"/>
  <c r="U237" i="89"/>
  <c r="U225" i="89"/>
  <c r="U213" i="89"/>
  <c r="U201" i="89"/>
  <c r="U189" i="89"/>
  <c r="U177" i="89"/>
  <c r="U292" i="89"/>
  <c r="U280" i="89"/>
  <c r="U268" i="89"/>
  <c r="U256" i="89"/>
  <c r="U244" i="89"/>
  <c r="U232" i="89"/>
  <c r="U220" i="89"/>
  <c r="U208" i="89"/>
  <c r="U196" i="89"/>
  <c r="U184" i="89"/>
  <c r="U172" i="89"/>
  <c r="U269" i="89"/>
  <c r="U311" i="89"/>
  <c r="U299" i="89"/>
  <c r="U287" i="89"/>
  <c r="U275" i="89"/>
  <c r="U263" i="89"/>
  <c r="U251" i="89"/>
  <c r="U239" i="89"/>
  <c r="U227" i="89"/>
  <c r="U215" i="89"/>
  <c r="U203" i="89"/>
  <c r="U191" i="89"/>
  <c r="U179" i="89"/>
  <c r="U335" i="89"/>
  <c r="U330" i="89"/>
  <c r="U318" i="89"/>
  <c r="U306" i="89"/>
  <c r="U294" i="89"/>
  <c r="U282" i="89"/>
  <c r="U270" i="89"/>
  <c r="U258" i="89"/>
  <c r="U246" i="89"/>
  <c r="U234" i="89"/>
  <c r="U222" i="89"/>
  <c r="U210" i="89"/>
  <c r="U198" i="89"/>
  <c r="U186" i="89"/>
  <c r="U174" i="89"/>
  <c r="U317" i="89"/>
  <c r="U281" i="89"/>
  <c r="U313" i="89"/>
  <c r="U301" i="89"/>
  <c r="U289" i="89"/>
  <c r="U277" i="89"/>
  <c r="U265" i="89"/>
  <c r="U253" i="89"/>
  <c r="U241" i="89"/>
  <c r="U229" i="89"/>
  <c r="U217" i="89"/>
  <c r="U205" i="89"/>
  <c r="U193" i="89"/>
  <c r="U181" i="89"/>
  <c r="U328" i="89"/>
  <c r="U316" i="89"/>
  <c r="U323" i="89"/>
  <c r="U332" i="89"/>
  <c r="U308" i="89"/>
  <c r="U296" i="89"/>
  <c r="U284" i="89"/>
  <c r="U272" i="89"/>
  <c r="U260" i="89"/>
  <c r="U248" i="89"/>
  <c r="U236" i="89"/>
  <c r="U224" i="89"/>
  <c r="U212" i="89"/>
  <c r="U200" i="89"/>
  <c r="U188" i="89"/>
  <c r="U176" i="89"/>
  <c r="U325" i="89"/>
  <c r="U320" i="89"/>
  <c r="U327" i="89"/>
  <c r="U315" i="89"/>
  <c r="U303" i="89"/>
  <c r="U291" i="89"/>
  <c r="U279" i="89"/>
  <c r="U267" i="89"/>
  <c r="U255" i="89"/>
  <c r="U243" i="89"/>
  <c r="U231" i="89"/>
  <c r="U219" i="89"/>
  <c r="U207" i="89"/>
  <c r="U195" i="89"/>
  <c r="U183" i="89"/>
  <c r="U171" i="89"/>
  <c r="U209" i="89"/>
  <c r="U304" i="89"/>
  <c r="U334" i="89"/>
  <c r="U322" i="89"/>
  <c r="U310" i="89"/>
  <c r="U298" i="89"/>
  <c r="U286" i="89"/>
  <c r="U274" i="89"/>
  <c r="U262" i="89"/>
  <c r="U250" i="89"/>
  <c r="U238" i="89"/>
  <c r="U226" i="89"/>
  <c r="U214" i="89"/>
  <c r="U202" i="89"/>
  <c r="U190" i="89"/>
  <c r="U178" i="89"/>
  <c r="W26" i="89"/>
  <c r="T77" i="89"/>
  <c r="W8" i="89"/>
  <c r="T12" i="89"/>
  <c r="W22" i="89"/>
  <c r="T98" i="89"/>
  <c r="U26" i="89"/>
  <c r="V10" i="89"/>
  <c r="X79" i="89"/>
  <c r="V79" i="89"/>
  <c r="X15" i="89"/>
  <c r="U25" i="89"/>
  <c r="W14" i="89"/>
  <c r="W53" i="89"/>
  <c r="T92" i="89"/>
  <c r="U45" i="89"/>
  <c r="T97" i="89"/>
  <c r="U22" i="89"/>
  <c r="W36" i="89"/>
  <c r="X96" i="89"/>
  <c r="V101" i="89"/>
  <c r="U18" i="89"/>
  <c r="X60" i="89"/>
  <c r="X28" i="89"/>
  <c r="U102" i="89"/>
  <c r="U59" i="89"/>
  <c r="W40" i="89"/>
  <c r="V73" i="89"/>
  <c r="U38" i="89"/>
  <c r="T53" i="89"/>
  <c r="T18" i="89"/>
  <c r="X43" i="89"/>
  <c r="U82" i="89"/>
  <c r="W63" i="89"/>
  <c r="T55" i="89"/>
  <c r="V155" i="89"/>
  <c r="V143" i="89"/>
  <c r="V131" i="89"/>
  <c r="V119" i="89"/>
  <c r="V165" i="89"/>
  <c r="V148" i="89"/>
  <c r="V112" i="89"/>
  <c r="V162" i="89"/>
  <c r="V150" i="89"/>
  <c r="V138" i="89"/>
  <c r="V126" i="89"/>
  <c r="V114" i="89"/>
  <c r="V136" i="89"/>
  <c r="V167" i="89"/>
  <c r="V169" i="89"/>
  <c r="V157" i="89"/>
  <c r="V145" i="89"/>
  <c r="V133" i="89"/>
  <c r="V121" i="89"/>
  <c r="V109" i="89"/>
  <c r="V129" i="89"/>
  <c r="V164" i="89"/>
  <c r="V140" i="89"/>
  <c r="V128" i="89"/>
  <c r="V116" i="89"/>
  <c r="V152" i="89"/>
  <c r="V159" i="89"/>
  <c r="V147" i="89"/>
  <c r="V135" i="89"/>
  <c r="V123" i="89"/>
  <c r="V111" i="89"/>
  <c r="V154" i="89"/>
  <c r="V142" i="89"/>
  <c r="V130" i="89"/>
  <c r="V118" i="89"/>
  <c r="V153" i="89"/>
  <c r="V166" i="89"/>
  <c r="V161" i="89"/>
  <c r="V149" i="89"/>
  <c r="V137" i="89"/>
  <c r="V125" i="89"/>
  <c r="V113" i="89"/>
  <c r="V141" i="89"/>
  <c r="V117" i="89"/>
  <c r="V160" i="89"/>
  <c r="V156" i="89"/>
  <c r="V144" i="89"/>
  <c r="V132" i="89"/>
  <c r="V120" i="89"/>
  <c r="V108" i="89"/>
  <c r="V124" i="89"/>
  <c r="V168" i="89"/>
  <c r="V163" i="89"/>
  <c r="V151" i="89"/>
  <c r="V139" i="89"/>
  <c r="V127" i="89"/>
  <c r="V115" i="89"/>
  <c r="V170" i="89"/>
  <c r="V158" i="89"/>
  <c r="V146" i="89"/>
  <c r="V134" i="89"/>
  <c r="V122" i="89"/>
  <c r="V110" i="89"/>
  <c r="V276" i="89"/>
  <c r="V192" i="89"/>
  <c r="V331" i="89"/>
  <c r="V319" i="89"/>
  <c r="V307" i="89"/>
  <c r="V295" i="89"/>
  <c r="V283" i="89"/>
  <c r="V271" i="89"/>
  <c r="V259" i="89"/>
  <c r="V247" i="89"/>
  <c r="V235" i="89"/>
  <c r="V223" i="89"/>
  <c r="V211" i="89"/>
  <c r="V199" i="89"/>
  <c r="V187" i="89"/>
  <c r="V175" i="89"/>
  <c r="V228" i="89"/>
  <c r="V326" i="89"/>
  <c r="V314" i="89"/>
  <c r="V302" i="89"/>
  <c r="V290" i="89"/>
  <c r="V278" i="89"/>
  <c r="V266" i="89"/>
  <c r="V254" i="89"/>
  <c r="V242" i="89"/>
  <c r="V230" i="89"/>
  <c r="V218" i="89"/>
  <c r="V206" i="89"/>
  <c r="V194" i="89"/>
  <c r="V182" i="89"/>
  <c r="V252" i="89"/>
  <c r="V180" i="89"/>
  <c r="V321" i="89"/>
  <c r="V309" i="89"/>
  <c r="V297" i="89"/>
  <c r="V285" i="89"/>
  <c r="V273" i="89"/>
  <c r="V261" i="89"/>
  <c r="V249" i="89"/>
  <c r="V237" i="89"/>
  <c r="V225" i="89"/>
  <c r="V213" i="89"/>
  <c r="V201" i="89"/>
  <c r="V189" i="89"/>
  <c r="V177" i="89"/>
  <c r="V240" i="89"/>
  <c r="V333" i="89"/>
  <c r="V328" i="89"/>
  <c r="V316" i="89"/>
  <c r="V304" i="89"/>
  <c r="V292" i="89"/>
  <c r="V280" i="89"/>
  <c r="V268" i="89"/>
  <c r="V256" i="89"/>
  <c r="V244" i="89"/>
  <c r="V232" i="89"/>
  <c r="V220" i="89"/>
  <c r="V208" i="89"/>
  <c r="V196" i="89"/>
  <c r="V184" i="89"/>
  <c r="V172" i="89"/>
  <c r="V287" i="89"/>
  <c r="V275" i="89"/>
  <c r="V263" i="89"/>
  <c r="V251" i="89"/>
  <c r="V239" i="89"/>
  <c r="V227" i="89"/>
  <c r="V215" i="89"/>
  <c r="V203" i="89"/>
  <c r="V191" i="89"/>
  <c r="V179" i="89"/>
  <c r="V216" i="89"/>
  <c r="V299" i="89"/>
  <c r="V294" i="89"/>
  <c r="V282" i="89"/>
  <c r="V270" i="89"/>
  <c r="V258" i="89"/>
  <c r="V246" i="89"/>
  <c r="V234" i="89"/>
  <c r="V222" i="89"/>
  <c r="V210" i="89"/>
  <c r="V198" i="89"/>
  <c r="V186" i="89"/>
  <c r="V174" i="89"/>
  <c r="V324" i="89"/>
  <c r="V335" i="89"/>
  <c r="V323" i="89"/>
  <c r="V318" i="89"/>
  <c r="V325" i="89"/>
  <c r="V313" i="89"/>
  <c r="V301" i="89"/>
  <c r="V289" i="89"/>
  <c r="V277" i="89"/>
  <c r="V265" i="89"/>
  <c r="V253" i="89"/>
  <c r="V241" i="89"/>
  <c r="V229" i="89"/>
  <c r="V217" i="89"/>
  <c r="V205" i="89"/>
  <c r="V193" i="89"/>
  <c r="V181" i="89"/>
  <c r="V306" i="89"/>
  <c r="V320" i="89"/>
  <c r="V308" i="89"/>
  <c r="V296" i="89"/>
  <c r="V284" i="89"/>
  <c r="V272" i="89"/>
  <c r="V260" i="89"/>
  <c r="V248" i="89"/>
  <c r="V236" i="89"/>
  <c r="V224" i="89"/>
  <c r="V212" i="89"/>
  <c r="V200" i="89"/>
  <c r="V188" i="89"/>
  <c r="V176" i="89"/>
  <c r="V312" i="89"/>
  <c r="V300" i="89"/>
  <c r="V264" i="89"/>
  <c r="V204" i="89"/>
  <c r="V311" i="89"/>
  <c r="V327" i="89"/>
  <c r="V315" i="89"/>
  <c r="V303" i="89"/>
  <c r="V291" i="89"/>
  <c r="V279" i="89"/>
  <c r="V267" i="89"/>
  <c r="V255" i="89"/>
  <c r="V243" i="89"/>
  <c r="V231" i="89"/>
  <c r="V219" i="89"/>
  <c r="V207" i="89"/>
  <c r="V195" i="89"/>
  <c r="V183" i="89"/>
  <c r="V171" i="89"/>
  <c r="V330" i="89"/>
  <c r="V332" i="89"/>
  <c r="V334" i="89"/>
  <c r="V322" i="89"/>
  <c r="V310" i="89"/>
  <c r="V298" i="89"/>
  <c r="V286" i="89"/>
  <c r="V274" i="89"/>
  <c r="V262" i="89"/>
  <c r="V250" i="89"/>
  <c r="V238" i="89"/>
  <c r="V226" i="89"/>
  <c r="V214" i="89"/>
  <c r="V202" i="89"/>
  <c r="V190" i="89"/>
  <c r="V178" i="89"/>
  <c r="V336" i="89"/>
  <c r="V288" i="89"/>
  <c r="V329" i="89"/>
  <c r="V317" i="89"/>
  <c r="V305" i="89"/>
  <c r="V293" i="89"/>
  <c r="V281" i="89"/>
  <c r="V269" i="89"/>
  <c r="V257" i="89"/>
  <c r="V245" i="89"/>
  <c r="V233" i="89"/>
  <c r="V221" i="89"/>
  <c r="V209" i="89"/>
  <c r="V197" i="89"/>
  <c r="V185" i="89"/>
  <c r="V173" i="89"/>
  <c r="V13" i="89"/>
  <c r="T41" i="89"/>
  <c r="V99" i="89"/>
  <c r="X77" i="89"/>
  <c r="X67" i="89"/>
  <c r="X71" i="89"/>
  <c r="U78" i="89"/>
  <c r="T9" i="89"/>
  <c r="W25" i="89"/>
  <c r="W57" i="89"/>
  <c r="X97" i="89"/>
  <c r="X66" i="89"/>
  <c r="V76" i="89"/>
  <c r="W16" i="89"/>
  <c r="W104" i="89"/>
  <c r="X75" i="89"/>
  <c r="U74" i="89"/>
  <c r="W90" i="89"/>
  <c r="V20" i="89"/>
  <c r="V102" i="89"/>
  <c r="X16" i="89"/>
  <c r="T84" i="89"/>
  <c r="X42" i="89"/>
  <c r="X50" i="89"/>
  <c r="V18" i="89"/>
  <c r="W50" i="89"/>
  <c r="U65" i="89"/>
  <c r="X26" i="89"/>
  <c r="X64" i="89"/>
  <c r="U34" i="89"/>
  <c r="X47" i="89"/>
  <c r="X82" i="89"/>
  <c r="U107" i="89"/>
  <c r="T45" i="89"/>
  <c r="U21" i="89"/>
  <c r="U17" i="89"/>
  <c r="V28" i="89"/>
  <c r="W79" i="89"/>
  <c r="T47" i="89"/>
  <c r="W102" i="89"/>
  <c r="T100" i="89"/>
  <c r="V96" i="89"/>
  <c r="W93" i="89"/>
  <c r="U85" i="89"/>
  <c r="U57" i="89"/>
  <c r="V61" i="89"/>
  <c r="T27" i="89"/>
  <c r="X55" i="89"/>
  <c r="U20" i="89"/>
  <c r="X102" i="89"/>
  <c r="W75" i="89"/>
  <c r="T83" i="89"/>
  <c r="V46" i="89"/>
  <c r="T66" i="89"/>
  <c r="T37" i="89"/>
  <c r="W64" i="89"/>
  <c r="W143" i="89"/>
  <c r="W131" i="89"/>
  <c r="W150" i="89"/>
  <c r="W138" i="89"/>
  <c r="W126" i="89"/>
  <c r="W114" i="89"/>
  <c r="W148" i="89"/>
  <c r="W136" i="89"/>
  <c r="W112" i="89"/>
  <c r="W162" i="89"/>
  <c r="W169" i="89"/>
  <c r="W157" i="89"/>
  <c r="W145" i="89"/>
  <c r="W133" i="89"/>
  <c r="W121" i="89"/>
  <c r="W109" i="89"/>
  <c r="W164" i="89"/>
  <c r="W152" i="89"/>
  <c r="W140" i="89"/>
  <c r="W128" i="89"/>
  <c r="W116" i="89"/>
  <c r="W155" i="89"/>
  <c r="W119" i="89"/>
  <c r="W135" i="89"/>
  <c r="W123" i="89"/>
  <c r="W111" i="89"/>
  <c r="W167" i="89"/>
  <c r="W166" i="89"/>
  <c r="W154" i="89"/>
  <c r="W142" i="89"/>
  <c r="W130" i="89"/>
  <c r="W118" i="89"/>
  <c r="W147" i="89"/>
  <c r="W161" i="89"/>
  <c r="W149" i="89"/>
  <c r="W137" i="89"/>
  <c r="W125" i="89"/>
  <c r="W113" i="89"/>
  <c r="W124" i="89"/>
  <c r="W168" i="89"/>
  <c r="W156" i="89"/>
  <c r="W144" i="89"/>
  <c r="W132" i="89"/>
  <c r="W120" i="89"/>
  <c r="W108" i="89"/>
  <c r="W163" i="89"/>
  <c r="W151" i="89"/>
  <c r="W139" i="89"/>
  <c r="W127" i="89"/>
  <c r="W115" i="89"/>
  <c r="W159" i="89"/>
  <c r="W170" i="89"/>
  <c r="W158" i="89"/>
  <c r="W146" i="89"/>
  <c r="W134" i="89"/>
  <c r="W122" i="89"/>
  <c r="W110" i="89"/>
  <c r="W160" i="89"/>
  <c r="W165" i="89"/>
  <c r="W153" i="89"/>
  <c r="W141" i="89"/>
  <c r="W129" i="89"/>
  <c r="W117" i="89"/>
  <c r="W331" i="89"/>
  <c r="W307" i="89"/>
  <c r="W295" i="89"/>
  <c r="W247" i="89"/>
  <c r="W326" i="89"/>
  <c r="W314" i="89"/>
  <c r="W302" i="89"/>
  <c r="W290" i="89"/>
  <c r="W278" i="89"/>
  <c r="W266" i="89"/>
  <c r="W254" i="89"/>
  <c r="W242" i="89"/>
  <c r="W230" i="89"/>
  <c r="W218" i="89"/>
  <c r="W206" i="89"/>
  <c r="W194" i="89"/>
  <c r="W182" i="89"/>
  <c r="W235" i="89"/>
  <c r="W211" i="89"/>
  <c r="W187" i="89"/>
  <c r="W175" i="89"/>
  <c r="W333" i="89"/>
  <c r="W321" i="89"/>
  <c r="W309" i="89"/>
  <c r="W297" i="89"/>
  <c r="W285" i="89"/>
  <c r="W273" i="89"/>
  <c r="W261" i="89"/>
  <c r="W249" i="89"/>
  <c r="W237" i="89"/>
  <c r="W225" i="89"/>
  <c r="W213" i="89"/>
  <c r="W201" i="89"/>
  <c r="W189" i="89"/>
  <c r="W177" i="89"/>
  <c r="W283" i="89"/>
  <c r="W223" i="89"/>
  <c r="W328" i="89"/>
  <c r="W316" i="89"/>
  <c r="W304" i="89"/>
  <c r="W292" i="89"/>
  <c r="W280" i="89"/>
  <c r="W268" i="89"/>
  <c r="W256" i="89"/>
  <c r="W244" i="89"/>
  <c r="W232" i="89"/>
  <c r="W220" i="89"/>
  <c r="W208" i="89"/>
  <c r="W196" i="89"/>
  <c r="W184" i="89"/>
  <c r="W172" i="89"/>
  <c r="W319" i="89"/>
  <c r="W259" i="89"/>
  <c r="W335" i="89"/>
  <c r="W323" i="89"/>
  <c r="W311" i="89"/>
  <c r="W299" i="89"/>
  <c r="W287" i="89"/>
  <c r="W275" i="89"/>
  <c r="W263" i="89"/>
  <c r="W251" i="89"/>
  <c r="W239" i="89"/>
  <c r="W227" i="89"/>
  <c r="W215" i="89"/>
  <c r="W203" i="89"/>
  <c r="W191" i="89"/>
  <c r="W179" i="89"/>
  <c r="W294" i="89"/>
  <c r="W282" i="89"/>
  <c r="W270" i="89"/>
  <c r="W258" i="89"/>
  <c r="W246" i="89"/>
  <c r="W234" i="89"/>
  <c r="W222" i="89"/>
  <c r="W210" i="89"/>
  <c r="W198" i="89"/>
  <c r="W186" i="89"/>
  <c r="W174" i="89"/>
  <c r="W325" i="89"/>
  <c r="W301" i="89"/>
  <c r="W289" i="89"/>
  <c r="W277" i="89"/>
  <c r="W265" i="89"/>
  <c r="W253" i="89"/>
  <c r="W241" i="89"/>
  <c r="W229" i="89"/>
  <c r="W217" i="89"/>
  <c r="W205" i="89"/>
  <c r="W193" i="89"/>
  <c r="W181" i="89"/>
  <c r="W320" i="89"/>
  <c r="W308" i="89"/>
  <c r="W296" i="89"/>
  <c r="W284" i="89"/>
  <c r="W272" i="89"/>
  <c r="W260" i="89"/>
  <c r="W248" i="89"/>
  <c r="W236" i="89"/>
  <c r="W224" i="89"/>
  <c r="W212" i="89"/>
  <c r="W200" i="89"/>
  <c r="W188" i="89"/>
  <c r="W176" i="89"/>
  <c r="W306" i="89"/>
  <c r="W315" i="89"/>
  <c r="W303" i="89"/>
  <c r="W291" i="89"/>
  <c r="W279" i="89"/>
  <c r="W267" i="89"/>
  <c r="W255" i="89"/>
  <c r="W243" i="89"/>
  <c r="W231" i="89"/>
  <c r="W219" i="89"/>
  <c r="W207" i="89"/>
  <c r="W195" i="89"/>
  <c r="W183" i="89"/>
  <c r="W171" i="89"/>
  <c r="W313" i="89"/>
  <c r="W332" i="89"/>
  <c r="W327" i="89"/>
  <c r="W322" i="89"/>
  <c r="W310" i="89"/>
  <c r="W298" i="89"/>
  <c r="W286" i="89"/>
  <c r="W274" i="89"/>
  <c r="W262" i="89"/>
  <c r="W250" i="89"/>
  <c r="W238" i="89"/>
  <c r="W226" i="89"/>
  <c r="W214" i="89"/>
  <c r="W202" i="89"/>
  <c r="W190" i="89"/>
  <c r="W178" i="89"/>
  <c r="W271" i="89"/>
  <c r="W199" i="89"/>
  <c r="W330" i="89"/>
  <c r="W334" i="89"/>
  <c r="W329" i="89"/>
  <c r="W317" i="89"/>
  <c r="W305" i="89"/>
  <c r="W293" i="89"/>
  <c r="W281" i="89"/>
  <c r="W269" i="89"/>
  <c r="W257" i="89"/>
  <c r="W245" i="89"/>
  <c r="W233" i="89"/>
  <c r="W221" i="89"/>
  <c r="W209" i="89"/>
  <c r="W197" i="89"/>
  <c r="W185" i="89"/>
  <c r="W173" i="89"/>
  <c r="W318" i="89"/>
  <c r="W336" i="89"/>
  <c r="W324" i="89"/>
  <c r="W312" i="89"/>
  <c r="W300" i="89"/>
  <c r="W288" i="89"/>
  <c r="W276" i="89"/>
  <c r="W264" i="89"/>
  <c r="W252" i="89"/>
  <c r="W240" i="89"/>
  <c r="W228" i="89"/>
  <c r="W216" i="89"/>
  <c r="W204" i="89"/>
  <c r="W192" i="89"/>
  <c r="W180" i="89"/>
  <c r="W48" i="89"/>
  <c r="V51" i="89"/>
  <c r="T89" i="89"/>
  <c r="W84" i="89"/>
  <c r="W31" i="89"/>
  <c r="V27" i="89"/>
  <c r="V92" i="89"/>
  <c r="W82" i="89"/>
  <c r="T75" i="89"/>
  <c r="X162" i="89"/>
  <c r="X157" i="89"/>
  <c r="X145" i="89"/>
  <c r="X133" i="89"/>
  <c r="X121" i="89"/>
  <c r="X109" i="89"/>
  <c r="X169" i="89"/>
  <c r="X164" i="89"/>
  <c r="X152" i="89"/>
  <c r="X140" i="89"/>
  <c r="X128" i="89"/>
  <c r="X116" i="89"/>
  <c r="X150" i="89"/>
  <c r="X114" i="89"/>
  <c r="X159" i="89"/>
  <c r="X147" i="89"/>
  <c r="X135" i="89"/>
  <c r="X123" i="89"/>
  <c r="X111" i="89"/>
  <c r="X154" i="89"/>
  <c r="X130" i="89"/>
  <c r="X118" i="89"/>
  <c r="X166" i="89"/>
  <c r="X161" i="89"/>
  <c r="X149" i="89"/>
  <c r="X137" i="89"/>
  <c r="X125" i="89"/>
  <c r="X113" i="89"/>
  <c r="X143" i="89"/>
  <c r="X131" i="89"/>
  <c r="X138" i="89"/>
  <c r="X168" i="89"/>
  <c r="X156" i="89"/>
  <c r="X144" i="89"/>
  <c r="X132" i="89"/>
  <c r="X120" i="89"/>
  <c r="X108" i="89"/>
  <c r="X142" i="89"/>
  <c r="X163" i="89"/>
  <c r="X151" i="89"/>
  <c r="X139" i="89"/>
  <c r="X127" i="89"/>
  <c r="X115" i="89"/>
  <c r="X126" i="89"/>
  <c r="X158" i="89"/>
  <c r="X146" i="89"/>
  <c r="X134" i="89"/>
  <c r="X122" i="89"/>
  <c r="X110" i="89"/>
  <c r="X167" i="89"/>
  <c r="X155" i="89"/>
  <c r="X170" i="89"/>
  <c r="X165" i="89"/>
  <c r="X153" i="89"/>
  <c r="X141" i="89"/>
  <c r="X129" i="89"/>
  <c r="X117" i="89"/>
  <c r="X119" i="89"/>
  <c r="X160" i="89"/>
  <c r="X148" i="89"/>
  <c r="X136" i="89"/>
  <c r="X124" i="89"/>
  <c r="X112" i="89"/>
  <c r="X206" i="89"/>
  <c r="X333" i="89"/>
  <c r="X321" i="89"/>
  <c r="X309" i="89"/>
  <c r="X297" i="89"/>
  <c r="X285" i="89"/>
  <c r="X273" i="89"/>
  <c r="X261" i="89"/>
  <c r="X249" i="89"/>
  <c r="X237" i="89"/>
  <c r="X225" i="89"/>
  <c r="X213" i="89"/>
  <c r="X201" i="89"/>
  <c r="X189" i="89"/>
  <c r="X177" i="89"/>
  <c r="X266" i="89"/>
  <c r="X254" i="89"/>
  <c r="X182" i="89"/>
  <c r="X328" i="89"/>
  <c r="X316" i="89"/>
  <c r="X304" i="89"/>
  <c r="X292" i="89"/>
  <c r="X280" i="89"/>
  <c r="X268" i="89"/>
  <c r="X256" i="89"/>
  <c r="X244" i="89"/>
  <c r="X232" i="89"/>
  <c r="X220" i="89"/>
  <c r="X208" i="89"/>
  <c r="X196" i="89"/>
  <c r="X184" i="89"/>
  <c r="X172" i="89"/>
  <c r="X242" i="89"/>
  <c r="X335" i="89"/>
  <c r="X323" i="89"/>
  <c r="X311" i="89"/>
  <c r="X299" i="89"/>
  <c r="X287" i="89"/>
  <c r="X275" i="89"/>
  <c r="X263" i="89"/>
  <c r="X251" i="89"/>
  <c r="X239" i="89"/>
  <c r="X227" i="89"/>
  <c r="X215" i="89"/>
  <c r="X203" i="89"/>
  <c r="X191" i="89"/>
  <c r="X179" i="89"/>
  <c r="X302" i="89"/>
  <c r="X290" i="89"/>
  <c r="X278" i="89"/>
  <c r="X230" i="89"/>
  <c r="X194" i="89"/>
  <c r="X330" i="89"/>
  <c r="X318" i="89"/>
  <c r="X306" i="89"/>
  <c r="X294" i="89"/>
  <c r="X282" i="89"/>
  <c r="X270" i="89"/>
  <c r="X258" i="89"/>
  <c r="X246" i="89"/>
  <c r="X234" i="89"/>
  <c r="X222" i="89"/>
  <c r="X210" i="89"/>
  <c r="X198" i="89"/>
  <c r="X186" i="89"/>
  <c r="X174" i="89"/>
  <c r="X289" i="89"/>
  <c r="X277" i="89"/>
  <c r="X265" i="89"/>
  <c r="X253" i="89"/>
  <c r="X241" i="89"/>
  <c r="X229" i="89"/>
  <c r="X217" i="89"/>
  <c r="X205" i="89"/>
  <c r="X193" i="89"/>
  <c r="X181" i="89"/>
  <c r="X326" i="89"/>
  <c r="X325" i="89"/>
  <c r="X296" i="89"/>
  <c r="X284" i="89"/>
  <c r="X272" i="89"/>
  <c r="X260" i="89"/>
  <c r="X248" i="89"/>
  <c r="X236" i="89"/>
  <c r="X224" i="89"/>
  <c r="X212" i="89"/>
  <c r="X200" i="89"/>
  <c r="X188" i="89"/>
  <c r="X176" i="89"/>
  <c r="X327" i="89"/>
  <c r="X315" i="89"/>
  <c r="X303" i="89"/>
  <c r="X291" i="89"/>
  <c r="X279" i="89"/>
  <c r="X267" i="89"/>
  <c r="X255" i="89"/>
  <c r="X243" i="89"/>
  <c r="X231" i="89"/>
  <c r="X219" i="89"/>
  <c r="X207" i="89"/>
  <c r="X195" i="89"/>
  <c r="X183" i="89"/>
  <c r="X171" i="89"/>
  <c r="X218" i="89"/>
  <c r="X334" i="89"/>
  <c r="X322" i="89"/>
  <c r="X310" i="89"/>
  <c r="X298" i="89"/>
  <c r="X286" i="89"/>
  <c r="X274" i="89"/>
  <c r="X262" i="89"/>
  <c r="X250" i="89"/>
  <c r="X238" i="89"/>
  <c r="X226" i="89"/>
  <c r="X214" i="89"/>
  <c r="X202" i="89"/>
  <c r="X190" i="89"/>
  <c r="X178" i="89"/>
  <c r="X317" i="89"/>
  <c r="X305" i="89"/>
  <c r="X293" i="89"/>
  <c r="X281" i="89"/>
  <c r="X269" i="89"/>
  <c r="X257" i="89"/>
  <c r="X245" i="89"/>
  <c r="X233" i="89"/>
  <c r="X221" i="89"/>
  <c r="X209" i="89"/>
  <c r="X197" i="89"/>
  <c r="X185" i="89"/>
  <c r="X173" i="89"/>
  <c r="X314" i="89"/>
  <c r="X313" i="89"/>
  <c r="X301" i="89"/>
  <c r="X320" i="89"/>
  <c r="X308" i="89"/>
  <c r="X329" i="89"/>
  <c r="X336" i="89"/>
  <c r="X324" i="89"/>
  <c r="X312" i="89"/>
  <c r="X300" i="89"/>
  <c r="X288" i="89"/>
  <c r="X276" i="89"/>
  <c r="X264" i="89"/>
  <c r="X252" i="89"/>
  <c r="X240" i="89"/>
  <c r="X228" i="89"/>
  <c r="X216" i="89"/>
  <c r="X204" i="89"/>
  <c r="X192" i="89"/>
  <c r="X180" i="89"/>
  <c r="X332" i="89"/>
  <c r="X331" i="89"/>
  <c r="X319" i="89"/>
  <c r="X307" i="89"/>
  <c r="X295" i="89"/>
  <c r="X283" i="89"/>
  <c r="X271" i="89"/>
  <c r="X259" i="89"/>
  <c r="X247" i="89"/>
  <c r="X235" i="89"/>
  <c r="X223" i="89"/>
  <c r="X211" i="89"/>
  <c r="X199" i="89"/>
  <c r="X187" i="89"/>
  <c r="X175" i="89"/>
  <c r="V59" i="89"/>
  <c r="T20" i="89"/>
  <c r="T24" i="89"/>
  <c r="W39" i="89"/>
  <c r="X52" i="89"/>
  <c r="U10" i="89"/>
  <c r="X53" i="89"/>
  <c r="U81" i="89"/>
  <c r="V56" i="89"/>
  <c r="U105" i="89"/>
  <c r="U98" i="89"/>
  <c r="T34" i="89"/>
  <c r="X21" i="89"/>
  <c r="T105" i="89"/>
  <c r="V94" i="89"/>
  <c r="T48" i="89"/>
  <c r="U33" i="89"/>
  <c r="X107" i="89"/>
  <c r="W78" i="89"/>
  <c r="V107" i="89"/>
  <c r="V26" i="89"/>
  <c r="W103" i="89"/>
  <c r="X93" i="89"/>
  <c r="U12" i="89"/>
  <c r="W66" i="89"/>
  <c r="V14" i="89"/>
  <c r="V24" i="89"/>
  <c r="V42" i="89"/>
  <c r="W17" i="89"/>
  <c r="V35" i="89"/>
  <c r="U60" i="89"/>
  <c r="X31" i="89"/>
  <c r="V50" i="89"/>
  <c r="V47" i="89"/>
  <c r="T87" i="89"/>
  <c r="U9" i="89"/>
  <c r="X27" i="89"/>
  <c r="U13" i="89"/>
  <c r="W28" i="89"/>
  <c r="X57" i="89"/>
  <c r="W92" i="89"/>
  <c r="U36" i="89"/>
  <c r="W80" i="89"/>
  <c r="X13" i="89"/>
  <c r="V29" i="89"/>
  <c r="U73" i="89"/>
  <c r="U69" i="89"/>
  <c r="U91" i="89"/>
  <c r="V32" i="89"/>
  <c r="W100" i="89"/>
  <c r="U66" i="89"/>
  <c r="W20" i="89"/>
  <c r="W23" i="89"/>
  <c r="V100" i="89"/>
  <c r="T81" i="89"/>
  <c r="X9" i="89"/>
  <c r="W88" i="89"/>
  <c r="T51" i="89"/>
  <c r="U37" i="89"/>
  <c r="X61" i="89"/>
  <c r="T38" i="89"/>
  <c r="U8" i="89"/>
  <c r="V104" i="89"/>
  <c r="W56" i="89"/>
  <c r="V31" i="89"/>
  <c r="X40" i="89"/>
  <c r="X44" i="89"/>
  <c r="W70" i="89"/>
  <c r="U88" i="89"/>
  <c r="U14" i="89"/>
  <c r="W59" i="89"/>
  <c r="T63" i="89"/>
  <c r="W30" i="89"/>
  <c r="V36" i="89"/>
  <c r="T39" i="89"/>
  <c r="W52" i="89"/>
  <c r="V65" i="89"/>
  <c r="W61" i="89"/>
  <c r="W51" i="89"/>
  <c r="T10" i="89"/>
  <c r="V89" i="89"/>
  <c r="V48" i="89"/>
  <c r="X89" i="89"/>
  <c r="W69" i="89"/>
  <c r="T68" i="89"/>
  <c r="X88" i="89"/>
  <c r="W68" i="89"/>
  <c r="X54" i="89"/>
  <c r="T67" i="89"/>
  <c r="T49" i="89"/>
  <c r="U35" i="89"/>
  <c r="X36" i="89"/>
  <c r="U19" i="89"/>
  <c r="V34" i="89"/>
  <c r="T46" i="89"/>
  <c r="U97" i="89"/>
  <c r="T54" i="89"/>
  <c r="T72" i="89"/>
  <c r="W43" i="89"/>
  <c r="U87" i="89"/>
  <c r="U30" i="89"/>
  <c r="X87" i="89"/>
  <c r="T21" i="89"/>
  <c r="X19" i="89"/>
  <c r="X104" i="89"/>
  <c r="X48" i="89"/>
  <c r="T22" i="89"/>
  <c r="U44" i="89"/>
  <c r="X100" i="89"/>
  <c r="V95" i="89"/>
  <c r="T62" i="89"/>
  <c r="W99" i="89"/>
  <c r="X62" i="89"/>
  <c r="T14" i="89"/>
  <c r="T85" i="89"/>
  <c r="T50" i="89"/>
  <c r="U79" i="89"/>
  <c r="W97" i="89"/>
  <c r="V63" i="89"/>
  <c r="X12" i="89"/>
  <c r="V17" i="89"/>
  <c r="V83" i="89"/>
  <c r="T104" i="89"/>
  <c r="W29" i="89"/>
  <c r="V84" i="89"/>
  <c r="X38" i="89"/>
  <c r="X84" i="89"/>
  <c r="X74" i="89"/>
  <c r="T32" i="89"/>
  <c r="W27" i="89"/>
  <c r="V45" i="89"/>
  <c r="W67" i="89"/>
  <c r="T82" i="89"/>
  <c r="T80" i="89"/>
  <c r="T96" i="89"/>
  <c r="T99" i="89"/>
  <c r="W54" i="89"/>
  <c r="T102" i="89"/>
  <c r="V103" i="89"/>
  <c r="U64" i="89"/>
  <c r="X25" i="89"/>
  <c r="W106" i="89"/>
  <c r="X85" i="89"/>
  <c r="X37" i="89"/>
  <c r="X34" i="89"/>
  <c r="X69" i="89"/>
  <c r="X63" i="89"/>
  <c r="X99" i="89"/>
  <c r="U31" i="89"/>
  <c r="V11" i="89"/>
  <c r="U80" i="89"/>
  <c r="W81" i="89"/>
  <c r="T60" i="89"/>
  <c r="U100" i="89"/>
  <c r="V33" i="89"/>
  <c r="W65" i="89"/>
  <c r="U41" i="89"/>
  <c r="V12" i="89"/>
  <c r="X8" i="89"/>
  <c r="V25" i="89"/>
  <c r="W74" i="89"/>
  <c r="W55" i="89"/>
  <c r="W95" i="89"/>
  <c r="T23" i="89"/>
  <c r="W38" i="89"/>
  <c r="T43" i="89"/>
  <c r="X106" i="89"/>
  <c r="U50" i="89"/>
  <c r="U103" i="89"/>
  <c r="U71" i="89"/>
  <c r="U92" i="89"/>
  <c r="T30" i="89"/>
  <c r="T58" i="89"/>
  <c r="V78" i="89"/>
  <c r="X32" i="89"/>
  <c r="X83" i="89"/>
  <c r="X41" i="89"/>
  <c r="V74" i="89"/>
  <c r="T26" i="89"/>
  <c r="U61" i="89"/>
  <c r="V69" i="89"/>
  <c r="X17" i="89"/>
  <c r="V19" i="89"/>
  <c r="W96" i="89"/>
  <c r="V22" i="89"/>
  <c r="U39" i="89"/>
  <c r="T8" i="89"/>
  <c r="T69" i="89"/>
  <c r="W46" i="89"/>
  <c r="X86" i="89"/>
  <c r="V77" i="89"/>
  <c r="X20" i="89"/>
  <c r="V40" i="89"/>
  <c r="U51" i="89"/>
  <c r="U43" i="89"/>
  <c r="U76" i="89"/>
  <c r="V44" i="89"/>
  <c r="U96" i="89"/>
  <c r="T73" i="89"/>
  <c r="X81" i="89"/>
  <c r="U53" i="89"/>
  <c r="V54" i="89"/>
  <c r="T90" i="89"/>
  <c r="V72" i="89"/>
  <c r="U15" i="89"/>
  <c r="U93" i="89"/>
  <c r="U95" i="89"/>
  <c r="X49" i="89"/>
  <c r="V49" i="89"/>
  <c r="V37" i="89"/>
  <c r="W89" i="89"/>
  <c r="T78" i="89"/>
  <c r="W73" i="89"/>
  <c r="X24" i="89"/>
  <c r="T94" i="89"/>
  <c r="V67" i="89"/>
  <c r="V82" i="89"/>
  <c r="W12" i="89"/>
  <c r="T71" i="89"/>
  <c r="U68" i="89"/>
  <c r="T44" i="89"/>
  <c r="W13" i="89"/>
  <c r="T76" i="89"/>
  <c r="U104" i="89"/>
  <c r="U62" i="89"/>
  <c r="X101" i="89"/>
  <c r="T88" i="89"/>
  <c r="X46" i="89"/>
  <c r="V43" i="89"/>
  <c r="U52" i="89"/>
  <c r="W47" i="89"/>
  <c r="W77" i="89"/>
  <c r="U40" i="89"/>
  <c r="T59" i="89"/>
  <c r="V39" i="89"/>
  <c r="W32" i="89"/>
  <c r="W71" i="89"/>
  <c r="Q42" i="71" l="1"/>
  <c r="Q43" i="71"/>
  <c r="Q53" i="71"/>
  <c r="Q86" i="71"/>
  <c r="V62" i="71"/>
  <c r="Q95" i="71"/>
  <c r="V27" i="71"/>
  <c r="Q106" i="71"/>
  <c r="Q31" i="71"/>
  <c r="Q18" i="71"/>
  <c r="Q103" i="71"/>
  <c r="Q40" i="71"/>
  <c r="Q67" i="71"/>
  <c r="Q11" i="71"/>
  <c r="V21" i="71"/>
  <c r="Q73" i="71"/>
  <c r="V89" i="71"/>
  <c r="Q101" i="71"/>
  <c r="Q84" i="71"/>
  <c r="V23" i="71"/>
  <c r="Q79" i="71"/>
  <c r="Q62" i="71"/>
  <c r="Q64" i="71"/>
  <c r="AA9" i="71"/>
  <c r="Q29" i="71"/>
  <c r="Q19" i="71"/>
  <c r="Q59" i="71"/>
  <c r="V18" i="71"/>
  <c r="V104" i="71"/>
  <c r="Q72" i="71"/>
  <c r="Q74" i="71"/>
  <c r="Q65" i="71"/>
  <c r="Q20" i="71"/>
  <c r="Q16" i="71"/>
  <c r="Q81" i="71"/>
  <c r="Q37" i="71"/>
  <c r="V17" i="71"/>
  <c r="Q33" i="71"/>
  <c r="Q30" i="71"/>
  <c r="V80" i="71"/>
  <c r="Q28" i="71"/>
  <c r="Q47" i="71"/>
  <c r="Q24" i="71"/>
  <c r="Q77" i="71"/>
  <c r="Q87" i="71"/>
  <c r="V94" i="71"/>
  <c r="Q23" i="71"/>
  <c r="Q34" i="71"/>
  <c r="V63" i="71"/>
  <c r="Q104" i="71"/>
  <c r="Q98" i="71"/>
  <c r="Q102" i="71"/>
  <c r="Q91" i="71"/>
  <c r="Q94" i="71"/>
  <c r="V44" i="71"/>
  <c r="V36" i="71"/>
  <c r="V82" i="71"/>
  <c r="V75" i="71"/>
  <c r="Q25" i="71"/>
  <c r="Q60" i="71"/>
  <c r="V35" i="71"/>
  <c r="Q90" i="71"/>
  <c r="V71" i="71"/>
  <c r="Q35" i="71"/>
  <c r="V69" i="71"/>
  <c r="Q93" i="71"/>
  <c r="Q105" i="71"/>
  <c r="Q52" i="71"/>
  <c r="V58" i="71"/>
  <c r="Q12" i="71"/>
  <c r="V93" i="71"/>
  <c r="Q9" i="71"/>
  <c r="Q78" i="71"/>
  <c r="Q15" i="71"/>
  <c r="Q41" i="71"/>
  <c r="Q63" i="71"/>
  <c r="V47" i="71"/>
  <c r="Q66" i="71"/>
  <c r="Q88" i="71"/>
  <c r="Q36" i="71"/>
  <c r="V64" i="71"/>
  <c r="Q70" i="71"/>
  <c r="Q50" i="71"/>
  <c r="Q38" i="71"/>
  <c r="V22" i="71"/>
  <c r="Q55" i="71"/>
  <c r="V70" i="71"/>
  <c r="Q108" i="71"/>
  <c r="Q46" i="71"/>
  <c r="Q32" i="71"/>
  <c r="Q107" i="71"/>
  <c r="AA18" i="71"/>
  <c r="Q39" i="71"/>
  <c r="V10" i="71"/>
  <c r="Q100" i="71"/>
  <c r="V76" i="71"/>
  <c r="Q61" i="71"/>
  <c r="Q14" i="71"/>
  <c r="V59" i="71"/>
  <c r="Q57" i="71"/>
  <c r="Q76" i="71"/>
  <c r="U49" i="71"/>
  <c r="Q48" i="71"/>
  <c r="V51" i="71"/>
  <c r="V16" i="71"/>
  <c r="Q58" i="71"/>
  <c r="Q44" i="71"/>
  <c r="Q22" i="71"/>
  <c r="Q83" i="71"/>
  <c r="Q45" i="71"/>
  <c r="Q56" i="71"/>
  <c r="V96" i="71"/>
  <c r="Q13" i="71"/>
  <c r="V28" i="71"/>
  <c r="Q80" i="71"/>
  <c r="Q27" i="71"/>
  <c r="V43" i="71"/>
  <c r="Q51" i="71"/>
  <c r="Q85" i="71"/>
  <c r="V78" i="71"/>
  <c r="V52" i="71"/>
  <c r="V34" i="71"/>
  <c r="Q75" i="71"/>
  <c r="V85" i="71"/>
  <c r="AA101" i="71"/>
  <c r="U51" i="71"/>
  <c r="AA91" i="71"/>
  <c r="AA92" i="71"/>
  <c r="AA60" i="71"/>
  <c r="J91" i="71"/>
  <c r="L72" i="71"/>
  <c r="L26" i="71"/>
  <c r="L108" i="71"/>
  <c r="J9" i="71"/>
  <c r="AA11" i="71"/>
  <c r="L30" i="71"/>
  <c r="L76" i="71"/>
  <c r="AA56" i="71"/>
  <c r="L45" i="71"/>
  <c r="J84" i="71"/>
  <c r="AA99" i="71"/>
  <c r="AA81" i="71"/>
  <c r="AA105" i="71"/>
  <c r="V50" i="71"/>
  <c r="V103" i="71"/>
  <c r="V54" i="71"/>
  <c r="AA37" i="71"/>
  <c r="V12" i="71"/>
  <c r="V95" i="71"/>
  <c r="AA15" i="71"/>
  <c r="V55" i="71"/>
  <c r="U39" i="71"/>
  <c r="J83" i="71"/>
  <c r="V79" i="71"/>
  <c r="L55" i="71"/>
  <c r="J20" i="71"/>
  <c r="J98" i="71"/>
  <c r="J21" i="71"/>
  <c r="L47" i="71"/>
  <c r="V99" i="71"/>
  <c r="L54" i="71"/>
  <c r="V39" i="71"/>
  <c r="AA27" i="71"/>
  <c r="J65" i="71"/>
  <c r="AA79" i="71"/>
  <c r="L84" i="71"/>
  <c r="L13" i="71"/>
  <c r="AA74" i="71"/>
  <c r="AA50" i="71"/>
  <c r="V26" i="71"/>
  <c r="AA57" i="71"/>
  <c r="AA107" i="71"/>
  <c r="AA26" i="71"/>
  <c r="AA94" i="71"/>
  <c r="U16" i="71"/>
  <c r="J64" i="71"/>
  <c r="L46" i="71"/>
  <c r="L59" i="71"/>
  <c r="L20" i="71"/>
  <c r="L32" i="71"/>
  <c r="L14" i="71"/>
  <c r="L94" i="71"/>
  <c r="V31" i="71"/>
  <c r="V24" i="71"/>
  <c r="J92" i="71"/>
  <c r="J31" i="71"/>
  <c r="V100" i="71"/>
  <c r="K103" i="71"/>
  <c r="V84" i="71"/>
  <c r="AA29" i="71"/>
  <c r="AA36" i="71"/>
  <c r="V19" i="71"/>
  <c r="AA78" i="71"/>
  <c r="L27" i="71"/>
  <c r="V105" i="71"/>
  <c r="AA22" i="71"/>
  <c r="AA16" i="71"/>
  <c r="AA80" i="71"/>
  <c r="AA63" i="71"/>
  <c r="AA88" i="71"/>
  <c r="AA35" i="71"/>
  <c r="J48" i="71"/>
  <c r="AA55" i="71"/>
  <c r="J97" i="71"/>
  <c r="V106" i="71"/>
  <c r="J39" i="71"/>
  <c r="J63" i="71"/>
  <c r="L66" i="71"/>
  <c r="J99" i="71"/>
  <c r="J25" i="71"/>
  <c r="V65" i="71"/>
  <c r="V86" i="71"/>
  <c r="AA108" i="71"/>
  <c r="J60" i="71"/>
  <c r="J87" i="71"/>
  <c r="L34" i="71"/>
  <c r="AA97" i="71"/>
  <c r="AA12" i="71"/>
  <c r="AA49" i="71"/>
  <c r="V92" i="71"/>
  <c r="V13" i="71"/>
  <c r="AA14" i="71"/>
  <c r="AA106" i="71"/>
  <c r="AA42" i="71"/>
  <c r="V25" i="71"/>
  <c r="AA96" i="71"/>
  <c r="V20" i="71"/>
  <c r="V60" i="71"/>
  <c r="V57" i="71"/>
  <c r="P37" i="71"/>
  <c r="L11" i="71"/>
  <c r="L48" i="71"/>
  <c r="J77" i="71"/>
  <c r="V97" i="71"/>
  <c r="L19" i="71"/>
  <c r="L18" i="71"/>
  <c r="L68" i="71"/>
  <c r="L97" i="71"/>
  <c r="L74" i="71"/>
  <c r="L50" i="71"/>
  <c r="V38" i="71"/>
  <c r="K59" i="71"/>
  <c r="L63" i="71"/>
  <c r="K34" i="71"/>
  <c r="L25" i="71"/>
  <c r="L24" i="71"/>
  <c r="V48" i="71"/>
  <c r="V67" i="71"/>
  <c r="J85" i="71"/>
  <c r="L60" i="71"/>
  <c r="AA10" i="71"/>
  <c r="V61" i="71"/>
  <c r="V32" i="71"/>
  <c r="AA65" i="71"/>
  <c r="V81" i="71"/>
  <c r="AA39" i="71"/>
  <c r="AA38" i="71"/>
  <c r="V9" i="71"/>
  <c r="V87" i="71"/>
  <c r="U88" i="71"/>
  <c r="Z93" i="71"/>
  <c r="AA89" i="71"/>
  <c r="V37" i="71"/>
  <c r="AA20" i="71"/>
  <c r="AA103" i="71"/>
  <c r="V33" i="71"/>
  <c r="V45" i="71"/>
  <c r="AA28" i="71"/>
  <c r="V68" i="71"/>
  <c r="J86" i="71"/>
  <c r="J12" i="71"/>
  <c r="V11" i="71"/>
  <c r="V73" i="71"/>
  <c r="V101" i="71"/>
  <c r="AA66" i="71"/>
  <c r="AA44" i="71"/>
  <c r="AA93" i="71"/>
  <c r="AA24" i="71"/>
  <c r="AA87" i="71"/>
  <c r="V29" i="71"/>
  <c r="V77" i="71"/>
  <c r="V56" i="71"/>
  <c r="V41" i="71"/>
  <c r="AA48" i="71"/>
  <c r="J108" i="71"/>
  <c r="AA75" i="71"/>
  <c r="V88" i="71"/>
  <c r="L28" i="71"/>
  <c r="L90" i="71"/>
  <c r="V91" i="71"/>
  <c r="L73" i="71"/>
  <c r="V102" i="71"/>
  <c r="L86" i="71"/>
  <c r="L100" i="71"/>
  <c r="AA43" i="71"/>
  <c r="J10" i="71"/>
  <c r="V46" i="71"/>
  <c r="AA62" i="71"/>
  <c r="AA86" i="71"/>
  <c r="AA76" i="71"/>
  <c r="U78" i="71"/>
  <c r="U79" i="71"/>
  <c r="U44" i="71"/>
  <c r="V14" i="71"/>
  <c r="Z76" i="71"/>
  <c r="AA98" i="71"/>
  <c r="J45" i="71"/>
  <c r="AA30" i="71"/>
  <c r="L69" i="71"/>
  <c r="J93" i="71"/>
  <c r="V74" i="71"/>
  <c r="V15" i="71"/>
  <c r="L57" i="71"/>
  <c r="AA84" i="71"/>
  <c r="J71" i="71"/>
  <c r="V66" i="71"/>
  <c r="L43" i="71"/>
  <c r="L38" i="71"/>
  <c r="V108" i="71"/>
  <c r="V40" i="71"/>
  <c r="L17" i="71"/>
  <c r="L78" i="71"/>
  <c r="L103" i="71"/>
  <c r="AA54" i="71"/>
  <c r="AA53" i="71"/>
  <c r="AA85" i="71"/>
  <c r="AA77" i="71"/>
  <c r="AA102" i="71"/>
  <c r="V90" i="71"/>
  <c r="AA51" i="71"/>
  <c r="AA58" i="71"/>
  <c r="L33" i="71"/>
  <c r="V107" i="71"/>
  <c r="AA13" i="71"/>
  <c r="L40" i="71"/>
  <c r="AA23" i="71"/>
  <c r="AA33" i="71"/>
  <c r="L106" i="71"/>
  <c r="L71" i="71"/>
  <c r="L62" i="71"/>
  <c r="L70" i="71"/>
  <c r="AA46" i="71"/>
  <c r="L44" i="71"/>
  <c r="AA70" i="71"/>
  <c r="AA90" i="71"/>
  <c r="AA52" i="71"/>
  <c r="V49" i="71"/>
  <c r="V53" i="71"/>
  <c r="AA100" i="71"/>
  <c r="AA61" i="71"/>
  <c r="J104" i="71"/>
  <c r="AA59" i="71"/>
  <c r="J36" i="71"/>
  <c r="L88" i="71"/>
  <c r="V98" i="71"/>
  <c r="J27" i="71"/>
  <c r="J102" i="71"/>
  <c r="J96" i="71"/>
  <c r="L10" i="71"/>
  <c r="P33" i="71"/>
  <c r="P13" i="71"/>
  <c r="P50" i="71"/>
  <c r="P46" i="71"/>
  <c r="P72" i="71"/>
  <c r="P104" i="71"/>
  <c r="P91" i="71"/>
  <c r="P67" i="71"/>
  <c r="J101" i="71"/>
  <c r="J58" i="71"/>
  <c r="P31" i="71"/>
  <c r="P25" i="71"/>
  <c r="P107" i="71"/>
  <c r="P82" i="71"/>
  <c r="P83" i="71"/>
  <c r="P62" i="71"/>
  <c r="P28" i="71"/>
  <c r="P11" i="71"/>
  <c r="P103" i="71"/>
  <c r="P71" i="71"/>
  <c r="P73" i="71"/>
  <c r="P20" i="71"/>
  <c r="P47" i="71"/>
  <c r="P86" i="71"/>
  <c r="P21" i="71"/>
  <c r="P64" i="71"/>
  <c r="P58" i="71"/>
  <c r="P76" i="71"/>
  <c r="J72" i="71"/>
  <c r="P85" i="71"/>
  <c r="P49" i="71"/>
  <c r="P56" i="71"/>
  <c r="P19" i="71"/>
  <c r="P69" i="71"/>
  <c r="P70" i="71"/>
  <c r="P95" i="71"/>
  <c r="P51" i="71"/>
  <c r="P74" i="71"/>
  <c r="P89" i="71"/>
  <c r="J33" i="71"/>
  <c r="J52" i="71"/>
  <c r="J78" i="71"/>
  <c r="J100" i="71"/>
  <c r="P88" i="71"/>
  <c r="P80" i="71"/>
  <c r="P99" i="71"/>
  <c r="P10" i="71"/>
  <c r="P105" i="71"/>
  <c r="P54" i="71"/>
  <c r="P59" i="71"/>
  <c r="J29" i="71"/>
  <c r="P14" i="71"/>
  <c r="P39" i="71"/>
  <c r="P87" i="71"/>
  <c r="P94" i="71"/>
  <c r="P55" i="71"/>
  <c r="P23" i="71"/>
  <c r="P44" i="71"/>
  <c r="P79" i="71"/>
  <c r="P34" i="71"/>
  <c r="P90" i="71"/>
  <c r="P15" i="71"/>
  <c r="P32" i="71"/>
  <c r="P42" i="71"/>
  <c r="P43" i="71"/>
  <c r="P36" i="71"/>
  <c r="P61" i="71"/>
  <c r="P96" i="71"/>
  <c r="P63" i="71"/>
  <c r="P27" i="71"/>
  <c r="P38" i="71"/>
  <c r="P30" i="71"/>
  <c r="P24" i="71"/>
  <c r="P26" i="71"/>
</calcChain>
</file>

<file path=xl/sharedStrings.xml><?xml version="1.0" encoding="utf-8"?>
<sst xmlns="http://schemas.openxmlformats.org/spreadsheetml/2006/main" count="373" uniqueCount="151">
  <si>
    <t>1紫</t>
    <phoneticPr fontId="1" type="noConversion"/>
  </si>
  <si>
    <t>3紫</t>
    <phoneticPr fontId="1" type="noConversion"/>
  </si>
  <si>
    <t>5紫</t>
    <phoneticPr fontId="1" type="noConversion"/>
  </si>
  <si>
    <t>1橙</t>
    <phoneticPr fontId="1" type="noConversion"/>
  </si>
  <si>
    <t>6橙</t>
    <phoneticPr fontId="1" type="noConversion"/>
  </si>
  <si>
    <t>1橙升1星</t>
    <phoneticPr fontId="1" type="noConversion"/>
  </si>
  <si>
    <t>6橙升1星</t>
    <phoneticPr fontId="1" type="noConversion"/>
  </si>
  <si>
    <t>6橙升3星</t>
    <phoneticPr fontId="1" type="noConversion"/>
  </si>
  <si>
    <t>6橙升7星</t>
    <phoneticPr fontId="1" type="noConversion"/>
  </si>
  <si>
    <t>4橙</t>
    <phoneticPr fontId="1" type="noConversion"/>
  </si>
  <si>
    <t>1紫升1星</t>
    <phoneticPr fontId="1" type="noConversion"/>
  </si>
  <si>
    <t>1橙觉醒</t>
    <phoneticPr fontId="1" type="noConversion"/>
  </si>
  <si>
    <t>6橙觉醒</t>
    <phoneticPr fontId="1" type="noConversion"/>
  </si>
  <si>
    <t>橙</t>
    <phoneticPr fontId="1" type="noConversion"/>
  </si>
  <si>
    <t>蓝</t>
    <phoneticPr fontId="1" type="noConversion"/>
  </si>
  <si>
    <t>紫</t>
    <phoneticPr fontId="1" type="noConversion"/>
  </si>
  <si>
    <t>1星紫</t>
    <phoneticPr fontId="1" type="noConversion"/>
  </si>
  <si>
    <t>觉醒橙</t>
    <phoneticPr fontId="1" type="noConversion"/>
  </si>
  <si>
    <t>觉醒1星橙</t>
    <phoneticPr fontId="1" type="noConversion"/>
  </si>
  <si>
    <t>觉醒1星橙</t>
    <phoneticPr fontId="1" type="noConversion"/>
  </si>
  <si>
    <t>觉醒1星橙</t>
    <phoneticPr fontId="1" type="noConversion"/>
  </si>
  <si>
    <t>觉醒3星橙</t>
    <phoneticPr fontId="1" type="noConversion"/>
  </si>
  <si>
    <t>觉醒7星橙</t>
    <phoneticPr fontId="1" type="noConversion"/>
  </si>
  <si>
    <t>1紫5蓝</t>
    <phoneticPr fontId="1" type="noConversion"/>
  </si>
  <si>
    <t>1橙5紫</t>
    <phoneticPr fontId="1" type="noConversion"/>
  </si>
  <si>
    <t>4橙2紫</t>
    <phoneticPr fontId="1" type="noConversion"/>
  </si>
  <si>
    <t>6橙</t>
    <phoneticPr fontId="1" type="noConversion"/>
  </si>
  <si>
    <t>6橙1星</t>
    <phoneticPr fontId="1" type="noConversion"/>
  </si>
  <si>
    <t>6橙2星</t>
    <phoneticPr fontId="1" type="noConversion"/>
  </si>
  <si>
    <t>6橙7星</t>
    <phoneticPr fontId="1" type="noConversion"/>
  </si>
  <si>
    <t>小r</t>
    <phoneticPr fontId="1" type="noConversion"/>
  </si>
  <si>
    <t>大殿等级</t>
  </si>
  <si>
    <t>大殿等级累积停留时间(天）</t>
  </si>
  <si>
    <t>大殿等级阶段停留时间（天）</t>
  </si>
  <si>
    <t>非r累积时长大殿等级标准</t>
  </si>
  <si>
    <t>玩家等级</t>
    <phoneticPr fontId="1" type="noConversion"/>
  </si>
  <si>
    <t>攻击</t>
    <phoneticPr fontId="1" type="noConversion"/>
  </si>
  <si>
    <t>血量</t>
    <phoneticPr fontId="1" type="noConversion"/>
  </si>
  <si>
    <t>近战防御</t>
    <phoneticPr fontId="1" type="noConversion"/>
  </si>
  <si>
    <t>近战输出(骑）</t>
    <phoneticPr fontId="1" type="noConversion"/>
  </si>
  <si>
    <t>远程输出</t>
    <phoneticPr fontId="1" type="noConversion"/>
  </si>
  <si>
    <t>近战输出(枪)</t>
    <phoneticPr fontId="1" type="noConversion"/>
  </si>
  <si>
    <t>参考值</t>
    <phoneticPr fontId="1" type="noConversion"/>
  </si>
  <si>
    <t>近战防御</t>
    <phoneticPr fontId="1" type="noConversion"/>
  </si>
  <si>
    <t>近战输出(骑)</t>
    <phoneticPr fontId="1" type="noConversion"/>
  </si>
  <si>
    <t>远程输出</t>
    <phoneticPr fontId="1" type="noConversion"/>
  </si>
  <si>
    <t>近战输出(枪)</t>
    <phoneticPr fontId="1" type="noConversion"/>
  </si>
  <si>
    <t>攻血比</t>
    <phoneticPr fontId="1" type="noConversion"/>
  </si>
  <si>
    <t>攻击比例</t>
    <phoneticPr fontId="1" type="noConversion"/>
  </si>
  <si>
    <t>血量比例</t>
    <phoneticPr fontId="1" type="noConversion"/>
  </si>
  <si>
    <t>攻击</t>
    <phoneticPr fontId="1" type="noConversion"/>
  </si>
  <si>
    <t>非r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</si>
  <si>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</si>
  <si>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</si>
  <si>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</si>
  <si>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累积停留天数(标准）</t>
    <phoneticPr fontId="1" type="noConversion"/>
  </si>
  <si>
    <t>调整系数</t>
    <phoneticPr fontId="1" type="noConversion"/>
  </si>
  <si>
    <t>,</t>
    <phoneticPr fontId="1" type="noConversion"/>
  </si>
  <si>
    <t>天数对应大殿等级</t>
    <phoneticPr fontId="1" type="noConversion"/>
  </si>
  <si>
    <t>预估养成队伍数量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</si>
  <si>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</si>
  <si>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</si>
  <si>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</si>
  <si>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</si>
  <si>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</si>
  <si>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小r</t>
    <phoneticPr fontId="1" type="noConversion"/>
  </si>
  <si>
    <t>天数</t>
    <phoneticPr fontId="1" type="noConversion"/>
  </si>
  <si>
    <t>中r</t>
    <phoneticPr fontId="1" type="noConversion"/>
  </si>
  <si>
    <t>超r</t>
    <phoneticPr fontId="1" type="noConversion"/>
  </si>
  <si>
    <t>非r</t>
    <phoneticPr fontId="1" type="noConversion"/>
  </si>
  <si>
    <t>大r</t>
    <phoneticPr fontId="1" type="noConversion"/>
  </si>
  <si>
    <t>小r</t>
    <phoneticPr fontId="1" type="noConversion"/>
  </si>
  <si>
    <t>大r</t>
    <phoneticPr fontId="1" type="noConversion"/>
  </si>
  <si>
    <t>超r</t>
    <phoneticPr fontId="1" type="noConversion"/>
  </si>
  <si>
    <t>天数</t>
    <phoneticPr fontId="1" type="noConversion"/>
  </si>
  <si>
    <t>中r</t>
    <phoneticPr fontId="1" type="noConversion"/>
  </si>
  <si>
    <t>非r</t>
    <phoneticPr fontId="1" type="noConversion"/>
  </si>
  <si>
    <t>累积天数</t>
    <phoneticPr fontId="1" type="noConversion"/>
  </si>
  <si>
    <t>调整值</t>
    <phoneticPr fontId="1" type="noConversion"/>
  </si>
  <si>
    <t>累积天数</t>
    <phoneticPr fontId="1" type="noConversion"/>
  </si>
  <si>
    <t>调整值</t>
    <phoneticPr fontId="1" type="noConversion"/>
  </si>
  <si>
    <t>定义等级</t>
  </si>
  <si>
    <t>定义等级累积停留天数（天）</t>
  </si>
  <si>
    <t>定义等级阶段停留天数（天）</t>
  </si>
  <si>
    <t>天数对应定义等级</t>
  </si>
  <si>
    <t>非r累积时长定义等级标准</t>
  </si>
  <si>
    <t>黄金</t>
    <phoneticPr fontId="1" type="noConversion"/>
  </si>
  <si>
    <t>（1-10天）</t>
    <phoneticPr fontId="1" type="noConversion"/>
  </si>
  <si>
    <t>(11-30天）</t>
    <phoneticPr fontId="1" type="noConversion"/>
  </si>
  <si>
    <t>（31~60天）</t>
    <phoneticPr fontId="1" type="noConversion"/>
  </si>
  <si>
    <t>sid</t>
  </si>
  <si>
    <t>名称</t>
  </si>
  <si>
    <t>价格</t>
    <phoneticPr fontId="1" type="noConversion"/>
  </si>
  <si>
    <t>调整参数</t>
    <phoneticPr fontId="1" type="noConversion"/>
  </si>
  <si>
    <t>实际价格</t>
    <phoneticPr fontId="1" type="noConversion"/>
  </si>
  <si>
    <t>描述</t>
    <phoneticPr fontId="1" type="noConversion"/>
  </si>
  <si>
    <t>物品名字</t>
    <phoneticPr fontId="1" type="noConversion"/>
  </si>
  <si>
    <t>价值</t>
    <phoneticPr fontId="1" type="noConversion"/>
  </si>
  <si>
    <t>青铜鼎</t>
    <phoneticPr fontId="1" type="noConversion"/>
  </si>
  <si>
    <t>玛瑙</t>
    <phoneticPr fontId="1" type="noConversion"/>
  </si>
  <si>
    <t>玉石</t>
    <phoneticPr fontId="1" type="noConversion"/>
  </si>
  <si>
    <t>盲盒</t>
    <phoneticPr fontId="1" type="noConversion"/>
  </si>
  <si>
    <t>物品价值</t>
    <phoneticPr fontId="1" type="noConversion"/>
  </si>
  <si>
    <t>层数</t>
    <phoneticPr fontId="1" type="noConversion"/>
  </si>
  <si>
    <t>初级难度</t>
    <phoneticPr fontId="1" type="noConversion"/>
  </si>
  <si>
    <t>y轴坐标</t>
    <phoneticPr fontId="1" type="noConversion"/>
  </si>
  <si>
    <t>难度1</t>
    <phoneticPr fontId="1" type="noConversion"/>
  </si>
  <si>
    <t>物品分布</t>
    <phoneticPr fontId="1" type="noConversion"/>
  </si>
  <si>
    <t>名称</t>
    <phoneticPr fontId="1" type="noConversion"/>
  </si>
  <si>
    <t>积分</t>
    <phoneticPr fontId="1" type="noConversion"/>
  </si>
  <si>
    <t>预估本关获取数量</t>
    <phoneticPr fontId="1" type="noConversion"/>
  </si>
  <si>
    <t>总分</t>
    <phoneticPr fontId="1" type="noConversion"/>
  </si>
  <si>
    <t>每个物品价值</t>
    <phoneticPr fontId="1" type="noConversion"/>
  </si>
  <si>
    <t>预估玩家倾向</t>
    <phoneticPr fontId="1" type="noConversion"/>
  </si>
  <si>
    <t>实际花费时间</t>
    <phoneticPr fontId="1" type="noConversion"/>
  </si>
  <si>
    <t>累积获取积分</t>
    <phoneticPr fontId="1" type="noConversion"/>
  </si>
  <si>
    <t>等级</t>
    <phoneticPr fontId="1" type="noConversion"/>
  </si>
  <si>
    <t>等级对应累积琳琅商铺钻石产出</t>
    <phoneticPr fontId="1" type="noConversion"/>
  </si>
  <si>
    <t>天数对应累积琳琅商铺钻石产出</t>
    <phoneticPr fontId="1" type="noConversion"/>
  </si>
  <si>
    <t>难度2</t>
  </si>
  <si>
    <t>难度3</t>
  </si>
  <si>
    <t>铁块</t>
    <phoneticPr fontId="1" type="noConversion"/>
  </si>
  <si>
    <t>锦绣</t>
    <phoneticPr fontId="1" type="noConversion"/>
  </si>
  <si>
    <t>乱世珍宝</t>
    <phoneticPr fontId="1" type="noConversion"/>
  </si>
  <si>
    <t>和氏璧</t>
    <phoneticPr fontId="1" type="noConversion"/>
  </si>
  <si>
    <t>对应层数</t>
    <phoneticPr fontId="1" type="noConversion"/>
  </si>
  <si>
    <t>x轴区间范围</t>
    <phoneticPr fontId="1" type="noConversion"/>
  </si>
  <si>
    <t>每层获取数量</t>
    <phoneticPr fontId="1" type="noConversion"/>
  </si>
  <si>
    <t>关卡1</t>
  </si>
  <si>
    <t>关卡2</t>
  </si>
  <si>
    <t>关卡3</t>
  </si>
  <si>
    <t>难度2</t>
    <phoneticPr fontId="1" type="noConversion"/>
  </si>
  <si>
    <t>难度3</t>
    <phoneticPr fontId="1" type="noConversion"/>
  </si>
  <si>
    <t>关卡</t>
    <phoneticPr fontId="1" type="noConversion"/>
  </si>
  <si>
    <t>关卡道具设定</t>
    <phoneticPr fontId="1" type="noConversion"/>
  </si>
  <si>
    <t>关卡积分设定</t>
    <phoneticPr fontId="1" type="noConversion"/>
  </si>
  <si>
    <t>速率/每坐标点</t>
    <phoneticPr fontId="1" type="noConversion"/>
  </si>
  <si>
    <t>前台数据设定</t>
    <phoneticPr fontId="1" type="noConversion"/>
  </si>
  <si>
    <t>到达坐标时间</t>
    <phoneticPr fontId="1" type="noConversion"/>
  </si>
  <si>
    <t>1、活动距离服务器</t>
    <phoneticPr fontId="1" type="noConversion"/>
  </si>
  <si>
    <t>天开启</t>
    <phoneticPr fontId="1" type="noConversion"/>
  </si>
  <si>
    <t>2.活动每个月开启</t>
    <phoneticPr fontId="1" type="noConversion"/>
  </si>
  <si>
    <t>轮</t>
    <phoneticPr fontId="1" type="noConversion"/>
  </si>
  <si>
    <t>钻</t>
    <phoneticPr fontId="1" type="noConversion"/>
  </si>
  <si>
    <t>3.每轮活动累积奖励钻石</t>
    <phoneticPr fontId="1" type="noConversion"/>
  </si>
  <si>
    <t>难度</t>
    <phoneticPr fontId="1" type="noConversion"/>
  </si>
  <si>
    <t>转化成黄金点将令数量</t>
    <phoneticPr fontId="1" type="noConversion"/>
  </si>
  <si>
    <t>阶段奖励占比</t>
    <phoneticPr fontId="1" type="noConversion"/>
  </si>
  <si>
    <t>难度系数</t>
    <phoneticPr fontId="1" type="noConversion"/>
  </si>
  <si>
    <t>参考系数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</si>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</sst>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</font>
    <font>
      <sz val="9"/>
      <color rgb="FFFF0000"/>
      <name val="宋体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/>
    <xf numFmtId="0" fontId="4" fillId="2" borderId="0" xfId="0" applyFont="1" applyFill="1" applyAlignment="1">
      <alignment horizontal="center"/>
    </xf>
    <xf numFmtId="9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0" xfId="0" applyFont="1"/>
    <xf numFmtId="0" fontId="5" fillId="0" borderId="1" xfId="0" applyFon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0" borderId="1" xfId="0" applyFont="1" applyBorder="1" applyAlignment="1">
      <alignment horizontal="center" vertical="center" shrinkToFit="1"/>
    </xf>
    <xf numFmtId="10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 shrinkToFit="1"/>
    </xf>
    <xf numFmtId="0" fontId="4" fillId="0" borderId="1" xfId="0" applyFont="1" applyBorder="1" applyAlignment="1">
      <alignment horizontal="center" vertical="center" shrinkToFit="1"/>
    </xf>
    <xf numFmtId="0" fontId="4" fillId="8" borderId="1" xfId="0" applyFont="1" applyFill="1" applyBorder="1" applyAlignment="1">
      <alignment horizontal="center" vertical="center" shrinkToFit="1"/>
    </xf>
    <xf numFmtId="0" fontId="5" fillId="11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12" borderId="1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shrinkToFit="1"/>
    </xf>
    <xf numFmtId="0" fontId="4" fillId="0" borderId="3" xfId="0" applyFont="1" applyBorder="1" applyAlignment="1">
      <alignment horizontal="center" vertical="center" shrinkToFit="1"/>
    </xf>
    <xf numFmtId="2" fontId="5" fillId="0" borderId="1" xfId="0" applyNumberFormat="1" applyFont="1" applyBorder="1" applyAlignment="1">
      <alignment horizontal="center" vertical="center" shrinkToFit="1"/>
    </xf>
    <xf numFmtId="0" fontId="4" fillId="0" borderId="1" xfId="0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 shrinkToFit="1"/>
    </xf>
    <xf numFmtId="0" fontId="5" fillId="7" borderId="0" xfId="0" applyFont="1" applyFill="1" applyAlignment="1">
      <alignment horizontal="center" vertical="center" shrinkToFit="1"/>
    </xf>
    <xf numFmtId="0" fontId="5" fillId="10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2" fontId="5" fillId="0" borderId="4" xfId="0" applyNumberFormat="1" applyFont="1" applyBorder="1" applyAlignment="1">
      <alignment horizontal="center" vertical="center" shrinkToFit="1"/>
    </xf>
    <xf numFmtId="2" fontId="5" fillId="0" borderId="5" xfId="0" applyNumberFormat="1" applyFont="1" applyBorder="1" applyAlignment="1">
      <alignment horizontal="center" vertical="center" shrinkToFit="1"/>
    </xf>
    <xf numFmtId="2" fontId="5" fillId="0" borderId="6" xfId="0" applyNumberFormat="1" applyFont="1" applyBorder="1" applyAlignment="1">
      <alignment horizontal="center" vertical="center" shrinkToFi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390525</xdr:colOff>
      <xdr:row>17</xdr:row>
      <xdr:rowOff>0</xdr:rowOff>
    </xdr:from>
    <xdr:to>
      <xdr:col>19</xdr:col>
      <xdr:colOff>9525</xdr:colOff>
      <xdr:row>17</xdr:row>
      <xdr:rowOff>95251</xdr:rowOff>
    </xdr:to>
    <xdr:cxnSp macro="">
      <xdr:nvCxnSpPr>
        <xdr:cNvPr id="16" name="直接箭头连接符 15">
          <a:extLst>
            <a:ext uri="{FF2B5EF4-FFF2-40B4-BE49-F238E27FC236}">
              <a16:creationId xmlns:a16="http://schemas.microsoft.com/office/drawing/2014/main" id="{E84A22ED-BF87-4FC4-891C-F95886FB7B2C}"/>
            </a:ext>
          </a:extLst>
        </xdr:cNvPr>
        <xdr:cNvCxnSpPr/>
      </xdr:nvCxnSpPr>
      <xdr:spPr>
        <a:xfrm flipV="1">
          <a:off x="10991850" y="5000625"/>
          <a:ext cx="628650" cy="40957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17</xdr:row>
      <xdr:rowOff>0</xdr:rowOff>
    </xdr:from>
    <xdr:to>
      <xdr:col>17</xdr:col>
      <xdr:colOff>371475</xdr:colOff>
      <xdr:row>17</xdr:row>
      <xdr:rowOff>104775</xdr:rowOff>
    </xdr:to>
    <xdr:cxnSp macro="">
      <xdr:nvCxnSpPr>
        <xdr:cNvPr id="17" name="直接箭头连接符 16">
          <a:extLst>
            <a:ext uri="{FF2B5EF4-FFF2-40B4-BE49-F238E27FC236}">
              <a16:creationId xmlns:a16="http://schemas.microsoft.com/office/drawing/2014/main" id="{B3AC7491-A528-4565-AC06-A8E552365D1C}"/>
            </a:ext>
          </a:extLst>
        </xdr:cNvPr>
        <xdr:cNvCxnSpPr/>
      </xdr:nvCxnSpPr>
      <xdr:spPr>
        <a:xfrm flipH="1" flipV="1">
          <a:off x="10106025" y="5010150"/>
          <a:ext cx="866775" cy="4095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390525</xdr:colOff>
      <xdr:row>46</xdr:row>
      <xdr:rowOff>28575</xdr:rowOff>
    </xdr:from>
    <xdr:to>
      <xdr:col>9</xdr:col>
      <xdr:colOff>9525</xdr:colOff>
      <xdr:row>48</xdr:row>
      <xdr:rowOff>95251</xdr:rowOff>
    </xdr:to>
    <xdr:cxnSp macro="">
      <xdr:nvCxnSpPr>
        <xdr:cNvPr id="34" name="直接箭头连接符 33">
          <a:extLst>
            <a:ext uri="{FF2B5EF4-FFF2-40B4-BE49-F238E27FC236}">
              <a16:creationId xmlns:a16="http://schemas.microsoft.com/office/drawing/2014/main" id="{7404ECD9-A849-4B34-9300-3FAEB0CB5A45}"/>
            </a:ext>
          </a:extLst>
        </xdr:cNvPr>
        <xdr:cNvCxnSpPr/>
      </xdr:nvCxnSpPr>
      <xdr:spPr>
        <a:xfrm flipV="1">
          <a:off x="5943600" y="12201525"/>
          <a:ext cx="628650" cy="40957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46</xdr:row>
      <xdr:rowOff>38100</xdr:rowOff>
    </xdr:from>
    <xdr:to>
      <xdr:col>7</xdr:col>
      <xdr:colOff>371475</xdr:colOff>
      <xdr:row>48</xdr:row>
      <xdr:rowOff>104775</xdr:rowOff>
    </xdr:to>
    <xdr:cxnSp macro="">
      <xdr:nvCxnSpPr>
        <xdr:cNvPr id="35" name="直接箭头连接符 34">
          <a:extLst>
            <a:ext uri="{FF2B5EF4-FFF2-40B4-BE49-F238E27FC236}">
              <a16:creationId xmlns:a16="http://schemas.microsoft.com/office/drawing/2014/main" id="{8298B89D-927B-4114-9FD9-9A45890A8D21}"/>
            </a:ext>
          </a:extLst>
        </xdr:cNvPr>
        <xdr:cNvCxnSpPr/>
      </xdr:nvCxnSpPr>
      <xdr:spPr>
        <a:xfrm flipH="1" flipV="1">
          <a:off x="5057775" y="12211050"/>
          <a:ext cx="866775" cy="4095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390525</xdr:colOff>
      <xdr:row>46</xdr:row>
      <xdr:rowOff>28575</xdr:rowOff>
    </xdr:from>
    <xdr:to>
      <xdr:col>19</xdr:col>
      <xdr:colOff>9525</xdr:colOff>
      <xdr:row>48</xdr:row>
      <xdr:rowOff>95251</xdr:rowOff>
    </xdr:to>
    <xdr:cxnSp macro="">
      <xdr:nvCxnSpPr>
        <xdr:cNvPr id="40" name="直接箭头连接符 39">
          <a:extLst>
            <a:ext uri="{FF2B5EF4-FFF2-40B4-BE49-F238E27FC236}">
              <a16:creationId xmlns:a16="http://schemas.microsoft.com/office/drawing/2014/main" id="{54B0F77E-6F2A-4DA4-8D76-7F0E2DCBA268}"/>
            </a:ext>
          </a:extLst>
        </xdr:cNvPr>
        <xdr:cNvCxnSpPr/>
      </xdr:nvCxnSpPr>
      <xdr:spPr>
        <a:xfrm flipV="1">
          <a:off x="10991850" y="12201525"/>
          <a:ext cx="628650" cy="40957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46</xdr:row>
      <xdr:rowOff>38100</xdr:rowOff>
    </xdr:from>
    <xdr:to>
      <xdr:col>17</xdr:col>
      <xdr:colOff>371475</xdr:colOff>
      <xdr:row>48</xdr:row>
      <xdr:rowOff>104775</xdr:rowOff>
    </xdr:to>
    <xdr:cxnSp macro="">
      <xdr:nvCxnSpPr>
        <xdr:cNvPr id="41" name="直接箭头连接符 40">
          <a:extLst>
            <a:ext uri="{FF2B5EF4-FFF2-40B4-BE49-F238E27FC236}">
              <a16:creationId xmlns:a16="http://schemas.microsoft.com/office/drawing/2014/main" id="{CDA9DAB8-D7CD-495B-BD30-23D9434637BB}"/>
            </a:ext>
          </a:extLst>
        </xdr:cNvPr>
        <xdr:cNvCxnSpPr/>
      </xdr:nvCxnSpPr>
      <xdr:spPr>
        <a:xfrm flipH="1" flipV="1">
          <a:off x="10106025" y="12211050"/>
          <a:ext cx="866775" cy="4095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7963;&#21160;&#35774;&#35745;/&#31616;&#20307;/&#31616;&#20307;&#36890;&#29992;&#36947;&#20855;&#20449;&#24687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35282;&#33394;&#35774;&#3574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3">
          <cell r="F3">
            <v>1</v>
          </cell>
          <cell r="G3">
            <v>7.1773462536293131E-2</v>
          </cell>
          <cell r="I3">
            <v>1</v>
          </cell>
          <cell r="J3">
            <v>7.4349177498517554E-3</v>
          </cell>
          <cell r="K3">
            <v>0.1</v>
          </cell>
          <cell r="N3" t="str">
            <v>对应玩家等级</v>
          </cell>
        </row>
        <row r="4">
          <cell r="F4">
            <v>2</v>
          </cell>
          <cell r="G4">
            <v>0.1486983549970351</v>
          </cell>
          <cell r="I4">
            <v>2</v>
          </cell>
          <cell r="J4">
            <v>2.3963093307967063E-2</v>
          </cell>
          <cell r="K4">
            <v>0.15</v>
          </cell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  <cell r="BJ4">
            <v>0.3</v>
          </cell>
          <cell r="BK4">
            <v>0.30599999999999999</v>
          </cell>
          <cell r="BL4">
            <v>0.318</v>
          </cell>
          <cell r="BM4">
            <v>0.34199999999999997</v>
          </cell>
          <cell r="BN4">
            <v>0.42</v>
          </cell>
        </row>
        <row r="5">
          <cell r="F5">
            <v>3</v>
          </cell>
          <cell r="G5">
            <v>0.23114441334491631</v>
          </cell>
          <cell r="I5">
            <v>3</v>
          </cell>
          <cell r="J5">
            <v>5.1571656651039799E-2</v>
          </cell>
          <cell r="K5">
            <v>0.2</v>
          </cell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  <cell r="BJ5">
            <v>0.47499999999999998</v>
          </cell>
          <cell r="BK5">
            <v>0.48449999999999999</v>
          </cell>
          <cell r="BL5">
            <v>0.50349999999999995</v>
          </cell>
          <cell r="BM5">
            <v>0.54149999999999998</v>
          </cell>
          <cell r="BN5">
            <v>0.66499999999999992</v>
          </cell>
        </row>
        <row r="6">
          <cell r="F6">
            <v>4</v>
          </cell>
          <cell r="G6">
            <v>0.3195079107728942</v>
          </cell>
          <cell r="I6">
            <v>4</v>
          </cell>
          <cell r="J6">
            <v>9.2637640824031031E-2</v>
          </cell>
          <cell r="K6">
            <v>0.25</v>
          </cell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  <cell r="BJ6">
            <v>0.65</v>
          </cell>
          <cell r="BK6">
            <v>0.66300000000000003</v>
          </cell>
          <cell r="BL6">
            <v>0.68900000000000006</v>
          </cell>
          <cell r="BM6">
            <v>0.74099999999999999</v>
          </cell>
          <cell r="BN6">
            <v>0.90999999999999992</v>
          </cell>
        </row>
        <row r="7">
          <cell r="F7">
            <v>5</v>
          </cell>
          <cell r="G7">
            <v>0.41421356237309515</v>
          </cell>
          <cell r="I7">
            <v>5</v>
          </cell>
          <cell r="J7">
            <v>0.15</v>
          </cell>
          <cell r="K7">
            <v>0.3</v>
          </cell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  <cell r="BJ7">
            <v>0.82499999999999996</v>
          </cell>
          <cell r="BK7">
            <v>0.84149999999999991</v>
          </cell>
          <cell r="BL7">
            <v>0.87449999999999994</v>
          </cell>
          <cell r="BM7">
            <v>0.94049999999999989</v>
          </cell>
          <cell r="BN7">
            <v>1.1549999999999998</v>
          </cell>
        </row>
        <row r="8">
          <cell r="B8">
            <v>10</v>
          </cell>
          <cell r="C8">
            <v>1</v>
          </cell>
          <cell r="D8">
            <v>1</v>
          </cell>
          <cell r="F8">
            <v>6</v>
          </cell>
          <cell r="G8">
            <v>0.51571656651039799</v>
          </cell>
          <cell r="I8">
            <v>6</v>
          </cell>
          <cell r="J8">
            <v>0.22055744069899194</v>
          </cell>
          <cell r="K8">
            <v>0.34</v>
          </cell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  <cell r="BJ8">
            <v>1</v>
          </cell>
          <cell r="BK8">
            <v>1.02</v>
          </cell>
          <cell r="BL8">
            <v>1.06</v>
          </cell>
          <cell r="BM8">
            <v>1.1399999999999999</v>
          </cell>
          <cell r="BN8">
            <v>1.4</v>
          </cell>
        </row>
        <row r="9">
          <cell r="B9">
            <v>20</v>
          </cell>
          <cell r="C9">
            <v>3</v>
          </cell>
          <cell r="D9">
            <v>2</v>
          </cell>
          <cell r="F9">
            <v>7</v>
          </cell>
          <cell r="G9">
            <v>0.62450479271247095</v>
          </cell>
          <cell r="I9">
            <v>7</v>
          </cell>
          <cell r="J9">
            <v>0.31141300609369982</v>
          </cell>
          <cell r="K9">
            <v>0.38</v>
          </cell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  <cell r="BJ9">
            <v>1.0333333333333334</v>
          </cell>
          <cell r="BK9">
            <v>1.054</v>
          </cell>
          <cell r="BL9">
            <v>1.0953333333333335</v>
          </cell>
          <cell r="BM9">
            <v>1.1779999999999999</v>
          </cell>
          <cell r="BN9">
            <v>1.4466666666666668</v>
          </cell>
        </row>
        <row r="10">
          <cell r="B10">
            <v>30</v>
          </cell>
          <cell r="C10">
            <v>7</v>
          </cell>
          <cell r="D10">
            <v>4</v>
          </cell>
          <cell r="F10">
            <v>8</v>
          </cell>
          <cell r="G10">
            <v>0.74110112659224825</v>
          </cell>
          <cell r="I10">
            <v>8</v>
          </cell>
          <cell r="J10">
            <v>0.42660095793436714</v>
          </cell>
          <cell r="K10">
            <v>0.42</v>
          </cell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  <cell r="BJ10">
            <v>1.0666666666666669</v>
          </cell>
          <cell r="BK10">
            <v>1.0880000000000003</v>
          </cell>
          <cell r="BL10">
            <v>1.1306666666666669</v>
          </cell>
          <cell r="BM10">
            <v>1.2160000000000002</v>
          </cell>
          <cell r="BN10">
            <v>1.4933333333333336</v>
          </cell>
        </row>
        <row r="11">
          <cell r="B11">
            <v>40</v>
          </cell>
          <cell r="C11">
            <v>15</v>
          </cell>
          <cell r="D11">
            <v>8</v>
          </cell>
          <cell r="F11">
            <v>9</v>
          </cell>
          <cell r="G11">
            <v>0.86606598307361482</v>
          </cell>
          <cell r="I11">
            <v>9</v>
          </cell>
          <cell r="J11">
            <v>0.57090651823243421</v>
          </cell>
          <cell r="K11">
            <v>0.46</v>
          </cell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  <cell r="BJ11">
            <v>1.1000000000000003</v>
          </cell>
          <cell r="BK11">
            <v>1.1220000000000003</v>
          </cell>
          <cell r="BL11">
            <v>1.1660000000000004</v>
          </cell>
          <cell r="BM11">
            <v>1.2540000000000002</v>
          </cell>
          <cell r="BN11">
            <v>1.5400000000000003</v>
          </cell>
        </row>
        <row r="12">
          <cell r="B12">
            <v>50</v>
          </cell>
          <cell r="C12">
            <v>31</v>
          </cell>
          <cell r="D12">
            <v>16</v>
          </cell>
          <cell r="F12">
            <v>10</v>
          </cell>
          <cell r="G12">
            <v>1</v>
          </cell>
          <cell r="I12">
            <v>10</v>
          </cell>
          <cell r="J12">
            <v>0.75</v>
          </cell>
          <cell r="K12">
            <v>0.5</v>
          </cell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  <cell r="BJ12">
            <v>1.1333333333333337</v>
          </cell>
          <cell r="BK12">
            <v>1.1560000000000004</v>
          </cell>
          <cell r="BL12">
            <v>1.2013333333333338</v>
          </cell>
          <cell r="BM12">
            <v>1.2920000000000003</v>
          </cell>
          <cell r="BN12">
            <v>1.5866666666666671</v>
          </cell>
        </row>
        <row r="13">
          <cell r="B13">
            <v>60</v>
          </cell>
          <cell r="C13">
            <v>63</v>
          </cell>
          <cell r="D13">
            <v>32</v>
          </cell>
          <cell r="F13">
            <v>11</v>
          </cell>
          <cell r="G13">
            <v>1.1435469250725863</v>
          </cell>
          <cell r="I13">
            <v>11</v>
          </cell>
          <cell r="J13">
            <v>0.93464628919691628</v>
          </cell>
          <cell r="K13">
            <v>0.52</v>
          </cell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  <cell r="BJ13">
            <v>1.1666666666666672</v>
          </cell>
          <cell r="BK13">
            <v>1.1900000000000006</v>
          </cell>
          <cell r="BL13">
            <v>1.2366666666666672</v>
          </cell>
          <cell r="BM13">
            <v>1.3300000000000005</v>
          </cell>
          <cell r="BN13">
            <v>1.633333333333334</v>
          </cell>
        </row>
        <row r="14">
          <cell r="B14">
            <v>70</v>
          </cell>
          <cell r="C14">
            <v>127</v>
          </cell>
          <cell r="D14">
            <v>64</v>
          </cell>
          <cell r="F14">
            <v>12</v>
          </cell>
          <cell r="G14">
            <v>1.2973967099940702</v>
          </cell>
          <cell r="I14">
            <v>12</v>
          </cell>
          <cell r="J14">
            <v>1.1550685436347259</v>
          </cell>
          <cell r="K14">
            <v>0.54</v>
          </cell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  <cell r="BJ14">
            <v>1.2000000000000006</v>
          </cell>
          <cell r="BK14">
            <v>1.2240000000000006</v>
          </cell>
          <cell r="BL14">
            <v>1.2720000000000007</v>
          </cell>
          <cell r="BM14">
            <v>1.3680000000000005</v>
          </cell>
          <cell r="BN14">
            <v>1.6800000000000008</v>
          </cell>
        </row>
        <row r="15">
          <cell r="B15">
            <v>80</v>
          </cell>
          <cell r="C15">
            <v>255</v>
          </cell>
          <cell r="D15">
            <v>128</v>
          </cell>
          <cell r="F15">
            <v>13</v>
          </cell>
          <cell r="G15">
            <v>1.4622888266898326</v>
          </cell>
          <cell r="I15">
            <v>13</v>
          </cell>
          <cell r="J15">
            <v>1.417602554491646</v>
          </cell>
          <cell r="K15">
            <v>0.56000000000000005</v>
          </cell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  <cell r="BJ15">
            <v>1.2333333333333341</v>
          </cell>
          <cell r="BK15">
            <v>1.2580000000000007</v>
          </cell>
          <cell r="BL15">
            <v>1.3073333333333341</v>
          </cell>
          <cell r="BM15">
            <v>1.4060000000000008</v>
          </cell>
          <cell r="BN15">
            <v>1.7266666666666677</v>
          </cell>
        </row>
        <row r="16">
          <cell r="B16">
            <v>90</v>
          </cell>
          <cell r="C16">
            <v>511</v>
          </cell>
          <cell r="D16">
            <v>256</v>
          </cell>
          <cell r="F16">
            <v>14</v>
          </cell>
          <cell r="G16">
            <v>1.6390158215457884</v>
          </cell>
          <cell r="I16">
            <v>14</v>
          </cell>
          <cell r="J16">
            <v>1.7296773068470075</v>
          </cell>
          <cell r="K16">
            <v>0.57999999999999996</v>
          </cell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  <cell r="BJ16">
            <v>1.2666666666666675</v>
          </cell>
          <cell r="BK16">
            <v>1.2920000000000009</v>
          </cell>
          <cell r="BL16">
            <v>1.3426666666666676</v>
          </cell>
          <cell r="BM16">
            <v>1.4440000000000008</v>
          </cell>
          <cell r="BN16">
            <v>1.7733333333333343</v>
          </cell>
        </row>
        <row r="17">
          <cell r="B17">
            <v>100</v>
          </cell>
          <cell r="C17">
            <v>1023</v>
          </cell>
          <cell r="D17">
            <v>512</v>
          </cell>
          <cell r="F17">
            <v>15</v>
          </cell>
          <cell r="G17">
            <v>1.8284271247461898</v>
          </cell>
          <cell r="I17">
            <v>15</v>
          </cell>
          <cell r="J17">
            <v>2.1</v>
          </cell>
          <cell r="K17">
            <v>0.6</v>
          </cell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  <cell r="BJ17">
            <v>1.3000000000000009</v>
          </cell>
          <cell r="BK17">
            <v>1.326000000000001</v>
          </cell>
          <cell r="BL17">
            <v>1.378000000000001</v>
          </cell>
          <cell r="BM17">
            <v>1.4820000000000009</v>
          </cell>
          <cell r="BN17">
            <v>1.8200000000000012</v>
          </cell>
        </row>
        <row r="18">
          <cell r="F18">
            <v>16</v>
          </cell>
          <cell r="G18">
            <v>2.031433133020796</v>
          </cell>
          <cell r="I18">
            <v>16</v>
          </cell>
          <cell r="J18">
            <v>2.5387719203926467</v>
          </cell>
          <cell r="K18">
            <v>0.62</v>
          </cell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  <cell r="BJ18">
            <v>1.3333333333333344</v>
          </cell>
          <cell r="BK18">
            <v>1.360000000000001</v>
          </cell>
          <cell r="BL18">
            <v>1.4133333333333344</v>
          </cell>
          <cell r="BM18">
            <v>1.5200000000000011</v>
          </cell>
          <cell r="BN18">
            <v>1.866666666666668</v>
          </cell>
        </row>
        <row r="19">
          <cell r="F19">
            <v>17</v>
          </cell>
          <cell r="G19">
            <v>2.2490095854249419</v>
          </cell>
          <cell r="I19">
            <v>17</v>
          </cell>
          <cell r="J19">
            <v>3.0579402515786085</v>
          </cell>
          <cell r="K19">
            <v>0.64</v>
          </cell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  <cell r="BJ19">
            <v>1.3666666666666678</v>
          </cell>
          <cell r="BK19">
            <v>1.3940000000000012</v>
          </cell>
          <cell r="BL19">
            <v>1.4486666666666679</v>
          </cell>
          <cell r="BM19">
            <v>1.5580000000000012</v>
          </cell>
          <cell r="BN19">
            <v>1.9133333333333349</v>
          </cell>
        </row>
        <row r="20">
          <cell r="F20">
            <v>18</v>
          </cell>
          <cell r="G20">
            <v>2.4822022531844965</v>
          </cell>
          <cell r="I20">
            <v>18</v>
          </cell>
          <cell r="J20">
            <v>3.671491735587451</v>
          </cell>
          <cell r="K20">
            <v>0.66</v>
          </cell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  <cell r="BJ20">
            <v>1.4000000000000012</v>
          </cell>
          <cell r="BK20">
            <v>1.4280000000000013</v>
          </cell>
          <cell r="BL20">
            <v>1.4840000000000013</v>
          </cell>
          <cell r="BM20">
            <v>1.5960000000000012</v>
          </cell>
          <cell r="BN20">
            <v>1.9600000000000015</v>
          </cell>
        </row>
        <row r="21">
          <cell r="F21">
            <v>19</v>
          </cell>
          <cell r="G21">
            <v>2.7321319661472296</v>
          </cell>
          <cell r="I21">
            <v>19</v>
          </cell>
          <cell r="J21">
            <v>4.3957950643309154</v>
          </cell>
          <cell r="K21">
            <v>0.68</v>
          </cell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  <cell r="BJ21">
            <v>1.4333333333333347</v>
          </cell>
          <cell r="BK21">
            <v>1.4620000000000013</v>
          </cell>
          <cell r="BL21">
            <v>1.5193333333333348</v>
          </cell>
          <cell r="BM21">
            <v>1.6340000000000015</v>
          </cell>
          <cell r="BN21">
            <v>2.0066666666666686</v>
          </cell>
        </row>
        <row r="22">
          <cell r="F22">
            <v>20</v>
          </cell>
          <cell r="G22">
            <v>3</v>
          </cell>
          <cell r="I22">
            <v>20</v>
          </cell>
          <cell r="J22">
            <v>5.25</v>
          </cell>
          <cell r="K22">
            <v>0.7</v>
          </cell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  <cell r="BJ22">
            <v>1.4666666666666681</v>
          </cell>
          <cell r="BK22">
            <v>1.4960000000000016</v>
          </cell>
          <cell r="BL22">
            <v>1.5546666666666682</v>
          </cell>
          <cell r="BM22">
            <v>1.6720000000000015</v>
          </cell>
          <cell r="BN22">
            <v>2.0533333333333355</v>
          </cell>
        </row>
        <row r="23">
          <cell r="F23">
            <v>21</v>
          </cell>
          <cell r="G23">
            <v>3.2870938501451725</v>
          </cell>
          <cell r="I23">
            <v>21</v>
          </cell>
          <cell r="J23">
            <v>6.2565025247829205</v>
          </cell>
          <cell r="K23">
            <v>0.72</v>
          </cell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  <cell r="BJ23">
            <v>1.5000000000000016</v>
          </cell>
          <cell r="BK23">
            <v>1.5300000000000016</v>
          </cell>
          <cell r="BL23">
            <v>1.5900000000000016</v>
          </cell>
          <cell r="BM23">
            <v>1.7100000000000015</v>
          </cell>
          <cell r="BN23">
            <v>2.1000000000000019</v>
          </cell>
        </row>
        <row r="24">
          <cell r="B24">
            <v>5</v>
          </cell>
          <cell r="C24">
            <v>0.5</v>
          </cell>
          <cell r="D24">
            <v>0.5</v>
          </cell>
          <cell r="F24">
            <v>22</v>
          </cell>
          <cell r="G24">
            <v>3.5947934199881395</v>
          </cell>
          <cell r="I24">
            <v>22</v>
          </cell>
          <cell r="J24">
            <v>7.4414868317755332</v>
          </cell>
          <cell r="K24">
            <v>0.74</v>
          </cell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  <cell r="BJ24">
            <v>1.533333333333335</v>
          </cell>
          <cell r="BK24">
            <v>1.5640000000000016</v>
          </cell>
          <cell r="BL24">
            <v>1.6253333333333351</v>
          </cell>
          <cell r="BM24">
            <v>1.7480000000000018</v>
          </cell>
          <cell r="BN24">
            <v>2.1466666666666687</v>
          </cell>
        </row>
        <row r="25">
          <cell r="B25">
            <v>10</v>
          </cell>
          <cell r="C25">
            <v>1.5</v>
          </cell>
          <cell r="D25">
            <v>1</v>
          </cell>
          <cell r="F25">
            <v>23</v>
          </cell>
          <cell r="G25">
            <v>3.9245776533796644</v>
          </cell>
          <cell r="I25">
            <v>23</v>
          </cell>
          <cell r="J25">
            <v>8.8355567243832152</v>
          </cell>
          <cell r="K25">
            <v>0.76</v>
          </cell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  <cell r="BJ25">
            <v>1.5666666666666684</v>
          </cell>
          <cell r="BK25">
            <v>1.5980000000000019</v>
          </cell>
          <cell r="BL25">
            <v>1.6606666666666685</v>
          </cell>
          <cell r="BM25">
            <v>1.7860000000000018</v>
          </cell>
          <cell r="BN25">
            <v>2.1933333333333356</v>
          </cell>
        </row>
        <row r="26">
          <cell r="B26">
            <v>15</v>
          </cell>
          <cell r="C26">
            <v>3.5</v>
          </cell>
          <cell r="D26">
            <v>2</v>
          </cell>
          <cell r="F26">
            <v>24</v>
          </cell>
          <cell r="G26">
            <v>4.2780316430915768</v>
          </cell>
          <cell r="I26">
            <v>24</v>
          </cell>
          <cell r="J26">
            <v>10.47447102993563</v>
          </cell>
          <cell r="K26">
            <v>0.78</v>
          </cell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  <cell r="BJ26">
            <v>1.6000000000000019</v>
          </cell>
          <cell r="BK26">
            <v>1.6320000000000019</v>
          </cell>
          <cell r="BL26">
            <v>1.6960000000000022</v>
          </cell>
          <cell r="BM26">
            <v>1.8240000000000021</v>
          </cell>
          <cell r="BN26">
            <v>2.2400000000000024</v>
          </cell>
        </row>
        <row r="27">
          <cell r="B27">
            <v>20</v>
          </cell>
          <cell r="C27">
            <v>7.5</v>
          </cell>
          <cell r="D27">
            <v>4</v>
          </cell>
          <cell r="F27">
            <v>25</v>
          </cell>
          <cell r="G27">
            <v>4.6568542494923806</v>
          </cell>
          <cell r="I27">
            <v>25</v>
          </cell>
          <cell r="J27">
            <v>12.4</v>
          </cell>
          <cell r="K27">
            <v>0.8</v>
          </cell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  <cell r="BJ27">
            <v>1.6333333333333353</v>
          </cell>
          <cell r="BK27">
            <v>1.6660000000000021</v>
          </cell>
          <cell r="BL27">
            <v>1.7313333333333356</v>
          </cell>
          <cell r="BM27">
            <v>1.8620000000000021</v>
          </cell>
          <cell r="BN27">
            <v>2.2866666666666693</v>
          </cell>
        </row>
        <row r="28">
          <cell r="B28">
            <v>25</v>
          </cell>
          <cell r="C28">
            <v>15.5</v>
          </cell>
          <cell r="D28">
            <v>8</v>
          </cell>
          <cell r="F28">
            <v>26</v>
          </cell>
          <cell r="G28">
            <v>5.062866266041592</v>
          </cell>
          <cell r="I28">
            <v>26</v>
          </cell>
          <cell r="J28">
            <v>14.6609224175611</v>
          </cell>
          <cell r="K28">
            <v>0.82</v>
          </cell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  <cell r="BJ28">
            <v>1.6666666666666687</v>
          </cell>
          <cell r="BK28">
            <v>1.7000000000000022</v>
          </cell>
          <cell r="BL28">
            <v>1.766666666666669</v>
          </cell>
          <cell r="BM28">
            <v>1.9000000000000021</v>
          </cell>
          <cell r="BN28">
            <v>2.3333333333333361</v>
          </cell>
        </row>
        <row r="29">
          <cell r="B29">
            <v>30</v>
          </cell>
          <cell r="C29">
            <v>31.5</v>
          </cell>
          <cell r="D29">
            <v>16</v>
          </cell>
          <cell r="F29">
            <v>27</v>
          </cell>
          <cell r="G29">
            <v>5.4980191708498847</v>
          </cell>
          <cell r="I29">
            <v>27</v>
          </cell>
          <cell r="J29">
            <v>17.314186320787698</v>
          </cell>
          <cell r="K29">
            <v>0.84</v>
          </cell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  <cell r="BJ29">
            <v>1.7000000000000022</v>
          </cell>
          <cell r="BK29">
            <v>1.7340000000000022</v>
          </cell>
          <cell r="BL29">
            <v>1.8020000000000025</v>
          </cell>
          <cell r="BM29">
            <v>1.9380000000000024</v>
          </cell>
          <cell r="BN29">
            <v>2.380000000000003</v>
          </cell>
        </row>
        <row r="30">
          <cell r="B30">
            <v>35</v>
          </cell>
          <cell r="C30">
            <v>63.5</v>
          </cell>
          <cell r="D30">
            <v>32</v>
          </cell>
          <cell r="F30">
            <v>28</v>
          </cell>
          <cell r="G30">
            <v>5.9644045063689921</v>
          </cell>
          <cell r="I30">
            <v>28</v>
          </cell>
          <cell r="J30">
            <v>20.42625995518307</v>
          </cell>
          <cell r="K30">
            <v>0.86</v>
          </cell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  <cell r="BJ30">
            <v>1.7333333333333356</v>
          </cell>
          <cell r="BK30">
            <v>1.7680000000000025</v>
          </cell>
          <cell r="BL30">
            <v>1.8373333333333359</v>
          </cell>
          <cell r="BM30">
            <v>1.9760000000000024</v>
          </cell>
          <cell r="BN30">
            <v>2.4266666666666699</v>
          </cell>
        </row>
        <row r="31">
          <cell r="B31">
            <v>40</v>
          </cell>
          <cell r="C31">
            <v>127.5</v>
          </cell>
          <cell r="D31">
            <v>64</v>
          </cell>
          <cell r="F31">
            <v>29</v>
          </cell>
          <cell r="G31">
            <v>6.4642639322944575</v>
          </cell>
          <cell r="I31">
            <v>29</v>
          </cell>
          <cell r="J31">
            <v>24.074703862418847</v>
          </cell>
          <cell r="K31">
            <v>0.88</v>
          </cell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  <cell r="BJ31">
            <v>1.766666666666669</v>
          </cell>
          <cell r="BK31">
            <v>1.8020000000000025</v>
          </cell>
          <cell r="BL31">
            <v>1.8726666666666694</v>
          </cell>
          <cell r="BM31">
            <v>2.0140000000000025</v>
          </cell>
          <cell r="BN31">
            <v>2.4733333333333367</v>
          </cell>
        </row>
        <row r="32">
          <cell r="B32">
            <v>45</v>
          </cell>
          <cell r="C32">
            <v>255.5</v>
          </cell>
          <cell r="D32">
            <v>128</v>
          </cell>
          <cell r="F32">
            <v>30</v>
          </cell>
          <cell r="G32">
            <v>7</v>
          </cell>
          <cell r="I32">
            <v>30</v>
          </cell>
          <cell r="J32">
            <v>28.35</v>
          </cell>
          <cell r="K32">
            <v>0.9</v>
          </cell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  <cell r="BJ32">
            <v>1.8000000000000025</v>
          </cell>
          <cell r="BK32">
            <v>1.8360000000000025</v>
          </cell>
          <cell r="BL32">
            <v>1.9080000000000028</v>
          </cell>
          <cell r="BM32">
            <v>2.0520000000000027</v>
          </cell>
          <cell r="BN32">
            <v>2.5200000000000031</v>
          </cell>
        </row>
        <row r="33">
          <cell r="B33">
            <v>50</v>
          </cell>
          <cell r="C33">
            <v>511.5</v>
          </cell>
          <cell r="D33">
            <v>256</v>
          </cell>
          <cell r="F33">
            <v>31</v>
          </cell>
          <cell r="G33">
            <v>7.5741877002903433</v>
          </cell>
          <cell r="I33">
            <v>31</v>
          </cell>
          <cell r="J33">
            <v>33.357679571112705</v>
          </cell>
          <cell r="K33">
            <v>0.92</v>
          </cell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  <cell r="BJ33">
            <v>1.8333333333333359</v>
          </cell>
          <cell r="BK33">
            <v>1.8700000000000028</v>
          </cell>
          <cell r="BL33">
            <v>1.9433333333333362</v>
          </cell>
          <cell r="BM33">
            <v>2.090000000000003</v>
          </cell>
          <cell r="BN33">
            <v>2.56666666666667</v>
          </cell>
        </row>
        <row r="34">
          <cell r="B34">
            <v>55</v>
          </cell>
          <cell r="C34">
            <v>1023.5</v>
          </cell>
          <cell r="D34">
            <v>512</v>
          </cell>
          <cell r="F34">
            <v>32</v>
          </cell>
          <cell r="G34">
            <v>8.189586839976279</v>
          </cell>
          <cell r="I34">
            <v>32</v>
          </cell>
          <cell r="J34">
            <v>39.220797956048642</v>
          </cell>
          <cell r="K34">
            <v>0.94</v>
          </cell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  <cell r="BJ34">
            <v>1.8666666666666694</v>
          </cell>
          <cell r="BK34">
            <v>1.9040000000000028</v>
          </cell>
          <cell r="BL34">
            <v>1.9786666666666697</v>
          </cell>
          <cell r="BM34">
            <v>2.1280000000000028</v>
          </cell>
          <cell r="BN34">
            <v>2.6133333333333368</v>
          </cell>
        </row>
        <row r="35">
          <cell r="B35">
            <v>60</v>
          </cell>
          <cell r="C35">
            <v>2047.5</v>
          </cell>
          <cell r="D35">
            <v>1024</v>
          </cell>
          <cell r="F35">
            <v>33</v>
          </cell>
          <cell r="G35">
            <v>8.8491553067593287</v>
          </cell>
          <cell r="I35">
            <v>33</v>
          </cell>
          <cell r="J35">
            <v>46.082812923199413</v>
          </cell>
          <cell r="K35">
            <v>0.96</v>
          </cell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  <cell r="BJ35">
            <v>1.9000000000000028</v>
          </cell>
          <cell r="BK35">
            <v>1.9380000000000028</v>
          </cell>
          <cell r="BL35">
            <v>2.0140000000000029</v>
          </cell>
          <cell r="BM35">
            <v>2.166000000000003</v>
          </cell>
          <cell r="BN35">
            <v>2.6600000000000037</v>
          </cell>
        </row>
        <row r="36">
          <cell r="F36">
            <v>34</v>
          </cell>
          <cell r="G36">
            <v>9.5560632861831518</v>
          </cell>
          <cell r="I36">
            <v>34</v>
          </cell>
          <cell r="J36">
            <v>54.110931329932889</v>
          </cell>
          <cell r="K36">
            <v>0.98</v>
          </cell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  <cell r="BJ36">
            <v>1.9333333333333362</v>
          </cell>
          <cell r="BK36">
            <v>1.9720000000000031</v>
          </cell>
          <cell r="BL36">
            <v>2.0493333333333363</v>
          </cell>
          <cell r="BM36">
            <v>2.2040000000000033</v>
          </cell>
          <cell r="BN36">
            <v>2.7066666666666706</v>
          </cell>
        </row>
        <row r="37">
          <cell r="F37">
            <v>35</v>
          </cell>
          <cell r="G37">
            <v>10.313708498984759</v>
          </cell>
          <cell r="I37">
            <v>35</v>
          </cell>
          <cell r="J37">
            <v>63.5</v>
          </cell>
          <cell r="K37">
            <v>1</v>
          </cell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  <cell r="BJ37">
            <v>1.9666666666666697</v>
          </cell>
          <cell r="BK37">
            <v>2.0060000000000029</v>
          </cell>
          <cell r="BL37">
            <v>2.0846666666666698</v>
          </cell>
          <cell r="BM37">
            <v>2.2420000000000031</v>
          </cell>
          <cell r="BN37">
            <v>2.7533333333333374</v>
          </cell>
        </row>
        <row r="38">
          <cell r="F38">
            <v>36</v>
          </cell>
          <cell r="G38">
            <v>11.125732532083184</v>
          </cell>
          <cell r="I38">
            <v>36</v>
          </cell>
          <cell r="J38">
            <v>73.746861667008318</v>
          </cell>
          <cell r="K38">
            <v>1.01</v>
          </cell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  <cell r="BJ38">
            <v>2.0000000000000031</v>
          </cell>
          <cell r="BK38">
            <v>2.0400000000000031</v>
          </cell>
          <cell r="BL38">
            <v>2.1200000000000032</v>
          </cell>
          <cell r="BM38">
            <v>2.2800000000000034</v>
          </cell>
          <cell r="BN38">
            <v>2.8000000000000043</v>
          </cell>
        </row>
        <row r="39">
          <cell r="F39">
            <v>37</v>
          </cell>
          <cell r="G39">
            <v>11.996038341699768</v>
          </cell>
          <cell r="I39">
            <v>37</v>
          </cell>
          <cell r="J39">
            <v>85.62747641525452</v>
          </cell>
          <cell r="K39">
            <v>1.02</v>
          </cell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  <cell r="BJ39">
            <v>2.0333333333333363</v>
          </cell>
          <cell r="BK39">
            <v>2.074000000000003</v>
          </cell>
          <cell r="BL39">
            <v>2.1553333333333367</v>
          </cell>
          <cell r="BM39">
            <v>2.3180000000000032</v>
          </cell>
          <cell r="BN39">
            <v>2.8466666666666707</v>
          </cell>
        </row>
        <row r="40">
          <cell r="F40">
            <v>38</v>
          </cell>
          <cell r="G40">
            <v>12.928809012737984</v>
          </cell>
          <cell r="I40">
            <v>38</v>
          </cell>
          <cell r="J40">
            <v>99.401036064365428</v>
          </cell>
          <cell r="K40">
            <v>1.03</v>
          </cell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  <cell r="BJ40">
            <v>2.0666666666666695</v>
          </cell>
          <cell r="BK40">
            <v>2.1080000000000028</v>
          </cell>
          <cell r="BL40">
            <v>2.1906666666666696</v>
          </cell>
          <cell r="BM40">
            <v>2.356000000000003</v>
          </cell>
          <cell r="BN40">
            <v>2.8933333333333371</v>
          </cell>
        </row>
        <row r="41">
          <cell r="F41">
            <v>39</v>
          </cell>
          <cell r="G41">
            <v>13.928527864588917</v>
          </cell>
          <cell r="I41">
            <v>39</v>
          </cell>
          <cell r="J41">
            <v>115.36769098598003</v>
          </cell>
          <cell r="K41">
            <v>1.04</v>
          </cell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  <cell r="BJ41">
            <v>2.1000000000000028</v>
          </cell>
          <cell r="BK41">
            <v>2.142000000000003</v>
          </cell>
          <cell r="BL41">
            <v>2.2260000000000031</v>
          </cell>
          <cell r="BM41">
            <v>2.3940000000000028</v>
          </cell>
          <cell r="BN41">
            <v>2.9400000000000035</v>
          </cell>
        </row>
        <row r="42">
          <cell r="F42">
            <v>40</v>
          </cell>
          <cell r="G42">
            <v>15</v>
          </cell>
          <cell r="I42">
            <v>40</v>
          </cell>
          <cell r="J42">
            <v>133.875</v>
          </cell>
          <cell r="K42">
            <v>1.05</v>
          </cell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  <cell r="BJ42">
            <v>2.133333333333336</v>
          </cell>
          <cell r="BK42">
            <v>2.1760000000000028</v>
          </cell>
          <cell r="BL42">
            <v>2.2613333333333361</v>
          </cell>
          <cell r="BM42">
            <v>2.4320000000000026</v>
          </cell>
          <cell r="BN42">
            <v>2.9866666666666704</v>
          </cell>
        </row>
        <row r="43">
          <cell r="F43">
            <v>41</v>
          </cell>
          <cell r="G43">
            <v>16.148375400580683</v>
          </cell>
          <cell r="I43">
            <v>41</v>
          </cell>
          <cell r="J43">
            <v>155.32539280599755</v>
          </cell>
          <cell r="K43">
            <v>1.06</v>
          </cell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  <cell r="BJ43">
            <v>2.1666666666666692</v>
          </cell>
          <cell r="BK43">
            <v>2.2100000000000026</v>
          </cell>
          <cell r="BL43">
            <v>2.2966666666666695</v>
          </cell>
          <cell r="BM43">
            <v>2.4700000000000029</v>
          </cell>
          <cell r="BN43">
            <v>3.0333333333333368</v>
          </cell>
        </row>
        <row r="44">
          <cell r="F44">
            <v>42</v>
          </cell>
          <cell r="G44">
            <v>17.379173679952558</v>
          </cell>
          <cell r="I44">
            <v>42</v>
          </cell>
          <cell r="J44">
            <v>180.18480345945557</v>
          </cell>
          <cell r="K44">
            <v>1.07</v>
          </cell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  <cell r="BJ44">
            <v>2.2000000000000024</v>
          </cell>
          <cell r="BK44">
            <v>2.2440000000000024</v>
          </cell>
          <cell r="BL44">
            <v>2.3320000000000025</v>
          </cell>
          <cell r="BM44">
            <v>2.5080000000000027</v>
          </cell>
          <cell r="BN44">
            <v>3.0800000000000032</v>
          </cell>
        </row>
        <row r="45">
          <cell r="F45">
            <v>43</v>
          </cell>
          <cell r="G45">
            <v>18.698310613518661</v>
          </cell>
          <cell r="I45">
            <v>43</v>
          </cell>
          <cell r="J45">
            <v>208.99265815439742</v>
          </cell>
          <cell r="K45">
            <v>1.08</v>
          </cell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  <cell r="BJ45">
            <v>2.2333333333333356</v>
          </cell>
          <cell r="BK45">
            <v>2.2780000000000022</v>
          </cell>
          <cell r="BL45">
            <v>2.367333333333336</v>
          </cell>
          <cell r="BM45">
            <v>2.5460000000000025</v>
          </cell>
          <cell r="BN45">
            <v>3.1266666666666696</v>
          </cell>
        </row>
        <row r="46">
          <cell r="F46">
            <v>44</v>
          </cell>
          <cell r="G46">
            <v>20.112126572366307</v>
          </cell>
          <cell r="I46">
            <v>44</v>
          </cell>
          <cell r="J46">
            <v>242.37342918215046</v>
          </cell>
          <cell r="K46">
            <v>1.0900000000000001</v>
          </cell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  <cell r="BJ46">
            <v>2.2666666666666688</v>
          </cell>
          <cell r="BK46">
            <v>2.3120000000000021</v>
          </cell>
          <cell r="BL46">
            <v>2.4026666666666689</v>
          </cell>
          <cell r="BM46">
            <v>2.5840000000000023</v>
          </cell>
          <cell r="BN46">
            <v>3.173333333333336</v>
          </cell>
        </row>
        <row r="47">
          <cell r="F47">
            <v>45</v>
          </cell>
          <cell r="G47">
            <v>21.627416997969519</v>
          </cell>
          <cell r="I47">
            <v>45</v>
          </cell>
          <cell r="J47">
            <v>281.05</v>
          </cell>
          <cell r="K47">
            <v>1.1000000000000001</v>
          </cell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  <cell r="BJ47">
            <v>2.300000000000002</v>
          </cell>
          <cell r="BK47">
            <v>2.3460000000000023</v>
          </cell>
          <cell r="BL47">
            <v>2.4380000000000024</v>
          </cell>
          <cell r="BM47">
            <v>2.6220000000000021</v>
          </cell>
          <cell r="BN47">
            <v>3.2200000000000029</v>
          </cell>
        </row>
        <row r="48">
          <cell r="F48">
            <v>46</v>
          </cell>
          <cell r="G48">
            <v>23.251465064166357</v>
          </cell>
          <cell r="I48">
            <v>46</v>
          </cell>
          <cell r="J48">
            <v>325.85912455595718</v>
          </cell>
          <cell r="K48">
            <v>1.1100000000000001</v>
          </cell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  <cell r="BJ48">
            <v>2.3333333333333353</v>
          </cell>
          <cell r="BK48">
            <v>2.3800000000000021</v>
          </cell>
          <cell r="BL48">
            <v>2.4733333333333354</v>
          </cell>
          <cell r="BM48">
            <v>2.6600000000000019</v>
          </cell>
          <cell r="BN48">
            <v>3.2666666666666693</v>
          </cell>
        </row>
        <row r="49">
          <cell r="F49">
            <v>47</v>
          </cell>
          <cell r="G49">
            <v>24.992076683399535</v>
          </cell>
          <cell r="I49">
            <v>47</v>
          </cell>
          <cell r="J49">
            <v>377.76930817680426</v>
          </cell>
          <cell r="K49">
            <v>1.1200000000000001</v>
          </cell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  <cell r="BJ49">
            <v>2.3666666666666685</v>
          </cell>
          <cell r="BK49">
            <v>2.4140000000000019</v>
          </cell>
          <cell r="BL49">
            <v>2.5086666666666688</v>
          </cell>
          <cell r="BM49">
            <v>2.6980000000000017</v>
          </cell>
          <cell r="BN49">
            <v>3.3133333333333357</v>
          </cell>
        </row>
        <row r="50">
          <cell r="F50">
            <v>48</v>
          </cell>
          <cell r="G50">
            <v>26.857618025475972</v>
          </cell>
          <cell r="I50">
            <v>48</v>
          </cell>
          <cell r="J50">
            <v>437.90148836012787</v>
          </cell>
          <cell r="K50">
            <v>1.1299999999999999</v>
          </cell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  <cell r="BJ50">
            <v>2.4000000000000017</v>
          </cell>
          <cell r="BK50">
            <v>2.4480000000000017</v>
          </cell>
          <cell r="BL50">
            <v>2.5440000000000018</v>
          </cell>
          <cell r="BM50">
            <v>2.7360000000000015</v>
          </cell>
          <cell r="BN50">
            <v>3.3600000000000021</v>
          </cell>
        </row>
        <row r="51">
          <cell r="F51">
            <v>49</v>
          </cell>
          <cell r="G51">
            <v>28.857055729177837</v>
          </cell>
          <cell r="I51">
            <v>49</v>
          </cell>
          <cell r="J51">
            <v>507.55295278468168</v>
          </cell>
          <cell r="K51">
            <v>1.1399999999999999</v>
          </cell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  <cell r="BJ51">
            <v>2.4333333333333349</v>
          </cell>
          <cell r="BK51">
            <v>2.4820000000000015</v>
          </cell>
          <cell r="BL51">
            <v>2.5793333333333353</v>
          </cell>
          <cell r="BM51">
            <v>2.7740000000000014</v>
          </cell>
          <cell r="BN51">
            <v>3.4066666666666685</v>
          </cell>
        </row>
        <row r="52">
          <cell r="F52">
            <v>50</v>
          </cell>
          <cell r="G52">
            <v>31</v>
          </cell>
          <cell r="I52">
            <v>50</v>
          </cell>
          <cell r="J52">
            <v>588.22499999999991</v>
          </cell>
          <cell r="K52">
            <v>1.1499999999999999</v>
          </cell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  <cell r="BJ52">
            <v>2.4666666666666681</v>
          </cell>
          <cell r="BK52">
            <v>2.5160000000000013</v>
          </cell>
          <cell r="BL52">
            <v>2.6146666666666682</v>
          </cell>
          <cell r="BM52">
            <v>2.8120000000000016</v>
          </cell>
          <cell r="BN52">
            <v>3.4533333333333354</v>
          </cell>
        </row>
        <row r="53">
          <cell r="F53">
            <v>51</v>
          </cell>
          <cell r="G53">
            <v>33.296750801161366</v>
          </cell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  <cell r="BJ53">
            <v>2.5000000000000013</v>
          </cell>
          <cell r="BK53">
            <v>2.5500000000000016</v>
          </cell>
          <cell r="BL53">
            <v>2.6500000000000017</v>
          </cell>
          <cell r="BM53">
            <v>2.8500000000000014</v>
          </cell>
          <cell r="BN53">
            <v>3.5000000000000018</v>
          </cell>
        </row>
        <row r="54">
          <cell r="F54">
            <v>52</v>
          </cell>
          <cell r="G54">
            <v>35.758347359905123</v>
          </cell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  <cell r="BJ54">
            <v>2.5333333333333345</v>
          </cell>
          <cell r="BK54">
            <v>2.5840000000000014</v>
          </cell>
          <cell r="BL54">
            <v>2.6853333333333347</v>
          </cell>
          <cell r="BM54">
            <v>2.8880000000000012</v>
          </cell>
          <cell r="BN54">
            <v>3.5466666666666682</v>
          </cell>
        </row>
        <row r="55">
          <cell r="F55">
            <v>53</v>
          </cell>
          <cell r="G55">
            <v>38.396621227037308</v>
          </cell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  <cell r="BJ55">
            <v>2.5666666666666678</v>
          </cell>
          <cell r="BK55">
            <v>2.6180000000000012</v>
          </cell>
          <cell r="BL55">
            <v>2.7206666666666681</v>
          </cell>
          <cell r="BM55">
            <v>2.926000000000001</v>
          </cell>
          <cell r="BN55">
            <v>3.5933333333333346</v>
          </cell>
        </row>
        <row r="56">
          <cell r="F56">
            <v>54</v>
          </cell>
          <cell r="G56">
            <v>41.224253144732614</v>
          </cell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  <cell r="BJ56">
            <v>2.600000000000001</v>
          </cell>
          <cell r="BK56">
            <v>2.652000000000001</v>
          </cell>
          <cell r="BL56">
            <v>2.7560000000000011</v>
          </cell>
          <cell r="BM56">
            <v>2.9640000000000009</v>
          </cell>
          <cell r="BN56">
            <v>3.640000000000001</v>
          </cell>
        </row>
        <row r="57">
          <cell r="F57">
            <v>55</v>
          </cell>
          <cell r="G57">
            <v>44.254833995939045</v>
          </cell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  <cell r="BJ57">
            <v>2.6333333333333342</v>
          </cell>
          <cell r="BK57">
            <v>2.6860000000000008</v>
          </cell>
          <cell r="BL57">
            <v>2.7913333333333346</v>
          </cell>
          <cell r="BM57">
            <v>3.0020000000000007</v>
          </cell>
          <cell r="BN57">
            <v>3.6866666666666674</v>
          </cell>
        </row>
        <row r="58">
          <cell r="F58">
            <v>56</v>
          </cell>
          <cell r="G58">
            <v>47.502930128332721</v>
          </cell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  <cell r="BJ58">
            <v>2.6666666666666674</v>
          </cell>
          <cell r="BK58">
            <v>2.7200000000000006</v>
          </cell>
          <cell r="BL58">
            <v>2.8266666666666675</v>
          </cell>
          <cell r="BM58">
            <v>3.0400000000000005</v>
          </cell>
          <cell r="BN58">
            <v>3.7333333333333343</v>
          </cell>
        </row>
        <row r="59">
          <cell r="F59">
            <v>57</v>
          </cell>
          <cell r="G59">
            <v>50.984153366799077</v>
          </cell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  <cell r="BJ59">
            <v>2.7000000000000006</v>
          </cell>
          <cell r="BK59">
            <v>2.7540000000000009</v>
          </cell>
          <cell r="BL59">
            <v>2.862000000000001</v>
          </cell>
          <cell r="BM59">
            <v>3.0780000000000003</v>
          </cell>
          <cell r="BN59">
            <v>3.7800000000000007</v>
          </cell>
        </row>
        <row r="60">
          <cell r="F60">
            <v>58</v>
          </cell>
          <cell r="G60">
            <v>54.715236050951923</v>
          </cell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  <cell r="BJ60">
            <v>2.7333333333333338</v>
          </cell>
          <cell r="BK60">
            <v>2.7880000000000007</v>
          </cell>
          <cell r="BL60">
            <v>2.897333333333334</v>
          </cell>
          <cell r="BM60">
            <v>3.1160000000000001</v>
          </cell>
          <cell r="BN60">
            <v>3.8266666666666671</v>
          </cell>
        </row>
        <row r="61">
          <cell r="F61">
            <v>59</v>
          </cell>
          <cell r="G61">
            <v>58.714111458355703</v>
          </cell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  <cell r="BJ61">
            <v>2.7666666666666671</v>
          </cell>
          <cell r="BK61">
            <v>2.8220000000000005</v>
          </cell>
          <cell r="BL61">
            <v>2.9326666666666674</v>
          </cell>
          <cell r="BM61">
            <v>3.1540000000000004</v>
          </cell>
          <cell r="BN61">
            <v>3.8733333333333335</v>
          </cell>
        </row>
        <row r="62">
          <cell r="F62">
            <v>60</v>
          </cell>
          <cell r="G62">
            <v>63</v>
          </cell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  <cell r="BJ62">
            <v>2.8000000000000003</v>
          </cell>
          <cell r="BK62">
            <v>2.8560000000000003</v>
          </cell>
          <cell r="BL62">
            <v>2.9680000000000004</v>
          </cell>
          <cell r="BM62">
            <v>3.1920000000000002</v>
          </cell>
          <cell r="BN62">
            <v>3.92</v>
          </cell>
        </row>
        <row r="63">
          <cell r="F63">
            <v>61</v>
          </cell>
          <cell r="G63">
            <v>67.593501602322732</v>
          </cell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  <cell r="BJ63">
            <v>2.8333333333333335</v>
          </cell>
          <cell r="BK63">
            <v>2.89</v>
          </cell>
          <cell r="BL63">
            <v>3.0033333333333339</v>
          </cell>
          <cell r="BM63">
            <v>3.23</v>
          </cell>
          <cell r="BN63">
            <v>3.9666666666666668</v>
          </cell>
        </row>
        <row r="64">
          <cell r="F64">
            <v>62</v>
          </cell>
          <cell r="G64">
            <v>72.516694719810218</v>
          </cell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  <cell r="BJ64">
            <v>2.8666666666666667</v>
          </cell>
          <cell r="BK64">
            <v>2.9239999999999999</v>
          </cell>
          <cell r="BL64">
            <v>3.0386666666666668</v>
          </cell>
          <cell r="BM64">
            <v>3.2679999999999998</v>
          </cell>
          <cell r="BN64">
            <v>4.0133333333333328</v>
          </cell>
        </row>
        <row r="65">
          <cell r="F65">
            <v>63</v>
          </cell>
          <cell r="G65">
            <v>77.793242454074615</v>
          </cell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  <cell r="BJ65">
            <v>2.9</v>
          </cell>
          <cell r="BK65">
            <v>2.9579999999999997</v>
          </cell>
          <cell r="BL65">
            <v>3.0739999999999998</v>
          </cell>
          <cell r="BM65">
            <v>3.3059999999999996</v>
          </cell>
          <cell r="BN65">
            <v>4.0599999999999996</v>
          </cell>
        </row>
        <row r="66">
          <cell r="F66">
            <v>64</v>
          </cell>
          <cell r="G66">
            <v>83.4485062894652</v>
          </cell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  <cell r="BJ66">
            <v>2.9333333333333331</v>
          </cell>
          <cell r="BK66">
            <v>2.992</v>
          </cell>
          <cell r="BL66">
            <v>3.1093333333333333</v>
          </cell>
          <cell r="BM66">
            <v>3.3439999999999994</v>
          </cell>
          <cell r="BN66">
            <v>4.1066666666666665</v>
          </cell>
        </row>
        <row r="67">
          <cell r="F67">
            <v>65</v>
          </cell>
          <cell r="G67">
            <v>89.509667991878061</v>
          </cell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  <cell r="BJ67">
            <v>2.9666666666666663</v>
          </cell>
          <cell r="BK67">
            <v>3.0259999999999998</v>
          </cell>
          <cell r="BL67">
            <v>3.1446666666666663</v>
          </cell>
          <cell r="BM67">
            <v>3.3819999999999992</v>
          </cell>
          <cell r="BN67">
            <v>4.1533333333333324</v>
          </cell>
        </row>
        <row r="68">
          <cell r="F68">
            <v>66</v>
          </cell>
          <cell r="G68">
            <v>96.005860256665443</v>
          </cell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  <cell r="BJ68">
            <v>2.9999999999999996</v>
          </cell>
          <cell r="BK68">
            <v>3.0599999999999996</v>
          </cell>
          <cell r="BL68">
            <v>3.1799999999999997</v>
          </cell>
          <cell r="BM68">
            <v>3.419999999999999</v>
          </cell>
          <cell r="BN68">
            <v>4.1999999999999993</v>
          </cell>
        </row>
        <row r="69">
          <cell r="F69">
            <v>67</v>
          </cell>
          <cell r="G69">
            <v>102.96830673359811</v>
          </cell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  <cell r="BJ69">
            <v>3.0333333333333328</v>
          </cell>
          <cell r="BK69">
            <v>3.0939999999999994</v>
          </cell>
          <cell r="BL69">
            <v>3.2153333333333327</v>
          </cell>
          <cell r="BM69">
            <v>3.4579999999999989</v>
          </cell>
          <cell r="BN69">
            <v>4.2466666666666653</v>
          </cell>
        </row>
        <row r="70">
          <cell r="F70">
            <v>68</v>
          </cell>
          <cell r="G70">
            <v>110.43047210190386</v>
          </cell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  <cell r="BJ70">
            <v>3.066666666666666</v>
          </cell>
          <cell r="BK70">
            <v>3.1279999999999992</v>
          </cell>
          <cell r="BL70">
            <v>3.2506666666666661</v>
          </cell>
          <cell r="BM70">
            <v>3.4959999999999991</v>
          </cell>
          <cell r="BN70">
            <v>4.2933333333333321</v>
          </cell>
        </row>
        <row r="71">
          <cell r="F71">
            <v>69</v>
          </cell>
          <cell r="G71">
            <v>118.42822291671132</v>
          </cell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  <cell r="BJ71">
            <v>3.0999999999999992</v>
          </cell>
          <cell r="BK71">
            <v>3.161999999999999</v>
          </cell>
          <cell r="BL71">
            <v>3.2859999999999991</v>
          </cell>
          <cell r="BM71">
            <v>3.5339999999999989</v>
          </cell>
          <cell r="BN71">
            <v>4.339999999999999</v>
          </cell>
        </row>
        <row r="72">
          <cell r="F72">
            <v>70</v>
          </cell>
          <cell r="G72">
            <v>127</v>
          </cell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  <cell r="BJ72">
            <v>3.1333333333333324</v>
          </cell>
          <cell r="BK72">
            <v>3.1959999999999993</v>
          </cell>
          <cell r="BL72">
            <v>3.3213333333333326</v>
          </cell>
          <cell r="BM72">
            <v>3.5719999999999987</v>
          </cell>
          <cell r="BN72">
            <v>4.3866666666666649</v>
          </cell>
        </row>
        <row r="73">
          <cell r="F73">
            <v>71</v>
          </cell>
          <cell r="G73">
            <v>136.18700320464549</v>
          </cell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  <cell r="BJ73">
            <v>3.1666666666666656</v>
          </cell>
          <cell r="BK73">
            <v>3.2299999999999991</v>
          </cell>
          <cell r="BL73">
            <v>3.3566666666666656</v>
          </cell>
          <cell r="BM73">
            <v>3.6099999999999985</v>
          </cell>
          <cell r="BN73">
            <v>4.4333333333333318</v>
          </cell>
        </row>
        <row r="74">
          <cell r="F74">
            <v>72</v>
          </cell>
          <cell r="G74">
            <v>146.03338943962044</v>
          </cell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  <cell r="BJ74">
            <v>3.1999999999999988</v>
          </cell>
          <cell r="BK74">
            <v>3.2639999999999989</v>
          </cell>
          <cell r="BL74">
            <v>3.391999999999999</v>
          </cell>
          <cell r="BM74">
            <v>3.6479999999999984</v>
          </cell>
          <cell r="BN74">
            <v>4.4799999999999978</v>
          </cell>
        </row>
        <row r="75">
          <cell r="F75">
            <v>73</v>
          </cell>
          <cell r="G75">
            <v>156.58648490814926</v>
          </cell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  <cell r="BJ75">
            <v>3.2333333333333321</v>
          </cell>
          <cell r="BK75">
            <v>3.2979999999999987</v>
          </cell>
          <cell r="BL75">
            <v>3.427333333333332</v>
          </cell>
          <cell r="BM75">
            <v>3.6859999999999982</v>
          </cell>
          <cell r="BN75">
            <v>4.5266666666666646</v>
          </cell>
        </row>
        <row r="76">
          <cell r="F76">
            <v>74</v>
          </cell>
          <cell r="G76">
            <v>167.89701257893043</v>
          </cell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  <cell r="BJ76">
            <v>3.2666666666666653</v>
          </cell>
          <cell r="BK76">
            <v>3.3319999999999985</v>
          </cell>
          <cell r="BL76">
            <v>3.4626666666666654</v>
          </cell>
          <cell r="BM76">
            <v>3.723999999999998</v>
          </cell>
          <cell r="BN76">
            <v>4.5733333333333315</v>
          </cell>
        </row>
        <row r="77">
          <cell r="F77">
            <v>75</v>
          </cell>
          <cell r="G77">
            <v>180.01933598375612</v>
          </cell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  <cell r="BJ77">
            <v>3.2999999999999985</v>
          </cell>
          <cell r="BK77">
            <v>3.3659999999999983</v>
          </cell>
          <cell r="BL77">
            <v>3.4979999999999984</v>
          </cell>
          <cell r="BM77">
            <v>3.7619999999999978</v>
          </cell>
          <cell r="BN77">
            <v>4.6199999999999974</v>
          </cell>
        </row>
        <row r="78">
          <cell r="F78">
            <v>76</v>
          </cell>
          <cell r="G78">
            <v>193.01172051333091</v>
          </cell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  <cell r="BJ78">
            <v>3.3333333333333317</v>
          </cell>
          <cell r="BK78">
            <v>3.3999999999999986</v>
          </cell>
          <cell r="BL78">
            <v>3.5333333333333319</v>
          </cell>
          <cell r="BM78">
            <v>3.7999999999999976</v>
          </cell>
          <cell r="BN78">
            <v>4.6666666666666643</v>
          </cell>
        </row>
        <row r="79">
          <cell r="F79">
            <v>77</v>
          </cell>
          <cell r="G79">
            <v>206.93661346719625</v>
          </cell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  <cell r="BJ79">
            <v>3.3666666666666649</v>
          </cell>
          <cell r="BK79">
            <v>3.4339999999999984</v>
          </cell>
          <cell r="BL79">
            <v>3.5686666666666649</v>
          </cell>
          <cell r="BM79">
            <v>3.8379999999999979</v>
          </cell>
          <cell r="BN79">
            <v>4.7133333333333303</v>
          </cell>
        </row>
        <row r="80">
          <cell r="F80">
            <v>78</v>
          </cell>
          <cell r="G80">
            <v>221.86094420380775</v>
          </cell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  <cell r="BJ80">
            <v>3.3999999999999981</v>
          </cell>
          <cell r="BK80">
            <v>3.4679999999999982</v>
          </cell>
          <cell r="BL80">
            <v>3.6039999999999983</v>
          </cell>
          <cell r="BM80">
            <v>3.8759999999999977</v>
          </cell>
          <cell r="BN80">
            <v>4.7599999999999971</v>
          </cell>
        </row>
        <row r="81">
          <cell r="F81">
            <v>79</v>
          </cell>
          <cell r="G81">
            <v>237.85644583342264</v>
          </cell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  <cell r="BJ81">
            <v>3.4333333333333313</v>
          </cell>
          <cell r="BK81">
            <v>3.501999999999998</v>
          </cell>
          <cell r="BL81">
            <v>3.6393333333333313</v>
          </cell>
          <cell r="BM81">
            <v>3.9139999999999975</v>
          </cell>
          <cell r="BN81">
            <v>4.806666666666664</v>
          </cell>
        </row>
        <row r="82">
          <cell r="F82">
            <v>80</v>
          </cell>
          <cell r="G82">
            <v>255</v>
          </cell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  <cell r="BJ82">
            <v>3.4666666666666646</v>
          </cell>
          <cell r="BK82">
            <v>3.5359999999999978</v>
          </cell>
          <cell r="BL82">
            <v>3.6746666666666647</v>
          </cell>
          <cell r="BM82">
            <v>3.9519999999999973</v>
          </cell>
          <cell r="BN82">
            <v>4.8533333333333299</v>
          </cell>
        </row>
        <row r="83">
          <cell r="F83">
            <v>81</v>
          </cell>
          <cell r="G83">
            <v>273.37400640929098</v>
          </cell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  <cell r="BJ83">
            <v>3.4999999999999978</v>
          </cell>
          <cell r="BK83">
            <v>3.5699999999999976</v>
          </cell>
          <cell r="BL83">
            <v>3.7099999999999977</v>
          </cell>
          <cell r="BM83">
            <v>3.9899999999999971</v>
          </cell>
          <cell r="BN83">
            <v>4.8999999999999968</v>
          </cell>
        </row>
        <row r="84">
          <cell r="F84">
            <v>82</v>
          </cell>
          <cell r="G84">
            <v>293.06677887924064</v>
          </cell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  <cell r="BJ84">
            <v>3.4999999999999978</v>
          </cell>
          <cell r="BK84">
            <v>3.5699999999999976</v>
          </cell>
          <cell r="BL84">
            <v>3.7099999999999977</v>
          </cell>
          <cell r="BM84">
            <v>3.9899999999999971</v>
          </cell>
          <cell r="BN84">
            <v>4.8999999999999968</v>
          </cell>
        </row>
        <row r="85">
          <cell r="F85">
            <v>83</v>
          </cell>
          <cell r="G85">
            <v>314.1729698162988</v>
          </cell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  <cell r="BJ85">
            <v>3.4999999999999978</v>
          </cell>
          <cell r="BK85">
            <v>3.5699999999999976</v>
          </cell>
          <cell r="BL85">
            <v>3.7099999999999977</v>
          </cell>
          <cell r="BM85">
            <v>3.9899999999999971</v>
          </cell>
          <cell r="BN85">
            <v>4.8999999999999968</v>
          </cell>
        </row>
        <row r="86">
          <cell r="F86">
            <v>84</v>
          </cell>
          <cell r="G86">
            <v>336.79402515786086</v>
          </cell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  <cell r="BJ86">
            <v>3.4999999999999978</v>
          </cell>
          <cell r="BK86">
            <v>3.5699999999999976</v>
          </cell>
          <cell r="BL86">
            <v>3.7099999999999977</v>
          </cell>
          <cell r="BM86">
            <v>3.9899999999999971</v>
          </cell>
          <cell r="BN86">
            <v>4.8999999999999968</v>
          </cell>
        </row>
        <row r="87">
          <cell r="F87">
            <v>85</v>
          </cell>
          <cell r="G87">
            <v>361.0386719675123</v>
          </cell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  <cell r="BJ87">
            <v>3.4999999999999978</v>
          </cell>
          <cell r="BK87">
            <v>3.5699999999999976</v>
          </cell>
          <cell r="BL87">
            <v>3.7099999999999977</v>
          </cell>
          <cell r="BM87">
            <v>3.9899999999999971</v>
          </cell>
          <cell r="BN87">
            <v>4.8999999999999968</v>
          </cell>
        </row>
        <row r="88">
          <cell r="F88">
            <v>86</v>
          </cell>
          <cell r="G88">
            <v>387.02344102666189</v>
          </cell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  <cell r="BJ88">
            <v>3.4999999999999978</v>
          </cell>
          <cell r="BK88">
            <v>3.5699999999999976</v>
          </cell>
          <cell r="BL88">
            <v>3.7099999999999977</v>
          </cell>
          <cell r="BM88">
            <v>3.9899999999999971</v>
          </cell>
          <cell r="BN88">
            <v>4.8999999999999968</v>
          </cell>
        </row>
        <row r="89">
          <cell r="F89">
            <v>87</v>
          </cell>
          <cell r="G89">
            <v>414.87322693439216</v>
          </cell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  <cell r="BJ89">
            <v>3.4999999999999978</v>
          </cell>
          <cell r="BK89">
            <v>3.5699999999999976</v>
          </cell>
          <cell r="BL89">
            <v>3.7099999999999977</v>
          </cell>
          <cell r="BM89">
            <v>3.9899999999999971</v>
          </cell>
          <cell r="BN89">
            <v>4.8999999999999968</v>
          </cell>
        </row>
        <row r="90">
          <cell r="F90">
            <v>88</v>
          </cell>
          <cell r="G90">
            <v>444.72188840761549</v>
          </cell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  <cell r="BJ90">
            <v>3.4999999999999978</v>
          </cell>
          <cell r="BK90">
            <v>3.5699999999999976</v>
          </cell>
          <cell r="BL90">
            <v>3.7099999999999977</v>
          </cell>
          <cell r="BM90">
            <v>3.9899999999999971</v>
          </cell>
          <cell r="BN90">
            <v>4.8999999999999968</v>
          </cell>
        </row>
        <row r="91">
          <cell r="F91">
            <v>89</v>
          </cell>
          <cell r="G91">
            <v>476.71289166684534</v>
          </cell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  <cell r="BJ91">
            <v>3.4999999999999978</v>
          </cell>
          <cell r="BK91">
            <v>3.5699999999999976</v>
          </cell>
          <cell r="BL91">
            <v>3.7099999999999977</v>
          </cell>
          <cell r="BM91">
            <v>3.9899999999999971</v>
          </cell>
          <cell r="BN91">
            <v>4.8999999999999968</v>
          </cell>
        </row>
        <row r="92">
          <cell r="F92">
            <v>90</v>
          </cell>
          <cell r="G92">
            <v>511</v>
          </cell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  <cell r="BJ92">
            <v>3.4999999999999978</v>
          </cell>
          <cell r="BK92">
            <v>3.5699999999999976</v>
          </cell>
          <cell r="BL92">
            <v>3.7099999999999977</v>
          </cell>
          <cell r="BM92">
            <v>3.9899999999999971</v>
          </cell>
          <cell r="BN92">
            <v>4.8999999999999968</v>
          </cell>
        </row>
        <row r="93">
          <cell r="F93">
            <v>91</v>
          </cell>
          <cell r="G93">
            <v>547.74801281858208</v>
          </cell>
          <cell r="N93">
            <v>100</v>
          </cell>
          <cell r="P93">
            <v>511</v>
          </cell>
          <cell r="Q93">
            <v>438.13140000000004</v>
          </cell>
          <cell r="R93">
            <v>353.76530000000002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21.162715484042053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  <cell r="BJ93">
            <v>3.4999999999999978</v>
          </cell>
          <cell r="BK93">
            <v>3.5699999999999976</v>
          </cell>
          <cell r="BL93">
            <v>3.7099999999999977</v>
          </cell>
          <cell r="BM93">
            <v>3.9899999999999971</v>
          </cell>
          <cell r="BN93">
            <v>4.8999999999999968</v>
          </cell>
        </row>
        <row r="94">
          <cell r="F94">
            <v>92</v>
          </cell>
          <cell r="G94">
            <v>587.1335577584814</v>
          </cell>
          <cell r="N94">
            <v>101</v>
          </cell>
          <cell r="P94">
            <v>547.74801281858208</v>
          </cell>
          <cell r="Q94">
            <v>469.42004698552483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31.288646985524792</v>
          </cell>
          <cell r="Y94">
            <v>24.67380205635834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  <cell r="BJ94">
            <v>3.4999999999999978</v>
          </cell>
          <cell r="BK94">
            <v>3.5699999999999976</v>
          </cell>
          <cell r="BL94">
            <v>3.7099999999999977</v>
          </cell>
          <cell r="BM94">
            <v>3.9899999999999971</v>
          </cell>
          <cell r="BN94">
            <v>4.8999999999999968</v>
          </cell>
        </row>
        <row r="95">
          <cell r="F95">
            <v>93</v>
          </cell>
          <cell r="G95">
            <v>629.34593963259704</v>
          </cell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158.23249381591074</v>
          </cell>
          <cell r="W95">
            <v>39.385544939899319</v>
          </cell>
          <cell r="X95">
            <v>32.872711676855999</v>
          </cell>
          <cell r="Y95">
            <v>26.683052796993763</v>
          </cell>
          <cell r="Z95">
            <v>18.956338803053598</v>
          </cell>
          <cell r="AA95">
            <v>10.340530354893559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  <cell r="BJ95">
            <v>3.4999999999999978</v>
          </cell>
          <cell r="BK95">
            <v>3.5699999999999976</v>
          </cell>
          <cell r="BL95">
            <v>3.7099999999999977</v>
          </cell>
          <cell r="BM95">
            <v>3.9899999999999971</v>
          </cell>
          <cell r="BN95">
            <v>4.8999999999999968</v>
          </cell>
        </row>
        <row r="96">
          <cell r="F96">
            <v>94</v>
          </cell>
          <cell r="G96">
            <v>674.58805031572183</v>
          </cell>
          <cell r="N96">
            <v>103</v>
          </cell>
          <cell r="P96">
            <v>629.34593963259704</v>
          </cell>
          <cell r="Q96">
            <v>538.1537129798337</v>
          </cell>
          <cell r="R96">
            <v>433.68228700082267</v>
          </cell>
          <cell r="S96">
            <v>312.34438983965794</v>
          </cell>
          <cell r="T96">
            <v>168.664711821536</v>
          </cell>
          <cell r="W96">
            <v>42.212381874115636</v>
          </cell>
          <cell r="X96">
            <v>35.860954317452865</v>
          </cell>
          <cell r="Y96">
            <v>28.56013214747054</v>
          </cell>
          <cell r="Z96">
            <v>20.773865056796069</v>
          </cell>
          <cell r="AA96">
            <v>10.432218005625259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  <cell r="BJ96">
            <v>3.4999999999999978</v>
          </cell>
          <cell r="BK96">
            <v>3.5699999999999976</v>
          </cell>
          <cell r="BL96">
            <v>3.7099999999999977</v>
          </cell>
          <cell r="BM96">
            <v>3.9899999999999971</v>
          </cell>
          <cell r="BN96">
            <v>4.8999999999999968</v>
          </cell>
        </row>
        <row r="97">
          <cell r="F97">
            <v>95</v>
          </cell>
          <cell r="G97">
            <v>723.0773439350246</v>
          </cell>
          <cell r="N97">
            <v>104</v>
          </cell>
          <cell r="P97">
            <v>674.58805031572183</v>
          </cell>
          <cell r="Q97">
            <v>576.57040660484745</v>
          </cell>
          <cell r="R97">
            <v>464.31895503231135</v>
          </cell>
          <cell r="S97">
            <v>332.97666163584029</v>
          </cell>
          <cell r="T97">
            <v>179.77771540913989</v>
          </cell>
          <cell r="W97">
            <v>45.242110683124793</v>
          </cell>
          <cell r="X97">
            <v>38.41669362501375</v>
          </cell>
          <cell r="Y97">
            <v>30.636668031488682</v>
          </cell>
          <cell r="Z97">
            <v>20.632271796182351</v>
          </cell>
          <cell r="AA97">
            <v>11.113003587603885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  <cell r="BJ97">
            <v>3.4999999999999978</v>
          </cell>
          <cell r="BK97">
            <v>3.5699999999999976</v>
          </cell>
          <cell r="BL97">
            <v>3.7099999999999977</v>
          </cell>
          <cell r="BM97">
            <v>3.9899999999999971</v>
          </cell>
          <cell r="BN97">
            <v>4.8999999999999968</v>
          </cell>
        </row>
        <row r="98">
          <cell r="F98">
            <v>96</v>
          </cell>
          <cell r="G98">
            <v>775.04688205332377</v>
          </cell>
          <cell r="N98">
            <v>105</v>
          </cell>
          <cell r="P98">
            <v>723.0773439350246</v>
          </cell>
          <cell r="Q98">
            <v>618.44805226762651</v>
          </cell>
          <cell r="R98">
            <v>496.24798114260739</v>
          </cell>
          <cell r="S98">
            <v>355.68174548163859</v>
          </cell>
          <cell r="T98">
            <v>192.70011215868408</v>
          </cell>
          <cell r="W98">
            <v>48.489293619302771</v>
          </cell>
          <cell r="X98">
            <v>41.877645662779059</v>
          </cell>
          <cell r="Y98">
            <v>31.929026110296036</v>
          </cell>
          <cell r="Z98">
            <v>22.705083845798299</v>
          </cell>
          <cell r="AA98">
            <v>12.922396749544191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  <cell r="BJ98">
            <v>3.4999999999999978</v>
          </cell>
          <cell r="BK98">
            <v>3.5699999999999976</v>
          </cell>
          <cell r="BL98">
            <v>3.7099999999999977</v>
          </cell>
          <cell r="BM98">
            <v>3.9899999999999971</v>
          </cell>
          <cell r="BN98">
            <v>4.8999999999999968</v>
          </cell>
        </row>
        <row r="99">
          <cell r="F99">
            <v>97</v>
          </cell>
          <cell r="G99">
            <v>830.74645386878444</v>
          </cell>
          <cell r="N99">
            <v>106</v>
          </cell>
          <cell r="P99">
            <v>775.04688205332377</v>
          </cell>
          <cell r="Q99">
            <v>661.0374857032798</v>
          </cell>
          <cell r="R99">
            <v>529.6670391952415</v>
          </cell>
          <cell r="S99">
            <v>380.3930097117713</v>
          </cell>
          <cell r="T99">
            <v>206.5499940672108</v>
          </cell>
          <cell r="W99">
            <v>51.96953811829917</v>
          </cell>
          <cell r="X99">
            <v>42.589433435653291</v>
          </cell>
          <cell r="Y99">
            <v>33.419058052634114</v>
          </cell>
          <cell r="Z99">
            <v>24.711264230132713</v>
          </cell>
          <cell r="AA99">
            <v>13.849881908526726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  <cell r="BJ99">
            <v>3.4999999999999978</v>
          </cell>
          <cell r="BK99">
            <v>3.5699999999999976</v>
          </cell>
          <cell r="BL99">
            <v>3.7099999999999977</v>
          </cell>
          <cell r="BM99">
            <v>3.9899999999999971</v>
          </cell>
          <cell r="BN99">
            <v>4.8999999999999968</v>
          </cell>
        </row>
        <row r="100">
          <cell r="F100">
            <v>98</v>
          </cell>
          <cell r="G100">
            <v>890.4437768152311</v>
          </cell>
          <cell r="N100">
            <v>107</v>
          </cell>
          <cell r="P100">
            <v>830.74645386878444</v>
          </cell>
          <cell r="Q100">
            <v>707.38060546926999</v>
          </cell>
          <cell r="R100">
            <v>568.64594767318295</v>
          </cell>
          <cell r="S100">
            <v>409.14262853037633</v>
          </cell>
          <cell r="T100">
            <v>222.64004963683425</v>
          </cell>
          <cell r="W100">
            <v>55.699571815460672</v>
          </cell>
          <cell r="X100">
            <v>46.343119765990195</v>
          </cell>
          <cell r="Y100">
            <v>38.978908477941445</v>
          </cell>
          <cell r="Z100">
            <v>28.749618818605029</v>
          </cell>
          <cell r="AA100">
            <v>16.090055569623445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  <cell r="BJ100">
            <v>3.4999999999999978</v>
          </cell>
          <cell r="BK100">
            <v>3.5699999999999976</v>
          </cell>
          <cell r="BL100">
            <v>3.7099999999999977</v>
          </cell>
          <cell r="BM100">
            <v>3.9899999999999971</v>
          </cell>
          <cell r="BN100">
            <v>4.8999999999999968</v>
          </cell>
        </row>
        <row r="101">
          <cell r="F101">
            <v>99</v>
          </cell>
          <cell r="G101">
            <v>954.42578333369079</v>
          </cell>
          <cell r="N101">
            <v>108</v>
          </cell>
          <cell r="P101">
            <v>890.4437768152311</v>
          </cell>
          <cell r="Q101">
            <v>759.6375860010736</v>
          </cell>
          <cell r="R101">
            <v>612.26914093815287</v>
          </cell>
          <cell r="S101">
            <v>441.21489141194701</v>
          </cell>
          <cell r="T101">
            <v>240.41981974011242</v>
          </cell>
          <cell r="W101">
            <v>59.697322946446661</v>
          </cell>
          <cell r="X101">
            <v>52.256980531803606</v>
          </cell>
          <cell r="Y101">
            <v>43.623193264969927</v>
          </cell>
          <cell r="Z101">
            <v>32.07226288157068</v>
          </cell>
          <cell r="AA101">
            <v>17.779770103278167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  <cell r="BJ101">
            <v>3.4999999999999978</v>
          </cell>
          <cell r="BK101">
            <v>3.5699999999999976</v>
          </cell>
          <cell r="BL101">
            <v>3.7099999999999977</v>
          </cell>
          <cell r="BM101">
            <v>3.9899999999999971</v>
          </cell>
          <cell r="BN101">
            <v>4.8999999999999968</v>
          </cell>
        </row>
        <row r="102">
          <cell r="F102">
            <v>100</v>
          </cell>
          <cell r="G102">
            <v>1023</v>
          </cell>
          <cell r="N102">
            <v>109</v>
          </cell>
          <cell r="P102">
            <v>954.42578333369079</v>
          </cell>
          <cell r="Q102">
            <v>815.74771701530551</v>
          </cell>
          <cell r="R102">
            <v>658.26746276524648</v>
          </cell>
          <cell r="S102">
            <v>475.39948267851139</v>
          </cell>
          <cell r="T102">
            <v>257.2177486084297</v>
          </cell>
          <cell r="W102">
            <v>63.982006518459684</v>
          </cell>
          <cell r="X102">
            <v>56.110131014231911</v>
          </cell>
          <cell r="Y102">
            <v>45.998321827093605</v>
          </cell>
          <cell r="Z102">
            <v>34.184591266564382</v>
          </cell>
          <cell r="AA102">
            <v>16.797928868317285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  <cell r="BJ102">
            <v>3.4999999999999978</v>
          </cell>
          <cell r="BK102">
            <v>3.5699999999999976</v>
          </cell>
          <cell r="BL102">
            <v>3.7099999999999977</v>
          </cell>
          <cell r="BM102">
            <v>3.9899999999999971</v>
          </cell>
          <cell r="BN102">
            <v>4.8999999999999968</v>
          </cell>
        </row>
        <row r="103">
          <cell r="F103">
            <v>101</v>
          </cell>
          <cell r="G103">
            <v>1096.4960256371633</v>
          </cell>
          <cell r="N103">
            <v>110</v>
          </cell>
          <cell r="P103">
            <v>1023</v>
          </cell>
          <cell r="Q103">
            <v>874.97189999999989</v>
          </cell>
          <cell r="R103">
            <v>706.6884</v>
          </cell>
          <cell r="S103">
            <v>508.22640000000001</v>
          </cell>
          <cell r="T103">
            <v>274.16400000000004</v>
          </cell>
          <cell r="W103">
            <v>68.574216666309212</v>
          </cell>
          <cell r="X103">
            <v>59.22418298469438</v>
          </cell>
          <cell r="Y103">
            <v>48.420937234753524</v>
          </cell>
          <cell r="Z103">
            <v>32.826917321488622</v>
          </cell>
          <cell r="AA103">
            <v>16.946251391570343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  <cell r="BJ103">
            <v>3.4999999999999978</v>
          </cell>
          <cell r="BK103">
            <v>3.5699999999999976</v>
          </cell>
          <cell r="BL103">
            <v>3.7099999999999977</v>
          </cell>
          <cell r="BM103">
            <v>3.9899999999999971</v>
          </cell>
          <cell r="BN103">
            <v>4.8999999999999968</v>
          </cell>
        </row>
        <row r="104">
          <cell r="F104">
            <v>102</v>
          </cell>
          <cell r="G104">
            <v>1175.2671155169628</v>
          </cell>
          <cell r="N104">
            <v>111</v>
          </cell>
          <cell r="P104">
            <v>1096.4960256371633</v>
          </cell>
          <cell r="Q104">
            <v>939.58744436848519</v>
          </cell>
          <cell r="R104">
            <v>756.47260808707892</v>
          </cell>
          <cell r="S104">
            <v>541.34008785706749</v>
          </cell>
          <cell r="T104">
            <v>292.76443884512258</v>
          </cell>
          <cell r="W104">
            <v>73.496025637163257</v>
          </cell>
          <cell r="X104">
            <v>64.615544368485303</v>
          </cell>
          <cell r="Y104">
            <v>49.784208087078923</v>
          </cell>
          <cell r="Z104">
            <v>33.113687857067475</v>
          </cell>
          <cell r="AA104">
            <v>18.60043884512254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F105">
            <v>103</v>
          </cell>
          <cell r="G105">
            <v>1259.6918792651943</v>
          </cell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577.05615371882868</v>
          </cell>
          <cell r="T105">
            <v>312.62105272751211</v>
          </cell>
          <cell r="W105">
            <v>78.771089879799547</v>
          </cell>
          <cell r="X105">
            <v>64.678305840759549</v>
          </cell>
          <cell r="Y105">
            <v>49.760633157557663</v>
          </cell>
          <cell r="Z105">
            <v>35.716065861761194</v>
          </cell>
          <cell r="AA105">
            <v>19.856613882389524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F106">
            <v>104</v>
          </cell>
          <cell r="G106">
            <v>1350.1761006314437</v>
          </cell>
          <cell r="N106">
            <v>113</v>
          </cell>
          <cell r="P106">
            <v>1259.6918792651943</v>
          </cell>
          <cell r="Q106">
            <v>1073.383450321872</v>
          </cell>
          <cell r="R106">
            <v>860.49552272605433</v>
          </cell>
          <cell r="S106">
            <v>618.00483596750428</v>
          </cell>
          <cell r="T106">
            <v>335.07803988454168</v>
          </cell>
          <cell r="W106">
            <v>84.424763748231499</v>
          </cell>
          <cell r="X106">
            <v>69.11770011262729</v>
          </cell>
          <cell r="Y106">
            <v>54.262281481417745</v>
          </cell>
          <cell r="Z106">
            <v>40.948682248675595</v>
          </cell>
          <cell r="AA106">
            <v>22.456987157029573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F107">
            <v>105</v>
          </cell>
          <cell r="G107">
            <v>1447.1546878700494</v>
          </cell>
          <cell r="N107">
            <v>114</v>
          </cell>
          <cell r="P107">
            <v>1350.1761006314437</v>
          </cell>
          <cell r="Q107">
            <v>1149.9449849078005</v>
          </cell>
          <cell r="R107">
            <v>925.14066415266529</v>
          </cell>
          <cell r="S107">
            <v>664.55667673079665</v>
          </cell>
          <cell r="T107">
            <v>360.49701886859549</v>
          </cell>
          <cell r="W107">
            <v>90.484221366249358</v>
          </cell>
          <cell r="X107">
            <v>76.561534585928484</v>
          </cell>
          <cell r="Y107">
            <v>64.645141426610962</v>
          </cell>
          <cell r="Z107">
            <v>46.551840763292375</v>
          </cell>
          <cell r="AA107">
            <v>25.418978984053808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F108">
            <v>106</v>
          </cell>
          <cell r="G108">
            <v>1551.0937641066464</v>
          </cell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714.74970033901741</v>
          </cell>
          <cell r="T108">
            <v>386.39030166130323</v>
          </cell>
          <cell r="W108">
            <v>96.978587238605769</v>
          </cell>
          <cell r="X108">
            <v>84.912110251712647</v>
          </cell>
          <cell r="Y108">
            <v>68.041598132549666</v>
          </cell>
          <cell r="Z108">
            <v>50.193023608220756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F109">
            <v>107</v>
          </cell>
          <cell r="G109">
            <v>1662.4929077375689</v>
          </cell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764.999444457398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50.24974411838059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F110">
            <v>108</v>
          </cell>
          <cell r="G110">
            <v>1781.8875536304624</v>
          </cell>
          <cell r="N110">
            <v>117</v>
          </cell>
          <cell r="P110">
            <v>1662.4929077375689</v>
          </cell>
          <cell r="Q110">
            <v>1418.9376967540152</v>
          </cell>
          <cell r="R110">
            <v>1142.9638740695787</v>
          </cell>
          <cell r="S110">
            <v>817.11526415301512</v>
          </cell>
          <cell r="T110">
            <v>439.89562338736073</v>
          </cell>
          <cell r="W110">
            <v>111.39914363092248</v>
          </cell>
          <cell r="X110">
            <v>94.458731583349845</v>
          </cell>
          <cell r="Y110">
            <v>78.293114386776551</v>
          </cell>
          <cell r="Z110">
            <v>52.11581969561712</v>
          </cell>
          <cell r="AA110">
            <v>27.304682134992788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F111">
            <v>109</v>
          </cell>
          <cell r="G111">
            <v>1909.8515666673818</v>
          </cell>
          <cell r="N111">
            <v>118</v>
          </cell>
          <cell r="P111">
            <v>1781.8875536304624</v>
          </cell>
          <cell r="Q111">
            <v>1521.9101595557779</v>
          </cell>
          <cell r="R111">
            <v>1218.0983316617842</v>
          </cell>
          <cell r="S111">
            <v>870.98663621457001</v>
          </cell>
          <cell r="T111">
            <v>470.41831415844212</v>
          </cell>
          <cell r="W111">
            <v>119.39464589289355</v>
          </cell>
          <cell r="X111">
            <v>102.97246280176273</v>
          </cell>
          <cell r="Y111">
            <v>75.134457592205536</v>
          </cell>
          <cell r="Z111">
            <v>53.871372061554894</v>
          </cell>
          <cell r="AA111">
            <v>30.522690771081386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F112">
            <v>110</v>
          </cell>
          <cell r="G112">
            <v>2047</v>
          </cell>
          <cell r="N112">
            <v>119</v>
          </cell>
          <cell r="P112">
            <v>1909.8515666673818</v>
          </cell>
          <cell r="Q112">
            <v>1624.7107277639418</v>
          </cell>
          <cell r="R112">
            <v>1300.0359614304869</v>
          </cell>
          <cell r="S112">
            <v>930.28869812368168</v>
          </cell>
          <cell r="T112">
            <v>503.05490266018842</v>
          </cell>
          <cell r="W112">
            <v>127.96401303691937</v>
          </cell>
          <cell r="X112">
            <v>102.8005682081639</v>
          </cell>
          <cell r="Y112">
            <v>81.937629768702664</v>
          </cell>
          <cell r="Z112">
            <v>59.302061909111671</v>
          </cell>
          <cell r="AA112">
            <v>32.636588501746303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F113">
            <v>111</v>
          </cell>
          <cell r="G113">
            <v>2193.9920512743265</v>
          </cell>
          <cell r="N113">
            <v>120</v>
          </cell>
          <cell r="P113">
            <v>2047</v>
          </cell>
          <cell r="Q113">
            <v>1740.5640999999998</v>
          </cell>
          <cell r="R113">
            <v>1395.6445999999999</v>
          </cell>
          <cell r="S113">
            <v>999.75480000000005</v>
          </cell>
          <cell r="T113">
            <v>541.22680000000003</v>
          </cell>
          <cell r="W113">
            <v>137.1484333326182</v>
          </cell>
          <cell r="X113">
            <v>115.85337223605802</v>
          </cell>
          <cell r="Y113">
            <v>95.608638569513005</v>
          </cell>
          <cell r="Z113">
            <v>69.466101876318362</v>
          </cell>
          <cell r="AA113">
            <v>38.171897339811608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F114">
            <v>112</v>
          </cell>
          <cell r="G114">
            <v>2351.5342310339256</v>
          </cell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583.60188563897088</v>
          </cell>
          <cell r="W114">
            <v>146.99205127432651</v>
          </cell>
          <cell r="X114">
            <v>128.49772848059888</v>
          </cell>
          <cell r="Y114">
            <v>104.82656386651183</v>
          </cell>
          <cell r="Z114">
            <v>76.83709956031214</v>
          </cell>
          <cell r="AA114">
            <v>42.375085638970859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F115">
            <v>113</v>
          </cell>
          <cell r="G115">
            <v>2520.3837585303886</v>
          </cell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39.554685585019456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F116">
            <v>114</v>
          </cell>
          <cell r="G116">
            <v>2701.3522012628878</v>
          </cell>
          <cell r="N116">
            <v>123</v>
          </cell>
          <cell r="P116">
            <v>2520.3837585303886</v>
          </cell>
          <cell r="Q116">
            <v>2150.1393844022746</v>
          </cell>
          <cell r="R116">
            <v>1727.7230664725814</v>
          </cell>
          <cell r="S116">
            <v>1235.7441568074496</v>
          </cell>
          <cell r="T116">
            <v>664.12112037275745</v>
          </cell>
          <cell r="W116">
            <v>168.849527496463</v>
          </cell>
          <cell r="X116">
            <v>145.45645244585285</v>
          </cell>
          <cell r="Y116">
            <v>118.33303875296269</v>
          </cell>
          <cell r="Z116">
            <v>80.435389100481871</v>
          </cell>
          <cell r="AA116">
            <v>40.964549148767105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F117">
            <v>115</v>
          </cell>
          <cell r="G117">
            <v>2895.3093757400989</v>
          </cell>
          <cell r="N117">
            <v>124</v>
          </cell>
          <cell r="P117">
            <v>2701.3522012628878</v>
          </cell>
          <cell r="Q117">
            <v>2306.1443742181273</v>
          </cell>
          <cell r="R117">
            <v>1846.3742295631837</v>
          </cell>
          <cell r="S117">
            <v>1317.1793333357841</v>
          </cell>
          <cell r="T117">
            <v>708.83481761138182</v>
          </cell>
          <cell r="W117">
            <v>180.96844273249917</v>
          </cell>
          <cell r="X117">
            <v>156.0049898158527</v>
          </cell>
          <cell r="Y117">
            <v>118.65116309060227</v>
          </cell>
          <cell r="Z117">
            <v>81.435176528334523</v>
          </cell>
          <cell r="AA117">
            <v>44.713697238624377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F118">
            <v>116</v>
          </cell>
          <cell r="G118">
            <v>3103.1875282132928</v>
          </cell>
          <cell r="N118">
            <v>125</v>
          </cell>
          <cell r="P118">
            <v>2895.3093757400989</v>
          </cell>
          <cell r="Q118">
            <v>2461.8815621918061</v>
          </cell>
          <cell r="R118">
            <v>1967.6522517529711</v>
          </cell>
          <cell r="S118">
            <v>1404.8041091090961</v>
          </cell>
          <cell r="T118">
            <v>756.54433988088772</v>
          </cell>
          <cell r="W118">
            <v>193.95717447721108</v>
          </cell>
          <cell r="X118">
            <v>155.73718797367883</v>
          </cell>
          <cell r="Y118">
            <v>121.27802218978741</v>
          </cell>
          <cell r="Z118">
            <v>87.624775773311967</v>
          </cell>
          <cell r="AA118">
            <v>47.709522269505896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F119">
            <v>117</v>
          </cell>
          <cell r="G119">
            <v>3325.985815475135</v>
          </cell>
          <cell r="N119">
            <v>126</v>
          </cell>
          <cell r="P119">
            <v>3103.1875282132928</v>
          </cell>
          <cell r="Q119">
            <v>2634.2958927002642</v>
          </cell>
          <cell r="R119">
            <v>2106.4436941511831</v>
          </cell>
          <cell r="S119">
            <v>1506.5975449475536</v>
          </cell>
          <cell r="T119">
            <v>811.48353862777606</v>
          </cell>
          <cell r="W119">
            <v>207.87815247319395</v>
          </cell>
          <cell r="X119">
            <v>172.41433050845808</v>
          </cell>
          <cell r="Y119">
            <v>138.79144239821198</v>
          </cell>
          <cell r="Z119">
            <v>101.79343583845753</v>
          </cell>
          <cell r="AA119">
            <v>54.939198746888337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F120">
            <v>118</v>
          </cell>
          <cell r="G120">
            <v>3564.7751072609281</v>
          </cell>
          <cell r="N120">
            <v>127</v>
          </cell>
          <cell r="P120">
            <v>3325.985815475135</v>
          </cell>
          <cell r="Q120">
            <v>2825.4249502461275</v>
          </cell>
          <cell r="R120">
            <v>2260.0073616153541</v>
          </cell>
          <cell r="S120">
            <v>1618.0920992286531</v>
          </cell>
          <cell r="T120">
            <v>872.40607939912786</v>
          </cell>
          <cell r="W120">
            <v>222.79828726184223</v>
          </cell>
          <cell r="X120">
            <v>191.12905754586336</v>
          </cell>
          <cell r="Y120">
            <v>153.56366746417098</v>
          </cell>
          <cell r="Z120">
            <v>111.49455428109945</v>
          </cell>
          <cell r="AA120">
            <v>60.922540771351805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F121">
            <v>119</v>
          </cell>
          <cell r="G121">
            <v>3820.7031333347636</v>
          </cell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1738.8972973218808</v>
          </cell>
          <cell r="T121">
            <v>936.10994316671975</v>
          </cell>
          <cell r="W121">
            <v>238.78929178579301</v>
          </cell>
          <cell r="X121">
            <v>204.99036843638714</v>
          </cell>
          <cell r="Y121">
            <v>166.17857638643363</v>
          </cell>
          <cell r="Z121">
            <v>120.80519809322777</v>
          </cell>
          <cell r="AA121">
            <v>63.703863767591884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</row>
        <row r="122">
          <cell r="F122">
            <v>120</v>
          </cell>
          <cell r="G122">
            <v>4095</v>
          </cell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1864.8851993806979</v>
          </cell>
          <cell r="T122">
            <v>998.73179905370728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125.9879020588171</v>
          </cell>
          <cell r="AA122">
            <v>62.621855886987532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</row>
        <row r="123">
          <cell r="F123">
            <v>121</v>
          </cell>
          <cell r="G123">
            <v>4388.9841025486576</v>
          </cell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1987.713</v>
          </cell>
          <cell r="T123">
            <v>1066.3380000000002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122.82780061930202</v>
          </cell>
          <cell r="AA123">
            <v>67.606200946292915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</row>
        <row r="124">
          <cell r="F124">
            <v>122</v>
          </cell>
          <cell r="G124">
            <v>4704.0684620678521</v>
          </cell>
          <cell r="N124">
            <v>131</v>
          </cell>
          <cell r="P124">
            <v>4388.9841025486576</v>
          </cell>
          <cell r="Q124">
            <v>3731.5142839868686</v>
          </cell>
          <cell r="R124">
            <v>2975.2923231177347</v>
          </cell>
          <cell r="S124">
            <v>2118.5626263002373</v>
          </cell>
          <cell r="T124">
            <v>1139.8191714318864</v>
          </cell>
          <cell r="W124">
            <v>293.98410254865757</v>
          </cell>
          <cell r="X124">
            <v>245.44078398686861</v>
          </cell>
          <cell r="Y124">
            <v>183.32132311773466</v>
          </cell>
          <cell r="Z124">
            <v>130.84962630023733</v>
          </cell>
          <cell r="AA124">
            <v>73.481171431886196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</row>
        <row r="125">
          <cell r="F125">
            <v>123</v>
          </cell>
          <cell r="G125">
            <v>5041.7675170607781</v>
          </cell>
          <cell r="N125">
            <v>132</v>
          </cell>
          <cell r="P125">
            <v>4704.0684620678521</v>
          </cell>
          <cell r="Q125">
            <v>3986.6980216025049</v>
          </cell>
          <cell r="R125">
            <v>3179.9502803578685</v>
          </cell>
          <cell r="S125">
            <v>2267.3609987167047</v>
          </cell>
          <cell r="T125">
            <v>1221.1761727528144</v>
          </cell>
          <cell r="W125">
            <v>315.08435951919455</v>
          </cell>
          <cell r="X125">
            <v>255.18373761563635</v>
          </cell>
          <cell r="Y125">
            <v>204.65795724013378</v>
          </cell>
          <cell r="Z125">
            <v>148.79837241646737</v>
          </cell>
          <cell r="AA125">
            <v>81.357001320928021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</row>
        <row r="126">
          <cell r="F126">
            <v>124</v>
          </cell>
          <cell r="G126">
            <v>5403.704402525771</v>
          </cell>
          <cell r="N126">
            <v>133</v>
          </cell>
          <cell r="P126">
            <v>5041.7675170607781</v>
          </cell>
          <cell r="Q126">
            <v>4270.8812637021847</v>
          </cell>
          <cell r="R126">
            <v>3414.7891393052651</v>
          </cell>
          <cell r="S126">
            <v>2441.7280085125349</v>
          </cell>
          <cell r="T126">
            <v>1313.3804381943328</v>
          </cell>
          <cell r="W126">
            <v>337.69905499292599</v>
          </cell>
          <cell r="X126">
            <v>284.18324209967977</v>
          </cell>
          <cell r="Y126">
            <v>234.8388589473966</v>
          </cell>
          <cell r="Z126">
            <v>174.3670097958302</v>
          </cell>
          <cell r="AA126">
            <v>92.204265441518373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</row>
        <row r="127">
          <cell r="F127">
            <v>125</v>
          </cell>
          <cell r="G127">
            <v>5791.6187514801986</v>
          </cell>
          <cell r="N127">
            <v>134</v>
          </cell>
          <cell r="P127">
            <v>5403.704402525771</v>
          </cell>
          <cell r="Q127">
            <v>4591.5276308261473</v>
          </cell>
          <cell r="R127">
            <v>3670.1960301955037</v>
          </cell>
          <cell r="S127">
            <v>2624.0388578665143</v>
          </cell>
          <cell r="T127">
            <v>1415.7705534617521</v>
          </cell>
          <cell r="W127">
            <v>361.93688546499288</v>
          </cell>
          <cell r="X127">
            <v>320.64636712396259</v>
          </cell>
          <cell r="Y127">
            <v>255.40689089023863</v>
          </cell>
          <cell r="Z127">
            <v>182.31084935397939</v>
          </cell>
          <cell r="AA127">
            <v>102.39011526741933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</row>
        <row r="128">
          <cell r="F128">
            <v>126</v>
          </cell>
          <cell r="G128">
            <v>6207.3750564265865</v>
          </cell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2819.9391700957085</v>
          </cell>
          <cell r="T128">
            <v>1508.7166847605918</v>
          </cell>
          <cell r="W128">
            <v>387.91434895442762</v>
          </cell>
          <cell r="X128">
            <v>327.29417480598568</v>
          </cell>
          <cell r="Y128">
            <v>269.84220643647541</v>
          </cell>
          <cell r="Z128">
            <v>195.90031222919424</v>
          </cell>
          <cell r="AA128">
            <v>92.946131298839646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</row>
        <row r="129">
          <cell r="F129">
            <v>127</v>
          </cell>
          <cell r="G129">
            <v>6652.971630950271</v>
          </cell>
          <cell r="N129">
            <v>136</v>
          </cell>
          <cell r="P129">
            <v>6207.3750564265865</v>
          </cell>
          <cell r="Q129">
            <v>5281.855435513382</v>
          </cell>
          <cell r="R129">
            <v>4229.7053634490758</v>
          </cell>
          <cell r="S129">
            <v>3005.6110023217534</v>
          </cell>
          <cell r="T129">
            <v>1607.710139614486</v>
          </cell>
          <cell r="W129">
            <v>415.7563049463879</v>
          </cell>
          <cell r="X129">
            <v>363.033629881249</v>
          </cell>
          <cell r="Y129">
            <v>289.66712681709669</v>
          </cell>
          <cell r="Z129">
            <v>185.6718322260449</v>
          </cell>
          <cell r="AA129">
            <v>98.993454853894264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</row>
        <row r="130">
          <cell r="F130">
            <v>128</v>
          </cell>
          <cell r="G130">
            <v>7130.5502145218443</v>
          </cell>
          <cell r="N130">
            <v>137</v>
          </cell>
          <cell r="P130">
            <v>6652.971630950271</v>
          </cell>
          <cell r="Q130">
            <v>5658.3523721232059</v>
          </cell>
          <cell r="R130">
            <v>4507.3882799688081</v>
          </cell>
          <cell r="S130">
            <v>3196.752868671605</v>
          </cell>
          <cell r="T130">
            <v>1713.1401949696949</v>
          </cell>
          <cell r="W130">
            <v>445.59657452368447</v>
          </cell>
          <cell r="X130">
            <v>376.49693660982393</v>
          </cell>
          <cell r="Y130">
            <v>277.68291651973232</v>
          </cell>
          <cell r="Z130">
            <v>191.14186634985163</v>
          </cell>
          <cell r="AA130">
            <v>105.43005535520888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</row>
        <row r="131">
          <cell r="F131">
            <v>129</v>
          </cell>
          <cell r="G131">
            <v>7642.4062666695281</v>
          </cell>
          <cell r="N131">
            <v>138</v>
          </cell>
          <cell r="P131">
            <v>7130.5502145218443</v>
          </cell>
          <cell r="Q131">
            <v>6033.1585365069323</v>
          </cell>
          <cell r="R131">
            <v>4796.0080742873924</v>
          </cell>
          <cell r="S131">
            <v>3409.1160575628937</v>
          </cell>
          <cell r="T131">
            <v>1828.9861300248531</v>
          </cell>
          <cell r="W131">
            <v>477.57858357157329</v>
          </cell>
          <cell r="X131">
            <v>374.80616438372635</v>
          </cell>
          <cell r="Y131">
            <v>288.61979431858435</v>
          </cell>
          <cell r="Z131">
            <v>212.3631888912887</v>
          </cell>
          <cell r="AA131">
            <v>115.84593505515818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</row>
        <row r="132">
          <cell r="F132">
            <v>130</v>
          </cell>
          <cell r="G132">
            <v>8191</v>
          </cell>
          <cell r="N132">
            <v>139</v>
          </cell>
          <cell r="P132">
            <v>7642.4062666695281</v>
          </cell>
          <cell r="Q132">
            <v>6463.18297972242</v>
          </cell>
          <cell r="R132">
            <v>5148.6891018552606</v>
          </cell>
          <cell r="S132">
            <v>3666.0622861213728</v>
          </cell>
          <cell r="T132">
            <v>1967.9196136674036</v>
          </cell>
          <cell r="W132">
            <v>511.85605214768384</v>
          </cell>
          <cell r="X132">
            <v>430.02444321548774</v>
          </cell>
          <cell r="Y132">
            <v>352.68102756786811</v>
          </cell>
          <cell r="Z132">
            <v>256.94622855847911</v>
          </cell>
          <cell r="AA132">
            <v>138.93348364255053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</row>
        <row r="133">
          <cell r="F133">
            <v>131</v>
          </cell>
          <cell r="G133">
            <v>8778.9682050973151</v>
          </cell>
          <cell r="N133">
            <v>140</v>
          </cell>
          <cell r="P133">
            <v>8191</v>
          </cell>
          <cell r="Q133">
            <v>6940.2343000000001</v>
          </cell>
          <cell r="R133">
            <v>5535.4777999999997</v>
          </cell>
          <cell r="S133">
            <v>3951.3384000000001</v>
          </cell>
          <cell r="T133">
            <v>2123.1071999999999</v>
          </cell>
          <cell r="W133">
            <v>548.59373333047188</v>
          </cell>
          <cell r="X133">
            <v>477.05132027758009</v>
          </cell>
          <cell r="Y133">
            <v>386.7886981447391</v>
          </cell>
          <cell r="Z133">
            <v>285.27611387862726</v>
          </cell>
          <cell r="AA133">
            <v>155.18758633259631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</row>
        <row r="134">
          <cell r="F134">
            <v>132</v>
          </cell>
          <cell r="G134">
            <v>9409.1369241357042</v>
          </cell>
          <cell r="N134">
            <v>141</v>
          </cell>
          <cell r="P134">
            <v>8778.9682050973151</v>
          </cell>
          <cell r="Q134">
            <v>7443.6871411020138</v>
          </cell>
          <cell r="R134">
            <v>5941.6056812098623</v>
          </cell>
          <cell r="S134">
            <v>4246.3869208055712</v>
          </cell>
          <cell r="T134">
            <v>2275.5085587612239</v>
          </cell>
          <cell r="W134">
            <v>587.96820509731515</v>
          </cell>
          <cell r="X134">
            <v>503.45284110201374</v>
          </cell>
          <cell r="Y134">
            <v>406.12788120986261</v>
          </cell>
          <cell r="Z134">
            <v>295.04852080557112</v>
          </cell>
          <cell r="AA134">
            <v>152.40135876122395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</row>
        <row r="135">
          <cell r="F135">
            <v>133</v>
          </cell>
          <cell r="G135">
            <v>10084.535034121556</v>
          </cell>
          <cell r="N135">
            <v>142</v>
          </cell>
          <cell r="P135">
            <v>9409.1369241357042</v>
          </cell>
          <cell r="Q135">
            <v>7983.6526801291457</v>
          </cell>
          <cell r="R135">
            <v>6387.8630577957292</v>
          </cell>
          <cell r="S135">
            <v>4544.6131343575453</v>
          </cell>
          <cell r="T135">
            <v>2427.557326427012</v>
          </cell>
          <cell r="W135">
            <v>630.1687190383891</v>
          </cell>
          <cell r="X135">
            <v>539.96553902713185</v>
          </cell>
          <cell r="Y135">
            <v>446.25737658586695</v>
          </cell>
          <cell r="Z135">
            <v>298.22621355197407</v>
          </cell>
          <cell r="AA135">
            <v>152.04876766578809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</row>
        <row r="136">
          <cell r="F136">
            <v>134</v>
          </cell>
          <cell r="G136">
            <v>10808.408805051544</v>
          </cell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4843.6021768885839</v>
          </cell>
          <cell r="T136">
            <v>2583.6578757419425</v>
          </cell>
          <cell r="W136">
            <v>675.39810998585199</v>
          </cell>
          <cell r="X136">
            <v>579.12601734346754</v>
          </cell>
          <cell r="Y136">
            <v>439.367160304565</v>
          </cell>
          <cell r="Z136">
            <v>298.98904253103865</v>
          </cell>
          <cell r="AA136">
            <v>156.1005493149305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</row>
        <row r="137">
          <cell r="F137">
            <v>135</v>
          </cell>
          <cell r="G137">
            <v>11584.237502960397</v>
          </cell>
          <cell r="N137">
            <v>144</v>
          </cell>
          <cell r="P137">
            <v>10808.408805051544</v>
          </cell>
          <cell r="Q137">
            <v>9151.4797352371424</v>
          </cell>
          <cell r="R137">
            <v>7268.654921397163</v>
          </cell>
          <cell r="S137">
            <v>5162.0960452926174</v>
          </cell>
          <cell r="T137">
            <v>2762.6292905711744</v>
          </cell>
          <cell r="W137">
            <v>723.87377092998759</v>
          </cell>
          <cell r="X137">
            <v>588.70103776452925</v>
          </cell>
          <cell r="Y137">
            <v>441.42470329686876</v>
          </cell>
          <cell r="Z137">
            <v>318.49386840403349</v>
          </cell>
          <cell r="AA137">
            <v>178.97141482923189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</row>
        <row r="138">
          <cell r="F138">
            <v>136</v>
          </cell>
          <cell r="G138">
            <v>12415.750112853173</v>
          </cell>
          <cell r="N138">
            <v>145</v>
          </cell>
          <cell r="P138">
            <v>11584.237502960397</v>
          </cell>
          <cell r="Q138">
            <v>9780.5717237494646</v>
          </cell>
          <cell r="R138">
            <v>7779.9739069882025</v>
          </cell>
          <cell r="S138">
            <v>5532.6318314138862</v>
          </cell>
          <cell r="T138">
            <v>2965.5648007578616</v>
          </cell>
          <cell r="W138">
            <v>775.82869790885343</v>
          </cell>
          <cell r="X138">
            <v>629.09198851232213</v>
          </cell>
          <cell r="Y138">
            <v>511.31898559103956</v>
          </cell>
          <cell r="Z138">
            <v>370.53578612126876</v>
          </cell>
          <cell r="AA138">
            <v>202.93551018668722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</row>
        <row r="139">
          <cell r="F139">
            <v>137</v>
          </cell>
          <cell r="G139">
            <v>13306.943261900544</v>
          </cell>
          <cell r="N139">
            <v>146</v>
          </cell>
          <cell r="P139">
            <v>12415.750112853173</v>
          </cell>
          <cell r="Q139">
            <v>10502.4830204625</v>
          </cell>
          <cell r="R139">
            <v>8371.9403010968945</v>
          </cell>
          <cell r="S139">
            <v>5949.627454079241</v>
          </cell>
          <cell r="T139">
            <v>3194.5725040371212</v>
          </cell>
          <cell r="W139">
            <v>831.5126098927758</v>
          </cell>
          <cell r="X139">
            <v>721.91129671303497</v>
          </cell>
          <cell r="Y139">
            <v>591.96639410869193</v>
          </cell>
          <cell r="Z139">
            <v>416.99562266535486</v>
          </cell>
          <cell r="AA139">
            <v>229.00770327925966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</row>
        <row r="140">
          <cell r="F140">
            <v>138</v>
          </cell>
          <cell r="G140">
            <v>14262.10042904369</v>
          </cell>
          <cell r="N140">
            <v>147</v>
          </cell>
          <cell r="P140">
            <v>13306.943261900544</v>
          </cell>
          <cell r="Q140">
            <v>11264.327471198811</v>
          </cell>
          <cell r="R140">
            <v>8987.5094790876265</v>
          </cell>
          <cell r="S140">
            <v>6407.293180605112</v>
          </cell>
          <cell r="T140">
            <v>3433.1913615703402</v>
          </cell>
          <cell r="W140">
            <v>891.19314904737075</v>
          </cell>
          <cell r="X140">
            <v>761.84445073631105</v>
          </cell>
          <cell r="Y140">
            <v>615.56917799073199</v>
          </cell>
          <cell r="Z140">
            <v>457.66572652587092</v>
          </cell>
          <cell r="AA140">
            <v>238.61885753321894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</row>
        <row r="141">
          <cell r="F141">
            <v>139</v>
          </cell>
          <cell r="G141">
            <v>15285.812533339058</v>
          </cell>
          <cell r="N141">
            <v>148</v>
          </cell>
          <cell r="P141">
            <v>14262.10042904369</v>
          </cell>
          <cell r="Q141">
            <v>12081.42527344291</v>
          </cell>
          <cell r="R141">
            <v>9648.3109402480568</v>
          </cell>
          <cell r="S141">
            <v>6871.4799867132497</v>
          </cell>
          <cell r="T141">
            <v>3665.3598102642286</v>
          </cell>
          <cell r="W141">
            <v>955.15716714314658</v>
          </cell>
          <cell r="X141">
            <v>817.09780224409951</v>
          </cell>
          <cell r="Y141">
            <v>660.80146116043034</v>
          </cell>
          <cell r="Z141">
            <v>464.18680610813772</v>
          </cell>
          <cell r="AA141">
            <v>232.16844869388842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</row>
        <row r="142">
          <cell r="F142">
            <v>140</v>
          </cell>
          <cell r="G142">
            <v>16383</v>
          </cell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7323.4327847227432</v>
          </cell>
          <cell r="T142">
            <v>3902.4679397614618</v>
          </cell>
          <cell r="W142">
            <v>1023.7121042953677</v>
          </cell>
          <cell r="X142">
            <v>876.3580110686089</v>
          </cell>
          <cell r="Y142">
            <v>694.06981980915043</v>
          </cell>
          <cell r="Z142">
            <v>451.95279800949356</v>
          </cell>
          <cell r="AA142">
            <v>237.10812949723322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</row>
        <row r="143">
          <cell r="F143">
            <v>141</v>
          </cell>
          <cell r="G143">
            <v>17558.936410194601</v>
          </cell>
          <cell r="N143">
            <v>150</v>
          </cell>
          <cell r="P143">
            <v>16383</v>
          </cell>
          <cell r="Q143">
            <v>13881.315900000001</v>
          </cell>
          <cell r="R143">
            <v>11020.8441</v>
          </cell>
          <cell r="S143">
            <v>7804.8612000000003</v>
          </cell>
          <cell r="T143">
            <v>4169.4735000000001</v>
          </cell>
          <cell r="W143">
            <v>1097.1874666609419</v>
          </cell>
          <cell r="X143">
            <v>923.53261548848241</v>
          </cell>
          <cell r="Y143">
            <v>678.46333994279303</v>
          </cell>
          <cell r="Z143">
            <v>481.42841527725705</v>
          </cell>
          <cell r="AA143">
            <v>267.00556023853824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</row>
        <row r="144">
          <cell r="F144">
            <v>142</v>
          </cell>
          <cell r="G144">
            <v>18819.273848271412</v>
          </cell>
          <cell r="N144">
            <v>151</v>
          </cell>
          <cell r="P144">
            <v>17558.936410194601</v>
          </cell>
          <cell r="Q144">
            <v>14817.986436563224</v>
          </cell>
          <cell r="R144">
            <v>11760.975607548344</v>
          </cell>
          <cell r="S144">
            <v>8352.7860503295724</v>
          </cell>
          <cell r="T144">
            <v>4465.2375291124872</v>
          </cell>
          <cell r="W144">
            <v>1175.9364101946012</v>
          </cell>
          <cell r="X144">
            <v>936.67053656322241</v>
          </cell>
          <cell r="Y144">
            <v>740.13150754834351</v>
          </cell>
          <cell r="Z144">
            <v>547.92485032957211</v>
          </cell>
          <cell r="AA144">
            <v>295.76402911248715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</row>
        <row r="145">
          <cell r="F145">
            <v>143</v>
          </cell>
          <cell r="G145">
            <v>20170.070068243116</v>
          </cell>
          <cell r="N145">
            <v>152</v>
          </cell>
          <cell r="P145">
            <v>18819.273848271412</v>
          </cell>
          <cell r="Q145">
            <v>15892.876764865208</v>
          </cell>
          <cell r="R145">
            <v>12644.670098653563</v>
          </cell>
          <cell r="S145">
            <v>8976.7936256254634</v>
          </cell>
          <cell r="T145">
            <v>4804.5606134636919</v>
          </cell>
          <cell r="W145">
            <v>1260.3374380768109</v>
          </cell>
          <cell r="X145">
            <v>1074.8903283019845</v>
          </cell>
          <cell r="Y145">
            <v>883.69449110521964</v>
          </cell>
          <cell r="Z145">
            <v>624.007575295891</v>
          </cell>
          <cell r="AA145">
            <v>339.32308435120467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</row>
        <row r="146">
          <cell r="F146">
            <v>144</v>
          </cell>
          <cell r="G146">
            <v>21617.817610103088</v>
          </cell>
          <cell r="N146">
            <v>153</v>
          </cell>
          <cell r="P146">
            <v>20170.070068243116</v>
          </cell>
          <cell r="Q146">
            <v>17065.896284740498</v>
          </cell>
          <cell r="R146">
            <v>13574.457155927617</v>
          </cell>
          <cell r="S146">
            <v>9653.3955346611565</v>
          </cell>
          <cell r="T146">
            <v>5173.6229725043595</v>
          </cell>
          <cell r="W146">
            <v>1350.796219971704</v>
          </cell>
          <cell r="X146">
            <v>1173.0195198752899</v>
          </cell>
          <cell r="Y146">
            <v>929.78705727405395</v>
          </cell>
          <cell r="Z146">
            <v>676.6019090356931</v>
          </cell>
          <cell r="AA146">
            <v>369.06235904066762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</row>
        <row r="147">
          <cell r="F147">
            <v>145</v>
          </cell>
          <cell r="G147">
            <v>23169.475005920798</v>
          </cell>
          <cell r="N147">
            <v>154</v>
          </cell>
          <cell r="P147">
            <v>21617.817610103088</v>
          </cell>
          <cell r="Q147">
            <v>18282.188352864181</v>
          </cell>
          <cell r="R147">
            <v>14572.570850970493</v>
          </cell>
          <cell r="S147">
            <v>10367.905325805441</v>
          </cell>
          <cell r="T147">
            <v>5534.1613081863907</v>
          </cell>
          <cell r="W147">
            <v>1447.7475418599715</v>
          </cell>
          <cell r="X147">
            <v>1216.2920681236828</v>
          </cell>
          <cell r="Y147">
            <v>998.11369504287541</v>
          </cell>
          <cell r="Z147">
            <v>714.50979114428446</v>
          </cell>
          <cell r="AA147">
            <v>360.53833568203117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</row>
        <row r="148">
          <cell r="F148">
            <v>146</v>
          </cell>
          <cell r="G148">
            <v>24832.50022570635</v>
          </cell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11095.86158033547</v>
          </cell>
          <cell r="T148">
            <v>5908.2161265098039</v>
          </cell>
          <cell r="W148">
            <v>1551.6573958177105</v>
          </cell>
          <cell r="X148">
            <v>1349.307819652513</v>
          </cell>
          <cell r="Y148">
            <v>1078.409515529007</v>
          </cell>
          <cell r="Z148">
            <v>727.95625453002867</v>
          </cell>
          <cell r="AA148">
            <v>374.0548183234132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</row>
        <row r="149">
          <cell r="F149">
            <v>147</v>
          </cell>
          <cell r="G149">
            <v>26614.886523801088</v>
          </cell>
          <cell r="N149">
            <v>156</v>
          </cell>
          <cell r="P149">
            <v>24832.50022570635</v>
          </cell>
          <cell r="Q149">
            <v>21030.644441150707</v>
          </cell>
          <cell r="R149">
            <v>16694.889901742379</v>
          </cell>
          <cell r="S149">
            <v>11807.853857323369</v>
          </cell>
          <cell r="T149">
            <v>6290.0723071714192</v>
          </cell>
          <cell r="W149">
            <v>1663.0252197855516</v>
          </cell>
          <cell r="X149">
            <v>1399.1482686340132</v>
          </cell>
          <cell r="Y149">
            <v>1043.9095352428794</v>
          </cell>
          <cell r="Z149">
            <v>711.99227698789946</v>
          </cell>
          <cell r="AA149">
            <v>381.85618066161533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</row>
        <row r="150">
          <cell r="F150">
            <v>148</v>
          </cell>
          <cell r="G150">
            <v>28525.200858087381</v>
          </cell>
          <cell r="N150">
            <v>157</v>
          </cell>
          <cell r="P150">
            <v>26614.886523801088</v>
          </cell>
          <cell r="Q150">
            <v>22449.65678282622</v>
          </cell>
          <cell r="R150">
            <v>17789.390152508648</v>
          </cell>
          <cell r="S150">
            <v>12583.518348453154</v>
          </cell>
          <cell r="T150">
            <v>6706.951403997874</v>
          </cell>
          <cell r="W150">
            <v>1782.3862980947379</v>
          </cell>
          <cell r="X150">
            <v>1419.0123416755123</v>
          </cell>
          <cell r="Y150">
            <v>1094.5002507662684</v>
          </cell>
          <cell r="Z150">
            <v>775.66449112978444</v>
          </cell>
          <cell r="AA150">
            <v>416.87909682645477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</row>
        <row r="151">
          <cell r="F151">
            <v>149</v>
          </cell>
          <cell r="G151">
            <v>30572.62506667812</v>
          </cell>
          <cell r="N151">
            <v>158</v>
          </cell>
          <cell r="P151">
            <v>28525.200858087381</v>
          </cell>
          <cell r="Q151">
            <v>24049.59684345347</v>
          </cell>
          <cell r="R151">
            <v>19077.65433388884</v>
          </cell>
          <cell r="S151">
            <v>13515.240166561802</v>
          </cell>
          <cell r="T151">
            <v>7202.6132166670641</v>
          </cell>
          <cell r="W151">
            <v>1910.3143342862932</v>
          </cell>
          <cell r="X151">
            <v>1599.9400606272502</v>
          </cell>
          <cell r="Y151">
            <v>1288.2641813801929</v>
          </cell>
          <cell r="Z151">
            <v>931.72181810864822</v>
          </cell>
          <cell r="AA151">
            <v>495.66181266919011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91.01044787213759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</row>
        <row r="152">
          <cell r="F152">
            <v>150</v>
          </cell>
          <cell r="G152">
            <v>32767</v>
          </cell>
          <cell r="N152">
            <v>159</v>
          </cell>
          <cell r="P152">
            <v>30572.62506667812</v>
          </cell>
          <cell r="Q152">
            <v>25794.12376875633</v>
          </cell>
          <cell r="R152">
            <v>20471.429744647667</v>
          </cell>
          <cell r="S152">
            <v>14525.054169178775</v>
          </cell>
          <cell r="T152">
            <v>7744.0459293895683</v>
          </cell>
          <cell r="W152">
            <v>2047.424208590739</v>
          </cell>
          <cell r="X152">
            <v>1744.52692530286</v>
          </cell>
          <cell r="Y152">
            <v>1393.7754107588262</v>
          </cell>
          <cell r="Z152">
            <v>1009.8140026169731</v>
          </cell>
          <cell r="AA152">
            <v>541.43271272250422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91.10715471073091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</row>
        <row r="153">
          <cell r="N153">
            <v>160</v>
          </cell>
          <cell r="P153">
            <v>32767</v>
          </cell>
          <cell r="Q153">
            <v>27665.178100000001</v>
          </cell>
          <cell r="R153">
            <v>21976.8269</v>
          </cell>
          <cell r="S153">
            <v>15577.4318</v>
          </cell>
          <cell r="T153">
            <v>8355.5850000000009</v>
          </cell>
          <cell r="W153">
            <v>2194.3749333218802</v>
          </cell>
          <cell r="X153">
            <v>1871.0543312436712</v>
          </cell>
          <cell r="Y153">
            <v>1505.3971553523334</v>
          </cell>
          <cell r="Z153">
            <v>1052.3776308212255</v>
          </cell>
          <cell r="AA153">
            <v>611.53907061043265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91.20386154932423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</row>
        <row r="154"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16825.451968248472</v>
          </cell>
          <cell r="T154">
            <v>9211.6803407880889</v>
          </cell>
          <cell r="W154">
            <v>2351.8728203892097</v>
          </cell>
          <cell r="X154">
            <v>2006.7575459468426</v>
          </cell>
          <cell r="Y154">
            <v>1616.0318607374684</v>
          </cell>
          <cell r="Z154">
            <v>1248.0201682484712</v>
          </cell>
          <cell r="AA154">
            <v>856.09534078808792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91.300568387917551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</row>
        <row r="155">
          <cell r="N155">
            <v>162</v>
          </cell>
          <cell r="P155">
            <v>37639.547696542824</v>
          </cell>
          <cell r="Q155">
            <v>31786.598029730416</v>
          </cell>
          <cell r="R155">
            <v>25478.209835789836</v>
          </cell>
          <cell r="S155">
            <v>18481.017919002526</v>
          </cell>
          <cell r="T155">
            <v>16185.005509513414</v>
          </cell>
          <cell r="W155">
            <v>2520.6748761536146</v>
          </cell>
          <cell r="X155">
            <v>2114.6623837835723</v>
          </cell>
          <cell r="Y155">
            <v>1885.3510750523674</v>
          </cell>
          <cell r="Z155">
            <v>1655.5659507540549</v>
          </cell>
          <cell r="AA155">
            <v>6973.3251687253251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91.397275226510871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</row>
        <row r="156">
          <cell r="N156">
            <v>163</v>
          </cell>
          <cell r="P156">
            <v>40341.140136486232</v>
          </cell>
          <cell r="Q156">
            <v>34471.50424662749</v>
          </cell>
          <cell r="R156">
            <v>27916.06897444847</v>
          </cell>
          <cell r="S156">
            <v>26221.741088716051</v>
          </cell>
          <cell r="T156">
            <v>26423.446789398484</v>
          </cell>
          <cell r="W156">
            <v>2701.592439943408</v>
          </cell>
          <cell r="X156">
            <v>2684.906216897074</v>
          </cell>
          <cell r="Y156">
            <v>2437.859138658634</v>
          </cell>
          <cell r="Z156">
            <v>7740.7231697135248</v>
          </cell>
          <cell r="AA156">
            <v>10238.44127988507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91.493982065104177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</row>
        <row r="157">
          <cell r="N157">
            <v>164</v>
          </cell>
          <cell r="P157">
            <v>43236.635220206183</v>
          </cell>
          <cell r="Q157">
            <v>37140.269654157113</v>
          </cell>
          <cell r="R157">
            <v>35237.857704468035</v>
          </cell>
          <cell r="S157">
            <v>35367.567610128652</v>
          </cell>
          <cell r="T157">
            <v>35454.040880569068</v>
          </cell>
          <cell r="W157">
            <v>2895.4950837199503</v>
          </cell>
          <cell r="X157">
            <v>2668.7654075296232</v>
          </cell>
          <cell r="Y157">
            <v>7321.7887300195653</v>
          </cell>
          <cell r="Z157">
            <v>9145.8265214126004</v>
          </cell>
          <cell r="AA157">
            <v>9030.5940911705839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91.590688903697497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</row>
        <row r="158">
          <cell r="N158">
            <v>165</v>
          </cell>
          <cell r="P158">
            <v>46339.950011841604</v>
          </cell>
          <cell r="Q158">
            <v>44161.972361285043</v>
          </cell>
          <cell r="R158">
            <v>44486.352011367941</v>
          </cell>
          <cell r="S158">
            <v>44486.352011367941</v>
          </cell>
          <cell r="T158">
            <v>44625.371861403466</v>
          </cell>
          <cell r="W158">
            <v>3103.314791635421</v>
          </cell>
          <cell r="X158">
            <v>7021.7027071279299</v>
          </cell>
          <cell r="Y158">
            <v>9248.4943068999055</v>
          </cell>
          <cell r="Z158">
            <v>9118.7844012392889</v>
          </cell>
          <cell r="AA158">
            <v>9171.3309808343984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91.687395742290818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</row>
        <row r="159"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W159">
            <v>3326.0504395711032</v>
          </cell>
          <cell r="X159">
            <v>5504.0280901276637</v>
          </cell>
          <cell r="Y159">
            <v>5676.3084445588902</v>
          </cell>
          <cell r="Z159">
            <v>5676.3084445588902</v>
          </cell>
          <cell r="AA159">
            <v>5686.2865958776019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91.784102580884138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</row>
        <row r="160"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91.880809419477458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</row>
        <row r="161"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91.977516258070779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</row>
        <row r="162"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92.073570757788559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92.169427650297976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92.265284542807379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92.361141435316796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92.456998327826213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92.55285522033563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92.648712112845047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92.744569005354464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92.840425897863867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92.936282790373284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93.030170797284541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93.1201554708354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93.210140144386244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93.300124817937103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93.390109491487962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93.480094165038807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93.570078838589666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93.660063512140525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93.750048185691369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93.840032859242228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93.930017532793073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94.01720149869783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94.094586524044246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94.171971549390676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94.249356574737092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94.326741600083523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94.404126625429939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94.481511650776355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94.558896676122785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94.636281701469201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94.713666726815632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94.791051752162048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94.868436777508478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94.945821802854894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95.021652736340755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95.093855518039874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95.166058299739007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95.238261081438125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95.310463863137244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95.382666644836377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95.454869426535495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95.527072208234628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95.599274989933747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95.671477771632865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95.743680553331998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95.815883335031117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95.888086116730236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95.960288898429368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96.027967953922968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96.09011814325406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96.152268332585166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96.214418521916258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96.276568711247364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96.338718900578456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96.400869089909563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96.463019279240655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96.525169468571761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96.587319657902853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96.649469847233959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96.711620036565051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96.773770225896158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96.83592041522725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96.898070604558356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96.960220793889448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97.020244939111976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97.076488635975949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97.132732332839936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97.188976029703909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97.245219726567882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97.301463423431869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97.357707120295842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97.413950817159815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97.470194514023802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97.526438210887775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97.582681907751748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97.638925604615736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97.695169301479709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97.751412998343696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97.807656695207669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97.863900392071642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97.920144088935629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97.976387785799602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98.03453879727887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98.09406994590077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98.153601094522671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98.213132243144585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98.272663391766486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98.3321945403884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98.3917256890103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98.451256837632201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98.510787986254115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98.570319134876016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98.629850283497916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98.689381432119831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98.748912580741731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98.808443729363646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98.867974877985546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98.927506026607446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98.987037175229361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99.046160733338311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99.105170833973162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99.164180934608012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99.223191035242863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99.282201135877699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99.341211236512549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99.4002213371474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99.45923143778225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99.518241538417101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99.577251639051951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99.636261739686788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99.695271840321638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99.754281940956488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99.813292041591339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99.872302142226189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99.93131224286104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99.990322343495876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100.04494517613057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100.09870734853557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100.15246952094056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100.20623169334554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100.25999386575054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100.31375603815553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100.36751821056053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100.42128038296552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100.47504255537051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100.52880472777551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100.5825669001805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100.6363290725855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100.69009124499048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100.74385341739547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100.79761558980047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100.85137776220546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100.90513993461046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92.020673823381642</v>
          </cell>
          <cell r="AH295">
            <v>100.95890210701545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92.068811230516317</v>
          </cell>
          <cell r="AH296">
            <v>101.01186310799378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92.116948637651006</v>
          </cell>
          <cell r="AH297">
            <v>101.06222416179293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92.165086044785696</v>
          </cell>
          <cell r="AH298">
            <v>101.11258521559208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92.213223451920371</v>
          </cell>
          <cell r="AH299">
            <v>101.16294626939123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92.26136085905506</v>
          </cell>
          <cell r="AH300">
            <v>101.21330732319038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92.309498266189749</v>
          </cell>
          <cell r="AH301">
            <v>101.26366837698953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92.357635673324438</v>
          </cell>
          <cell r="AH302">
            <v>101.31402943078868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92.405773080459113</v>
          </cell>
          <cell r="AH303">
            <v>101.36439048458783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92.453910487593802</v>
          </cell>
          <cell r="AH304">
            <v>101.41475153838698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92.502047894728491</v>
          </cell>
          <cell r="AH305">
            <v>101.46511259218613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92.550185301863166</v>
          </cell>
          <cell r="AH306">
            <v>101.51547364598528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92.598322708997856</v>
          </cell>
          <cell r="AH307">
            <v>101.56583469978445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92.646460116132545</v>
          </cell>
          <cell r="AH308">
            <v>101.6161957535836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92.69459752326722</v>
          </cell>
          <cell r="AH309">
            <v>101.66655680738275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92.742734930401909</v>
          </cell>
          <cell r="AH310">
            <v>101.7169178611819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92.790872337536598</v>
          </cell>
          <cell r="AH311">
            <v>101.76727891498105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92.839009744671287</v>
          </cell>
          <cell r="AH312">
            <v>101.8176399687802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92.887147151805962</v>
          </cell>
          <cell r="AH313">
            <v>101.86800102257935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92.935284558940651</v>
          </cell>
          <cell r="AH314">
            <v>101.9183620763785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92.98342196607534</v>
          </cell>
          <cell r="AH315">
            <v>101.96872313017765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93.031775955978986</v>
          </cell>
          <cell r="AH316">
            <v>102.01687435940708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93.080243716091815</v>
          </cell>
          <cell r="AH317">
            <v>102.0614039302265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93.128711476204643</v>
          </cell>
          <cell r="AH318">
            <v>102.10593350104594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93.177179236317471</v>
          </cell>
          <cell r="AH319">
            <v>102.15046307186537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93.225646996430299</v>
          </cell>
          <cell r="AH320">
            <v>102.19499264268481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93.274114756543128</v>
          </cell>
          <cell r="AH321">
            <v>102.23952221350423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93.322582516655956</v>
          </cell>
          <cell r="AH322">
            <v>102.28405178432367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93.37105027676877</v>
          </cell>
          <cell r="AH323">
            <v>102.3285813551431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93.419518036881598</v>
          </cell>
          <cell r="AH324">
            <v>102.37311092596252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93.467985796994427</v>
          </cell>
          <cell r="AH325">
            <v>102.41764049678196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93.516453557107255</v>
          </cell>
          <cell r="AH326">
            <v>102.46217006760139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93.564921317220083</v>
          </cell>
          <cell r="AH327">
            <v>102.50669963842083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93.613389077332911</v>
          </cell>
          <cell r="AH328">
            <v>102.55122920924025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93.66185683744574</v>
          </cell>
          <cell r="AH329">
            <v>102.59575878005968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93.710324597558554</v>
          </cell>
          <cell r="AH330">
            <v>102.64028835087912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93.758792357671382</v>
          </cell>
          <cell r="AH331">
            <v>102.68481792169854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93.80726011778421</v>
          </cell>
          <cell r="AH332">
            <v>102.72934749251797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93.855727877897039</v>
          </cell>
          <cell r="AH333">
            <v>102.77387706333741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93.904195638009867</v>
          </cell>
          <cell r="AH334">
            <v>102.81840663415684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93.952663398122695</v>
          </cell>
          <cell r="AH335">
            <v>102.86293620497626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89.018779040163423</v>
          </cell>
          <cell r="AG336">
            <v>94.001027891564647</v>
          </cell>
          <cell r="AH336">
            <v>102.9074657757957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89.066031955355442</v>
          </cell>
          <cell r="AG337">
            <v>94.045070891220206</v>
          </cell>
          <cell r="AH337">
            <v>102.95199534661513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89.113284870547446</v>
          </cell>
          <cell r="AG338">
            <v>94.089113890875765</v>
          </cell>
          <cell r="AH338">
            <v>102.99652491743456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89.16053778573945</v>
          </cell>
          <cell r="AG339">
            <v>94.133156890531339</v>
          </cell>
          <cell r="AH339">
            <v>103.03627054084417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89.207790700931454</v>
          </cell>
          <cell r="AG340">
            <v>94.177199890186898</v>
          </cell>
          <cell r="AH340">
            <v>103.07561122406466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89.255043616123459</v>
          </cell>
          <cell r="AG341">
            <v>94.221242889842458</v>
          </cell>
          <cell r="AH341">
            <v>103.11495190728516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89.302296531315463</v>
          </cell>
          <cell r="AG342">
            <v>94.265285889498017</v>
          </cell>
          <cell r="AH342">
            <v>103.15429259050565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89.349549446507467</v>
          </cell>
          <cell r="AG343">
            <v>94.309328889153576</v>
          </cell>
          <cell r="AH343">
            <v>103.19363327372614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89.396802361699486</v>
          </cell>
          <cell r="AG344">
            <v>94.35337188880915</v>
          </cell>
          <cell r="AH344">
            <v>103.23297395694664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89.44405527689149</v>
          </cell>
          <cell r="AG345">
            <v>94.397414888464709</v>
          </cell>
          <cell r="AH345">
            <v>103.27231464016712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89.491308192083494</v>
          </cell>
          <cell r="AG346">
            <v>94.441457888120269</v>
          </cell>
          <cell r="AH346">
            <v>103.31165532338761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89.538561107275498</v>
          </cell>
          <cell r="AG347">
            <v>94.485500887775828</v>
          </cell>
          <cell r="AH347">
            <v>103.35099600660811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89.585814022467503</v>
          </cell>
          <cell r="AG348">
            <v>94.529543887431387</v>
          </cell>
          <cell r="AH348">
            <v>103.3903366898286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89.633066937659507</v>
          </cell>
          <cell r="AG349">
            <v>94.573586887086947</v>
          </cell>
          <cell r="AH349">
            <v>103.42967737304909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89.680319852851511</v>
          </cell>
          <cell r="AG350">
            <v>94.61762988674252</v>
          </cell>
          <cell r="AH350">
            <v>103.46901805626959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89.72757276804353</v>
          </cell>
          <cell r="AG351">
            <v>94.66167288639808</v>
          </cell>
          <cell r="AH351">
            <v>103.50835873949008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89.774825683235534</v>
          </cell>
          <cell r="AG352">
            <v>94.705715886053639</v>
          </cell>
          <cell r="AH352">
            <v>103.54769942271056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89.822078598427538</v>
          </cell>
          <cell r="AG353">
            <v>94.749758885709198</v>
          </cell>
          <cell r="AH353">
            <v>103.58704010593105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89.869331513619542</v>
          </cell>
          <cell r="AG354">
            <v>94.793801885364758</v>
          </cell>
          <cell r="AH354">
            <v>103.62638078915155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89.916584428811547</v>
          </cell>
          <cell r="AG355">
            <v>94.837844885020331</v>
          </cell>
          <cell r="AH355">
            <v>103.66572147237204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89.963837344003551</v>
          </cell>
          <cell r="AG356">
            <v>94.881887884675891</v>
          </cell>
          <cell r="AH356">
            <v>103.70506215559253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90.009512113271555</v>
          </cell>
          <cell r="AG357">
            <v>94.92593088433145</v>
          </cell>
          <cell r="AH357">
            <v>103.74440283881303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90.050040929937737</v>
          </cell>
          <cell r="AG358">
            <v>94.969973883987009</v>
          </cell>
          <cell r="AH358">
            <v>103.78374352203352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90.090569746603933</v>
          </cell>
          <cell r="AG359">
            <v>95.012878924987305</v>
          </cell>
          <cell r="AH359">
            <v>103.82308420525401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90.131098563270129</v>
          </cell>
          <cell r="AG360">
            <v>95.053346300136027</v>
          </cell>
          <cell r="AH360">
            <v>103.86242488847451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90.171627379936311</v>
          </cell>
          <cell r="AG361">
            <v>95.09381367528475</v>
          </cell>
          <cell r="AH361">
            <v>103.90176557169499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90.212156196602507</v>
          </cell>
          <cell r="AG362">
            <v>95.134281050433472</v>
          </cell>
          <cell r="AH362">
            <v>103.94110625491548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90.252685013268689</v>
          </cell>
          <cell r="AG363">
            <v>95.174748425582194</v>
          </cell>
          <cell r="AH363">
            <v>103.98044693813598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/>
      <sheetData sheetId="3"/>
      <sheetData sheetId="4">
        <row r="4">
          <cell r="AV4">
            <v>20</v>
          </cell>
        </row>
      </sheetData>
      <sheetData sheetId="5">
        <row r="6">
          <cell r="R6"/>
        </row>
      </sheetData>
      <sheetData sheetId="6">
        <row r="6">
          <cell r="Y6">
            <v>0.78396012978844121</v>
          </cell>
        </row>
      </sheetData>
      <sheetData sheetId="7">
        <row r="1">
          <cell r="AD1">
            <v>1000</v>
          </cell>
        </row>
      </sheetData>
      <sheetData sheetId="8">
        <row r="6">
          <cell r="H6">
            <v>15</v>
          </cell>
        </row>
      </sheetData>
      <sheetData sheetId="9">
        <row r="5">
          <cell r="E5">
            <v>5</v>
          </cell>
        </row>
      </sheetData>
      <sheetData sheetId="10">
        <row r="1">
          <cell r="CW1">
            <v>600</v>
          </cell>
        </row>
      </sheetData>
      <sheetData sheetId="11">
        <row r="5">
          <cell r="AJ5">
            <v>13341</v>
          </cell>
        </row>
      </sheetData>
      <sheetData sheetId="12"/>
      <sheetData sheetId="13">
        <row r="6">
          <cell r="BG6">
            <v>0</v>
          </cell>
        </row>
      </sheetData>
      <sheetData sheetId="14">
        <row r="6">
          <cell r="C6">
            <v>563347.17133977113</v>
          </cell>
        </row>
      </sheetData>
      <sheetData sheetId="15"/>
      <sheetData sheetId="16">
        <row r="3">
          <cell r="C3"/>
        </row>
      </sheetData>
      <sheetData sheetId="17">
        <row r="5">
          <cell r="B5">
            <v>1</v>
          </cell>
        </row>
      </sheetData>
      <sheetData sheetId="18">
        <row r="6">
          <cell r="C6">
            <v>8101.9050560002579</v>
          </cell>
        </row>
      </sheetData>
      <sheetData sheetId="19">
        <row r="6">
          <cell r="D6">
            <v>39202.306950863218</v>
          </cell>
        </row>
      </sheetData>
      <sheetData sheetId="20">
        <row r="6">
          <cell r="V6">
            <v>3390.3908593159599</v>
          </cell>
        </row>
      </sheetData>
      <sheetData sheetId="21">
        <row r="5">
          <cell r="AG5">
            <v>0</v>
          </cell>
        </row>
      </sheetData>
      <sheetData sheetId="22">
        <row r="6">
          <cell r="C6">
            <v>5.0636889117865597E-3</v>
          </cell>
        </row>
      </sheetData>
      <sheetData sheetId="23">
        <row r="4">
          <cell r="L4">
            <v>6.7499719449199054E-6</v>
          </cell>
        </row>
      </sheetData>
      <sheetData sheetId="24">
        <row r="4">
          <cell r="K4">
            <v>1</v>
          </cell>
        </row>
      </sheetData>
      <sheetData sheetId="25">
        <row r="5">
          <cell r="AK5">
            <v>50</v>
          </cell>
        </row>
      </sheetData>
      <sheetData sheetId="26">
        <row r="2">
          <cell r="D2">
            <v>0.5</v>
          </cell>
        </row>
      </sheetData>
      <sheetData sheetId="27">
        <row r="3">
          <cell r="J3">
            <v>10000</v>
          </cell>
        </row>
      </sheetData>
      <sheetData sheetId="28">
        <row r="5">
          <cell r="BC5">
            <v>200000</v>
          </cell>
        </row>
      </sheetData>
      <sheetData sheetId="29">
        <row r="5">
          <cell r="K5">
            <v>12491.935266914652</v>
          </cell>
        </row>
      </sheetData>
      <sheetData sheetId="30">
        <row r="4">
          <cell r="P4">
            <v>2</v>
          </cell>
        </row>
      </sheetData>
      <sheetData sheetId="31">
        <row r="59">
          <cell r="D59">
            <v>300</v>
          </cell>
        </row>
      </sheetData>
      <sheetData sheetId="32">
        <row r="5">
          <cell r="J5" t="str">
            <v>黄金</v>
          </cell>
        </row>
      </sheetData>
      <sheetData sheetId="33">
        <row r="5">
          <cell r="BJ5">
            <v>3000</v>
          </cell>
        </row>
      </sheetData>
      <sheetData sheetId="34">
        <row r="3">
          <cell r="B3">
            <v>1</v>
          </cell>
        </row>
      </sheetData>
      <sheetData sheetId="35">
        <row r="5">
          <cell r="R5">
            <v>100</v>
          </cell>
        </row>
      </sheetData>
      <sheetData sheetId="36"/>
      <sheetData sheetId="37">
        <row r="3">
          <cell r="D3">
            <v>2</v>
          </cell>
        </row>
      </sheetData>
      <sheetData sheetId="38"/>
      <sheetData sheetId="39">
        <row r="12">
          <cell r="H12">
            <v>12</v>
          </cell>
        </row>
      </sheetData>
      <sheetData sheetId="40">
        <row r="4">
          <cell r="V4">
            <v>48</v>
          </cell>
        </row>
      </sheetData>
      <sheetData sheetId="41"/>
      <sheetData sheetId="42">
        <row r="4">
          <cell r="C4">
            <v>0</v>
          </cell>
        </row>
      </sheetData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道具信息"/>
      <sheetName val="武将升星（废弃）"/>
      <sheetName val="Sheet2"/>
      <sheetName val="武将觉醒(废弃）"/>
      <sheetName val="属性分配（废弃）"/>
    </sheetNames>
    <sheetDataSet>
      <sheetData sheetId="0">
        <row r="4">
          <cell r="D4" t="str">
            <v>橙色指定武将</v>
          </cell>
          <cell r="E4">
            <v>4800</v>
          </cell>
          <cell r="F4">
            <v>1</v>
          </cell>
          <cell r="G4">
            <v>1</v>
          </cell>
          <cell r="H4">
            <v>1</v>
          </cell>
          <cell r="I4">
            <v>4800</v>
          </cell>
          <cell r="J4">
            <v>4800</v>
          </cell>
          <cell r="K4">
            <v>4800</v>
          </cell>
          <cell r="L4" t="str">
            <v>120武将</v>
          </cell>
        </row>
        <row r="5">
          <cell r="D5" t="str">
            <v>紫色指定武将</v>
          </cell>
          <cell r="E5">
            <v>540</v>
          </cell>
          <cell r="F5">
            <v>1</v>
          </cell>
          <cell r="G5">
            <v>1</v>
          </cell>
          <cell r="H5">
            <v>1</v>
          </cell>
          <cell r="I5">
            <v>540</v>
          </cell>
          <cell r="J5">
            <v>540</v>
          </cell>
          <cell r="K5">
            <v>540</v>
          </cell>
          <cell r="L5" t="str">
            <v>110武将</v>
          </cell>
        </row>
        <row r="6">
          <cell r="D6" t="str">
            <v>125指定武将</v>
          </cell>
          <cell r="E6">
            <v>10800</v>
          </cell>
          <cell r="F6">
            <v>1</v>
          </cell>
          <cell r="G6">
            <v>1</v>
          </cell>
          <cell r="H6">
            <v>1</v>
          </cell>
          <cell r="I6">
            <v>10800</v>
          </cell>
          <cell r="J6">
            <v>10800</v>
          </cell>
          <cell r="K6">
            <v>10800</v>
          </cell>
          <cell r="L6" t="str">
            <v>125武将</v>
          </cell>
        </row>
        <row r="7">
          <cell r="D7" t="str">
            <v>橙+指定武将</v>
          </cell>
          <cell r="E7">
            <v>14400</v>
          </cell>
          <cell r="F7">
            <v>1</v>
          </cell>
          <cell r="G7">
            <v>1</v>
          </cell>
          <cell r="H7">
            <v>1</v>
          </cell>
          <cell r="I7">
            <v>14400</v>
          </cell>
          <cell r="J7">
            <v>14400</v>
          </cell>
          <cell r="K7">
            <v>14400</v>
          </cell>
          <cell r="L7" t="str">
            <v>130武将</v>
          </cell>
        </row>
        <row r="8">
          <cell r="D8" t="str">
            <v>125指定武将碎片</v>
          </cell>
          <cell r="E8">
            <v>360</v>
          </cell>
          <cell r="F8">
            <v>1</v>
          </cell>
          <cell r="G8">
            <v>1</v>
          </cell>
          <cell r="H8">
            <v>1</v>
          </cell>
          <cell r="I8">
            <v>360</v>
          </cell>
          <cell r="J8">
            <v>360</v>
          </cell>
          <cell r="K8">
            <v>360</v>
          </cell>
          <cell r="L8" t="str">
            <v>125武将碎片</v>
          </cell>
        </row>
        <row r="9">
          <cell r="D9" t="str">
            <v>橙+指定武将碎片</v>
          </cell>
          <cell r="E9">
            <v>480</v>
          </cell>
          <cell r="F9">
            <v>1</v>
          </cell>
          <cell r="G9">
            <v>1</v>
          </cell>
          <cell r="H9">
            <v>1</v>
          </cell>
          <cell r="I9">
            <v>480</v>
          </cell>
          <cell r="J9">
            <v>480</v>
          </cell>
          <cell r="K9">
            <v>480</v>
          </cell>
          <cell r="L9" t="str">
            <v>130武将碎片</v>
          </cell>
        </row>
        <row r="10">
          <cell r="D10" t="str">
            <v>黄金</v>
          </cell>
          <cell r="E10">
            <v>1</v>
          </cell>
          <cell r="F10">
            <v>1</v>
          </cell>
          <cell r="G10">
            <v>1</v>
          </cell>
          <cell r="H10">
            <v>1</v>
          </cell>
          <cell r="I10">
            <v>1</v>
          </cell>
          <cell r="J10">
            <v>1</v>
          </cell>
          <cell r="K10">
            <v>1</v>
          </cell>
        </row>
        <row r="11">
          <cell r="D11" t="str">
            <v>粮食</v>
          </cell>
          <cell r="E11">
            <v>1.610753151682973E-4</v>
          </cell>
          <cell r="F11">
            <v>1</v>
          </cell>
          <cell r="G11">
            <v>1</v>
          </cell>
          <cell r="H11">
            <v>1</v>
          </cell>
          <cell r="I11">
            <v>1.610753151682973E-4</v>
          </cell>
          <cell r="J11">
            <v>1.610753151682973E-4</v>
          </cell>
          <cell r="K11">
            <v>1.610753151682973E-4</v>
          </cell>
        </row>
        <row r="12">
          <cell r="D12" t="str">
            <v>木材</v>
          </cell>
          <cell r="E12">
            <v>1.610753151682973E-4</v>
          </cell>
          <cell r="F12">
            <v>1</v>
          </cell>
          <cell r="G12">
            <v>1</v>
          </cell>
          <cell r="H12">
            <v>1</v>
          </cell>
          <cell r="I12">
            <v>1.610753151682973E-4</v>
          </cell>
          <cell r="J12">
            <v>1.610753151682973E-4</v>
          </cell>
          <cell r="K12">
            <v>1.610753151682973E-4</v>
          </cell>
        </row>
        <row r="13">
          <cell r="D13" t="str">
            <v>石料</v>
          </cell>
          <cell r="E13">
            <v>1.610753151682973E-4</v>
          </cell>
          <cell r="F13">
            <v>1</v>
          </cell>
          <cell r="G13">
            <v>1</v>
          </cell>
          <cell r="H13">
            <v>1</v>
          </cell>
          <cell r="I13">
            <v>1.610753151682973E-4</v>
          </cell>
          <cell r="J13">
            <v>1.610753151682973E-4</v>
          </cell>
          <cell r="K13">
            <v>1.610753151682973E-4</v>
          </cell>
        </row>
        <row r="14">
          <cell r="D14" t="str">
            <v>铜矿</v>
          </cell>
          <cell r="E14">
            <v>1.610753151682973E-4</v>
          </cell>
          <cell r="F14">
            <v>1</v>
          </cell>
          <cell r="G14">
            <v>1</v>
          </cell>
          <cell r="H14">
            <v>1</v>
          </cell>
          <cell r="I14">
            <v>1.610753151682973E-4</v>
          </cell>
          <cell r="J14">
            <v>1.610753151682973E-4</v>
          </cell>
          <cell r="K14">
            <v>1.610753151682973E-4</v>
          </cell>
        </row>
        <row r="15">
          <cell r="D15" t="str">
            <v>铁矿</v>
          </cell>
          <cell r="E15">
            <v>3.5406023189030802E-4</v>
          </cell>
          <cell r="F15">
            <v>1</v>
          </cell>
          <cell r="G15">
            <v>1</v>
          </cell>
          <cell r="H15">
            <v>1</v>
          </cell>
          <cell r="I15">
            <v>3.5406023189030802E-4</v>
          </cell>
          <cell r="J15">
            <v>3.5406023189030802E-4</v>
          </cell>
          <cell r="K15">
            <v>3.5406023189030802E-4</v>
          </cell>
        </row>
        <row r="16">
          <cell r="D16" t="str">
            <v>刀币</v>
          </cell>
          <cell r="E16">
            <v>1.5625000000000001E-3</v>
          </cell>
          <cell r="F16">
            <v>1</v>
          </cell>
          <cell r="G16">
            <v>1</v>
          </cell>
          <cell r="H16">
            <v>1</v>
          </cell>
          <cell r="I16">
            <v>1.5625000000000001E-3</v>
          </cell>
          <cell r="J16">
            <v>1.5625000000000001E-3</v>
          </cell>
          <cell r="K16">
            <v>1.5625000000000001E-3</v>
          </cell>
        </row>
        <row r="17">
          <cell r="D17" t="str">
            <v>玉珏</v>
          </cell>
          <cell r="E17">
            <v>1</v>
          </cell>
          <cell r="F17">
            <v>1</v>
          </cell>
          <cell r="G17">
            <v>1</v>
          </cell>
          <cell r="H17">
            <v>1</v>
          </cell>
          <cell r="I17">
            <v>1</v>
          </cell>
          <cell r="J17">
            <v>1</v>
          </cell>
          <cell r="K17">
            <v>1</v>
          </cell>
        </row>
        <row r="18">
          <cell r="D18" t="str">
            <v>清剿令</v>
          </cell>
          <cell r="E18">
            <v>75</v>
          </cell>
          <cell r="F18">
            <v>1</v>
          </cell>
          <cell r="G18">
            <v>1</v>
          </cell>
          <cell r="H18">
            <v>1</v>
          </cell>
          <cell r="I18">
            <v>75</v>
          </cell>
          <cell r="J18">
            <v>75</v>
          </cell>
          <cell r="K18">
            <v>75</v>
          </cell>
        </row>
        <row r="19">
          <cell r="D19" t="str">
            <v>信物*2、武将碎片*10、黄金600三选一（600钻）</v>
          </cell>
          <cell r="E19">
            <v>600</v>
          </cell>
          <cell r="F19">
            <v>1</v>
          </cell>
          <cell r="G19">
            <v>1</v>
          </cell>
          <cell r="H19">
            <v>1</v>
          </cell>
          <cell r="I19">
            <v>600</v>
          </cell>
          <cell r="J19">
            <v>600</v>
          </cell>
          <cell r="K19">
            <v>600</v>
          </cell>
        </row>
        <row r="20">
          <cell r="D20" t="str">
            <v>蓝色门客</v>
          </cell>
          <cell r="E20">
            <v>1000</v>
          </cell>
          <cell r="F20">
            <v>1</v>
          </cell>
          <cell r="G20">
            <v>1</v>
          </cell>
          <cell r="H20">
            <v>1</v>
          </cell>
          <cell r="I20">
            <v>1000</v>
          </cell>
          <cell r="J20">
            <v>1000</v>
          </cell>
          <cell r="K20">
            <v>1000</v>
          </cell>
        </row>
        <row r="21">
          <cell r="D21" t="str">
            <v>紫色门客</v>
          </cell>
          <cell r="E21">
            <v>3000</v>
          </cell>
          <cell r="F21">
            <v>1</v>
          </cell>
          <cell r="G21">
            <v>1</v>
          </cell>
          <cell r="H21">
            <v>1</v>
          </cell>
          <cell r="I21">
            <v>3000</v>
          </cell>
          <cell r="J21">
            <v>3000</v>
          </cell>
          <cell r="K21">
            <v>3000</v>
          </cell>
        </row>
        <row r="22">
          <cell r="D22" t="str">
            <v>橙色门客</v>
          </cell>
          <cell r="E22">
            <v>8000</v>
          </cell>
          <cell r="F22">
            <v>1</v>
          </cell>
          <cell r="G22">
            <v>1</v>
          </cell>
          <cell r="H22">
            <v>1</v>
          </cell>
          <cell r="I22">
            <v>8000</v>
          </cell>
          <cell r="J22">
            <v>8000</v>
          </cell>
          <cell r="K22">
            <v>8000</v>
          </cell>
        </row>
        <row r="23">
          <cell r="D23" t="str">
            <v>红色门客</v>
          </cell>
          <cell r="E23">
            <v>20000</v>
          </cell>
          <cell r="F23">
            <v>1</v>
          </cell>
          <cell r="G23">
            <v>1</v>
          </cell>
          <cell r="H23">
            <v>1</v>
          </cell>
          <cell r="I23">
            <v>20000</v>
          </cell>
          <cell r="J23">
            <v>20000</v>
          </cell>
          <cell r="K23">
            <v>20000</v>
          </cell>
        </row>
        <row r="24">
          <cell r="D24" t="str">
            <v>紫色门客</v>
          </cell>
          <cell r="E24">
            <v>3000</v>
          </cell>
          <cell r="F24">
            <v>1</v>
          </cell>
          <cell r="G24">
            <v>1</v>
          </cell>
          <cell r="H24">
            <v>1</v>
          </cell>
          <cell r="I24" t="str">
            <v/>
          </cell>
          <cell r="J24" t="str">
            <v/>
          </cell>
          <cell r="K24" t="str">
            <v/>
          </cell>
        </row>
        <row r="25">
          <cell r="D25" t="str">
            <v>绿色军团馈赠</v>
          </cell>
          <cell r="E25">
            <v>20</v>
          </cell>
          <cell r="F25">
            <v>1</v>
          </cell>
          <cell r="G25">
            <v>1</v>
          </cell>
          <cell r="H25">
            <v>1</v>
          </cell>
          <cell r="I25">
            <v>20</v>
          </cell>
          <cell r="J25">
            <v>20</v>
          </cell>
          <cell r="K25">
            <v>20</v>
          </cell>
        </row>
        <row r="26">
          <cell r="D26" t="str">
            <v>蓝色军团馈赠</v>
          </cell>
          <cell r="E26">
            <v>100</v>
          </cell>
          <cell r="F26">
            <v>1</v>
          </cell>
          <cell r="G26">
            <v>1</v>
          </cell>
          <cell r="H26">
            <v>1</v>
          </cell>
          <cell r="I26">
            <v>100</v>
          </cell>
          <cell r="J26">
            <v>100</v>
          </cell>
          <cell r="K26">
            <v>100</v>
          </cell>
        </row>
        <row r="27">
          <cell r="D27" t="str">
            <v>紫色军团馈赠</v>
          </cell>
          <cell r="E27">
            <v>500</v>
          </cell>
          <cell r="F27">
            <v>1</v>
          </cell>
          <cell r="G27">
            <v>1</v>
          </cell>
          <cell r="H27">
            <v>1</v>
          </cell>
          <cell r="I27">
            <v>500</v>
          </cell>
          <cell r="J27">
            <v>500</v>
          </cell>
          <cell r="K27">
            <v>500</v>
          </cell>
        </row>
        <row r="28">
          <cell r="D28" t="str">
            <v>橙色军团馈赠</v>
          </cell>
          <cell r="E28">
            <v>2000</v>
          </cell>
          <cell r="F28">
            <v>1</v>
          </cell>
          <cell r="G28">
            <v>1</v>
          </cell>
          <cell r="H28">
            <v>1</v>
          </cell>
          <cell r="I28">
            <v>2000</v>
          </cell>
          <cell r="J28">
            <v>2000</v>
          </cell>
          <cell r="K28">
            <v>2000</v>
          </cell>
        </row>
        <row r="29">
          <cell r="D29" t="str">
            <v>蓝色军团馈赠</v>
          </cell>
          <cell r="E29">
            <v>100</v>
          </cell>
          <cell r="F29">
            <v>1</v>
          </cell>
          <cell r="G29">
            <v>1</v>
          </cell>
          <cell r="H29">
            <v>1</v>
          </cell>
          <cell r="I29" t="str">
            <v/>
          </cell>
          <cell r="J29" t="str">
            <v/>
          </cell>
          <cell r="K29" t="str">
            <v/>
          </cell>
        </row>
        <row r="30">
          <cell r="D30" t="str">
            <v>文心</v>
          </cell>
          <cell r="E30">
            <v>0.33333333333333331</v>
          </cell>
          <cell r="F30">
            <v>1</v>
          </cell>
          <cell r="G30">
            <v>1</v>
          </cell>
          <cell r="H30">
            <v>1</v>
          </cell>
          <cell r="I30">
            <v>0.33333333333333331</v>
          </cell>
          <cell r="J30">
            <v>0.33333333333333331</v>
          </cell>
          <cell r="K30">
            <v>0.33333333333333331</v>
          </cell>
          <cell r="L30" t="str">
            <v>宝物温养货币</v>
          </cell>
        </row>
        <row r="31">
          <cell r="D31" t="str">
            <v>宝鉴</v>
          </cell>
          <cell r="E31">
            <v>500</v>
          </cell>
          <cell r="F31">
            <v>1</v>
          </cell>
          <cell r="G31">
            <v>1</v>
          </cell>
          <cell r="H31">
            <v>1</v>
          </cell>
          <cell r="I31">
            <v>500</v>
          </cell>
          <cell r="J31">
            <v>500</v>
          </cell>
          <cell r="K31">
            <v>500</v>
          </cell>
          <cell r="L31" t="str">
            <v>鉴赏宝物属性</v>
          </cell>
        </row>
        <row r="32">
          <cell r="D32" t="str">
            <v>密藏之匙</v>
          </cell>
          <cell r="E32">
            <v>330</v>
          </cell>
          <cell r="F32">
            <v>1</v>
          </cell>
          <cell r="G32">
            <v>1</v>
          </cell>
          <cell r="H32">
            <v>1</v>
          </cell>
          <cell r="I32">
            <v>330</v>
          </cell>
          <cell r="J32">
            <v>330</v>
          </cell>
          <cell r="K32">
            <v>330</v>
          </cell>
          <cell r="L32" t="str">
            <v>宝物抽奖道具</v>
          </cell>
        </row>
        <row r="33">
          <cell r="D33" t="str">
            <v>宝物精华</v>
          </cell>
          <cell r="E33">
            <v>100</v>
          </cell>
          <cell r="F33">
            <v>1</v>
          </cell>
          <cell r="G33">
            <v>1</v>
          </cell>
          <cell r="H33">
            <v>1</v>
          </cell>
          <cell r="I33">
            <v>100</v>
          </cell>
          <cell r="J33">
            <v>100</v>
          </cell>
          <cell r="K33">
            <v>100</v>
          </cell>
          <cell r="L33" t="str">
            <v>宝物升星消耗货币</v>
          </cell>
        </row>
        <row r="34">
          <cell r="D34" t="str">
            <v>指定蓝色宝物</v>
          </cell>
          <cell r="E34">
            <v>100</v>
          </cell>
          <cell r="F34">
            <v>2.5</v>
          </cell>
          <cell r="G34">
            <v>2.5</v>
          </cell>
          <cell r="H34">
            <v>2.5</v>
          </cell>
          <cell r="I34">
            <v>250</v>
          </cell>
          <cell r="J34">
            <v>250</v>
          </cell>
          <cell r="K34">
            <v>250</v>
          </cell>
          <cell r="L34" t="str">
            <v>鉴赏宝物属性</v>
          </cell>
        </row>
        <row r="35">
          <cell r="D35" t="str">
            <v>指定紫色宝物</v>
          </cell>
          <cell r="E35">
            <v>500</v>
          </cell>
          <cell r="F35">
            <v>2.5</v>
          </cell>
          <cell r="G35">
            <v>2.5</v>
          </cell>
          <cell r="H35">
            <v>2.5</v>
          </cell>
          <cell r="I35">
            <v>1250</v>
          </cell>
          <cell r="J35">
            <v>1250</v>
          </cell>
          <cell r="K35">
            <v>1250</v>
          </cell>
          <cell r="L35" t="str">
            <v>宝物抽奖道具</v>
          </cell>
        </row>
        <row r="36">
          <cell r="D36" t="str">
            <v>指定橙色宝物</v>
          </cell>
          <cell r="E36">
            <v>4000</v>
          </cell>
          <cell r="F36">
            <v>2.5</v>
          </cell>
          <cell r="G36">
            <v>2.5</v>
          </cell>
          <cell r="H36">
            <v>2.5</v>
          </cell>
          <cell r="I36">
            <v>10000</v>
          </cell>
          <cell r="J36">
            <v>10000</v>
          </cell>
          <cell r="K36">
            <v>10000</v>
          </cell>
          <cell r="L36" t="str">
            <v>宝物升星消耗货币</v>
          </cell>
        </row>
        <row r="37">
          <cell r="D37" t="str">
            <v>指定橙+宝物</v>
          </cell>
          <cell r="E37">
            <v>20000</v>
          </cell>
          <cell r="F37">
            <v>2.5</v>
          </cell>
          <cell r="G37">
            <v>2.5</v>
          </cell>
          <cell r="H37">
            <v>2.5</v>
          </cell>
          <cell r="I37">
            <v>50000</v>
          </cell>
          <cell r="J37">
            <v>50000</v>
          </cell>
          <cell r="K37">
            <v>50000</v>
          </cell>
        </row>
        <row r="38">
          <cell r="D38" t="str">
            <v>指定橙色宝物碎片</v>
          </cell>
          <cell r="E38">
            <v>133.33333333333334</v>
          </cell>
          <cell r="F38">
            <v>2.5</v>
          </cell>
          <cell r="G38">
            <v>2.5</v>
          </cell>
          <cell r="H38">
            <v>2.5</v>
          </cell>
          <cell r="I38">
            <v>333.33333333333337</v>
          </cell>
          <cell r="J38">
            <v>333.33333333333337</v>
          </cell>
          <cell r="K38">
            <v>333.33333333333337</v>
          </cell>
        </row>
        <row r="39">
          <cell r="D39" t="str">
            <v>指定橙+宝物碎片</v>
          </cell>
          <cell r="E39">
            <v>666.66666666666663</v>
          </cell>
          <cell r="F39">
            <v>2.5</v>
          </cell>
          <cell r="G39">
            <v>2.5</v>
          </cell>
          <cell r="H39">
            <v>2.5</v>
          </cell>
          <cell r="I39">
            <v>1666.6666666666665</v>
          </cell>
          <cell r="J39">
            <v>1666.6666666666665</v>
          </cell>
          <cell r="K39">
            <v>1666.6666666666665</v>
          </cell>
        </row>
        <row r="40">
          <cell r="D40" t="str">
            <v>指定橙+宝物</v>
          </cell>
          <cell r="E40">
            <v>20000</v>
          </cell>
          <cell r="F40">
            <v>2.5</v>
          </cell>
          <cell r="G40">
            <v>2.5</v>
          </cell>
          <cell r="H40">
            <v>2.5</v>
          </cell>
          <cell r="I40" t="str">
            <v/>
          </cell>
          <cell r="J40" t="str">
            <v/>
          </cell>
          <cell r="K40" t="str">
            <v/>
          </cell>
        </row>
        <row r="41">
          <cell r="D41" t="str">
            <v>随机蓝色宝物</v>
          </cell>
          <cell r="E41">
            <v>100</v>
          </cell>
          <cell r="F41">
            <v>1</v>
          </cell>
          <cell r="G41">
            <v>1</v>
          </cell>
          <cell r="H41">
            <v>1</v>
          </cell>
          <cell r="I41">
            <v>100</v>
          </cell>
          <cell r="J41">
            <v>100</v>
          </cell>
          <cell r="K41">
            <v>100</v>
          </cell>
        </row>
        <row r="42">
          <cell r="D42" t="str">
            <v>随机紫色宝物</v>
          </cell>
          <cell r="E42">
            <v>500</v>
          </cell>
          <cell r="F42">
            <v>1</v>
          </cell>
          <cell r="G42">
            <v>1</v>
          </cell>
          <cell r="H42">
            <v>1</v>
          </cell>
          <cell r="I42">
            <v>500</v>
          </cell>
          <cell r="J42">
            <v>500</v>
          </cell>
          <cell r="K42">
            <v>500</v>
          </cell>
        </row>
        <row r="43">
          <cell r="D43" t="str">
            <v>随机橙色宝物</v>
          </cell>
          <cell r="E43">
            <v>2500</v>
          </cell>
          <cell r="F43">
            <v>1</v>
          </cell>
          <cell r="G43">
            <v>1</v>
          </cell>
          <cell r="H43">
            <v>1</v>
          </cell>
          <cell r="I43">
            <v>2500</v>
          </cell>
          <cell r="J43">
            <v>2500</v>
          </cell>
          <cell r="K43">
            <v>2500</v>
          </cell>
        </row>
        <row r="44">
          <cell r="D44" t="str">
            <v>随机橙+宝物</v>
          </cell>
          <cell r="E44">
            <v>10000</v>
          </cell>
          <cell r="F44">
            <v>1</v>
          </cell>
          <cell r="G44">
            <v>1</v>
          </cell>
          <cell r="H44">
            <v>1</v>
          </cell>
          <cell r="I44">
            <v>10000</v>
          </cell>
          <cell r="J44">
            <v>10000</v>
          </cell>
          <cell r="K44">
            <v>10000</v>
          </cell>
        </row>
        <row r="45">
          <cell r="D45" t="str">
            <v>随机紫色宝物碎片</v>
          </cell>
          <cell r="E45">
            <v>50</v>
          </cell>
          <cell r="F45">
            <v>1</v>
          </cell>
          <cell r="G45">
            <v>1</v>
          </cell>
          <cell r="H45">
            <v>1</v>
          </cell>
          <cell r="I45">
            <v>50</v>
          </cell>
          <cell r="J45">
            <v>50</v>
          </cell>
          <cell r="K45">
            <v>50</v>
          </cell>
        </row>
        <row r="46">
          <cell r="D46" t="str">
            <v>随机橙色宝物碎片</v>
          </cell>
          <cell r="E46">
            <v>83.333333333333329</v>
          </cell>
          <cell r="F46">
            <v>1</v>
          </cell>
          <cell r="G46">
            <v>1</v>
          </cell>
          <cell r="H46">
            <v>1</v>
          </cell>
          <cell r="I46">
            <v>83.333333333333329</v>
          </cell>
          <cell r="J46">
            <v>83.333333333333329</v>
          </cell>
          <cell r="K46">
            <v>83.333333333333329</v>
          </cell>
        </row>
        <row r="47">
          <cell r="D47" t="str">
            <v>随机橙+宝物碎片</v>
          </cell>
          <cell r="E47">
            <v>333.33333333333331</v>
          </cell>
          <cell r="F47">
            <v>1</v>
          </cell>
          <cell r="G47">
            <v>1</v>
          </cell>
          <cell r="H47">
            <v>1</v>
          </cell>
          <cell r="I47">
            <v>333.33333333333331</v>
          </cell>
          <cell r="J47">
            <v>333.33333333333331</v>
          </cell>
          <cell r="K47">
            <v>333.33333333333331</v>
          </cell>
        </row>
        <row r="48">
          <cell r="D48" t="str">
            <v>随机紫色宝物碎片</v>
          </cell>
          <cell r="E48">
            <v>50</v>
          </cell>
          <cell r="F48">
            <v>2.5</v>
          </cell>
          <cell r="G48">
            <v>2.5</v>
          </cell>
          <cell r="H48">
            <v>2.5</v>
          </cell>
          <cell r="I48" t="str">
            <v/>
          </cell>
          <cell r="J48" t="str">
            <v/>
          </cell>
          <cell r="K48" t="str">
            <v/>
          </cell>
          <cell r="L48" t="str">
            <v>配置成了30合1，所以价值为随机紫色宝物/30</v>
          </cell>
        </row>
        <row r="49">
          <cell r="D49" t="str">
            <v>紫色藏宝图</v>
          </cell>
          <cell r="E49">
            <v>137.5</v>
          </cell>
          <cell r="F49">
            <v>1</v>
          </cell>
          <cell r="G49">
            <v>1</v>
          </cell>
          <cell r="H49">
            <v>1</v>
          </cell>
          <cell r="I49">
            <v>137.5</v>
          </cell>
          <cell r="J49">
            <v>137.5</v>
          </cell>
          <cell r="K49">
            <v>137.5</v>
          </cell>
        </row>
        <row r="50">
          <cell r="D50" t="str">
            <v>紫色藏宝图碎片</v>
          </cell>
          <cell r="E50">
            <v>13.75</v>
          </cell>
          <cell r="F50">
            <v>1</v>
          </cell>
          <cell r="G50">
            <v>1</v>
          </cell>
          <cell r="H50">
            <v>1</v>
          </cell>
          <cell r="I50">
            <v>13.75</v>
          </cell>
          <cell r="J50">
            <v>13.75</v>
          </cell>
          <cell r="K50">
            <v>13.75</v>
          </cell>
        </row>
        <row r="51">
          <cell r="I51" t="str">
            <v/>
          </cell>
          <cell r="J51" t="str">
            <v/>
          </cell>
          <cell r="K51" t="str">
            <v/>
          </cell>
        </row>
        <row r="52">
          <cell r="D52" t="str">
            <v>紫色皮肤</v>
          </cell>
          <cell r="E52">
            <v>6000</v>
          </cell>
          <cell r="F52">
            <v>1</v>
          </cell>
          <cell r="G52">
            <v>1</v>
          </cell>
          <cell r="H52">
            <v>1</v>
          </cell>
          <cell r="I52">
            <v>6000</v>
          </cell>
          <cell r="J52">
            <v>6000</v>
          </cell>
          <cell r="K52">
            <v>6000</v>
          </cell>
        </row>
        <row r="53">
          <cell r="D53" t="str">
            <v>橙色皮肤</v>
          </cell>
          <cell r="E53">
            <v>16000</v>
          </cell>
          <cell r="F53">
            <v>1</v>
          </cell>
          <cell r="G53">
            <v>1</v>
          </cell>
          <cell r="H53">
            <v>1</v>
          </cell>
          <cell r="I53">
            <v>16000</v>
          </cell>
          <cell r="J53">
            <v>16000</v>
          </cell>
          <cell r="K53">
            <v>16000</v>
          </cell>
        </row>
        <row r="54">
          <cell r="D54" t="str">
            <v>红色皮肤</v>
          </cell>
          <cell r="E54">
            <v>60000</v>
          </cell>
          <cell r="F54">
            <v>1.3333333333333333</v>
          </cell>
          <cell r="G54">
            <v>1.3333333333333333</v>
          </cell>
          <cell r="H54">
            <v>1.3333333333333333</v>
          </cell>
          <cell r="I54">
            <v>80000</v>
          </cell>
          <cell r="J54">
            <v>80000</v>
          </cell>
          <cell r="K54">
            <v>80000</v>
          </cell>
        </row>
        <row r="55">
          <cell r="D55" t="str">
            <v>红色皮肤碎片</v>
          </cell>
          <cell r="E55">
            <v>1200</v>
          </cell>
          <cell r="F55">
            <v>1.3333333333333333</v>
          </cell>
          <cell r="G55">
            <v>1.3333333333333333</v>
          </cell>
          <cell r="H55">
            <v>1.3333333333333333</v>
          </cell>
          <cell r="I55">
            <v>1600</v>
          </cell>
          <cell r="J55">
            <v>1600</v>
          </cell>
          <cell r="K55">
            <v>1600</v>
          </cell>
        </row>
        <row r="56">
          <cell r="I56" t="str">
            <v/>
          </cell>
          <cell r="J56" t="str">
            <v/>
          </cell>
          <cell r="K56" t="str">
            <v/>
          </cell>
        </row>
        <row r="57">
          <cell r="D57" t="str">
            <v>一阶特性材料</v>
          </cell>
          <cell r="E57">
            <v>1000</v>
          </cell>
          <cell r="F57">
            <v>1</v>
          </cell>
          <cell r="G57">
            <v>1</v>
          </cell>
          <cell r="H57">
            <v>1</v>
          </cell>
          <cell r="I57">
            <v>1000</v>
          </cell>
          <cell r="J57">
            <v>1000</v>
          </cell>
          <cell r="K57">
            <v>1000</v>
          </cell>
        </row>
        <row r="58">
          <cell r="D58" t="str">
            <v>二阶特性材料</v>
          </cell>
          <cell r="E58">
            <v>2000</v>
          </cell>
          <cell r="F58">
            <v>1</v>
          </cell>
          <cell r="G58">
            <v>1</v>
          </cell>
          <cell r="H58">
            <v>1</v>
          </cell>
          <cell r="I58">
            <v>2000</v>
          </cell>
          <cell r="J58">
            <v>2000</v>
          </cell>
          <cell r="K58">
            <v>2000</v>
          </cell>
        </row>
        <row r="59">
          <cell r="D59" t="str">
            <v>三阶特性材料</v>
          </cell>
          <cell r="E59">
            <v>8000</v>
          </cell>
          <cell r="F59">
            <v>1</v>
          </cell>
          <cell r="G59">
            <v>1</v>
          </cell>
          <cell r="H59">
            <v>1</v>
          </cell>
          <cell r="I59">
            <v>8000</v>
          </cell>
          <cell r="J59">
            <v>8000</v>
          </cell>
          <cell r="K59">
            <v>8000</v>
          </cell>
        </row>
        <row r="60">
          <cell r="D60" t="str">
            <v>红色皮肤碎片</v>
          </cell>
          <cell r="E60">
            <v>1200</v>
          </cell>
          <cell r="F60">
            <v>1.3333333333333333</v>
          </cell>
          <cell r="G60">
            <v>1.3333333333333333</v>
          </cell>
          <cell r="H60">
            <v>1.3333333333333333</v>
          </cell>
          <cell r="I60" t="str">
            <v/>
          </cell>
          <cell r="J60" t="str">
            <v/>
          </cell>
          <cell r="K60" t="str">
            <v/>
          </cell>
        </row>
        <row r="61">
          <cell r="D61" t="str">
            <v>高级免战牌</v>
          </cell>
          <cell r="E61">
            <v>400</v>
          </cell>
          <cell r="F61">
            <v>1</v>
          </cell>
          <cell r="G61">
            <v>1</v>
          </cell>
          <cell r="H61">
            <v>1</v>
          </cell>
          <cell r="I61">
            <v>400</v>
          </cell>
          <cell r="J61">
            <v>400</v>
          </cell>
          <cell r="K61">
            <v>400</v>
          </cell>
        </row>
        <row r="62">
          <cell r="D62" t="str">
            <v>特级免战牌</v>
          </cell>
          <cell r="E62">
            <v>1500</v>
          </cell>
          <cell r="F62">
            <v>1</v>
          </cell>
          <cell r="G62">
            <v>1</v>
          </cell>
          <cell r="H62">
            <v>1</v>
          </cell>
          <cell r="I62">
            <v>1500</v>
          </cell>
          <cell r="J62">
            <v>1500</v>
          </cell>
          <cell r="K62">
            <v>1500</v>
          </cell>
        </row>
        <row r="63">
          <cell r="D63" t="str">
            <v>上将印</v>
          </cell>
          <cell r="E63">
            <v>2000</v>
          </cell>
          <cell r="F63">
            <v>1</v>
          </cell>
          <cell r="G63">
            <v>1</v>
          </cell>
          <cell r="H63">
            <v>1</v>
          </cell>
          <cell r="I63" t="str">
            <v/>
          </cell>
          <cell r="J63" t="str">
            <v/>
          </cell>
          <cell r="K63" t="str">
            <v/>
          </cell>
        </row>
        <row r="64">
          <cell r="D64" t="str">
            <v>指定or任选紫色兵法碎片</v>
          </cell>
          <cell r="E64">
            <v>75</v>
          </cell>
          <cell r="F64">
            <v>1</v>
          </cell>
          <cell r="G64">
            <v>1</v>
          </cell>
          <cell r="H64">
            <v>1</v>
          </cell>
          <cell r="I64">
            <v>75</v>
          </cell>
          <cell r="J64">
            <v>75</v>
          </cell>
          <cell r="K64">
            <v>75</v>
          </cell>
        </row>
        <row r="65">
          <cell r="D65" t="str">
            <v>指定or任选橙色兵法碎片</v>
          </cell>
          <cell r="E65">
            <v>111.66666666666667</v>
          </cell>
          <cell r="F65">
            <v>1</v>
          </cell>
          <cell r="G65">
            <v>1</v>
          </cell>
          <cell r="H65">
            <v>1</v>
          </cell>
          <cell r="I65">
            <v>111.66666666666667</v>
          </cell>
          <cell r="J65">
            <v>111.66666666666667</v>
          </cell>
          <cell r="K65">
            <v>111.66666666666667</v>
          </cell>
          <cell r="L65" t="str">
            <v>凑齐30个碎片可以合成1个将军印，可用于解锁武将的第四个特性</v>
          </cell>
        </row>
        <row r="66">
          <cell r="D66" t="str">
            <v>指定or任选橙+兵法碎片</v>
          </cell>
          <cell r="E66">
            <v>305.5</v>
          </cell>
          <cell r="F66">
            <v>1</v>
          </cell>
          <cell r="G66">
            <v>1</v>
          </cell>
          <cell r="H66">
            <v>1</v>
          </cell>
          <cell r="I66">
            <v>305.5</v>
          </cell>
          <cell r="J66">
            <v>305.5</v>
          </cell>
          <cell r="K66">
            <v>305.5</v>
          </cell>
          <cell r="L66" t="str">
            <v>凑齐30个碎片可以合成1个上将印，可用于升级武将的第四个特性</v>
          </cell>
        </row>
        <row r="67">
          <cell r="D67" t="str">
            <v>统帅印碎片</v>
          </cell>
          <cell r="E67">
            <v>266.66666666666669</v>
          </cell>
          <cell r="F67">
            <v>1</v>
          </cell>
          <cell r="G67">
            <v>1</v>
          </cell>
          <cell r="H67">
            <v>1</v>
          </cell>
          <cell r="I67" t="str">
            <v/>
          </cell>
          <cell r="J67" t="str">
            <v/>
          </cell>
          <cell r="K67" t="str">
            <v/>
          </cell>
          <cell r="L67" t="str">
            <v>凑齐30个碎片可以合成1个统帅印，可用于升级武将的第四个特性</v>
          </cell>
        </row>
        <row r="68">
          <cell r="D68" t="str">
            <v>红色装备自选碎片</v>
          </cell>
          <cell r="E68">
            <v>144</v>
          </cell>
          <cell r="F68">
            <v>1</v>
          </cell>
          <cell r="G68">
            <v>1</v>
          </cell>
          <cell r="H68">
            <v>1</v>
          </cell>
          <cell r="I68">
            <v>144</v>
          </cell>
          <cell r="J68">
            <v>144</v>
          </cell>
          <cell r="K68">
            <v>144</v>
          </cell>
        </row>
        <row r="69">
          <cell r="D69" t="str">
            <v>红+装备自选碎片</v>
          </cell>
          <cell r="E69">
            <v>288</v>
          </cell>
          <cell r="F69">
            <v>1.56</v>
          </cell>
          <cell r="G69">
            <v>1.56</v>
          </cell>
          <cell r="H69">
            <v>1.56</v>
          </cell>
          <cell r="I69">
            <v>449.28000000000003</v>
          </cell>
          <cell r="J69">
            <v>449.28000000000003</v>
          </cell>
          <cell r="K69">
            <v>449.28000000000003</v>
          </cell>
        </row>
        <row r="70">
          <cell r="D70" t="str">
            <v>特级免战牌</v>
          </cell>
          <cell r="E70">
            <v>1500</v>
          </cell>
          <cell r="F70">
            <v>1</v>
          </cell>
          <cell r="G70">
            <v>1</v>
          </cell>
          <cell r="H70">
            <v>1</v>
          </cell>
          <cell r="I70" t="str">
            <v/>
          </cell>
          <cell r="J70" t="str">
            <v/>
          </cell>
          <cell r="K70" t="str">
            <v/>
          </cell>
        </row>
        <row r="71">
          <cell r="D71" t="str">
            <v>绿色军团馈赠</v>
          </cell>
          <cell r="E71">
            <v>20</v>
          </cell>
          <cell r="F71">
            <v>1</v>
          </cell>
          <cell r="G71">
            <v>1</v>
          </cell>
          <cell r="H71">
            <v>1</v>
          </cell>
          <cell r="I71">
            <v>20</v>
          </cell>
          <cell r="J71">
            <v>20</v>
          </cell>
          <cell r="K71">
            <v>20</v>
          </cell>
        </row>
        <row r="72">
          <cell r="D72" t="str">
            <v>蓝色军团馈赠</v>
          </cell>
          <cell r="E72">
            <v>100</v>
          </cell>
          <cell r="F72">
            <v>1</v>
          </cell>
          <cell r="G72">
            <v>1</v>
          </cell>
          <cell r="H72">
            <v>1</v>
          </cell>
          <cell r="I72">
            <v>100</v>
          </cell>
          <cell r="J72">
            <v>100</v>
          </cell>
          <cell r="K72">
            <v>100</v>
          </cell>
        </row>
        <row r="73">
          <cell r="D73" t="str">
            <v>紫色军团馈赠</v>
          </cell>
          <cell r="E73">
            <v>500</v>
          </cell>
          <cell r="F73">
            <v>1</v>
          </cell>
          <cell r="G73">
            <v>1</v>
          </cell>
          <cell r="H73">
            <v>1</v>
          </cell>
          <cell r="I73">
            <v>500</v>
          </cell>
          <cell r="J73">
            <v>500</v>
          </cell>
          <cell r="K73">
            <v>500</v>
          </cell>
        </row>
        <row r="74">
          <cell r="D74" t="str">
            <v>橙色军团馈赠</v>
          </cell>
          <cell r="E74">
            <v>2000</v>
          </cell>
          <cell r="F74">
            <v>1</v>
          </cell>
          <cell r="G74">
            <v>1</v>
          </cell>
          <cell r="H74">
            <v>1</v>
          </cell>
          <cell r="I74">
            <v>2000</v>
          </cell>
          <cell r="J74">
            <v>2000</v>
          </cell>
          <cell r="K74">
            <v>2000</v>
          </cell>
        </row>
        <row r="75">
          <cell r="I75" t="str">
            <v/>
          </cell>
          <cell r="J75" t="str">
            <v/>
          </cell>
          <cell r="K75" t="str">
            <v/>
          </cell>
        </row>
        <row r="76">
          <cell r="C76">
            <v>21001</v>
          </cell>
          <cell r="D76" t="str">
            <v>一担粮食</v>
          </cell>
          <cell r="E76">
            <v>6</v>
          </cell>
          <cell r="F76">
            <v>1</v>
          </cell>
          <cell r="G76">
            <v>1</v>
          </cell>
          <cell r="H76">
            <v>1</v>
          </cell>
          <cell r="I76">
            <v>6</v>
          </cell>
          <cell r="J76">
            <v>6</v>
          </cell>
          <cell r="K76">
            <v>6</v>
          </cell>
          <cell r="L76" t="str">
            <v>使用后获得10000安全粮食</v>
          </cell>
        </row>
        <row r="77">
          <cell r="C77">
            <v>21002</v>
          </cell>
          <cell r="D77" t="str">
            <v>一堆粮食</v>
          </cell>
          <cell r="E77">
            <v>20</v>
          </cell>
          <cell r="F77">
            <v>1</v>
          </cell>
          <cell r="G77">
            <v>1</v>
          </cell>
          <cell r="H77">
            <v>1</v>
          </cell>
          <cell r="I77">
            <v>20</v>
          </cell>
          <cell r="J77">
            <v>20</v>
          </cell>
          <cell r="K77">
            <v>20</v>
          </cell>
          <cell r="L77" t="str">
            <v>使用后获得50000安全粮食</v>
          </cell>
        </row>
        <row r="78">
          <cell r="C78">
            <v>21003</v>
          </cell>
          <cell r="D78" t="str">
            <v>一箱粮食</v>
          </cell>
          <cell r="E78">
            <v>45</v>
          </cell>
          <cell r="F78">
            <v>1.333</v>
          </cell>
          <cell r="G78">
            <v>1</v>
          </cell>
          <cell r="H78">
            <v>1</v>
          </cell>
          <cell r="I78">
            <v>59.984999999999999</v>
          </cell>
          <cell r="J78">
            <v>45</v>
          </cell>
          <cell r="K78">
            <v>45</v>
          </cell>
          <cell r="L78" t="str">
            <v>使用后获得150000安全粮食</v>
          </cell>
        </row>
        <row r="79">
          <cell r="C79">
            <v>21004</v>
          </cell>
          <cell r="D79" t="str">
            <v>一车粮食</v>
          </cell>
          <cell r="E79">
            <v>100</v>
          </cell>
          <cell r="F79">
            <v>2</v>
          </cell>
          <cell r="G79">
            <v>1.5</v>
          </cell>
          <cell r="H79">
            <v>1</v>
          </cell>
          <cell r="I79">
            <v>200</v>
          </cell>
          <cell r="J79">
            <v>150</v>
          </cell>
          <cell r="K79">
            <v>100</v>
          </cell>
          <cell r="L79" t="str">
            <v>使用后获得500000安全粮食</v>
          </cell>
        </row>
        <row r="80">
          <cell r="C80">
            <v>21005</v>
          </cell>
          <cell r="D80" t="str">
            <v>一担木材</v>
          </cell>
          <cell r="E80">
            <v>6</v>
          </cell>
          <cell r="F80">
            <v>1</v>
          </cell>
          <cell r="G80">
            <v>1</v>
          </cell>
          <cell r="H80">
            <v>1</v>
          </cell>
          <cell r="I80">
            <v>6</v>
          </cell>
          <cell r="J80">
            <v>6</v>
          </cell>
          <cell r="K80">
            <v>6</v>
          </cell>
          <cell r="L80" t="str">
            <v>使用后获得10000安全木材</v>
          </cell>
        </row>
        <row r="81">
          <cell r="C81">
            <v>21006</v>
          </cell>
          <cell r="D81" t="str">
            <v>一堆木材</v>
          </cell>
          <cell r="E81">
            <v>20</v>
          </cell>
          <cell r="F81">
            <v>1</v>
          </cell>
          <cell r="G81">
            <v>1</v>
          </cell>
          <cell r="H81">
            <v>1</v>
          </cell>
          <cell r="I81">
            <v>20</v>
          </cell>
          <cell r="J81">
            <v>20</v>
          </cell>
          <cell r="K81">
            <v>20</v>
          </cell>
          <cell r="L81" t="str">
            <v>使用后获得50000安全木材</v>
          </cell>
        </row>
        <row r="82">
          <cell r="C82">
            <v>21007</v>
          </cell>
          <cell r="D82" t="str">
            <v>一箱木材</v>
          </cell>
          <cell r="E82">
            <v>45</v>
          </cell>
          <cell r="F82">
            <v>1.333</v>
          </cell>
          <cell r="G82">
            <v>1</v>
          </cell>
          <cell r="H82">
            <v>1</v>
          </cell>
          <cell r="I82">
            <v>59.984999999999999</v>
          </cell>
          <cell r="J82">
            <v>45</v>
          </cell>
          <cell r="K82">
            <v>45</v>
          </cell>
          <cell r="L82" t="str">
            <v>使用后获得150000安全木材</v>
          </cell>
        </row>
        <row r="83">
          <cell r="C83">
            <v>21008</v>
          </cell>
          <cell r="D83" t="str">
            <v>一车木材</v>
          </cell>
          <cell r="E83">
            <v>100</v>
          </cell>
          <cell r="F83">
            <v>2</v>
          </cell>
          <cell r="G83">
            <v>1.5</v>
          </cell>
          <cell r="H83">
            <v>1</v>
          </cell>
          <cell r="I83">
            <v>200</v>
          </cell>
          <cell r="J83">
            <v>150</v>
          </cell>
          <cell r="K83">
            <v>100</v>
          </cell>
          <cell r="L83" t="str">
            <v>使用后获得500000安全木材</v>
          </cell>
        </row>
        <row r="84">
          <cell r="C84">
            <v>21009</v>
          </cell>
          <cell r="D84" t="str">
            <v>一担石料</v>
          </cell>
          <cell r="E84">
            <v>6</v>
          </cell>
          <cell r="F84">
            <v>1</v>
          </cell>
          <cell r="G84">
            <v>1</v>
          </cell>
          <cell r="H84">
            <v>1</v>
          </cell>
          <cell r="I84">
            <v>6</v>
          </cell>
          <cell r="J84">
            <v>6</v>
          </cell>
          <cell r="K84">
            <v>6</v>
          </cell>
          <cell r="L84" t="str">
            <v>使用后获得10000安全石料</v>
          </cell>
        </row>
        <row r="85">
          <cell r="C85">
            <v>21010</v>
          </cell>
          <cell r="D85" t="str">
            <v>一堆石料</v>
          </cell>
          <cell r="E85">
            <v>20</v>
          </cell>
          <cell r="F85">
            <v>1</v>
          </cell>
          <cell r="G85">
            <v>1</v>
          </cell>
          <cell r="H85">
            <v>1</v>
          </cell>
          <cell r="I85">
            <v>20</v>
          </cell>
          <cell r="J85">
            <v>20</v>
          </cell>
          <cell r="K85">
            <v>20</v>
          </cell>
          <cell r="L85" t="str">
            <v>使用后获得50000安全石料</v>
          </cell>
        </row>
        <row r="86">
          <cell r="C86">
            <v>21011</v>
          </cell>
          <cell r="D86" t="str">
            <v>一箱石料</v>
          </cell>
          <cell r="E86">
            <v>45</v>
          </cell>
          <cell r="F86">
            <v>1.333</v>
          </cell>
          <cell r="G86">
            <v>1</v>
          </cell>
          <cell r="H86">
            <v>1</v>
          </cell>
          <cell r="I86">
            <v>59.984999999999999</v>
          </cell>
          <cell r="J86">
            <v>45</v>
          </cell>
          <cell r="K86">
            <v>45</v>
          </cell>
          <cell r="L86" t="str">
            <v>使用后获得150000安全石料</v>
          </cell>
        </row>
        <row r="87">
          <cell r="C87">
            <v>21012</v>
          </cell>
          <cell r="D87" t="str">
            <v>一车石料</v>
          </cell>
          <cell r="E87">
            <v>100</v>
          </cell>
          <cell r="F87">
            <v>2</v>
          </cell>
          <cell r="G87">
            <v>1.5</v>
          </cell>
          <cell r="H87">
            <v>1</v>
          </cell>
          <cell r="I87">
            <v>200</v>
          </cell>
          <cell r="J87">
            <v>150</v>
          </cell>
          <cell r="K87">
            <v>100</v>
          </cell>
          <cell r="L87" t="str">
            <v>使用后获得500000安全石料</v>
          </cell>
        </row>
        <row r="88">
          <cell r="C88">
            <v>21013</v>
          </cell>
          <cell r="D88" t="str">
            <v>一担铁矿</v>
          </cell>
          <cell r="E88">
            <v>12</v>
          </cell>
          <cell r="F88">
            <v>1</v>
          </cell>
          <cell r="G88">
            <v>1</v>
          </cell>
          <cell r="H88">
            <v>1</v>
          </cell>
          <cell r="I88">
            <v>12</v>
          </cell>
          <cell r="J88">
            <v>12</v>
          </cell>
          <cell r="K88">
            <v>12</v>
          </cell>
          <cell r="L88" t="str">
            <v>使用后获得10000安全铁矿</v>
          </cell>
        </row>
        <row r="89">
          <cell r="C89">
            <v>21014</v>
          </cell>
          <cell r="D89" t="str">
            <v>一堆铁矿</v>
          </cell>
          <cell r="E89">
            <v>40</v>
          </cell>
          <cell r="F89">
            <v>1</v>
          </cell>
          <cell r="G89">
            <v>1</v>
          </cell>
          <cell r="H89">
            <v>1</v>
          </cell>
          <cell r="I89">
            <v>40</v>
          </cell>
          <cell r="J89">
            <v>40</v>
          </cell>
          <cell r="K89">
            <v>40</v>
          </cell>
          <cell r="L89" t="str">
            <v>使用后获得50000安全铁矿</v>
          </cell>
        </row>
        <row r="90">
          <cell r="C90">
            <v>21015</v>
          </cell>
          <cell r="D90" t="str">
            <v>一箱铁矿</v>
          </cell>
          <cell r="E90">
            <v>90</v>
          </cell>
          <cell r="F90">
            <v>1.333</v>
          </cell>
          <cell r="G90">
            <v>1</v>
          </cell>
          <cell r="H90">
            <v>1</v>
          </cell>
          <cell r="I90">
            <v>119.97</v>
          </cell>
          <cell r="J90">
            <v>90</v>
          </cell>
          <cell r="K90">
            <v>90</v>
          </cell>
          <cell r="L90" t="str">
            <v>使用后获得150000安全铁矿</v>
          </cell>
        </row>
        <row r="91">
          <cell r="C91">
            <v>21016</v>
          </cell>
          <cell r="D91" t="str">
            <v>一车铁矿</v>
          </cell>
          <cell r="E91">
            <v>200</v>
          </cell>
          <cell r="F91">
            <v>2</v>
          </cell>
          <cell r="G91">
            <v>1.5</v>
          </cell>
          <cell r="H91">
            <v>1</v>
          </cell>
          <cell r="I91">
            <v>400</v>
          </cell>
          <cell r="J91">
            <v>300</v>
          </cell>
          <cell r="K91">
            <v>200</v>
          </cell>
          <cell r="L91" t="str">
            <v>使用后获得500000安全铁矿</v>
          </cell>
        </row>
        <row r="92">
          <cell r="C92">
            <v>21017</v>
          </cell>
          <cell r="D92" t="str">
            <v>一担铜矿</v>
          </cell>
          <cell r="E92">
            <v>6</v>
          </cell>
          <cell r="F92">
            <v>1</v>
          </cell>
          <cell r="G92">
            <v>1</v>
          </cell>
          <cell r="H92">
            <v>1</v>
          </cell>
          <cell r="I92">
            <v>6</v>
          </cell>
          <cell r="J92">
            <v>6</v>
          </cell>
          <cell r="K92">
            <v>6</v>
          </cell>
          <cell r="L92" t="str">
            <v>使用后获得10000安全铜矿</v>
          </cell>
        </row>
        <row r="93">
          <cell r="C93">
            <v>21018</v>
          </cell>
          <cell r="D93" t="str">
            <v>一堆铜矿</v>
          </cell>
          <cell r="E93">
            <v>20</v>
          </cell>
          <cell r="F93">
            <v>1</v>
          </cell>
          <cell r="G93">
            <v>1</v>
          </cell>
          <cell r="H93">
            <v>1</v>
          </cell>
          <cell r="I93">
            <v>20</v>
          </cell>
          <cell r="J93">
            <v>20</v>
          </cell>
          <cell r="K93">
            <v>20</v>
          </cell>
          <cell r="L93" t="str">
            <v>使用后获得50000安全铜矿</v>
          </cell>
        </row>
        <row r="94">
          <cell r="C94">
            <v>21019</v>
          </cell>
          <cell r="D94" t="str">
            <v>一箱铜矿</v>
          </cell>
          <cell r="E94">
            <v>45</v>
          </cell>
          <cell r="F94">
            <v>1.333</v>
          </cell>
          <cell r="G94">
            <v>1</v>
          </cell>
          <cell r="H94">
            <v>1</v>
          </cell>
          <cell r="I94">
            <v>59.984999999999999</v>
          </cell>
          <cell r="J94">
            <v>45</v>
          </cell>
          <cell r="K94">
            <v>45</v>
          </cell>
          <cell r="L94" t="str">
            <v>使用后获得150000安全铜矿</v>
          </cell>
        </row>
        <row r="95">
          <cell r="C95">
            <v>21020</v>
          </cell>
          <cell r="D95" t="str">
            <v>一车铜矿</v>
          </cell>
          <cell r="E95">
            <v>100</v>
          </cell>
          <cell r="F95">
            <v>2</v>
          </cell>
          <cell r="G95">
            <v>1.5</v>
          </cell>
          <cell r="H95">
            <v>1</v>
          </cell>
          <cell r="I95">
            <v>200</v>
          </cell>
          <cell r="J95">
            <v>150</v>
          </cell>
          <cell r="K95">
            <v>100</v>
          </cell>
          <cell r="L95" t="str">
            <v>使用后获得500000安全铜矿</v>
          </cell>
        </row>
        <row r="96">
          <cell r="C96">
            <v>21021</v>
          </cell>
          <cell r="D96" t="str">
            <v>一吊刀币</v>
          </cell>
          <cell r="E96">
            <v>50</v>
          </cell>
          <cell r="F96">
            <v>1</v>
          </cell>
          <cell r="G96">
            <v>1</v>
          </cell>
          <cell r="H96">
            <v>1</v>
          </cell>
          <cell r="I96">
            <v>50</v>
          </cell>
          <cell r="J96">
            <v>50</v>
          </cell>
          <cell r="K96">
            <v>50</v>
          </cell>
          <cell r="L96" t="str">
            <v>使用后获得10000刀币</v>
          </cell>
        </row>
        <row r="97">
          <cell r="C97">
            <v>21022</v>
          </cell>
          <cell r="D97" t="str">
            <v>一贯刀币</v>
          </cell>
          <cell r="E97">
            <v>150</v>
          </cell>
          <cell r="F97">
            <v>1</v>
          </cell>
          <cell r="G97">
            <v>1</v>
          </cell>
          <cell r="H97">
            <v>1</v>
          </cell>
          <cell r="I97">
            <v>150</v>
          </cell>
          <cell r="J97">
            <v>150</v>
          </cell>
          <cell r="K97">
            <v>150</v>
          </cell>
          <cell r="L97" t="str">
            <v>使用后获得50000刀币</v>
          </cell>
        </row>
        <row r="98">
          <cell r="C98">
            <v>21023</v>
          </cell>
          <cell r="D98" t="str">
            <v>一袋刀币</v>
          </cell>
          <cell r="E98">
            <v>300</v>
          </cell>
          <cell r="F98">
            <v>1.5</v>
          </cell>
          <cell r="G98">
            <v>1</v>
          </cell>
          <cell r="H98">
            <v>1</v>
          </cell>
          <cell r="I98">
            <v>450</v>
          </cell>
          <cell r="J98">
            <v>300</v>
          </cell>
          <cell r="K98">
            <v>300</v>
          </cell>
          <cell r="L98" t="str">
            <v>使用后获得150000刀币</v>
          </cell>
        </row>
        <row r="99">
          <cell r="C99" t="str">
            <v/>
          </cell>
          <cell r="D99" t="str">
            <v/>
          </cell>
          <cell r="E99">
            <v>800</v>
          </cell>
          <cell r="F99">
            <v>1.875</v>
          </cell>
          <cell r="G99">
            <v>1.25</v>
          </cell>
          <cell r="H99">
            <v>1</v>
          </cell>
          <cell r="I99">
            <v>1500</v>
          </cell>
          <cell r="J99">
            <v>1000</v>
          </cell>
          <cell r="K99">
            <v>800</v>
          </cell>
          <cell r="L99" t="str">
            <v>使用后获得500000刀币</v>
          </cell>
        </row>
        <row r="100">
          <cell r="C100">
            <v>21024</v>
          </cell>
          <cell r="D100" t="str">
            <v>普通资源自选宝箱</v>
          </cell>
          <cell r="E100">
            <v>6</v>
          </cell>
          <cell r="F100">
            <v>1</v>
          </cell>
          <cell r="G100">
            <v>1</v>
          </cell>
          <cell r="H100">
            <v>1</v>
          </cell>
          <cell r="I100">
            <v>6</v>
          </cell>
          <cell r="J100">
            <v>6</v>
          </cell>
          <cell r="K100">
            <v>6</v>
          </cell>
          <cell r="L100" t="str">
            <v>使用后可选择获得10000资源(可选择资源类型：粮食、木材、石料和铜矿)</v>
          </cell>
        </row>
        <row r="101">
          <cell r="C101">
            <v>21025</v>
          </cell>
          <cell r="D101" t="str">
            <v>初级资源自选宝箱</v>
          </cell>
          <cell r="E101">
            <v>20</v>
          </cell>
          <cell r="F101">
            <v>1</v>
          </cell>
          <cell r="G101">
            <v>1</v>
          </cell>
          <cell r="H101">
            <v>1</v>
          </cell>
          <cell r="I101">
            <v>20</v>
          </cell>
          <cell r="J101">
            <v>20</v>
          </cell>
          <cell r="K101">
            <v>20</v>
          </cell>
          <cell r="L101" t="str">
            <v>使用后可选择获得50000资源(可选择资源类型：粮食、木材、石料和铜矿)</v>
          </cell>
        </row>
        <row r="102">
          <cell r="C102">
            <v>21026</v>
          </cell>
          <cell r="D102" t="str">
            <v>中级资源自选宝箱</v>
          </cell>
          <cell r="E102">
            <v>45</v>
          </cell>
          <cell r="F102">
            <v>1.333</v>
          </cell>
          <cell r="G102">
            <v>1</v>
          </cell>
          <cell r="H102">
            <v>1</v>
          </cell>
          <cell r="I102">
            <v>59.984999999999999</v>
          </cell>
          <cell r="J102">
            <v>45</v>
          </cell>
          <cell r="K102">
            <v>45</v>
          </cell>
          <cell r="L102" t="str">
            <v>使用后可选择获得150000资源(可选择资源类型：粮食、木材、石料和铜矿)</v>
          </cell>
        </row>
        <row r="103">
          <cell r="C103">
            <v>21027</v>
          </cell>
          <cell r="D103" t="str">
            <v>高级资源自选宝箱</v>
          </cell>
          <cell r="E103">
            <v>100</v>
          </cell>
          <cell r="F103">
            <v>2</v>
          </cell>
          <cell r="G103">
            <v>1.5</v>
          </cell>
          <cell r="H103">
            <v>1</v>
          </cell>
          <cell r="I103">
            <v>200</v>
          </cell>
          <cell r="J103">
            <v>150</v>
          </cell>
          <cell r="K103">
            <v>100</v>
          </cell>
          <cell r="L103" t="str">
            <v>使用后可选择获得500000资源(可选择资源类型：粮食、木材、石料和铜矿)</v>
          </cell>
        </row>
        <row r="104">
          <cell r="C104">
            <v>21031</v>
          </cell>
          <cell r="D104" t="str">
            <v>普通资源宝箱</v>
          </cell>
          <cell r="E104">
            <v>30</v>
          </cell>
          <cell r="F104">
            <v>1</v>
          </cell>
          <cell r="G104">
            <v>1</v>
          </cell>
          <cell r="H104">
            <v>1</v>
          </cell>
          <cell r="I104">
            <v>30</v>
          </cell>
          <cell r="J104">
            <v>30</v>
          </cell>
          <cell r="K104">
            <v>30</v>
          </cell>
          <cell r="L104" t="str">
            <v>使用后直接获得10000粮食、木材、石料和铜矿</v>
          </cell>
        </row>
        <row r="105">
          <cell r="C105">
            <v>21032</v>
          </cell>
          <cell r="D105" t="str">
            <v>初级资源宝箱</v>
          </cell>
          <cell r="E105">
            <v>80</v>
          </cell>
          <cell r="F105">
            <v>1</v>
          </cell>
          <cell r="G105">
            <v>1</v>
          </cell>
          <cell r="H105">
            <v>1</v>
          </cell>
          <cell r="I105">
            <v>80</v>
          </cell>
          <cell r="J105">
            <v>80</v>
          </cell>
          <cell r="K105">
            <v>80</v>
          </cell>
          <cell r="L105" t="str">
            <v>使用后直接获得50000粮食、木材、石料和铜矿</v>
          </cell>
        </row>
        <row r="106">
          <cell r="C106">
            <v>21033</v>
          </cell>
          <cell r="D106" t="str">
            <v>中级资源宝箱</v>
          </cell>
          <cell r="E106">
            <v>180</v>
          </cell>
          <cell r="F106">
            <v>1.333</v>
          </cell>
          <cell r="G106">
            <v>1</v>
          </cell>
          <cell r="H106">
            <v>1</v>
          </cell>
          <cell r="I106">
            <v>239.94</v>
          </cell>
          <cell r="J106">
            <v>180</v>
          </cell>
          <cell r="K106">
            <v>180</v>
          </cell>
          <cell r="L106" t="str">
            <v>使用后直接获得150000粮食、木材、石料和铜矿</v>
          </cell>
        </row>
        <row r="107">
          <cell r="C107">
            <v>21034</v>
          </cell>
          <cell r="D107" t="str">
            <v>高级资源宝箱</v>
          </cell>
          <cell r="E107">
            <v>400</v>
          </cell>
          <cell r="F107">
            <v>2</v>
          </cell>
          <cell r="G107">
            <v>1.5</v>
          </cell>
          <cell r="H107">
            <v>1</v>
          </cell>
          <cell r="I107">
            <v>800</v>
          </cell>
          <cell r="J107">
            <v>600</v>
          </cell>
          <cell r="K107">
            <v>400</v>
          </cell>
          <cell r="L107" t="str">
            <v>使用后直接获得500000粮食、木材、石料和铜矿</v>
          </cell>
        </row>
        <row r="108">
          <cell r="C108" t="str">
            <v/>
          </cell>
          <cell r="D108" t="str">
            <v/>
          </cell>
          <cell r="E108" t="str">
            <v/>
          </cell>
          <cell r="F108">
            <v>1</v>
          </cell>
          <cell r="G108">
            <v>1</v>
          </cell>
          <cell r="H108">
            <v>1</v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</row>
        <row r="109">
          <cell r="C109">
            <v>21061</v>
          </cell>
          <cell r="D109" t="str">
            <v>初级经验书</v>
          </cell>
          <cell r="E109">
            <v>2</v>
          </cell>
          <cell r="F109">
            <v>1</v>
          </cell>
          <cell r="G109">
            <v>1</v>
          </cell>
          <cell r="H109">
            <v>1</v>
          </cell>
          <cell r="I109">
            <v>2</v>
          </cell>
          <cell r="J109">
            <v>2</v>
          </cell>
          <cell r="K109">
            <v>2</v>
          </cell>
          <cell r="L109" t="str">
            <v>武将使用后获得200经验</v>
          </cell>
        </row>
        <row r="110">
          <cell r="C110">
            <v>21062</v>
          </cell>
          <cell r="D110" t="str">
            <v>中级经验书</v>
          </cell>
          <cell r="E110">
            <v>5</v>
          </cell>
          <cell r="F110">
            <v>1</v>
          </cell>
          <cell r="G110">
            <v>1</v>
          </cell>
          <cell r="H110">
            <v>1</v>
          </cell>
          <cell r="I110">
            <v>5</v>
          </cell>
          <cell r="J110">
            <v>5</v>
          </cell>
          <cell r="K110">
            <v>5</v>
          </cell>
          <cell r="L110" t="str">
            <v>武将使用后获得1000经验</v>
          </cell>
        </row>
        <row r="111">
          <cell r="C111">
            <v>21063</v>
          </cell>
          <cell r="D111" t="str">
            <v>高级经验书</v>
          </cell>
          <cell r="E111">
            <v>10</v>
          </cell>
          <cell r="F111">
            <v>1</v>
          </cell>
          <cell r="G111">
            <v>1</v>
          </cell>
          <cell r="H111">
            <v>1</v>
          </cell>
          <cell r="I111">
            <v>10</v>
          </cell>
          <cell r="J111">
            <v>10</v>
          </cell>
          <cell r="K111">
            <v>10</v>
          </cell>
          <cell r="L111" t="str">
            <v>武将使用后获得5000经验</v>
          </cell>
        </row>
        <row r="112">
          <cell r="C112">
            <v>21064</v>
          </cell>
          <cell r="D112" t="str">
            <v>特级经验书</v>
          </cell>
          <cell r="E112">
            <v>20</v>
          </cell>
          <cell r="F112">
            <v>2</v>
          </cell>
          <cell r="G112">
            <v>1</v>
          </cell>
          <cell r="H112">
            <v>1</v>
          </cell>
          <cell r="I112">
            <v>40</v>
          </cell>
          <cell r="J112">
            <v>20</v>
          </cell>
          <cell r="K112">
            <v>20</v>
          </cell>
          <cell r="L112" t="str">
            <v>武将使用后获得20000经验</v>
          </cell>
        </row>
        <row r="113">
          <cell r="C113">
            <v>21065</v>
          </cell>
          <cell r="D113" t="str">
            <v>超级经验书</v>
          </cell>
          <cell r="E113">
            <v>40</v>
          </cell>
          <cell r="F113">
            <v>5</v>
          </cell>
          <cell r="G113">
            <v>2.5</v>
          </cell>
          <cell r="H113">
            <v>1</v>
          </cell>
          <cell r="I113">
            <v>200</v>
          </cell>
          <cell r="J113">
            <v>100</v>
          </cell>
          <cell r="K113">
            <v>40</v>
          </cell>
          <cell r="L113" t="str">
            <v>武将使用后获得100000经验</v>
          </cell>
        </row>
        <row r="114">
          <cell r="C114" t="str">
            <v/>
          </cell>
          <cell r="D114" t="str">
            <v/>
          </cell>
          <cell r="E114" t="str">
            <v/>
          </cell>
          <cell r="F114">
            <v>1.333</v>
          </cell>
          <cell r="G114">
            <v>1</v>
          </cell>
          <cell r="H114">
            <v>1</v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</row>
        <row r="115">
          <cell r="C115">
            <v>21073</v>
          </cell>
          <cell r="D115" t="str">
            <v>1个行军令</v>
          </cell>
          <cell r="E115">
            <v>75</v>
          </cell>
          <cell r="F115">
            <v>1</v>
          </cell>
          <cell r="G115">
            <v>1</v>
          </cell>
          <cell r="H115">
            <v>1</v>
          </cell>
          <cell r="I115">
            <v>75</v>
          </cell>
          <cell r="J115">
            <v>75</v>
          </cell>
          <cell r="K115">
            <v>75</v>
          </cell>
          <cell r="L115" t="str">
            <v>使用后获得1个行军令</v>
          </cell>
        </row>
        <row r="116">
          <cell r="C116">
            <v>21074</v>
          </cell>
          <cell r="D116" t="str">
            <v>大捆行军令</v>
          </cell>
          <cell r="E116">
            <v>225</v>
          </cell>
          <cell r="F116">
            <v>1</v>
          </cell>
          <cell r="G116">
            <v>1</v>
          </cell>
          <cell r="H116">
            <v>1</v>
          </cell>
          <cell r="I116">
            <v>225</v>
          </cell>
          <cell r="J116">
            <v>225</v>
          </cell>
          <cell r="K116">
            <v>225</v>
          </cell>
          <cell r="L116" t="str">
            <v>使用后获得3个行军令</v>
          </cell>
        </row>
        <row r="117">
          <cell r="C117" t="str">
            <v/>
          </cell>
          <cell r="D117" t="str">
            <v/>
          </cell>
          <cell r="E117" t="str">
            <v/>
          </cell>
          <cell r="F117">
            <v>1</v>
          </cell>
          <cell r="G117">
            <v>1</v>
          </cell>
          <cell r="H117">
            <v>1</v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</row>
        <row r="118">
          <cell r="C118">
            <v>21081</v>
          </cell>
          <cell r="D118" t="str">
            <v>木材增产令</v>
          </cell>
          <cell r="E118">
            <v>35</v>
          </cell>
          <cell r="F118">
            <v>1</v>
          </cell>
          <cell r="G118">
            <v>1</v>
          </cell>
          <cell r="H118">
            <v>1</v>
          </cell>
          <cell r="I118">
            <v>35</v>
          </cell>
          <cell r="J118">
            <v>35</v>
          </cell>
          <cell r="K118">
            <v>35</v>
          </cell>
          <cell r="L118" t="str">
            <v>使用后伐木场产量提高50%，持续12小时</v>
          </cell>
        </row>
        <row r="119">
          <cell r="C119">
            <v>21082</v>
          </cell>
          <cell r="D119" t="str">
            <v>铁矿增产令</v>
          </cell>
          <cell r="E119">
            <v>50</v>
          </cell>
          <cell r="F119">
            <v>1</v>
          </cell>
          <cell r="G119">
            <v>1</v>
          </cell>
          <cell r="H119">
            <v>1</v>
          </cell>
          <cell r="I119">
            <v>50</v>
          </cell>
          <cell r="J119">
            <v>50</v>
          </cell>
          <cell r="K119">
            <v>50</v>
          </cell>
          <cell r="L119" t="str">
            <v>使用后冶炼厂产量提高50%，持续12小时</v>
          </cell>
        </row>
        <row r="120">
          <cell r="C120">
            <v>21083</v>
          </cell>
          <cell r="D120" t="str">
            <v>石料增产令</v>
          </cell>
          <cell r="E120">
            <v>35</v>
          </cell>
          <cell r="F120">
            <v>1</v>
          </cell>
          <cell r="G120">
            <v>1</v>
          </cell>
          <cell r="H120">
            <v>1</v>
          </cell>
          <cell r="I120">
            <v>35</v>
          </cell>
          <cell r="J120">
            <v>35</v>
          </cell>
          <cell r="K120">
            <v>35</v>
          </cell>
          <cell r="L120" t="str">
            <v>使用后采石场产量提高50%，持续12小时</v>
          </cell>
        </row>
        <row r="121">
          <cell r="C121">
            <v>21084</v>
          </cell>
          <cell r="D121" t="str">
            <v>粮食增产令</v>
          </cell>
          <cell r="E121">
            <v>35</v>
          </cell>
          <cell r="F121">
            <v>1</v>
          </cell>
          <cell r="G121">
            <v>1</v>
          </cell>
          <cell r="H121">
            <v>1</v>
          </cell>
          <cell r="I121">
            <v>35</v>
          </cell>
          <cell r="J121">
            <v>35</v>
          </cell>
          <cell r="K121">
            <v>35</v>
          </cell>
          <cell r="L121" t="str">
            <v>使用后农田产量提高50%，持续12小时</v>
          </cell>
        </row>
        <row r="122">
          <cell r="C122">
            <v>21085</v>
          </cell>
          <cell r="D122" t="str">
            <v>赋税增收令</v>
          </cell>
          <cell r="E122">
            <v>85</v>
          </cell>
          <cell r="F122">
            <v>1</v>
          </cell>
          <cell r="G122">
            <v>1</v>
          </cell>
          <cell r="H122">
            <v>1</v>
          </cell>
          <cell r="I122">
            <v>85</v>
          </cell>
          <cell r="J122">
            <v>85</v>
          </cell>
          <cell r="K122">
            <v>85</v>
          </cell>
          <cell r="L122" t="str">
            <v>使用后民居税收提高25%，持续12小时</v>
          </cell>
        </row>
        <row r="123">
          <cell r="C123">
            <v>21086</v>
          </cell>
          <cell r="D123" t="str">
            <v>铜矿增产令</v>
          </cell>
          <cell r="E123">
            <v>35</v>
          </cell>
          <cell r="F123">
            <v>1</v>
          </cell>
          <cell r="G123">
            <v>1</v>
          </cell>
          <cell r="H123">
            <v>1</v>
          </cell>
          <cell r="I123">
            <v>35</v>
          </cell>
          <cell r="J123">
            <v>35</v>
          </cell>
          <cell r="K123">
            <v>35</v>
          </cell>
          <cell r="L123" t="str">
            <v>使用后铜矿产量提高50%，持续12小时</v>
          </cell>
        </row>
        <row r="124">
          <cell r="C124" t="str">
            <v/>
          </cell>
          <cell r="D124" t="str">
            <v/>
          </cell>
          <cell r="E124" t="str">
            <v/>
          </cell>
          <cell r="F124">
            <v>1</v>
          </cell>
          <cell r="G124">
            <v>1</v>
          </cell>
          <cell r="H124">
            <v>1</v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</row>
        <row r="125">
          <cell r="C125">
            <v>21100</v>
          </cell>
          <cell r="D125" t="str">
            <v>免战牌</v>
          </cell>
          <cell r="E125">
            <v>100</v>
          </cell>
          <cell r="F125">
            <v>1</v>
          </cell>
          <cell r="G125">
            <v>1</v>
          </cell>
          <cell r="H125">
            <v>1</v>
          </cell>
          <cell r="I125">
            <v>100</v>
          </cell>
          <cell r="J125">
            <v>100</v>
          </cell>
          <cell r="K125">
            <v>100</v>
          </cell>
          <cell r="L125" t="str">
            <v>使用后城池不会遭受来自玩家的攻击，主动进攻玩家后失效，持续8小时</v>
          </cell>
        </row>
        <row r="126">
          <cell r="C126">
            <v>21101</v>
          </cell>
          <cell r="D126" t="str">
            <v>普通点将牌</v>
          </cell>
          <cell r="E126">
            <v>65</v>
          </cell>
          <cell r="F126">
            <v>1</v>
          </cell>
          <cell r="G126">
            <v>1</v>
          </cell>
          <cell r="H126">
            <v>1</v>
          </cell>
          <cell r="I126">
            <v>65</v>
          </cell>
          <cell r="J126">
            <v>65</v>
          </cell>
          <cell r="K126">
            <v>65</v>
          </cell>
          <cell r="L126" t="str">
            <v>点将台普通招募时消耗的令牌</v>
          </cell>
        </row>
        <row r="127">
          <cell r="C127">
            <v>21102</v>
          </cell>
          <cell r="D127" t="str">
            <v>高级点将牌</v>
          </cell>
          <cell r="E127">
            <v>240</v>
          </cell>
          <cell r="F127">
            <v>1</v>
          </cell>
          <cell r="G127">
            <v>1</v>
          </cell>
          <cell r="H127">
            <v>1</v>
          </cell>
          <cell r="I127">
            <v>240</v>
          </cell>
          <cell r="J127">
            <v>240</v>
          </cell>
          <cell r="K127">
            <v>240</v>
          </cell>
          <cell r="L127" t="str">
            <v>点将台高级招募时消耗的令牌</v>
          </cell>
        </row>
        <row r="128">
          <cell r="C128" t="str">
            <v/>
          </cell>
          <cell r="D128" t="str">
            <v>行军丸（旧版)</v>
          </cell>
          <cell r="E128" t="str">
            <v/>
          </cell>
          <cell r="F128">
            <v>1</v>
          </cell>
          <cell r="G128">
            <v>1</v>
          </cell>
          <cell r="H128">
            <v>1</v>
          </cell>
          <cell r="I128" t="str">
            <v/>
          </cell>
          <cell r="J128" t="str">
            <v/>
          </cell>
          <cell r="K128" t="str">
            <v/>
          </cell>
          <cell r="L128" t="str">
            <v>使用后每次可增加部队100%的行军速度</v>
          </cell>
        </row>
        <row r="129">
          <cell r="C129">
            <v>21104</v>
          </cell>
          <cell r="D129" t="str">
            <v>撤军令</v>
          </cell>
          <cell r="E129">
            <v>60</v>
          </cell>
          <cell r="F129">
            <v>1</v>
          </cell>
          <cell r="G129">
            <v>1</v>
          </cell>
          <cell r="H129">
            <v>1</v>
          </cell>
          <cell r="I129">
            <v>60</v>
          </cell>
          <cell r="J129">
            <v>60</v>
          </cell>
          <cell r="K129">
            <v>60</v>
          </cell>
          <cell r="L129" t="str">
            <v>使用后使一支出征队伍立即撤军回城</v>
          </cell>
        </row>
        <row r="130">
          <cell r="C130" t="str">
            <v/>
          </cell>
          <cell r="D130" t="str">
            <v/>
          </cell>
          <cell r="E130" t="str">
            <v/>
          </cell>
          <cell r="F130">
            <v>1</v>
          </cell>
          <cell r="G130">
            <v>1</v>
          </cell>
          <cell r="H130">
            <v>1</v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</row>
        <row r="131">
          <cell r="C131">
            <v>21110</v>
          </cell>
          <cell r="D131" t="str">
            <v>城建1分钟加速令</v>
          </cell>
          <cell r="E131">
            <v>2</v>
          </cell>
          <cell r="F131">
            <v>1</v>
          </cell>
          <cell r="G131">
            <v>1</v>
          </cell>
          <cell r="H131">
            <v>1</v>
          </cell>
          <cell r="I131">
            <v>2</v>
          </cell>
          <cell r="J131">
            <v>2</v>
          </cell>
          <cell r="K131">
            <v>2</v>
          </cell>
          <cell r="L131" t="str">
            <v>使用后城池建设加速1分钟</v>
          </cell>
        </row>
        <row r="132">
          <cell r="C132">
            <v>21111</v>
          </cell>
          <cell r="D132" t="str">
            <v>城建5分钟加速令</v>
          </cell>
          <cell r="E132">
            <v>8</v>
          </cell>
          <cell r="F132">
            <v>1</v>
          </cell>
          <cell r="G132">
            <v>1</v>
          </cell>
          <cell r="H132">
            <v>1</v>
          </cell>
          <cell r="I132">
            <v>8</v>
          </cell>
          <cell r="J132">
            <v>8</v>
          </cell>
          <cell r="K132">
            <v>8</v>
          </cell>
          <cell r="L132" t="str">
            <v>使用后城池建设加速5分钟</v>
          </cell>
        </row>
        <row r="133">
          <cell r="C133">
            <v>21112</v>
          </cell>
          <cell r="D133" t="str">
            <v>城建20分钟加速令</v>
          </cell>
          <cell r="E133">
            <v>20</v>
          </cell>
          <cell r="F133">
            <v>1</v>
          </cell>
          <cell r="G133">
            <v>1</v>
          </cell>
          <cell r="H133">
            <v>1</v>
          </cell>
          <cell r="I133">
            <v>20</v>
          </cell>
          <cell r="J133">
            <v>20</v>
          </cell>
          <cell r="K133">
            <v>20</v>
          </cell>
          <cell r="L133" t="str">
            <v>使用后城池建设加速20分钟</v>
          </cell>
        </row>
        <row r="134">
          <cell r="C134">
            <v>21113</v>
          </cell>
          <cell r="D134" t="str">
            <v>城建1小时加速令</v>
          </cell>
          <cell r="E134">
            <v>50</v>
          </cell>
          <cell r="F134">
            <v>1.2</v>
          </cell>
          <cell r="G134">
            <v>1</v>
          </cell>
          <cell r="H134">
            <v>1</v>
          </cell>
          <cell r="I134">
            <v>60</v>
          </cell>
          <cell r="J134">
            <v>50</v>
          </cell>
          <cell r="K134">
            <v>50</v>
          </cell>
          <cell r="L134" t="str">
            <v>使用后城池建设加速1小时</v>
          </cell>
        </row>
        <row r="135">
          <cell r="C135">
            <v>21114</v>
          </cell>
          <cell r="D135" t="str">
            <v>城建3小时加速令</v>
          </cell>
          <cell r="E135">
            <v>100</v>
          </cell>
          <cell r="F135">
            <v>1.8</v>
          </cell>
          <cell r="G135">
            <v>1.5</v>
          </cell>
          <cell r="H135">
            <v>1</v>
          </cell>
          <cell r="I135">
            <v>180</v>
          </cell>
          <cell r="J135">
            <v>150</v>
          </cell>
          <cell r="K135">
            <v>100</v>
          </cell>
          <cell r="L135" t="str">
            <v>使用后城池建设加速3小时</v>
          </cell>
        </row>
        <row r="136">
          <cell r="C136">
            <v>21135</v>
          </cell>
          <cell r="D136" t="str">
            <v>城建8小时加速令</v>
          </cell>
          <cell r="E136">
            <v>160</v>
          </cell>
          <cell r="F136">
            <v>3</v>
          </cell>
          <cell r="G136">
            <v>2.5</v>
          </cell>
          <cell r="H136">
            <v>1</v>
          </cell>
          <cell r="I136">
            <v>480</v>
          </cell>
          <cell r="J136">
            <v>400</v>
          </cell>
          <cell r="K136">
            <v>160</v>
          </cell>
          <cell r="L136" t="str">
            <v>使用后城池建设加速8小时</v>
          </cell>
        </row>
        <row r="137">
          <cell r="C137" t="str">
            <v/>
          </cell>
          <cell r="D137" t="str">
            <v/>
          </cell>
          <cell r="E137" t="str">
            <v/>
          </cell>
          <cell r="F137">
            <v>1</v>
          </cell>
          <cell r="G137">
            <v>1</v>
          </cell>
          <cell r="H137">
            <v>1</v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</row>
        <row r="138">
          <cell r="C138">
            <v>21115</v>
          </cell>
          <cell r="D138" t="str">
            <v>招募1分钟加速令</v>
          </cell>
          <cell r="E138">
            <v>2</v>
          </cell>
          <cell r="F138">
            <v>1</v>
          </cell>
          <cell r="G138">
            <v>1</v>
          </cell>
          <cell r="H138">
            <v>1</v>
          </cell>
          <cell r="I138">
            <v>2</v>
          </cell>
          <cell r="J138">
            <v>2</v>
          </cell>
          <cell r="K138">
            <v>2</v>
          </cell>
          <cell r="L138" t="str">
            <v>使用后士兵招募加速1分钟</v>
          </cell>
        </row>
        <row r="139">
          <cell r="C139">
            <v>21116</v>
          </cell>
          <cell r="D139" t="str">
            <v>招募5分钟加速令</v>
          </cell>
          <cell r="E139">
            <v>8</v>
          </cell>
          <cell r="F139">
            <v>1</v>
          </cell>
          <cell r="G139">
            <v>1</v>
          </cell>
          <cell r="H139">
            <v>1</v>
          </cell>
          <cell r="I139">
            <v>8</v>
          </cell>
          <cell r="J139">
            <v>8</v>
          </cell>
          <cell r="K139">
            <v>8</v>
          </cell>
          <cell r="L139" t="str">
            <v>使用后士兵招募加速5分钟</v>
          </cell>
        </row>
        <row r="140">
          <cell r="C140">
            <v>21117</v>
          </cell>
          <cell r="D140" t="str">
            <v>招募20分钟加速令</v>
          </cell>
          <cell r="E140">
            <v>20</v>
          </cell>
          <cell r="F140">
            <v>1</v>
          </cell>
          <cell r="G140">
            <v>1</v>
          </cell>
          <cell r="H140">
            <v>1</v>
          </cell>
          <cell r="I140">
            <v>20</v>
          </cell>
          <cell r="J140">
            <v>20</v>
          </cell>
          <cell r="K140">
            <v>20</v>
          </cell>
          <cell r="L140" t="str">
            <v>使用后士兵招募加速20分钟</v>
          </cell>
        </row>
        <row r="141">
          <cell r="C141">
            <v>21118</v>
          </cell>
          <cell r="D141" t="str">
            <v>招募1小时加速令</v>
          </cell>
          <cell r="E141">
            <v>50</v>
          </cell>
          <cell r="F141">
            <v>1.2</v>
          </cell>
          <cell r="G141">
            <v>1</v>
          </cell>
          <cell r="H141">
            <v>1</v>
          </cell>
          <cell r="I141">
            <v>60</v>
          </cell>
          <cell r="J141">
            <v>50</v>
          </cell>
          <cell r="K141">
            <v>50</v>
          </cell>
          <cell r="L141" t="str">
            <v>使用后士兵招募加速1小时</v>
          </cell>
        </row>
        <row r="142">
          <cell r="C142">
            <v>21119</v>
          </cell>
          <cell r="D142" t="str">
            <v>招募3小时加速令</v>
          </cell>
          <cell r="E142">
            <v>100</v>
          </cell>
          <cell r="F142">
            <v>1.8</v>
          </cell>
          <cell r="G142">
            <v>1.5</v>
          </cell>
          <cell r="H142">
            <v>1</v>
          </cell>
          <cell r="I142">
            <v>180</v>
          </cell>
          <cell r="J142">
            <v>150</v>
          </cell>
          <cell r="K142">
            <v>100</v>
          </cell>
          <cell r="L142" t="str">
            <v>使用后士兵招募加速3小时</v>
          </cell>
        </row>
        <row r="143">
          <cell r="C143">
            <v>21136</v>
          </cell>
          <cell r="D143" t="str">
            <v>招募8小时加速令</v>
          </cell>
          <cell r="E143">
            <v>160</v>
          </cell>
          <cell r="F143">
            <v>3</v>
          </cell>
          <cell r="G143">
            <v>2.5</v>
          </cell>
          <cell r="H143">
            <v>1</v>
          </cell>
          <cell r="I143">
            <v>480</v>
          </cell>
          <cell r="J143">
            <v>400</v>
          </cell>
          <cell r="K143">
            <v>160</v>
          </cell>
          <cell r="L143" t="str">
            <v>使用后士兵招募加速8小时</v>
          </cell>
        </row>
        <row r="144">
          <cell r="C144" t="str">
            <v/>
          </cell>
          <cell r="D144" t="str">
            <v/>
          </cell>
          <cell r="E144" t="str">
            <v/>
          </cell>
          <cell r="F144">
            <v>3</v>
          </cell>
          <cell r="G144">
            <v>2.5</v>
          </cell>
          <cell r="H144">
            <v>1</v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</row>
        <row r="145">
          <cell r="C145">
            <v>21120</v>
          </cell>
          <cell r="D145" t="str">
            <v>治疗1分钟加速令</v>
          </cell>
          <cell r="E145">
            <v>2</v>
          </cell>
          <cell r="F145">
            <v>1</v>
          </cell>
          <cell r="G145">
            <v>1</v>
          </cell>
          <cell r="H145">
            <v>1</v>
          </cell>
          <cell r="I145">
            <v>2</v>
          </cell>
          <cell r="J145">
            <v>2</v>
          </cell>
          <cell r="K145">
            <v>2</v>
          </cell>
          <cell r="L145" t="str">
            <v>使用后士兵治疗加速1分钟</v>
          </cell>
        </row>
        <row r="146">
          <cell r="C146">
            <v>21121</v>
          </cell>
          <cell r="D146" t="str">
            <v>治疗5分钟加速令</v>
          </cell>
          <cell r="E146">
            <v>8</v>
          </cell>
          <cell r="F146">
            <v>1</v>
          </cell>
          <cell r="G146">
            <v>1</v>
          </cell>
          <cell r="H146">
            <v>1</v>
          </cell>
          <cell r="I146">
            <v>8</v>
          </cell>
          <cell r="J146">
            <v>8</v>
          </cell>
          <cell r="K146">
            <v>8</v>
          </cell>
          <cell r="L146" t="str">
            <v>使用后士兵治疗加速5分钟</v>
          </cell>
        </row>
        <row r="147">
          <cell r="C147">
            <v>21122</v>
          </cell>
          <cell r="D147" t="str">
            <v>治疗20分钟加速令</v>
          </cell>
          <cell r="E147">
            <v>20</v>
          </cell>
          <cell r="F147">
            <v>1</v>
          </cell>
          <cell r="G147">
            <v>1</v>
          </cell>
          <cell r="H147">
            <v>1</v>
          </cell>
          <cell r="I147">
            <v>20</v>
          </cell>
          <cell r="J147">
            <v>20</v>
          </cell>
          <cell r="K147">
            <v>20</v>
          </cell>
          <cell r="L147" t="str">
            <v>使用后士兵治疗加速20分钟</v>
          </cell>
        </row>
        <row r="148">
          <cell r="C148">
            <v>21123</v>
          </cell>
          <cell r="D148" t="str">
            <v>治疗1小时加速令</v>
          </cell>
          <cell r="E148">
            <v>50</v>
          </cell>
          <cell r="F148">
            <v>1.2</v>
          </cell>
          <cell r="G148">
            <v>1</v>
          </cell>
          <cell r="H148">
            <v>1</v>
          </cell>
          <cell r="I148">
            <v>60</v>
          </cell>
          <cell r="J148">
            <v>50</v>
          </cell>
          <cell r="K148">
            <v>50</v>
          </cell>
          <cell r="L148" t="str">
            <v>使用后士兵治疗加速1小时</v>
          </cell>
        </row>
        <row r="149">
          <cell r="C149">
            <v>21124</v>
          </cell>
          <cell r="D149" t="str">
            <v>治疗3小时加速令</v>
          </cell>
          <cell r="E149">
            <v>100</v>
          </cell>
          <cell r="F149">
            <v>1.8</v>
          </cell>
          <cell r="G149">
            <v>1.5</v>
          </cell>
          <cell r="H149">
            <v>1</v>
          </cell>
          <cell r="I149">
            <v>180</v>
          </cell>
          <cell r="J149">
            <v>150</v>
          </cell>
          <cell r="K149">
            <v>100</v>
          </cell>
          <cell r="L149" t="str">
            <v>使用后士兵治疗加速3小时</v>
          </cell>
        </row>
        <row r="150">
          <cell r="C150">
            <v>21137</v>
          </cell>
          <cell r="D150" t="str">
            <v>治疗8小时加速令</v>
          </cell>
          <cell r="E150">
            <v>160</v>
          </cell>
          <cell r="F150">
            <v>3</v>
          </cell>
          <cell r="G150">
            <v>2.5</v>
          </cell>
          <cell r="H150">
            <v>1</v>
          </cell>
          <cell r="I150">
            <v>480</v>
          </cell>
          <cell r="J150">
            <v>400</v>
          </cell>
          <cell r="K150">
            <v>160</v>
          </cell>
          <cell r="L150" t="str">
            <v>使用后士兵治疗加速8小时</v>
          </cell>
        </row>
        <row r="151">
          <cell r="C151" t="str">
            <v/>
          </cell>
          <cell r="D151" t="str">
            <v/>
          </cell>
          <cell r="E151" t="str">
            <v/>
          </cell>
          <cell r="F151">
            <v>3</v>
          </cell>
          <cell r="G151">
            <v>2.5</v>
          </cell>
          <cell r="H151">
            <v>1</v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</row>
        <row r="152">
          <cell r="C152">
            <v>21130</v>
          </cell>
          <cell r="D152" t="str">
            <v>训练1分钟加速令</v>
          </cell>
          <cell r="E152">
            <v>2</v>
          </cell>
          <cell r="F152">
            <v>1</v>
          </cell>
          <cell r="G152">
            <v>1</v>
          </cell>
          <cell r="H152">
            <v>1</v>
          </cell>
          <cell r="I152">
            <v>2</v>
          </cell>
          <cell r="J152">
            <v>2</v>
          </cell>
          <cell r="K152">
            <v>2</v>
          </cell>
          <cell r="L152" t="str">
            <v>使用后士兵训练加速1分钟</v>
          </cell>
        </row>
        <row r="153">
          <cell r="C153">
            <v>21131</v>
          </cell>
          <cell r="D153" t="str">
            <v>训练5分钟加速令</v>
          </cell>
          <cell r="E153">
            <v>8</v>
          </cell>
          <cell r="F153">
            <v>1</v>
          </cell>
          <cell r="G153">
            <v>1</v>
          </cell>
          <cell r="H153">
            <v>1</v>
          </cell>
          <cell r="I153">
            <v>8</v>
          </cell>
          <cell r="J153">
            <v>8</v>
          </cell>
          <cell r="K153">
            <v>8</v>
          </cell>
          <cell r="L153" t="str">
            <v>使用后士兵训练加速5分钟</v>
          </cell>
        </row>
        <row r="154">
          <cell r="C154">
            <v>21132</v>
          </cell>
          <cell r="D154" t="str">
            <v>训练20分钟加速令</v>
          </cell>
          <cell r="E154">
            <v>20</v>
          </cell>
          <cell r="F154">
            <v>1</v>
          </cell>
          <cell r="G154">
            <v>1</v>
          </cell>
          <cell r="H154">
            <v>1</v>
          </cell>
          <cell r="I154">
            <v>20</v>
          </cell>
          <cell r="J154">
            <v>20</v>
          </cell>
          <cell r="K154">
            <v>20</v>
          </cell>
          <cell r="L154" t="str">
            <v>使用后士兵训练加速20分钟</v>
          </cell>
        </row>
        <row r="155">
          <cell r="C155">
            <v>21133</v>
          </cell>
          <cell r="D155" t="str">
            <v>训练1小时加速令</v>
          </cell>
          <cell r="E155">
            <v>50</v>
          </cell>
          <cell r="F155">
            <v>1.2</v>
          </cell>
          <cell r="G155">
            <v>1</v>
          </cell>
          <cell r="H155">
            <v>1</v>
          </cell>
          <cell r="I155">
            <v>60</v>
          </cell>
          <cell r="J155">
            <v>50</v>
          </cell>
          <cell r="K155">
            <v>50</v>
          </cell>
          <cell r="L155" t="str">
            <v>使用后士兵训练加速1小时</v>
          </cell>
        </row>
        <row r="156">
          <cell r="C156">
            <v>21134</v>
          </cell>
          <cell r="D156" t="str">
            <v>训练3小时加速令</v>
          </cell>
          <cell r="E156">
            <v>100</v>
          </cell>
          <cell r="F156">
            <v>1.8</v>
          </cell>
          <cell r="G156">
            <v>1.5</v>
          </cell>
          <cell r="H156">
            <v>1</v>
          </cell>
          <cell r="I156">
            <v>180</v>
          </cell>
          <cell r="J156">
            <v>150</v>
          </cell>
          <cell r="K156">
            <v>100</v>
          </cell>
          <cell r="L156" t="str">
            <v>使用后士兵训练加速3小时</v>
          </cell>
        </row>
        <row r="157">
          <cell r="C157">
            <v>21139</v>
          </cell>
          <cell r="D157" t="str">
            <v>训练8小时加速令</v>
          </cell>
          <cell r="E157">
            <v>160</v>
          </cell>
          <cell r="F157">
            <v>3</v>
          </cell>
          <cell r="G157">
            <v>2.5</v>
          </cell>
          <cell r="H157">
            <v>1</v>
          </cell>
          <cell r="I157">
            <v>480</v>
          </cell>
          <cell r="J157">
            <v>400</v>
          </cell>
          <cell r="K157">
            <v>160</v>
          </cell>
          <cell r="L157" t="str">
            <v>使用后士兵训练加速8小时</v>
          </cell>
        </row>
        <row r="158">
          <cell r="C158" t="str">
            <v/>
          </cell>
          <cell r="D158" t="str">
            <v/>
          </cell>
          <cell r="E158" t="str">
            <v/>
          </cell>
          <cell r="F158">
            <v>3</v>
          </cell>
          <cell r="G158">
            <v>2.5</v>
          </cell>
          <cell r="H158">
            <v>1</v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</row>
        <row r="159">
          <cell r="C159">
            <v>21140</v>
          </cell>
          <cell r="D159" t="str">
            <v>圣人1分钟加速令</v>
          </cell>
          <cell r="E159">
            <v>2</v>
          </cell>
          <cell r="F159">
            <v>1</v>
          </cell>
          <cell r="G159">
            <v>1</v>
          </cell>
          <cell r="H159">
            <v>1</v>
          </cell>
          <cell r="I159">
            <v>2</v>
          </cell>
          <cell r="J159">
            <v>2</v>
          </cell>
          <cell r="K159">
            <v>2</v>
          </cell>
          <cell r="L159" t="str">
            <v>使用后士兵训练加速1分钟</v>
          </cell>
        </row>
        <row r="160">
          <cell r="C160">
            <v>21141</v>
          </cell>
          <cell r="D160" t="str">
            <v>圣人5分钟加速令</v>
          </cell>
          <cell r="E160">
            <v>8</v>
          </cell>
          <cell r="F160">
            <v>1</v>
          </cell>
          <cell r="G160">
            <v>1</v>
          </cell>
          <cell r="H160">
            <v>1</v>
          </cell>
          <cell r="I160">
            <v>8</v>
          </cell>
          <cell r="J160">
            <v>8</v>
          </cell>
          <cell r="K160">
            <v>8</v>
          </cell>
          <cell r="L160" t="str">
            <v>使用后士兵训练加速5分钟</v>
          </cell>
        </row>
        <row r="161">
          <cell r="C161">
            <v>21142</v>
          </cell>
          <cell r="D161" t="str">
            <v>圣人20分钟加速令</v>
          </cell>
          <cell r="E161">
            <v>20</v>
          </cell>
          <cell r="F161">
            <v>1</v>
          </cell>
          <cell r="G161">
            <v>1</v>
          </cell>
          <cell r="H161">
            <v>1</v>
          </cell>
          <cell r="I161">
            <v>20</v>
          </cell>
          <cell r="J161">
            <v>20</v>
          </cell>
          <cell r="K161">
            <v>20</v>
          </cell>
          <cell r="L161" t="str">
            <v>使用后士兵训练加速20分钟</v>
          </cell>
        </row>
        <row r="162">
          <cell r="C162">
            <v>21143</v>
          </cell>
          <cell r="D162" t="str">
            <v>圣人1小时加速令</v>
          </cell>
          <cell r="E162">
            <v>50</v>
          </cell>
          <cell r="F162">
            <v>1.2</v>
          </cell>
          <cell r="G162">
            <v>1</v>
          </cell>
          <cell r="H162">
            <v>1</v>
          </cell>
          <cell r="I162">
            <v>60</v>
          </cell>
          <cell r="J162">
            <v>50</v>
          </cell>
          <cell r="K162">
            <v>50</v>
          </cell>
          <cell r="L162" t="str">
            <v>使用后士兵训练加速1小时</v>
          </cell>
        </row>
        <row r="163">
          <cell r="C163">
            <v>21144</v>
          </cell>
          <cell r="D163" t="str">
            <v>圣人3小时加速令</v>
          </cell>
          <cell r="E163">
            <v>100</v>
          </cell>
          <cell r="F163">
            <v>1.8</v>
          </cell>
          <cell r="G163">
            <v>1.5</v>
          </cell>
          <cell r="H163">
            <v>1</v>
          </cell>
          <cell r="I163">
            <v>180</v>
          </cell>
          <cell r="J163">
            <v>150</v>
          </cell>
          <cell r="K163">
            <v>100</v>
          </cell>
          <cell r="L163" t="str">
            <v>使用后士兵训练加速3小时</v>
          </cell>
        </row>
        <row r="164">
          <cell r="C164">
            <v>21145</v>
          </cell>
          <cell r="D164" t="str">
            <v>圣人8小时加速令</v>
          </cell>
          <cell r="E164">
            <v>160</v>
          </cell>
          <cell r="F164">
            <v>3</v>
          </cell>
          <cell r="G164">
            <v>2.5</v>
          </cell>
          <cell r="H164">
            <v>1</v>
          </cell>
          <cell r="I164">
            <v>480</v>
          </cell>
          <cell r="J164">
            <v>400</v>
          </cell>
          <cell r="K164">
            <v>160</v>
          </cell>
          <cell r="L164" t="str">
            <v>使用后士兵训练加速8小时</v>
          </cell>
        </row>
        <row r="165">
          <cell r="C165" t="str">
            <v/>
          </cell>
          <cell r="D165" t="str">
            <v/>
          </cell>
          <cell r="E165" t="str">
            <v/>
          </cell>
          <cell r="F165">
            <v>3</v>
          </cell>
          <cell r="G165">
            <v>2.5</v>
          </cell>
          <cell r="H165">
            <v>1</v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</row>
        <row r="166">
          <cell r="C166">
            <v>21125</v>
          </cell>
          <cell r="D166" t="str">
            <v>通用1分钟加速令</v>
          </cell>
          <cell r="E166">
            <v>2</v>
          </cell>
          <cell r="F166">
            <v>1</v>
          </cell>
          <cell r="G166">
            <v>1</v>
          </cell>
          <cell r="H166">
            <v>1</v>
          </cell>
          <cell r="I166">
            <v>2</v>
          </cell>
          <cell r="J166">
            <v>2</v>
          </cell>
          <cell r="K166">
            <v>2</v>
          </cell>
          <cell r="L166" t="str">
            <v>使用后任意队列加速1分钟</v>
          </cell>
        </row>
        <row r="167">
          <cell r="C167">
            <v>21126</v>
          </cell>
          <cell r="D167" t="str">
            <v>通用5分钟加速令</v>
          </cell>
          <cell r="E167">
            <v>8</v>
          </cell>
          <cell r="F167">
            <v>1</v>
          </cell>
          <cell r="G167">
            <v>1</v>
          </cell>
          <cell r="H167">
            <v>1</v>
          </cell>
          <cell r="I167">
            <v>8</v>
          </cell>
          <cell r="J167">
            <v>8</v>
          </cell>
          <cell r="K167">
            <v>8</v>
          </cell>
          <cell r="L167" t="str">
            <v>使用后任意队列加速5分钟</v>
          </cell>
        </row>
        <row r="168">
          <cell r="C168">
            <v>21127</v>
          </cell>
          <cell r="D168" t="str">
            <v>通用20分钟加速令</v>
          </cell>
          <cell r="E168">
            <v>20</v>
          </cell>
          <cell r="F168">
            <v>1</v>
          </cell>
          <cell r="G168">
            <v>1</v>
          </cell>
          <cell r="H168">
            <v>1</v>
          </cell>
          <cell r="I168">
            <v>20</v>
          </cell>
          <cell r="J168">
            <v>20</v>
          </cell>
          <cell r="K168">
            <v>20</v>
          </cell>
          <cell r="L168" t="str">
            <v>使用后任意队列加速20分钟</v>
          </cell>
        </row>
        <row r="169">
          <cell r="C169">
            <v>21128</v>
          </cell>
          <cell r="D169" t="str">
            <v>通用1小时加速令</v>
          </cell>
          <cell r="E169">
            <v>50</v>
          </cell>
          <cell r="F169">
            <v>1.2</v>
          </cell>
          <cell r="G169">
            <v>1</v>
          </cell>
          <cell r="H169">
            <v>1</v>
          </cell>
          <cell r="I169">
            <v>60</v>
          </cell>
          <cell r="J169">
            <v>50</v>
          </cell>
          <cell r="K169">
            <v>50</v>
          </cell>
          <cell r="L169" t="str">
            <v>使用后任意队列加速1小时</v>
          </cell>
        </row>
        <row r="170">
          <cell r="C170">
            <v>21129</v>
          </cell>
          <cell r="D170" t="str">
            <v>通用3小时加速令</v>
          </cell>
          <cell r="E170">
            <v>100</v>
          </cell>
          <cell r="F170">
            <v>1.8</v>
          </cell>
          <cell r="G170">
            <v>1.5</v>
          </cell>
          <cell r="H170">
            <v>1</v>
          </cell>
          <cell r="I170">
            <v>180</v>
          </cell>
          <cell r="J170">
            <v>150</v>
          </cell>
          <cell r="K170">
            <v>100</v>
          </cell>
          <cell r="L170" t="str">
            <v>使用后任意队列加速3小时</v>
          </cell>
        </row>
        <row r="171">
          <cell r="C171">
            <v>21138</v>
          </cell>
          <cell r="D171" t="str">
            <v>通用8小时加速令</v>
          </cell>
          <cell r="E171">
            <v>160</v>
          </cell>
          <cell r="F171">
            <v>3</v>
          </cell>
          <cell r="G171">
            <v>2.5</v>
          </cell>
          <cell r="H171">
            <v>1</v>
          </cell>
          <cell r="I171">
            <v>480</v>
          </cell>
          <cell r="J171">
            <v>400</v>
          </cell>
          <cell r="K171">
            <v>160</v>
          </cell>
          <cell r="L171" t="str">
            <v>使用后任意队列加速8小时</v>
          </cell>
        </row>
        <row r="172">
          <cell r="C172" t="str">
            <v/>
          </cell>
          <cell r="D172" t="str">
            <v/>
          </cell>
          <cell r="E172" t="str">
            <v/>
          </cell>
          <cell r="F172">
            <v>3</v>
          </cell>
          <cell r="G172">
            <v>2.5</v>
          </cell>
          <cell r="H172">
            <v>1</v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</row>
        <row r="173">
          <cell r="C173" t="str">
            <v/>
          </cell>
          <cell r="D173" t="str">
            <v/>
          </cell>
          <cell r="E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</row>
        <row r="174">
          <cell r="C174">
            <v>21150</v>
          </cell>
          <cell r="D174" t="str">
            <v>初级装备淬炼</v>
          </cell>
          <cell r="E174">
            <v>10</v>
          </cell>
          <cell r="F174">
            <v>1</v>
          </cell>
          <cell r="G174">
            <v>1</v>
          </cell>
          <cell r="H174">
            <v>1</v>
          </cell>
          <cell r="I174">
            <v>10</v>
          </cell>
          <cell r="J174">
            <v>10</v>
          </cell>
          <cell r="K174">
            <v>10</v>
          </cell>
          <cell r="L174" t="str">
            <v>装备使用后获得10经验</v>
          </cell>
        </row>
        <row r="175">
          <cell r="C175">
            <v>21151</v>
          </cell>
          <cell r="D175" t="str">
            <v>中级装备淬炼</v>
          </cell>
          <cell r="E175">
            <v>20</v>
          </cell>
          <cell r="F175">
            <v>1</v>
          </cell>
          <cell r="G175">
            <v>1</v>
          </cell>
          <cell r="H175">
            <v>1</v>
          </cell>
          <cell r="I175">
            <v>20</v>
          </cell>
          <cell r="J175">
            <v>20</v>
          </cell>
          <cell r="K175">
            <v>20</v>
          </cell>
          <cell r="L175" t="str">
            <v>装备使用后获得20经验</v>
          </cell>
        </row>
        <row r="176">
          <cell r="C176">
            <v>21152</v>
          </cell>
          <cell r="D176" t="str">
            <v>高级装备淬炼</v>
          </cell>
          <cell r="E176">
            <v>40</v>
          </cell>
          <cell r="F176">
            <v>1</v>
          </cell>
          <cell r="G176">
            <v>1</v>
          </cell>
          <cell r="H176">
            <v>1</v>
          </cell>
          <cell r="I176">
            <v>40</v>
          </cell>
          <cell r="J176">
            <v>40</v>
          </cell>
          <cell r="K176">
            <v>40</v>
          </cell>
          <cell r="L176" t="str">
            <v>装备使用后获得40经验</v>
          </cell>
        </row>
        <row r="177">
          <cell r="C177">
            <v>21153</v>
          </cell>
          <cell r="D177" t="str">
            <v>特级装备淬炼</v>
          </cell>
          <cell r="E177">
            <v>75</v>
          </cell>
          <cell r="F177">
            <v>1.25</v>
          </cell>
          <cell r="G177">
            <v>1</v>
          </cell>
          <cell r="H177">
            <v>1</v>
          </cell>
          <cell r="I177">
            <v>93.75</v>
          </cell>
          <cell r="J177">
            <v>75</v>
          </cell>
          <cell r="K177">
            <v>75</v>
          </cell>
          <cell r="L177" t="str">
            <v>装备使用后获得75经验</v>
          </cell>
        </row>
        <row r="178">
          <cell r="C178">
            <v>21154</v>
          </cell>
          <cell r="D178" t="str">
            <v>超级装备淬炼</v>
          </cell>
          <cell r="E178">
            <v>150</v>
          </cell>
          <cell r="F178">
            <v>1.5</v>
          </cell>
          <cell r="G178">
            <v>1</v>
          </cell>
          <cell r="H178">
            <v>1</v>
          </cell>
          <cell r="I178">
            <v>225</v>
          </cell>
          <cell r="J178">
            <v>150</v>
          </cell>
          <cell r="K178">
            <v>150</v>
          </cell>
          <cell r="L178" t="str">
            <v>装备使用后获得150经验</v>
          </cell>
        </row>
        <row r="179">
          <cell r="C179" t="str">
            <v/>
          </cell>
          <cell r="D179" t="str">
            <v/>
          </cell>
          <cell r="E179" t="str">
            <v/>
          </cell>
          <cell r="F179">
            <v>3</v>
          </cell>
          <cell r="G179">
            <v>2.5</v>
          </cell>
          <cell r="H179">
            <v>1</v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</row>
        <row r="180">
          <cell r="C180">
            <v>21500</v>
          </cell>
          <cell r="D180" t="str">
            <v>随机迁城令</v>
          </cell>
          <cell r="E180">
            <v>100</v>
          </cell>
          <cell r="F180">
            <v>1</v>
          </cell>
          <cell r="G180">
            <v>1</v>
          </cell>
          <cell r="H180">
            <v>1</v>
          </cell>
          <cell r="I180">
            <v>100</v>
          </cell>
          <cell r="J180">
            <v>100</v>
          </cell>
          <cell r="K180">
            <v>100</v>
          </cell>
          <cell r="L180" t="str">
            <v>使用后城池迁移到随机位置</v>
          </cell>
        </row>
        <row r="181">
          <cell r="C181">
            <v>21501</v>
          </cell>
          <cell r="D181" t="str">
            <v>九州迁城令</v>
          </cell>
          <cell r="E181">
            <v>300</v>
          </cell>
          <cell r="F181">
            <v>1</v>
          </cell>
          <cell r="G181">
            <v>1</v>
          </cell>
          <cell r="H181">
            <v>1</v>
          </cell>
          <cell r="I181">
            <v>300</v>
          </cell>
          <cell r="J181">
            <v>300</v>
          </cell>
          <cell r="K181">
            <v>300</v>
          </cell>
          <cell r="L181" t="str">
            <v>使用后城池迁移到指定位置</v>
          </cell>
        </row>
        <row r="182">
          <cell r="C182">
            <v>21504</v>
          </cell>
          <cell r="D182" t="str">
            <v>国内迁城令</v>
          </cell>
          <cell r="E182">
            <v>100</v>
          </cell>
          <cell r="F182">
            <v>1</v>
          </cell>
          <cell r="G182">
            <v>1</v>
          </cell>
          <cell r="H182">
            <v>1</v>
          </cell>
          <cell r="I182">
            <v>100</v>
          </cell>
          <cell r="J182">
            <v>100</v>
          </cell>
          <cell r="K182">
            <v>100</v>
          </cell>
          <cell r="L182" t="str">
            <v>使用后城池迁移到国内指定位置</v>
          </cell>
        </row>
        <row r="183">
          <cell r="C183">
            <v>21502</v>
          </cell>
          <cell r="D183" t="str">
            <v>校武牌</v>
          </cell>
          <cell r="E183">
            <v>20</v>
          </cell>
          <cell r="F183">
            <v>1</v>
          </cell>
          <cell r="G183">
            <v>1</v>
          </cell>
          <cell r="H183">
            <v>1</v>
          </cell>
          <cell r="I183">
            <v>20</v>
          </cell>
          <cell r="J183">
            <v>20</v>
          </cell>
          <cell r="K183">
            <v>20</v>
          </cell>
          <cell r="L183" t="str">
            <v>使用后增加1次校场挑战机会</v>
          </cell>
        </row>
        <row r="184">
          <cell r="C184">
            <v>21503</v>
          </cell>
          <cell r="D184" t="str">
            <v>复仇令</v>
          </cell>
          <cell r="E184">
            <v>50</v>
          </cell>
          <cell r="F184">
            <v>1</v>
          </cell>
          <cell r="G184">
            <v>1</v>
          </cell>
          <cell r="H184">
            <v>1</v>
          </cell>
          <cell r="I184">
            <v>50</v>
          </cell>
          <cell r="J184">
            <v>50</v>
          </cell>
          <cell r="K184">
            <v>50</v>
          </cell>
          <cell r="L184" t="str">
            <v>被其他玩家攻击后，可以通过复仇令追查到该玩家城池所在坐标</v>
          </cell>
        </row>
        <row r="185">
          <cell r="C185" t="str">
            <v/>
          </cell>
          <cell r="D185" t="str">
            <v/>
          </cell>
          <cell r="E185" t="str">
            <v/>
          </cell>
          <cell r="F185">
            <v>1.25</v>
          </cell>
          <cell r="G185">
            <v>1</v>
          </cell>
          <cell r="H185">
            <v>1</v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</row>
        <row r="186">
          <cell r="C186">
            <v>26400</v>
          </cell>
          <cell r="D186" t="str">
            <v>步兵虎符</v>
          </cell>
          <cell r="E186">
            <v>200</v>
          </cell>
          <cell r="F186">
            <v>1</v>
          </cell>
          <cell r="G186">
            <v>1</v>
          </cell>
          <cell r="H186">
            <v>1</v>
          </cell>
          <cell r="I186">
            <v>200</v>
          </cell>
          <cell r="J186">
            <v>200</v>
          </cell>
          <cell r="K186">
            <v>200</v>
          </cell>
          <cell r="L186" t="str">
            <v>使用后立即获得10000步兵新兵</v>
          </cell>
        </row>
        <row r="187">
          <cell r="C187">
            <v>26401</v>
          </cell>
          <cell r="D187" t="str">
            <v>骑兵虎符</v>
          </cell>
          <cell r="E187">
            <v>200</v>
          </cell>
          <cell r="F187">
            <v>1</v>
          </cell>
          <cell r="G187">
            <v>1</v>
          </cell>
          <cell r="H187">
            <v>1</v>
          </cell>
          <cell r="I187">
            <v>200</v>
          </cell>
          <cell r="J187">
            <v>200</v>
          </cell>
          <cell r="K187">
            <v>200</v>
          </cell>
          <cell r="L187" t="str">
            <v>使用后立即获得10000骑兵新兵</v>
          </cell>
        </row>
        <row r="188">
          <cell r="C188">
            <v>26402</v>
          </cell>
          <cell r="D188" t="str">
            <v>弓箭虎符</v>
          </cell>
          <cell r="E188">
            <v>200</v>
          </cell>
          <cell r="F188">
            <v>1</v>
          </cell>
          <cell r="G188">
            <v>1</v>
          </cell>
          <cell r="H188">
            <v>1</v>
          </cell>
          <cell r="I188">
            <v>200</v>
          </cell>
          <cell r="J188">
            <v>200</v>
          </cell>
          <cell r="K188">
            <v>200</v>
          </cell>
          <cell r="L188" t="str">
            <v>使用后立即获得10000弓箭新兵</v>
          </cell>
        </row>
        <row r="189">
          <cell r="C189">
            <v>26403</v>
          </cell>
          <cell r="D189" t="str">
            <v>器械虎符</v>
          </cell>
          <cell r="E189">
            <v>200</v>
          </cell>
          <cell r="F189">
            <v>1</v>
          </cell>
          <cell r="G189">
            <v>1</v>
          </cell>
          <cell r="H189">
            <v>1</v>
          </cell>
          <cell r="I189">
            <v>200</v>
          </cell>
          <cell r="J189">
            <v>200</v>
          </cell>
          <cell r="K189">
            <v>200</v>
          </cell>
          <cell r="L189" t="str">
            <v>使用后立即获得10000器械兵新兵</v>
          </cell>
        </row>
        <row r="190">
          <cell r="C190" t="str">
            <v/>
          </cell>
          <cell r="D190" t="str">
            <v/>
          </cell>
          <cell r="E190" t="str">
            <v/>
          </cell>
          <cell r="F190">
            <v>1</v>
          </cell>
          <cell r="G190">
            <v>1</v>
          </cell>
          <cell r="H190">
            <v>1</v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</row>
        <row r="191">
          <cell r="C191">
            <v>26500</v>
          </cell>
          <cell r="D191" t="str">
            <v>兵法宝箱</v>
          </cell>
          <cell r="E191">
            <v>250</v>
          </cell>
          <cell r="F191">
            <v>1</v>
          </cell>
          <cell r="G191">
            <v>1</v>
          </cell>
          <cell r="H191">
            <v>1</v>
          </cell>
          <cell r="I191">
            <v>250</v>
          </cell>
          <cell r="J191">
            <v>250</v>
          </cell>
          <cell r="K191">
            <v>250</v>
          </cell>
          <cell r="L191" t="str">
            <v>使用后随机获得1个兵法</v>
          </cell>
        </row>
        <row r="192">
          <cell r="C192">
            <v>26501</v>
          </cell>
          <cell r="D192" t="str">
            <v>蓝色兵法宝箱</v>
          </cell>
          <cell r="E192">
            <v>50</v>
          </cell>
          <cell r="F192">
            <v>1</v>
          </cell>
          <cell r="G192">
            <v>1</v>
          </cell>
          <cell r="H192">
            <v>1</v>
          </cell>
          <cell r="I192">
            <v>50</v>
          </cell>
          <cell r="J192">
            <v>50</v>
          </cell>
          <cell r="K192">
            <v>50</v>
          </cell>
          <cell r="L192" t="str">
            <v>使用后随机获得1个蓝色品质兵法</v>
          </cell>
        </row>
        <row r="193">
          <cell r="C193">
            <v>26502</v>
          </cell>
          <cell r="D193" t="str">
            <v>紫色兵法宝箱</v>
          </cell>
          <cell r="E193">
            <v>500</v>
          </cell>
          <cell r="F193">
            <v>1</v>
          </cell>
          <cell r="G193">
            <v>1</v>
          </cell>
          <cell r="H193">
            <v>1</v>
          </cell>
          <cell r="I193">
            <v>500</v>
          </cell>
          <cell r="J193">
            <v>500</v>
          </cell>
          <cell r="K193">
            <v>500</v>
          </cell>
          <cell r="L193" t="str">
            <v>使用后随机获得1个紫色品质兵法</v>
          </cell>
        </row>
        <row r="194">
          <cell r="C194">
            <v>26503</v>
          </cell>
          <cell r="D194" t="str">
            <v>橙色兵法宝箱</v>
          </cell>
          <cell r="E194">
            <v>1680</v>
          </cell>
          <cell r="F194">
            <v>1</v>
          </cell>
          <cell r="G194">
            <v>1</v>
          </cell>
          <cell r="H194">
            <v>1</v>
          </cell>
          <cell r="I194">
            <v>1680</v>
          </cell>
          <cell r="J194">
            <v>1680</v>
          </cell>
          <cell r="K194">
            <v>1680</v>
          </cell>
          <cell r="L194" t="str">
            <v>使用后随机获得1个橙色品质兵法</v>
          </cell>
        </row>
        <row r="195">
          <cell r="C195">
            <v>26504</v>
          </cell>
          <cell r="D195" t="str">
            <v>红色兵法宝箱</v>
          </cell>
          <cell r="E195">
            <v>14100</v>
          </cell>
          <cell r="F195">
            <v>1</v>
          </cell>
          <cell r="G195">
            <v>1</v>
          </cell>
          <cell r="H195">
            <v>1</v>
          </cell>
          <cell r="I195">
            <v>14100</v>
          </cell>
          <cell r="J195">
            <v>14100</v>
          </cell>
          <cell r="K195">
            <v>14100</v>
          </cell>
          <cell r="L195" t="str">
            <v>使用后随机获得1个红色品质兵法</v>
          </cell>
        </row>
        <row r="196">
          <cell r="C196" t="str">
            <v/>
          </cell>
          <cell r="D196" t="str">
            <v>指定or任选蓝色兵法</v>
          </cell>
          <cell r="E196">
            <v>35</v>
          </cell>
          <cell r="F196">
            <v>1</v>
          </cell>
          <cell r="G196">
            <v>1</v>
          </cell>
          <cell r="H196">
            <v>1</v>
          </cell>
          <cell r="I196">
            <v>35</v>
          </cell>
          <cell r="J196">
            <v>35</v>
          </cell>
          <cell r="K196">
            <v>35</v>
          </cell>
          <cell r="L196" t="str">
            <v/>
          </cell>
        </row>
        <row r="197">
          <cell r="C197" t="str">
            <v/>
          </cell>
          <cell r="D197" t="str">
            <v>指定or任选紫色兵法</v>
          </cell>
          <cell r="E197">
            <v>750</v>
          </cell>
          <cell r="F197">
            <v>1</v>
          </cell>
          <cell r="G197">
            <v>1</v>
          </cell>
          <cell r="H197">
            <v>1</v>
          </cell>
          <cell r="I197">
            <v>750</v>
          </cell>
          <cell r="J197">
            <v>750</v>
          </cell>
          <cell r="K197">
            <v>750</v>
          </cell>
          <cell r="L197" t="str">
            <v/>
          </cell>
        </row>
        <row r="198">
          <cell r="C198" t="str">
            <v/>
          </cell>
          <cell r="D198" t="str">
            <v>指定or任选橙色兵法</v>
          </cell>
          <cell r="E198">
            <v>3350</v>
          </cell>
          <cell r="F198">
            <v>1</v>
          </cell>
          <cell r="G198">
            <v>1</v>
          </cell>
          <cell r="H198">
            <v>1</v>
          </cell>
          <cell r="I198">
            <v>3350</v>
          </cell>
          <cell r="J198">
            <v>3350</v>
          </cell>
          <cell r="K198">
            <v>3350</v>
          </cell>
          <cell r="L198" t="str">
            <v/>
          </cell>
        </row>
        <row r="199">
          <cell r="C199" t="str">
            <v/>
          </cell>
          <cell r="D199" t="str">
            <v>指定or任选红色兵法</v>
          </cell>
          <cell r="E199">
            <v>9165</v>
          </cell>
          <cell r="F199">
            <v>1</v>
          </cell>
          <cell r="G199">
            <v>1</v>
          </cell>
          <cell r="H199">
            <v>1</v>
          </cell>
          <cell r="I199">
            <v>9165</v>
          </cell>
          <cell r="J199">
            <v>9165</v>
          </cell>
          <cell r="K199">
            <v>9165</v>
          </cell>
          <cell r="L199" t="str">
            <v/>
          </cell>
        </row>
        <row r="200">
          <cell r="C200">
            <v>26505</v>
          </cell>
          <cell r="D200" t="str">
            <v>兵家信物</v>
          </cell>
          <cell r="E200">
            <v>300</v>
          </cell>
          <cell r="F200">
            <v>1</v>
          </cell>
          <cell r="G200">
            <v>1</v>
          </cell>
          <cell r="H200">
            <v>1</v>
          </cell>
          <cell r="I200">
            <v>300</v>
          </cell>
          <cell r="J200">
            <v>300</v>
          </cell>
          <cell r="K200">
            <v>300</v>
          </cell>
          <cell r="L200" t="str">
            <v>抽取兵法时消耗的道具（赠送10个5分钟通用加速）</v>
          </cell>
        </row>
        <row r="201">
          <cell r="C201" t="str">
            <v/>
          </cell>
          <cell r="D201" t="str">
            <v/>
          </cell>
          <cell r="E201" t="str">
            <v/>
          </cell>
          <cell r="F201">
            <v>1</v>
          </cell>
          <cell r="G201">
            <v>1</v>
          </cell>
          <cell r="H201">
            <v>1</v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</row>
        <row r="202">
          <cell r="C202" t="str">
            <v/>
          </cell>
          <cell r="D202" t="str">
            <v/>
          </cell>
          <cell r="E202" t="str">
            <v/>
          </cell>
          <cell r="F202">
            <v>1</v>
          </cell>
          <cell r="G202">
            <v>1</v>
          </cell>
          <cell r="H202">
            <v>1</v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</row>
        <row r="203">
          <cell r="C203">
            <v>26520</v>
          </cell>
          <cell r="D203" t="str">
            <v>紫色兵法自选宝箱</v>
          </cell>
          <cell r="E203">
            <v>750</v>
          </cell>
          <cell r="F203">
            <v>1</v>
          </cell>
          <cell r="G203">
            <v>1</v>
          </cell>
          <cell r="H203">
            <v>1</v>
          </cell>
          <cell r="I203">
            <v>750</v>
          </cell>
          <cell r="J203">
            <v>750</v>
          </cell>
          <cell r="K203">
            <v>750</v>
          </cell>
          <cell r="L203" t="str">
            <v>使用后可选择一个紫色兵法。紫色兵法：攻其不备、出奇制胜、破军夺志</v>
          </cell>
        </row>
        <row r="204">
          <cell r="C204">
            <v>26521</v>
          </cell>
          <cell r="D204" t="str">
            <v>橙色兵法自选宝箱</v>
          </cell>
          <cell r="E204">
            <v>3350</v>
          </cell>
          <cell r="F204">
            <v>1</v>
          </cell>
          <cell r="G204">
            <v>1</v>
          </cell>
          <cell r="H204">
            <v>1</v>
          </cell>
          <cell r="I204">
            <v>3350</v>
          </cell>
          <cell r="J204">
            <v>3350</v>
          </cell>
          <cell r="K204">
            <v>3350</v>
          </cell>
          <cell r="L204" t="str">
            <v>使用后可选择一个橙色兵法。橙色兵法：援军秘策、养精蓄锐、退敌千里、奇佐鬼谋</v>
          </cell>
        </row>
        <row r="205">
          <cell r="C205" t="str">
            <v/>
          </cell>
          <cell r="D205" t="str">
            <v/>
          </cell>
          <cell r="E205" t="str">
            <v/>
          </cell>
          <cell r="F205">
            <v>1</v>
          </cell>
          <cell r="G205">
            <v>1</v>
          </cell>
          <cell r="H205">
            <v>1</v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</row>
        <row r="206">
          <cell r="C206">
            <v>26551</v>
          </cell>
          <cell r="D206" t="str">
            <v>虎符宝箱</v>
          </cell>
          <cell r="E206">
            <v>160</v>
          </cell>
          <cell r="F206">
            <v>1</v>
          </cell>
          <cell r="G206">
            <v>1</v>
          </cell>
          <cell r="H206">
            <v>1</v>
          </cell>
          <cell r="I206">
            <v>160</v>
          </cell>
          <cell r="J206">
            <v>160</v>
          </cell>
          <cell r="K206">
            <v>160</v>
          </cell>
          <cell r="L206" t="str">
            <v>使用后随机获得1个虎符</v>
          </cell>
        </row>
        <row r="207">
          <cell r="C207">
            <v>26552</v>
          </cell>
          <cell r="D207" t="str">
            <v>1级贡品宝箱</v>
          </cell>
          <cell r="E207">
            <v>40</v>
          </cell>
          <cell r="F207">
            <v>1</v>
          </cell>
          <cell r="G207">
            <v>1</v>
          </cell>
          <cell r="H207">
            <v>1</v>
          </cell>
          <cell r="I207">
            <v>40</v>
          </cell>
          <cell r="J207">
            <v>40</v>
          </cell>
          <cell r="K207">
            <v>40</v>
          </cell>
          <cell r="L207" t="str">
            <v>使用后随机获得铜镜、陶罐中的1个贡品</v>
          </cell>
        </row>
        <row r="208">
          <cell r="C208">
            <v>26553</v>
          </cell>
          <cell r="D208" t="str">
            <v>2级贡品宝箱</v>
          </cell>
          <cell r="E208">
            <v>60</v>
          </cell>
          <cell r="F208">
            <v>1</v>
          </cell>
          <cell r="G208">
            <v>1</v>
          </cell>
          <cell r="H208">
            <v>1</v>
          </cell>
          <cell r="I208">
            <v>60</v>
          </cell>
          <cell r="J208">
            <v>60</v>
          </cell>
          <cell r="K208">
            <v>60</v>
          </cell>
          <cell r="L208" t="str">
            <v>使用后随机获得水晶杯、香鼎、铜壶中的1个贡品</v>
          </cell>
        </row>
        <row r="209">
          <cell r="C209">
            <v>26554</v>
          </cell>
          <cell r="D209" t="str">
            <v>3级贡品宝箱</v>
          </cell>
          <cell r="E209">
            <v>80</v>
          </cell>
          <cell r="F209">
            <v>1</v>
          </cell>
          <cell r="G209">
            <v>1</v>
          </cell>
          <cell r="H209">
            <v>1</v>
          </cell>
          <cell r="I209">
            <v>80</v>
          </cell>
          <cell r="J209">
            <v>80</v>
          </cell>
          <cell r="K209">
            <v>80</v>
          </cell>
          <cell r="L209" t="str">
            <v>使用后随机获得长颈壶、方陶皿、兽头觥、象形尊中的1个贡品</v>
          </cell>
        </row>
        <row r="210">
          <cell r="C210">
            <v>26555</v>
          </cell>
          <cell r="D210" t="str">
            <v>4级贡品宝箱</v>
          </cell>
          <cell r="E210">
            <v>100</v>
          </cell>
          <cell r="F210">
            <v>1</v>
          </cell>
          <cell r="G210">
            <v>1</v>
          </cell>
          <cell r="H210">
            <v>1</v>
          </cell>
          <cell r="I210">
            <v>100</v>
          </cell>
          <cell r="J210">
            <v>100</v>
          </cell>
          <cell r="K210">
            <v>100</v>
          </cell>
          <cell r="L210" t="str">
            <v>使用后随机获得冰鉴、螭首盉、三足爵、鎏金缶中的1个贡品</v>
          </cell>
        </row>
        <row r="211">
          <cell r="C211">
            <v>26556</v>
          </cell>
          <cell r="D211" t="str">
            <v>5级贡品宝箱</v>
          </cell>
          <cell r="E211">
            <v>120</v>
          </cell>
          <cell r="F211">
            <v>1</v>
          </cell>
          <cell r="G211">
            <v>1</v>
          </cell>
          <cell r="H211">
            <v>1</v>
          </cell>
          <cell r="I211">
            <v>120</v>
          </cell>
          <cell r="J211">
            <v>120</v>
          </cell>
          <cell r="K211">
            <v>120</v>
          </cell>
          <cell r="L211" t="str">
            <v>使用后随机获得锦瑟、编钟、石磬、瑶琴中的1个贡品</v>
          </cell>
        </row>
        <row r="212">
          <cell r="C212">
            <v>26557</v>
          </cell>
          <cell r="D212" t="str">
            <v>6级贡品宝箱</v>
          </cell>
          <cell r="E212">
            <v>140</v>
          </cell>
          <cell r="F212">
            <v>1</v>
          </cell>
          <cell r="G212">
            <v>1</v>
          </cell>
          <cell r="H212">
            <v>1</v>
          </cell>
          <cell r="I212">
            <v>140</v>
          </cell>
          <cell r="J212">
            <v>140</v>
          </cell>
          <cell r="K212">
            <v>140</v>
          </cell>
          <cell r="L212" t="str">
            <v>使用后随机获得青圭、赤璋、白琥、玄璜中的1个贡品</v>
          </cell>
        </row>
        <row r="213">
          <cell r="C213" t="str">
            <v/>
          </cell>
          <cell r="D213" t="str">
            <v/>
          </cell>
          <cell r="E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</row>
        <row r="214">
          <cell r="C214">
            <v>21251</v>
          </cell>
          <cell r="D214" t="str">
            <v>绿色装备宝箱</v>
          </cell>
          <cell r="E214">
            <v>35</v>
          </cell>
          <cell r="F214">
            <v>1</v>
          </cell>
          <cell r="G214">
            <v>1</v>
          </cell>
          <cell r="H214">
            <v>1</v>
          </cell>
          <cell r="I214">
            <v>35</v>
          </cell>
          <cell r="J214">
            <v>35</v>
          </cell>
          <cell r="K214">
            <v>35</v>
          </cell>
          <cell r="L214" t="str">
            <v>使用后随机获得1件品质为绿色的装备</v>
          </cell>
        </row>
        <row r="215">
          <cell r="C215">
            <v>21252</v>
          </cell>
          <cell r="D215" t="str">
            <v>蓝色装备宝箱</v>
          </cell>
          <cell r="E215">
            <v>75</v>
          </cell>
          <cell r="F215">
            <v>1</v>
          </cell>
          <cell r="G215">
            <v>1</v>
          </cell>
          <cell r="H215">
            <v>1</v>
          </cell>
          <cell r="I215">
            <v>75</v>
          </cell>
          <cell r="J215">
            <v>75</v>
          </cell>
          <cell r="K215">
            <v>75</v>
          </cell>
          <cell r="L215" t="str">
            <v>使用后随机获得1件品质为蓝色的装备</v>
          </cell>
        </row>
        <row r="216">
          <cell r="C216">
            <v>21253</v>
          </cell>
          <cell r="D216" t="str">
            <v>紫色装备宝箱</v>
          </cell>
          <cell r="E216">
            <v>150</v>
          </cell>
          <cell r="F216">
            <v>1</v>
          </cell>
          <cell r="G216">
            <v>1</v>
          </cell>
          <cell r="H216">
            <v>1</v>
          </cell>
          <cell r="I216">
            <v>150</v>
          </cell>
          <cell r="J216">
            <v>150</v>
          </cell>
          <cell r="K216">
            <v>150</v>
          </cell>
          <cell r="L216" t="str">
            <v>使用后随机获得1件品质为紫色的装备</v>
          </cell>
        </row>
        <row r="217">
          <cell r="C217">
            <v>21254</v>
          </cell>
          <cell r="D217" t="str">
            <v>橙色装备宝箱</v>
          </cell>
          <cell r="E217">
            <v>320</v>
          </cell>
          <cell r="F217">
            <v>1</v>
          </cell>
          <cell r="G217">
            <v>1</v>
          </cell>
          <cell r="H217">
            <v>1</v>
          </cell>
          <cell r="I217">
            <v>320</v>
          </cell>
          <cell r="J217">
            <v>320</v>
          </cell>
          <cell r="K217">
            <v>320</v>
          </cell>
          <cell r="L217" t="str">
            <v>使用后随机获得1件品质为橙色的装备</v>
          </cell>
        </row>
        <row r="218">
          <cell r="C218">
            <v>21255</v>
          </cell>
          <cell r="D218" t="str">
            <v>红色装备宝箱</v>
          </cell>
          <cell r="E218">
            <v>2400</v>
          </cell>
          <cell r="F218">
            <v>1</v>
          </cell>
          <cell r="G218">
            <v>1</v>
          </cell>
          <cell r="H218">
            <v>1</v>
          </cell>
          <cell r="I218">
            <v>2400</v>
          </cell>
          <cell r="J218">
            <v>2400</v>
          </cell>
          <cell r="K218">
            <v>2400</v>
          </cell>
          <cell r="L218" t="str">
            <v>使用后随机获得1件品质为红色的装备</v>
          </cell>
        </row>
        <row r="219">
          <cell r="C219" t="str">
            <v/>
          </cell>
          <cell r="D219" t="str">
            <v/>
          </cell>
          <cell r="E219" t="str">
            <v/>
          </cell>
          <cell r="F219">
            <v>1</v>
          </cell>
          <cell r="G219">
            <v>1</v>
          </cell>
          <cell r="H219">
            <v>1</v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</row>
        <row r="220">
          <cell r="C220">
            <v>20052</v>
          </cell>
          <cell r="D220" t="str">
            <v>练军心得·觉</v>
          </cell>
          <cell r="E220">
            <v>40</v>
          </cell>
          <cell r="F220">
            <v>1</v>
          </cell>
          <cell r="G220">
            <v>1</v>
          </cell>
          <cell r="H220">
            <v>1</v>
          </cell>
          <cell r="I220">
            <v>40</v>
          </cell>
          <cell r="J220">
            <v>40</v>
          </cell>
          <cell r="K220">
            <v>40</v>
          </cell>
          <cell r="L220" t="str">
            <v>掌军之策，厉兵秣马，可用于武将觉醒</v>
          </cell>
        </row>
        <row r="221">
          <cell r="C221">
            <v>20053</v>
          </cell>
          <cell r="D221" t="str">
            <v>策论心得·觉</v>
          </cell>
          <cell r="E221">
            <v>40</v>
          </cell>
          <cell r="F221">
            <v>1</v>
          </cell>
          <cell r="G221">
            <v>1</v>
          </cell>
          <cell r="H221">
            <v>1</v>
          </cell>
          <cell r="I221">
            <v>40</v>
          </cell>
          <cell r="J221">
            <v>40</v>
          </cell>
          <cell r="K221">
            <v>40</v>
          </cell>
          <cell r="L221" t="str">
            <v>书山万卷，算无遗策，可用于武将觉醒</v>
          </cell>
        </row>
        <row r="222">
          <cell r="C222">
            <v>20054</v>
          </cell>
          <cell r="D222" t="str">
            <v>兵书心得·觉</v>
          </cell>
          <cell r="E222">
            <v>40</v>
          </cell>
          <cell r="F222">
            <v>1</v>
          </cell>
          <cell r="G222">
            <v>1</v>
          </cell>
          <cell r="H222">
            <v>1</v>
          </cell>
          <cell r="I222">
            <v>40</v>
          </cell>
          <cell r="J222">
            <v>40</v>
          </cell>
          <cell r="K222">
            <v>40</v>
          </cell>
          <cell r="L222" t="str">
            <v>千军万马，文韬武略，可用于武将觉醒</v>
          </cell>
        </row>
        <row r="223">
          <cell r="C223" t="str">
            <v/>
          </cell>
          <cell r="D223" t="str">
            <v/>
          </cell>
          <cell r="E223" t="str">
            <v/>
          </cell>
          <cell r="F223">
            <v>1</v>
          </cell>
          <cell r="G223">
            <v>1</v>
          </cell>
          <cell r="H223">
            <v>1</v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</row>
        <row r="224">
          <cell r="C224">
            <v>20055</v>
          </cell>
          <cell r="D224" t="str">
            <v>虎咬佩剑·觉</v>
          </cell>
          <cell r="E224">
            <v>60</v>
          </cell>
          <cell r="F224">
            <v>1</v>
          </cell>
          <cell r="G224">
            <v>1</v>
          </cell>
          <cell r="H224">
            <v>1</v>
          </cell>
          <cell r="I224">
            <v>60</v>
          </cell>
          <cell r="J224">
            <v>60</v>
          </cell>
          <cell r="K224">
            <v>60</v>
          </cell>
          <cell r="L224" t="str">
            <v>卧虎藏龙，剑及履及，可用于武将觉醒</v>
          </cell>
        </row>
        <row r="225">
          <cell r="C225">
            <v>20056</v>
          </cell>
          <cell r="D225" t="str">
            <v>灵蛇佩剑·觉</v>
          </cell>
          <cell r="E225">
            <v>60</v>
          </cell>
          <cell r="F225">
            <v>1</v>
          </cell>
          <cell r="G225">
            <v>1</v>
          </cell>
          <cell r="H225">
            <v>1</v>
          </cell>
          <cell r="I225">
            <v>60</v>
          </cell>
          <cell r="J225">
            <v>60</v>
          </cell>
          <cell r="K225">
            <v>60</v>
          </cell>
          <cell r="L225" t="str">
            <v>灵蛇之珠，剑态箫心，可用于武将觉醒</v>
          </cell>
        </row>
        <row r="226">
          <cell r="C226">
            <v>20057</v>
          </cell>
          <cell r="D226" t="str">
            <v>狼头佩剑·觉</v>
          </cell>
          <cell r="E226">
            <v>60</v>
          </cell>
          <cell r="F226">
            <v>1</v>
          </cell>
          <cell r="G226">
            <v>1</v>
          </cell>
          <cell r="H226">
            <v>1</v>
          </cell>
          <cell r="I226">
            <v>60</v>
          </cell>
          <cell r="J226">
            <v>60</v>
          </cell>
          <cell r="K226">
            <v>60</v>
          </cell>
          <cell r="L226" t="str">
            <v>封狼居胥，剑气纵横，可用于武将觉醒</v>
          </cell>
        </row>
        <row r="227">
          <cell r="C227" t="str">
            <v/>
          </cell>
          <cell r="D227" t="str">
            <v/>
          </cell>
          <cell r="E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</row>
        <row r="228">
          <cell r="C228">
            <v>20059</v>
          </cell>
          <cell r="D228" t="str">
            <v>勇之授印·觉</v>
          </cell>
          <cell r="E228">
            <v>80</v>
          </cell>
          <cell r="F228">
            <v>1</v>
          </cell>
          <cell r="G228">
            <v>1</v>
          </cell>
          <cell r="H228">
            <v>1</v>
          </cell>
          <cell r="I228">
            <v>80</v>
          </cell>
          <cell r="J228">
            <v>80</v>
          </cell>
          <cell r="K228">
            <v>80</v>
          </cell>
          <cell r="L228" t="str">
            <v>拔山盖世，气吞山河，可用于武将觉醒</v>
          </cell>
        </row>
        <row r="229">
          <cell r="C229">
            <v>20060</v>
          </cell>
          <cell r="D229" t="str">
            <v>谋之授印·觉</v>
          </cell>
          <cell r="E229">
            <v>80</v>
          </cell>
          <cell r="F229">
            <v>1</v>
          </cell>
          <cell r="G229">
            <v>1</v>
          </cell>
          <cell r="H229">
            <v>1</v>
          </cell>
          <cell r="I229">
            <v>80</v>
          </cell>
          <cell r="J229">
            <v>80</v>
          </cell>
          <cell r="K229">
            <v>80</v>
          </cell>
          <cell r="L229" t="str">
            <v>渊谋远略，运筹帷幄，可用于武将觉醒</v>
          </cell>
        </row>
        <row r="230">
          <cell r="C230">
            <v>20061</v>
          </cell>
          <cell r="D230" t="str">
            <v>御之授印·觉</v>
          </cell>
          <cell r="E230">
            <v>80</v>
          </cell>
          <cell r="F230">
            <v>1</v>
          </cell>
          <cell r="G230">
            <v>1</v>
          </cell>
          <cell r="H230">
            <v>1</v>
          </cell>
          <cell r="I230">
            <v>80</v>
          </cell>
          <cell r="J230">
            <v>80</v>
          </cell>
          <cell r="K230">
            <v>80</v>
          </cell>
          <cell r="L230" t="str">
            <v>御下有方，论功行赏，可用于武将觉醒</v>
          </cell>
        </row>
        <row r="231">
          <cell r="C231" t="str">
            <v/>
          </cell>
          <cell r="D231" t="str">
            <v/>
          </cell>
          <cell r="E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</row>
        <row r="232">
          <cell r="C232">
            <v>20064</v>
          </cell>
          <cell r="D232" t="str">
            <v>战阵精研·极</v>
          </cell>
          <cell r="E232">
            <v>100</v>
          </cell>
          <cell r="F232">
            <v>1</v>
          </cell>
          <cell r="G232">
            <v>1</v>
          </cell>
          <cell r="H232">
            <v>1</v>
          </cell>
          <cell r="I232">
            <v>100</v>
          </cell>
          <cell r="J232">
            <v>100</v>
          </cell>
          <cell r="K232">
            <v>100</v>
          </cell>
          <cell r="L232" t="str">
            <v>行兵布阵，勇往直前，可用于武将觉醒</v>
          </cell>
        </row>
        <row r="233">
          <cell r="C233">
            <v>20065</v>
          </cell>
          <cell r="D233" t="str">
            <v>谋略精研·极</v>
          </cell>
          <cell r="E233">
            <v>100</v>
          </cell>
          <cell r="F233">
            <v>1</v>
          </cell>
          <cell r="G233">
            <v>1</v>
          </cell>
          <cell r="H233">
            <v>1</v>
          </cell>
          <cell r="I233">
            <v>100</v>
          </cell>
          <cell r="J233">
            <v>100</v>
          </cell>
          <cell r="K233">
            <v>100</v>
          </cell>
          <cell r="L233" t="str">
            <v>目达耳通，上兵伐谋，可用于武将觉醒</v>
          </cell>
        </row>
        <row r="234">
          <cell r="C234">
            <v>20066</v>
          </cell>
          <cell r="D234" t="str">
            <v>御军精研·极</v>
          </cell>
          <cell r="E234">
            <v>100</v>
          </cell>
          <cell r="F234">
            <v>1</v>
          </cell>
          <cell r="G234">
            <v>1</v>
          </cell>
          <cell r="H234">
            <v>1</v>
          </cell>
          <cell r="I234">
            <v>100</v>
          </cell>
          <cell r="J234">
            <v>100</v>
          </cell>
          <cell r="K234">
            <v>100</v>
          </cell>
          <cell r="L234" t="str">
            <v>持筹握算，精兵简政，可用于武将觉醒</v>
          </cell>
        </row>
        <row r="235">
          <cell r="C235" t="str">
            <v/>
          </cell>
          <cell r="D235" t="str">
            <v/>
          </cell>
          <cell r="E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</row>
        <row r="236">
          <cell r="C236">
            <v>20070</v>
          </cell>
          <cell r="D236" t="str">
            <v>白虎白琥·极</v>
          </cell>
          <cell r="E236">
            <v>120</v>
          </cell>
          <cell r="F236">
            <v>1</v>
          </cell>
          <cell r="G236">
            <v>1</v>
          </cell>
          <cell r="H236">
            <v>1</v>
          </cell>
          <cell r="I236">
            <v>120</v>
          </cell>
          <cell r="J236">
            <v>120</v>
          </cell>
          <cell r="K236">
            <v>120</v>
          </cell>
          <cell r="L236" t="str">
            <v>形神兼备，虎啸龙吟，可用于武将觉醒</v>
          </cell>
        </row>
        <row r="237">
          <cell r="C237">
            <v>20071</v>
          </cell>
          <cell r="D237" t="str">
            <v>朱雀赤璋·极</v>
          </cell>
          <cell r="E237">
            <v>120</v>
          </cell>
          <cell r="F237">
            <v>1</v>
          </cell>
          <cell r="G237">
            <v>1</v>
          </cell>
          <cell r="H237">
            <v>1</v>
          </cell>
          <cell r="I237">
            <v>120</v>
          </cell>
          <cell r="J237">
            <v>120</v>
          </cell>
          <cell r="K237">
            <v>120</v>
          </cell>
          <cell r="L237" t="str">
            <v>烈火真金，朱雀玄武，可用于武将觉醒</v>
          </cell>
        </row>
        <row r="238">
          <cell r="C238">
            <v>20072</v>
          </cell>
          <cell r="D238" t="str">
            <v>青龙青圭·极</v>
          </cell>
          <cell r="E238">
            <v>120</v>
          </cell>
          <cell r="F238">
            <v>1</v>
          </cell>
          <cell r="G238">
            <v>1</v>
          </cell>
          <cell r="H238">
            <v>1</v>
          </cell>
          <cell r="I238">
            <v>120</v>
          </cell>
          <cell r="J238">
            <v>120</v>
          </cell>
          <cell r="K238">
            <v>120</v>
          </cell>
          <cell r="L238" t="str">
            <v>青云直上，龙飞凤舞，可用于武将觉醒</v>
          </cell>
        </row>
        <row r="239">
          <cell r="C239" t="str">
            <v/>
          </cell>
          <cell r="D239" t="str">
            <v/>
          </cell>
          <cell r="E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</row>
        <row r="240">
          <cell r="C240">
            <v>20077</v>
          </cell>
          <cell r="D240" t="str">
            <v>战将护符·极</v>
          </cell>
          <cell r="E240">
            <v>140</v>
          </cell>
          <cell r="F240">
            <v>1</v>
          </cell>
          <cell r="G240">
            <v>1</v>
          </cell>
          <cell r="H240">
            <v>1</v>
          </cell>
          <cell r="I240">
            <v>140</v>
          </cell>
          <cell r="J240">
            <v>140</v>
          </cell>
          <cell r="K240">
            <v>140</v>
          </cell>
          <cell r="L240" t="str">
            <v>王侯将相，功成名就，可用于武将觉醒</v>
          </cell>
        </row>
        <row r="241">
          <cell r="C241">
            <v>20078</v>
          </cell>
          <cell r="D241" t="str">
            <v>军师护符·极</v>
          </cell>
          <cell r="E241">
            <v>140</v>
          </cell>
          <cell r="F241">
            <v>1</v>
          </cell>
          <cell r="G241">
            <v>1</v>
          </cell>
          <cell r="H241">
            <v>1</v>
          </cell>
          <cell r="I241">
            <v>140</v>
          </cell>
          <cell r="J241">
            <v>140</v>
          </cell>
          <cell r="K241">
            <v>140</v>
          </cell>
          <cell r="L241" t="str">
            <v>神机妙算，才华横溢，可用于武将觉醒</v>
          </cell>
        </row>
        <row r="242">
          <cell r="C242">
            <v>20079</v>
          </cell>
          <cell r="D242" t="str">
            <v>统帅护符·极</v>
          </cell>
          <cell r="E242">
            <v>140</v>
          </cell>
          <cell r="F242">
            <v>1</v>
          </cell>
          <cell r="G242">
            <v>1</v>
          </cell>
          <cell r="H242">
            <v>1</v>
          </cell>
          <cell r="I242">
            <v>140</v>
          </cell>
          <cell r="J242">
            <v>140</v>
          </cell>
          <cell r="K242">
            <v>140</v>
          </cell>
          <cell r="L242" t="str">
            <v>号令如山，统帅三军，可用于武将觉醒</v>
          </cell>
        </row>
        <row r="243">
          <cell r="C243" t="str">
            <v/>
          </cell>
          <cell r="D243" t="str">
            <v/>
          </cell>
          <cell r="E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</row>
        <row r="244">
          <cell r="C244" t="str">
            <v/>
          </cell>
          <cell r="D244" t="str">
            <v/>
          </cell>
          <cell r="E244" t="str">
            <v/>
          </cell>
          <cell r="F244">
            <v>1</v>
          </cell>
          <cell r="G244">
            <v>1</v>
          </cell>
          <cell r="H244">
            <v>1</v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</row>
        <row r="245">
          <cell r="C245">
            <v>23001</v>
          </cell>
          <cell r="D245" t="str">
            <v>紫色步将自选宝箱</v>
          </cell>
          <cell r="E245">
            <v>600</v>
          </cell>
          <cell r="F245">
            <v>1</v>
          </cell>
          <cell r="G245">
            <v>1</v>
          </cell>
          <cell r="H245">
            <v>1</v>
          </cell>
          <cell r="I245">
            <v>600</v>
          </cell>
          <cell r="J245">
            <v>600</v>
          </cell>
          <cell r="K245">
            <v>600</v>
          </cell>
          <cell r="L245" t="str">
            <v>使用后选择获得一个紫色步将</v>
          </cell>
        </row>
        <row r="246">
          <cell r="C246">
            <v>23002</v>
          </cell>
          <cell r="D246" t="str">
            <v>橙色步将自选宝箱</v>
          </cell>
          <cell r="E246">
            <v>4800</v>
          </cell>
          <cell r="F246">
            <v>1</v>
          </cell>
          <cell r="G246">
            <v>1</v>
          </cell>
          <cell r="H246">
            <v>1</v>
          </cell>
          <cell r="I246">
            <v>4800</v>
          </cell>
          <cell r="J246">
            <v>4800</v>
          </cell>
          <cell r="K246">
            <v>4800</v>
          </cell>
          <cell r="L246" t="str">
            <v>使用后选择获得一个橙色武将</v>
          </cell>
        </row>
        <row r="247">
          <cell r="C247">
            <v>23003</v>
          </cell>
          <cell r="D247" t="str">
            <v>红色步将自选宝箱</v>
          </cell>
          <cell r="E247">
            <v>14400</v>
          </cell>
          <cell r="F247">
            <v>1</v>
          </cell>
          <cell r="G247">
            <v>1</v>
          </cell>
          <cell r="H247">
            <v>1</v>
          </cell>
          <cell r="I247">
            <v>14400</v>
          </cell>
          <cell r="J247">
            <v>14400</v>
          </cell>
          <cell r="K247">
            <v>14400</v>
          </cell>
          <cell r="L247" t="str">
            <v>使用后选择获得一个红色步将</v>
          </cell>
        </row>
        <row r="248">
          <cell r="C248">
            <v>23004</v>
          </cell>
          <cell r="D248" t="str">
            <v>紫色骑将自选宝箱</v>
          </cell>
          <cell r="E248">
            <v>600</v>
          </cell>
          <cell r="F248">
            <v>1</v>
          </cell>
          <cell r="G248">
            <v>1</v>
          </cell>
          <cell r="H248">
            <v>1</v>
          </cell>
          <cell r="I248">
            <v>600</v>
          </cell>
          <cell r="J248">
            <v>600</v>
          </cell>
          <cell r="K248">
            <v>600</v>
          </cell>
          <cell r="L248" t="str">
            <v>使用后选择获得一个紫色骑将</v>
          </cell>
        </row>
        <row r="249">
          <cell r="C249">
            <v>23005</v>
          </cell>
          <cell r="D249" t="str">
            <v>橙色骑将自选宝箱</v>
          </cell>
          <cell r="E249">
            <v>4800</v>
          </cell>
          <cell r="F249">
            <v>1</v>
          </cell>
          <cell r="G249">
            <v>1</v>
          </cell>
          <cell r="H249">
            <v>1</v>
          </cell>
          <cell r="I249">
            <v>4800</v>
          </cell>
          <cell r="J249">
            <v>4800</v>
          </cell>
          <cell r="K249">
            <v>4800</v>
          </cell>
          <cell r="L249" t="str">
            <v>使用后选择获得一个橙色骑将</v>
          </cell>
        </row>
        <row r="250">
          <cell r="C250">
            <v>23006</v>
          </cell>
          <cell r="D250" t="str">
            <v>红色骑将自选宝箱</v>
          </cell>
          <cell r="E250">
            <v>14400</v>
          </cell>
          <cell r="F250">
            <v>1</v>
          </cell>
          <cell r="G250">
            <v>1</v>
          </cell>
          <cell r="H250">
            <v>1</v>
          </cell>
          <cell r="I250">
            <v>14400</v>
          </cell>
          <cell r="J250">
            <v>14400</v>
          </cell>
          <cell r="K250">
            <v>14400</v>
          </cell>
          <cell r="L250" t="str">
            <v>使用后选择获得一个红色骑将</v>
          </cell>
        </row>
        <row r="251">
          <cell r="C251">
            <v>23007</v>
          </cell>
          <cell r="D251" t="str">
            <v>紫色弓将自选宝箱</v>
          </cell>
          <cell r="E251">
            <v>600</v>
          </cell>
          <cell r="F251">
            <v>1</v>
          </cell>
          <cell r="G251">
            <v>1</v>
          </cell>
          <cell r="H251">
            <v>1</v>
          </cell>
          <cell r="I251">
            <v>600</v>
          </cell>
          <cell r="J251">
            <v>600</v>
          </cell>
          <cell r="K251">
            <v>600</v>
          </cell>
          <cell r="L251" t="str">
            <v>使用后选择获得一个紫色弓将</v>
          </cell>
        </row>
        <row r="252">
          <cell r="C252">
            <v>23008</v>
          </cell>
          <cell r="D252" t="str">
            <v>橙色弓将自选宝箱</v>
          </cell>
          <cell r="E252">
            <v>4800</v>
          </cell>
          <cell r="F252">
            <v>1</v>
          </cell>
          <cell r="G252">
            <v>1</v>
          </cell>
          <cell r="H252">
            <v>1</v>
          </cell>
          <cell r="I252">
            <v>4800</v>
          </cell>
          <cell r="J252">
            <v>4800</v>
          </cell>
          <cell r="K252">
            <v>4800</v>
          </cell>
          <cell r="L252" t="str">
            <v>使用后选择获得一个橙色弓将</v>
          </cell>
        </row>
        <row r="253">
          <cell r="C253">
            <v>23009</v>
          </cell>
          <cell r="D253" t="str">
            <v>红色弓将自选宝箱</v>
          </cell>
          <cell r="E253">
            <v>14400</v>
          </cell>
          <cell r="F253">
            <v>1</v>
          </cell>
          <cell r="G253">
            <v>1</v>
          </cell>
          <cell r="H253">
            <v>1</v>
          </cell>
          <cell r="I253">
            <v>14400</v>
          </cell>
          <cell r="J253">
            <v>14400</v>
          </cell>
          <cell r="K253">
            <v>14400</v>
          </cell>
          <cell r="L253" t="str">
            <v>使用后选择获得一个红色弓将</v>
          </cell>
        </row>
        <row r="254">
          <cell r="C254">
            <v>23010</v>
          </cell>
          <cell r="D254" t="str">
            <v>君主自选宝箱</v>
          </cell>
          <cell r="E254">
            <v>4800</v>
          </cell>
          <cell r="F254">
            <v>1</v>
          </cell>
          <cell r="G254">
            <v>1</v>
          </cell>
          <cell r="H254">
            <v>1</v>
          </cell>
          <cell r="I254">
            <v>4800</v>
          </cell>
          <cell r="J254">
            <v>4800</v>
          </cell>
          <cell r="K254">
            <v>4800</v>
          </cell>
          <cell r="L254" t="str">
            <v>使用后选择获得一个君主武将</v>
          </cell>
        </row>
        <row r="255">
          <cell r="C255">
            <v>23011</v>
          </cell>
          <cell r="D255" t="str">
            <v>紫色武将随机宝箱</v>
          </cell>
          <cell r="E255">
            <v>400</v>
          </cell>
          <cell r="F255">
            <v>1</v>
          </cell>
          <cell r="G255">
            <v>1</v>
          </cell>
          <cell r="H255">
            <v>1</v>
          </cell>
          <cell r="I255">
            <v>400</v>
          </cell>
          <cell r="J255">
            <v>400</v>
          </cell>
          <cell r="K255">
            <v>400</v>
          </cell>
          <cell r="L255" t="str">
            <v>使用后随机获得一个紫色武将</v>
          </cell>
        </row>
        <row r="256">
          <cell r="C256">
            <v>23012</v>
          </cell>
          <cell r="D256" t="str">
            <v>橙色武将随机宝箱</v>
          </cell>
          <cell r="E256">
            <v>1800</v>
          </cell>
          <cell r="F256">
            <v>1</v>
          </cell>
          <cell r="G256">
            <v>1</v>
          </cell>
          <cell r="H256">
            <v>1</v>
          </cell>
          <cell r="I256">
            <v>1800</v>
          </cell>
          <cell r="J256">
            <v>1800</v>
          </cell>
          <cell r="K256">
            <v>1800</v>
          </cell>
          <cell r="L256" t="str">
            <v>使用后随机获得一个橙色武将</v>
          </cell>
        </row>
        <row r="257">
          <cell r="C257">
            <v>23013</v>
          </cell>
          <cell r="D257" t="str">
            <v>红色武将随机宝箱</v>
          </cell>
          <cell r="F257">
            <v>1</v>
          </cell>
          <cell r="G257">
            <v>1</v>
          </cell>
          <cell r="H257">
            <v>1</v>
          </cell>
          <cell r="I257">
            <v>14400</v>
          </cell>
          <cell r="J257">
            <v>14400</v>
          </cell>
          <cell r="K257">
            <v>14400</v>
          </cell>
          <cell r="L257" t="str">
            <v>使用后随机获得一个红色武将</v>
          </cell>
        </row>
        <row r="258">
          <cell r="C258" t="str">
            <v/>
          </cell>
          <cell r="D258" t="str">
            <v/>
          </cell>
          <cell r="E258" t="str">
            <v/>
          </cell>
          <cell r="F258">
            <v>1</v>
          </cell>
          <cell r="G258">
            <v>1</v>
          </cell>
          <cell r="H258">
            <v>1</v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</row>
        <row r="259">
          <cell r="C259">
            <v>23014</v>
          </cell>
          <cell r="D259" t="str">
            <v>橙色武将自选宝箱碎片</v>
          </cell>
          <cell r="E259">
            <v>160</v>
          </cell>
          <cell r="F259">
            <v>1</v>
          </cell>
          <cell r="G259">
            <v>1</v>
          </cell>
          <cell r="H259">
            <v>1</v>
          </cell>
          <cell r="I259">
            <v>160</v>
          </cell>
          <cell r="J259">
            <v>160</v>
          </cell>
          <cell r="K259">
            <v>160</v>
          </cell>
          <cell r="L259" t="str">
    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260">
          <cell r="C260">
            <v>23015</v>
          </cell>
          <cell r="D260" t="str">
            <v>橙色武将随机宝箱碎片</v>
          </cell>
          <cell r="E260">
            <v>60</v>
          </cell>
          <cell r="F260">
            <v>1</v>
          </cell>
          <cell r="G260">
            <v>1</v>
          </cell>
          <cell r="H260">
            <v>1</v>
          </cell>
          <cell r="I260">
            <v>60</v>
          </cell>
          <cell r="J260">
            <v>60</v>
          </cell>
          <cell r="K260">
            <v>60</v>
          </cell>
          <cell r="L260" t="str">
    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261">
          <cell r="C261">
            <v>23016</v>
          </cell>
          <cell r="D261" t="str">
            <v>紫色武将随机宝箱碎片</v>
          </cell>
          <cell r="E261">
            <v>36</v>
          </cell>
          <cell r="F261">
            <v>1</v>
          </cell>
          <cell r="G261">
            <v>1</v>
          </cell>
          <cell r="H261">
            <v>1</v>
          </cell>
          <cell r="I261">
            <v>36</v>
          </cell>
          <cell r="J261">
            <v>36</v>
          </cell>
          <cell r="K261">
            <v>36</v>
          </cell>
          <cell r="L261" t="str">
            <v>集齐10个碎片可以合成，随机获得下列武将中的一个：\n聂荌、专诸、钟无艳、田忌、春申君、莫邪、孙叔敖、西门豹、暴鸢、秦开</v>
          </cell>
        </row>
        <row r="262">
          <cell r="C262" t="str">
            <v/>
          </cell>
          <cell r="D262" t="str">
            <v/>
          </cell>
          <cell r="E262" t="str">
            <v/>
          </cell>
          <cell r="F262">
            <v>1</v>
          </cell>
          <cell r="G262">
            <v>1</v>
          </cell>
          <cell r="H262">
            <v>1</v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</row>
        <row r="263">
          <cell r="C263" t="str">
            <v/>
          </cell>
          <cell r="D263" t="str">
            <v>指定绿色装备</v>
          </cell>
          <cell r="E263">
            <v>35</v>
          </cell>
          <cell r="F263">
            <v>1</v>
          </cell>
          <cell r="G263">
            <v>1</v>
          </cell>
          <cell r="H263">
            <v>1</v>
          </cell>
          <cell r="I263">
            <v>35</v>
          </cell>
          <cell r="J263">
            <v>35</v>
          </cell>
          <cell r="K263">
            <v>35</v>
          </cell>
          <cell r="L263">
            <v>1</v>
          </cell>
        </row>
        <row r="264">
          <cell r="C264" t="str">
            <v/>
          </cell>
          <cell r="D264" t="str">
            <v>指定蓝色装备</v>
          </cell>
          <cell r="E264">
            <v>120</v>
          </cell>
          <cell r="F264">
            <v>1</v>
          </cell>
          <cell r="G264">
            <v>1</v>
          </cell>
          <cell r="H264">
            <v>1</v>
          </cell>
          <cell r="I264">
            <v>120</v>
          </cell>
          <cell r="J264">
            <v>120</v>
          </cell>
          <cell r="K264">
            <v>120</v>
          </cell>
          <cell r="L264">
            <v>1.5</v>
          </cell>
        </row>
        <row r="265">
          <cell r="C265" t="str">
            <v/>
          </cell>
          <cell r="D265" t="str">
            <v>指定紫色装备</v>
          </cell>
          <cell r="E265">
            <v>300</v>
          </cell>
          <cell r="F265">
            <v>1</v>
          </cell>
          <cell r="G265">
            <v>1</v>
          </cell>
          <cell r="H265">
            <v>1</v>
          </cell>
          <cell r="I265">
            <v>300</v>
          </cell>
          <cell r="J265">
            <v>300</v>
          </cell>
          <cell r="K265">
            <v>300</v>
          </cell>
          <cell r="L265">
            <v>2</v>
          </cell>
        </row>
        <row r="266">
          <cell r="C266" t="str">
            <v/>
          </cell>
          <cell r="D266" t="str">
            <v>指定橙色装备</v>
          </cell>
          <cell r="E266">
            <v>800</v>
          </cell>
          <cell r="F266">
            <v>1</v>
          </cell>
          <cell r="G266">
            <v>1</v>
          </cell>
          <cell r="H266">
            <v>1</v>
          </cell>
          <cell r="I266">
            <v>800</v>
          </cell>
          <cell r="J266">
            <v>800</v>
          </cell>
          <cell r="K266">
            <v>800</v>
          </cell>
          <cell r="L266">
            <v>2.5</v>
          </cell>
        </row>
        <row r="267">
          <cell r="C267" t="str">
            <v/>
          </cell>
          <cell r="D267" t="str">
            <v>指定红色装备</v>
          </cell>
          <cell r="E267">
            <v>7200</v>
          </cell>
          <cell r="F267">
            <v>1</v>
          </cell>
          <cell r="G267">
            <v>1</v>
          </cell>
          <cell r="H267">
            <v>1</v>
          </cell>
          <cell r="I267">
            <v>7200</v>
          </cell>
          <cell r="J267">
            <v>7200</v>
          </cell>
          <cell r="K267">
            <v>7200</v>
          </cell>
          <cell r="L267">
            <v>3</v>
          </cell>
        </row>
        <row r="268">
          <cell r="C268" t="str">
            <v/>
          </cell>
          <cell r="D268" t="str">
            <v>指定红+装备</v>
          </cell>
          <cell r="E268">
            <v>14400</v>
          </cell>
          <cell r="F268">
            <v>1.56</v>
          </cell>
          <cell r="G268">
            <v>1.56</v>
          </cell>
          <cell r="H268">
            <v>1.56</v>
          </cell>
          <cell r="I268">
            <v>22464</v>
          </cell>
          <cell r="J268">
            <v>22464</v>
          </cell>
          <cell r="K268">
            <v>22464</v>
          </cell>
          <cell r="L268" t="str">
            <v/>
          </cell>
        </row>
        <row r="269">
          <cell r="C269">
            <v>23215</v>
          </cell>
          <cell r="D269" t="str">
            <v>紫色武力装备礼包</v>
          </cell>
          <cell r="E269" t="str">
            <v/>
          </cell>
          <cell r="F269">
            <v>1</v>
          </cell>
          <cell r="G269">
            <v>1</v>
          </cell>
          <cell r="H269">
            <v>1</v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</row>
        <row r="270">
          <cell r="C270">
            <v>23216</v>
          </cell>
          <cell r="D270" t="str">
            <v>紫色智力装备礼包</v>
          </cell>
          <cell r="E270" t="str">
            <v/>
          </cell>
          <cell r="F270">
            <v>1</v>
          </cell>
          <cell r="G270">
            <v>1</v>
          </cell>
          <cell r="H270">
            <v>1</v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</row>
        <row r="271">
          <cell r="C271">
            <v>23217</v>
          </cell>
          <cell r="D271" t="str">
            <v>橙色统率装备礼包</v>
          </cell>
          <cell r="E271" t="str">
            <v/>
          </cell>
          <cell r="F271">
            <v>1</v>
          </cell>
          <cell r="G271">
            <v>1</v>
          </cell>
          <cell r="H271">
            <v>1</v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</row>
        <row r="272">
          <cell r="C272">
            <v>23218</v>
          </cell>
          <cell r="D272" t="str">
            <v>橙色智力装备礼包</v>
          </cell>
          <cell r="E272" t="str">
            <v/>
          </cell>
          <cell r="F272">
            <v>1</v>
          </cell>
          <cell r="G272">
            <v>1</v>
          </cell>
          <cell r="H272">
            <v>1</v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</row>
        <row r="273">
          <cell r="C273">
            <v>23219</v>
          </cell>
          <cell r="D273" t="str">
            <v>橙色武力装备礼包</v>
          </cell>
          <cell r="E273" t="str">
            <v/>
          </cell>
          <cell r="F273">
            <v>1</v>
          </cell>
          <cell r="G273">
            <v>1</v>
          </cell>
          <cell r="H273">
            <v>1</v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</row>
        <row r="274">
          <cell r="C274">
            <v>22118</v>
          </cell>
          <cell r="D274" t="str">
            <v>负荆请罪武魂</v>
          </cell>
          <cell r="E274" t="str">
            <v/>
          </cell>
          <cell r="F274">
            <v>1</v>
          </cell>
          <cell r="G274">
            <v>1</v>
          </cell>
          <cell r="H274">
            <v>1</v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</row>
        <row r="275">
          <cell r="C275" t="str">
            <v/>
          </cell>
          <cell r="D275" t="str">
            <v/>
          </cell>
          <cell r="E275" t="str">
            <v/>
          </cell>
          <cell r="F275">
            <v>1</v>
          </cell>
          <cell r="G275">
            <v>1</v>
          </cell>
          <cell r="H275">
            <v>1</v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</row>
        <row r="276">
          <cell r="C276">
            <v>23348</v>
          </cell>
          <cell r="D276" t="str">
            <v>清剿令</v>
          </cell>
          <cell r="E276" t="str">
            <v/>
          </cell>
          <cell r="F276">
            <v>1</v>
          </cell>
          <cell r="G276">
            <v>1</v>
          </cell>
          <cell r="H276">
            <v>1</v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</row>
        <row r="277">
          <cell r="C277" t="str">
            <v/>
          </cell>
          <cell r="D277" t="str">
            <v/>
          </cell>
          <cell r="E277" t="str">
            <v/>
          </cell>
          <cell r="F277">
            <v>1</v>
          </cell>
          <cell r="G277">
            <v>1</v>
          </cell>
          <cell r="H277">
            <v>1</v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</row>
        <row r="278">
          <cell r="C278" t="str">
            <v/>
          </cell>
          <cell r="D278" t="str">
            <v/>
          </cell>
          <cell r="E278" t="str">
            <v/>
          </cell>
          <cell r="F278">
            <v>1</v>
          </cell>
          <cell r="G278">
            <v>1</v>
          </cell>
          <cell r="H278">
            <v>1</v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</row>
        <row r="279">
          <cell r="C279" t="str">
            <v/>
          </cell>
          <cell r="D279" t="str">
            <v/>
          </cell>
          <cell r="E279" t="str">
            <v/>
          </cell>
          <cell r="F279">
            <v>1</v>
          </cell>
          <cell r="G279">
            <v>1</v>
          </cell>
          <cell r="H279">
            <v>1</v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</row>
        <row r="280">
          <cell r="C280">
            <v>22116</v>
          </cell>
          <cell r="D280" t="str">
            <v>倾国倾城武魂</v>
          </cell>
          <cell r="E280" t="str">
            <v/>
          </cell>
          <cell r="F280">
            <v>1</v>
          </cell>
          <cell r="G280">
            <v>1</v>
          </cell>
          <cell r="H280">
            <v>1</v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</row>
        <row r="281">
          <cell r="C281">
            <v>22117</v>
          </cell>
          <cell r="D281" t="str">
            <v>墨行天下武魂</v>
          </cell>
          <cell r="E281" t="str">
            <v/>
          </cell>
          <cell r="F281">
            <v>1</v>
          </cell>
          <cell r="G281">
            <v>1</v>
          </cell>
          <cell r="H281">
            <v>1</v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</row>
        <row r="282">
          <cell r="C282">
            <v>23220</v>
          </cell>
          <cell r="D282" t="str">
            <v>红色统智装备礼包</v>
          </cell>
          <cell r="E282" t="str">
            <v/>
          </cell>
          <cell r="F282">
            <v>1</v>
          </cell>
          <cell r="G282">
            <v>1</v>
          </cell>
          <cell r="H282">
            <v>1</v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</row>
        <row r="283">
          <cell r="C283">
            <v>23221</v>
          </cell>
          <cell r="D283" t="str">
            <v>紫色兵法自选宝箱</v>
          </cell>
          <cell r="E283" t="str">
            <v/>
          </cell>
          <cell r="F283">
            <v>1</v>
          </cell>
          <cell r="G283">
            <v>1</v>
          </cell>
          <cell r="H283">
            <v>1</v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</row>
        <row r="284">
          <cell r="C284">
            <v>23222</v>
          </cell>
          <cell r="D284" t="str">
            <v>橙色兵法自选宝箱</v>
          </cell>
          <cell r="E284" t="str">
            <v/>
          </cell>
          <cell r="F284">
            <v>1</v>
          </cell>
          <cell r="G284">
            <v>1</v>
          </cell>
          <cell r="H284">
            <v>1</v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</row>
        <row r="285">
          <cell r="C285">
            <v>23364</v>
          </cell>
          <cell r="D285" t="str">
            <v>自选橙色兵法碎片</v>
          </cell>
          <cell r="E285" t="str">
            <v/>
          </cell>
          <cell r="F285">
            <v>1</v>
          </cell>
          <cell r="G285">
            <v>1</v>
          </cell>
          <cell r="H285">
            <v>1</v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</row>
        <row r="286">
          <cell r="C286">
            <v>23365</v>
          </cell>
          <cell r="D286" t="str">
            <v>自选紫色兵法碎片</v>
          </cell>
          <cell r="E286" t="str">
            <v/>
          </cell>
          <cell r="F286">
            <v>1</v>
          </cell>
          <cell r="G286">
            <v>1</v>
          </cell>
          <cell r="H286">
            <v>1</v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</row>
        <row r="287">
          <cell r="C287" t="str">
            <v/>
          </cell>
          <cell r="D287" t="str">
            <v/>
          </cell>
          <cell r="E287" t="str">
            <v/>
          </cell>
          <cell r="F287">
            <v>1</v>
          </cell>
          <cell r="G287">
            <v>1</v>
          </cell>
          <cell r="H287">
            <v>1</v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</row>
        <row r="288">
          <cell r="C288">
            <v>21075</v>
          </cell>
          <cell r="D288" t="str">
            <v>中级免战牌</v>
          </cell>
          <cell r="E288">
            <v>200</v>
          </cell>
          <cell r="F288">
            <v>1</v>
          </cell>
          <cell r="G288">
            <v>1</v>
          </cell>
          <cell r="H288">
            <v>1</v>
          </cell>
          <cell r="I288">
            <v>200</v>
          </cell>
          <cell r="J288">
            <v>200</v>
          </cell>
          <cell r="K288">
            <v>200</v>
          </cell>
          <cell r="L288" t="str">
            <v>使用后城池不会遭受来自其他玩家的攻击，主动进攻其他玩家后失效，持续12小时</v>
          </cell>
        </row>
        <row r="289">
          <cell r="C289">
            <v>21071</v>
          </cell>
          <cell r="D289" t="str">
            <v>高级免战牌</v>
          </cell>
          <cell r="E289">
            <v>500</v>
          </cell>
          <cell r="F289">
            <v>1</v>
          </cell>
          <cell r="G289">
            <v>1</v>
          </cell>
          <cell r="H289">
            <v>1</v>
          </cell>
          <cell r="I289">
            <v>500</v>
          </cell>
          <cell r="J289">
            <v>500</v>
          </cell>
          <cell r="K289">
            <v>500</v>
          </cell>
          <cell r="L289" t="str">
            <v>使用后城池不会遭受来自其他玩家的攻击，主动进攻其他玩家后失效，持续24小时</v>
          </cell>
        </row>
        <row r="290">
          <cell r="C290">
            <v>21072</v>
          </cell>
          <cell r="D290" t="str">
            <v>特级免战牌</v>
          </cell>
          <cell r="E290">
            <v>1800</v>
          </cell>
          <cell r="F290">
            <v>1</v>
          </cell>
          <cell r="G290">
            <v>1</v>
          </cell>
          <cell r="H290">
            <v>1</v>
          </cell>
          <cell r="I290">
            <v>1800</v>
          </cell>
          <cell r="J290">
            <v>1800</v>
          </cell>
          <cell r="K290">
            <v>1800</v>
          </cell>
          <cell r="L290" t="str">
            <v>使用后城池不会遭受来自其他玩家的攻击，主动进攻其他玩家后失效，持续72小时</v>
          </cell>
        </row>
        <row r="291">
          <cell r="C291" t="str">
            <v/>
          </cell>
          <cell r="D291" t="str">
            <v/>
          </cell>
          <cell r="E291" t="str">
            <v/>
          </cell>
          <cell r="F291">
            <v>1</v>
          </cell>
          <cell r="G291">
            <v>1</v>
          </cell>
          <cell r="H291">
            <v>1</v>
          </cell>
          <cell r="I291" t="str">
            <v/>
          </cell>
          <cell r="J291" t="str">
            <v/>
          </cell>
          <cell r="K291" t="str">
            <v/>
          </cell>
          <cell r="L291" t="str">
            <v>消灭野怪获得，用于宝物温养。</v>
          </cell>
        </row>
        <row r="292">
          <cell r="C292">
            <v>23359</v>
          </cell>
          <cell r="D292" t="str">
            <v>宝鉴</v>
          </cell>
          <cell r="E292" t="str">
            <v/>
          </cell>
          <cell r="F292">
            <v>1</v>
          </cell>
          <cell r="G292">
            <v>1</v>
          </cell>
          <cell r="H292">
            <v>1</v>
          </cell>
          <cell r="I292" t="str">
            <v/>
          </cell>
          <cell r="J292" t="str">
            <v/>
          </cell>
          <cell r="K292" t="str">
            <v/>
          </cell>
          <cell r="L292" t="str">
            <v>持有宝鉴名册，可鉴天下珍宝</v>
          </cell>
        </row>
        <row r="293">
          <cell r="C293">
            <v>23526</v>
          </cell>
          <cell r="D293" t="str">
            <v>极品装备宝箱碎片</v>
          </cell>
          <cell r="E293" t="str">
            <v/>
          </cell>
          <cell r="F293">
            <v>1</v>
          </cell>
          <cell r="G293">
            <v>1</v>
          </cell>
          <cell r="H293">
            <v>1</v>
          </cell>
          <cell r="I293" t="str">
            <v/>
          </cell>
          <cell r="J293" t="str">
            <v/>
          </cell>
          <cell r="K293" t="str">
            <v/>
          </cell>
          <cell r="L293" t="str">
            <v>使用后可以获得一个极品红色装备宝箱</v>
          </cell>
        </row>
        <row r="294">
          <cell r="C294">
            <v>23527</v>
          </cell>
          <cell r="D294" t="str">
            <v>极品装备宝箱</v>
          </cell>
          <cell r="E294" t="str">
            <v/>
          </cell>
          <cell r="F294">
            <v>1</v>
          </cell>
          <cell r="G294">
            <v>1</v>
          </cell>
          <cell r="H294">
            <v>1</v>
          </cell>
          <cell r="I294" t="str">
            <v/>
          </cell>
          <cell r="J294" t="str">
            <v/>
          </cell>
          <cell r="K294" t="str">
            <v/>
          </cell>
          <cell r="L294" t="str">
            <v>使用后可以选择获得一件极品红色装备</v>
          </cell>
        </row>
        <row r="295">
          <cell r="C295">
            <v>23528</v>
          </cell>
          <cell r="D295" t="str">
            <v>极品统武装备宝箱</v>
          </cell>
          <cell r="E295" t="str">
            <v/>
          </cell>
          <cell r="F295">
            <v>1</v>
          </cell>
          <cell r="G295">
            <v>1</v>
          </cell>
          <cell r="H295">
            <v>1</v>
          </cell>
          <cell r="I295" t="str">
            <v/>
          </cell>
          <cell r="J295" t="str">
            <v/>
          </cell>
          <cell r="K295" t="str">
            <v/>
          </cell>
          <cell r="L295" t="str">
            <v>使用后获得十方古璃套装3件套装备</v>
          </cell>
        </row>
        <row r="296">
          <cell r="C296">
            <v>23529</v>
          </cell>
          <cell r="D296" t="str">
            <v>极品统智装备宝箱</v>
          </cell>
          <cell r="E296" t="str">
            <v/>
          </cell>
          <cell r="F296">
            <v>1</v>
          </cell>
          <cell r="G296">
            <v>1</v>
          </cell>
          <cell r="H296">
            <v>1</v>
          </cell>
          <cell r="I296" t="str">
            <v/>
          </cell>
          <cell r="J296" t="str">
            <v/>
          </cell>
          <cell r="K296" t="str">
            <v/>
          </cell>
          <cell r="L296" t="str">
            <v>使用后获得墨霜广焱3件套装备</v>
          </cell>
        </row>
        <row r="297">
          <cell r="C297">
            <v>23530</v>
          </cell>
          <cell r="D297" t="str">
            <v>红色装备宝箱碎片</v>
          </cell>
          <cell r="E297" t="str">
            <v/>
          </cell>
          <cell r="F297">
            <v>1</v>
          </cell>
          <cell r="G297">
            <v>1</v>
          </cell>
          <cell r="H297">
            <v>1</v>
          </cell>
          <cell r="I297" t="str">
            <v/>
          </cell>
          <cell r="J297" t="str">
            <v/>
          </cell>
          <cell r="K297" t="str">
            <v/>
          </cell>
          <cell r="L297" t="str">
            <v>使用后可以获得一个红色装备宝箱</v>
          </cell>
        </row>
        <row r="298">
          <cell r="C298">
            <v>23531</v>
          </cell>
          <cell r="D298" t="str">
            <v>红色装备宝箱</v>
          </cell>
          <cell r="E298" t="str">
            <v/>
          </cell>
          <cell r="F298">
            <v>1</v>
          </cell>
          <cell r="G298">
            <v>1</v>
          </cell>
          <cell r="H298">
            <v>1</v>
          </cell>
          <cell r="I298" t="str">
            <v/>
          </cell>
          <cell r="J298" t="str">
            <v/>
          </cell>
          <cell r="K298" t="str">
            <v/>
          </cell>
          <cell r="L298" t="str">
            <v>使用后可以选择获得一件红色装备</v>
          </cell>
        </row>
        <row r="299">
          <cell r="C299">
            <v>23532</v>
          </cell>
          <cell r="D299" t="str">
            <v>抛砖引玉·极-残片</v>
          </cell>
          <cell r="E299" t="str">
            <v/>
          </cell>
          <cell r="F299">
            <v>1</v>
          </cell>
          <cell r="G299">
            <v>1</v>
          </cell>
          <cell r="H299">
            <v>1</v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</row>
        <row r="300">
          <cell r="C300">
            <v>23389</v>
          </cell>
          <cell r="D300" t="str">
            <v>秦阳陵虎符碎片</v>
          </cell>
          <cell r="E300" t="str">
            <v/>
          </cell>
          <cell r="F300">
            <v>1</v>
          </cell>
          <cell r="G300">
            <v>1</v>
          </cell>
          <cell r="H300">
            <v>1</v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</row>
        <row r="301">
          <cell r="C301">
            <v>180024</v>
          </cell>
          <cell r="D301" t="str">
            <v>高级盗贼</v>
          </cell>
          <cell r="E301" t="str">
            <v/>
          </cell>
          <cell r="F301">
            <v>1</v>
          </cell>
          <cell r="G301">
            <v>1</v>
          </cell>
          <cell r="H301">
            <v>1</v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</row>
        <row r="302">
          <cell r="C302">
            <v>180023</v>
          </cell>
          <cell r="D302" t="str">
            <v>高级间谍</v>
          </cell>
          <cell r="E302" t="str">
            <v/>
          </cell>
          <cell r="F302">
            <v>1</v>
          </cell>
          <cell r="G302">
            <v>1</v>
          </cell>
          <cell r="H302">
            <v>1</v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</row>
        <row r="303">
          <cell r="C303">
            <v>180022</v>
          </cell>
          <cell r="D303" t="str">
            <v>高级刺客</v>
          </cell>
          <cell r="E303" t="str">
            <v/>
          </cell>
          <cell r="F303">
            <v>1</v>
          </cell>
          <cell r="G303">
            <v>1</v>
          </cell>
          <cell r="H303">
            <v>1</v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</row>
        <row r="304">
          <cell r="C304">
            <v>23521</v>
          </cell>
          <cell r="D304" t="str">
            <v>将军印碎片</v>
          </cell>
          <cell r="E304" t="str">
            <v/>
          </cell>
          <cell r="F304">
            <v>1</v>
          </cell>
          <cell r="G304">
            <v>1</v>
          </cell>
          <cell r="H304">
            <v>1</v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</row>
        <row r="305">
          <cell r="C305">
            <v>23542</v>
          </cell>
          <cell r="D305" t="str">
            <v>十方装备宝箱碎片</v>
          </cell>
          <cell r="E305" t="str">
            <v/>
          </cell>
          <cell r="F305">
            <v>1</v>
          </cell>
          <cell r="G305">
            <v>1</v>
          </cell>
          <cell r="H305">
            <v>1</v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</row>
        <row r="306">
          <cell r="C306">
            <v>23543</v>
          </cell>
          <cell r="D306" t="str">
            <v>墨霜装备宝箱碎片</v>
          </cell>
          <cell r="E306" t="str">
            <v/>
          </cell>
          <cell r="F306">
            <v>1</v>
          </cell>
          <cell r="G306">
            <v>1</v>
          </cell>
          <cell r="H306">
            <v>1</v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</row>
        <row r="307">
          <cell r="C307" t="str">
            <v/>
          </cell>
          <cell r="D307" t="str">
            <v/>
          </cell>
          <cell r="E307" t="str">
            <v/>
          </cell>
          <cell r="F307">
            <v>1</v>
          </cell>
          <cell r="G307">
            <v>1</v>
          </cell>
          <cell r="H307">
            <v>1</v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</row>
        <row r="308">
          <cell r="C308">
            <v>23356</v>
          </cell>
          <cell r="D308" t="str">
            <v>紫色藏宝图</v>
          </cell>
          <cell r="E308">
            <v>300</v>
          </cell>
          <cell r="F308">
            <v>1</v>
          </cell>
          <cell r="G308">
            <v>1</v>
          </cell>
          <cell r="H308">
            <v>1</v>
          </cell>
          <cell r="I308">
            <v>300</v>
          </cell>
          <cell r="J308">
            <v>300</v>
          </cell>
          <cell r="K308">
            <v>300</v>
          </cell>
          <cell r="L308" t="str">
            <v/>
          </cell>
        </row>
        <row r="309">
          <cell r="C309">
            <v>23541</v>
          </cell>
          <cell r="D309" t="str">
            <v>宝物精华小宝箱</v>
          </cell>
          <cell r="E309">
            <v>100</v>
          </cell>
          <cell r="F309">
            <v>1</v>
          </cell>
          <cell r="G309">
            <v>1</v>
          </cell>
          <cell r="H309">
            <v>1</v>
          </cell>
          <cell r="I309">
            <v>100</v>
          </cell>
          <cell r="J309">
            <v>100</v>
          </cell>
          <cell r="K309">
            <v>100</v>
          </cell>
          <cell r="L309" t="str">
            <v/>
          </cell>
        </row>
        <row r="310">
          <cell r="C310">
            <v>23537</v>
          </cell>
          <cell r="D310" t="str">
            <v>文心宝箱</v>
          </cell>
          <cell r="E310">
            <v>200</v>
          </cell>
          <cell r="F310">
            <v>1</v>
          </cell>
          <cell r="G310">
            <v>1</v>
          </cell>
          <cell r="H310">
            <v>1</v>
          </cell>
          <cell r="I310">
            <v>200</v>
          </cell>
          <cell r="J310">
            <v>200</v>
          </cell>
          <cell r="K310">
            <v>200</v>
          </cell>
          <cell r="L310" t="str">
            <v/>
          </cell>
        </row>
        <row r="311">
          <cell r="C311">
            <v>23540</v>
          </cell>
          <cell r="D311" t="str">
            <v>500偕作玉宝箱</v>
          </cell>
          <cell r="E311">
            <v>500</v>
          </cell>
          <cell r="F311">
            <v>1</v>
          </cell>
          <cell r="G311">
            <v>1</v>
          </cell>
          <cell r="H311">
            <v>1</v>
          </cell>
          <cell r="I311">
            <v>500</v>
          </cell>
          <cell r="J311">
            <v>500</v>
          </cell>
          <cell r="K311">
            <v>500</v>
          </cell>
          <cell r="L311" t="str">
            <v/>
          </cell>
        </row>
        <row r="312">
          <cell r="C312">
            <v>90510</v>
          </cell>
          <cell r="D312" t="str">
            <v>偕作玉</v>
          </cell>
          <cell r="E312">
            <v>0.5</v>
          </cell>
          <cell r="F312">
            <v>1</v>
          </cell>
          <cell r="G312">
            <v>1</v>
          </cell>
          <cell r="H312">
            <v>1</v>
          </cell>
          <cell r="I312">
            <v>0.5</v>
          </cell>
          <cell r="J312">
            <v>0.5</v>
          </cell>
          <cell r="K312">
            <v>0.5</v>
          </cell>
          <cell r="L312" t="str">
            <v/>
          </cell>
        </row>
        <row r="313">
          <cell r="C313">
            <v>90512</v>
          </cell>
          <cell r="D313" t="str">
            <v>文心</v>
          </cell>
          <cell r="E313">
            <v>0.33333333333333331</v>
          </cell>
          <cell r="F313">
            <v>1</v>
          </cell>
          <cell r="G313">
            <v>1</v>
          </cell>
          <cell r="H313">
            <v>1</v>
          </cell>
          <cell r="I313">
            <v>0.33333333333333331</v>
          </cell>
          <cell r="J313">
            <v>0.33333333333333331</v>
          </cell>
          <cell r="K313">
            <v>0.33333333333333331</v>
          </cell>
          <cell r="L313" t="str">
            <v/>
          </cell>
        </row>
        <row r="314">
          <cell r="C314">
            <v>90513</v>
          </cell>
          <cell r="D314" t="str">
            <v>宝物精华</v>
          </cell>
          <cell r="E314">
            <v>100</v>
          </cell>
          <cell r="F314">
            <v>1</v>
          </cell>
          <cell r="G314">
            <v>1</v>
          </cell>
          <cell r="H314">
            <v>1</v>
          </cell>
          <cell r="I314">
            <v>100</v>
          </cell>
          <cell r="J314">
            <v>100</v>
          </cell>
          <cell r="K314">
            <v>100</v>
          </cell>
          <cell r="L314" t="str">
            <v/>
          </cell>
        </row>
        <row r="315">
          <cell r="C315" t="str">
            <v/>
          </cell>
          <cell r="D315" t="str">
            <v/>
          </cell>
          <cell r="E315" t="str">
            <v/>
          </cell>
          <cell r="F315">
            <v>1</v>
          </cell>
          <cell r="G315">
            <v>1</v>
          </cell>
          <cell r="H315">
            <v>1</v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</row>
        <row r="316">
          <cell r="C316" t="str">
            <v/>
          </cell>
          <cell r="D316" t="str">
            <v/>
          </cell>
          <cell r="E316" t="str">
            <v/>
          </cell>
          <cell r="F316">
            <v>1</v>
          </cell>
          <cell r="G316">
            <v>1</v>
          </cell>
          <cell r="H316">
            <v>1</v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</row>
        <row r="317">
          <cell r="C317" t="str">
            <v/>
          </cell>
          <cell r="D317" t="str">
            <v/>
          </cell>
          <cell r="E317" t="str">
            <v/>
          </cell>
          <cell r="F317">
            <v>1</v>
          </cell>
          <cell r="G317">
            <v>1</v>
          </cell>
          <cell r="H317">
            <v>1</v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</row>
        <row r="318">
          <cell r="C318" t="str">
            <v/>
          </cell>
          <cell r="D318" t="str">
            <v/>
          </cell>
          <cell r="E318" t="str">
            <v/>
          </cell>
          <cell r="F318">
            <v>1</v>
          </cell>
          <cell r="G318">
            <v>1</v>
          </cell>
          <cell r="H318">
            <v>1</v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</row>
        <row r="319">
          <cell r="C319" t="str">
            <v/>
          </cell>
          <cell r="D319" t="str">
            <v/>
          </cell>
          <cell r="E319" t="str">
            <v/>
          </cell>
          <cell r="F319">
            <v>1</v>
          </cell>
          <cell r="G319">
            <v>1</v>
          </cell>
          <cell r="H319">
            <v>1</v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</row>
        <row r="320">
          <cell r="C320" t="str">
            <v/>
          </cell>
          <cell r="D320" t="str">
            <v/>
          </cell>
          <cell r="E320" t="str">
            <v/>
          </cell>
          <cell r="F320">
            <v>1</v>
          </cell>
          <cell r="G320">
            <v>1</v>
          </cell>
          <cell r="H320">
            <v>1</v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</row>
        <row r="321">
          <cell r="C321" t="str">
            <v/>
          </cell>
          <cell r="D321" t="str">
            <v/>
          </cell>
          <cell r="E321" t="str">
            <v/>
          </cell>
          <cell r="F321">
            <v>1</v>
          </cell>
          <cell r="G321">
            <v>1</v>
          </cell>
          <cell r="H321">
            <v>1</v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</row>
        <row r="322">
          <cell r="C322" t="str">
            <v/>
          </cell>
          <cell r="D322" t="str">
            <v/>
          </cell>
          <cell r="E322" t="str">
            <v/>
          </cell>
          <cell r="F322">
            <v>1</v>
          </cell>
          <cell r="G322">
            <v>1</v>
          </cell>
          <cell r="H322">
            <v>1</v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</row>
        <row r="323">
          <cell r="C323" t="str">
            <v/>
          </cell>
          <cell r="D323" t="str">
            <v/>
          </cell>
          <cell r="E323" t="str">
            <v/>
          </cell>
          <cell r="F323">
            <v>1</v>
          </cell>
          <cell r="G323">
            <v>1</v>
          </cell>
          <cell r="H323">
            <v>1</v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</row>
        <row r="324">
          <cell r="C324" t="str">
            <v/>
          </cell>
          <cell r="D324" t="str">
            <v/>
          </cell>
          <cell r="E324" t="str">
            <v/>
          </cell>
          <cell r="F324">
            <v>1</v>
          </cell>
          <cell r="G324">
            <v>1</v>
          </cell>
          <cell r="H324">
            <v>1</v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</row>
        <row r="325">
          <cell r="C325" t="str">
            <v/>
          </cell>
          <cell r="D325" t="str">
            <v/>
          </cell>
          <cell r="E325" t="str">
            <v/>
          </cell>
          <cell r="F325">
            <v>1</v>
          </cell>
          <cell r="G325">
            <v>1</v>
          </cell>
          <cell r="H325">
            <v>1</v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</row>
        <row r="326">
          <cell r="C326" t="str">
            <v/>
          </cell>
          <cell r="D326" t="str">
            <v/>
          </cell>
          <cell r="E326" t="str">
            <v/>
          </cell>
          <cell r="F326">
            <v>1</v>
          </cell>
          <cell r="G326">
            <v>1</v>
          </cell>
          <cell r="H326">
            <v>1</v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</row>
        <row r="327">
          <cell r="C327" t="str">
            <v/>
          </cell>
          <cell r="D327" t="str">
            <v/>
          </cell>
          <cell r="E327" t="str">
            <v/>
          </cell>
          <cell r="F327">
            <v>1</v>
          </cell>
          <cell r="G327">
            <v>1</v>
          </cell>
          <cell r="H327">
            <v>1</v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</row>
        <row r="328">
          <cell r="C328" t="str">
            <v/>
          </cell>
          <cell r="D328" t="str">
            <v/>
          </cell>
          <cell r="E328" t="str">
            <v/>
          </cell>
          <cell r="F328">
            <v>1</v>
          </cell>
          <cell r="G328">
            <v>1</v>
          </cell>
          <cell r="H328">
            <v>1</v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</row>
        <row r="329">
          <cell r="C329" t="str">
            <v/>
          </cell>
          <cell r="D329" t="str">
            <v/>
          </cell>
          <cell r="E329" t="str">
            <v/>
          </cell>
          <cell r="F329">
            <v>1</v>
          </cell>
          <cell r="G329">
            <v>1</v>
          </cell>
          <cell r="H329">
            <v>1</v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</row>
        <row r="330">
          <cell r="C330" t="str">
            <v/>
          </cell>
          <cell r="D330" t="str">
            <v/>
          </cell>
          <cell r="E330" t="str">
            <v/>
          </cell>
          <cell r="F330">
            <v>1</v>
          </cell>
          <cell r="G330">
            <v>1</v>
          </cell>
          <cell r="H330">
            <v>1</v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</row>
        <row r="331">
          <cell r="C331" t="str">
            <v/>
          </cell>
          <cell r="D331" t="str">
            <v/>
          </cell>
          <cell r="E331" t="str">
            <v/>
          </cell>
          <cell r="F331">
            <v>1</v>
          </cell>
          <cell r="G331">
            <v>1</v>
          </cell>
          <cell r="H331">
            <v>1</v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</row>
        <row r="332">
          <cell r="C332" t="str">
            <v/>
          </cell>
          <cell r="D332" t="str">
            <v/>
          </cell>
          <cell r="E332" t="str">
            <v/>
          </cell>
          <cell r="F332">
            <v>1</v>
          </cell>
          <cell r="G332">
            <v>1</v>
          </cell>
          <cell r="H332">
            <v>1</v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</row>
        <row r="333">
          <cell r="C333" t="str">
            <v/>
          </cell>
          <cell r="D333" t="str">
            <v/>
          </cell>
          <cell r="E333" t="str">
            <v/>
          </cell>
          <cell r="F333">
            <v>1</v>
          </cell>
          <cell r="G333">
            <v>1</v>
          </cell>
          <cell r="H333">
            <v>1</v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</row>
        <row r="334">
          <cell r="C334" t="str">
            <v/>
          </cell>
          <cell r="D334" t="str">
            <v/>
          </cell>
          <cell r="E334" t="str">
            <v/>
          </cell>
          <cell r="F334">
            <v>1</v>
          </cell>
          <cell r="G334">
            <v>1</v>
          </cell>
          <cell r="H334">
            <v>1</v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</row>
        <row r="335">
          <cell r="C335" t="str">
            <v/>
          </cell>
          <cell r="D335" t="str">
            <v/>
          </cell>
          <cell r="E335" t="str">
            <v/>
          </cell>
          <cell r="F335">
            <v>1</v>
          </cell>
          <cell r="G335">
            <v>1</v>
          </cell>
          <cell r="H335">
            <v>1</v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</row>
        <row r="336">
          <cell r="C336" t="str">
            <v/>
          </cell>
          <cell r="D336" t="str">
            <v/>
          </cell>
          <cell r="E336" t="str">
            <v/>
          </cell>
          <cell r="F336">
            <v>1</v>
          </cell>
          <cell r="G336">
            <v>1</v>
          </cell>
          <cell r="H336">
            <v>1</v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</row>
        <row r="337">
          <cell r="C337" t="str">
            <v/>
          </cell>
          <cell r="D337" t="str">
            <v/>
          </cell>
          <cell r="E337" t="str">
            <v/>
          </cell>
          <cell r="F337">
            <v>1</v>
          </cell>
          <cell r="G337">
            <v>1</v>
          </cell>
          <cell r="H337">
            <v>1</v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</row>
        <row r="338">
          <cell r="C338" t="str">
            <v/>
          </cell>
          <cell r="D338" t="str">
            <v/>
          </cell>
          <cell r="E338" t="str">
            <v/>
          </cell>
          <cell r="F338">
            <v>1</v>
          </cell>
          <cell r="G338">
            <v>1</v>
          </cell>
          <cell r="H338">
            <v>1</v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纲要"/>
      <sheetName val="数据总览"/>
      <sheetName val="验证"/>
      <sheetName val="Sheet10"/>
      <sheetName val="将领（模板）"/>
      <sheetName val="士兵(模板)"/>
      <sheetName val="战术（模板）"/>
      <sheetName val="相关演算"/>
      <sheetName val="将领属性数据"/>
      <sheetName val="士兵属性数据"/>
      <sheetName val="综合属性数据"/>
      <sheetName val="战斗模拟数据2v2"/>
      <sheetName val="Sheet8"/>
      <sheetName val="战斗模拟器3v3(正常)"/>
      <sheetName val="战斗模拟器3v3（单绕后）"/>
      <sheetName val="战斗模拟器3v3（双绕后）"/>
      <sheetName val="Sheet7"/>
      <sheetName val="Sheet4"/>
      <sheetName val="Sheet3"/>
      <sheetName val="Sheet1"/>
      <sheetName val="Sheet2"/>
      <sheetName val="Sheet6"/>
    </sheetNames>
    <sheetDataSet>
      <sheetData sheetId="0"/>
      <sheetData sheetId="1">
        <row r="10">
          <cell r="CE10">
            <v>60</v>
          </cell>
          <cell r="CF10">
            <v>0.94499999999999984</v>
          </cell>
        </row>
        <row r="11">
          <cell r="CE11">
            <v>61.727141518136094</v>
          </cell>
          <cell r="CF11">
            <v>1.9546928147409761</v>
          </cell>
        </row>
        <row r="12">
          <cell r="CE12">
            <v>63.133512780976638</v>
          </cell>
          <cell r="CF12">
            <v>2.3215799904637051</v>
          </cell>
        </row>
        <row r="13">
          <cell r="CE13">
            <v>63.131597855391043</v>
          </cell>
          <cell r="CF13">
            <v>2.1381364026023406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K20:U39"/>
  <sheetViews>
    <sheetView topLeftCell="A10" workbookViewId="0">
      <selection activeCell="J19" sqref="J19"/>
    </sheetView>
  </sheetViews>
  <sheetFormatPr defaultRowHeight="13.5" x14ac:dyDescent="0.15"/>
  <sheetData>
    <row r="20" spans="11:21" x14ac:dyDescent="0.15">
      <c r="K20" s="1" t="s">
        <v>0</v>
      </c>
      <c r="L20" s="1">
        <v>8</v>
      </c>
      <c r="M20" s="2" t="s">
        <v>15</v>
      </c>
      <c r="N20" s="2">
        <v>1</v>
      </c>
      <c r="O20" s="2" t="s">
        <v>14</v>
      </c>
      <c r="P20" s="2">
        <v>5</v>
      </c>
      <c r="Q20" s="2"/>
      <c r="R20" s="2"/>
      <c r="S20" s="2"/>
      <c r="T20" s="1" t="s">
        <v>0</v>
      </c>
      <c r="U20" s="1">
        <v>8</v>
      </c>
    </row>
    <row r="21" spans="11:21" x14ac:dyDescent="0.15">
      <c r="K21" s="1" t="s">
        <v>1</v>
      </c>
      <c r="L21" s="1">
        <v>12</v>
      </c>
      <c r="M21" s="2" t="s">
        <v>15</v>
      </c>
      <c r="N21" s="2">
        <v>3</v>
      </c>
      <c r="O21" s="2" t="s">
        <v>14</v>
      </c>
      <c r="P21" s="2">
        <v>3</v>
      </c>
      <c r="Q21" s="2"/>
      <c r="R21" s="2"/>
      <c r="S21" s="2"/>
      <c r="T21" s="2" t="s">
        <v>23</v>
      </c>
      <c r="U21" s="2">
        <v>10</v>
      </c>
    </row>
    <row r="22" spans="11:21" x14ac:dyDescent="0.15">
      <c r="K22" s="1" t="s">
        <v>2</v>
      </c>
      <c r="L22" s="1">
        <v>16</v>
      </c>
      <c r="M22" s="2" t="s">
        <v>15</v>
      </c>
      <c r="N22" s="2">
        <v>5</v>
      </c>
      <c r="O22" s="2" t="s">
        <v>14</v>
      </c>
      <c r="P22" s="2">
        <v>1</v>
      </c>
      <c r="Q22" s="2"/>
      <c r="R22" s="2"/>
      <c r="S22" s="2"/>
      <c r="T22" s="1" t="s">
        <v>1</v>
      </c>
      <c r="U22" s="1">
        <v>12</v>
      </c>
    </row>
    <row r="23" spans="11:21" x14ac:dyDescent="0.15">
      <c r="K23" s="1" t="s">
        <v>3</v>
      </c>
      <c r="L23" s="1">
        <v>20</v>
      </c>
      <c r="M23" s="2" t="s">
        <v>13</v>
      </c>
      <c r="N23" s="2">
        <v>1</v>
      </c>
      <c r="O23" s="2" t="s">
        <v>15</v>
      </c>
      <c r="P23" s="2">
        <v>5</v>
      </c>
      <c r="Q23" s="2"/>
      <c r="R23" s="2"/>
      <c r="S23" s="2"/>
      <c r="T23" s="1" t="s">
        <v>2</v>
      </c>
      <c r="U23" s="1">
        <v>16</v>
      </c>
    </row>
    <row r="24" spans="11:21" x14ac:dyDescent="0.15">
      <c r="K24" s="1" t="s">
        <v>9</v>
      </c>
      <c r="L24" s="1">
        <v>30</v>
      </c>
      <c r="M24" s="2" t="s">
        <v>13</v>
      </c>
      <c r="N24" s="2">
        <v>4</v>
      </c>
      <c r="O24" s="2" t="s">
        <v>15</v>
      </c>
      <c r="P24" s="2">
        <v>2</v>
      </c>
      <c r="Q24" s="2"/>
      <c r="R24" s="2"/>
      <c r="S24" s="2"/>
      <c r="T24" s="2" t="s">
        <v>24</v>
      </c>
      <c r="U24" s="2">
        <v>20</v>
      </c>
    </row>
    <row r="25" spans="11:21" x14ac:dyDescent="0.15">
      <c r="K25" s="1" t="s">
        <v>10</v>
      </c>
      <c r="L25" s="1">
        <v>32</v>
      </c>
      <c r="M25" s="2" t="s">
        <v>13</v>
      </c>
      <c r="N25" s="2">
        <v>4</v>
      </c>
      <c r="O25" s="2" t="s">
        <v>15</v>
      </c>
      <c r="P25" s="2">
        <v>1</v>
      </c>
      <c r="Q25" s="2" t="s">
        <v>16</v>
      </c>
      <c r="R25" s="2">
        <v>1</v>
      </c>
      <c r="S25" s="2"/>
      <c r="T25" s="2" t="s">
        <v>25</v>
      </c>
      <c r="U25" s="2">
        <v>30</v>
      </c>
    </row>
    <row r="26" spans="11:21" x14ac:dyDescent="0.15">
      <c r="K26" s="1" t="s">
        <v>4</v>
      </c>
      <c r="L26" s="1">
        <v>35</v>
      </c>
      <c r="M26" s="2" t="s">
        <v>13</v>
      </c>
      <c r="N26" s="2">
        <v>6</v>
      </c>
      <c r="O26" s="2"/>
      <c r="P26" s="2"/>
      <c r="Q26" s="2"/>
      <c r="R26" s="2"/>
      <c r="S26" s="2"/>
      <c r="T26" s="1" t="s">
        <v>10</v>
      </c>
      <c r="U26" s="1">
        <v>32</v>
      </c>
    </row>
    <row r="27" spans="11:21" x14ac:dyDescent="0.15">
      <c r="K27" s="1" t="s">
        <v>11</v>
      </c>
      <c r="L27" s="1">
        <v>36</v>
      </c>
      <c r="M27" s="2" t="s">
        <v>17</v>
      </c>
      <c r="N27" s="2">
        <v>1</v>
      </c>
      <c r="O27" s="2" t="s">
        <v>13</v>
      </c>
      <c r="P27" s="2">
        <v>5</v>
      </c>
      <c r="Q27" s="2"/>
      <c r="R27" s="2"/>
      <c r="S27" s="2"/>
      <c r="T27" s="1" t="s">
        <v>4</v>
      </c>
      <c r="U27" s="1">
        <v>35</v>
      </c>
    </row>
    <row r="28" spans="11:21" x14ac:dyDescent="0.15">
      <c r="K28" s="1" t="s">
        <v>5</v>
      </c>
      <c r="L28" s="1">
        <v>44</v>
      </c>
      <c r="M28" s="2" t="s">
        <v>18</v>
      </c>
      <c r="N28" s="2">
        <v>1</v>
      </c>
      <c r="O28" s="2" t="s">
        <v>13</v>
      </c>
      <c r="P28" s="2">
        <v>5</v>
      </c>
      <c r="Q28" s="2"/>
      <c r="R28" s="2"/>
      <c r="S28" s="2"/>
      <c r="T28" s="1" t="s">
        <v>11</v>
      </c>
      <c r="U28" s="1">
        <v>36</v>
      </c>
    </row>
    <row r="29" spans="11:21" x14ac:dyDescent="0.15">
      <c r="K29" s="1" t="s">
        <v>12</v>
      </c>
      <c r="L29" s="1">
        <v>46</v>
      </c>
      <c r="M29" s="2" t="s">
        <v>19</v>
      </c>
      <c r="N29" s="2">
        <v>1</v>
      </c>
      <c r="O29" s="2" t="s">
        <v>17</v>
      </c>
      <c r="P29" s="2">
        <v>5</v>
      </c>
      <c r="Q29" s="2"/>
      <c r="R29" s="2"/>
      <c r="S29" s="2"/>
      <c r="T29" s="2" t="s">
        <v>26</v>
      </c>
      <c r="U29" s="2">
        <v>40</v>
      </c>
    </row>
    <row r="30" spans="11:21" x14ac:dyDescent="0.15">
      <c r="K30" s="1" t="s">
        <v>6</v>
      </c>
      <c r="L30" s="1">
        <v>48</v>
      </c>
      <c r="M30" s="2" t="s">
        <v>20</v>
      </c>
      <c r="N30" s="2">
        <v>6</v>
      </c>
      <c r="O30" s="2"/>
      <c r="P30" s="2"/>
      <c r="Q30" s="2"/>
      <c r="R30" s="2"/>
      <c r="S30" s="2"/>
      <c r="T30" s="1" t="s">
        <v>5</v>
      </c>
      <c r="U30" s="1">
        <v>44</v>
      </c>
    </row>
    <row r="31" spans="11:21" x14ac:dyDescent="0.15">
      <c r="K31" s="1" t="s">
        <v>7</v>
      </c>
      <c r="L31" s="1">
        <v>58</v>
      </c>
      <c r="M31" s="2" t="s">
        <v>21</v>
      </c>
      <c r="N31" s="2">
        <v>6</v>
      </c>
      <c r="O31" s="2"/>
      <c r="P31" s="2"/>
      <c r="Q31" s="2"/>
      <c r="R31" s="2"/>
      <c r="S31" s="2"/>
      <c r="T31" s="1" t="s">
        <v>12</v>
      </c>
      <c r="U31" s="1">
        <v>46</v>
      </c>
    </row>
    <row r="32" spans="11:21" x14ac:dyDescent="0.15">
      <c r="K32" s="1" t="s">
        <v>8</v>
      </c>
      <c r="L32" s="1">
        <v>66</v>
      </c>
      <c r="M32" s="2" t="s">
        <v>22</v>
      </c>
      <c r="N32" s="2">
        <v>6</v>
      </c>
      <c r="O32" s="2"/>
      <c r="P32" s="2"/>
      <c r="Q32" s="2"/>
      <c r="R32" s="2"/>
      <c r="S32" s="2"/>
      <c r="T32" s="1" t="s">
        <v>6</v>
      </c>
      <c r="U32" s="1">
        <v>48</v>
      </c>
    </row>
    <row r="33" spans="11:21" x14ac:dyDescent="0.15">
      <c r="K33" s="2"/>
      <c r="L33" s="2"/>
      <c r="M33" s="2"/>
      <c r="N33" s="2"/>
      <c r="O33" s="2"/>
      <c r="P33" s="2"/>
      <c r="Q33" s="2"/>
      <c r="R33" s="2"/>
      <c r="S33" s="2"/>
      <c r="T33" s="2" t="s">
        <v>27</v>
      </c>
      <c r="U33" s="2">
        <v>50</v>
      </c>
    </row>
    <row r="34" spans="11:21" x14ac:dyDescent="0.15">
      <c r="K34" s="1"/>
      <c r="L34" s="1"/>
      <c r="M34" s="2"/>
      <c r="N34" s="2"/>
      <c r="O34" s="2"/>
      <c r="P34" s="2"/>
      <c r="Q34" s="2"/>
      <c r="R34" s="2"/>
      <c r="S34" s="2"/>
      <c r="T34" s="2" t="s">
        <v>28</v>
      </c>
      <c r="U34" s="2">
        <v>60</v>
      </c>
    </row>
    <row r="35" spans="11:21" x14ac:dyDescent="0.15">
      <c r="K35" s="2"/>
      <c r="L35" s="2"/>
      <c r="M35" s="2"/>
      <c r="N35" s="2"/>
      <c r="O35" s="2"/>
      <c r="P35" s="2"/>
      <c r="Q35" s="2"/>
      <c r="R35" s="2"/>
      <c r="S35" s="2"/>
      <c r="T35" s="1" t="s">
        <v>7</v>
      </c>
      <c r="U35" s="1">
        <v>58</v>
      </c>
    </row>
    <row r="36" spans="11:21" x14ac:dyDescent="0.15">
      <c r="K36" s="2"/>
      <c r="L36" s="2"/>
      <c r="M36" s="2"/>
      <c r="N36" s="2"/>
      <c r="O36" s="2"/>
      <c r="P36" s="2"/>
      <c r="Q36" s="2"/>
      <c r="R36" s="2"/>
      <c r="S36" s="2"/>
      <c r="T36" s="2" t="s">
        <v>29</v>
      </c>
      <c r="U36" s="2">
        <v>70</v>
      </c>
    </row>
    <row r="37" spans="11:21" x14ac:dyDescent="0.15">
      <c r="K37" s="2"/>
      <c r="L37" s="2"/>
      <c r="M37" s="2"/>
      <c r="N37" s="2"/>
      <c r="O37" s="2"/>
      <c r="P37" s="2"/>
      <c r="Q37" s="2"/>
      <c r="R37" s="2"/>
      <c r="S37" s="2"/>
      <c r="T37" s="2" t="s">
        <v>29</v>
      </c>
      <c r="U37" s="2">
        <v>80</v>
      </c>
    </row>
    <row r="38" spans="11:21" x14ac:dyDescent="0.15">
      <c r="K38" s="2"/>
      <c r="L38" s="2"/>
      <c r="M38" s="2"/>
      <c r="N38" s="2"/>
      <c r="O38" s="2"/>
      <c r="P38" s="2"/>
      <c r="Q38" s="2"/>
      <c r="R38" s="2"/>
      <c r="S38" s="2"/>
      <c r="T38" s="2" t="s">
        <v>29</v>
      </c>
      <c r="U38" s="2">
        <v>90</v>
      </c>
    </row>
    <row r="39" spans="11:21" x14ac:dyDescent="0.15">
      <c r="K39" s="2"/>
      <c r="L39" s="2"/>
      <c r="M39" s="2"/>
      <c r="N39" s="2"/>
      <c r="O39" s="2"/>
      <c r="P39" s="2"/>
      <c r="Q39" s="2"/>
      <c r="R39" s="2"/>
      <c r="S39" s="2"/>
      <c r="T39" s="2" t="s">
        <v>29</v>
      </c>
      <c r="U39" s="2">
        <v>100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BN363"/>
  <sheetViews>
    <sheetView topLeftCell="E28" workbookViewId="0">
      <selection activeCell="X56" sqref="X56"/>
    </sheetView>
  </sheetViews>
  <sheetFormatPr defaultColWidth="6.625" defaultRowHeight="11.25" x14ac:dyDescent="0.15"/>
  <cols>
    <col min="1" max="12" width="6.625" style="8"/>
    <col min="13" max="13" width="6.625" style="5"/>
    <col min="14" max="35" width="6.625" style="8"/>
    <col min="36" max="36" width="6.625" style="5"/>
    <col min="37" max="43" width="6.625" style="8"/>
    <col min="44" max="44" width="6.625" style="4"/>
    <col min="45" max="50" width="6.625" style="8"/>
    <col min="51" max="51" width="6.625" style="4"/>
    <col min="52" max="58" width="6.625" style="8"/>
    <col min="59" max="59" width="6.625" style="5"/>
    <col min="60" max="60" width="6.625" style="8"/>
    <col min="61" max="66" width="6.625" style="7"/>
    <col min="67" max="16384" width="6.625" style="8"/>
  </cols>
  <sheetData>
    <row r="1" spans="2:66" x14ac:dyDescent="0.15">
      <c r="F1" s="43" t="s">
        <v>81</v>
      </c>
      <c r="G1" s="43" t="s">
        <v>55</v>
      </c>
      <c r="H1" s="9"/>
      <c r="I1" s="43" t="s">
        <v>31</v>
      </c>
      <c r="J1" s="43" t="s">
        <v>55</v>
      </c>
      <c r="K1" s="43" t="s">
        <v>56</v>
      </c>
      <c r="P1" s="8" t="s">
        <v>57</v>
      </c>
      <c r="AM1" s="8">
        <v>1</v>
      </c>
      <c r="AN1" s="8">
        <v>0.8</v>
      </c>
      <c r="AO1" s="8">
        <v>0.6</v>
      </c>
      <c r="AP1" s="8">
        <v>0.4</v>
      </c>
      <c r="AQ1" s="8">
        <v>0.2</v>
      </c>
    </row>
    <row r="2" spans="2:66" x14ac:dyDescent="0.15">
      <c r="F2" s="43"/>
      <c r="G2" s="43"/>
      <c r="H2" s="9"/>
      <c r="I2" s="43"/>
      <c r="J2" s="43"/>
      <c r="K2" s="43"/>
      <c r="P2" s="42" t="s">
        <v>82</v>
      </c>
      <c r="Q2" s="42"/>
      <c r="R2" s="42"/>
      <c r="S2" s="42"/>
      <c r="T2" s="42"/>
      <c r="W2" s="42" t="s">
        <v>83</v>
      </c>
      <c r="X2" s="42"/>
      <c r="Y2" s="42"/>
      <c r="Z2" s="42"/>
      <c r="AA2" s="42"/>
      <c r="AD2" s="42" t="s">
        <v>84</v>
      </c>
      <c r="AE2" s="42"/>
      <c r="AF2" s="42"/>
      <c r="AG2" s="42"/>
      <c r="AH2" s="42"/>
      <c r="AM2" s="42" t="s">
        <v>32</v>
      </c>
      <c r="AN2" s="42"/>
      <c r="AO2" s="42"/>
      <c r="AP2" s="42"/>
      <c r="AQ2" s="42"/>
      <c r="AT2" s="42" t="s">
        <v>33</v>
      </c>
      <c r="AU2" s="42"/>
      <c r="AV2" s="42"/>
      <c r="AW2" s="42"/>
      <c r="AX2" s="42"/>
      <c r="BA2" s="42" t="s">
        <v>58</v>
      </c>
      <c r="BB2" s="42"/>
      <c r="BC2" s="42"/>
      <c r="BD2" s="42"/>
      <c r="BE2" s="42"/>
      <c r="BJ2" s="41" t="s">
        <v>59</v>
      </c>
      <c r="BK2" s="41"/>
      <c r="BL2" s="41"/>
      <c r="BM2" s="41"/>
      <c r="BN2" s="41"/>
    </row>
    <row r="3" spans="2:66" x14ac:dyDescent="0.15">
      <c r="F3" s="12">
        <f>[1]节奏总纲!F3</f>
        <v>1</v>
      </c>
      <c r="G3" s="12">
        <f>[1]节奏总纲!G3</f>
        <v>7.1773462536293131E-2</v>
      </c>
      <c r="I3" s="12">
        <f>[1]节奏总纲!I3</f>
        <v>1</v>
      </c>
      <c r="J3" s="12">
        <f>[1]节奏总纲!J3</f>
        <v>7.4349177498517554E-3</v>
      </c>
      <c r="K3" s="12">
        <f>[1]节奏总纲!K3</f>
        <v>0.1</v>
      </c>
      <c r="N3" s="12" t="str">
        <f>[1]节奏总纲!N3</f>
        <v>对应玩家等级</v>
      </c>
      <c r="O3" s="8" t="s">
        <v>81</v>
      </c>
      <c r="P3" s="8" t="s">
        <v>60</v>
      </c>
      <c r="Q3" s="8" t="s">
        <v>61</v>
      </c>
      <c r="R3" s="8" t="s">
        <v>62</v>
      </c>
      <c r="S3" s="8" t="s">
        <v>63</v>
      </c>
      <c r="T3" s="8" t="s">
        <v>64</v>
      </c>
      <c r="V3" s="8" t="s">
        <v>81</v>
      </c>
      <c r="W3" s="8" t="s">
        <v>60</v>
      </c>
      <c r="X3" s="8" t="s">
        <v>65</v>
      </c>
      <c r="Y3" s="8" t="s">
        <v>62</v>
      </c>
      <c r="Z3" s="8" t="s">
        <v>63</v>
      </c>
      <c r="AA3" s="8" t="s">
        <v>64</v>
      </c>
      <c r="AC3" s="8" t="s">
        <v>66</v>
      </c>
      <c r="AD3" s="8" t="s">
        <v>60</v>
      </c>
      <c r="AE3" s="8" t="s">
        <v>65</v>
      </c>
      <c r="AF3" s="8" t="s">
        <v>67</v>
      </c>
      <c r="AG3" s="8" t="s">
        <v>63</v>
      </c>
      <c r="AH3" s="8" t="s">
        <v>68</v>
      </c>
      <c r="AL3" s="8" t="s">
        <v>31</v>
      </c>
      <c r="AM3" s="8" t="s">
        <v>69</v>
      </c>
      <c r="AN3" s="8" t="s">
        <v>65</v>
      </c>
      <c r="AO3" s="8" t="s">
        <v>67</v>
      </c>
      <c r="AP3" s="8" t="s">
        <v>70</v>
      </c>
      <c r="AQ3" s="8" t="s">
        <v>64</v>
      </c>
      <c r="AS3" s="8" t="s">
        <v>31</v>
      </c>
      <c r="AT3" s="8" t="s">
        <v>69</v>
      </c>
      <c r="AU3" s="8" t="s">
        <v>71</v>
      </c>
      <c r="AV3" s="8" t="s">
        <v>52</v>
      </c>
      <c r="AW3" s="8" t="s">
        <v>72</v>
      </c>
      <c r="AX3" s="8" t="s">
        <v>73</v>
      </c>
      <c r="AZ3" s="8" t="s">
        <v>74</v>
      </c>
      <c r="BA3" s="8" t="s">
        <v>60</v>
      </c>
      <c r="BB3" s="8" t="s">
        <v>71</v>
      </c>
      <c r="BC3" s="8" t="s">
        <v>75</v>
      </c>
      <c r="BD3" s="8" t="s">
        <v>72</v>
      </c>
      <c r="BE3" s="8" t="s">
        <v>68</v>
      </c>
      <c r="BI3" s="7" t="s">
        <v>81</v>
      </c>
      <c r="BJ3" s="7" t="s">
        <v>76</v>
      </c>
      <c r="BK3" s="7" t="s">
        <v>71</v>
      </c>
      <c r="BL3" s="7" t="s">
        <v>52</v>
      </c>
      <c r="BM3" s="7" t="s">
        <v>70</v>
      </c>
      <c r="BN3" s="7" t="s">
        <v>73</v>
      </c>
    </row>
    <row r="4" spans="2:66" x14ac:dyDescent="0.15">
      <c r="F4" s="12">
        <f>[1]节奏总纲!F4</f>
        <v>2</v>
      </c>
      <c r="G4" s="12">
        <f>[1]节奏总纲!G4</f>
        <v>0.1486983549970351</v>
      </c>
      <c r="I4" s="12">
        <f>[1]节奏总纲!I4</f>
        <v>2</v>
      </c>
      <c r="J4" s="12">
        <f>[1]节奏总纲!J4</f>
        <v>2.3963093307967063E-2</v>
      </c>
      <c r="K4" s="12">
        <f>[1]节奏总纲!K4</f>
        <v>0.15</v>
      </c>
      <c r="N4" s="12">
        <f>[1]节奏总纲!N4</f>
        <v>2</v>
      </c>
      <c r="O4" s="8">
        <v>1</v>
      </c>
      <c r="P4" s="12">
        <f>[1]节奏总纲!P4</f>
        <v>7.1773462536293131E-2</v>
      </c>
      <c r="Q4" s="12">
        <f>[1]节奏总纲!Q4</f>
        <v>5.9787294292732177E-2</v>
      </c>
      <c r="R4" s="12">
        <f>[1]节奏总纲!R4</f>
        <v>4.677476553490223E-2</v>
      </c>
      <c r="S4" s="12">
        <f>[1]节奏总纲!S4</f>
        <v>3.2585151991477081E-2</v>
      </c>
      <c r="T4" s="12">
        <f>[1]节奏总纲!T4</f>
        <v>1.7039020006115988E-2</v>
      </c>
      <c r="V4" s="8">
        <v>1</v>
      </c>
      <c r="W4" s="12">
        <f>[1]节奏总纲!W4</f>
        <v>7.1773462536293131E-2</v>
      </c>
      <c r="X4" s="12">
        <f>[1]节奏总纲!X4</f>
        <v>5.9787294292732177E-2</v>
      </c>
      <c r="Y4" s="12">
        <f>[1]节奏总纲!Y4</f>
        <v>4.677476553490223E-2</v>
      </c>
      <c r="Z4" s="12">
        <f>[1]节奏总纲!Z4</f>
        <v>3.2585151991477081E-2</v>
      </c>
      <c r="AA4" s="12">
        <f>[1]节奏总纲!AA4</f>
        <v>1.7039020006115988E-2</v>
      </c>
      <c r="AC4" s="8">
        <v>1</v>
      </c>
      <c r="AD4" s="12">
        <f>[1]节奏总纲!AD4</f>
        <v>10</v>
      </c>
      <c r="AE4" s="12">
        <f>[1]节奏总纲!AE4</f>
        <v>11.148446722089302</v>
      </c>
      <c r="AF4" s="12">
        <f>[1]节奏总纲!AF4</f>
        <v>12.761737853656415</v>
      </c>
      <c r="AG4" s="12">
        <f>[1]节奏总纲!AG4</f>
        <v>15.452231935206081</v>
      </c>
      <c r="AH4" s="12">
        <f>[1]节奏总纲!AH4</f>
        <v>21.291911942729964</v>
      </c>
      <c r="AL4" s="8">
        <v>1</v>
      </c>
      <c r="AM4" s="12">
        <f>[1]节奏总纲!AM4</f>
        <v>7.4349177498517554E-3</v>
      </c>
      <c r="AN4" s="12">
        <f>[1]节奏总纲!AN4</f>
        <v>5.947934199881405E-3</v>
      </c>
      <c r="AO4" s="12">
        <f>[1]节奏总纲!AO4</f>
        <v>4.4609506499110529E-3</v>
      </c>
      <c r="AP4" s="12">
        <f>[1]节奏总纲!AP4</f>
        <v>2.9739670999407025E-3</v>
      </c>
      <c r="AQ4" s="12">
        <f>[1]节奏总纲!AQ4</f>
        <v>1.4869835499703513E-3</v>
      </c>
      <c r="AS4" s="8">
        <v>1</v>
      </c>
      <c r="AT4" s="12">
        <f>[1]节奏总纲!AT4</f>
        <v>7.4349177498517554E-3</v>
      </c>
      <c r="AU4" s="12">
        <f>[1]节奏总纲!AU4</f>
        <v>5.947934199881405E-3</v>
      </c>
      <c r="AV4" s="12">
        <f>[1]节奏总纲!AV4</f>
        <v>4.4609506499110529E-3</v>
      </c>
      <c r="AW4" s="12">
        <f>[1]节奏总纲!AW4</f>
        <v>2.9739670999407025E-3</v>
      </c>
      <c r="AX4" s="12">
        <f>[1]节奏总纲!AX4</f>
        <v>1.4869835499703513E-3</v>
      </c>
      <c r="AY4" s="8"/>
      <c r="AZ4" s="8">
        <v>1</v>
      </c>
      <c r="BA4" s="12">
        <f>[1]节奏总纲!BA4</f>
        <v>11.296493250964016</v>
      </c>
      <c r="BB4" s="12">
        <f>[1]节奏总纲!BB4</f>
        <v>12.361596792946616</v>
      </c>
      <c r="BC4" s="12">
        <f>[1]节奏总纲!BC4</f>
        <v>13.798091195443488</v>
      </c>
      <c r="BD4" s="12">
        <f>[1]节奏总纲!BD4</f>
        <v>15.911635365458322</v>
      </c>
      <c r="BE4" s="12">
        <f>[1]节奏总纲!BE4</f>
        <v>19.707330185578734</v>
      </c>
      <c r="BI4" s="7">
        <v>1</v>
      </c>
      <c r="BJ4" s="12">
        <f>[1]节奏总纲!BJ4</f>
        <v>0.3</v>
      </c>
      <c r="BK4" s="12">
        <f>[1]节奏总纲!BK4</f>
        <v>0.30599999999999999</v>
      </c>
      <c r="BL4" s="12">
        <f>[1]节奏总纲!BL4</f>
        <v>0.318</v>
      </c>
      <c r="BM4" s="12">
        <f>[1]节奏总纲!BM4</f>
        <v>0.34199999999999997</v>
      </c>
      <c r="BN4" s="12">
        <f>[1]节奏总纲!BN4</f>
        <v>0.42</v>
      </c>
    </row>
    <row r="5" spans="2:66" x14ac:dyDescent="0.15">
      <c r="F5" s="12">
        <f>[1]节奏总纲!F5</f>
        <v>3</v>
      </c>
      <c r="G5" s="12">
        <f>[1]节奏总纲!G5</f>
        <v>0.23114441334491631</v>
      </c>
      <c r="I5" s="12">
        <f>[1]节奏总纲!I5</f>
        <v>3</v>
      </c>
      <c r="J5" s="12">
        <f>[1]节奏总纲!J5</f>
        <v>5.1571656651039799E-2</v>
      </c>
      <c r="K5" s="12">
        <f>[1]节奏总纲!K5</f>
        <v>0.2</v>
      </c>
      <c r="N5" s="12">
        <f>[1]节奏总纲!N5</f>
        <v>4</v>
      </c>
      <c r="O5" s="8">
        <v>2</v>
      </c>
      <c r="P5" s="12">
        <f>[1]节奏总纲!P5</f>
        <v>0.1486983549970351</v>
      </c>
      <c r="Q5" s="12">
        <f>[1]节奏总纲!Q5</f>
        <v>0.12505531655250651</v>
      </c>
      <c r="R5" s="12">
        <f>[1]节奏总纲!R5</f>
        <v>9.883979656652922E-2</v>
      </c>
      <c r="S5" s="12">
        <f>[1]节奏总纲!S5</f>
        <v>6.9828747506607683E-2</v>
      </c>
      <c r="T5" s="12">
        <f>[1]节奏总纲!T5</f>
        <v>3.7085369736260552E-2</v>
      </c>
      <c r="V5" s="8">
        <v>2</v>
      </c>
      <c r="W5" s="12">
        <f>[1]节奏总纲!W5</f>
        <v>7.6924892460741967E-2</v>
      </c>
      <c r="X5" s="12">
        <f>[1]节奏总纲!X5</f>
        <v>6.5268022259774336E-2</v>
      </c>
      <c r="Y5" s="12">
        <f>[1]节奏总纲!Y5</f>
        <v>5.206503103162699E-2</v>
      </c>
      <c r="Z5" s="12">
        <f>[1]节奏总纲!Z5</f>
        <v>3.7243595515130602E-2</v>
      </c>
      <c r="AA5" s="12">
        <f>[1]节奏总纲!AA5</f>
        <v>2.0046349730144564E-2</v>
      </c>
      <c r="AC5" s="8">
        <v>2</v>
      </c>
      <c r="AD5" s="12">
        <f>[1]节奏总纲!AD5</f>
        <v>15.845161563010114</v>
      </c>
      <c r="AE5" s="12">
        <f>[1]节奏总纲!AE5</f>
        <v>17.271997130667014</v>
      </c>
      <c r="AF5" s="12">
        <f>[1]节奏总纲!AF5</f>
        <v>19.263096801323076</v>
      </c>
      <c r="AG5" s="12">
        <f>[1]节奏总纲!AG5</f>
        <v>22.536681597650272</v>
      </c>
      <c r="AH5" s="12">
        <f>[1]节奏总纲!AH5</f>
        <v>29.386000042029625</v>
      </c>
      <c r="AL5" s="8">
        <v>2</v>
      </c>
      <c r="AM5" s="12">
        <f>[1]节奏总纲!AM5</f>
        <v>2.3963093307967063E-2</v>
      </c>
      <c r="AN5" s="12">
        <f>[1]节奏总纲!AN5</f>
        <v>1.9170474646373652E-2</v>
      </c>
      <c r="AO5" s="12">
        <f>[1]节奏总纲!AO5</f>
        <v>1.4377855984780237E-2</v>
      </c>
      <c r="AP5" s="12">
        <f>[1]节奏总纲!AP5</f>
        <v>9.5852373231868262E-3</v>
      </c>
      <c r="AQ5" s="12">
        <f>[1]节奏总纲!AQ5</f>
        <v>4.7926186615934131E-3</v>
      </c>
      <c r="AS5" s="8">
        <v>2</v>
      </c>
      <c r="AT5" s="12">
        <f>[1]节奏总纲!AT5</f>
        <v>1.6528175558115307E-2</v>
      </c>
      <c r="AU5" s="12">
        <f>[1]节奏总纲!AU5</f>
        <v>1.3222540446492247E-2</v>
      </c>
      <c r="AV5" s="12">
        <f>[1]节奏总纲!AV5</f>
        <v>9.9169053348691846E-3</v>
      </c>
      <c r="AW5" s="12">
        <f>[1]节奏总纲!AW5</f>
        <v>6.6112702232461237E-3</v>
      </c>
      <c r="AX5" s="12">
        <f>[1]节奏总纲!AX5</f>
        <v>3.3056351116230618E-3</v>
      </c>
      <c r="AY5" s="8"/>
      <c r="AZ5" s="8">
        <v>2</v>
      </c>
      <c r="BA5" s="12">
        <f>[1]节奏总纲!BA5</f>
        <v>14.729965238833779</v>
      </c>
      <c r="BB5" s="12">
        <f>[1]节奏总纲!BB5</f>
        <v>15.911635365458322</v>
      </c>
      <c r="BC5" s="12">
        <f>[1]节奏总纲!BC5</f>
        <v>17.448850811924295</v>
      </c>
      <c r="BD5" s="12">
        <f>[1]节奏总纲!BD5</f>
        <v>19.707330185578734</v>
      </c>
      <c r="BE5" s="12">
        <f>[1]节奏总纲!BE5</f>
        <v>23.710496742673982</v>
      </c>
      <c r="BI5" s="7">
        <v>2</v>
      </c>
      <c r="BJ5" s="12">
        <f>[1]节奏总纲!BJ5</f>
        <v>0.47499999999999998</v>
      </c>
      <c r="BK5" s="12">
        <f>[1]节奏总纲!BK5</f>
        <v>0.48449999999999999</v>
      </c>
      <c r="BL5" s="12">
        <f>[1]节奏总纲!BL5</f>
        <v>0.50349999999999995</v>
      </c>
      <c r="BM5" s="12">
        <f>[1]节奏总纲!BM5</f>
        <v>0.54149999999999998</v>
      </c>
      <c r="BN5" s="12">
        <f>[1]节奏总纲!BN5</f>
        <v>0.66499999999999992</v>
      </c>
    </row>
    <row r="6" spans="2:66" x14ac:dyDescent="0.15">
      <c r="B6" s="42" t="s">
        <v>85</v>
      </c>
      <c r="C6" s="42"/>
      <c r="D6" s="42"/>
      <c r="F6" s="12">
        <f>[1]节奏总纲!F6</f>
        <v>4</v>
      </c>
      <c r="G6" s="12">
        <f>[1]节奏总纲!G6</f>
        <v>0.3195079107728942</v>
      </c>
      <c r="I6" s="12">
        <f>[1]节奏总纲!I6</f>
        <v>4</v>
      </c>
      <c r="J6" s="12">
        <f>[1]节奏总纲!J6</f>
        <v>9.2637640824031031E-2</v>
      </c>
      <c r="K6" s="12">
        <f>[1]节奏总纲!K6</f>
        <v>0.25</v>
      </c>
      <c r="N6" s="12">
        <f>[1]节奏总纲!N6</f>
        <v>6</v>
      </c>
      <c r="O6" s="8">
        <v>3</v>
      </c>
      <c r="P6" s="12">
        <f>[1]节奏总纲!P6</f>
        <v>0.23114441334491631</v>
      </c>
      <c r="Q6" s="12">
        <f>[1]节奏总纲!Q6</f>
        <v>0.19582554698581309</v>
      </c>
      <c r="R6" s="12">
        <f>[1]节奏总纲!R6</f>
        <v>0.15616116565582547</v>
      </c>
      <c r="S6" s="12">
        <f>[1]节奏总纲!S6</f>
        <v>0.11120357726023924</v>
      </c>
      <c r="T6" s="12">
        <f>[1]节奏总纲!T6</f>
        <v>5.9380999788309005E-2</v>
      </c>
      <c r="V6" s="8">
        <v>3</v>
      </c>
      <c r="W6" s="12">
        <f>[1]节奏总纲!W6</f>
        <v>8.2446058347881213E-2</v>
      </c>
      <c r="X6" s="12">
        <f>[1]节奏总纲!X6</f>
        <v>7.0770230433306575E-2</v>
      </c>
      <c r="Y6" s="12">
        <f>[1]节奏总纲!Y6</f>
        <v>5.7321369089296248E-2</v>
      </c>
      <c r="Z6" s="12">
        <f>[1]节奏总纲!Z6</f>
        <v>4.1374829753631562E-2</v>
      </c>
      <c r="AA6" s="12">
        <f>[1]节奏总纲!AA6</f>
        <v>2.2295630052048453E-2</v>
      </c>
      <c r="AC6" s="8">
        <v>3</v>
      </c>
      <c r="AD6" s="12">
        <f>[1]节奏总纲!AD6</f>
        <v>20</v>
      </c>
      <c r="AE6" s="12">
        <f>[1]节奏总纲!AE6</f>
        <v>21.543844702365945</v>
      </c>
      <c r="AF6" s="12">
        <f>[1]节奏总纲!AF6</f>
        <v>23.734615677065324</v>
      </c>
      <c r="AG6" s="12">
        <f>[1]节奏总纲!AG6</f>
        <v>27.324610510337703</v>
      </c>
      <c r="AH6" s="12">
        <f>[1]节奏总纲!AH6</f>
        <v>34.517938607173015</v>
      </c>
      <c r="AL6" s="8">
        <v>3</v>
      </c>
      <c r="AM6" s="12">
        <f>[1]节奏总纲!AM6</f>
        <v>5.1571656651039799E-2</v>
      </c>
      <c r="AN6" s="12">
        <f>[1]节奏总纲!AN6</f>
        <v>4.1257325320831845E-2</v>
      </c>
      <c r="AO6" s="12">
        <f>[1]节奏总纲!AO6</f>
        <v>3.0942993990623877E-2</v>
      </c>
      <c r="AP6" s="12">
        <f>[1]节奏总纲!AP6</f>
        <v>2.0628662660415922E-2</v>
      </c>
      <c r="AQ6" s="12">
        <f>[1]节奏总纲!AQ6</f>
        <v>1.0314331330207961E-2</v>
      </c>
      <c r="AS6" s="8">
        <v>3</v>
      </c>
      <c r="AT6" s="12">
        <f>[1]节奏总纲!AT6</f>
        <v>2.7608563343072736E-2</v>
      </c>
      <c r="AU6" s="12">
        <f>[1]节奏总纲!AU6</f>
        <v>2.2086850674458192E-2</v>
      </c>
      <c r="AV6" s="12">
        <f>[1]节奏总纲!AV6</f>
        <v>1.6565138005843638E-2</v>
      </c>
      <c r="AW6" s="12">
        <f>[1]节奏总纲!AW6</f>
        <v>1.1043425337229096E-2</v>
      </c>
      <c r="AX6" s="12">
        <f>[1]节奏总纲!AX6</f>
        <v>5.5217126686145481E-3</v>
      </c>
      <c r="AY6" s="8"/>
      <c r="AZ6" s="8">
        <v>3</v>
      </c>
      <c r="BA6" s="12">
        <f>[1]节奏总纲!BA6</f>
        <v>16.888397947066121</v>
      </c>
      <c r="BB6" s="12">
        <f>[1]节奏总纲!BB6</f>
        <v>18.108391417375849</v>
      </c>
      <c r="BC6" s="12">
        <f>[1]节奏总纲!BC6</f>
        <v>19.707330185578734</v>
      </c>
      <c r="BD6" s="12">
        <f>[1]节奏总纲!BD6</f>
        <v>22.041972908628715</v>
      </c>
      <c r="BE6" s="12">
        <f>[1]节奏总纲!BE6</f>
        <v>26.127796402772656</v>
      </c>
      <c r="BI6" s="7">
        <v>3</v>
      </c>
      <c r="BJ6" s="12">
        <f>[1]节奏总纲!BJ6</f>
        <v>0.65</v>
      </c>
      <c r="BK6" s="12">
        <f>[1]节奏总纲!BK6</f>
        <v>0.66300000000000003</v>
      </c>
      <c r="BL6" s="12">
        <f>[1]节奏总纲!BL6</f>
        <v>0.68900000000000006</v>
      </c>
      <c r="BM6" s="12">
        <f>[1]节奏总纲!BM6</f>
        <v>0.74099999999999999</v>
      </c>
      <c r="BN6" s="12">
        <f>[1]节奏总纲!BN6</f>
        <v>0.90999999999999992</v>
      </c>
    </row>
    <row r="7" spans="2:66" x14ac:dyDescent="0.15">
      <c r="B7" s="8" t="s">
        <v>81</v>
      </c>
      <c r="C7" s="8" t="s">
        <v>77</v>
      </c>
      <c r="D7" s="8" t="s">
        <v>78</v>
      </c>
      <c r="F7" s="12">
        <f>[1]节奏总纲!F7</f>
        <v>5</v>
      </c>
      <c r="G7" s="12">
        <f>[1]节奏总纲!G7</f>
        <v>0.41421356237309515</v>
      </c>
      <c r="I7" s="12">
        <f>[1]节奏总纲!I7</f>
        <v>5</v>
      </c>
      <c r="J7" s="12">
        <f>[1]节奏总纲!J7</f>
        <v>0.15</v>
      </c>
      <c r="K7" s="12">
        <f>[1]节奏总纲!K7</f>
        <v>0.3</v>
      </c>
      <c r="N7" s="12">
        <f>[1]节奏总纲!N7</f>
        <v>8</v>
      </c>
      <c r="O7" s="8">
        <v>4</v>
      </c>
      <c r="P7" s="12">
        <f>[1]节奏总纲!P7</f>
        <v>0.3195079107728942</v>
      </c>
      <c r="Q7" s="12">
        <f>[1]节奏总纲!Q7</f>
        <v>0.2719651336498875</v>
      </c>
      <c r="R7" s="12">
        <f>[1]节奏总纲!R7</f>
        <v>0.21816000147573214</v>
      </c>
      <c r="S7" s="12">
        <f>[1]节奏总纲!S7</f>
        <v>0.15607961441255883</v>
      </c>
      <c r="T7" s="12">
        <f>[1]节奏总纲!T7</f>
        <v>8.4062531324348461E-2</v>
      </c>
      <c r="V7" s="8">
        <v>4</v>
      </c>
      <c r="W7" s="12">
        <f>[1]节奏总纲!W7</f>
        <v>8.8363497427977888E-2</v>
      </c>
      <c r="X7" s="12">
        <f>[1]节奏总纲!X7</f>
        <v>7.6139586664074416E-2</v>
      </c>
      <c r="Y7" s="12">
        <f>[1]节奏总纲!Y7</f>
        <v>6.1998835819906672E-2</v>
      </c>
      <c r="Z7" s="12">
        <f>[1]节奏总纲!Z7</f>
        <v>4.4876037152319581E-2</v>
      </c>
      <c r="AA7" s="12">
        <f>[1]节奏总纲!AA7</f>
        <v>2.4681531536039455E-2</v>
      </c>
      <c r="AC7" s="8">
        <v>4</v>
      </c>
      <c r="AD7" s="12">
        <f>[1]节奏总纲!AD7</f>
        <v>23.213386604241784</v>
      </c>
      <c r="AE7" s="12">
        <f>[1]节奏总纲!AE7</f>
        <v>24.836966034810484</v>
      </c>
      <c r="AF7" s="12">
        <f>[1]节奏总纲!AF7</f>
        <v>27.155717181399513</v>
      </c>
      <c r="AG7" s="12">
        <f>[1]节奏总纲!AG7</f>
        <v>30.831257561377125</v>
      </c>
      <c r="AH7" s="12">
        <f>[1]节奏总纲!AH7</f>
        <v>38.431365705145346</v>
      </c>
      <c r="AL7" s="8">
        <v>4</v>
      </c>
      <c r="AM7" s="12">
        <f>[1]节奏总纲!AM7</f>
        <v>9.2637640824031031E-2</v>
      </c>
      <c r="AN7" s="12">
        <f>[1]节奏总纲!AN7</f>
        <v>7.4110112659224833E-2</v>
      </c>
      <c r="AO7" s="12">
        <f>[1]节奏总纲!AO7</f>
        <v>5.5582584494418615E-2</v>
      </c>
      <c r="AP7" s="12">
        <f>[1]节奏总纲!AP7</f>
        <v>3.7055056329612417E-2</v>
      </c>
      <c r="AQ7" s="12">
        <f>[1]节奏总纲!AQ7</f>
        <v>1.8527528164806208E-2</v>
      </c>
      <c r="AS7" s="8">
        <v>4</v>
      </c>
      <c r="AT7" s="12">
        <f>[1]节奏总纲!AT7</f>
        <v>4.1065984172991232E-2</v>
      </c>
      <c r="AU7" s="12">
        <f>[1]节奏总纲!AU7</f>
        <v>3.2852787338392989E-2</v>
      </c>
      <c r="AV7" s="12">
        <f>[1]节奏总纲!AV7</f>
        <v>2.4639590503794738E-2</v>
      </c>
      <c r="AW7" s="12">
        <f>[1]节奏总纲!AW7</f>
        <v>1.6426393669196494E-2</v>
      </c>
      <c r="AX7" s="12">
        <f>[1]节奏总纲!AX7</f>
        <v>8.2131968345982471E-3</v>
      </c>
      <c r="AY7" s="8"/>
      <c r="AZ7" s="8">
        <v>4</v>
      </c>
      <c r="BA7" s="12">
        <f>[1]节奏总纲!BA7</f>
        <v>18.453550676044042</v>
      </c>
      <c r="BB7" s="12">
        <f>[1]节奏总纲!BB7</f>
        <v>19.707330185578734</v>
      </c>
      <c r="BC7" s="12">
        <f>[1]节奏总纲!BC7</f>
        <v>21.34613466141565</v>
      </c>
      <c r="BD7" s="12">
        <f>[1]节奏总纲!BD7</f>
        <v>23.710496742673982</v>
      </c>
      <c r="BE7" s="12">
        <f>[1]节奏总纲!BE7</f>
        <v>27.863030247590562</v>
      </c>
      <c r="BI7" s="7">
        <v>4</v>
      </c>
      <c r="BJ7" s="12">
        <f>[1]节奏总纲!BJ7</f>
        <v>0.82499999999999996</v>
      </c>
      <c r="BK7" s="12">
        <f>[1]节奏总纲!BK7</f>
        <v>0.84149999999999991</v>
      </c>
      <c r="BL7" s="12">
        <f>[1]节奏总纲!BL7</f>
        <v>0.87449999999999994</v>
      </c>
      <c r="BM7" s="12">
        <f>[1]节奏总纲!BM7</f>
        <v>0.94049999999999989</v>
      </c>
      <c r="BN7" s="12">
        <f>[1]节奏总纲!BN7</f>
        <v>1.1549999999999998</v>
      </c>
    </row>
    <row r="8" spans="2:66" x14ac:dyDescent="0.15">
      <c r="B8" s="8">
        <f>[1]节奏总纲!B8</f>
        <v>10</v>
      </c>
      <c r="C8" s="12">
        <f>[1]节奏总纲!C8</f>
        <v>1</v>
      </c>
      <c r="D8" s="12">
        <f>[1]节奏总纲!D8</f>
        <v>1</v>
      </c>
      <c r="F8" s="12">
        <f>[1]节奏总纲!F8</f>
        <v>6</v>
      </c>
      <c r="G8" s="12">
        <f>[1]节奏总纲!G8</f>
        <v>0.51571656651039799</v>
      </c>
      <c r="I8" s="12">
        <f>[1]节奏总纲!I8</f>
        <v>6</v>
      </c>
      <c r="J8" s="12">
        <f>[1]节奏总纲!J8</f>
        <v>0.22055744069899194</v>
      </c>
      <c r="K8" s="12">
        <f>[1]节奏总纲!K8</f>
        <v>0.34</v>
      </c>
      <c r="N8" s="12">
        <f>[1]节奏总纲!N8</f>
        <v>10</v>
      </c>
      <c r="O8" s="8">
        <v>5</v>
      </c>
      <c r="P8" s="12">
        <f>[1]节奏总纲!P8</f>
        <v>0.41421356237309515</v>
      </c>
      <c r="Q8" s="12">
        <f>[1]节奏总纲!Q8</f>
        <v>0.35241289886702937</v>
      </c>
      <c r="R8" s="12">
        <f>[1]节奏总纲!R8</f>
        <v>0.28315639123824782</v>
      </c>
      <c r="S8" s="12">
        <f>[1]节奏总纲!S8</f>
        <v>0.20296464556281663</v>
      </c>
      <c r="T8" s="12">
        <f>[1]节奏总纲!T8</f>
        <v>0.10951806589144637</v>
      </c>
      <c r="V8" s="8">
        <v>5</v>
      </c>
      <c r="W8" s="12">
        <f>[1]节奏总纲!W8</f>
        <v>9.4705651600200946E-2</v>
      </c>
      <c r="X8" s="12">
        <f>[1]节奏总纲!X8</f>
        <v>8.0447765217141864E-2</v>
      </c>
      <c r="Y8" s="12">
        <f>[1]节奏总纲!Y8</f>
        <v>6.4996389762515677E-2</v>
      </c>
      <c r="Z8" s="12">
        <f>[1]节奏总纲!Z8</f>
        <v>4.68850311502578E-2</v>
      </c>
      <c r="AA8" s="12">
        <f>[1]节奏总纲!AA8</f>
        <v>2.5455534567097912E-2</v>
      </c>
      <c r="AC8" s="8">
        <v>5</v>
      </c>
      <c r="AD8" s="12">
        <f>[1]节奏总纲!AD8</f>
        <v>25.845161563010112</v>
      </c>
      <c r="AE8" s="12">
        <f>[1]节奏总纲!AE8</f>
        <v>27.525245270311611</v>
      </c>
      <c r="AF8" s="12">
        <f>[1]节奏总纲!AF8</f>
        <v>29.892344464157688</v>
      </c>
      <c r="AG8" s="12">
        <f>[1]节奏总纲!AG8</f>
        <v>33.672145166817529</v>
      </c>
      <c r="AH8" s="12">
        <f>[1]节奏总纲!AH8</f>
        <v>41.359260538726978</v>
      </c>
      <c r="AL8" s="8">
        <v>5</v>
      </c>
      <c r="AM8" s="12">
        <f>[1]节奏总纲!AM8</f>
        <v>0.15</v>
      </c>
      <c r="AN8" s="12">
        <f>[1]节奏总纲!AN8</f>
        <v>0.12</v>
      </c>
      <c r="AO8" s="12">
        <f>[1]节奏总纲!AO8</f>
        <v>0.09</v>
      </c>
      <c r="AP8" s="12">
        <f>[1]节奏总纲!AP8</f>
        <v>0.06</v>
      </c>
      <c r="AQ8" s="12">
        <f>[1]节奏总纲!AQ8</f>
        <v>0.03</v>
      </c>
      <c r="AS8" s="8">
        <v>5</v>
      </c>
      <c r="AT8" s="12">
        <f>[1]节奏总纲!AT8</f>
        <v>5.7362359175968963E-2</v>
      </c>
      <c r="AU8" s="12">
        <f>[1]节奏总纲!AU8</f>
        <v>4.5889887340775162E-2</v>
      </c>
      <c r="AV8" s="12">
        <f>[1]节奏总纲!AV8</f>
        <v>3.4417415505581382E-2</v>
      </c>
      <c r="AW8" s="12">
        <f>[1]节奏总纲!AW8</f>
        <v>2.2944943670387581E-2</v>
      </c>
      <c r="AX8" s="12">
        <f>[1]节奏总纲!AX8</f>
        <v>1.1472471835193791E-2</v>
      </c>
      <c r="AY8" s="8"/>
      <c r="AZ8" s="8">
        <v>5</v>
      </c>
      <c r="BA8" s="12">
        <f>[1]节奏总纲!BA8</f>
        <v>19.707330185578734</v>
      </c>
      <c r="BB8" s="12">
        <f>[1]节奏总纲!BB8</f>
        <v>20.993539484876777</v>
      </c>
      <c r="BC8" s="12">
        <f>[1]节奏总纲!BC8</f>
        <v>22.639743033177162</v>
      </c>
      <c r="BD8" s="12">
        <f>[1]节奏总纲!BD8</f>
        <v>25.044229735272328</v>
      </c>
      <c r="BE8" s="12">
        <f>[1]节奏总纲!BE8</f>
        <v>29.216428548527322</v>
      </c>
      <c r="BI8" s="7">
        <v>5</v>
      </c>
      <c r="BJ8" s="12">
        <f>[1]节奏总纲!BJ8</f>
        <v>1</v>
      </c>
      <c r="BK8" s="12">
        <f>[1]节奏总纲!BK8</f>
        <v>1.02</v>
      </c>
      <c r="BL8" s="12">
        <f>[1]节奏总纲!BL8</f>
        <v>1.06</v>
      </c>
      <c r="BM8" s="12">
        <f>[1]节奏总纲!BM8</f>
        <v>1.1399999999999999</v>
      </c>
      <c r="BN8" s="12">
        <f>[1]节奏总纲!BN8</f>
        <v>1.4</v>
      </c>
    </row>
    <row r="9" spans="2:66" x14ac:dyDescent="0.15">
      <c r="B9" s="12">
        <f>[1]节奏总纲!B9</f>
        <v>20</v>
      </c>
      <c r="C9" s="12">
        <f>[1]节奏总纲!C9</f>
        <v>3</v>
      </c>
      <c r="D9" s="12">
        <f>[1]节奏总纲!D9</f>
        <v>2</v>
      </c>
      <c r="F9" s="12">
        <f>[1]节奏总纲!F9</f>
        <v>7</v>
      </c>
      <c r="G9" s="12">
        <f>[1]节奏总纲!G9</f>
        <v>0.62450479271247095</v>
      </c>
      <c r="I9" s="12">
        <f>[1]节奏总纲!I9</f>
        <v>7</v>
      </c>
      <c r="J9" s="12">
        <f>[1]节奏总纲!J9</f>
        <v>0.31141300609369982</v>
      </c>
      <c r="K9" s="12">
        <f>[1]节奏总纲!K9</f>
        <v>0.38</v>
      </c>
      <c r="N9" s="12">
        <f>[1]节奏总纲!N9</f>
        <v>12</v>
      </c>
      <c r="O9" s="8">
        <v>6</v>
      </c>
      <c r="P9" s="12">
        <f>[1]节奏总纲!P9</f>
        <v>0.51571656651039799</v>
      </c>
      <c r="Q9" s="12">
        <f>[1]节奏总纲!Q9</f>
        <v>0.43939051466685908</v>
      </c>
      <c r="R9" s="12">
        <f>[1]节奏总纲!R9</f>
        <v>0.35336899137292471</v>
      </c>
      <c r="S9" s="12">
        <f>[1]节奏总纲!S9</f>
        <v>0.25440298225957936</v>
      </c>
      <c r="T9" s="12">
        <f>[1]节奏总纲!T9</f>
        <v>0.13836675479473978</v>
      </c>
      <c r="V9" s="8">
        <v>6</v>
      </c>
      <c r="W9" s="12">
        <f>[1]节奏总纲!W9</f>
        <v>0.10150300413730284</v>
      </c>
      <c r="X9" s="12">
        <f>[1]节奏总纲!X9</f>
        <v>8.6977615799829711E-2</v>
      </c>
      <c r="Y9" s="12">
        <f>[1]节奏总纲!Y9</f>
        <v>7.0212600134676895E-2</v>
      </c>
      <c r="Z9" s="12">
        <f>[1]节奏总纲!Z9</f>
        <v>5.1438336696762732E-2</v>
      </c>
      <c r="AA9" s="12">
        <f>[1]节奏总纲!AA9</f>
        <v>2.884868890329341E-2</v>
      </c>
      <c r="AC9" s="8">
        <v>6</v>
      </c>
      <c r="AD9" s="12">
        <f>[1]节奏总纲!AD9</f>
        <v>28.071211008105138</v>
      </c>
      <c r="AE9" s="12">
        <f>[1]节奏总纲!AE9</f>
        <v>29.78183527117605</v>
      </c>
      <c r="AF9" s="12">
        <f>[1]节奏总纲!AF9</f>
        <v>32.202183458664891</v>
      </c>
      <c r="AG9" s="12">
        <f>[1]节奏总纲!AG9</f>
        <v>36.067019846099676</v>
      </c>
      <c r="AH9" s="12">
        <f>[1]节奏总纲!AH9</f>
        <v>43.870275262019007</v>
      </c>
      <c r="AL9" s="8">
        <v>6</v>
      </c>
      <c r="AM9" s="12">
        <f>[1]节奏总纲!AM9</f>
        <v>0.22055744069899194</v>
      </c>
      <c r="AN9" s="12">
        <f>[1]节奏总纲!AN9</f>
        <v>0.17644595255919357</v>
      </c>
      <c r="AO9" s="12">
        <f>[1]节奏总纲!AO9</f>
        <v>0.13233446441939517</v>
      </c>
      <c r="AP9" s="12">
        <f>[1]节奏总纲!AP9</f>
        <v>8.8222976279596785E-2</v>
      </c>
      <c r="AQ9" s="12">
        <f>[1]节奏总纲!AQ9</f>
        <v>4.4111488139798392E-2</v>
      </c>
      <c r="AS9" s="8">
        <v>6</v>
      </c>
      <c r="AT9" s="12">
        <f>[1]节奏总纲!AT9</f>
        <v>7.0557440698991947E-2</v>
      </c>
      <c r="AU9" s="12">
        <f>[1]节奏总纲!AU9</f>
        <v>5.6445952559193574E-2</v>
      </c>
      <c r="AV9" s="12">
        <f>[1]节奏总纲!AV9</f>
        <v>4.2334464419395174E-2</v>
      </c>
      <c r="AW9" s="12">
        <f>[1]节奏总纲!AW9</f>
        <v>2.8222976279596787E-2</v>
      </c>
      <c r="AX9" s="12">
        <f>[1]节奏总纲!AX9</f>
        <v>1.4111488139798394E-2</v>
      </c>
      <c r="AY9" s="8"/>
      <c r="AZ9" s="8">
        <v>6</v>
      </c>
      <c r="BA9" s="12">
        <f>[1]节奏总纲!BA9</f>
        <v>20.745154613657583</v>
      </c>
      <c r="BB9" s="12">
        <f>[1]节奏总纲!BB9</f>
        <v>22.041972908628715</v>
      </c>
      <c r="BC9" s="12">
        <f>[1]节奏总纲!BC9</f>
        <v>23.710496742673982</v>
      </c>
      <c r="BD9" s="12">
        <f>[1]节奏总纲!BD9</f>
        <v>26.127796402772656</v>
      </c>
      <c r="BE9" s="12">
        <f>[1]节奏总纲!BE9</f>
        <v>30.329493925593439</v>
      </c>
      <c r="BI9" s="7">
        <v>6</v>
      </c>
      <c r="BJ9" s="12">
        <f>[1]节奏总纲!BJ9</f>
        <v>1.0333333333333334</v>
      </c>
      <c r="BK9" s="12">
        <f>[1]节奏总纲!BK9</f>
        <v>1.054</v>
      </c>
      <c r="BL9" s="12">
        <f>[1]节奏总纲!BL9</f>
        <v>1.0953333333333335</v>
      </c>
      <c r="BM9" s="12">
        <f>[1]节奏总纲!BM9</f>
        <v>1.1779999999999999</v>
      </c>
      <c r="BN9" s="12">
        <f>[1]节奏总纲!BN9</f>
        <v>1.4466666666666668</v>
      </c>
    </row>
    <row r="10" spans="2:66" x14ac:dyDescent="0.15">
      <c r="B10" s="12">
        <f>[1]节奏总纲!B10</f>
        <v>30</v>
      </c>
      <c r="C10" s="12">
        <f>[1]节奏总纲!C10</f>
        <v>7</v>
      </c>
      <c r="D10" s="12">
        <f>[1]节奏总纲!D10</f>
        <v>4</v>
      </c>
      <c r="F10" s="12">
        <f>[1]节奏总纲!F10</f>
        <v>8</v>
      </c>
      <c r="G10" s="12">
        <f>[1]节奏总纲!G10</f>
        <v>0.74110112659224825</v>
      </c>
      <c r="I10" s="12">
        <f>[1]节奏总纲!I10</f>
        <v>8</v>
      </c>
      <c r="J10" s="12">
        <f>[1]节奏总纲!J10</f>
        <v>0.42660095793436714</v>
      </c>
      <c r="K10" s="12">
        <f>[1]节奏总纲!K10</f>
        <v>0.42</v>
      </c>
      <c r="N10" s="12">
        <f>[1]节奏总纲!N10</f>
        <v>14</v>
      </c>
      <c r="O10" s="8">
        <v>7</v>
      </c>
      <c r="P10" s="12">
        <f>[1]节奏总纲!P10</f>
        <v>0.62450479271247095</v>
      </c>
      <c r="Q10" s="12">
        <f>[1]节奏总纲!Q10</f>
        <v>0.53413894920697635</v>
      </c>
      <c r="R10" s="12">
        <f>[1]节奏总纲!R10</f>
        <v>0.43072095553379119</v>
      </c>
      <c r="S10" s="12">
        <f>[1]节奏总纲!S10</f>
        <v>0.30950457526830061</v>
      </c>
      <c r="T10" s="12">
        <f>[1]节奏总纲!T10</f>
        <v>0.16699258157131475</v>
      </c>
      <c r="V10" s="8">
        <v>7</v>
      </c>
      <c r="W10" s="12">
        <f>[1]节奏总纲!W10</f>
        <v>0.10878822620207296</v>
      </c>
      <c r="X10" s="12">
        <f>[1]节奏总纲!X10</f>
        <v>9.4748434540117277E-2</v>
      </c>
      <c r="Y10" s="12">
        <f>[1]节奏总纲!Y10</f>
        <v>7.7351964160866482E-2</v>
      </c>
      <c r="Z10" s="12">
        <f>[1]节奏总纲!Z10</f>
        <v>5.510159300872125E-2</v>
      </c>
      <c r="AA10" s="12">
        <f>[1]节奏总纲!AA10</f>
        <v>2.8625826776574964E-2</v>
      </c>
      <c r="AC10" s="8">
        <v>7</v>
      </c>
      <c r="AD10" s="12">
        <f>[1]节奏总纲!AD10</f>
        <v>30</v>
      </c>
      <c r="AE10" s="12">
        <f>[1]节奏总纲!AE10</f>
        <v>31.718819483847451</v>
      </c>
      <c r="AF10" s="12">
        <f>[1]节奏总纲!AF10</f>
        <v>34.192155176139416</v>
      </c>
      <c r="AG10" s="12">
        <f>[1]节奏总纲!AG10</f>
        <v>38.19822972207853</v>
      </c>
      <c r="AH10" s="12">
        <f>[1]节奏总纲!AH10</f>
        <v>46.093186357957826</v>
      </c>
      <c r="AL10" s="8">
        <v>7</v>
      </c>
      <c r="AM10" s="12">
        <f>[1]节奏总纲!AM10</f>
        <v>0.31141300609369982</v>
      </c>
      <c r="AN10" s="12">
        <f>[1]节奏总纲!AN10</f>
        <v>0.24913040487495985</v>
      </c>
      <c r="AO10" s="12">
        <f>[1]节奏总纲!AO10</f>
        <v>0.18684780365621989</v>
      </c>
      <c r="AP10" s="12">
        <f>[1]节奏总纲!AP10</f>
        <v>0.12456520243747993</v>
      </c>
      <c r="AQ10" s="12">
        <f>[1]节奏总纲!AQ10</f>
        <v>6.2282601218739964E-2</v>
      </c>
      <c r="AS10" s="8">
        <v>7</v>
      </c>
      <c r="AT10" s="12">
        <f>[1]节奏总纲!AT10</f>
        <v>9.0855565394707877E-2</v>
      </c>
      <c r="AU10" s="12">
        <f>[1]节奏总纲!AU10</f>
        <v>7.2684452315766285E-2</v>
      </c>
      <c r="AV10" s="12">
        <f>[1]节奏总纲!AV10</f>
        <v>5.451333923682472E-2</v>
      </c>
      <c r="AW10" s="12">
        <f>[1]节奏总纲!AW10</f>
        <v>3.6342226157883142E-2</v>
      </c>
      <c r="AX10" s="12">
        <f>[1]节奏总纲!AX10</f>
        <v>1.8171113078941571E-2</v>
      </c>
      <c r="AY10" s="8"/>
      <c r="AZ10" s="8">
        <v>7</v>
      </c>
      <c r="BA10" s="12">
        <f>[1]节奏总纲!BA10</f>
        <v>21.627432338833255</v>
      </c>
      <c r="BB10" s="12">
        <f>[1]节奏总纲!BB10</f>
        <v>22.938628095451385</v>
      </c>
      <c r="BC10" s="12">
        <f>[1]节奏总纲!BC10</f>
        <v>24.619152272059132</v>
      </c>
      <c r="BD10" s="12">
        <f>[1]节奏总纲!BD10</f>
        <v>27.059707353051884</v>
      </c>
      <c r="BE10" s="12">
        <f>[1]节奏总纲!BE10</f>
        <v>31.280110398778046</v>
      </c>
      <c r="BI10" s="7">
        <v>7</v>
      </c>
      <c r="BJ10" s="12">
        <f>[1]节奏总纲!BJ10</f>
        <v>1.0666666666666669</v>
      </c>
      <c r="BK10" s="12">
        <f>[1]节奏总纲!BK10</f>
        <v>1.0880000000000003</v>
      </c>
      <c r="BL10" s="12">
        <f>[1]节奏总纲!BL10</f>
        <v>1.1306666666666669</v>
      </c>
      <c r="BM10" s="12">
        <f>[1]节奏总纲!BM10</f>
        <v>1.2160000000000002</v>
      </c>
      <c r="BN10" s="12">
        <f>[1]节奏总纲!BN10</f>
        <v>1.4933333333333336</v>
      </c>
    </row>
    <row r="11" spans="2:66" x14ac:dyDescent="0.15">
      <c r="B11" s="12">
        <f>[1]节奏总纲!B11</f>
        <v>40</v>
      </c>
      <c r="C11" s="12">
        <f>[1]节奏总纲!C11</f>
        <v>15</v>
      </c>
      <c r="D11" s="12">
        <f>[1]节奏总纲!D11</f>
        <v>8</v>
      </c>
      <c r="F11" s="12">
        <f>[1]节奏总纲!F11</f>
        <v>9</v>
      </c>
      <c r="G11" s="12">
        <f>[1]节奏总纲!G11</f>
        <v>0.86606598307361482</v>
      </c>
      <c r="I11" s="12">
        <f>[1]节奏总纲!I11</f>
        <v>9</v>
      </c>
      <c r="J11" s="12">
        <f>[1]节奏总纲!J11</f>
        <v>0.57090651823243421</v>
      </c>
      <c r="K11" s="12">
        <f>[1]节奏总纲!K11</f>
        <v>0.46</v>
      </c>
      <c r="N11" s="12">
        <f>[1]节奏总纲!N11</f>
        <v>16</v>
      </c>
      <c r="O11" s="8">
        <v>8</v>
      </c>
      <c r="P11" s="12">
        <f>[1]节奏总纲!P11</f>
        <v>0.74110112659224825</v>
      </c>
      <c r="Q11" s="12">
        <f>[1]节奏总纲!Q11</f>
        <v>0.63089938906798093</v>
      </c>
      <c r="R11" s="12">
        <f>[1]节奏总纲!R11</f>
        <v>0.50550507844857251</v>
      </c>
      <c r="S11" s="12">
        <f>[1]节奏总纲!S11</f>
        <v>0.36195379022765406</v>
      </c>
      <c r="T11" s="12">
        <f>[1]节奏总纲!T11</f>
        <v>0.19579891764567198</v>
      </c>
      <c r="V11" s="8">
        <v>8</v>
      </c>
      <c r="W11" s="12">
        <f>[1]节奏总纲!W11</f>
        <v>0.1165963338797773</v>
      </c>
      <c r="X11" s="12">
        <f>[1]节奏总纲!X11</f>
        <v>9.6760439861004577E-2</v>
      </c>
      <c r="Y11" s="12">
        <f>[1]节奏总纲!Y11</f>
        <v>7.4784122914781315E-2</v>
      </c>
      <c r="Z11" s="12">
        <f>[1]节奏总纲!Z11</f>
        <v>5.2449214959353452E-2</v>
      </c>
      <c r="AA11" s="12">
        <f>[1]节奏总纲!AA11</f>
        <v>2.8806336074357231E-2</v>
      </c>
      <c r="AC11" s="8">
        <v>8</v>
      </c>
      <c r="AD11" s="12">
        <f>[1]节奏总纲!AD11</f>
        <v>31.691928656135214</v>
      </c>
      <c r="AE11" s="12">
        <f>[1]节奏总纲!AE11</f>
        <v>33.465251056098396</v>
      </c>
      <c r="AF11" s="12">
        <f>[1]节奏总纲!AF11</f>
        <v>35.930751746472978</v>
      </c>
      <c r="AG11" s="12">
        <f>[1]节奏总纲!AG11</f>
        <v>39.998279638578282</v>
      </c>
      <c r="AH11" s="12">
        <f>[1]节奏总纲!AH11</f>
        <v>48.067140183443534</v>
      </c>
      <c r="AL11" s="8">
        <v>8</v>
      </c>
      <c r="AM11" s="12">
        <f>[1]节奏总纲!AM11</f>
        <v>0.42660095793436714</v>
      </c>
      <c r="AN11" s="12">
        <f>[1]节奏总纲!AN11</f>
        <v>0.34128076634749371</v>
      </c>
      <c r="AO11" s="12">
        <f>[1]节奏总纲!AO11</f>
        <v>0.25596057476062029</v>
      </c>
      <c r="AP11" s="12">
        <f>[1]节奏总纲!AP11</f>
        <v>0.17064038317374686</v>
      </c>
      <c r="AQ11" s="12">
        <f>[1]节奏总纲!AQ11</f>
        <v>8.5320191586873428E-2</v>
      </c>
      <c r="AS11" s="8">
        <v>8</v>
      </c>
      <c r="AT11" s="12">
        <f>[1]节奏总纲!AT11</f>
        <v>0.11518795184066732</v>
      </c>
      <c r="AU11" s="12">
        <f>[1]节奏总纲!AU11</f>
        <v>9.2150361472533859E-2</v>
      </c>
      <c r="AV11" s="12">
        <f>[1]节奏总纲!AV11</f>
        <v>6.9112771104400395E-2</v>
      </c>
      <c r="AW11" s="12">
        <f>[1]节奏总纲!AW11</f>
        <v>4.607518073626693E-2</v>
      </c>
      <c r="AX11" s="12">
        <f>[1]节奏总纲!AX11</f>
        <v>2.3037590368133465E-2</v>
      </c>
      <c r="AY11" s="8"/>
      <c r="AZ11" s="8">
        <v>8</v>
      </c>
      <c r="BA11" s="12">
        <f>[1]节奏总纲!BA11</f>
        <v>22.400634983357783</v>
      </c>
      <c r="BB11" s="12">
        <f>[1]节奏总纲!BB11</f>
        <v>23.710496742673982</v>
      </c>
      <c r="BC11" s="12">
        <f>[1]节奏总纲!BC11</f>
        <v>25.412810862541733</v>
      </c>
      <c r="BD11" s="12">
        <f>[1]节奏总纲!BD11</f>
        <v>27.863030247590562</v>
      </c>
      <c r="BE11" s="12">
        <f>[1]节奏总纲!BE11</f>
        <v>32.113552950216736</v>
      </c>
      <c r="BI11" s="7">
        <v>8</v>
      </c>
      <c r="BJ11" s="12">
        <f>[1]节奏总纲!BJ11</f>
        <v>1.1000000000000003</v>
      </c>
      <c r="BK11" s="12">
        <f>[1]节奏总纲!BK11</f>
        <v>1.1220000000000003</v>
      </c>
      <c r="BL11" s="12">
        <f>[1]节奏总纲!BL11</f>
        <v>1.1660000000000004</v>
      </c>
      <c r="BM11" s="12">
        <f>[1]节奏总纲!BM11</f>
        <v>1.2540000000000002</v>
      </c>
      <c r="BN11" s="12">
        <f>[1]节奏总纲!BN11</f>
        <v>1.5400000000000003</v>
      </c>
    </row>
    <row r="12" spans="2:66" x14ac:dyDescent="0.15">
      <c r="B12" s="12">
        <f>[1]节奏总纲!B12</f>
        <v>50</v>
      </c>
      <c r="C12" s="12">
        <f>[1]节奏总纲!C12</f>
        <v>31</v>
      </c>
      <c r="D12" s="12">
        <f>[1]节奏总纲!D12</f>
        <v>16</v>
      </c>
      <c r="F12" s="12">
        <f>[1]节奏总纲!F12</f>
        <v>10</v>
      </c>
      <c r="G12" s="12">
        <f>[1]节奏总纲!G12</f>
        <v>1</v>
      </c>
      <c r="I12" s="12">
        <f>[1]节奏总纲!I12</f>
        <v>10</v>
      </c>
      <c r="J12" s="12">
        <f>[1]节奏总纲!J12</f>
        <v>0.75</v>
      </c>
      <c r="K12" s="12">
        <f>[1]节奏总纲!K12</f>
        <v>0.5</v>
      </c>
      <c r="N12" s="12">
        <f>[1]节奏总纲!N12</f>
        <v>18</v>
      </c>
      <c r="O12" s="8">
        <v>9</v>
      </c>
      <c r="P12" s="12">
        <f>[1]节奏总纲!P12</f>
        <v>0.86606598307361482</v>
      </c>
      <c r="Q12" s="12">
        <f>[1]节奏总纲!Q12</f>
        <v>0.73702215159564621</v>
      </c>
      <c r="R12" s="12">
        <f>[1]节奏总纲!R12</f>
        <v>0.59282216541388932</v>
      </c>
      <c r="S12" s="12">
        <f>[1]节奏总纲!S12</f>
        <v>0.42766338244175101</v>
      </c>
      <c r="T12" s="12">
        <f>[1]节奏总纲!T12</f>
        <v>0.23193247026711403</v>
      </c>
      <c r="V12" s="8">
        <v>9</v>
      </c>
      <c r="W12" s="12">
        <f>[1]节奏总纲!W12</f>
        <v>0.12496485648136657</v>
      </c>
      <c r="X12" s="12">
        <f>[1]节奏总纲!X12</f>
        <v>0.10612276252766528</v>
      </c>
      <c r="Y12" s="12">
        <f>[1]节奏总纲!Y12</f>
        <v>8.7317086965316815E-2</v>
      </c>
      <c r="Z12" s="12">
        <f>[1]节奏总纲!Z12</f>
        <v>6.5709592214096946E-2</v>
      </c>
      <c r="AA12" s="12">
        <f>[1]节奏总纲!AA12</f>
        <v>3.613355262144205E-2</v>
      </c>
      <c r="AC12" s="8">
        <v>9</v>
      </c>
      <c r="AD12" s="12">
        <f>[1]节奏总纲!AD12</f>
        <v>33.213386604241784</v>
      </c>
      <c r="AE12" s="12">
        <f>[1]节奏总纲!AE12</f>
        <v>34.992730785174565</v>
      </c>
      <c r="AF12" s="12">
        <f>[1]节奏总纲!AF12</f>
        <v>37.510565846691456</v>
      </c>
      <c r="AG12" s="12">
        <f>[1]节奏总纲!AG12</f>
        <v>41.534743419557365</v>
      </c>
      <c r="AH12" s="12">
        <f>[1]节奏总纲!AH12</f>
        <v>49.706056771838036</v>
      </c>
      <c r="AL12" s="8">
        <v>9</v>
      </c>
      <c r="AM12" s="12">
        <f>[1]节奏总纲!AM12</f>
        <v>0.57090651823243421</v>
      </c>
      <c r="AN12" s="12">
        <f>[1]节奏总纲!AN12</f>
        <v>0.45672521458594739</v>
      </c>
      <c r="AO12" s="12">
        <f>[1]节奏总纲!AO12</f>
        <v>0.34254391093946052</v>
      </c>
      <c r="AP12" s="12">
        <f>[1]节奏总纲!AP12</f>
        <v>0.2283626072929737</v>
      </c>
      <c r="AQ12" s="12">
        <f>[1]节奏总纲!AQ12</f>
        <v>0.11418130364648685</v>
      </c>
      <c r="AS12" s="8">
        <v>9</v>
      </c>
      <c r="AT12" s="12">
        <f>[1]节奏总纲!AT12</f>
        <v>0.14430556029806707</v>
      </c>
      <c r="AU12" s="12">
        <f>[1]节奏总纲!AU12</f>
        <v>0.11544444823845368</v>
      </c>
      <c r="AV12" s="12">
        <f>[1]节奏总纲!AV12</f>
        <v>8.6583336178840231E-2</v>
      </c>
      <c r="AW12" s="12">
        <f>[1]节奏总纲!AW12</f>
        <v>5.7722224119226839E-2</v>
      </c>
      <c r="AX12" s="12">
        <f>[1]节奏总纲!AX12</f>
        <v>2.886111205961342E-2</v>
      </c>
      <c r="AY12" s="8"/>
      <c r="AZ12" s="8">
        <v>9</v>
      </c>
      <c r="BA12" s="12">
        <f>[1]节奏总纲!BA12</f>
        <v>23.100336713798686</v>
      </c>
      <c r="BB12" s="12">
        <f>[1]节奏总纲!BB12</f>
        <v>24.402761517547276</v>
      </c>
      <c r="BC12" s="12">
        <f>[1]节奏总纲!BC12</f>
        <v>26.127796402772656</v>
      </c>
      <c r="BD12" s="12">
        <f>[1]节奏总纲!BD12</f>
        <v>28.568390277483555</v>
      </c>
      <c r="BE12" s="12">
        <f>[1]节奏总纲!BE12</f>
        <v>32.842201900114915</v>
      </c>
      <c r="BI12" s="7">
        <v>9</v>
      </c>
      <c r="BJ12" s="12">
        <f>[1]节奏总纲!BJ12</f>
        <v>1.1333333333333337</v>
      </c>
      <c r="BK12" s="12">
        <f>[1]节奏总纲!BK12</f>
        <v>1.1560000000000004</v>
      </c>
      <c r="BL12" s="12">
        <f>[1]节奏总纲!BL12</f>
        <v>1.2013333333333338</v>
      </c>
      <c r="BM12" s="12">
        <f>[1]节奏总纲!BM12</f>
        <v>1.2920000000000003</v>
      </c>
      <c r="BN12" s="12">
        <f>[1]节奏总纲!BN12</f>
        <v>1.5866666666666671</v>
      </c>
    </row>
    <row r="13" spans="2:66" x14ac:dyDescent="0.15">
      <c r="B13" s="12">
        <f>[1]节奏总纲!B13</f>
        <v>60</v>
      </c>
      <c r="C13" s="12">
        <f>[1]节奏总纲!C13</f>
        <v>63</v>
      </c>
      <c r="D13" s="12">
        <f>[1]节奏总纲!D13</f>
        <v>32</v>
      </c>
      <c r="F13" s="12">
        <f>[1]节奏总纲!F13</f>
        <v>11</v>
      </c>
      <c r="G13" s="12">
        <f>[1]节奏总纲!G13</f>
        <v>1.1435469250725863</v>
      </c>
      <c r="I13" s="12">
        <f>[1]节奏总纲!I13</f>
        <v>11</v>
      </c>
      <c r="J13" s="12">
        <f>[1]节奏总纲!J13</f>
        <v>0.93464628919691628</v>
      </c>
      <c r="K13" s="12">
        <f>[1]节奏总纲!K13</f>
        <v>0.52</v>
      </c>
      <c r="N13" s="12">
        <f>[1]节奏总纲!N13</f>
        <v>20</v>
      </c>
      <c r="O13" s="8">
        <v>10</v>
      </c>
      <c r="P13" s="12">
        <f>[1]节奏总纲!P13</f>
        <v>1</v>
      </c>
      <c r="Q13" s="12">
        <f>[1]节奏总纲!Q13</f>
        <v>0.8548</v>
      </c>
      <c r="R13" s="12">
        <f>[1]节奏总纲!R13</f>
        <v>0.6895</v>
      </c>
      <c r="S13" s="12">
        <f>[1]节奏总纲!S13</f>
        <v>0.49980000000000002</v>
      </c>
      <c r="T13" s="12">
        <f>[1]节奏总纲!T13</f>
        <v>0.2732</v>
      </c>
      <c r="V13" s="8">
        <v>10</v>
      </c>
      <c r="W13" s="12">
        <f>[1]节奏总纲!W13</f>
        <v>0.13393401692638518</v>
      </c>
      <c r="X13" s="12">
        <f>[1]节奏总纲!X13</f>
        <v>0.11777784840435379</v>
      </c>
      <c r="Y13" s="12">
        <f>[1]节奏总纲!Y13</f>
        <v>9.6677834586110678E-2</v>
      </c>
      <c r="Z13" s="12">
        <f>[1]节奏总纲!Z13</f>
        <v>7.2136617558249017E-2</v>
      </c>
      <c r="AA13" s="12">
        <f>[1]节奏总纲!AA13</f>
        <v>4.1267529732885971E-2</v>
      </c>
      <c r="AC13" s="8">
        <v>10</v>
      </c>
      <c r="AD13" s="12">
        <f>[1]节奏总纲!AD13</f>
        <v>34.585942742481357</v>
      </c>
      <c r="AE13" s="12">
        <f>[1]节奏总纲!AE13</f>
        <v>36.36169634498642</v>
      </c>
      <c r="AF13" s="12">
        <f>[1]节奏总纲!AF13</f>
        <v>38.977035507933373</v>
      </c>
      <c r="AG13" s="12">
        <f>[1]节奏总纲!AG13</f>
        <v>42.970748198558951</v>
      </c>
      <c r="AH13" s="12">
        <f>[1]节奏总纲!AH13</f>
        <v>51.212821897464167</v>
      </c>
      <c r="AL13" s="8">
        <v>10</v>
      </c>
      <c r="AM13" s="12">
        <f>[1]节奏总纲!AM13</f>
        <v>0.75</v>
      </c>
      <c r="AN13" s="12">
        <f>[1]节奏总纲!AN13</f>
        <v>0.60000000000000009</v>
      </c>
      <c r="AO13" s="12">
        <f>[1]节奏总纲!AO13</f>
        <v>0.44999999999999996</v>
      </c>
      <c r="AP13" s="12">
        <f>[1]节奏总纲!AP13</f>
        <v>0.30000000000000004</v>
      </c>
      <c r="AQ13" s="12">
        <f>[1]节奏总纲!AQ13</f>
        <v>0.15000000000000002</v>
      </c>
      <c r="AS13" s="8">
        <v>10</v>
      </c>
      <c r="AT13" s="12">
        <f>[1]节奏总纲!AT13</f>
        <v>0.17909348176756579</v>
      </c>
      <c r="AU13" s="12">
        <f>[1]节奏总纲!AU13</f>
        <v>0.1432747854140527</v>
      </c>
      <c r="AV13" s="12">
        <f>[1]节奏总纲!AV13</f>
        <v>0.10745608906053944</v>
      </c>
      <c r="AW13" s="12">
        <f>[1]节奏总纲!AW13</f>
        <v>7.1637392707026348E-2</v>
      </c>
      <c r="AX13" s="12">
        <f>[1]节奏总纲!AX13</f>
        <v>3.5818696353513174E-2</v>
      </c>
      <c r="AY13" s="8"/>
      <c r="AZ13" s="8">
        <v>10</v>
      </c>
      <c r="BA13" s="12">
        <f>[1]节奏总纲!BA13</f>
        <v>23.710496742673982</v>
      </c>
      <c r="BB13" s="12">
        <f>[1]节奏总纲!BB13</f>
        <v>25.044229735272328</v>
      </c>
      <c r="BC13" s="12">
        <f>[1]节奏总纲!BC13</f>
        <v>26.755953543357073</v>
      </c>
      <c r="BD13" s="12">
        <f>[1]节奏总纲!BD13</f>
        <v>29.216428548527322</v>
      </c>
      <c r="BE13" s="12">
        <f>[1]节奏总纲!BE13</f>
        <v>33.487933395889513</v>
      </c>
      <c r="BI13" s="7">
        <v>10</v>
      </c>
      <c r="BJ13" s="12">
        <f>[1]节奏总纲!BJ13</f>
        <v>1.1666666666666672</v>
      </c>
      <c r="BK13" s="12">
        <f>[1]节奏总纲!BK13</f>
        <v>1.1900000000000006</v>
      </c>
      <c r="BL13" s="12">
        <f>[1]节奏总纲!BL13</f>
        <v>1.2366666666666672</v>
      </c>
      <c r="BM13" s="12">
        <f>[1]节奏总纲!BM13</f>
        <v>1.3300000000000005</v>
      </c>
      <c r="BN13" s="12">
        <f>[1]节奏总纲!BN13</f>
        <v>1.633333333333334</v>
      </c>
    </row>
    <row r="14" spans="2:66" x14ac:dyDescent="0.15">
      <c r="B14" s="12">
        <f>[1]节奏总纲!B14</f>
        <v>70</v>
      </c>
      <c r="C14" s="12">
        <f>[1]节奏总纲!C14</f>
        <v>127</v>
      </c>
      <c r="D14" s="12">
        <f>[1]节奏总纲!D14</f>
        <v>64</v>
      </c>
      <c r="F14" s="12">
        <f>[1]节奏总纲!F14</f>
        <v>12</v>
      </c>
      <c r="G14" s="12">
        <f>[1]节奏总纲!G14</f>
        <v>1.2973967099940702</v>
      </c>
      <c r="I14" s="12">
        <f>[1]节奏总纲!I14</f>
        <v>12</v>
      </c>
      <c r="J14" s="12">
        <f>[1]节奏总纲!J14</f>
        <v>1.1550685436347259</v>
      </c>
      <c r="K14" s="12">
        <f>[1]节奏总纲!K14</f>
        <v>0.54</v>
      </c>
      <c r="N14" s="12">
        <f>[1]节奏总纲!N14</f>
        <v>21</v>
      </c>
      <c r="O14" s="8">
        <v>11</v>
      </c>
      <c r="P14" s="12">
        <f>[1]节奏总纲!P14</f>
        <v>1.1435469250725863</v>
      </c>
      <c r="Q14" s="12">
        <f>[1]节奏总纲!Q14</f>
        <v>0.98036277886472811</v>
      </c>
      <c r="R14" s="12">
        <f>[1]节奏总纲!R14</f>
        <v>0.79453640354043287</v>
      </c>
      <c r="S14" s="12">
        <f>[1]节奏总纲!S14</f>
        <v>0.57577587677404707</v>
      </c>
      <c r="T14" s="12">
        <f>[1]节奏总纲!T14</f>
        <v>0.31767733578516444</v>
      </c>
      <c r="V14" s="8">
        <v>11</v>
      </c>
      <c r="W14" s="12">
        <f>[1]节奏总纲!W14</f>
        <v>0.14354692507258626</v>
      </c>
      <c r="X14" s="12">
        <f>[1]节奏总纲!X14</f>
        <v>0.12556277886472811</v>
      </c>
      <c r="Y14" s="12">
        <f>[1]节奏总纲!Y14</f>
        <v>0.10503640354043287</v>
      </c>
      <c r="Z14" s="12">
        <f>[1]节奏总纲!Z14</f>
        <v>7.5975876774047046E-2</v>
      </c>
      <c r="AA14" s="12">
        <f>[1]节奏总纲!AA14</f>
        <v>4.447733578516444E-2</v>
      </c>
      <c r="AC14" s="8">
        <v>11</v>
      </c>
      <c r="AD14" s="12">
        <f>[1]节奏总纲!AD14</f>
        <v>35.845161563010116</v>
      </c>
      <c r="AE14" s="12">
        <f>[1]节奏总纲!AE14</f>
        <v>37.6388925299823</v>
      </c>
      <c r="AF14" s="12">
        <f>[1]节奏总纲!AF14</f>
        <v>40.259528204263837</v>
      </c>
      <c r="AG14" s="12">
        <f>[1]节奏总纲!AG14</f>
        <v>44.288230531994081</v>
      </c>
      <c r="AH14" s="12">
        <f>[1]节奏总纲!AH14</f>
        <v>52.559419343629337</v>
      </c>
      <c r="AL14" s="8">
        <v>11</v>
      </c>
      <c r="AM14" s="12">
        <f>[1]节奏总纲!AM14</f>
        <v>0.93464628919691628</v>
      </c>
      <c r="AN14" s="12">
        <f>[1]节奏总纲!AN14</f>
        <v>0.74771703135753309</v>
      </c>
      <c r="AO14" s="12">
        <f>[1]节奏总纲!AO14</f>
        <v>0.56078777351814979</v>
      </c>
      <c r="AP14" s="12">
        <f>[1]节奏总纲!AP14</f>
        <v>0.37385851567876655</v>
      </c>
      <c r="AQ14" s="12">
        <f>[1]节奏总纲!AQ14</f>
        <v>0.18692925783938327</v>
      </c>
      <c r="AS14" s="8">
        <v>11</v>
      </c>
      <c r="AT14" s="12">
        <f>[1]节奏总纲!AT14</f>
        <v>0.18464628919691628</v>
      </c>
      <c r="AU14" s="12">
        <f>[1]节奏总纲!AU14</f>
        <v>0.147717031357533</v>
      </c>
      <c r="AV14" s="12">
        <f>[1]节奏总纲!AV14</f>
        <v>0.11078777351814983</v>
      </c>
      <c r="AW14" s="12">
        <f>[1]节奏总纲!AW14</f>
        <v>7.3858515678766501E-2</v>
      </c>
      <c r="AX14" s="12">
        <f>[1]节奏总纲!AX14</f>
        <v>3.692925783938325E-2</v>
      </c>
      <c r="AY14" s="8"/>
      <c r="AZ14" s="8">
        <v>11</v>
      </c>
      <c r="BA14" s="12">
        <f>[1]节奏总纲!BA14</f>
        <v>24.272927064840161</v>
      </c>
      <c r="BB14" s="12">
        <f>[1]节奏总纲!BB14</f>
        <v>25.597101426176433</v>
      </c>
      <c r="BC14" s="12">
        <f>[1]节奏总纲!BC14</f>
        <v>27.327481651231444</v>
      </c>
      <c r="BD14" s="12">
        <f>[1]节奏总纲!BD14</f>
        <v>29.80118336305917</v>
      </c>
      <c r="BE14" s="12">
        <f>[1]节奏总纲!BE14</f>
        <v>34.09469189131628</v>
      </c>
      <c r="BI14" s="7">
        <v>11</v>
      </c>
      <c r="BJ14" s="12">
        <f>[1]节奏总纲!BJ14</f>
        <v>1.2000000000000006</v>
      </c>
      <c r="BK14" s="12">
        <f>[1]节奏总纲!BK14</f>
        <v>1.2240000000000006</v>
      </c>
      <c r="BL14" s="12">
        <f>[1]节奏总纲!BL14</f>
        <v>1.2720000000000007</v>
      </c>
      <c r="BM14" s="12">
        <f>[1]节奏总纲!BM14</f>
        <v>1.3680000000000005</v>
      </c>
      <c r="BN14" s="12">
        <f>[1]节奏总纲!BN14</f>
        <v>1.6800000000000008</v>
      </c>
    </row>
    <row r="15" spans="2:66" x14ac:dyDescent="0.15">
      <c r="B15" s="12">
        <f>[1]节奏总纲!B15</f>
        <v>80</v>
      </c>
      <c r="C15" s="12">
        <f>[1]节奏总纲!C15</f>
        <v>255</v>
      </c>
      <c r="D15" s="12">
        <f>[1]节奏总纲!D15</f>
        <v>128</v>
      </c>
      <c r="F15" s="12">
        <f>[1]节奏总纲!F15</f>
        <v>13</v>
      </c>
      <c r="G15" s="12">
        <f>[1]节奏总纲!G15</f>
        <v>1.4622888266898326</v>
      </c>
      <c r="I15" s="12">
        <f>[1]节奏总纲!I15</f>
        <v>13</v>
      </c>
      <c r="J15" s="12">
        <f>[1]节奏总纲!J15</f>
        <v>1.417602554491646</v>
      </c>
      <c r="K15" s="12">
        <f>[1]节奏总纲!K15</f>
        <v>0.56000000000000005</v>
      </c>
      <c r="N15" s="12">
        <f>[1]节奏总纲!N15</f>
        <v>22</v>
      </c>
      <c r="O15" s="8">
        <v>12</v>
      </c>
      <c r="P15" s="12">
        <f>[1]节奏总纲!P15</f>
        <v>1.2973967099940702</v>
      </c>
      <c r="Q15" s="12">
        <f>[1]节奏总纲!Q15</f>
        <v>1.1126474184909145</v>
      </c>
      <c r="R15" s="12">
        <f>[1]节奏总纲!R15</f>
        <v>0.9058423829178599</v>
      </c>
      <c r="S15" s="12">
        <f>[1]节奏总纲!S15</f>
        <v>0.66219128078097333</v>
      </c>
      <c r="T15" s="12">
        <f>[1]节奏总纲!T15</f>
        <v>0.36560639287632896</v>
      </c>
      <c r="V15" s="8">
        <v>12</v>
      </c>
      <c r="W15" s="12">
        <f>[1]节奏总纲!W15</f>
        <v>0.15384978492148393</v>
      </c>
      <c r="X15" s="12">
        <f>[1]节奏总纲!X15</f>
        <v>0.13228463962618642</v>
      </c>
      <c r="Y15" s="12">
        <f>[1]节奏总纲!Y15</f>
        <v>0.11130597937742703</v>
      </c>
      <c r="Z15" s="12">
        <f>[1]节奏总纲!Z15</f>
        <v>8.6415404006926266E-2</v>
      </c>
      <c r="AA15" s="12">
        <f>[1]节奏总纲!AA15</f>
        <v>4.7929057091164518E-2</v>
      </c>
      <c r="AC15" s="8">
        <v>12</v>
      </c>
      <c r="AD15" s="12">
        <f>[1]节奏总纲!AD15</f>
        <v>37.004247194324648</v>
      </c>
      <c r="AE15" s="12">
        <f>[1]节奏总纲!AE15</f>
        <v>38.827998824669805</v>
      </c>
      <c r="AF15" s="12">
        <f>[1]节奏总纲!AF15</f>
        <v>41.408320762540754</v>
      </c>
      <c r="AG15" s="12">
        <f>[1]节奏总纲!AG15</f>
        <v>45.500930067545958</v>
      </c>
      <c r="AH15" s="12">
        <f>[1]节奏总纲!AH15</f>
        <v>53.855547243088772</v>
      </c>
      <c r="AL15" s="8">
        <v>12</v>
      </c>
      <c r="AM15" s="12">
        <f>[1]节奏总纲!AM15</f>
        <v>1.1550685436347259</v>
      </c>
      <c r="AN15" s="12">
        <f>[1]节奏总纲!AN15</f>
        <v>0.92405483490778073</v>
      </c>
      <c r="AO15" s="12">
        <f>[1]节奏总纲!AO15</f>
        <v>0.69304112618083547</v>
      </c>
      <c r="AP15" s="12">
        <f>[1]节奏总纲!AP15</f>
        <v>0.46202741745389037</v>
      </c>
      <c r="AQ15" s="12">
        <f>[1]节奏总纲!AQ15</f>
        <v>0.23101370872694518</v>
      </c>
      <c r="AS15" s="8">
        <v>12</v>
      </c>
      <c r="AT15" s="12">
        <f>[1]节奏总纲!AT15</f>
        <v>0.22042225443780961</v>
      </c>
      <c r="AU15" s="12">
        <f>[1]节奏总纲!AU15</f>
        <v>0.17633780355024764</v>
      </c>
      <c r="AV15" s="12">
        <f>[1]节奏总纲!AV15</f>
        <v>0.13225335266268567</v>
      </c>
      <c r="AW15" s="12">
        <f>[1]节奏总纲!AW15</f>
        <v>8.816890177512382E-2</v>
      </c>
      <c r="AX15" s="12">
        <f>[1]节奏总纲!AX15</f>
        <v>4.408445088756191E-2</v>
      </c>
      <c r="AY15" s="8"/>
      <c r="AZ15" s="8">
        <v>12</v>
      </c>
      <c r="BA15" s="12">
        <f>[1]节奏总纲!BA15</f>
        <v>24.792264875668618</v>
      </c>
      <c r="BB15" s="12">
        <f>[1]节奏总纲!BB15</f>
        <v>26.127796402772656</v>
      </c>
      <c r="BC15" s="12">
        <f>[1]节奏总纲!BC15</f>
        <v>27.863030247590562</v>
      </c>
      <c r="BD15" s="12">
        <f>[1]节奏总纲!BD15</f>
        <v>30.329493925593439</v>
      </c>
      <c r="BE15" s="12">
        <f>[1]节奏总纲!BE15</f>
        <v>34.627226072894942</v>
      </c>
      <c r="BI15" s="7">
        <v>12</v>
      </c>
      <c r="BJ15" s="12">
        <f>[1]节奏总纲!BJ15</f>
        <v>1.2333333333333341</v>
      </c>
      <c r="BK15" s="12">
        <f>[1]节奏总纲!BK15</f>
        <v>1.2580000000000007</v>
      </c>
      <c r="BL15" s="12">
        <f>[1]节奏总纲!BL15</f>
        <v>1.3073333333333341</v>
      </c>
      <c r="BM15" s="12">
        <f>[1]节奏总纲!BM15</f>
        <v>1.4060000000000008</v>
      </c>
      <c r="BN15" s="12">
        <f>[1]节奏总纲!BN15</f>
        <v>1.7266666666666677</v>
      </c>
    </row>
    <row r="16" spans="2:66" x14ac:dyDescent="0.15">
      <c r="B16" s="12">
        <f>[1]节奏总纲!B16</f>
        <v>90</v>
      </c>
      <c r="C16" s="12">
        <f>[1]节奏总纲!C16</f>
        <v>511</v>
      </c>
      <c r="D16" s="12">
        <f>[1]节奏总纲!D16</f>
        <v>256</v>
      </c>
      <c r="F16" s="12">
        <f>[1]节奏总纲!F16</f>
        <v>14</v>
      </c>
      <c r="G16" s="12">
        <f>[1]节奏总纲!G16</f>
        <v>1.6390158215457884</v>
      </c>
      <c r="I16" s="12">
        <f>[1]节奏总纲!I16</f>
        <v>14</v>
      </c>
      <c r="J16" s="12">
        <f>[1]节奏总纲!J16</f>
        <v>1.7296773068470075</v>
      </c>
      <c r="K16" s="12">
        <f>[1]节奏总纲!K16</f>
        <v>0.57999999999999996</v>
      </c>
      <c r="N16" s="12">
        <f>[1]节奏总纲!N16</f>
        <v>23</v>
      </c>
      <c r="O16" s="8">
        <v>13</v>
      </c>
      <c r="P16" s="12">
        <f>[1]节奏总纲!P16</f>
        <v>1.4622888266898326</v>
      </c>
      <c r="Q16" s="12">
        <f>[1]节奏总纲!Q16</f>
        <v>1.2628326307293396</v>
      </c>
      <c r="R16" s="12">
        <f>[1]节奏总纲!R16</f>
        <v>1.0294513339896421</v>
      </c>
      <c r="S16" s="12">
        <f>[1]节奏总纲!S16</f>
        <v>0.75556463675063656</v>
      </c>
      <c r="T16" s="12">
        <f>[1]节奏总纲!T16</f>
        <v>0.41865329108129906</v>
      </c>
      <c r="V16" s="8">
        <v>13</v>
      </c>
      <c r="W16" s="12">
        <f>[1]节奏总纲!W16</f>
        <v>0.16489211669576243</v>
      </c>
      <c r="X16" s="12">
        <f>[1]节奏总纲!X16</f>
        <v>0.15018521223842507</v>
      </c>
      <c r="Y16" s="12">
        <f>[1]节奏总纲!Y16</f>
        <v>0.12360895107178216</v>
      </c>
      <c r="Z16" s="12">
        <f>[1]节奏总纲!Z16</f>
        <v>9.337335596966323E-2</v>
      </c>
      <c r="AA16" s="12">
        <f>[1]节奏总纲!AA16</f>
        <v>5.3046898204970105E-2</v>
      </c>
      <c r="AC16" s="8">
        <v>13</v>
      </c>
      <c r="AD16" s="12">
        <f>[1]节奏总纲!AD16</f>
        <v>38.071211008105138</v>
      </c>
      <c r="AE16" s="12">
        <f>[1]节奏总纲!AE16</f>
        <v>39.935302111946527</v>
      </c>
      <c r="AF16" s="12">
        <f>[1]节奏总纲!AF16</f>
        <v>42.470214785133983</v>
      </c>
      <c r="AG16" s="12">
        <f>[1]节奏总纲!AG16</f>
        <v>46.631096344914496</v>
      </c>
      <c r="AH16" s="12">
        <f>[1]节奏总纲!AH16</f>
        <v>55.062101953238496</v>
      </c>
      <c r="AL16" s="8">
        <v>13</v>
      </c>
      <c r="AM16" s="12">
        <f>[1]节奏总纲!AM16</f>
        <v>1.417602554491646</v>
      </c>
      <c r="AN16" s="12">
        <f>[1]节奏总纲!AN16</f>
        <v>1.1340820435933168</v>
      </c>
      <c r="AO16" s="12">
        <f>[1]节奏总纲!AO16</f>
        <v>0.85056153269498758</v>
      </c>
      <c r="AP16" s="12">
        <f>[1]节奏总纲!AP16</f>
        <v>0.56704102179665838</v>
      </c>
      <c r="AQ16" s="12">
        <f>[1]节奏总纲!AQ16</f>
        <v>0.28352051089832919</v>
      </c>
      <c r="AS16" s="8">
        <v>13</v>
      </c>
      <c r="AT16" s="12">
        <f>[1]节奏总纲!AT16</f>
        <v>0.26253401085692007</v>
      </c>
      <c r="AU16" s="12">
        <f>[1]节奏总纲!AU16</f>
        <v>0.21002720868553604</v>
      </c>
      <c r="AV16" s="12">
        <f>[1]节奏总纲!AV16</f>
        <v>0.15752040651415211</v>
      </c>
      <c r="AW16" s="12">
        <f>[1]节奏总纲!AW16</f>
        <v>0.10501360434276802</v>
      </c>
      <c r="AX16" s="12">
        <f>[1]节奏总纲!AX16</f>
        <v>5.2506802171384009E-2</v>
      </c>
      <c r="AY16" s="8"/>
      <c r="AZ16" s="8">
        <v>13</v>
      </c>
      <c r="BA16" s="12">
        <f>[1]节奏总纲!BA16</f>
        <v>25.265378411633971</v>
      </c>
      <c r="BB16" s="12">
        <f>[1]节奏总纲!BB16</f>
        <v>26.598914258210968</v>
      </c>
      <c r="BC16" s="12">
        <f>[1]节奏总纲!BC16</f>
        <v>28.339982398803929</v>
      </c>
      <c r="BD16" s="12">
        <f>[1]节奏总纲!BD16</f>
        <v>30.828727146189561</v>
      </c>
      <c r="BE16" s="12">
        <f>[1]节奏总纲!BE16</f>
        <v>35.146386283795508</v>
      </c>
      <c r="BI16" s="7">
        <v>13</v>
      </c>
      <c r="BJ16" s="12">
        <f>[1]节奏总纲!BJ16</f>
        <v>1.2666666666666675</v>
      </c>
      <c r="BK16" s="12">
        <f>[1]节奏总纲!BK16</f>
        <v>1.2920000000000009</v>
      </c>
      <c r="BL16" s="12">
        <f>[1]节奏总纲!BL16</f>
        <v>1.3426666666666676</v>
      </c>
      <c r="BM16" s="12">
        <f>[1]节奏总纲!BM16</f>
        <v>1.4440000000000008</v>
      </c>
      <c r="BN16" s="12">
        <f>[1]节奏总纲!BN16</f>
        <v>1.7733333333333343</v>
      </c>
    </row>
    <row r="17" spans="2:66" x14ac:dyDescent="0.15">
      <c r="B17" s="12">
        <f>[1]节奏总纲!B17</f>
        <v>100</v>
      </c>
      <c r="C17" s="12">
        <f>[1]节奏总纲!C17</f>
        <v>1023</v>
      </c>
      <c r="D17" s="12">
        <f>[1]节奏总纲!D17</f>
        <v>512</v>
      </c>
      <c r="F17" s="12">
        <f>[1]节奏总纲!F17</f>
        <v>15</v>
      </c>
      <c r="G17" s="12">
        <f>[1]节奏总纲!G17</f>
        <v>1.8284271247461898</v>
      </c>
      <c r="I17" s="12">
        <f>[1]节奏总纲!I17</f>
        <v>15</v>
      </c>
      <c r="J17" s="12">
        <f>[1]节奏总纲!J17</f>
        <v>2.1</v>
      </c>
      <c r="K17" s="12">
        <f>[1]节奏总纲!K17</f>
        <v>0.6</v>
      </c>
      <c r="N17" s="12">
        <f>[1]节奏总纲!N17</f>
        <v>24</v>
      </c>
      <c r="O17" s="8">
        <v>14</v>
      </c>
      <c r="P17" s="12">
        <f>[1]节奏总纲!P17</f>
        <v>1.6390158215457884</v>
      </c>
      <c r="Q17" s="12">
        <f>[1]节奏总纲!Q17</f>
        <v>1.4136511460832426</v>
      </c>
      <c r="R17" s="12">
        <f>[1]节奏总纲!R17</f>
        <v>1.1545227446968533</v>
      </c>
      <c r="S17" s="12">
        <f>[1]节奏总纲!S17</f>
        <v>0.84605996708193598</v>
      </c>
      <c r="T17" s="12">
        <f>[1]节奏总纲!T17</f>
        <v>0.46810291863347719</v>
      </c>
      <c r="V17" s="8">
        <v>14</v>
      </c>
      <c r="W17" s="12">
        <f>[1]节奏总纲!W17</f>
        <v>0.17672699485595578</v>
      </c>
      <c r="X17" s="12">
        <f>[1]节奏总纲!X17</f>
        <v>0.150818515353903</v>
      </c>
      <c r="Y17" s="12">
        <f>[1]节奏总纲!Y17</f>
        <v>0.12507141070721128</v>
      </c>
      <c r="Z17" s="12">
        <f>[1]节奏总纲!Z17</f>
        <v>9.0495330331299417E-2</v>
      </c>
      <c r="AA17" s="12">
        <f>[1]节奏总纲!AA17</f>
        <v>4.9449627552178133E-2</v>
      </c>
      <c r="AC17" s="8">
        <v>14</v>
      </c>
      <c r="AD17" s="12">
        <f>[1]节奏总纲!AD17</f>
        <v>39.066704614192943</v>
      </c>
      <c r="AE17" s="12">
        <f>[1]节奏总纲!AE17</f>
        <v>40.935169244165145</v>
      </c>
      <c r="AF17" s="12">
        <f>[1]节奏总纲!AF17</f>
        <v>43.484929789964411</v>
      </c>
      <c r="AG17" s="12">
        <f>[1]节奏总纲!AG17</f>
        <v>47.711408234944486</v>
      </c>
      <c r="AH17" s="12">
        <f>[1]节奏总纲!AH17</f>
        <v>56.165983112651688</v>
      </c>
      <c r="AL17" s="8">
        <v>14</v>
      </c>
      <c r="AM17" s="12">
        <f>[1]节奏总纲!AM17</f>
        <v>1.7296773068470075</v>
      </c>
      <c r="AN17" s="12">
        <f>[1]节奏总纲!AN17</f>
        <v>1.383741845477606</v>
      </c>
      <c r="AO17" s="12">
        <f>[1]节奏总纲!AO17</f>
        <v>1.0378063841082044</v>
      </c>
      <c r="AP17" s="12">
        <f>[1]节奏总纲!AP17</f>
        <v>0.69187092273880302</v>
      </c>
      <c r="AQ17" s="12">
        <f>[1]节奏总纲!AQ17</f>
        <v>0.34593546136940151</v>
      </c>
      <c r="AS17" s="8">
        <v>14</v>
      </c>
      <c r="AT17" s="12">
        <f>[1]节奏总纲!AT17</f>
        <v>0.31207475235536153</v>
      </c>
      <c r="AU17" s="12">
        <f>[1]节奏总纲!AU17</f>
        <v>0.24965980188428927</v>
      </c>
      <c r="AV17" s="12">
        <f>[1]节奏总纲!AV17</f>
        <v>0.18724485141321678</v>
      </c>
      <c r="AW17" s="12">
        <f>[1]节奏总纲!AW17</f>
        <v>0.12482990094214463</v>
      </c>
      <c r="AX17" s="12">
        <f>[1]节奏总纲!AX17</f>
        <v>6.2414950471072317E-2</v>
      </c>
      <c r="AY17" s="8"/>
      <c r="AZ17" s="8">
        <v>14</v>
      </c>
      <c r="BA17" s="12">
        <f>[1]节奏总纲!BA17</f>
        <v>25.707675764357255</v>
      </c>
      <c r="BB17" s="12">
        <f>[1]节奏总纲!BB17</f>
        <v>27.059707353051884</v>
      </c>
      <c r="BC17" s="12">
        <f>[1]节奏总纲!BC17</f>
        <v>28.796798156163181</v>
      </c>
      <c r="BD17" s="12">
        <f>[1]节奏总纲!BD17</f>
        <v>31.280110398778046</v>
      </c>
      <c r="BE17" s="12">
        <f>[1]节奏总纲!BE17</f>
        <v>35.634340563113874</v>
      </c>
      <c r="BI17" s="7">
        <v>14</v>
      </c>
      <c r="BJ17" s="12">
        <f>[1]节奏总纲!BJ17</f>
        <v>1.3000000000000009</v>
      </c>
      <c r="BK17" s="12">
        <f>[1]节奏总纲!BK17</f>
        <v>1.326000000000001</v>
      </c>
      <c r="BL17" s="12">
        <f>[1]节奏总纲!BL17</f>
        <v>1.378000000000001</v>
      </c>
      <c r="BM17" s="12">
        <f>[1]节奏总纲!BM17</f>
        <v>1.4820000000000009</v>
      </c>
      <c r="BN17" s="12">
        <f>[1]节奏总纲!BN17</f>
        <v>1.8200000000000012</v>
      </c>
    </row>
    <row r="18" spans="2:66" x14ac:dyDescent="0.15">
      <c r="F18" s="12">
        <f>[1]节奏总纲!F18</f>
        <v>16</v>
      </c>
      <c r="G18" s="12">
        <f>[1]节奏总纲!G18</f>
        <v>2.031433133020796</v>
      </c>
      <c r="I18" s="12">
        <f>[1]节奏总纲!I18</f>
        <v>16</v>
      </c>
      <c r="J18" s="12">
        <f>[1]节奏总纲!J18</f>
        <v>2.5387719203926467</v>
      </c>
      <c r="K18" s="12">
        <f>[1]节奏总纲!K18</f>
        <v>0.62</v>
      </c>
      <c r="N18" s="12">
        <f>[1]节奏总纲!N18</f>
        <v>25</v>
      </c>
      <c r="O18" s="8">
        <v>15</v>
      </c>
      <c r="P18" s="12">
        <f>[1]节奏总纲!P18</f>
        <v>1.8284271247461898</v>
      </c>
      <c r="Q18" s="12">
        <f>[1]节奏总纲!Q18</f>
        <v>1.5793953503557587</v>
      </c>
      <c r="R18" s="12">
        <f>[1]节奏总纲!R18</f>
        <v>1.2928808199080308</v>
      </c>
      <c r="S18" s="12">
        <f>[1]节奏总纲!S18</f>
        <v>0.94895367774327255</v>
      </c>
      <c r="T18" s="12">
        <f>[1]节奏总纲!T18</f>
        <v>0.5271355400643265</v>
      </c>
      <c r="V18" s="8">
        <v>15</v>
      </c>
      <c r="W18" s="12">
        <f>[1]节奏总纲!W18</f>
        <v>0.18941130320040145</v>
      </c>
      <c r="X18" s="12">
        <f>[1]节奏总纲!X18</f>
        <v>0.16574420427251613</v>
      </c>
      <c r="Y18" s="12">
        <f>[1]节奏总纲!Y18</f>
        <v>0.13835807521117749</v>
      </c>
      <c r="Z18" s="12">
        <f>[1]节奏总纲!Z18</f>
        <v>0.10289371066133657</v>
      </c>
      <c r="AA18" s="12">
        <f>[1]节奏总纲!AA18</f>
        <v>5.9032621430849308E-2</v>
      </c>
      <c r="AC18" s="8">
        <v>15</v>
      </c>
      <c r="AD18" s="12">
        <f>[1]节奏总纲!AD18</f>
        <v>40</v>
      </c>
      <c r="AE18" s="12">
        <f>[1]节奏总纲!AE18</f>
        <v>41.83669503626701</v>
      </c>
      <c r="AF18" s="12">
        <f>[1]节奏总纲!AF18</f>
        <v>44.442238853326032</v>
      </c>
      <c r="AG18" s="12">
        <f>[1]节奏总纲!AG18</f>
        <v>48.731413734867289</v>
      </c>
      <c r="AH18" s="12">
        <f>[1]节奏总纲!AH18</f>
        <v>57.176846218996921</v>
      </c>
      <c r="AL18" s="8">
        <v>15</v>
      </c>
      <c r="AM18" s="12">
        <f>[1]节奏总纲!AM18</f>
        <v>2.1</v>
      </c>
      <c r="AN18" s="12">
        <f>[1]节奏总纲!AN18</f>
        <v>1.6800000000000002</v>
      </c>
      <c r="AO18" s="12">
        <f>[1]节奏总纲!AO18</f>
        <v>1.26</v>
      </c>
      <c r="AP18" s="12">
        <f>[1]节奏总纲!AP18</f>
        <v>0.84000000000000008</v>
      </c>
      <c r="AQ18" s="12">
        <f>[1]节奏总纲!AQ18</f>
        <v>0.42000000000000004</v>
      </c>
      <c r="AS18" s="8">
        <v>15</v>
      </c>
      <c r="AT18" s="12">
        <f>[1]节奏总纲!AT18</f>
        <v>0.3703226931529926</v>
      </c>
      <c r="AU18" s="12">
        <f>[1]节奏总纲!AU18</f>
        <v>0.29625815452239412</v>
      </c>
      <c r="AV18" s="12">
        <f>[1]节奏总纲!AV18</f>
        <v>0.22219361589179565</v>
      </c>
      <c r="AW18" s="12">
        <f>[1]节奏总纲!AW18</f>
        <v>0.14812907726119706</v>
      </c>
      <c r="AX18" s="12">
        <f>[1]节奏总纲!AX18</f>
        <v>7.4064538630598531E-2</v>
      </c>
      <c r="AY18" s="8"/>
      <c r="AZ18" s="8">
        <v>15</v>
      </c>
      <c r="BA18" s="12">
        <f>[1]节奏总纲!BA18</f>
        <v>26.127796402772656</v>
      </c>
      <c r="BB18" s="12">
        <f>[1]节奏总纲!BB18</f>
        <v>27.461368800321225</v>
      </c>
      <c r="BC18" s="12">
        <f>[1]节奏总纲!BC18</f>
        <v>29.216428548527322</v>
      </c>
      <c r="BD18" s="12">
        <f>[1]节奏总纲!BD18</f>
        <v>31.706504654507764</v>
      </c>
      <c r="BE18" s="12">
        <f>[1]节奏总纲!BE18</f>
        <v>36.105477566569242</v>
      </c>
      <c r="BI18" s="7">
        <v>15</v>
      </c>
      <c r="BJ18" s="12">
        <f>[1]节奏总纲!BJ18</f>
        <v>1.3333333333333344</v>
      </c>
      <c r="BK18" s="12">
        <f>[1]节奏总纲!BK18</f>
        <v>1.360000000000001</v>
      </c>
      <c r="BL18" s="12">
        <f>[1]节奏总纲!BL18</f>
        <v>1.4133333333333344</v>
      </c>
      <c r="BM18" s="12">
        <f>[1]节奏总纲!BM18</f>
        <v>1.5200000000000011</v>
      </c>
      <c r="BN18" s="12">
        <f>[1]节奏总纲!BN18</f>
        <v>1.866666666666668</v>
      </c>
    </row>
    <row r="19" spans="2:66" x14ac:dyDescent="0.15">
      <c r="F19" s="12">
        <f>[1]节奏总纲!F19</f>
        <v>17</v>
      </c>
      <c r="G19" s="12">
        <f>[1]节奏总纲!G19</f>
        <v>2.2490095854249419</v>
      </c>
      <c r="I19" s="12">
        <f>[1]节奏总纲!I19</f>
        <v>17</v>
      </c>
      <c r="J19" s="12">
        <f>[1]节奏总纲!J19</f>
        <v>3.0579402515786085</v>
      </c>
      <c r="K19" s="12">
        <f>[1]节奏总纲!K19</f>
        <v>0.64</v>
      </c>
      <c r="N19" s="12">
        <f>[1]节奏总纲!N19</f>
        <v>26</v>
      </c>
      <c r="O19" s="8">
        <v>16</v>
      </c>
      <c r="P19" s="12">
        <f>[1]节奏总纲!P19</f>
        <v>2.031433133020796</v>
      </c>
      <c r="Q19" s="12">
        <f>[1]节奏总纲!Q19</f>
        <v>1.7586116632561031</v>
      </c>
      <c r="R19" s="12">
        <f>[1]节奏总纲!R19</f>
        <v>1.4398798046851402</v>
      </c>
      <c r="S19" s="12">
        <f>[1]节奏总纲!S19</f>
        <v>1.0618300986299702</v>
      </c>
      <c r="T19" s="12">
        <f>[1]节奏总纲!T19</f>
        <v>0.59460047803518701</v>
      </c>
      <c r="V19" s="8">
        <v>16</v>
      </c>
      <c r="W19" s="12">
        <f>[1]节奏总纲!W19</f>
        <v>0.20300600827460613</v>
      </c>
      <c r="X19" s="12">
        <f>[1]节奏总纲!X19</f>
        <v>0.17921631290034434</v>
      </c>
      <c r="Y19" s="12">
        <f>[1]节奏总纲!Y19</f>
        <v>0.14699898477710938</v>
      </c>
      <c r="Z19" s="12">
        <f>[1]节奏总纲!Z19</f>
        <v>0.11287642088669769</v>
      </c>
      <c r="AA19" s="12">
        <f>[1]节奏总纲!AA19</f>
        <v>6.7464937970860506E-2</v>
      </c>
      <c r="AC19" s="8">
        <v>16</v>
      </c>
      <c r="AD19" s="12">
        <f>[1]节奏总纲!AD19</f>
        <v>40.870795385807064</v>
      </c>
      <c r="AE19" s="12">
        <f>[1]节奏总纲!AE19</f>
        <v>42.707142308553742</v>
      </c>
      <c r="AF19" s="12">
        <f>[1]节奏总纲!AF19</f>
        <v>45.343250058486468</v>
      </c>
      <c r="AG19" s="12">
        <f>[1]节奏总纲!AG19</f>
        <v>49.654306534727205</v>
      </c>
      <c r="AH19" s="12">
        <f>[1]节奏总纲!AH19</f>
        <v>58.12511610143563</v>
      </c>
      <c r="AL19" s="8">
        <v>16</v>
      </c>
      <c r="AM19" s="12">
        <f>[1]节奏总纲!AM19</f>
        <v>2.5387719203926467</v>
      </c>
      <c r="AN19" s="12">
        <f>[1]节奏总纲!AN19</f>
        <v>2.0310175363141174</v>
      </c>
      <c r="AO19" s="12">
        <f>[1]节奏总纲!AO19</f>
        <v>1.5232631522355879</v>
      </c>
      <c r="AP19" s="12">
        <f>[1]节奏总纲!AP19</f>
        <v>1.0155087681570587</v>
      </c>
      <c r="AQ19" s="12">
        <f>[1]节奏总纲!AQ19</f>
        <v>0.50775438407852935</v>
      </c>
      <c r="AS19" s="8">
        <v>16</v>
      </c>
      <c r="AT19" s="12">
        <f>[1]节奏总纲!AT19</f>
        <v>0.43877192039264656</v>
      </c>
      <c r="AU19" s="12">
        <f>[1]节奏总纲!AU19</f>
        <v>0.35101753631411725</v>
      </c>
      <c r="AV19" s="12">
        <f>[1]节奏总纲!AV19</f>
        <v>0.26326315223558794</v>
      </c>
      <c r="AW19" s="12">
        <f>[1]节奏总纲!AW19</f>
        <v>0.17550876815705863</v>
      </c>
      <c r="AX19" s="12">
        <f>[1]节奏总纲!AX19</f>
        <v>8.7754384078529313E-2</v>
      </c>
      <c r="AY19" s="8"/>
      <c r="AZ19" s="8">
        <v>16</v>
      </c>
      <c r="BA19" s="12">
        <f>[1]节奏总纲!BA19</f>
        <v>26.504690687123308</v>
      </c>
      <c r="BB19" s="12">
        <f>[1]节奏总纲!BB19</f>
        <v>27.863030247590562</v>
      </c>
      <c r="BC19" s="12">
        <f>[1]节奏总纲!BC19</f>
        <v>29.606265091548554</v>
      </c>
      <c r="BD19" s="12">
        <f>[1]节奏总纲!BD19</f>
        <v>32.113552950216736</v>
      </c>
      <c r="BE19" s="12">
        <f>[1]节奏总纲!BE19</f>
        <v>36.526331209747774</v>
      </c>
      <c r="BI19" s="7">
        <v>16</v>
      </c>
      <c r="BJ19" s="12">
        <f>[1]节奏总纲!BJ19</f>
        <v>1.3666666666666678</v>
      </c>
      <c r="BK19" s="12">
        <f>[1]节奏总纲!BK19</f>
        <v>1.3940000000000012</v>
      </c>
      <c r="BL19" s="12">
        <f>[1]节奏总纲!BL19</f>
        <v>1.4486666666666679</v>
      </c>
      <c r="BM19" s="12">
        <f>[1]节奏总纲!BM19</f>
        <v>1.5580000000000012</v>
      </c>
      <c r="BN19" s="12">
        <f>[1]节奏总纲!BN19</f>
        <v>1.9133333333333349</v>
      </c>
    </row>
    <row r="20" spans="2:66" x14ac:dyDescent="0.15">
      <c r="F20" s="12">
        <f>[1]节奏总纲!F20</f>
        <v>18</v>
      </c>
      <c r="G20" s="12">
        <f>[1]节奏总纲!G20</f>
        <v>2.4822022531844965</v>
      </c>
      <c r="I20" s="12">
        <f>[1]节奏总纲!I20</f>
        <v>18</v>
      </c>
      <c r="J20" s="12">
        <f>[1]节奏总纲!J20</f>
        <v>3.671491735587451</v>
      </c>
      <c r="K20" s="12">
        <f>[1]节奏总纲!K20</f>
        <v>0.66</v>
      </c>
      <c r="N20" s="12">
        <f>[1]节奏总纲!N20</f>
        <v>27</v>
      </c>
      <c r="O20" s="8">
        <v>17</v>
      </c>
      <c r="P20" s="12">
        <f>[1]节奏总纲!P20</f>
        <v>2.2490095854249419</v>
      </c>
      <c r="Q20" s="12">
        <f>[1]节奏总纲!Q20</f>
        <v>1.9433691827656923</v>
      </c>
      <c r="R20" s="12">
        <f>[1]节奏总纲!R20</f>
        <v>1.5904995788125189</v>
      </c>
      <c r="S20" s="12">
        <f>[1]节奏总纲!S20</f>
        <v>1.1742079045503622</v>
      </c>
      <c r="T20" s="12">
        <f>[1]节奏总纲!T20</f>
        <v>0.65311238360740309</v>
      </c>
      <c r="V20" s="8">
        <v>17</v>
      </c>
      <c r="W20" s="12">
        <f>[1]节奏总纲!W20</f>
        <v>0.21757645240414591</v>
      </c>
      <c r="X20" s="12">
        <f>[1]节奏总纲!X20</f>
        <v>0.18475751950958919</v>
      </c>
      <c r="Y20" s="12">
        <f>[1]节奏总纲!Y20</f>
        <v>0.1506197741273787</v>
      </c>
      <c r="Z20" s="12">
        <f>[1]节奏总纲!Z20</f>
        <v>0.11237780592039193</v>
      </c>
      <c r="AA20" s="12">
        <f>[1]节奏总纲!AA20</f>
        <v>5.8511905572216083E-2</v>
      </c>
      <c r="AC20" s="8">
        <v>17</v>
      </c>
      <c r="AD20" s="12">
        <f>[1]节奏总纲!AD20</f>
        <v>41.691928656135218</v>
      </c>
      <c r="AE20" s="12">
        <f>[1]节奏总纲!AE20</f>
        <v>43.535389560453282</v>
      </c>
      <c r="AF20" s="12">
        <f>[1]节奏总纲!AF20</f>
        <v>46.195785611164197</v>
      </c>
      <c r="AG20" s="12">
        <f>[1]节奏总纲!AG20</f>
        <v>50.510850036206186</v>
      </c>
      <c r="AH20" s="12">
        <f>[1]节奏总纲!AH20</f>
        <v>58.996855914896834</v>
      </c>
      <c r="AL20" s="8">
        <v>17</v>
      </c>
      <c r="AM20" s="12">
        <f>[1]节奏总纲!AM20</f>
        <v>3.0579402515786085</v>
      </c>
      <c r="AN20" s="12">
        <f>[1]节奏总纲!AN20</f>
        <v>2.4463522012628869</v>
      </c>
      <c r="AO20" s="12">
        <f>[1]节奏总纲!AO20</f>
        <v>1.8347641509471651</v>
      </c>
      <c r="AP20" s="12">
        <f>[1]节奏总纲!AP20</f>
        <v>1.2231761006314434</v>
      </c>
      <c r="AQ20" s="12">
        <f>[1]节奏总纲!AQ20</f>
        <v>0.61158805031572172</v>
      </c>
      <c r="AS20" s="8">
        <v>17</v>
      </c>
      <c r="AT20" s="12">
        <f>[1]节奏总纲!AT20</f>
        <v>0.51916833118596184</v>
      </c>
      <c r="AU20" s="12">
        <f>[1]节奏总纲!AU20</f>
        <v>0.41533466494876947</v>
      </c>
      <c r="AV20" s="12">
        <f>[1]节奏总纲!AV20</f>
        <v>0.3115009987115771</v>
      </c>
      <c r="AW20" s="12">
        <f>[1]节奏总纲!AW20</f>
        <v>0.20766733247438474</v>
      </c>
      <c r="AX20" s="12">
        <f>[1]节奏总纲!AX20</f>
        <v>0.10383366623719237</v>
      </c>
      <c r="AY20" s="8"/>
      <c r="AZ20" s="8">
        <v>17</v>
      </c>
      <c r="BA20" s="12">
        <f>[1]节奏总纲!BA20</f>
        <v>26.881584971473956</v>
      </c>
      <c r="BB20" s="12">
        <f>[1]节奏总纲!BB20</f>
        <v>28.225778459464117</v>
      </c>
      <c r="BC20" s="12">
        <f>[1]节奏总纲!BC20</f>
        <v>29.996101634569786</v>
      </c>
      <c r="BD20" s="12">
        <f>[1]节奏总纲!BD20</f>
        <v>32.477877425165822</v>
      </c>
      <c r="BE20" s="12">
        <f>[1]节奏总纲!BE20</f>
        <v>36.947184852926306</v>
      </c>
      <c r="BI20" s="7">
        <v>17</v>
      </c>
      <c r="BJ20" s="12">
        <f>[1]节奏总纲!BJ20</f>
        <v>1.4000000000000012</v>
      </c>
      <c r="BK20" s="12">
        <f>[1]节奏总纲!BK20</f>
        <v>1.4280000000000013</v>
      </c>
      <c r="BL20" s="12">
        <f>[1]节奏总纲!BL20</f>
        <v>1.4840000000000013</v>
      </c>
      <c r="BM20" s="12">
        <f>[1]节奏总纲!BM20</f>
        <v>1.5960000000000012</v>
      </c>
      <c r="BN20" s="12">
        <f>[1]节奏总纲!BN20</f>
        <v>1.9600000000000015</v>
      </c>
    </row>
    <row r="21" spans="2:66" x14ac:dyDescent="0.15">
      <c r="F21" s="12">
        <f>[1]节奏总纲!F21</f>
        <v>19</v>
      </c>
      <c r="G21" s="12">
        <f>[1]节奏总纲!G21</f>
        <v>2.7321319661472296</v>
      </c>
      <c r="I21" s="12">
        <f>[1]节奏总纲!I21</f>
        <v>19</v>
      </c>
      <c r="J21" s="12">
        <f>[1]节奏总纲!J21</f>
        <v>4.3957950643309154</v>
      </c>
      <c r="K21" s="12">
        <f>[1]节奏总纲!K21</f>
        <v>0.68</v>
      </c>
      <c r="N21" s="12">
        <f>[1]节奏总纲!N21</f>
        <v>28</v>
      </c>
      <c r="O21" s="8">
        <v>18</v>
      </c>
      <c r="P21" s="12">
        <f>[1]节奏总纲!P21</f>
        <v>2.4822022531844965</v>
      </c>
      <c r="Q21" s="12">
        <f>[1]节奏总纲!Q21</f>
        <v>2.1515729130603214</v>
      </c>
      <c r="R21" s="12">
        <f>[1]节奏总纲!R21</f>
        <v>1.7690655458445907</v>
      </c>
      <c r="S21" s="12">
        <f>[1]节奏总纲!S21</f>
        <v>1.3066312660763189</v>
      </c>
      <c r="T21" s="12">
        <f>[1]节奏总纲!T21</f>
        <v>0.72554771860582834</v>
      </c>
      <c r="V21" s="8">
        <v>18</v>
      </c>
      <c r="W21" s="12">
        <f>[1]节奏总纲!W21</f>
        <v>0.23319266775955461</v>
      </c>
      <c r="X21" s="12">
        <f>[1]节奏总纲!X21</f>
        <v>0.20820373029462913</v>
      </c>
      <c r="Y21" s="12">
        <f>[1]节奏总纲!Y21</f>
        <v>0.17856596703207184</v>
      </c>
      <c r="Z21" s="12">
        <f>[1]节奏总纲!Z21</f>
        <v>0.13242336152595668</v>
      </c>
      <c r="AA21" s="12">
        <f>[1]节奏总纲!AA21</f>
        <v>7.2435334998425249E-2</v>
      </c>
      <c r="AC21" s="8">
        <v>18</v>
      </c>
      <c r="AD21" s="12">
        <f>[1]节奏总纲!AD21</f>
        <v>42.470630686057078</v>
      </c>
      <c r="AE21" s="12">
        <f>[1]节奏总纲!AE21</f>
        <v>44.32123076997032</v>
      </c>
      <c r="AF21" s="12">
        <f>[1]节奏总纲!AF21</f>
        <v>47.002405448181747</v>
      </c>
      <c r="AG21" s="12">
        <f>[1]节奏总纲!AG21</f>
        <v>51.307235833425089</v>
      </c>
      <c r="AH21" s="12">
        <f>[1]节奏总纲!AH21</f>
        <v>59.782901351568675</v>
      </c>
      <c r="AL21" s="8">
        <v>18</v>
      </c>
      <c r="AM21" s="12">
        <f>[1]节奏总纲!AM21</f>
        <v>3.671491735587451</v>
      </c>
      <c r="AN21" s="12">
        <f>[1]节奏总纲!AN21</f>
        <v>2.9371933884699608</v>
      </c>
      <c r="AO21" s="12">
        <f>[1]节奏总纲!AO21</f>
        <v>2.2028950413524706</v>
      </c>
      <c r="AP21" s="12">
        <f>[1]节奏总纲!AP21</f>
        <v>1.4685966942349804</v>
      </c>
      <c r="AQ21" s="12">
        <f>[1]节奏总纲!AQ21</f>
        <v>0.7342983471174902</v>
      </c>
      <c r="AS21" s="8">
        <v>18</v>
      </c>
      <c r="AT21" s="12">
        <f>[1]节奏总纲!AT21</f>
        <v>0.61355148400884252</v>
      </c>
      <c r="AU21" s="12">
        <f>[1]节奏总纲!AU21</f>
        <v>0.49084118720707393</v>
      </c>
      <c r="AV21" s="12">
        <f>[1]节奏总纲!AV21</f>
        <v>0.36813089040530556</v>
      </c>
      <c r="AW21" s="12">
        <f>[1]节奏总纲!AW21</f>
        <v>0.24542059360353696</v>
      </c>
      <c r="AX21" s="12">
        <f>[1]节奏总纲!AX21</f>
        <v>0.12271029680176848</v>
      </c>
      <c r="AY21" s="8"/>
      <c r="AZ21" s="8">
        <v>18</v>
      </c>
      <c r="BA21" s="12">
        <f>[1]节奏总纲!BA21</f>
        <v>27.220371931959619</v>
      </c>
      <c r="BB21" s="12">
        <f>[1]节奏总纲!BB21</f>
        <v>28.568390277483555</v>
      </c>
      <c r="BC21" s="12">
        <f>[1]节奏总纲!BC21</f>
        <v>30.329493925593439</v>
      </c>
      <c r="BD21" s="12">
        <f>[1]节奏总纲!BD21</f>
        <v>32.842201900114915</v>
      </c>
      <c r="BE21" s="12">
        <f>[1]节奏总纲!BE21</f>
        <v>37.317457773889828</v>
      </c>
      <c r="BI21" s="7">
        <v>18</v>
      </c>
      <c r="BJ21" s="12">
        <f>[1]节奏总纲!BJ21</f>
        <v>1.4333333333333347</v>
      </c>
      <c r="BK21" s="12">
        <f>[1]节奏总纲!BK21</f>
        <v>1.4620000000000013</v>
      </c>
      <c r="BL21" s="12">
        <f>[1]节奏总纲!BL21</f>
        <v>1.5193333333333348</v>
      </c>
      <c r="BM21" s="12">
        <f>[1]节奏总纲!BM21</f>
        <v>1.6340000000000015</v>
      </c>
      <c r="BN21" s="12">
        <f>[1]节奏总纲!BN21</f>
        <v>2.0066666666666686</v>
      </c>
    </row>
    <row r="22" spans="2:66" x14ac:dyDescent="0.15">
      <c r="B22" s="42" t="s">
        <v>34</v>
      </c>
      <c r="C22" s="42"/>
      <c r="D22" s="42"/>
      <c r="F22" s="12">
        <f>[1]节奏总纲!F22</f>
        <v>20</v>
      </c>
      <c r="G22" s="12">
        <f>[1]节奏总纲!G22</f>
        <v>3</v>
      </c>
      <c r="I22" s="12">
        <f>[1]节奏总纲!I22</f>
        <v>20</v>
      </c>
      <c r="J22" s="12">
        <f>[1]节奏总纲!J22</f>
        <v>5.25</v>
      </c>
      <c r="K22" s="12">
        <f>[1]节奏总纲!K22</f>
        <v>0.7</v>
      </c>
      <c r="N22" s="12">
        <f>[1]节奏总纲!N22</f>
        <v>29</v>
      </c>
      <c r="O22" s="8">
        <v>19</v>
      </c>
      <c r="P22" s="12">
        <f>[1]节奏总纲!P22</f>
        <v>2.7321319661472296</v>
      </c>
      <c r="Q22" s="12">
        <f>[1]节奏总纲!Q22</f>
        <v>2.3734030389920986</v>
      </c>
      <c r="R22" s="12">
        <f>[1]节奏总纲!R22</f>
        <v>1.9510154370257367</v>
      </c>
      <c r="S22" s="12">
        <f>[1]节奏总纲!S22</f>
        <v>1.4395603329629754</v>
      </c>
      <c r="T22" s="12">
        <f>[1]节奏总纲!T22</f>
        <v>0.80270037165405606</v>
      </c>
      <c r="V22" s="8">
        <v>19</v>
      </c>
      <c r="W22" s="12">
        <f>[1]节奏总纲!W22</f>
        <v>0.24992971296273314</v>
      </c>
      <c r="X22" s="12">
        <f>[1]节奏总纲!X22</f>
        <v>0.2218301259317772</v>
      </c>
      <c r="Y22" s="12">
        <f>[1]节奏总纲!Y22</f>
        <v>0.18194989118114591</v>
      </c>
      <c r="Z22" s="12">
        <f>[1]节奏总纲!Z22</f>
        <v>0.13292906688665651</v>
      </c>
      <c r="AA22" s="12">
        <f>[1]节奏总纲!AA22</f>
        <v>7.7152653048227715E-2</v>
      </c>
      <c r="AC22" s="8">
        <v>19</v>
      </c>
      <c r="AD22" s="12">
        <f>[1]节奏总纲!AD22</f>
        <v>43.213386604241784</v>
      </c>
      <c r="AE22" s="12">
        <f>[1]节奏总纲!AE22</f>
        <v>45.070782602372333</v>
      </c>
      <c r="AF22" s="12">
        <f>[1]节奏总纲!AF22</f>
        <v>47.752799438858894</v>
      </c>
      <c r="AG22" s="12">
        <f>[1]节奏总纲!AG22</f>
        <v>52.050057424983954</v>
      </c>
      <c r="AH22" s="12">
        <f>[1]节奏总纲!AH22</f>
        <v>60.54585273688761</v>
      </c>
      <c r="AL22" s="8">
        <v>19</v>
      </c>
      <c r="AM22" s="12">
        <f>[1]节奏总纲!AM22</f>
        <v>4.3957950643309154</v>
      </c>
      <c r="AN22" s="12">
        <f>[1]节奏总纲!AN22</f>
        <v>3.5166360514647326</v>
      </c>
      <c r="AO22" s="12">
        <f>[1]节奏总纲!AO22</f>
        <v>2.6374770385985493</v>
      </c>
      <c r="AP22" s="12">
        <f>[1]节奏总纲!AP22</f>
        <v>1.7583180257323663</v>
      </c>
      <c r="AQ22" s="12">
        <f>[1]节奏总纲!AQ22</f>
        <v>0.87915901286618314</v>
      </c>
      <c r="AS22" s="8">
        <v>19</v>
      </c>
      <c r="AT22" s="12">
        <f>[1]节奏总纲!AT22</f>
        <v>0.72430332874346437</v>
      </c>
      <c r="AU22" s="12">
        <f>[1]节奏总纲!AU22</f>
        <v>0.57944266299477176</v>
      </c>
      <c r="AV22" s="12">
        <f>[1]节奏总纲!AV22</f>
        <v>0.43458199724607871</v>
      </c>
      <c r="AW22" s="12">
        <f>[1]节奏总纲!AW22</f>
        <v>0.28972133149738588</v>
      </c>
      <c r="AX22" s="12">
        <f>[1]节奏总纲!AX22</f>
        <v>0.14486066574869294</v>
      </c>
      <c r="AY22" s="8"/>
      <c r="AZ22" s="8">
        <v>19</v>
      </c>
      <c r="BA22" s="12">
        <f>[1]节奏总纲!BA22</f>
        <v>27.541701089775092</v>
      </c>
      <c r="BB22" s="12">
        <f>[1]节奏总纲!BB22</f>
        <v>28.911002095502997</v>
      </c>
      <c r="BC22" s="12">
        <f>[1]节奏总纲!BC22</f>
        <v>30.662316072657521</v>
      </c>
      <c r="BD22" s="12">
        <f>[1]节奏总纲!BD22</f>
        <v>33.176527924103851</v>
      </c>
      <c r="BE22" s="12">
        <f>[1]节奏总纲!BE22</f>
        <v>37.680472138177471</v>
      </c>
      <c r="BI22" s="7">
        <v>19</v>
      </c>
      <c r="BJ22" s="12">
        <f>[1]节奏总纲!BJ22</f>
        <v>1.4666666666666681</v>
      </c>
      <c r="BK22" s="12">
        <f>[1]节奏总纲!BK22</f>
        <v>1.4960000000000016</v>
      </c>
      <c r="BL22" s="12">
        <f>[1]节奏总纲!BL22</f>
        <v>1.5546666666666682</v>
      </c>
      <c r="BM22" s="12">
        <f>[1]节奏总纲!BM22</f>
        <v>1.6720000000000015</v>
      </c>
      <c r="BN22" s="12">
        <f>[1]节奏总纲!BN22</f>
        <v>2.0533333333333355</v>
      </c>
    </row>
    <row r="23" spans="2:66" x14ac:dyDescent="0.15">
      <c r="B23" s="8" t="s">
        <v>81</v>
      </c>
      <c r="C23" s="8" t="s">
        <v>79</v>
      </c>
      <c r="D23" s="8" t="s">
        <v>80</v>
      </c>
      <c r="F23" s="12">
        <f>[1]节奏总纲!F23</f>
        <v>21</v>
      </c>
      <c r="G23" s="12">
        <f>[1]节奏总纲!G23</f>
        <v>3.2870938501451725</v>
      </c>
      <c r="I23" s="12">
        <f>[1]节奏总纲!I23</f>
        <v>21</v>
      </c>
      <c r="J23" s="12">
        <f>[1]节奏总纲!J23</f>
        <v>6.2565025247829205</v>
      </c>
      <c r="K23" s="12">
        <f>[1]节奏总纲!K23</f>
        <v>0.72</v>
      </c>
      <c r="N23" s="12">
        <f>[1]节奏总纲!N23</f>
        <v>30</v>
      </c>
      <c r="O23" s="8">
        <v>20</v>
      </c>
      <c r="P23" s="12">
        <f>[1]节奏总纲!P23</f>
        <v>3</v>
      </c>
      <c r="Q23" s="12">
        <f>[1]节奏总纲!Q23</f>
        <v>2.6036999999999999</v>
      </c>
      <c r="R23" s="12">
        <f>[1]节奏总纲!R23</f>
        <v>2.1372</v>
      </c>
      <c r="S23" s="12">
        <f>[1]节奏总纲!S23</f>
        <v>1.5800999999999998</v>
      </c>
      <c r="T23" s="12">
        <f>[1]节奏总纲!T23</f>
        <v>0.87990000000000002</v>
      </c>
      <c r="V23" s="8">
        <v>20</v>
      </c>
      <c r="W23" s="12">
        <f>[1]节奏总纲!W23</f>
        <v>0.26786803385277036</v>
      </c>
      <c r="X23" s="12">
        <f>[1]节奏总纲!X23</f>
        <v>0.23029696100790131</v>
      </c>
      <c r="Y23" s="12">
        <f>[1]节奏总纲!Y23</f>
        <v>0.18618456297426333</v>
      </c>
      <c r="Z23" s="12">
        <f>[1]节奏总纲!Z23</f>
        <v>0.14053966703702447</v>
      </c>
      <c r="AA23" s="12">
        <f>[1]节奏总纲!AA23</f>
        <v>7.719962834594396E-2</v>
      </c>
      <c r="AC23" s="8">
        <v>20</v>
      </c>
      <c r="AD23" s="12">
        <f>[1]节奏总纲!AD23</f>
        <v>43.920692243099523</v>
      </c>
      <c r="AE23" s="12">
        <f>[1]节奏总纲!AE23</f>
        <v>45.780025086357675</v>
      </c>
      <c r="AF23" s="12">
        <f>[1]节奏总纲!AF23</f>
        <v>48.482447528152484</v>
      </c>
      <c r="AG23" s="12">
        <f>[1]节奏总纲!AG23</f>
        <v>52.769987980532711</v>
      </c>
      <c r="AH23" s="12">
        <f>[1]节奏总纲!AH23</f>
        <v>61.261422558944936</v>
      </c>
      <c r="AL23" s="8">
        <v>20</v>
      </c>
      <c r="AM23" s="12">
        <f>[1]节奏总纲!AM23</f>
        <v>5.25</v>
      </c>
      <c r="AN23" s="12">
        <f>[1]节奏总纲!AN23</f>
        <v>4.2</v>
      </c>
      <c r="AO23" s="12">
        <f>[1]节奏总纲!AO23</f>
        <v>3.15</v>
      </c>
      <c r="AP23" s="12">
        <f>[1]节奏总纲!AP23</f>
        <v>2.1</v>
      </c>
      <c r="AQ23" s="12">
        <f>[1]节奏总纲!AQ23</f>
        <v>1.05</v>
      </c>
      <c r="AS23" s="8">
        <v>20</v>
      </c>
      <c r="AT23" s="12">
        <f>[1]节奏总纲!AT23</f>
        <v>0.85420493566908462</v>
      </c>
      <c r="AU23" s="12">
        <f>[1]节奏总纲!AU23</f>
        <v>0.68336394853526761</v>
      </c>
      <c r="AV23" s="12">
        <f>[1]节奏总纲!AV23</f>
        <v>0.51252296140145059</v>
      </c>
      <c r="AW23" s="12">
        <f>[1]节奏总纲!AW23</f>
        <v>0.3416819742676338</v>
      </c>
      <c r="AX23" s="12">
        <f>[1]节奏总纲!AX23</f>
        <v>0.1708409871338169</v>
      </c>
      <c r="AY23" s="8"/>
      <c r="AZ23" s="8">
        <v>20</v>
      </c>
      <c r="BA23" s="12">
        <f>[1]节奏总纲!BA23</f>
        <v>27.863030247590562</v>
      </c>
      <c r="BB23" s="12">
        <f>[1]节奏总纲!BB23</f>
        <v>29.216428548527322</v>
      </c>
      <c r="BC23" s="12">
        <f>[1]节奏总纲!BC23</f>
        <v>30.995138219721603</v>
      </c>
      <c r="BD23" s="12">
        <f>[1]节奏总纲!BD23</f>
        <v>33.487933395889513</v>
      </c>
      <c r="BE23" s="12">
        <f>[1]节奏总纲!BE23</f>
        <v>38.037513426486328</v>
      </c>
      <c r="BI23" s="7">
        <v>20</v>
      </c>
      <c r="BJ23" s="12">
        <f>[1]节奏总纲!BJ23</f>
        <v>1.5000000000000016</v>
      </c>
      <c r="BK23" s="12">
        <f>[1]节奏总纲!BK23</f>
        <v>1.5300000000000016</v>
      </c>
      <c r="BL23" s="12">
        <f>[1]节奏总纲!BL23</f>
        <v>1.5900000000000016</v>
      </c>
      <c r="BM23" s="12">
        <f>[1]节奏总纲!BM23</f>
        <v>1.7100000000000015</v>
      </c>
      <c r="BN23" s="12">
        <f>[1]节奏总纲!BN23</f>
        <v>2.1000000000000019</v>
      </c>
    </row>
    <row r="24" spans="2:66" x14ac:dyDescent="0.15">
      <c r="B24" s="12">
        <f>[1]节奏总纲!B24</f>
        <v>5</v>
      </c>
      <c r="C24" s="12">
        <f>[1]节奏总纲!C24</f>
        <v>0.5</v>
      </c>
      <c r="D24" s="12">
        <f>[1]节奏总纲!D24</f>
        <v>0.5</v>
      </c>
      <c r="F24" s="12">
        <f>[1]节奏总纲!F24</f>
        <v>22</v>
      </c>
      <c r="G24" s="12">
        <f>[1]节奏总纲!G24</f>
        <v>3.5947934199881395</v>
      </c>
      <c r="I24" s="12">
        <f>[1]节奏总纲!I24</f>
        <v>22</v>
      </c>
      <c r="J24" s="12">
        <f>[1]节奏总纲!J24</f>
        <v>7.4414868317755332</v>
      </c>
      <c r="K24" s="12">
        <f>[1]节奏总纲!K24</f>
        <v>0.74</v>
      </c>
      <c r="N24" s="12">
        <f>[1]节奏总纲!N24</f>
        <v>31</v>
      </c>
      <c r="O24" s="8">
        <v>21</v>
      </c>
      <c r="P24" s="12">
        <f>[1]节奏总纲!P24</f>
        <v>3.2870938501451725</v>
      </c>
      <c r="Q24" s="12">
        <f>[1]节奏总纲!Q24</f>
        <v>2.8518826243859516</v>
      </c>
      <c r="R24" s="12">
        <f>[1]节奏总纲!R24</f>
        <v>2.3466562996186386</v>
      </c>
      <c r="S24" s="12">
        <f>[1]节奏总纲!S24</f>
        <v>1.7365716810316947</v>
      </c>
      <c r="T24" s="12">
        <f>[1]节奏总纲!T24</f>
        <v>0.97166494210291288</v>
      </c>
      <c r="V24" s="8">
        <v>21</v>
      </c>
      <c r="W24" s="12">
        <f>[1]节奏总纲!W24</f>
        <v>0.28709385014517252</v>
      </c>
      <c r="X24" s="12">
        <f>[1]节奏总纲!X24</f>
        <v>0.24818262438595173</v>
      </c>
      <c r="Y24" s="12">
        <f>[1]节奏总纲!Y24</f>
        <v>0.20945629961863865</v>
      </c>
      <c r="Z24" s="12">
        <f>[1]节奏总纲!Z24</f>
        <v>0.15647168103169484</v>
      </c>
      <c r="AA24" s="12">
        <f>[1]节奏总纲!AA24</f>
        <v>9.1764942102912861E-2</v>
      </c>
      <c r="AC24" s="8">
        <v>21</v>
      </c>
      <c r="AD24" s="12">
        <f>[1]节奏总纲!AD24</f>
        <v>44.585942742481357</v>
      </c>
      <c r="AE24" s="12">
        <f>[1]节奏总纲!AE24</f>
        <v>46.455967430551723</v>
      </c>
      <c r="AF24" s="12">
        <f>[1]节奏总纲!AF24</f>
        <v>49.18886033229559</v>
      </c>
      <c r="AG24" s="12">
        <f>[1]节奏总纲!AG24</f>
        <v>53.471660769826336</v>
      </c>
      <c r="AH24" s="12">
        <f>[1]节奏总纲!AH24</f>
        <v>61.918453772109508</v>
      </c>
      <c r="AL24" s="8">
        <v>21</v>
      </c>
      <c r="AM24" s="12">
        <f>[1]节奏总纲!AM24</f>
        <v>6.2565025247829205</v>
      </c>
      <c r="AN24" s="12">
        <f>[1]节奏总纲!AN24</f>
        <v>5.0052020198263367</v>
      </c>
      <c r="AO24" s="12">
        <f>[1]节奏总纲!AO24</f>
        <v>3.7539015148697521</v>
      </c>
      <c r="AP24" s="12">
        <f>[1]节奏总纲!AP24</f>
        <v>2.5026010099131684</v>
      </c>
      <c r="AQ24" s="12">
        <f>[1]节奏总纲!AQ24</f>
        <v>1.2513005049565842</v>
      </c>
      <c r="AS24" s="8">
        <v>21</v>
      </c>
      <c r="AT24" s="12">
        <f>[1]节奏总纲!AT24</f>
        <v>1.0065025247829205</v>
      </c>
      <c r="AU24" s="12">
        <f>[1]节奏总纲!AU24</f>
        <v>0.80520201982633655</v>
      </c>
      <c r="AV24" s="12">
        <f>[1]节奏总纲!AV24</f>
        <v>0.60390151486975219</v>
      </c>
      <c r="AW24" s="12">
        <f>[1]节奏总纲!AW24</f>
        <v>0.40260100991316827</v>
      </c>
      <c r="AX24" s="12">
        <f>[1]节奏总纲!AX24</f>
        <v>0.20130050495658414</v>
      </c>
      <c r="AY24" s="8"/>
      <c r="AZ24" s="8">
        <v>21</v>
      </c>
      <c r="BA24" s="12">
        <f>[1]节奏总纲!BA24</f>
        <v>28.157256095860227</v>
      </c>
      <c r="BB24" s="12">
        <f>[1]节奏总纲!BB24</f>
        <v>29.508805955793246</v>
      </c>
      <c r="BC24" s="12">
        <f>[1]节奏总纲!BC24</f>
        <v>31.280110398778046</v>
      </c>
      <c r="BD24" s="12">
        <f>[1]节奏总纲!BD24</f>
        <v>33.799338867675175</v>
      </c>
      <c r="BE24" s="12">
        <f>[1]节奏总纲!BE24</f>
        <v>38.35066605767593</v>
      </c>
      <c r="BI24" s="7">
        <v>21</v>
      </c>
      <c r="BJ24" s="12">
        <f>[1]节奏总纲!BJ24</f>
        <v>1.533333333333335</v>
      </c>
      <c r="BK24" s="12">
        <f>[1]节奏总纲!BK24</f>
        <v>1.5640000000000016</v>
      </c>
      <c r="BL24" s="12">
        <f>[1]节奏总纲!BL24</f>
        <v>1.6253333333333351</v>
      </c>
      <c r="BM24" s="12">
        <f>[1]节奏总纲!BM24</f>
        <v>1.7480000000000018</v>
      </c>
      <c r="BN24" s="12">
        <f>[1]节奏总纲!BN24</f>
        <v>2.1466666666666687</v>
      </c>
    </row>
    <row r="25" spans="2:66" x14ac:dyDescent="0.15">
      <c r="B25" s="12">
        <f>[1]节奏总纲!B25</f>
        <v>10</v>
      </c>
      <c r="C25" s="12">
        <f>[1]节奏总纲!C25</f>
        <v>1.5</v>
      </c>
      <c r="D25" s="12">
        <f>[1]节奏总纲!D25</f>
        <v>1</v>
      </c>
      <c r="F25" s="12">
        <f>[1]节奏总纲!F25</f>
        <v>23</v>
      </c>
      <c r="G25" s="12">
        <f>[1]节奏总纲!G25</f>
        <v>3.9245776533796644</v>
      </c>
      <c r="I25" s="12">
        <f>[1]节奏总纲!I25</f>
        <v>23</v>
      </c>
      <c r="J25" s="12">
        <f>[1]节奏总纲!J25</f>
        <v>8.8355567243832152</v>
      </c>
      <c r="K25" s="12">
        <f>[1]节奏总纲!K25</f>
        <v>0.76</v>
      </c>
      <c r="N25" s="12">
        <f>[1]节奏总纲!N25</f>
        <v>32</v>
      </c>
      <c r="O25" s="8">
        <v>22</v>
      </c>
      <c r="P25" s="12">
        <f>[1]节奏总纲!P25</f>
        <v>3.5947934199881395</v>
      </c>
      <c r="Q25" s="12">
        <f>[1]节奏总纲!Q25</f>
        <v>3.124234961311692</v>
      </c>
      <c r="R25" s="12">
        <f>[1]节奏总纲!R25</f>
        <v>2.5749505267375046</v>
      </c>
      <c r="S25" s="12">
        <f>[1]节奏总纲!S25</f>
        <v>1.9077568679877055</v>
      </c>
      <c r="T25" s="12">
        <f>[1]节奏总纲!T25</f>
        <v>1.0687320837624739</v>
      </c>
      <c r="V25" s="8">
        <v>22</v>
      </c>
      <c r="W25" s="12">
        <f>[1]节奏总纲!W25</f>
        <v>0.30769956984296698</v>
      </c>
      <c r="X25" s="12">
        <f>[1]节奏总纲!X25</f>
        <v>0.27235233692574035</v>
      </c>
      <c r="Y25" s="12">
        <f>[1]节奏总纲!Y25</f>
        <v>0.22829422711886593</v>
      </c>
      <c r="Z25" s="12">
        <f>[1]节奏总纲!Z25</f>
        <v>0.17118518695601082</v>
      </c>
      <c r="AA25" s="12">
        <f>[1]节奏总纲!AA25</f>
        <v>9.7067141659560985E-2</v>
      </c>
      <c r="AC25" s="8">
        <v>22</v>
      </c>
      <c r="AD25" s="12">
        <f>[1]节奏总纲!AD25</f>
        <v>45.229416240679988</v>
      </c>
      <c r="AE25" s="12">
        <f>[1]节奏总纲!AE25</f>
        <v>47.110426931480873</v>
      </c>
      <c r="AF25" s="12">
        <f>[1]节奏总纲!AF25</f>
        <v>49.861837738505173</v>
      </c>
      <c r="AG25" s="12">
        <f>[1]节奏总纲!AG25</f>
        <v>54.15637358335789</v>
      </c>
      <c r="AH25" s="12">
        <f>[1]节奏总纲!AH25</f>
        <v>62.555781631668886</v>
      </c>
      <c r="AL25" s="8">
        <v>22</v>
      </c>
      <c r="AM25" s="12">
        <f>[1]节奏总纲!AM25</f>
        <v>7.4414868317755332</v>
      </c>
      <c r="AN25" s="12">
        <f>[1]节奏总纲!AN25</f>
        <v>5.9531894654204267</v>
      </c>
      <c r="AO25" s="12">
        <f>[1]节奏总纲!AO25</f>
        <v>4.4648920990653194</v>
      </c>
      <c r="AP25" s="12">
        <f>[1]节奏总纲!AP25</f>
        <v>2.9765947327102134</v>
      </c>
      <c r="AQ25" s="12">
        <f>[1]节奏总纲!AQ25</f>
        <v>1.4882973663551067</v>
      </c>
      <c r="AS25" s="8">
        <v>22</v>
      </c>
      <c r="AT25" s="12">
        <f>[1]节奏总纲!AT25</f>
        <v>1.1849843069926127</v>
      </c>
      <c r="AU25" s="12">
        <f>[1]节奏总纲!AU25</f>
        <v>0.94798744559408998</v>
      </c>
      <c r="AV25" s="12">
        <f>[1]节奏总纲!AV25</f>
        <v>0.71099058419556727</v>
      </c>
      <c r="AW25" s="12">
        <f>[1]节奏总纲!AW25</f>
        <v>0.47399372279704499</v>
      </c>
      <c r="AX25" s="12">
        <f>[1]节奏总纲!AX25</f>
        <v>0.2369968613985225</v>
      </c>
      <c r="AY25" s="8"/>
      <c r="AZ25" s="8">
        <v>22</v>
      </c>
      <c r="BA25" s="12">
        <f>[1]节奏总纲!BA25</f>
        <v>28.431345550275779</v>
      </c>
      <c r="BB25" s="12">
        <f>[1]节奏总纲!BB25</f>
        <v>29.80118336305917</v>
      </c>
      <c r="BC25" s="12">
        <f>[1]节奏总纲!BC25</f>
        <v>31.564373235931193</v>
      </c>
      <c r="BD25" s="12">
        <f>[1]节奏总纲!BD25</f>
        <v>34.09469189131628</v>
      </c>
      <c r="BE25" s="12">
        <f>[1]节奏总纲!BE25</f>
        <v>38.663818688865533</v>
      </c>
      <c r="BI25" s="7">
        <v>22</v>
      </c>
      <c r="BJ25" s="12">
        <f>[1]节奏总纲!BJ25</f>
        <v>1.5666666666666684</v>
      </c>
      <c r="BK25" s="12">
        <f>[1]节奏总纲!BK25</f>
        <v>1.5980000000000019</v>
      </c>
      <c r="BL25" s="12">
        <f>[1]节奏总纲!BL25</f>
        <v>1.6606666666666685</v>
      </c>
      <c r="BM25" s="12">
        <f>[1]节奏总纲!BM25</f>
        <v>1.7860000000000018</v>
      </c>
      <c r="BN25" s="12">
        <f>[1]节奏总纲!BN25</f>
        <v>2.1933333333333356</v>
      </c>
    </row>
    <row r="26" spans="2:66" x14ac:dyDescent="0.15">
      <c r="B26" s="12">
        <f>[1]节奏总纲!B26</f>
        <v>15</v>
      </c>
      <c r="C26" s="12">
        <f>[1]节奏总纲!C26</f>
        <v>3.5</v>
      </c>
      <c r="D26" s="12">
        <f>[1]节奏总纲!D26</f>
        <v>2</v>
      </c>
      <c r="F26" s="12">
        <f>[1]节奏总纲!F26</f>
        <v>24</v>
      </c>
      <c r="G26" s="12">
        <f>[1]节奏总纲!G26</f>
        <v>4.2780316430915768</v>
      </c>
      <c r="I26" s="12">
        <f>[1]节奏总纲!I26</f>
        <v>24</v>
      </c>
      <c r="J26" s="12">
        <f>[1]节奏总纲!J26</f>
        <v>10.47447102993563</v>
      </c>
      <c r="K26" s="12">
        <f>[1]节奏总纲!K26</f>
        <v>0.78</v>
      </c>
      <c r="N26" s="12">
        <f>[1]节奏总纲!N26</f>
        <v>33</v>
      </c>
      <c r="O26" s="8">
        <v>23</v>
      </c>
      <c r="P26" s="12">
        <f>[1]节奏总纲!P26</f>
        <v>3.9245776533796644</v>
      </c>
      <c r="Q26" s="12">
        <f>[1]节奏总纲!Q26</f>
        <v>3.4081032341949005</v>
      </c>
      <c r="R26" s="12">
        <f>[1]节奏总纲!R26</f>
        <v>2.8064654799317976</v>
      </c>
      <c r="S26" s="12">
        <f>[1]节奏总纲!S26</f>
        <v>2.0796336985258841</v>
      </c>
      <c r="T26" s="12">
        <f>[1]节奏总纲!T26</f>
        <v>1.1608900698697047</v>
      </c>
      <c r="V26" s="8">
        <v>23</v>
      </c>
      <c r="W26" s="12">
        <f>[1]节奏总纲!W26</f>
        <v>0.32978423339152485</v>
      </c>
      <c r="X26" s="12">
        <f>[1]节奏总纲!X26</f>
        <v>0.28386827288320848</v>
      </c>
      <c r="Y26" s="12">
        <f>[1]节奏总纲!Y26</f>
        <v>0.23151495319429305</v>
      </c>
      <c r="Z26" s="12">
        <f>[1]节奏总纲!Z26</f>
        <v>0.17187683053817859</v>
      </c>
      <c r="AA26" s="12">
        <f>[1]节奏总纲!AA26</f>
        <v>9.2157986107230805E-2</v>
      </c>
      <c r="AC26" s="8">
        <v>23</v>
      </c>
      <c r="AD26" s="12">
        <f>[1]节奏总纲!AD26</f>
        <v>45.845161563010116</v>
      </c>
      <c r="AE26" s="12">
        <f>[1]节奏总纲!AE26</f>
        <v>47.734594805743399</v>
      </c>
      <c r="AF26" s="12">
        <f>[1]节奏总纲!AF26</f>
        <v>50.503430607741265</v>
      </c>
      <c r="AG26" s="12">
        <f>[1]节奏总纲!AG26</f>
        <v>54.814188287451351</v>
      </c>
      <c r="AH26" s="12">
        <f>[1]节奏总纲!AH26</f>
        <v>63.182677965405439</v>
      </c>
      <c r="AL26" s="8">
        <v>23</v>
      </c>
      <c r="AM26" s="12">
        <f>[1]节奏总纲!AM26</f>
        <v>8.8355567243832152</v>
      </c>
      <c r="AN26" s="12">
        <f>[1]节奏总纲!AN26</f>
        <v>7.0684453795065725</v>
      </c>
      <c r="AO26" s="12">
        <f>[1]节奏总纲!AO26</f>
        <v>5.3013340346299289</v>
      </c>
      <c r="AP26" s="12">
        <f>[1]节奏总纲!AP26</f>
        <v>3.5342226897532862</v>
      </c>
      <c r="AQ26" s="12">
        <f>[1]节奏总纲!AQ26</f>
        <v>1.7671113448766431</v>
      </c>
      <c r="AS26" s="8">
        <v>23</v>
      </c>
      <c r="AT26" s="12">
        <f>[1]节奏总纲!AT26</f>
        <v>1.394069892607682</v>
      </c>
      <c r="AU26" s="12">
        <f>[1]节奏总纲!AU26</f>
        <v>1.1152559140861458</v>
      </c>
      <c r="AV26" s="12">
        <f>[1]节奏总纲!AV26</f>
        <v>0.83644193556460955</v>
      </c>
      <c r="AW26" s="12">
        <f>[1]节奏总纲!AW26</f>
        <v>0.55762795704307289</v>
      </c>
      <c r="AX26" s="12">
        <f>[1]节奏总纲!AX26</f>
        <v>0.27881397852153644</v>
      </c>
      <c r="AY26" s="8"/>
      <c r="AZ26" s="8">
        <v>23</v>
      </c>
      <c r="BA26" s="12">
        <f>[1]节奏总纲!BA26</f>
        <v>28.705435004691331</v>
      </c>
      <c r="BB26" s="12">
        <f>[1]节奏总纲!BB26</f>
        <v>30.079877315295377</v>
      </c>
      <c r="BC26" s="12">
        <f>[1]节奏总纲!BC26</f>
        <v>31.848636073084339</v>
      </c>
      <c r="BD26" s="12">
        <f>[1]节奏总纲!BD26</f>
        <v>34.360958982105608</v>
      </c>
      <c r="BE26" s="12">
        <f>[1]节奏总纲!BE26</f>
        <v>38.976971320055128</v>
      </c>
      <c r="BI26" s="7">
        <v>23</v>
      </c>
      <c r="BJ26" s="12">
        <f>[1]节奏总纲!BJ26</f>
        <v>1.6000000000000019</v>
      </c>
      <c r="BK26" s="12">
        <f>[1]节奏总纲!BK26</f>
        <v>1.6320000000000019</v>
      </c>
      <c r="BL26" s="12">
        <f>[1]节奏总纲!BL26</f>
        <v>1.6960000000000022</v>
      </c>
      <c r="BM26" s="12">
        <f>[1]节奏总纲!BM26</f>
        <v>1.8240000000000021</v>
      </c>
      <c r="BN26" s="12">
        <f>[1]节奏总纲!BN26</f>
        <v>2.2400000000000024</v>
      </c>
    </row>
    <row r="27" spans="2:66" x14ac:dyDescent="0.15">
      <c r="B27" s="12">
        <f>[1]节奏总纲!B27</f>
        <v>20</v>
      </c>
      <c r="C27" s="12">
        <f>[1]节奏总纲!C27</f>
        <v>7.5</v>
      </c>
      <c r="D27" s="12">
        <f>[1]节奏总纲!D27</f>
        <v>4</v>
      </c>
      <c r="F27" s="12">
        <f>[1]节奏总纲!F27</f>
        <v>25</v>
      </c>
      <c r="G27" s="12">
        <f>[1]节奏总纲!G27</f>
        <v>4.6568542494923806</v>
      </c>
      <c r="I27" s="12">
        <f>[1]节奏总纲!I27</f>
        <v>25</v>
      </c>
      <c r="J27" s="12">
        <f>[1]节奏总纲!J27</f>
        <v>12.4</v>
      </c>
      <c r="K27" s="12">
        <f>[1]节奏总纲!K27</f>
        <v>0.8</v>
      </c>
      <c r="N27" s="12">
        <f>[1]节奏总纲!N27</f>
        <v>34</v>
      </c>
      <c r="O27" s="8">
        <v>24</v>
      </c>
      <c r="P27" s="12">
        <f>[1]节奏总纲!P27</f>
        <v>4.2780316430915768</v>
      </c>
      <c r="Q27" s="12">
        <f>[1]节奏总纲!Q27</f>
        <v>3.7214597263253628</v>
      </c>
      <c r="R27" s="12">
        <f>[1]节奏总纲!R27</f>
        <v>3.0699155070825155</v>
      </c>
      <c r="S27" s="12">
        <f>[1]节奏总纲!S27</f>
        <v>2.2742016214674821</v>
      </c>
      <c r="T27" s="12">
        <f>[1]节奏总纲!T27</f>
        <v>1.2692919885052709</v>
      </c>
      <c r="V27" s="8">
        <v>24</v>
      </c>
      <c r="W27" s="12">
        <f>[1]节奏总纲!W27</f>
        <v>0.35345398971191244</v>
      </c>
      <c r="X27" s="12">
        <f>[1]节奏总纲!X27</f>
        <v>0.31335649213046235</v>
      </c>
      <c r="Y27" s="12">
        <f>[1]节奏总纲!Y27</f>
        <v>0.26345002715071786</v>
      </c>
      <c r="Z27" s="12">
        <f>[1]节奏总纲!Z27</f>
        <v>0.19456792294159797</v>
      </c>
      <c r="AA27" s="12">
        <f>[1]节奏总纲!AA27</f>
        <v>0.10840191863556625</v>
      </c>
      <c r="AC27" s="8">
        <v>24</v>
      </c>
      <c r="AD27" s="12">
        <f>[1]节奏总纲!AD27</f>
        <v>46.430041330048923</v>
      </c>
      <c r="AE27" s="12">
        <f>[1]节奏总纲!AE27</f>
        <v>48.330142263709867</v>
      </c>
      <c r="AF27" s="12">
        <f>[1]节奏总纲!AF27</f>
        <v>51.118578408701396</v>
      </c>
      <c r="AG27" s="12">
        <f>[1]节奏总纲!AG27</f>
        <v>55.44072585486321</v>
      </c>
      <c r="AH27" s="12">
        <f>[1]节奏总纲!AH27</f>
        <v>63.791742872142052</v>
      </c>
      <c r="AL27" s="8">
        <v>24</v>
      </c>
      <c r="AM27" s="12">
        <f>[1]节奏总纲!AM27</f>
        <v>10.47447102993563</v>
      </c>
      <c r="AN27" s="12">
        <f>[1]节奏总纲!AN27</f>
        <v>8.3795768239485042</v>
      </c>
      <c r="AO27" s="12">
        <f>[1]节奏总纲!AO27</f>
        <v>6.2846826179613782</v>
      </c>
      <c r="AP27" s="12">
        <f>[1]节奏总纲!AP27</f>
        <v>4.1897884119742521</v>
      </c>
      <c r="AQ27" s="12">
        <f>[1]节奏总纲!AQ27</f>
        <v>2.0948942059871261</v>
      </c>
      <c r="AS27" s="8">
        <v>24</v>
      </c>
      <c r="AT27" s="12">
        <f>[1]节奏总纲!AT27</f>
        <v>1.6389143055524151</v>
      </c>
      <c r="AU27" s="12">
        <f>[1]节奏总纲!AU27</f>
        <v>1.3111314444419317</v>
      </c>
      <c r="AV27" s="12">
        <f>[1]节奏总纲!AV27</f>
        <v>0.98334858333144926</v>
      </c>
      <c r="AW27" s="12">
        <f>[1]节奏总纲!AW27</f>
        <v>0.65556572222096587</v>
      </c>
      <c r="AX27" s="12">
        <f>[1]节奏总纲!AX27</f>
        <v>0.32778286111048294</v>
      </c>
      <c r="AY27" s="8"/>
      <c r="AZ27" s="8">
        <v>24</v>
      </c>
      <c r="BA27" s="12">
        <f>[1]节奏总纲!BA27</f>
        <v>28.979524459106884</v>
      </c>
      <c r="BB27" s="12">
        <f>[1]节奏总纲!BB27</f>
        <v>30.329493925593439</v>
      </c>
      <c r="BC27" s="12">
        <f>[1]节奏总纲!BC27</f>
        <v>32.113552950216736</v>
      </c>
      <c r="BD27" s="12">
        <f>[1]节奏总纲!BD27</f>
        <v>34.627226072894942</v>
      </c>
      <c r="BE27" s="12">
        <f>[1]节奏总纲!BE27</f>
        <v>39.250296194358178</v>
      </c>
      <c r="BI27" s="7">
        <v>24</v>
      </c>
      <c r="BJ27" s="12">
        <f>[1]节奏总纲!BJ27</f>
        <v>1.6333333333333353</v>
      </c>
      <c r="BK27" s="12">
        <f>[1]节奏总纲!BK27</f>
        <v>1.6660000000000021</v>
      </c>
      <c r="BL27" s="12">
        <f>[1]节奏总纲!BL27</f>
        <v>1.7313333333333356</v>
      </c>
      <c r="BM27" s="12">
        <f>[1]节奏总纲!BM27</f>
        <v>1.8620000000000021</v>
      </c>
      <c r="BN27" s="12">
        <f>[1]节奏总纲!BN27</f>
        <v>2.2866666666666693</v>
      </c>
    </row>
    <row r="28" spans="2:66" x14ac:dyDescent="0.15">
      <c r="B28" s="12">
        <f>[1]节奏总纲!B28</f>
        <v>25</v>
      </c>
      <c r="C28" s="12">
        <f>[1]节奏总纲!C28</f>
        <v>15.5</v>
      </c>
      <c r="D28" s="12">
        <f>[1]节奏总纲!D28</f>
        <v>8</v>
      </c>
      <c r="F28" s="12">
        <f>[1]节奏总纲!F28</f>
        <v>26</v>
      </c>
      <c r="G28" s="12">
        <f>[1]节奏总纲!G28</f>
        <v>5.062866266041592</v>
      </c>
      <c r="I28" s="12">
        <f>[1]节奏总纲!I28</f>
        <v>26</v>
      </c>
      <c r="J28" s="12">
        <f>[1]节奏总纲!J28</f>
        <v>14.6609224175611</v>
      </c>
      <c r="K28" s="12">
        <f>[1]节奏总纲!K28</f>
        <v>0.82</v>
      </c>
      <c r="N28" s="12">
        <f>[1]节奏总纲!N28</f>
        <v>35</v>
      </c>
      <c r="O28" s="8">
        <v>25</v>
      </c>
      <c r="P28" s="12">
        <f>[1]节奏总纲!P28</f>
        <v>4.6568542494923806</v>
      </c>
      <c r="Q28" s="12">
        <f>[1]节奏总纲!Q28</f>
        <v>4.054257309608067</v>
      </c>
      <c r="R28" s="12">
        <f>[1]节奏总纲!R28</f>
        <v>3.3445527219854276</v>
      </c>
      <c r="S28" s="12">
        <f>[1]节奏总纲!S28</f>
        <v>2.478377831579845</v>
      </c>
      <c r="T28" s="12">
        <f>[1]节奏总纲!T28</f>
        <v>1.3802915995495415</v>
      </c>
      <c r="V28" s="8">
        <v>25</v>
      </c>
      <c r="W28" s="12">
        <f>[1]节奏总纲!W28</f>
        <v>0.37882260640080379</v>
      </c>
      <c r="X28" s="12">
        <f>[1]节奏总纲!X28</f>
        <v>0.33279758328270415</v>
      </c>
      <c r="Y28" s="12">
        <f>[1]节奏总纲!Y28</f>
        <v>0.27463721490291215</v>
      </c>
      <c r="Z28" s="12">
        <f>[1]节奏总纲!Z28</f>
        <v>0.20417621011236298</v>
      </c>
      <c r="AA28" s="12">
        <f>[1]节奏总纲!AA28</f>
        <v>0.11099961104427059</v>
      </c>
      <c r="AC28" s="8">
        <v>25</v>
      </c>
      <c r="AD28" s="12">
        <f>[1]节奏总纲!AD28</f>
        <v>47.004247194324648</v>
      </c>
      <c r="AE28" s="12">
        <f>[1]节奏总纲!AE28</f>
        <v>48.904516930942819</v>
      </c>
      <c r="AF28" s="12">
        <f>[1]节奏总纲!AF28</f>
        <v>51.667220029142385</v>
      </c>
      <c r="AG28" s="12">
        <f>[1]节奏总纲!AG28</f>
        <v>56.05100027504308</v>
      </c>
      <c r="AH28" s="12">
        <f>[1]节奏总纲!AH28</f>
        <v>64.398425477456215</v>
      </c>
      <c r="AL28" s="8">
        <v>25</v>
      </c>
      <c r="AM28" s="12">
        <f>[1]节奏总纲!AM28</f>
        <v>12.4</v>
      </c>
      <c r="AN28" s="12">
        <f>[1]节奏总纲!AN28</f>
        <v>9.9200000000000017</v>
      </c>
      <c r="AO28" s="12">
        <f>[1]节奏总纲!AO28</f>
        <v>7.4399999999999995</v>
      </c>
      <c r="AP28" s="12">
        <f>[1]节奏总纲!AP28</f>
        <v>4.9600000000000009</v>
      </c>
      <c r="AQ28" s="12">
        <f>[1]节奏总纲!AQ28</f>
        <v>2.4800000000000004</v>
      </c>
      <c r="AS28" s="8">
        <v>25</v>
      </c>
      <c r="AT28" s="12">
        <f>[1]节奏总纲!AT28</f>
        <v>1.9255289700643701</v>
      </c>
      <c r="AU28" s="12">
        <f>[1]节奏总纲!AU28</f>
        <v>1.5404231760514975</v>
      </c>
      <c r="AV28" s="12">
        <f>[1]节奏总纲!AV28</f>
        <v>1.1553173820386213</v>
      </c>
      <c r="AW28" s="12">
        <f>[1]节奏总纲!AW28</f>
        <v>0.77021158802574874</v>
      </c>
      <c r="AX28" s="12">
        <f>[1]节奏总纲!AX28</f>
        <v>0.38510579401287437</v>
      </c>
      <c r="AY28" s="8"/>
      <c r="AZ28" s="8">
        <v>25</v>
      </c>
      <c r="BA28" s="12">
        <f>[1]节奏总纲!BA28</f>
        <v>29.216428548527322</v>
      </c>
      <c r="BB28" s="12">
        <f>[1]节奏总纲!BB28</f>
        <v>30.579110535891502</v>
      </c>
      <c r="BC28" s="12">
        <f>[1]节奏总纲!BC28</f>
        <v>32.356435933516131</v>
      </c>
      <c r="BD28" s="12">
        <f>[1]节奏总纲!BD28</f>
        <v>34.893493163684269</v>
      </c>
      <c r="BE28" s="12">
        <f>[1]节奏总纲!BE28</f>
        <v>39.520459727922798</v>
      </c>
      <c r="BI28" s="7">
        <v>25</v>
      </c>
      <c r="BJ28" s="12">
        <f>[1]节奏总纲!BJ28</f>
        <v>1.6666666666666687</v>
      </c>
      <c r="BK28" s="12">
        <f>[1]节奏总纲!BK28</f>
        <v>1.7000000000000022</v>
      </c>
      <c r="BL28" s="12">
        <f>[1]节奏总纲!BL28</f>
        <v>1.766666666666669</v>
      </c>
      <c r="BM28" s="12">
        <f>[1]节奏总纲!BM28</f>
        <v>1.9000000000000021</v>
      </c>
      <c r="BN28" s="12">
        <f>[1]节奏总纲!BN28</f>
        <v>2.3333333333333361</v>
      </c>
    </row>
    <row r="29" spans="2:66" x14ac:dyDescent="0.15">
      <c r="B29" s="12">
        <f>[1]节奏总纲!B29</f>
        <v>30</v>
      </c>
      <c r="C29" s="12">
        <f>[1]节奏总纲!C29</f>
        <v>31.5</v>
      </c>
      <c r="D29" s="12">
        <f>[1]节奏总纲!D29</f>
        <v>16</v>
      </c>
      <c r="F29" s="12">
        <f>[1]节奏总纲!F29</f>
        <v>27</v>
      </c>
      <c r="G29" s="12">
        <f>[1]节奏总纲!G29</f>
        <v>5.4980191708498847</v>
      </c>
      <c r="I29" s="12">
        <f>[1]节奏总纲!I29</f>
        <v>27</v>
      </c>
      <c r="J29" s="12">
        <f>[1]节奏总纲!J29</f>
        <v>17.314186320787698</v>
      </c>
      <c r="K29" s="12">
        <f>[1]节奏总纲!K29</f>
        <v>0.84</v>
      </c>
      <c r="N29" s="12">
        <f>[1]节奏总纲!N29</f>
        <v>36</v>
      </c>
      <c r="O29" s="8">
        <v>26</v>
      </c>
      <c r="P29" s="12">
        <f>[1]节奏总纲!P29</f>
        <v>5.062866266041592</v>
      </c>
      <c r="Q29" s="12">
        <f>[1]节奏总纲!Q29</f>
        <v>4.408743944469018</v>
      </c>
      <c r="R29" s="12">
        <f>[1]节奏总纲!R29</f>
        <v>3.63716312552428</v>
      </c>
      <c r="S29" s="12">
        <f>[1]节奏总纲!S29</f>
        <v>2.6914197070277099</v>
      </c>
      <c r="T29" s="12">
        <f>[1]节奏总纲!T29</f>
        <v>1.4996209880015197</v>
      </c>
      <c r="V29" s="8">
        <v>26</v>
      </c>
      <c r="W29" s="12">
        <f>[1]节奏总纲!W29</f>
        <v>0.40601201654921137</v>
      </c>
      <c r="X29" s="12">
        <f>[1]节奏总纲!X29</f>
        <v>0.354486634860951</v>
      </c>
      <c r="Y29" s="12">
        <f>[1]节奏总纲!Y29</f>
        <v>0.29261040353885237</v>
      </c>
      <c r="Z29" s="12">
        <f>[1]节奏总纲!Z29</f>
        <v>0.2130418754478649</v>
      </c>
      <c r="AA29" s="12">
        <f>[1]节奏总纲!AA29</f>
        <v>0.11932938845197816</v>
      </c>
      <c r="AC29" s="8">
        <v>26</v>
      </c>
      <c r="AD29" s="12">
        <f>[1]节奏总纲!AD29</f>
        <v>47.540284631526092</v>
      </c>
      <c r="AE29" s="12">
        <f>[1]节奏总纲!AE29</f>
        <v>49.446133440059114</v>
      </c>
      <c r="AF29" s="12">
        <f>[1]节奏总纲!AF29</f>
        <v>52.199341027338768</v>
      </c>
      <c r="AG29" s="12">
        <f>[1]节奏总纲!AG29</f>
        <v>56.621068614050692</v>
      </c>
      <c r="AH29" s="12">
        <f>[1]节奏总纲!AH29</f>
        <v>65.00344105132713</v>
      </c>
      <c r="AL29" s="8">
        <v>26</v>
      </c>
      <c r="AM29" s="12">
        <f>[1]节奏总纲!AM29</f>
        <v>14.6609224175611</v>
      </c>
      <c r="AN29" s="12">
        <f>[1]节奏总纲!AN29</f>
        <v>11.72873793404888</v>
      </c>
      <c r="AO29" s="12">
        <f>[1]节奏总纲!AO29</f>
        <v>8.7965534505366598</v>
      </c>
      <c r="AP29" s="12">
        <f>[1]节奏总纲!AP29</f>
        <v>5.8643689670244399</v>
      </c>
      <c r="AQ29" s="12">
        <f>[1]节奏总纲!AQ29</f>
        <v>2.9321844835122199</v>
      </c>
      <c r="AS29" s="8">
        <v>26</v>
      </c>
      <c r="AT29" s="12">
        <f>[1]节奏总纲!AT29</f>
        <v>2.2609224175610994</v>
      </c>
      <c r="AU29" s="12">
        <f>[1]节奏总纲!AU29</f>
        <v>1.8087379340488781</v>
      </c>
      <c r="AV29" s="12">
        <f>[1]节奏总纲!AV29</f>
        <v>1.3565534505366603</v>
      </c>
      <c r="AW29" s="12">
        <f>[1]节奏总纲!AW29</f>
        <v>0.90436896702443903</v>
      </c>
      <c r="AX29" s="12">
        <f>[1]节奏总纲!AX29</f>
        <v>0.45218448351221951</v>
      </c>
      <c r="AY29" s="8"/>
      <c r="AZ29" s="8">
        <v>26</v>
      </c>
      <c r="BA29" s="12">
        <f>[1]节奏总纲!BA29</f>
        <v>29.45033047434006</v>
      </c>
      <c r="BB29" s="12">
        <f>[1]节奏总纲!BB29</f>
        <v>30.828727146189561</v>
      </c>
      <c r="BC29" s="12">
        <f>[1]节奏总纲!BC29</f>
        <v>32.59931891681552</v>
      </c>
      <c r="BD29" s="12">
        <f>[1]节奏总纲!BD29</f>
        <v>35.146386283795508</v>
      </c>
      <c r="BE29" s="12">
        <f>[1]节奏总纲!BE29</f>
        <v>39.790623261487418</v>
      </c>
      <c r="BI29" s="7">
        <v>26</v>
      </c>
      <c r="BJ29" s="12">
        <f>[1]节奏总纲!BJ29</f>
        <v>1.7000000000000022</v>
      </c>
      <c r="BK29" s="12">
        <f>[1]节奏总纲!BK29</f>
        <v>1.7340000000000022</v>
      </c>
      <c r="BL29" s="12">
        <f>[1]节奏总纲!BL29</f>
        <v>1.8020000000000025</v>
      </c>
      <c r="BM29" s="12">
        <f>[1]节奏总纲!BM29</f>
        <v>1.9380000000000024</v>
      </c>
      <c r="BN29" s="12">
        <f>[1]节奏总纲!BN29</f>
        <v>2.380000000000003</v>
      </c>
    </row>
    <row r="30" spans="2:66" x14ac:dyDescent="0.15">
      <c r="B30" s="12">
        <f>[1]节奏总纲!B30</f>
        <v>35</v>
      </c>
      <c r="C30" s="12">
        <f>[1]节奏总纲!C30</f>
        <v>63.5</v>
      </c>
      <c r="D30" s="12">
        <f>[1]节奏总纲!D30</f>
        <v>32</v>
      </c>
      <c r="F30" s="12">
        <f>[1]节奏总纲!F30</f>
        <v>28</v>
      </c>
      <c r="G30" s="12">
        <f>[1]节奏总纲!G30</f>
        <v>5.9644045063689921</v>
      </c>
      <c r="I30" s="12">
        <f>[1]节奏总纲!I30</f>
        <v>28</v>
      </c>
      <c r="J30" s="12">
        <f>[1]节奏总纲!J30</f>
        <v>20.42625995518307</v>
      </c>
      <c r="K30" s="12">
        <f>[1]节奏总纲!K30</f>
        <v>0.86</v>
      </c>
      <c r="N30" s="12">
        <f>[1]节奏总纲!N30</f>
        <v>37</v>
      </c>
      <c r="O30" s="8">
        <v>27</v>
      </c>
      <c r="P30" s="12">
        <f>[1]节奏总纲!P30</f>
        <v>5.4980191708498847</v>
      </c>
      <c r="Q30" s="12">
        <f>[1]节奏总纲!Q30</f>
        <v>4.7882248958931646</v>
      </c>
      <c r="R30" s="12">
        <f>[1]节奏总纲!R30</f>
        <v>3.9492271704214725</v>
      </c>
      <c r="S30" s="12">
        <f>[1]节奏总纲!S30</f>
        <v>2.9205477835554587</v>
      </c>
      <c r="T30" s="12">
        <f>[1]节奏总纲!T30</f>
        <v>1.6290630803228208</v>
      </c>
      <c r="V30" s="8">
        <v>27</v>
      </c>
      <c r="W30" s="12">
        <f>[1]节奏总纲!W30</f>
        <v>0.43515290480829272</v>
      </c>
      <c r="X30" s="12">
        <f>[1]节奏总纲!X30</f>
        <v>0.37948095142414662</v>
      </c>
      <c r="Y30" s="12">
        <f>[1]节奏总纲!Y30</f>
        <v>0.31206404489719253</v>
      </c>
      <c r="Z30" s="12">
        <f>[1]节奏总纲!Z30</f>
        <v>0.2291280765277488</v>
      </c>
      <c r="AA30" s="12">
        <f>[1]节奏总纲!AA30</f>
        <v>0.12944209232130111</v>
      </c>
      <c r="AC30" s="8">
        <v>27</v>
      </c>
      <c r="AD30" s="12">
        <f>[1]节奏总纲!AD30</f>
        <v>48.071211008105138</v>
      </c>
      <c r="AE30" s="12">
        <f>[1]节奏总纲!AE30</f>
        <v>49.981218513907905</v>
      </c>
      <c r="AF30" s="12">
        <f>[1]节奏总纲!AF30</f>
        <v>52.705993248660157</v>
      </c>
      <c r="AG30" s="12">
        <f>[1]节奏总纲!AG30</f>
        <v>57.175765669822162</v>
      </c>
      <c r="AH30" s="12">
        <f>[1]节奏总纲!AH30</f>
        <v>65.541743280100334</v>
      </c>
      <c r="AL30" s="8">
        <v>27</v>
      </c>
      <c r="AM30" s="12">
        <f>[1]节奏总纲!AM30</f>
        <v>17.314186320787698</v>
      </c>
      <c r="AN30" s="12">
        <f>[1]节奏总纲!AN30</f>
        <v>13.851349056630159</v>
      </c>
      <c r="AO30" s="12">
        <f>[1]节奏总纲!AO30</f>
        <v>10.388511792472618</v>
      </c>
      <c r="AP30" s="12">
        <f>[1]节奏总纲!AP30</f>
        <v>6.9256745283150796</v>
      </c>
      <c r="AQ30" s="12">
        <f>[1]节奏总纲!AQ30</f>
        <v>3.4628372641575398</v>
      </c>
      <c r="AS30" s="8">
        <v>27</v>
      </c>
      <c r="AT30" s="12">
        <f>[1]节奏总纲!AT30</f>
        <v>2.6532639032265983</v>
      </c>
      <c r="AU30" s="12">
        <f>[1]节奏总纲!AU30</f>
        <v>2.1226111225812794</v>
      </c>
      <c r="AV30" s="12">
        <f>[1]节奏总纲!AV30</f>
        <v>1.5919583419359586</v>
      </c>
      <c r="AW30" s="12">
        <f>[1]节奏总纲!AW30</f>
        <v>1.0613055612906397</v>
      </c>
      <c r="AX30" s="12">
        <f>[1]节奏总纲!AX30</f>
        <v>0.53065278064531984</v>
      </c>
      <c r="AY30" s="8"/>
      <c r="AZ30" s="8">
        <v>27</v>
      </c>
      <c r="BA30" s="12">
        <f>[1]节奏总纲!BA30</f>
        <v>29.684232400152801</v>
      </c>
      <c r="BB30" s="12">
        <f>[1]节奏总纲!BB30</f>
        <v>31.066913270913183</v>
      </c>
      <c r="BC30" s="12">
        <f>[1]节奏总纲!BC30</f>
        <v>32.842201900114915</v>
      </c>
      <c r="BD30" s="12">
        <f>[1]节奏总纲!BD30</f>
        <v>35.390363423454687</v>
      </c>
      <c r="BE30" s="12">
        <f>[1]节奏总纲!BE30</f>
        <v>40.052446592012309</v>
      </c>
      <c r="BI30" s="7">
        <v>27</v>
      </c>
      <c r="BJ30" s="12">
        <f>[1]节奏总纲!BJ30</f>
        <v>1.7333333333333356</v>
      </c>
      <c r="BK30" s="12">
        <f>[1]节奏总纲!BK30</f>
        <v>1.7680000000000025</v>
      </c>
      <c r="BL30" s="12">
        <f>[1]节奏总纲!BL30</f>
        <v>1.8373333333333359</v>
      </c>
      <c r="BM30" s="12">
        <f>[1]节奏总纲!BM30</f>
        <v>1.9760000000000024</v>
      </c>
      <c r="BN30" s="12">
        <f>[1]节奏总纲!BN30</f>
        <v>2.4266666666666699</v>
      </c>
    </row>
    <row r="31" spans="2:66" x14ac:dyDescent="0.15">
      <c r="B31" s="12">
        <f>[1]节奏总纲!B31</f>
        <v>40</v>
      </c>
      <c r="C31" s="12">
        <f>[1]节奏总纲!C31</f>
        <v>127.5</v>
      </c>
      <c r="D31" s="12">
        <f>[1]节奏总纲!D31</f>
        <v>64</v>
      </c>
      <c r="F31" s="12">
        <f>[1]节奏总纲!F31</f>
        <v>29</v>
      </c>
      <c r="G31" s="12">
        <f>[1]节奏总纲!G31</f>
        <v>6.4642639322944575</v>
      </c>
      <c r="I31" s="12">
        <f>[1]节奏总纲!I31</f>
        <v>29</v>
      </c>
      <c r="J31" s="12">
        <f>[1]节奏总纲!J31</f>
        <v>24.074703862418847</v>
      </c>
      <c r="K31" s="12">
        <f>[1]节奏总纲!K31</f>
        <v>0.88</v>
      </c>
      <c r="N31" s="12">
        <f>[1]节奏总纲!N31</f>
        <v>38</v>
      </c>
      <c r="O31" s="8">
        <v>28</v>
      </c>
      <c r="P31" s="12">
        <f>[1]节奏总纲!P31</f>
        <v>5.9644045063689921</v>
      </c>
      <c r="Q31" s="12">
        <f>[1]节奏总纲!Q31</f>
        <v>5.1914176823435705</v>
      </c>
      <c r="R31" s="12">
        <f>[1]节奏总纲!R31</f>
        <v>4.2752851501652938</v>
      </c>
      <c r="S31" s="12">
        <f>[1]节奏总纲!S31</f>
        <v>3.1653094715300236</v>
      </c>
      <c r="T31" s="12">
        <f>[1]节奏总纲!T31</f>
        <v>1.7738139001941382</v>
      </c>
      <c r="V31" s="8">
        <v>28</v>
      </c>
      <c r="W31" s="12">
        <f>[1]节奏总纲!W31</f>
        <v>0.46638533551910744</v>
      </c>
      <c r="X31" s="12">
        <f>[1]节奏总纲!X31</f>
        <v>0.4031927864504059</v>
      </c>
      <c r="Y31" s="12">
        <f>[1]节奏总纲!Y31</f>
        <v>0.32605797974382122</v>
      </c>
      <c r="Z31" s="12">
        <f>[1]节奏总纲!Z31</f>
        <v>0.24476168797456488</v>
      </c>
      <c r="AA31" s="12">
        <f>[1]节奏总纲!AA31</f>
        <v>0.14475081987131744</v>
      </c>
      <c r="AC31" s="8">
        <v>28</v>
      </c>
      <c r="AD31" s="12">
        <f>[1]节奏总纲!AD31</f>
        <v>48.571351621712928</v>
      </c>
      <c r="AE31" s="12">
        <f>[1]节奏总纲!AE31</f>
        <v>50.509688493127967</v>
      </c>
      <c r="AF31" s="12">
        <f>[1]节奏总纲!AF31</f>
        <v>53.212684955585161</v>
      </c>
      <c r="AG31" s="12">
        <f>[1]节奏总纲!AG31</f>
        <v>57.699988965458331</v>
      </c>
      <c r="AH31" s="12">
        <f>[1]节奏总纲!AH31</f>
        <v>66.076345334947405</v>
      </c>
      <c r="AL31" s="8">
        <v>28</v>
      </c>
      <c r="AM31" s="12">
        <f>[1]节奏总纲!AM31</f>
        <v>20.42625995518307</v>
      </c>
      <c r="AN31" s="12">
        <f>[1]节奏总纲!AN31</f>
        <v>16.341007964146456</v>
      </c>
      <c r="AO31" s="12">
        <f>[1]节奏总纲!AO31</f>
        <v>12.255755973109842</v>
      </c>
      <c r="AP31" s="12">
        <f>[1]节奏总纲!AP31</f>
        <v>8.1705039820732281</v>
      </c>
      <c r="AQ31" s="12">
        <f>[1]节奏总纲!AQ31</f>
        <v>4.0852519910366141</v>
      </c>
      <c r="AS31" s="8">
        <v>28</v>
      </c>
      <c r="AT31" s="12">
        <f>[1]节奏总纲!AT31</f>
        <v>3.1120736343953723</v>
      </c>
      <c r="AU31" s="12">
        <f>[1]节奏总纲!AU31</f>
        <v>2.4896589075162971</v>
      </c>
      <c r="AV31" s="12">
        <f>[1]节奏总纲!AV31</f>
        <v>1.8672441806372237</v>
      </c>
      <c r="AW31" s="12">
        <f>[1]节奏总纲!AW31</f>
        <v>1.2448294537581486</v>
      </c>
      <c r="AX31" s="12">
        <f>[1]节奏总纲!AX31</f>
        <v>0.62241472687907429</v>
      </c>
      <c r="AY31" s="8"/>
      <c r="AZ31" s="8">
        <v>28</v>
      </c>
      <c r="BA31" s="12">
        <f>[1]节奏总纲!BA31</f>
        <v>29.918134325965539</v>
      </c>
      <c r="BB31" s="12">
        <f>[1]节奏总纲!BB31</f>
        <v>31.280110398778046</v>
      </c>
      <c r="BC31" s="12">
        <f>[1]节奏总纲!BC31</f>
        <v>33.072726100175295</v>
      </c>
      <c r="BD31" s="12">
        <f>[1]节奏总纲!BD31</f>
        <v>35.634340563113874</v>
      </c>
      <c r="BE31" s="12">
        <f>[1]节奏总纲!BE31</f>
        <v>40.28554255651148</v>
      </c>
      <c r="BI31" s="7">
        <v>28</v>
      </c>
      <c r="BJ31" s="12">
        <f>[1]节奏总纲!BJ31</f>
        <v>1.766666666666669</v>
      </c>
      <c r="BK31" s="12">
        <f>[1]节奏总纲!BK31</f>
        <v>1.8020000000000025</v>
      </c>
      <c r="BL31" s="12">
        <f>[1]节奏总纲!BL31</f>
        <v>1.8726666666666694</v>
      </c>
      <c r="BM31" s="12">
        <f>[1]节奏总纲!BM31</f>
        <v>2.0140000000000025</v>
      </c>
      <c r="BN31" s="12">
        <f>[1]节奏总纲!BN31</f>
        <v>2.4733333333333367</v>
      </c>
    </row>
    <row r="32" spans="2:66" x14ac:dyDescent="0.15">
      <c r="B32" s="12">
        <f>[1]节奏总纲!B32</f>
        <v>45</v>
      </c>
      <c r="C32" s="12">
        <f>[1]节奏总纲!C32</f>
        <v>255.5</v>
      </c>
      <c r="D32" s="12">
        <f>[1]节奏总纲!D32</f>
        <v>128</v>
      </c>
      <c r="F32" s="12">
        <f>[1]节奏总纲!F32</f>
        <v>30</v>
      </c>
      <c r="G32" s="12">
        <f>[1]节奏总纲!G32</f>
        <v>7</v>
      </c>
      <c r="I32" s="12">
        <f>[1]节奏总纲!I32</f>
        <v>30</v>
      </c>
      <c r="J32" s="12">
        <f>[1]节奏总纲!J32</f>
        <v>28.35</v>
      </c>
      <c r="K32" s="12">
        <f>[1]节奏总纲!K32</f>
        <v>0.9</v>
      </c>
      <c r="N32" s="12">
        <f>[1]节奏总纲!N32</f>
        <v>39</v>
      </c>
      <c r="O32" s="8">
        <v>29</v>
      </c>
      <c r="P32" s="12">
        <f>[1]节奏总纲!P32</f>
        <v>6.4642639322944575</v>
      </c>
      <c r="Q32" s="12">
        <f>[1]节奏总纲!Q32</f>
        <v>5.6323131642081607</v>
      </c>
      <c r="R32" s="12">
        <f>[1]节奏总纲!R32</f>
        <v>4.6510378992858623</v>
      </c>
      <c r="S32" s="12">
        <f>[1]节奏总纲!S32</f>
        <v>3.4532097926316991</v>
      </c>
      <c r="T32" s="12">
        <f>[1]节奏总纲!T32</f>
        <v>1.9366934741154194</v>
      </c>
      <c r="V32" s="8">
        <v>29</v>
      </c>
      <c r="W32" s="12">
        <f>[1]节奏总纲!W32</f>
        <v>0.49985942592546539</v>
      </c>
      <c r="X32" s="12">
        <f>[1]节奏总纲!X32</f>
        <v>0.44089548186459027</v>
      </c>
      <c r="Y32" s="12">
        <f>[1]节奏总纲!Y32</f>
        <v>0.37575274912056855</v>
      </c>
      <c r="Z32" s="12">
        <f>[1]节奏总纲!Z32</f>
        <v>0.28790032110167552</v>
      </c>
      <c r="AA32" s="12">
        <f>[1]节奏总纲!AA32</f>
        <v>0.16287957392128116</v>
      </c>
      <c r="AC32" s="8">
        <v>29</v>
      </c>
      <c r="AD32" s="12">
        <f>[1]节奏总纲!AD32</f>
        <v>49.066704614192936</v>
      </c>
      <c r="AE32" s="12">
        <f>[1]节奏总纲!AE32</f>
        <v>51.033341828534468</v>
      </c>
      <c r="AF32" s="12">
        <f>[1]节奏总纲!AF32</f>
        <v>53.719431255885922</v>
      </c>
      <c r="AG32" s="12">
        <f>[1]节奏总纲!AG32</f>
        <v>58.210135614815364</v>
      </c>
      <c r="AH32" s="12">
        <f>[1]节奏总纲!AH32</f>
        <v>66.589764070576265</v>
      </c>
      <c r="AL32" s="8">
        <v>29</v>
      </c>
      <c r="AM32" s="12">
        <f>[1]节奏总纲!AM32</f>
        <v>24.074703862418847</v>
      </c>
      <c r="AN32" s="12">
        <f>[1]节奏总纲!AN32</f>
        <v>19.259763089935078</v>
      </c>
      <c r="AO32" s="12">
        <f>[1]节奏总纲!AO32</f>
        <v>14.444822317451308</v>
      </c>
      <c r="AP32" s="12">
        <f>[1]节奏总纲!AP32</f>
        <v>9.6298815449675388</v>
      </c>
      <c r="AQ32" s="12">
        <f>[1]节奏总纲!AQ32</f>
        <v>4.8149407724837694</v>
      </c>
      <c r="AS32" s="8">
        <v>29</v>
      </c>
      <c r="AT32" s="12">
        <f>[1]节奏总纲!AT32</f>
        <v>3.6484439072357766</v>
      </c>
      <c r="AU32" s="12">
        <f>[1]节奏总纲!AU32</f>
        <v>2.9187551257886213</v>
      </c>
      <c r="AV32" s="12">
        <f>[1]节奏总纲!AV32</f>
        <v>2.189066344341466</v>
      </c>
      <c r="AW32" s="12">
        <f>[1]节奏总纲!AW32</f>
        <v>1.4593775628943106</v>
      </c>
      <c r="AX32" s="12">
        <f>[1]节奏总纲!AX32</f>
        <v>0.72968878144715532</v>
      </c>
      <c r="AY32" s="8"/>
      <c r="AZ32" s="8">
        <v>29</v>
      </c>
      <c r="BA32" s="12">
        <f>[1]节奏总纲!BA32</f>
        <v>30.12980063735499</v>
      </c>
      <c r="BB32" s="12">
        <f>[1]节奏总纲!BB32</f>
        <v>31.493307526642905</v>
      </c>
      <c r="BC32" s="12">
        <f>[1]节奏总纲!BC32</f>
        <v>33.280329748032408</v>
      </c>
      <c r="BD32" s="12">
        <f>[1]节奏总纲!BD32</f>
        <v>35.878317702773053</v>
      </c>
      <c r="BE32" s="12">
        <f>[1]节奏总纲!BE32</f>
        <v>40.518638521010644</v>
      </c>
      <c r="BI32" s="7">
        <v>29</v>
      </c>
      <c r="BJ32" s="12">
        <f>[1]节奏总纲!BJ32</f>
        <v>1.8000000000000025</v>
      </c>
      <c r="BK32" s="12">
        <f>[1]节奏总纲!BK32</f>
        <v>1.8360000000000025</v>
      </c>
      <c r="BL32" s="12">
        <f>[1]节奏总纲!BL32</f>
        <v>1.9080000000000028</v>
      </c>
      <c r="BM32" s="12">
        <f>[1]节奏总纲!BM32</f>
        <v>2.0520000000000027</v>
      </c>
      <c r="BN32" s="12">
        <f>[1]节奏总纲!BN32</f>
        <v>2.5200000000000031</v>
      </c>
    </row>
    <row r="33" spans="2:66" x14ac:dyDescent="0.15">
      <c r="B33" s="12">
        <f>[1]节奏总纲!B33</f>
        <v>50</v>
      </c>
      <c r="C33" s="12">
        <f>[1]节奏总纲!C33</f>
        <v>511.5</v>
      </c>
      <c r="D33" s="12">
        <f>[1]节奏总纲!D33</f>
        <v>256</v>
      </c>
      <c r="F33" s="12">
        <f>[1]节奏总纲!F33</f>
        <v>31</v>
      </c>
      <c r="G33" s="12">
        <f>[1]节奏总纲!G33</f>
        <v>7.5741877002903433</v>
      </c>
      <c r="I33" s="12">
        <f>[1]节奏总纲!I33</f>
        <v>31</v>
      </c>
      <c r="J33" s="12">
        <f>[1]节奏总纲!J33</f>
        <v>33.357679571112705</v>
      </c>
      <c r="K33" s="12">
        <f>[1]节奏总纲!K33</f>
        <v>0.92</v>
      </c>
      <c r="N33" s="12">
        <f>[1]节奏总纲!N33</f>
        <v>40</v>
      </c>
      <c r="O33" s="8">
        <v>30</v>
      </c>
      <c r="P33" s="12">
        <f>[1]节奏总纲!P33</f>
        <v>7</v>
      </c>
      <c r="Q33" s="12">
        <f>[1]节奏总纲!Q33</f>
        <v>6.1025999999999998</v>
      </c>
      <c r="R33" s="12">
        <f>[1]节奏总纲!R33</f>
        <v>5.0421000000000005</v>
      </c>
      <c r="S33" s="12">
        <f>[1]节奏总纲!S33</f>
        <v>3.7428999999999997</v>
      </c>
      <c r="T33" s="12">
        <f>[1]节奏总纲!T33</f>
        <v>2.1006999999999998</v>
      </c>
      <c r="V33" s="8">
        <v>30</v>
      </c>
      <c r="W33" s="12">
        <f>[1]节奏总纲!W33</f>
        <v>0.5357360677055425</v>
      </c>
      <c r="X33" s="12">
        <f>[1]节奏总纲!X33</f>
        <v>0.47028683579183905</v>
      </c>
      <c r="Y33" s="12">
        <f>[1]节奏总纲!Y33</f>
        <v>0.39106210071413816</v>
      </c>
      <c r="Z33" s="12">
        <f>[1]节奏总纲!Z33</f>
        <v>0.28969020736830053</v>
      </c>
      <c r="AA33" s="12">
        <f>[1]节奏总纲!AA33</f>
        <v>0.16400652588458042</v>
      </c>
      <c r="AC33" s="8">
        <v>30</v>
      </c>
      <c r="AD33" s="12">
        <f>[1]节奏总纲!AD33</f>
        <v>49.533352307096472</v>
      </c>
      <c r="AE33" s="12">
        <f>[1]节奏总纲!AE33</f>
        <v>51.497823295559343</v>
      </c>
      <c r="AF33" s="12">
        <f>[1]节奏总纲!AF33</f>
        <v>54.213705787583436</v>
      </c>
      <c r="AG33" s="12">
        <f>[1]节奏总纲!AG33</f>
        <v>58.701446767877648</v>
      </c>
      <c r="AH33" s="12">
        <f>[1]节奏总纲!AH33</f>
        <v>67.097551508592701</v>
      </c>
      <c r="AL33" s="8">
        <v>30</v>
      </c>
      <c r="AM33" s="12">
        <f>[1]节奏总纲!AM33</f>
        <v>28.35</v>
      </c>
      <c r="AN33" s="12">
        <f>[1]节奏总纲!AN33</f>
        <v>22.680000000000003</v>
      </c>
      <c r="AO33" s="12">
        <f>[1]节奏总纲!AO33</f>
        <v>17.010000000000002</v>
      </c>
      <c r="AP33" s="12">
        <f>[1]节奏总纲!AP33</f>
        <v>11.340000000000002</v>
      </c>
      <c r="AQ33" s="12">
        <f>[1]节奏总纲!AQ33</f>
        <v>5.6700000000000008</v>
      </c>
      <c r="AS33" s="8">
        <v>30</v>
      </c>
      <c r="AT33" s="12">
        <f>[1]节奏总纲!AT33</f>
        <v>4.2752961375811545</v>
      </c>
      <c r="AU33" s="12">
        <f>[1]节奏总纲!AU33</f>
        <v>3.4202369100649257</v>
      </c>
      <c r="AV33" s="12">
        <f>[1]节奏总纲!AV33</f>
        <v>2.5651776825486934</v>
      </c>
      <c r="AW33" s="12">
        <f>[1]节奏总纲!AW33</f>
        <v>1.7101184550324628</v>
      </c>
      <c r="AX33" s="12">
        <f>[1]节奏总纲!AX33</f>
        <v>0.85505922751623142</v>
      </c>
      <c r="AY33" s="8"/>
      <c r="AZ33" s="8">
        <v>30</v>
      </c>
      <c r="BA33" s="12">
        <f>[1]节奏总纲!BA33</f>
        <v>30.329493925593439</v>
      </c>
      <c r="BB33" s="12">
        <f>[1]节奏总纲!BB33</f>
        <v>31.706504654507764</v>
      </c>
      <c r="BC33" s="12">
        <f>[1]节奏总纲!BC33</f>
        <v>33.487933395889513</v>
      </c>
      <c r="BD33" s="12">
        <f>[1]节奏总纲!BD33</f>
        <v>36.105477566569242</v>
      </c>
      <c r="BE33" s="12">
        <f>[1]节奏总纲!BE33</f>
        <v>40.751734485509814</v>
      </c>
      <c r="BI33" s="7">
        <v>30</v>
      </c>
      <c r="BJ33" s="12">
        <f>[1]节奏总纲!BJ33</f>
        <v>1.8333333333333359</v>
      </c>
      <c r="BK33" s="12">
        <f>[1]节奏总纲!BK33</f>
        <v>1.8700000000000028</v>
      </c>
      <c r="BL33" s="12">
        <f>[1]节奏总纲!BL33</f>
        <v>1.9433333333333362</v>
      </c>
      <c r="BM33" s="12">
        <f>[1]节奏总纲!BM33</f>
        <v>2.090000000000003</v>
      </c>
      <c r="BN33" s="12">
        <f>[1]节奏总纲!BN33</f>
        <v>2.56666666666667</v>
      </c>
    </row>
    <row r="34" spans="2:66" x14ac:dyDescent="0.15">
      <c r="B34" s="12">
        <f>[1]节奏总纲!B34</f>
        <v>55</v>
      </c>
      <c r="C34" s="12">
        <f>[1]节奏总纲!C34</f>
        <v>1023.5</v>
      </c>
      <c r="D34" s="12">
        <f>[1]节奏总纲!D34</f>
        <v>512</v>
      </c>
      <c r="F34" s="12">
        <f>[1]节奏总纲!F34</f>
        <v>32</v>
      </c>
      <c r="G34" s="12">
        <f>[1]节奏总纲!G34</f>
        <v>8.189586839976279</v>
      </c>
      <c r="I34" s="12">
        <f>[1]节奏总纲!I34</f>
        <v>32</v>
      </c>
      <c r="J34" s="12">
        <f>[1]节奏总纲!J34</f>
        <v>39.220797956048642</v>
      </c>
      <c r="K34" s="12">
        <f>[1]节奏总纲!K34</f>
        <v>0.94</v>
      </c>
      <c r="N34" s="12">
        <f>[1]节奏总纲!N34</f>
        <v>41</v>
      </c>
      <c r="O34" s="8">
        <v>31</v>
      </c>
      <c r="P34" s="12">
        <f>[1]节奏总纲!P34</f>
        <v>7.5741877002903433</v>
      </c>
      <c r="Q34" s="12">
        <f>[1]节奏总纲!Q34</f>
        <v>6.6115084435834408</v>
      </c>
      <c r="R34" s="12">
        <f>[1]节奏总纲!R34</f>
        <v>5.4632615882194253</v>
      </c>
      <c r="S34" s="12">
        <f>[1]节奏总纲!S34</f>
        <v>4.052190419655334</v>
      </c>
      <c r="T34" s="12">
        <f>[1]节奏总纲!T34</f>
        <v>2.2783156602473356</v>
      </c>
      <c r="V34" s="8">
        <v>31</v>
      </c>
      <c r="W34" s="12">
        <f>[1]节奏总纲!W34</f>
        <v>0.57418770029034327</v>
      </c>
      <c r="X34" s="12">
        <f>[1]节奏总纲!X34</f>
        <v>0.50890844358344101</v>
      </c>
      <c r="Y34" s="12">
        <f>[1]节奏总纲!Y34</f>
        <v>0.42116158821942484</v>
      </c>
      <c r="Z34" s="12">
        <f>[1]节奏总纲!Z34</f>
        <v>0.30929041965533433</v>
      </c>
      <c r="AA34" s="12">
        <f>[1]节奏总纲!AA34</f>
        <v>0.17761566024733577</v>
      </c>
      <c r="AC34" s="8">
        <v>31</v>
      </c>
      <c r="AD34" s="12">
        <f>[1]节奏总纲!AD34</f>
        <v>50</v>
      </c>
      <c r="AE34" s="12">
        <f>[1]节奏总纲!AE34</f>
        <v>51.96230476258421</v>
      </c>
      <c r="AF34" s="12">
        <f>[1]节奏总纲!AF34</f>
        <v>54.692509339255828</v>
      </c>
      <c r="AG34" s="12">
        <f>[1]节奏总纲!AG34</f>
        <v>59.178112178215827</v>
      </c>
      <c r="AH34" s="12">
        <f>[1]节奏总纲!AH34</f>
        <v>67.582949939226467</v>
      </c>
      <c r="AL34" s="8">
        <v>31</v>
      </c>
      <c r="AM34" s="12">
        <f>[1]节奏总纲!AM34</f>
        <v>33.357679571112705</v>
      </c>
      <c r="AN34" s="12">
        <f>[1]节奏总纲!AN34</f>
        <v>26.686143656890167</v>
      </c>
      <c r="AO34" s="12">
        <f>[1]节奏总纲!AO34</f>
        <v>20.014607742667621</v>
      </c>
      <c r="AP34" s="12">
        <f>[1]节奏总纲!AP34</f>
        <v>13.343071828445083</v>
      </c>
      <c r="AQ34" s="12">
        <f>[1]节奏总纲!AQ34</f>
        <v>6.6715359142225417</v>
      </c>
      <c r="AS34" s="8">
        <v>31</v>
      </c>
      <c r="AT34" s="12">
        <f>[1]节奏总纲!AT34</f>
        <v>5.0076795711127033</v>
      </c>
      <c r="AU34" s="12">
        <f>[1]节奏总纲!AU34</f>
        <v>4.0061436568901634</v>
      </c>
      <c r="AV34" s="12">
        <f>[1]节奏总纲!AV34</f>
        <v>3.0046077426676199</v>
      </c>
      <c r="AW34" s="12">
        <f>[1]节奏总纲!AW34</f>
        <v>2.0030718284450817</v>
      </c>
      <c r="AX34" s="12">
        <f>[1]节奏总纲!AX34</f>
        <v>1.0015359142225408</v>
      </c>
      <c r="AY34" s="8"/>
      <c r="AZ34" s="8">
        <v>31</v>
      </c>
      <c r="BA34" s="12">
        <f>[1]节奏总纲!BA34</f>
        <v>30.529187213831889</v>
      </c>
      <c r="BB34" s="12">
        <f>[1]节奏总纲!BB34</f>
        <v>31.919701782372627</v>
      </c>
      <c r="BC34" s="12">
        <f>[1]节奏总纲!BC34</f>
        <v>33.695537043746626</v>
      </c>
      <c r="BD34" s="12">
        <f>[1]节奏总纲!BD34</f>
        <v>36.315904388158508</v>
      </c>
      <c r="BE34" s="12">
        <f>[1]节奏总纲!BE34</f>
        <v>40.984830450008978</v>
      </c>
      <c r="BI34" s="7">
        <v>31</v>
      </c>
      <c r="BJ34" s="12">
        <f>[1]节奏总纲!BJ34</f>
        <v>1.8666666666666694</v>
      </c>
      <c r="BK34" s="12">
        <f>[1]节奏总纲!BK34</f>
        <v>1.9040000000000028</v>
      </c>
      <c r="BL34" s="12">
        <f>[1]节奏总纲!BL34</f>
        <v>1.9786666666666697</v>
      </c>
      <c r="BM34" s="12">
        <f>[1]节奏总纲!BM34</f>
        <v>2.1280000000000028</v>
      </c>
      <c r="BN34" s="12">
        <f>[1]节奏总纲!BN34</f>
        <v>2.6133333333333368</v>
      </c>
    </row>
    <row r="35" spans="2:66" x14ac:dyDescent="0.15">
      <c r="B35" s="12">
        <f>[1]节奏总纲!B35</f>
        <v>60</v>
      </c>
      <c r="C35" s="12">
        <f>[1]节奏总纲!C35</f>
        <v>2047.5</v>
      </c>
      <c r="D35" s="12">
        <f>[1]节奏总纲!D35</f>
        <v>1024</v>
      </c>
      <c r="F35" s="12">
        <f>[1]节奏总纲!F35</f>
        <v>33</v>
      </c>
      <c r="G35" s="12">
        <f>[1]节奏总纲!G35</f>
        <v>8.8491553067593287</v>
      </c>
      <c r="I35" s="12">
        <f>[1]节奏总纲!I35</f>
        <v>33</v>
      </c>
      <c r="J35" s="12">
        <f>[1]节奏总纲!J35</f>
        <v>46.082812923199413</v>
      </c>
      <c r="K35" s="12">
        <f>[1]节奏总纲!K35</f>
        <v>0.96</v>
      </c>
      <c r="N35" s="12">
        <f>[1]节奏总纲!N35</f>
        <v>42</v>
      </c>
      <c r="O35" s="8">
        <v>32</v>
      </c>
      <c r="P35" s="12">
        <f>[1]节奏总纲!P35</f>
        <v>8.189586839976279</v>
      </c>
      <c r="Q35" s="12">
        <f>[1]节奏总纲!Q35</f>
        <v>7.1519661873512845</v>
      </c>
      <c r="R35" s="12">
        <f>[1]节奏总纲!R35</f>
        <v>5.906330028990892</v>
      </c>
      <c r="S35" s="12">
        <f>[1]节奏总纲!S35</f>
        <v>4.3855237528072974</v>
      </c>
      <c r="T35" s="12">
        <f>[1]节奏总纲!T35</f>
        <v>2.46506563883286</v>
      </c>
      <c r="V35" s="8">
        <v>32</v>
      </c>
      <c r="W35" s="12">
        <f>[1]节奏总纲!W35</f>
        <v>0.61539913968593574</v>
      </c>
      <c r="X35" s="12">
        <f>[1]节奏总纲!X35</f>
        <v>0.54045774376784372</v>
      </c>
      <c r="Y35" s="12">
        <f>[1]节奏总纲!Y35</f>
        <v>0.44306844077146668</v>
      </c>
      <c r="Z35" s="12">
        <f>[1]节奏总纲!Z35</f>
        <v>0.33333333315196345</v>
      </c>
      <c r="AA35" s="12">
        <f>[1]节奏总纲!AA35</f>
        <v>0.18674997858552445</v>
      </c>
      <c r="AC35" s="8">
        <v>32</v>
      </c>
      <c r="AD35" s="12">
        <f>[1]节奏总纲!AD35</f>
        <v>50.435397692903535</v>
      </c>
      <c r="AE35" s="12">
        <f>[1]节奏总纲!AE35</f>
        <v>52.391506955233744</v>
      </c>
      <c r="AF35" s="12">
        <f>[1]节奏总纲!AF35</f>
        <v>55.159275389027101</v>
      </c>
      <c r="AG35" s="12">
        <f>[1]节奏总纲!AG35</f>
        <v>59.632093520341421</v>
      </c>
      <c r="AH35" s="12">
        <f>[1]节奏总纲!AH35</f>
        <v>68.063981730538742</v>
      </c>
      <c r="AL35" s="8">
        <v>32</v>
      </c>
      <c r="AM35" s="12">
        <f>[1]节奏总纲!AM35</f>
        <v>39.220797956048642</v>
      </c>
      <c r="AN35" s="12">
        <f>[1]节奏总纲!AN35</f>
        <v>31.376638364838914</v>
      </c>
      <c r="AO35" s="12">
        <f>[1]节奏总纲!AO35</f>
        <v>23.532478773629183</v>
      </c>
      <c r="AP35" s="12">
        <f>[1]节奏总纲!AP35</f>
        <v>15.688319182419457</v>
      </c>
      <c r="AQ35" s="12">
        <f>[1]节奏总纲!AQ35</f>
        <v>7.8441595912097286</v>
      </c>
      <c r="AS35" s="8">
        <v>32</v>
      </c>
      <c r="AT35" s="12">
        <f>[1]节奏总纲!AT35</f>
        <v>5.8631183849359374</v>
      </c>
      <c r="AU35" s="12">
        <f>[1]节奏总纲!AU35</f>
        <v>4.6904947079487478</v>
      </c>
      <c r="AV35" s="12">
        <f>[1]节奏总纲!AV35</f>
        <v>3.5178710309615617</v>
      </c>
      <c r="AW35" s="12">
        <f>[1]节奏总纲!AW35</f>
        <v>2.3452473539743739</v>
      </c>
      <c r="AX35" s="12">
        <f>[1]节奏总纲!AX35</f>
        <v>1.1726236769871869</v>
      </c>
      <c r="AY35" s="8"/>
      <c r="AZ35" s="8">
        <v>32</v>
      </c>
      <c r="BA35" s="12">
        <f>[1]节奏总纲!BA35</f>
        <v>30.728880502070336</v>
      </c>
      <c r="BB35" s="12">
        <f>[1]节奏总纲!BB35</f>
        <v>32.113552950216736</v>
      </c>
      <c r="BC35" s="12">
        <f>[1]节奏总纲!BC35</f>
        <v>33.903140691603731</v>
      </c>
      <c r="BD35" s="12">
        <f>[1]节奏总纲!BD35</f>
        <v>36.526331209747774</v>
      </c>
      <c r="BE35" s="12">
        <f>[1]节奏总纲!BE35</f>
        <v>41.188041754455355</v>
      </c>
      <c r="BI35" s="7">
        <v>32</v>
      </c>
      <c r="BJ35" s="12">
        <f>[1]节奏总纲!BJ35</f>
        <v>1.9000000000000028</v>
      </c>
      <c r="BK35" s="12">
        <f>[1]节奏总纲!BK35</f>
        <v>1.9380000000000028</v>
      </c>
      <c r="BL35" s="12">
        <f>[1]节奏总纲!BL35</f>
        <v>2.0140000000000029</v>
      </c>
      <c r="BM35" s="12">
        <f>[1]节奏总纲!BM35</f>
        <v>2.166000000000003</v>
      </c>
      <c r="BN35" s="12">
        <f>[1]节奏总纲!BN35</f>
        <v>2.6600000000000037</v>
      </c>
    </row>
    <row r="36" spans="2:66" x14ac:dyDescent="0.15">
      <c r="F36" s="12">
        <f>[1]节奏总纲!F36</f>
        <v>34</v>
      </c>
      <c r="G36" s="12">
        <f>[1]节奏总纲!G36</f>
        <v>9.5560632861831518</v>
      </c>
      <c r="I36" s="12">
        <f>[1]节奏总纲!I36</f>
        <v>34</v>
      </c>
      <c r="J36" s="12">
        <f>[1]节奏总纲!J36</f>
        <v>54.110931329932889</v>
      </c>
      <c r="K36" s="12">
        <f>[1]节奏总纲!K36</f>
        <v>0.98</v>
      </c>
      <c r="N36" s="12">
        <f>[1]节奏总纲!N36</f>
        <v>43</v>
      </c>
      <c r="O36" s="8">
        <v>33</v>
      </c>
      <c r="P36" s="12">
        <f>[1]节奏总纲!P36</f>
        <v>8.8491553067593287</v>
      </c>
      <c r="Q36" s="12">
        <f>[1]节奏总纲!Q36</f>
        <v>7.7120388498407557</v>
      </c>
      <c r="R36" s="12">
        <f>[1]节奏总纲!R36</f>
        <v>6.3696219898053652</v>
      </c>
      <c r="S36" s="12">
        <f>[1]节奏总纲!S36</f>
        <v>4.736067920177593</v>
      </c>
      <c r="T36" s="12">
        <f>[1]节奏总纲!T36</f>
        <v>2.6627108318038819</v>
      </c>
      <c r="V36" s="8">
        <v>33</v>
      </c>
      <c r="W36" s="12">
        <f>[1]节奏总纲!W36</f>
        <v>0.6595684667830497</v>
      </c>
      <c r="X36" s="12">
        <f>[1]节奏总纲!X36</f>
        <v>0.56007266248947118</v>
      </c>
      <c r="Y36" s="12">
        <f>[1]节奏总纲!Y36</f>
        <v>0.46329196081447321</v>
      </c>
      <c r="Z36" s="12">
        <f>[1]节奏总纲!Z36</f>
        <v>0.35054416737029559</v>
      </c>
      <c r="AA36" s="12">
        <f>[1]节奏总纲!AA36</f>
        <v>0.1976451929710219</v>
      </c>
      <c r="AC36" s="8">
        <v>33</v>
      </c>
      <c r="AD36" s="12">
        <f>[1]节奏总纲!AD36</f>
        <v>50.870795385807064</v>
      </c>
      <c r="AE36" s="12">
        <f>[1]节奏总纲!AE36</f>
        <v>52.81759316022675</v>
      </c>
      <c r="AF36" s="12">
        <f>[1]节奏总纲!AF36</f>
        <v>55.604435245632025</v>
      </c>
      <c r="AG36" s="12">
        <f>[1]节奏总纲!AG36</f>
        <v>60.078368706270226</v>
      </c>
      <c r="AH36" s="12">
        <f>[1]节奏总纲!AH36</f>
        <v>68.518369035696878</v>
      </c>
      <c r="AL36" s="8">
        <v>33</v>
      </c>
      <c r="AM36" s="12">
        <f>[1]节奏总纲!AM36</f>
        <v>46.082812923199413</v>
      </c>
      <c r="AN36" s="12">
        <f>[1]节奏总纲!AN36</f>
        <v>36.866250338559531</v>
      </c>
      <c r="AO36" s="12">
        <f>[1]节奏总纲!AO36</f>
        <v>27.649687753919647</v>
      </c>
      <c r="AP36" s="12">
        <f>[1]节奏总纲!AP36</f>
        <v>18.433125169279766</v>
      </c>
      <c r="AQ36" s="12">
        <f>[1]节奏总纲!AQ36</f>
        <v>9.2165625846398829</v>
      </c>
      <c r="AS36" s="8">
        <v>33</v>
      </c>
      <c r="AT36" s="12">
        <f>[1]节奏总纲!AT36</f>
        <v>6.8620149671507704</v>
      </c>
      <c r="AU36" s="12">
        <f>[1]节奏总纲!AU36</f>
        <v>5.489611973720617</v>
      </c>
      <c r="AV36" s="12">
        <f>[1]节奏总纲!AV36</f>
        <v>4.1172089802904637</v>
      </c>
      <c r="AW36" s="12">
        <f>[1]节奏总纲!AW36</f>
        <v>2.7448059868603085</v>
      </c>
      <c r="AX36" s="12">
        <f>[1]节奏总纲!AX36</f>
        <v>1.3724029934301543</v>
      </c>
      <c r="AY36" s="8"/>
      <c r="AZ36" s="8">
        <v>33</v>
      </c>
      <c r="BA36" s="12">
        <f>[1]节奏总纲!BA36</f>
        <v>30.928573790308786</v>
      </c>
      <c r="BB36" s="12">
        <f>[1]节奏总纲!BB36</f>
        <v>32.295715187691279</v>
      </c>
      <c r="BC36" s="12">
        <f>[1]节奏总纲!BC36</f>
        <v>34.09469189131628</v>
      </c>
      <c r="BD36" s="12">
        <f>[1]节奏总纲!BD36</f>
        <v>36.73675803133704</v>
      </c>
      <c r="BE36" s="12">
        <f>[1]节奏总纲!BE36</f>
        <v>41.389172829914081</v>
      </c>
      <c r="BI36" s="7">
        <v>33</v>
      </c>
      <c r="BJ36" s="12">
        <f>[1]节奏总纲!BJ36</f>
        <v>1.9333333333333362</v>
      </c>
      <c r="BK36" s="12">
        <f>[1]节奏总纲!BK36</f>
        <v>1.9720000000000031</v>
      </c>
      <c r="BL36" s="12">
        <f>[1]节奏总纲!BL36</f>
        <v>2.0493333333333363</v>
      </c>
      <c r="BM36" s="12">
        <f>[1]节奏总纲!BM36</f>
        <v>2.2040000000000033</v>
      </c>
      <c r="BN36" s="12">
        <f>[1]节奏总纲!BN36</f>
        <v>2.7066666666666706</v>
      </c>
    </row>
    <row r="37" spans="2:66" x14ac:dyDescent="0.15">
      <c r="F37" s="12">
        <f>[1]节奏总纲!F37</f>
        <v>35</v>
      </c>
      <c r="G37" s="12">
        <f>[1]节奏总纲!G37</f>
        <v>10.313708498984759</v>
      </c>
      <c r="I37" s="12">
        <f>[1]节奏总纲!I37</f>
        <v>35</v>
      </c>
      <c r="J37" s="12">
        <f>[1]节奏总纲!J37</f>
        <v>63.5</v>
      </c>
      <c r="K37" s="12">
        <f>[1]节奏总纲!K37</f>
        <v>1</v>
      </c>
      <c r="N37" s="12">
        <f>[1]节奏总纲!N37</f>
        <v>44</v>
      </c>
      <c r="O37" s="8">
        <v>34</v>
      </c>
      <c r="P37" s="12">
        <f>[1]节奏总纲!P37</f>
        <v>9.5560632861831518</v>
      </c>
      <c r="Q37" s="12">
        <f>[1]节奏总纲!Q37</f>
        <v>8.3309759728944712</v>
      </c>
      <c r="R37" s="12">
        <f>[1]节奏总纲!R37</f>
        <v>6.8918328419952886</v>
      </c>
      <c r="S37" s="12">
        <f>[1]节奏总纲!S37</f>
        <v>5.1287391656944967</v>
      </c>
      <c r="T37" s="12">
        <f>[1]节奏总纲!T37</f>
        <v>2.8811530807842201</v>
      </c>
      <c r="V37" s="8">
        <v>34</v>
      </c>
      <c r="W37" s="12">
        <f>[1]节奏总纲!W37</f>
        <v>0.70690797942382311</v>
      </c>
      <c r="X37" s="12">
        <f>[1]节奏总纲!X37</f>
        <v>0.61893712305371551</v>
      </c>
      <c r="Y37" s="12">
        <f>[1]节奏总纲!Y37</f>
        <v>0.52221085218992336</v>
      </c>
      <c r="Z37" s="12">
        <f>[1]节奏总纲!Z37</f>
        <v>0.39267124551690369</v>
      </c>
      <c r="AA37" s="12">
        <f>[1]节奏总纲!AA37</f>
        <v>0.21844224898033815</v>
      </c>
      <c r="AC37" s="8">
        <v>34</v>
      </c>
      <c r="AD37" s="12">
        <f>[1]节奏总纲!AD37</f>
        <v>51.285688244217212</v>
      </c>
      <c r="AE37" s="12">
        <f>[1]节奏总纲!AE37</f>
        <v>53.226994578658328</v>
      </c>
      <c r="AF37" s="12">
        <f>[1]节奏总纲!AF37</f>
        <v>56.045896281048073</v>
      </c>
      <c r="AG37" s="12">
        <f>[1]节奏总纲!AG37</f>
        <v>60.491705764657482</v>
      </c>
      <c r="AH37" s="12">
        <f>[1]节奏总纲!AH37</f>
        <v>68.972756340855</v>
      </c>
      <c r="AL37" s="8">
        <v>34</v>
      </c>
      <c r="AM37" s="12">
        <f>[1]节奏总纲!AM37</f>
        <v>54.110931329932889</v>
      </c>
      <c r="AN37" s="12">
        <f>[1]节奏总纲!AN37</f>
        <v>43.288745063946315</v>
      </c>
      <c r="AO37" s="12">
        <f>[1]节奏总纲!AO37</f>
        <v>32.466558797959735</v>
      </c>
      <c r="AP37" s="12">
        <f>[1]节奏总纲!AP37</f>
        <v>21.644372531973158</v>
      </c>
      <c r="AQ37" s="12">
        <f>[1]节奏总纲!AQ37</f>
        <v>10.822186265986579</v>
      </c>
      <c r="AS37" s="8">
        <v>34</v>
      </c>
      <c r="AT37" s="12">
        <f>[1]节奏总纲!AT37</f>
        <v>8.0281184067334763</v>
      </c>
      <c r="AU37" s="12">
        <f>[1]节奏总纲!AU37</f>
        <v>6.4224947253867839</v>
      </c>
      <c r="AV37" s="12">
        <f>[1]节奏总纲!AV37</f>
        <v>4.8168710440400879</v>
      </c>
      <c r="AW37" s="12">
        <f>[1]节奏总纲!AW37</f>
        <v>3.2112473626933919</v>
      </c>
      <c r="AX37" s="12">
        <f>[1]节奏总纲!AX37</f>
        <v>1.605623681346696</v>
      </c>
      <c r="AY37" s="8"/>
      <c r="AZ37" s="8">
        <v>34</v>
      </c>
      <c r="BA37" s="12">
        <f>[1]节奏总纲!BA37</f>
        <v>31.109552696486158</v>
      </c>
      <c r="BB37" s="12">
        <f>[1]节奏总纲!BB37</f>
        <v>32.477877425165822</v>
      </c>
      <c r="BC37" s="12">
        <f>[1]节奏总纲!BC37</f>
        <v>34.272203285175834</v>
      </c>
      <c r="BD37" s="12">
        <f>[1]节奏总纲!BD37</f>
        <v>36.947184852926306</v>
      </c>
      <c r="BE37" s="12">
        <f>[1]节奏总纲!BE37</f>
        <v>41.590303905372799</v>
      </c>
      <c r="BI37" s="7">
        <v>34</v>
      </c>
      <c r="BJ37" s="12">
        <f>[1]节奏总纲!BJ37</f>
        <v>1.9666666666666697</v>
      </c>
      <c r="BK37" s="12">
        <f>[1]节奏总纲!BK37</f>
        <v>2.0060000000000029</v>
      </c>
      <c r="BL37" s="12">
        <f>[1]节奏总纲!BL37</f>
        <v>2.0846666666666698</v>
      </c>
      <c r="BM37" s="12">
        <f>[1]节奏总纲!BM37</f>
        <v>2.2420000000000031</v>
      </c>
      <c r="BN37" s="12">
        <f>[1]节奏总纲!BN37</f>
        <v>2.7533333333333374</v>
      </c>
    </row>
    <row r="38" spans="2:66" x14ac:dyDescent="0.15">
      <c r="F38" s="12">
        <f>[1]节奏总纲!F38</f>
        <v>36</v>
      </c>
      <c r="G38" s="12">
        <f>[1]节奏总纲!G38</f>
        <v>11.125732532083184</v>
      </c>
      <c r="I38" s="12">
        <f>[1]节奏总纲!I38</f>
        <v>36</v>
      </c>
      <c r="J38" s="12">
        <f>[1]节奏总纲!J38</f>
        <v>73.746861667008318</v>
      </c>
      <c r="K38" s="12">
        <f>[1]节奏总纲!K38</f>
        <v>1.01</v>
      </c>
      <c r="N38" s="12">
        <f>[1]节奏总纲!N38</f>
        <v>45</v>
      </c>
      <c r="O38" s="8">
        <v>35</v>
      </c>
      <c r="P38" s="12">
        <f>[1]节奏总纲!P38</f>
        <v>10.313708498984759</v>
      </c>
      <c r="Q38" s="12">
        <f>[1]节奏总纲!Q38</f>
        <v>9.0048988904635934</v>
      </c>
      <c r="R38" s="12">
        <f>[1]节奏总纲!R38</f>
        <v>7.4547485030661838</v>
      </c>
      <c r="S38" s="12">
        <f>[1]节奏总纲!S38</f>
        <v>5.5405242056546129</v>
      </c>
      <c r="T38" s="12">
        <f>[1]节奏总纲!T38</f>
        <v>3.1106144832938032</v>
      </c>
      <c r="V38" s="8">
        <v>35</v>
      </c>
      <c r="W38" s="12">
        <f>[1]节奏总纲!W38</f>
        <v>0.75764521280160757</v>
      </c>
      <c r="X38" s="12">
        <f>[1]节奏总纲!X38</f>
        <v>0.67392291756912215</v>
      </c>
      <c r="Y38" s="12">
        <f>[1]节奏总纲!Y38</f>
        <v>0.56291566107089519</v>
      </c>
      <c r="Z38" s="12">
        <f>[1]节奏总纲!Z38</f>
        <v>0.41178503996011617</v>
      </c>
      <c r="AA38" s="12">
        <f>[1]节奏总纲!AA38</f>
        <v>0.22946140250958313</v>
      </c>
      <c r="AC38" s="8">
        <v>35</v>
      </c>
      <c r="AD38" s="12">
        <f>[1]节奏总纲!AD38</f>
        <v>51.691928656135211</v>
      </c>
      <c r="AE38" s="12">
        <f>[1]节奏总纲!AE38</f>
        <v>53.623906555539456</v>
      </c>
      <c r="AF38" s="12">
        <f>[1]节奏总纲!AF38</f>
        <v>56.457855949816349</v>
      </c>
      <c r="AG38" s="12">
        <f>[1]节奏总纲!AG38</f>
        <v>60.905042823044738</v>
      </c>
      <c r="AH38" s="12">
        <f>[1]节奏总纲!AH38</f>
        <v>69.385288338144662</v>
      </c>
      <c r="AL38" s="8">
        <v>35</v>
      </c>
      <c r="AM38" s="12">
        <f>[1]节奏总纲!AM38</f>
        <v>63.5</v>
      </c>
      <c r="AN38" s="12">
        <f>[1]节奏总纲!AN38</f>
        <v>50.800000000000004</v>
      </c>
      <c r="AO38" s="12">
        <f>[1]节奏总纲!AO38</f>
        <v>38.1</v>
      </c>
      <c r="AP38" s="12">
        <f>[1]节奏总纲!AP38</f>
        <v>25.400000000000002</v>
      </c>
      <c r="AQ38" s="12">
        <f>[1]节奏总纲!AQ38</f>
        <v>12.700000000000001</v>
      </c>
      <c r="AS38" s="8">
        <v>35</v>
      </c>
      <c r="AT38" s="12">
        <f>[1]节奏总纲!AT38</f>
        <v>9.3890686700671111</v>
      </c>
      <c r="AU38" s="12">
        <f>[1]节奏总纲!AU38</f>
        <v>7.5112549360536889</v>
      </c>
      <c r="AV38" s="12">
        <f>[1]节奏总纲!AV38</f>
        <v>5.6334412020402667</v>
      </c>
      <c r="AW38" s="12">
        <f>[1]节奏总纲!AW38</f>
        <v>3.7556274680268444</v>
      </c>
      <c r="AX38" s="12">
        <f>[1]节奏总纲!AX38</f>
        <v>1.8778137340134222</v>
      </c>
      <c r="AY38" s="8"/>
      <c r="AZ38" s="8">
        <v>35</v>
      </c>
      <c r="BA38" s="12">
        <f>[1]节奏总纲!BA38</f>
        <v>31.280110398778046</v>
      </c>
      <c r="BB38" s="12">
        <f>[1]节奏总纲!BB38</f>
        <v>32.660039662640372</v>
      </c>
      <c r="BC38" s="12">
        <f>[1]节奏总纲!BC38</f>
        <v>34.449714679035388</v>
      </c>
      <c r="BD38" s="12">
        <f>[1]节奏总纲!BD38</f>
        <v>37.135950591746003</v>
      </c>
      <c r="BE38" s="12">
        <f>[1]节奏总纲!BE38</f>
        <v>41.791434980831518</v>
      </c>
      <c r="BI38" s="7">
        <v>35</v>
      </c>
      <c r="BJ38" s="12">
        <f>[1]节奏总纲!BJ38</f>
        <v>2.0000000000000031</v>
      </c>
      <c r="BK38" s="12">
        <f>[1]节奏总纲!BK38</f>
        <v>2.0400000000000031</v>
      </c>
      <c r="BL38" s="12">
        <f>[1]节奏总纲!BL38</f>
        <v>2.1200000000000032</v>
      </c>
      <c r="BM38" s="12">
        <f>[1]节奏总纲!BM38</f>
        <v>2.2800000000000034</v>
      </c>
      <c r="BN38" s="12">
        <f>[1]节奏总纲!BN38</f>
        <v>2.8000000000000043</v>
      </c>
    </row>
    <row r="39" spans="2:66" x14ac:dyDescent="0.15">
      <c r="F39" s="12">
        <f>[1]节奏总纲!F39</f>
        <v>37</v>
      </c>
      <c r="G39" s="12">
        <f>[1]节奏总纲!G39</f>
        <v>11.996038341699768</v>
      </c>
      <c r="I39" s="12">
        <f>[1]节奏总纲!I39</f>
        <v>37</v>
      </c>
      <c r="J39" s="12">
        <f>[1]节奏总纲!J39</f>
        <v>85.62747641525452</v>
      </c>
      <c r="K39" s="12">
        <f>[1]节奏总纲!K39</f>
        <v>1.02</v>
      </c>
      <c r="N39" s="12">
        <f>[1]节奏总纲!N39</f>
        <v>46</v>
      </c>
      <c r="O39" s="8">
        <v>36</v>
      </c>
      <c r="P39" s="12">
        <f>[1]节奏总纲!P39</f>
        <v>11.125732532083184</v>
      </c>
      <c r="Q39" s="12">
        <f>[1]节奏总纲!Q39</f>
        <v>9.7261153795471191</v>
      </c>
      <c r="R39" s="12">
        <f>[1]节奏总纲!R39</f>
        <v>8.0405669009365166</v>
      </c>
      <c r="S39" s="12">
        <f>[1]节奏总纲!S39</f>
        <v>5.9700680767158358</v>
      </c>
      <c r="T39" s="12">
        <f>[1]节奏总纲!T39</f>
        <v>3.3388323328781633</v>
      </c>
      <c r="V39" s="8">
        <v>36</v>
      </c>
      <c r="W39" s="12">
        <f>[1]节奏总纲!W39</f>
        <v>0.81202403309842452</v>
      </c>
      <c r="X39" s="12">
        <f>[1]节奏总纲!X39</f>
        <v>0.72121648908352576</v>
      </c>
      <c r="Y39" s="12">
        <f>[1]节奏总纲!Y39</f>
        <v>0.58581839787033285</v>
      </c>
      <c r="Z39" s="12">
        <f>[1]节奏总纲!Z39</f>
        <v>0.42954387106122294</v>
      </c>
      <c r="AA39" s="12">
        <f>[1]节奏总纲!AA39</f>
        <v>0.22821784958436009</v>
      </c>
      <c r="AC39" s="8">
        <v>36</v>
      </c>
      <c r="AD39" s="12">
        <f>[1]节奏总纲!AD39</f>
        <v>52.091594979242075</v>
      </c>
      <c r="AE39" s="12">
        <f>[1]节奏总纲!AE39</f>
        <v>54.020289560649204</v>
      </c>
      <c r="AF39" s="12">
        <f>[1]节奏总纲!AF39</f>
        <v>56.869815618584624</v>
      </c>
      <c r="AG39" s="12">
        <f>[1]节奏总纲!AG39</f>
        <v>61.294362422865476</v>
      </c>
      <c r="AH39" s="12">
        <f>[1]节奏总纲!AH39</f>
        <v>69.795150761037945</v>
      </c>
      <c r="AL39" s="8">
        <v>36</v>
      </c>
      <c r="AM39" s="12">
        <f>[1]节奏总纲!AM39</f>
        <v>73.746861667008318</v>
      </c>
      <c r="AN39" s="12">
        <f>[1]节奏总纲!AN39</f>
        <v>58.997489333606659</v>
      </c>
      <c r="AO39" s="12">
        <f>[1]节奏总纲!AO39</f>
        <v>44.248117000204992</v>
      </c>
      <c r="AP39" s="12">
        <f>[1]节奏总纲!AP39</f>
        <v>29.498744666803329</v>
      </c>
      <c r="AQ39" s="12">
        <f>[1]节奏总纲!AQ39</f>
        <v>14.749372333401665</v>
      </c>
      <c r="AS39" s="8">
        <v>36</v>
      </c>
      <c r="AT39" s="12">
        <f>[1]节奏总纲!AT39</f>
        <v>10.246861667008318</v>
      </c>
      <c r="AU39" s="12">
        <f>[1]节奏总纲!AU39</f>
        <v>8.1974893336066543</v>
      </c>
      <c r="AV39" s="12">
        <f>[1]节奏总纲!AV39</f>
        <v>6.1481170002049907</v>
      </c>
      <c r="AW39" s="12">
        <f>[1]节奏总纲!AW39</f>
        <v>4.0987446668033272</v>
      </c>
      <c r="AX39" s="12">
        <f>[1]节奏总纲!AX39</f>
        <v>2.0493723334016636</v>
      </c>
      <c r="AY39" s="8"/>
      <c r="AZ39" s="8">
        <v>36</v>
      </c>
      <c r="BA39" s="12">
        <f>[1]节奏总纲!BA39</f>
        <v>31.450668101069933</v>
      </c>
      <c r="BB39" s="12">
        <f>[1]节奏总纲!BB39</f>
        <v>32.842201900114915</v>
      </c>
      <c r="BC39" s="12">
        <f>[1]节奏总纲!BC39</f>
        <v>34.627226072894942</v>
      </c>
      <c r="BD39" s="12">
        <f>[1]节奏总纲!BD39</f>
        <v>37.317457773889828</v>
      </c>
      <c r="BE39" s="12">
        <f>[1]节奏总纲!BE39</f>
        <v>41.992566056290244</v>
      </c>
      <c r="BI39" s="7">
        <v>36</v>
      </c>
      <c r="BJ39" s="12">
        <f>[1]节奏总纲!BJ39</f>
        <v>2.0333333333333363</v>
      </c>
      <c r="BK39" s="12">
        <f>[1]节奏总纲!BK39</f>
        <v>2.074000000000003</v>
      </c>
      <c r="BL39" s="12">
        <f>[1]节奏总纲!BL39</f>
        <v>2.1553333333333367</v>
      </c>
      <c r="BM39" s="12">
        <f>[1]节奏总纲!BM39</f>
        <v>2.3180000000000032</v>
      </c>
      <c r="BN39" s="12">
        <f>[1]节奏总纲!BN39</f>
        <v>2.8466666666666707</v>
      </c>
    </row>
    <row r="40" spans="2:66" x14ac:dyDescent="0.15">
      <c r="F40" s="12">
        <f>[1]节奏总纲!F40</f>
        <v>38</v>
      </c>
      <c r="G40" s="12">
        <f>[1]节奏总纲!G40</f>
        <v>12.928809012737984</v>
      </c>
      <c r="I40" s="12">
        <f>[1]节奏总纲!I40</f>
        <v>38</v>
      </c>
      <c r="J40" s="12">
        <f>[1]节奏总纲!J40</f>
        <v>99.401036064365428</v>
      </c>
      <c r="K40" s="12">
        <f>[1]节奏总纲!K40</f>
        <v>1.03</v>
      </c>
      <c r="N40" s="12">
        <f>[1]节奏总纲!N40</f>
        <v>47</v>
      </c>
      <c r="O40" s="8">
        <v>37</v>
      </c>
      <c r="P40" s="12">
        <f>[1]节奏总纲!P40</f>
        <v>11.996038341699768</v>
      </c>
      <c r="Q40" s="12">
        <f>[1]节奏总纲!Q40</f>
        <v>10.483337906811427</v>
      </c>
      <c r="R40" s="12">
        <f>[1]节奏总纲!R40</f>
        <v>8.6671377018780831</v>
      </c>
      <c r="S40" s="12">
        <f>[1]节奏总纲!S40</f>
        <v>6.4166809089752066</v>
      </c>
      <c r="T40" s="12">
        <f>[1]节奏总纲!T40</f>
        <v>3.6000111063441</v>
      </c>
      <c r="V40" s="8">
        <v>37</v>
      </c>
      <c r="W40" s="12">
        <f>[1]节奏总纲!W40</f>
        <v>0.87030580961658366</v>
      </c>
      <c r="X40" s="12">
        <f>[1]节奏总纲!X40</f>
        <v>0.75722252726430739</v>
      </c>
      <c r="Y40" s="12">
        <f>[1]节奏总纲!Y40</f>
        <v>0.62657080094156647</v>
      </c>
      <c r="Z40" s="12">
        <f>[1]节奏总纲!Z40</f>
        <v>0.44661283225937076</v>
      </c>
      <c r="AA40" s="12">
        <f>[1]节奏总纲!AA40</f>
        <v>0.26117877346593676</v>
      </c>
      <c r="AC40" s="8">
        <v>37</v>
      </c>
      <c r="AD40" s="12">
        <f>[1]节奏总纲!AD40</f>
        <v>52.470630686057078</v>
      </c>
      <c r="AE40" s="12">
        <f>[1]节奏总纲!AE40</f>
        <v>54.407116521581436</v>
      </c>
      <c r="AF40" s="12">
        <f>[1]节奏总纲!AF40</f>
        <v>57.263329041432932</v>
      </c>
      <c r="AG40" s="12">
        <f>[1]节奏总纲!AG40</f>
        <v>61.676518787205197</v>
      </c>
      <c r="AH40" s="12">
        <f>[1]节奏总纲!AH40</f>
        <v>70.190427169053478</v>
      </c>
      <c r="AL40" s="8">
        <v>37</v>
      </c>
      <c r="AM40" s="12">
        <f>[1]节奏总纲!AM40</f>
        <v>85.62747641525452</v>
      </c>
      <c r="AN40" s="12">
        <f>[1]节奏总纲!AN40</f>
        <v>68.501981132203625</v>
      </c>
      <c r="AO40" s="12">
        <f>[1]节奏总纲!AO40</f>
        <v>51.376485849152708</v>
      </c>
      <c r="AP40" s="12">
        <f>[1]节奏总纲!AP40</f>
        <v>34.250990566101812</v>
      </c>
      <c r="AQ40" s="12">
        <f>[1]节奏总纲!AQ40</f>
        <v>17.125495283050906</v>
      </c>
      <c r="AS40" s="8">
        <v>37</v>
      </c>
      <c r="AT40" s="12">
        <f>[1]节奏总纲!AT40</f>
        <v>11.880614748246202</v>
      </c>
      <c r="AU40" s="12">
        <f>[1]节奏总纲!AU40</f>
        <v>9.5044917985969661</v>
      </c>
      <c r="AV40" s="12">
        <f>[1]节奏总纲!AV40</f>
        <v>7.1283688489477157</v>
      </c>
      <c r="AW40" s="12">
        <f>[1]节奏总纲!AW40</f>
        <v>4.7522458992984831</v>
      </c>
      <c r="AX40" s="12">
        <f>[1]节奏总纲!AX40</f>
        <v>2.3761229496492415</v>
      </c>
      <c r="AY40" s="8"/>
      <c r="AZ40" s="8">
        <v>37</v>
      </c>
      <c r="BA40" s="12">
        <f>[1]节奏总纲!BA40</f>
        <v>31.621225803361821</v>
      </c>
      <c r="BB40" s="12">
        <f>[1]节奏总纲!BB40</f>
        <v>33.02082518821102</v>
      </c>
      <c r="BC40" s="12">
        <f>[1]节奏总纲!BC40</f>
        <v>34.804737466754489</v>
      </c>
      <c r="BD40" s="12">
        <f>[1]节奏总纲!BD40</f>
        <v>37.498964956033646</v>
      </c>
      <c r="BE40" s="12">
        <f>[1]节奏总纲!BE40</f>
        <v>42.167148737437564</v>
      </c>
      <c r="BI40" s="7">
        <v>37</v>
      </c>
      <c r="BJ40" s="12">
        <f>[1]节奏总纲!BJ40</f>
        <v>2.0666666666666695</v>
      </c>
      <c r="BK40" s="12">
        <f>[1]节奏总纲!BK40</f>
        <v>2.1080000000000028</v>
      </c>
      <c r="BL40" s="12">
        <f>[1]节奏总纲!BL40</f>
        <v>2.1906666666666696</v>
      </c>
      <c r="BM40" s="12">
        <f>[1]节奏总纲!BM40</f>
        <v>2.356000000000003</v>
      </c>
      <c r="BN40" s="12">
        <f>[1]节奏总纲!BN40</f>
        <v>2.8933333333333371</v>
      </c>
    </row>
    <row r="41" spans="2:66" x14ac:dyDescent="0.15">
      <c r="F41" s="12">
        <f>[1]节奏总纲!F41</f>
        <v>39</v>
      </c>
      <c r="G41" s="12">
        <f>[1]节奏总纲!G41</f>
        <v>13.928527864588917</v>
      </c>
      <c r="I41" s="12">
        <f>[1]节奏总纲!I41</f>
        <v>39</v>
      </c>
      <c r="J41" s="12">
        <f>[1]节奏总纲!J41</f>
        <v>115.36769098598003</v>
      </c>
      <c r="K41" s="12">
        <f>[1]节奏总纲!K41</f>
        <v>1.04</v>
      </c>
      <c r="N41" s="12">
        <f>[1]节奏总纲!N41</f>
        <v>48</v>
      </c>
      <c r="O41" s="8">
        <v>38</v>
      </c>
      <c r="P41" s="12">
        <f>[1]节奏总纲!P41</f>
        <v>12.928809012737984</v>
      </c>
      <c r="Q41" s="12">
        <f>[1]节奏总纲!Q41</f>
        <v>11.292021791725356</v>
      </c>
      <c r="R41" s="12">
        <f>[1]节奏总纲!R41</f>
        <v>9.3190855363815395</v>
      </c>
      <c r="S41" s="12">
        <f>[1]节奏总纲!S41</f>
        <v>6.8962267273944402</v>
      </c>
      <c r="T41" s="12">
        <f>[1]节奏总纲!T41</f>
        <v>3.8708854184137524</v>
      </c>
      <c r="V41" s="8">
        <v>38</v>
      </c>
      <c r="W41" s="12">
        <f>[1]节奏总纲!W41</f>
        <v>0.93277067103821665</v>
      </c>
      <c r="X41" s="12">
        <f>[1]节奏总纲!X41</f>
        <v>0.80868388491392906</v>
      </c>
      <c r="Y41" s="12">
        <f>[1]节奏总纲!Y41</f>
        <v>0.65194783450345639</v>
      </c>
      <c r="Z41" s="12">
        <f>[1]节奏总纲!Z41</f>
        <v>0.4795458184192336</v>
      </c>
      <c r="AA41" s="12">
        <f>[1]节奏总纲!AA41</f>
        <v>0.2708743120696524</v>
      </c>
      <c r="AC41" s="8">
        <v>38</v>
      </c>
      <c r="AD41" s="12">
        <f>[1]节奏总纲!AD41</f>
        <v>52.849666392872081</v>
      </c>
      <c r="AE41" s="12">
        <f>[1]节奏总纲!AE41</f>
        <v>54.793943482513676</v>
      </c>
      <c r="AF41" s="12">
        <f>[1]节奏总纲!AF41</f>
        <v>57.64832002380362</v>
      </c>
      <c r="AG41" s="12">
        <f>[1]节奏总纲!AG41</f>
        <v>62.054222259937362</v>
      </c>
      <c r="AH41" s="12">
        <f>[1]节奏总纲!AH41</f>
        <v>70.571129226337533</v>
      </c>
      <c r="AL41" s="8">
        <v>38</v>
      </c>
      <c r="AM41" s="12">
        <f>[1]节奏总纲!AM41</f>
        <v>99.401036064365428</v>
      </c>
      <c r="AN41" s="12">
        <f>[1]节奏总纲!AN41</f>
        <v>79.520828851492354</v>
      </c>
      <c r="AO41" s="12">
        <f>[1]节奏总纲!AO41</f>
        <v>59.640621638619251</v>
      </c>
      <c r="AP41" s="12">
        <f>[1]节奏总纲!AP41</f>
        <v>39.760414425746177</v>
      </c>
      <c r="AQ41" s="12">
        <f>[1]节奏总纲!AQ41</f>
        <v>19.880207212873088</v>
      </c>
      <c r="AS41" s="8">
        <v>38</v>
      </c>
      <c r="AT41" s="12">
        <f>[1]节奏总纲!AT41</f>
        <v>13.773559649110908</v>
      </c>
      <c r="AU41" s="12">
        <f>[1]节奏总纲!AU41</f>
        <v>11.018847719288729</v>
      </c>
      <c r="AV41" s="12">
        <f>[1]节奏总纲!AV41</f>
        <v>8.2641357894665433</v>
      </c>
      <c r="AW41" s="12">
        <f>[1]节奏总纲!AW41</f>
        <v>5.5094238596443645</v>
      </c>
      <c r="AX41" s="12">
        <f>[1]节奏总纲!AX41</f>
        <v>2.7547119298221823</v>
      </c>
      <c r="AY41" s="8"/>
      <c r="AZ41" s="8">
        <v>38</v>
      </c>
      <c r="BA41" s="12">
        <f>[1]节奏总纲!BA41</f>
        <v>31.791783505653711</v>
      </c>
      <c r="BB41" s="12">
        <f>[1]节奏总纲!BB41</f>
        <v>33.176527924103851</v>
      </c>
      <c r="BC41" s="12">
        <f>[1]节奏总纲!BC41</f>
        <v>34.982248860614042</v>
      </c>
      <c r="BD41" s="12">
        <f>[1]节奏总纲!BD41</f>
        <v>37.680472138177471</v>
      </c>
      <c r="BE41" s="12">
        <f>[1]节奏总纲!BE41</f>
        <v>42.340712512072891</v>
      </c>
      <c r="BI41" s="7">
        <v>38</v>
      </c>
      <c r="BJ41" s="12">
        <f>[1]节奏总纲!BJ41</f>
        <v>2.1000000000000028</v>
      </c>
      <c r="BK41" s="12">
        <f>[1]节奏总纲!BK41</f>
        <v>2.142000000000003</v>
      </c>
      <c r="BL41" s="12">
        <f>[1]节奏总纲!BL41</f>
        <v>2.2260000000000031</v>
      </c>
      <c r="BM41" s="12">
        <f>[1]节奏总纲!BM41</f>
        <v>2.3940000000000028</v>
      </c>
      <c r="BN41" s="12">
        <f>[1]节奏总纲!BN41</f>
        <v>2.9400000000000035</v>
      </c>
    </row>
    <row r="42" spans="2:66" x14ac:dyDescent="0.15">
      <c r="F42" s="12">
        <f>[1]节奏总纲!F42</f>
        <v>40</v>
      </c>
      <c r="G42" s="12">
        <f>[1]节奏总纲!G42</f>
        <v>15</v>
      </c>
      <c r="I42" s="12">
        <f>[1]节奏总纲!I42</f>
        <v>40</v>
      </c>
      <c r="J42" s="12">
        <f>[1]节奏总纲!J42</f>
        <v>133.875</v>
      </c>
      <c r="K42" s="12">
        <f>[1]节奏总纲!K42</f>
        <v>1.05</v>
      </c>
      <c r="N42" s="12">
        <f>[1]节奏总纲!N42</f>
        <v>49</v>
      </c>
      <c r="O42" s="8">
        <v>39</v>
      </c>
      <c r="P42" s="12">
        <f>[1]节奏总纲!P42</f>
        <v>13.928527864588917</v>
      </c>
      <c r="Q42" s="12">
        <f>[1]节奏总纲!Q42</f>
        <v>12.147069150707994</v>
      </c>
      <c r="R42" s="12">
        <f>[1]节奏总纲!R42</f>
        <v>10.016004387425889</v>
      </c>
      <c r="S42" s="12">
        <f>[1]节奏总纲!S42</f>
        <v>7.4197267934665154</v>
      </c>
      <c r="T42" s="12">
        <f>[1]节奏总纲!T42</f>
        <v>4.1702012426579218</v>
      </c>
      <c r="V42" s="8">
        <v>39</v>
      </c>
      <c r="W42" s="12">
        <f>[1]节奏总纲!W42</f>
        <v>0.99971885185093257</v>
      </c>
      <c r="X42" s="12">
        <f>[1]节奏总纲!X42</f>
        <v>0.85504735898263817</v>
      </c>
      <c r="Y42" s="12">
        <f>[1]节奏总纲!Y42</f>
        <v>0.69691885104434981</v>
      </c>
      <c r="Z42" s="12">
        <f>[1]节奏总纲!Z42</f>
        <v>0.52350006607207522</v>
      </c>
      <c r="AA42" s="12">
        <f>[1]节奏总纲!AA42</f>
        <v>0.29931582424416936</v>
      </c>
      <c r="AC42" s="8">
        <v>39</v>
      </c>
      <c r="AD42" s="12">
        <f>[1]节奏总纲!AD42</f>
        <v>53.213386604241784</v>
      </c>
      <c r="AE42" s="12">
        <f>[1]节奏总纲!AE42</f>
        <v>55.170390866416149</v>
      </c>
      <c r="AF42" s="12">
        <f>[1]节奏总纲!AF42</f>
        <v>58.030740707238266</v>
      </c>
      <c r="AG42" s="12">
        <f>[1]节奏总纲!AG42</f>
        <v>62.407376554018477</v>
      </c>
      <c r="AH42" s="12">
        <f>[1]节奏总纲!AH42</f>
        <v>70.951831283621587</v>
      </c>
      <c r="AL42" s="8">
        <v>39</v>
      </c>
      <c r="AM42" s="12">
        <f>[1]节奏总纲!AM42</f>
        <v>115.36769098598003</v>
      </c>
      <c r="AN42" s="12">
        <f>[1]节奏总纲!AN42</f>
        <v>92.294152788784032</v>
      </c>
      <c r="AO42" s="12">
        <f>[1]节奏总纲!AO42</f>
        <v>69.220614591588017</v>
      </c>
      <c r="AP42" s="12">
        <f>[1]节奏总纲!AP42</f>
        <v>46.147076394392016</v>
      </c>
      <c r="AQ42" s="12">
        <f>[1]节奏总纲!AQ42</f>
        <v>23.073538197196008</v>
      </c>
      <c r="AS42" s="8">
        <v>39</v>
      </c>
      <c r="AT42" s="12">
        <f>[1]节奏总纲!AT42</f>
        <v>15.966654921614605</v>
      </c>
      <c r="AU42" s="12">
        <f>[1]节奏总纲!AU42</f>
        <v>12.773323937291678</v>
      </c>
      <c r="AV42" s="12">
        <f>[1]节奏总纲!AV42</f>
        <v>9.579992952968766</v>
      </c>
      <c r="AW42" s="12">
        <f>[1]节奏总纲!AW42</f>
        <v>6.3866619686458392</v>
      </c>
      <c r="AX42" s="12">
        <f>[1]节奏总纲!AX42</f>
        <v>3.1933309843229196</v>
      </c>
      <c r="AY42" s="8"/>
      <c r="AZ42" s="8">
        <v>39</v>
      </c>
      <c r="BA42" s="12">
        <f>[1]节奏总纲!BA42</f>
        <v>31.962341207945599</v>
      </c>
      <c r="BB42" s="12">
        <f>[1]节奏总纲!BB42</f>
        <v>33.332230659996682</v>
      </c>
      <c r="BC42" s="12">
        <f>[1]节奏总纲!BC42</f>
        <v>35.146386283795508</v>
      </c>
      <c r="BD42" s="12">
        <f>[1]节奏总纲!BD42</f>
        <v>37.861979320321296</v>
      </c>
      <c r="BE42" s="12">
        <f>[1]节奏总纲!BE42</f>
        <v>42.51427628670821</v>
      </c>
      <c r="BI42" s="7">
        <v>39</v>
      </c>
      <c r="BJ42" s="12">
        <f>[1]节奏总纲!BJ42</f>
        <v>2.133333333333336</v>
      </c>
      <c r="BK42" s="12">
        <f>[1]节奏总纲!BK42</f>
        <v>2.1760000000000028</v>
      </c>
      <c r="BL42" s="12">
        <f>[1]节奏总纲!BL42</f>
        <v>2.2613333333333361</v>
      </c>
      <c r="BM42" s="12">
        <f>[1]节奏总纲!BM42</f>
        <v>2.4320000000000026</v>
      </c>
      <c r="BN42" s="12">
        <f>[1]节奏总纲!BN42</f>
        <v>2.9866666666666704</v>
      </c>
    </row>
    <row r="43" spans="2:66" x14ac:dyDescent="0.15">
      <c r="F43" s="12">
        <f>[1]节奏总纲!F43</f>
        <v>41</v>
      </c>
      <c r="G43" s="12">
        <f>[1]节奏总纲!G43</f>
        <v>16.148375400580683</v>
      </c>
      <c r="I43" s="12">
        <f>[1]节奏总纲!I43</f>
        <v>41</v>
      </c>
      <c r="J43" s="12">
        <f>[1]节奏总纲!J43</f>
        <v>155.32539280599755</v>
      </c>
      <c r="K43" s="12">
        <f>[1]节奏总纲!K43</f>
        <v>1.06</v>
      </c>
      <c r="N43" s="12">
        <f>[1]节奏总纲!N43</f>
        <v>50</v>
      </c>
      <c r="O43" s="8">
        <v>40</v>
      </c>
      <c r="P43" s="12">
        <f>[1]节奏总纲!P43</f>
        <v>15</v>
      </c>
      <c r="Q43" s="12">
        <f>[1]节奏总纲!Q43</f>
        <v>13.059000000000001</v>
      </c>
      <c r="R43" s="12">
        <f>[1]节奏总纲!R43</f>
        <v>10.782</v>
      </c>
      <c r="S43" s="12">
        <f>[1]节奏总纲!S43</f>
        <v>8.0009999999999994</v>
      </c>
      <c r="T43" s="12">
        <f>[1]节奏总纲!T43</f>
        <v>4.5</v>
      </c>
      <c r="V43" s="8">
        <v>40</v>
      </c>
      <c r="W43" s="12">
        <f>[1]节奏总纲!W43</f>
        <v>1.0714721354110832</v>
      </c>
      <c r="X43" s="12">
        <f>[1]节奏总纲!X43</f>
        <v>0.9119308492920073</v>
      </c>
      <c r="Y43" s="12">
        <f>[1]节奏总纲!Y43</f>
        <v>0.76599561257411075</v>
      </c>
      <c r="Z43" s="12">
        <f>[1]节奏总纲!Z43</f>
        <v>0.58127320653348402</v>
      </c>
      <c r="AA43" s="12">
        <f>[1]节奏总纲!AA43</f>
        <v>0.3297987573420782</v>
      </c>
      <c r="AC43" s="8">
        <v>40</v>
      </c>
      <c r="AD43" s="12">
        <f>[1]节奏总纲!AD43</f>
        <v>53.567039423670657</v>
      </c>
      <c r="AE43" s="12">
        <f>[1]节奏总纲!AE43</f>
        <v>55.535006783542492</v>
      </c>
      <c r="AF43" s="12">
        <f>[1]节奏总纲!AF43</f>
        <v>58.38602553461638</v>
      </c>
      <c r="AG43" s="12">
        <f>[1]节奏总纲!AG43</f>
        <v>62.760530848099599</v>
      </c>
      <c r="AH43" s="12">
        <f>[1]节奏总纲!AH43</f>
        <v>71.315281959371688</v>
      </c>
      <c r="AL43" s="8">
        <v>40</v>
      </c>
      <c r="AM43" s="12">
        <f>[1]节奏总纲!AM43</f>
        <v>133.875</v>
      </c>
      <c r="AN43" s="12">
        <f>[1]节奏总纲!AN43</f>
        <v>107.10000000000001</v>
      </c>
      <c r="AO43" s="12">
        <f>[1]节奏总纲!AO43</f>
        <v>80.325000000000003</v>
      </c>
      <c r="AP43" s="12">
        <f>[1]节奏总纲!AP43</f>
        <v>53.550000000000004</v>
      </c>
      <c r="AQ43" s="12">
        <f>[1]节奏总纲!AQ43</f>
        <v>26.775000000000002</v>
      </c>
      <c r="AS43" s="8">
        <v>40</v>
      </c>
      <c r="AT43" s="12">
        <f>[1]节奏总纲!AT43</f>
        <v>18.507309014019967</v>
      </c>
      <c r="AU43" s="12">
        <f>[1]节奏总纲!AU43</f>
        <v>14.805847211215976</v>
      </c>
      <c r="AV43" s="12">
        <f>[1]节奏总纲!AV43</f>
        <v>11.104385408411986</v>
      </c>
      <c r="AW43" s="12">
        <f>[1]节奏总纲!AW43</f>
        <v>7.4029236056079881</v>
      </c>
      <c r="AX43" s="12">
        <f>[1]节奏总纲!AX43</f>
        <v>3.7014618028039941</v>
      </c>
      <c r="AY43" s="8"/>
      <c r="AZ43" s="8">
        <v>40</v>
      </c>
      <c r="BA43" s="12">
        <f>[1]节奏总纲!BA43</f>
        <v>32.113552950216736</v>
      </c>
      <c r="BB43" s="12">
        <f>[1]节奏总纲!BB43</f>
        <v>33.487933395889513</v>
      </c>
      <c r="BC43" s="12">
        <f>[1]节奏总纲!BC43</f>
        <v>35.309037710234961</v>
      </c>
      <c r="BD43" s="12">
        <f>[1]节奏总纲!BD43</f>
        <v>38.037513426486328</v>
      </c>
      <c r="BE43" s="12">
        <f>[1]节奏总纲!BE43</f>
        <v>42.687840061343536</v>
      </c>
      <c r="BI43" s="7">
        <v>40</v>
      </c>
      <c r="BJ43" s="12">
        <f>[1]节奏总纲!BJ43</f>
        <v>2.1666666666666692</v>
      </c>
      <c r="BK43" s="12">
        <f>[1]节奏总纲!BK43</f>
        <v>2.2100000000000026</v>
      </c>
      <c r="BL43" s="12">
        <f>[1]节奏总纲!BL43</f>
        <v>2.2966666666666695</v>
      </c>
      <c r="BM43" s="12">
        <f>[1]节奏总纲!BM43</f>
        <v>2.4700000000000029</v>
      </c>
      <c r="BN43" s="12">
        <f>[1]节奏总纲!BN43</f>
        <v>3.0333333333333368</v>
      </c>
    </row>
    <row r="44" spans="2:66" x14ac:dyDescent="0.15">
      <c r="F44" s="12">
        <f>[1]节奏总纲!F44</f>
        <v>42</v>
      </c>
      <c r="G44" s="12">
        <f>[1]节奏总纲!G44</f>
        <v>17.379173679952558</v>
      </c>
      <c r="I44" s="12">
        <f>[1]节奏总纲!I44</f>
        <v>42</v>
      </c>
      <c r="J44" s="12">
        <f>[1]节奏总纲!J44</f>
        <v>180.18480345945557</v>
      </c>
      <c r="K44" s="12">
        <f>[1]节奏总纲!K44</f>
        <v>1.07</v>
      </c>
      <c r="N44" s="12">
        <f>[1]节奏总纲!N44</f>
        <v>51</v>
      </c>
      <c r="O44" s="8">
        <v>41</v>
      </c>
      <c r="P44" s="12">
        <f>[1]节奏总纲!P44</f>
        <v>16.148375400580683</v>
      </c>
      <c r="Q44" s="12">
        <f>[1]节奏总纲!Q44</f>
        <v>14.065234973905774</v>
      </c>
      <c r="R44" s="12">
        <f>[1]节奏总纲!R44</f>
        <v>11.621985775797917</v>
      </c>
      <c r="S44" s="12">
        <f>[1]节奏总纲!S44</f>
        <v>8.6296918140703163</v>
      </c>
      <c r="T44" s="12">
        <f>[1]节奏总纲!T44</f>
        <v>4.8606609955747855</v>
      </c>
      <c r="V44" s="8">
        <v>41</v>
      </c>
      <c r="W44" s="12">
        <f>[1]节奏总纲!W44</f>
        <v>1.148375400580683</v>
      </c>
      <c r="X44" s="12">
        <f>[1]节奏总纲!X44</f>
        <v>1.006234973905773</v>
      </c>
      <c r="Y44" s="12">
        <f>[1]节奏总纲!Y44</f>
        <v>0.839985775797917</v>
      </c>
      <c r="Z44" s="12">
        <f>[1]节奏总纲!Z44</f>
        <v>0.62869181407031682</v>
      </c>
      <c r="AA44" s="12">
        <f>[1]节奏总纲!AA44</f>
        <v>0.36066099557478548</v>
      </c>
      <c r="AC44" s="8">
        <v>41</v>
      </c>
      <c r="AD44" s="12">
        <f>[1]节奏总纲!AD44</f>
        <v>53.920692243099523</v>
      </c>
      <c r="AE44" s="12">
        <f>[1]节奏总纲!AE44</f>
        <v>55.899622700668843</v>
      </c>
      <c r="AF44" s="12">
        <f>[1]节奏总纲!AF44</f>
        <v>58.741310361994486</v>
      </c>
      <c r="AG44" s="12">
        <f>[1]节奏总纲!AG44</f>
        <v>63.10587219844583</v>
      </c>
      <c r="AH44" s="12">
        <f>[1]节奏总纲!AH44</f>
        <v>71.676233707038421</v>
      </c>
      <c r="AL44" s="8">
        <v>41</v>
      </c>
      <c r="AM44" s="12">
        <f>[1]节奏总纲!AM44</f>
        <v>155.32539280599755</v>
      </c>
      <c r="AN44" s="12">
        <f>[1]节奏总纲!AN44</f>
        <v>124.26031424479805</v>
      </c>
      <c r="AO44" s="12">
        <f>[1]节奏总纲!AO44</f>
        <v>93.195235683598526</v>
      </c>
      <c r="AP44" s="12">
        <f>[1]节奏总纲!AP44</f>
        <v>62.130157122399027</v>
      </c>
      <c r="AQ44" s="12">
        <f>[1]节奏总纲!AQ44</f>
        <v>31.065078561199513</v>
      </c>
      <c r="AS44" s="8">
        <v>41</v>
      </c>
      <c r="AT44" s="12">
        <f>[1]节奏总纲!AT44</f>
        <v>21.450392805997552</v>
      </c>
      <c r="AU44" s="12">
        <f>[1]节奏总纲!AU44</f>
        <v>17.160314244798045</v>
      </c>
      <c r="AV44" s="12">
        <f>[1]节奏总纲!AV44</f>
        <v>12.870235683598523</v>
      </c>
      <c r="AW44" s="12">
        <f>[1]节奏总纲!AW44</f>
        <v>8.5801571223990223</v>
      </c>
      <c r="AX44" s="12">
        <f>[1]节奏总纲!AX44</f>
        <v>4.2900785611995111</v>
      </c>
      <c r="AY44" s="8"/>
      <c r="AZ44" s="8">
        <v>41</v>
      </c>
      <c r="BA44" s="12">
        <f>[1]节奏总纲!BA44</f>
        <v>32.259282740196369</v>
      </c>
      <c r="BB44" s="12">
        <f>[1]节奏总纲!BB44</f>
        <v>33.643636131782344</v>
      </c>
      <c r="BC44" s="12">
        <f>[1]节奏总纲!BC44</f>
        <v>35.471689136674414</v>
      </c>
      <c r="BD44" s="12">
        <f>[1]节奏总纲!BD44</f>
        <v>38.194089742081125</v>
      </c>
      <c r="BE44" s="12">
        <f>[1]节奏总纲!BE44</f>
        <v>42.861403835978855</v>
      </c>
      <c r="BI44" s="7">
        <v>41</v>
      </c>
      <c r="BJ44" s="12">
        <f>[1]节奏总纲!BJ44</f>
        <v>2.2000000000000024</v>
      </c>
      <c r="BK44" s="12">
        <f>[1]节奏总纲!BK44</f>
        <v>2.2440000000000024</v>
      </c>
      <c r="BL44" s="12">
        <f>[1]节奏总纲!BL44</f>
        <v>2.3320000000000025</v>
      </c>
      <c r="BM44" s="12">
        <f>[1]节奏总纲!BM44</f>
        <v>2.5080000000000027</v>
      </c>
      <c r="BN44" s="12">
        <f>[1]节奏总纲!BN44</f>
        <v>3.0800000000000032</v>
      </c>
    </row>
    <row r="45" spans="2:66" x14ac:dyDescent="0.15">
      <c r="F45" s="12">
        <f>[1]节奏总纲!F45</f>
        <v>43</v>
      </c>
      <c r="G45" s="12">
        <f>[1]节奏总纲!G45</f>
        <v>18.698310613518661</v>
      </c>
      <c r="I45" s="12">
        <f>[1]节奏总纲!I45</f>
        <v>43</v>
      </c>
      <c r="J45" s="12">
        <f>[1]节奏总纲!J45</f>
        <v>208.99265815439742</v>
      </c>
      <c r="K45" s="12">
        <f>[1]节奏总纲!K45</f>
        <v>1.08</v>
      </c>
      <c r="N45" s="12">
        <f>[1]节奏总纲!N45</f>
        <v>52</v>
      </c>
      <c r="O45" s="8">
        <v>42</v>
      </c>
      <c r="P45" s="12">
        <f>[1]节奏总纲!P45</f>
        <v>17.379173679952558</v>
      </c>
      <c r="Q45" s="12">
        <f>[1]节奏总纲!Q45</f>
        <v>15.182446126806555</v>
      </c>
      <c r="R45" s="12">
        <f>[1]节奏总纲!R45</f>
        <v>12.547763396925747</v>
      </c>
      <c r="S45" s="12">
        <f>[1]节奏总纲!S45</f>
        <v>9.3221887619265527</v>
      </c>
      <c r="T45" s="12">
        <f>[1]节奏总纲!T45</f>
        <v>5.2485104513456724</v>
      </c>
      <c r="V45" s="8">
        <v>42</v>
      </c>
      <c r="W45" s="12">
        <f>[1]节奏总纲!W45</f>
        <v>1.230798279371875</v>
      </c>
      <c r="X45" s="12">
        <f>[1]节奏总纲!X45</f>
        <v>1.1172111529007811</v>
      </c>
      <c r="Y45" s="12">
        <f>[1]节奏总纲!Y45</f>
        <v>0.92577762112783013</v>
      </c>
      <c r="Z45" s="12">
        <f>[1]节奏总纲!Z45</f>
        <v>0.69249694785623639</v>
      </c>
      <c r="AA45" s="12">
        <f>[1]节奏总纲!AA45</f>
        <v>0.38784945577088692</v>
      </c>
      <c r="AC45" s="8">
        <v>42</v>
      </c>
      <c r="AD45" s="12">
        <f>[1]节奏总纲!AD45</f>
        <v>54.255972994404218</v>
      </c>
      <c r="AE45" s="12">
        <f>[1]节奏总纲!AE45</f>
        <v>56.238779717153008</v>
      </c>
      <c r="AF45" s="12">
        <f>[1]节奏总纲!AF45</f>
        <v>59.09095196730258</v>
      </c>
      <c r="AG45" s="12">
        <f>[1]节奏总纲!AG45</f>
        <v>63.434756173851497</v>
      </c>
      <c r="AH45" s="12">
        <f>[1]节奏总纲!AH45</f>
        <v>72.034562459436771</v>
      </c>
      <c r="AL45" s="8">
        <v>42</v>
      </c>
      <c r="AM45" s="12">
        <f>[1]节奏总纲!AM45</f>
        <v>180.18480345945557</v>
      </c>
      <c r="AN45" s="12">
        <f>[1]节奏总纲!AN45</f>
        <v>144.14784276756447</v>
      </c>
      <c r="AO45" s="12">
        <f>[1]节奏总纲!AO45</f>
        <v>108.11088207567333</v>
      </c>
      <c r="AP45" s="12">
        <f>[1]节奏总纲!AP45</f>
        <v>72.073921383782235</v>
      </c>
      <c r="AQ45" s="12">
        <f>[1]节奏总纲!AQ45</f>
        <v>36.036960691891117</v>
      </c>
      <c r="AS45" s="8">
        <v>42</v>
      </c>
      <c r="AT45" s="12">
        <f>[1]节奏总纲!AT45</f>
        <v>24.859410653458013</v>
      </c>
      <c r="AU45" s="12">
        <f>[1]节奏总纲!AU45</f>
        <v>19.887528522766416</v>
      </c>
      <c r="AV45" s="12">
        <f>[1]节奏总纲!AV45</f>
        <v>14.915646392074805</v>
      </c>
      <c r="AW45" s="12">
        <f>[1]节奏总纲!AW45</f>
        <v>9.9437642613832082</v>
      </c>
      <c r="AX45" s="12">
        <f>[1]节奏总纲!AX45</f>
        <v>4.9718821306916041</v>
      </c>
      <c r="AY45" s="8"/>
      <c r="AZ45" s="8">
        <v>42</v>
      </c>
      <c r="BA45" s="12">
        <f>[1]节奏总纲!BA45</f>
        <v>32.405012530176009</v>
      </c>
      <c r="BB45" s="12">
        <f>[1]节奏总纲!BB45</f>
        <v>33.799338867675175</v>
      </c>
      <c r="BC45" s="12">
        <f>[1]节奏总纲!BC45</f>
        <v>35.634340563113874</v>
      </c>
      <c r="BD45" s="12">
        <f>[1]节奏总纲!BD45</f>
        <v>38.35066605767593</v>
      </c>
      <c r="BE45" s="12">
        <f>[1]节奏总纲!BE45</f>
        <v>43.030177309109042</v>
      </c>
      <c r="BI45" s="7">
        <v>42</v>
      </c>
      <c r="BJ45" s="12">
        <f>[1]节奏总纲!BJ45</f>
        <v>2.2333333333333356</v>
      </c>
      <c r="BK45" s="12">
        <f>[1]节奏总纲!BK45</f>
        <v>2.2780000000000022</v>
      </c>
      <c r="BL45" s="12">
        <f>[1]节奏总纲!BL45</f>
        <v>2.367333333333336</v>
      </c>
      <c r="BM45" s="12">
        <f>[1]节奏总纲!BM45</f>
        <v>2.5460000000000025</v>
      </c>
      <c r="BN45" s="12">
        <f>[1]节奏总纲!BN45</f>
        <v>3.1266666666666696</v>
      </c>
    </row>
    <row r="46" spans="2:66" x14ac:dyDescent="0.15">
      <c r="F46" s="12">
        <f>[1]节奏总纲!F46</f>
        <v>44</v>
      </c>
      <c r="G46" s="12">
        <f>[1]节奏总纲!G46</f>
        <v>20.112126572366307</v>
      </c>
      <c r="I46" s="12">
        <f>[1]节奏总纲!I46</f>
        <v>44</v>
      </c>
      <c r="J46" s="12">
        <f>[1]节奏总纲!J46</f>
        <v>242.37342918215046</v>
      </c>
      <c r="K46" s="12">
        <f>[1]节奏总纲!K46</f>
        <v>1.0900000000000001</v>
      </c>
      <c r="N46" s="12">
        <f>[1]节奏总纲!N46</f>
        <v>53</v>
      </c>
      <c r="O46" s="8">
        <v>43</v>
      </c>
      <c r="P46" s="12">
        <f>[1]节奏总纲!P46</f>
        <v>18.698310613518661</v>
      </c>
      <c r="Q46" s="12">
        <f>[1]节奏总纲!Q46</f>
        <v>16.338583814092605</v>
      </c>
      <c r="R46" s="12">
        <f>[1]节奏总纲!R46</f>
        <v>13.509529418267233</v>
      </c>
      <c r="S46" s="12">
        <f>[1]节奏总纲!S46</f>
        <v>10.020424657784652</v>
      </c>
      <c r="T46" s="12">
        <f>[1]节奏总纲!T46</f>
        <v>5.6394104810372276</v>
      </c>
      <c r="V46" s="8">
        <v>43</v>
      </c>
      <c r="W46" s="12">
        <f>[1]节奏总纲!W46</f>
        <v>1.319136933566103</v>
      </c>
      <c r="X46" s="12">
        <f>[1]节奏总纲!X46</f>
        <v>1.1561376872860496</v>
      </c>
      <c r="Y46" s="12">
        <f>[1]节奏总纲!Y46</f>
        <v>0.96176602134148581</v>
      </c>
      <c r="Z46" s="12">
        <f>[1]节奏总纲!Z46</f>
        <v>0.6982358958580992</v>
      </c>
      <c r="AA46" s="12">
        <f>[1]节奏总纲!AA46</f>
        <v>0.39090002969155524</v>
      </c>
      <c r="AC46" s="8">
        <v>43</v>
      </c>
      <c r="AD46" s="12">
        <f>[1]节奏总纲!AD46</f>
        <v>54.585942742481357</v>
      </c>
      <c r="AE46" s="12">
        <f>[1]节奏总纲!AE46</f>
        <v>56.568265567054013</v>
      </c>
      <c r="AF46" s="12">
        <f>[1]节奏总纲!AF46</f>
        <v>59.425480572843689</v>
      </c>
      <c r="AG46" s="12">
        <f>[1]节奏总纲!AG46</f>
        <v>63.763640149257171</v>
      </c>
      <c r="AH46" s="12">
        <f>[1]节奏总纲!AH46</f>
        <v>72.370053318329937</v>
      </c>
      <c r="AL46" s="8">
        <v>43</v>
      </c>
      <c r="AM46" s="12">
        <f>[1]节奏总纲!AM46</f>
        <v>208.99265815439742</v>
      </c>
      <c r="AN46" s="12">
        <f>[1]节奏总纲!AN46</f>
        <v>167.19412652351795</v>
      </c>
      <c r="AO46" s="12">
        <f>[1]节奏总纲!AO46</f>
        <v>125.39559489263844</v>
      </c>
      <c r="AP46" s="12">
        <f>[1]节奏总纲!AP46</f>
        <v>83.597063261758976</v>
      </c>
      <c r="AQ46" s="12">
        <f>[1]节奏总纲!AQ46</f>
        <v>41.798531630879488</v>
      </c>
      <c r="AS46" s="8">
        <v>43</v>
      </c>
      <c r="AT46" s="12">
        <f>[1]节奏总纲!AT46</f>
        <v>28.807854694941852</v>
      </c>
      <c r="AU46" s="12">
        <f>[1]节奏总纲!AU46</f>
        <v>23.046283755953482</v>
      </c>
      <c r="AV46" s="12">
        <f>[1]节奏总纲!AV46</f>
        <v>17.284712816965111</v>
      </c>
      <c r="AW46" s="12">
        <f>[1]节奏总纲!AW46</f>
        <v>11.523141877976741</v>
      </c>
      <c r="AX46" s="12">
        <f>[1]节奏总纲!AX46</f>
        <v>5.7615709389883705</v>
      </c>
      <c r="AY46" s="8"/>
      <c r="AZ46" s="8">
        <v>43</v>
      </c>
      <c r="BA46" s="12">
        <f>[1]节奏总纲!BA46</f>
        <v>32.550742320155642</v>
      </c>
      <c r="BB46" s="12">
        <f>[1]节奏总纲!BB46</f>
        <v>33.955041603568006</v>
      </c>
      <c r="BC46" s="12">
        <f>[1]节奏总纲!BC46</f>
        <v>35.796991989553327</v>
      </c>
      <c r="BD46" s="12">
        <f>[1]节奏总纲!BD46</f>
        <v>38.507242373270728</v>
      </c>
      <c r="BE46" s="12">
        <f>[1]节奏总纲!BE46</f>
        <v>43.179964142847631</v>
      </c>
      <c r="BI46" s="7">
        <v>43</v>
      </c>
      <c r="BJ46" s="12">
        <f>[1]节奏总纲!BJ46</f>
        <v>2.2666666666666688</v>
      </c>
      <c r="BK46" s="12">
        <f>[1]节奏总纲!BK46</f>
        <v>2.3120000000000021</v>
      </c>
      <c r="BL46" s="12">
        <f>[1]节奏总纲!BL46</f>
        <v>2.4026666666666689</v>
      </c>
      <c r="BM46" s="12">
        <f>[1]节奏总纲!BM46</f>
        <v>2.5840000000000023</v>
      </c>
      <c r="BN46" s="12">
        <f>[1]节奏总纲!BN46</f>
        <v>3.173333333333336</v>
      </c>
    </row>
    <row r="47" spans="2:66" x14ac:dyDescent="0.15">
      <c r="F47" s="12">
        <f>[1]节奏总纲!F47</f>
        <v>45</v>
      </c>
      <c r="G47" s="12">
        <f>[1]节奏总纲!G47</f>
        <v>21.627416997969519</v>
      </c>
      <c r="I47" s="12">
        <f>[1]节奏总纲!I47</f>
        <v>45</v>
      </c>
      <c r="J47" s="12">
        <f>[1]节奏总纲!J47</f>
        <v>281.05</v>
      </c>
      <c r="K47" s="12">
        <f>[1]节奏总纲!K47</f>
        <v>1.1000000000000001</v>
      </c>
      <c r="N47" s="12">
        <f>[1]节奏总纲!N47</f>
        <v>54</v>
      </c>
      <c r="O47" s="8">
        <v>44</v>
      </c>
      <c r="P47" s="12">
        <f>[1]节奏总纲!P47</f>
        <v>20.112126572366307</v>
      </c>
      <c r="Q47" s="12">
        <f>[1]节奏总纲!Q47</f>
        <v>17.573976198933678</v>
      </c>
      <c r="R47" s="12">
        <f>[1]节奏总纲!R47</f>
        <v>14.520955385248474</v>
      </c>
      <c r="S47" s="12">
        <f>[1]节奏总纲!S47</f>
        <v>10.768032566844921</v>
      </c>
      <c r="T47" s="12">
        <f>[1]节奏总纲!T47</f>
        <v>6.0537500982822579</v>
      </c>
      <c r="V47" s="8">
        <v>44</v>
      </c>
      <c r="W47" s="12">
        <f>[1]节奏总纲!W47</f>
        <v>1.4138159588476462</v>
      </c>
      <c r="X47" s="12">
        <f>[1]节奏总纲!X47</f>
        <v>1.2353923848410737</v>
      </c>
      <c r="Y47" s="12">
        <f>[1]节奏总纲!Y47</f>
        <v>1.0114259669812409</v>
      </c>
      <c r="Z47" s="12">
        <f>[1]节奏总纲!Z47</f>
        <v>0.74760790906026919</v>
      </c>
      <c r="AA47" s="12">
        <f>[1]节奏总纲!AA47</f>
        <v>0.41433961724503021</v>
      </c>
      <c r="AC47" s="8">
        <v>44</v>
      </c>
      <c r="AD47" s="12">
        <f>[1]节奏总纲!AD47</f>
        <v>54.915912490558505</v>
      </c>
      <c r="AE47" s="12">
        <f>[1]节奏总纲!AE47</f>
        <v>56.897751416955018</v>
      </c>
      <c r="AF47" s="12">
        <f>[1]节奏总纲!AF47</f>
        <v>59.760009178384806</v>
      </c>
      <c r="AG47" s="12">
        <f>[1]节奏总纲!AG47</f>
        <v>64.08760696397195</v>
      </c>
      <c r="AH47" s="12">
        <f>[1]节奏总纲!AH47</f>
        <v>72.705544177223089</v>
      </c>
      <c r="AL47" s="8">
        <v>44</v>
      </c>
      <c r="AM47" s="12">
        <f>[1]节奏总纲!AM47</f>
        <v>242.37342918215046</v>
      </c>
      <c r="AN47" s="12">
        <f>[1]节奏总纲!AN47</f>
        <v>193.89874334572039</v>
      </c>
      <c r="AO47" s="12">
        <f>[1]节奏总纲!AO47</f>
        <v>145.42405750929026</v>
      </c>
      <c r="AP47" s="12">
        <f>[1]节奏总纲!AP47</f>
        <v>96.949371672860195</v>
      </c>
      <c r="AQ47" s="12">
        <f>[1]节奏总纲!AQ47</f>
        <v>48.474685836430098</v>
      </c>
      <c r="AS47" s="8">
        <v>44</v>
      </c>
      <c r="AT47" s="12">
        <f>[1]节奏总纲!AT47</f>
        <v>33.380771027753042</v>
      </c>
      <c r="AU47" s="12">
        <f>[1]节奏总纲!AU47</f>
        <v>26.704616822202439</v>
      </c>
      <c r="AV47" s="12">
        <f>[1]节奏总纲!AV47</f>
        <v>20.028462616651822</v>
      </c>
      <c r="AW47" s="12">
        <f>[1]节奏总纲!AW47</f>
        <v>13.35230841110122</v>
      </c>
      <c r="AX47" s="12">
        <f>[1]节奏总纲!AX47</f>
        <v>6.6761542055506098</v>
      </c>
      <c r="AY47" s="8"/>
      <c r="AZ47" s="8">
        <v>44</v>
      </c>
      <c r="BA47" s="12">
        <f>[1]节奏总纲!BA47</f>
        <v>32.696472110135275</v>
      </c>
      <c r="BB47" s="12">
        <f>[1]节奏总纲!BB47</f>
        <v>34.09469189131628</v>
      </c>
      <c r="BC47" s="12">
        <f>[1]节奏总纲!BC47</f>
        <v>35.95964341599278</v>
      </c>
      <c r="BD47" s="12">
        <f>[1]节奏总纲!BD47</f>
        <v>38.663818688865533</v>
      </c>
      <c r="BE47" s="12">
        <f>[1]节奏总纲!BE47</f>
        <v>43.329750976586219</v>
      </c>
      <c r="BI47" s="7">
        <v>44</v>
      </c>
      <c r="BJ47" s="12">
        <f>[1]节奏总纲!BJ47</f>
        <v>2.300000000000002</v>
      </c>
      <c r="BK47" s="12">
        <f>[1]节奏总纲!BK47</f>
        <v>2.3460000000000023</v>
      </c>
      <c r="BL47" s="12">
        <f>[1]节奏总纲!BL47</f>
        <v>2.4380000000000024</v>
      </c>
      <c r="BM47" s="12">
        <f>[1]节奏总纲!BM47</f>
        <v>2.6220000000000021</v>
      </c>
      <c r="BN47" s="12">
        <f>[1]节奏总纲!BN47</f>
        <v>3.2200000000000029</v>
      </c>
    </row>
    <row r="48" spans="2:66" x14ac:dyDescent="0.15">
      <c r="F48" s="12">
        <f>[1]节奏总纲!F48</f>
        <v>46</v>
      </c>
      <c r="G48" s="12">
        <f>[1]节奏总纲!G48</f>
        <v>23.251465064166357</v>
      </c>
      <c r="I48" s="12">
        <f>[1]节奏总纲!I48</f>
        <v>46</v>
      </c>
      <c r="J48" s="12">
        <f>[1]节奏总纲!J48</f>
        <v>325.85912455595718</v>
      </c>
      <c r="K48" s="12">
        <f>[1]节奏总纲!K48</f>
        <v>1.1100000000000001</v>
      </c>
      <c r="N48" s="12">
        <f>[1]节奏总纲!N48</f>
        <v>55</v>
      </c>
      <c r="O48" s="8">
        <v>45</v>
      </c>
      <c r="P48" s="12">
        <f>[1]节奏总纲!P48</f>
        <v>21.627416997969519</v>
      </c>
      <c r="Q48" s="12">
        <f>[1]节奏总纲!Q48</f>
        <v>18.900199714525563</v>
      </c>
      <c r="R48" s="12">
        <f>[1]节奏总纲!R48</f>
        <v>15.604181364035009</v>
      </c>
      <c r="S48" s="12">
        <f>[1]节奏总纲!S48</f>
        <v>11.572830835613489</v>
      </c>
      <c r="T48" s="12">
        <f>[1]节奏总纲!T48</f>
        <v>6.49903880788984</v>
      </c>
      <c r="V48" s="8">
        <v>45</v>
      </c>
      <c r="W48" s="12">
        <f>[1]节奏总纲!W48</f>
        <v>1.5152904256032116</v>
      </c>
      <c r="X48" s="12">
        <f>[1]节奏总纲!X48</f>
        <v>1.3262235155918844</v>
      </c>
      <c r="Y48" s="12">
        <f>[1]节奏总纲!Y48</f>
        <v>1.083225978786535</v>
      </c>
      <c r="Z48" s="12">
        <f>[1]节奏总纲!Z48</f>
        <v>0.80479826876856819</v>
      </c>
      <c r="AA48" s="12">
        <f>[1]节奏总纲!AA48</f>
        <v>0.44528870960758216</v>
      </c>
      <c r="AC48" s="8">
        <v>45</v>
      </c>
      <c r="AD48" s="12">
        <f>[1]节奏总纲!AD48</f>
        <v>55.229416240679981</v>
      </c>
      <c r="AE48" s="12">
        <f>[1]节奏总纲!AE48</f>
        <v>57.218966664386244</v>
      </c>
      <c r="AF48" s="12">
        <f>[1]节奏总纲!AF48</f>
        <v>60.086674688654931</v>
      </c>
      <c r="AG48" s="12">
        <f>[1]节奏总纲!AG48</f>
        <v>64.399012521055653</v>
      </c>
      <c r="AH48" s="12">
        <f>[1]节奏总纲!AH48</f>
        <v>73.037155126421851</v>
      </c>
      <c r="AL48" s="8">
        <v>45</v>
      </c>
      <c r="AM48" s="12">
        <f>[1]节奏总纲!AM48</f>
        <v>281.05</v>
      </c>
      <c r="AN48" s="12">
        <f>[1]节奏总纲!AN48</f>
        <v>224.84000000000003</v>
      </c>
      <c r="AO48" s="12">
        <f>[1]节奏总纲!AO48</f>
        <v>168.63</v>
      </c>
      <c r="AP48" s="12">
        <f>[1]节奏总纲!AP48</f>
        <v>112.42000000000002</v>
      </c>
      <c r="AQ48" s="12">
        <f>[1]节奏总纲!AQ48</f>
        <v>56.210000000000008</v>
      </c>
      <c r="AS48" s="8">
        <v>45</v>
      </c>
      <c r="AT48" s="12">
        <f>[1]节奏总纲!AT48</f>
        <v>38.676570817849552</v>
      </c>
      <c r="AU48" s="12">
        <f>[1]节奏总纲!AU48</f>
        <v>30.941256654279641</v>
      </c>
      <c r="AV48" s="12">
        <f>[1]节奏总纲!AV48</f>
        <v>23.205942490709731</v>
      </c>
      <c r="AW48" s="12">
        <f>[1]节奏总纲!AW48</f>
        <v>15.470628327139821</v>
      </c>
      <c r="AX48" s="12">
        <f>[1]节奏总纲!AX48</f>
        <v>7.7353141635699103</v>
      </c>
      <c r="AY48" s="8"/>
      <c r="AZ48" s="8">
        <v>45</v>
      </c>
      <c r="BA48" s="12">
        <f>[1]节奏总纲!BA48</f>
        <v>32.842201900114915</v>
      </c>
      <c r="BB48" s="12">
        <f>[1]节奏总纲!BB48</f>
        <v>34.227825436710944</v>
      </c>
      <c r="BC48" s="12">
        <f>[1]节奏总纲!BC48</f>
        <v>36.105477566569242</v>
      </c>
      <c r="BD48" s="12">
        <f>[1]节奏总纲!BD48</f>
        <v>38.82039500446033</v>
      </c>
      <c r="BE48" s="12">
        <f>[1]节奏总纲!BE48</f>
        <v>43.479537810324807</v>
      </c>
      <c r="BI48" s="7">
        <v>45</v>
      </c>
      <c r="BJ48" s="12">
        <f>[1]节奏总纲!BJ48</f>
        <v>2.3333333333333353</v>
      </c>
      <c r="BK48" s="12">
        <f>[1]节奏总纲!BK48</f>
        <v>2.3800000000000021</v>
      </c>
      <c r="BL48" s="12">
        <f>[1]节奏总纲!BL48</f>
        <v>2.4733333333333354</v>
      </c>
      <c r="BM48" s="12">
        <f>[1]节奏总纲!BM48</f>
        <v>2.6600000000000019</v>
      </c>
      <c r="BN48" s="12">
        <f>[1]节奏总纲!BN48</f>
        <v>3.2666666666666693</v>
      </c>
    </row>
    <row r="49" spans="6:66" x14ac:dyDescent="0.15">
      <c r="F49" s="12">
        <f>[1]节奏总纲!F49</f>
        <v>47</v>
      </c>
      <c r="G49" s="12">
        <f>[1]节奏总纲!G49</f>
        <v>24.992076683399535</v>
      </c>
      <c r="I49" s="12">
        <f>[1]节奏总纲!I49</f>
        <v>47</v>
      </c>
      <c r="J49" s="12">
        <f>[1]节奏总纲!J49</f>
        <v>377.76930817680426</v>
      </c>
      <c r="K49" s="12">
        <f>[1]节奏总纲!K49</f>
        <v>1.1200000000000001</v>
      </c>
      <c r="N49" s="12">
        <f>[1]节奏总纲!N49</f>
        <v>56</v>
      </c>
      <c r="O49" s="8">
        <v>46</v>
      </c>
      <c r="P49" s="12">
        <f>[1]节奏总纲!P49</f>
        <v>23.251465064166357</v>
      </c>
      <c r="Q49" s="12">
        <f>[1]节奏总纲!Q49</f>
        <v>20.310154733549314</v>
      </c>
      <c r="R49" s="12">
        <f>[1]节奏总纲!R49</f>
        <v>16.757330871744692</v>
      </c>
      <c r="S49" s="12">
        <f>[1]节奏总纲!S49</f>
        <v>12.425582930290501</v>
      </c>
      <c r="T49" s="12">
        <f>[1]节奏总纲!T49</f>
        <v>6.9545132006921566</v>
      </c>
      <c r="V49" s="8">
        <v>46</v>
      </c>
      <c r="W49" s="12">
        <f>[1]节奏总纲!W49</f>
        <v>1.6240480661968384</v>
      </c>
      <c r="X49" s="12">
        <f>[1]节奏总纲!X49</f>
        <v>1.4099550190237515</v>
      </c>
      <c r="Y49" s="12">
        <f>[1]节奏总纲!Y49</f>
        <v>1.1531495077096832</v>
      </c>
      <c r="Z49" s="12">
        <f>[1]节奏总纲!Z49</f>
        <v>0.85275209467701174</v>
      </c>
      <c r="AA49" s="12">
        <f>[1]节奏总纲!AA49</f>
        <v>0.45547439280231661</v>
      </c>
      <c r="AC49" s="8">
        <v>46</v>
      </c>
      <c r="AD49" s="12">
        <f>[1]节奏总纲!AD49</f>
        <v>55.537288901845052</v>
      </c>
      <c r="AE49" s="12">
        <f>[1]节奏总纲!AE49</f>
        <v>57.53646043868428</v>
      </c>
      <c r="AF49" s="12">
        <f>[1]节奏总纲!AF49</f>
        <v>60.393379177879737</v>
      </c>
      <c r="AG49" s="12">
        <f>[1]节奏总纲!AG49</f>
        <v>64.710418078139355</v>
      </c>
      <c r="AH49" s="12">
        <f>[1]节奏总纲!AH49</f>
        <v>73.340924940105893</v>
      </c>
      <c r="AL49" s="8">
        <v>46</v>
      </c>
      <c r="AM49" s="12">
        <f>[1]节奏总纲!AM49</f>
        <v>325.85912455595718</v>
      </c>
      <c r="AN49" s="12">
        <f>[1]节奏总纲!AN49</f>
        <v>260.68729964476574</v>
      </c>
      <c r="AO49" s="12">
        <f>[1]节奏总纲!AO49</f>
        <v>195.51547473357431</v>
      </c>
      <c r="AP49" s="12">
        <f>[1]节奏总纲!AP49</f>
        <v>130.34364982238287</v>
      </c>
      <c r="AQ49" s="12">
        <f>[1]节奏总纲!AQ49</f>
        <v>65.171824911191436</v>
      </c>
      <c r="AS49" s="8">
        <v>46</v>
      </c>
      <c r="AT49" s="12">
        <f>[1]节奏总纲!AT49</f>
        <v>44.809124555957169</v>
      </c>
      <c r="AU49" s="12">
        <f>[1]节奏总纲!AU49</f>
        <v>35.847299644765712</v>
      </c>
      <c r="AV49" s="12">
        <f>[1]节奏总纲!AV49</f>
        <v>26.885474733574313</v>
      </c>
      <c r="AW49" s="12">
        <f>[1]节奏总纲!AW49</f>
        <v>17.923649822382856</v>
      </c>
      <c r="AX49" s="12">
        <f>[1]节奏总纲!AX49</f>
        <v>8.9618249111914281</v>
      </c>
      <c r="AY49" s="8"/>
      <c r="AZ49" s="8">
        <v>46</v>
      </c>
      <c r="BA49" s="12">
        <f>[1]节奏总纲!BA49</f>
        <v>32.987931690094548</v>
      </c>
      <c r="BB49" s="12">
        <f>[1]节奏总纲!BB49</f>
        <v>34.360958982105608</v>
      </c>
      <c r="BC49" s="12">
        <f>[1]节奏总纲!BC49</f>
        <v>36.245762114295424</v>
      </c>
      <c r="BD49" s="12">
        <f>[1]节奏总纲!BD49</f>
        <v>38.976971320055128</v>
      </c>
      <c r="BE49" s="12">
        <f>[1]节奏总纲!BE49</f>
        <v>43.629324644063402</v>
      </c>
      <c r="BI49" s="7">
        <v>46</v>
      </c>
      <c r="BJ49" s="12">
        <f>[1]节奏总纲!BJ49</f>
        <v>2.3666666666666685</v>
      </c>
      <c r="BK49" s="12">
        <f>[1]节奏总纲!BK49</f>
        <v>2.4140000000000019</v>
      </c>
      <c r="BL49" s="12">
        <f>[1]节奏总纲!BL49</f>
        <v>2.5086666666666688</v>
      </c>
      <c r="BM49" s="12">
        <f>[1]节奏总纲!BM49</f>
        <v>2.6980000000000017</v>
      </c>
      <c r="BN49" s="12">
        <f>[1]节奏总纲!BN49</f>
        <v>3.3133333333333357</v>
      </c>
    </row>
    <row r="50" spans="6:66" x14ac:dyDescent="0.15">
      <c r="F50" s="12">
        <f>[1]节奏总纲!F50</f>
        <v>48</v>
      </c>
      <c r="G50" s="12">
        <f>[1]节奏总纲!G50</f>
        <v>26.857618025475972</v>
      </c>
      <c r="I50" s="12">
        <f>[1]节奏总纲!I50</f>
        <v>48</v>
      </c>
      <c r="J50" s="12">
        <f>[1]节奏总纲!J50</f>
        <v>437.90148836012787</v>
      </c>
      <c r="K50" s="12">
        <f>[1]节奏总纲!K50</f>
        <v>1.1299999999999999</v>
      </c>
      <c r="N50" s="12">
        <f>[1]节奏总纲!N50</f>
        <v>57</v>
      </c>
      <c r="O50" s="8">
        <v>47</v>
      </c>
      <c r="P50" s="12">
        <f>[1]节奏总纲!P50</f>
        <v>24.992076683399535</v>
      </c>
      <c r="Q50" s="12">
        <f>[1]节奏总纲!Q50</f>
        <v>21.823081359944474</v>
      </c>
      <c r="R50" s="12">
        <f>[1]节奏总纲!R50</f>
        <v>17.996794419716004</v>
      </c>
      <c r="S50" s="12">
        <f>[1]节奏总纲!S50</f>
        <v>13.335772118261991</v>
      </c>
      <c r="T50" s="12">
        <f>[1]节奏总纲!T50</f>
        <v>7.4426404363163821</v>
      </c>
      <c r="V50" s="8">
        <v>47</v>
      </c>
      <c r="W50" s="12">
        <f>[1]节奏总纲!W50</f>
        <v>1.740611619233178</v>
      </c>
      <c r="X50" s="12">
        <f>[1]节奏总纲!X50</f>
        <v>1.51292662639516</v>
      </c>
      <c r="Y50" s="12">
        <f>[1]节奏总纲!Y50</f>
        <v>1.2394635479713116</v>
      </c>
      <c r="Z50" s="12">
        <f>[1]节奏总纲!Z50</f>
        <v>0.91018918797148984</v>
      </c>
      <c r="AA50" s="12">
        <f>[1]节奏总纲!AA50</f>
        <v>0.48812723562422544</v>
      </c>
      <c r="AC50" s="8">
        <v>47</v>
      </c>
      <c r="AD50" s="12">
        <f>[1]节奏总纲!AD50</f>
        <v>55.845161563010116</v>
      </c>
      <c r="AE50" s="12">
        <f>[1]节奏总纲!AE50</f>
        <v>57.853954212982316</v>
      </c>
      <c r="AF50" s="12">
        <f>[1]节奏总纲!AF50</f>
        <v>60.700083667104536</v>
      </c>
      <c r="AG50" s="12">
        <f>[1]节奏总纲!AG50</f>
        <v>65.021675833900701</v>
      </c>
      <c r="AH50" s="12">
        <f>[1]节奏总纲!AH50</f>
        <v>73.644694753789935</v>
      </c>
      <c r="AL50" s="8">
        <v>47</v>
      </c>
      <c r="AM50" s="12">
        <f>[1]节奏总纲!AM50</f>
        <v>377.76930817680426</v>
      </c>
      <c r="AN50" s="12">
        <f>[1]节奏总纲!AN50</f>
        <v>302.21544654144344</v>
      </c>
      <c r="AO50" s="12">
        <f>[1]节奏总纲!AO50</f>
        <v>226.66158490608254</v>
      </c>
      <c r="AP50" s="12">
        <f>[1]节奏总纲!AP50</f>
        <v>151.10772327072172</v>
      </c>
      <c r="AQ50" s="12">
        <f>[1]节奏总纲!AQ50</f>
        <v>75.55386163536086</v>
      </c>
      <c r="AS50" s="8">
        <v>47</v>
      </c>
      <c r="AT50" s="12">
        <f>[1]节奏总纲!AT50</f>
        <v>51.910183620847079</v>
      </c>
      <c r="AU50" s="12">
        <f>[1]节奏总纲!AU50</f>
        <v>41.528146896677697</v>
      </c>
      <c r="AV50" s="12">
        <f>[1]节奏总纲!AV50</f>
        <v>31.14611017250823</v>
      </c>
      <c r="AW50" s="12">
        <f>[1]节奏总纲!AW50</f>
        <v>20.764073448338848</v>
      </c>
      <c r="AX50" s="12">
        <f>[1]节奏总纲!AX50</f>
        <v>10.382036724169424</v>
      </c>
      <c r="AY50" s="8"/>
      <c r="AZ50" s="8">
        <v>47</v>
      </c>
      <c r="BA50" s="12">
        <f>[1]节奏总纲!BA50</f>
        <v>33.114246829746719</v>
      </c>
      <c r="BB50" s="12">
        <f>[1]节奏总纲!BB50</f>
        <v>34.494092527500278</v>
      </c>
      <c r="BC50" s="12">
        <f>[1]节奏总纲!BC50</f>
        <v>36.386046662021599</v>
      </c>
      <c r="BD50" s="12">
        <f>[1]节奏总纲!BD50</f>
        <v>39.115214427575864</v>
      </c>
      <c r="BE50" s="12">
        <f>[1]节奏总纲!BE50</f>
        <v>43.77911147780199</v>
      </c>
      <c r="BI50" s="7">
        <v>47</v>
      </c>
      <c r="BJ50" s="12">
        <f>[1]节奏总纲!BJ50</f>
        <v>2.4000000000000017</v>
      </c>
      <c r="BK50" s="12">
        <f>[1]节奏总纲!BK50</f>
        <v>2.4480000000000017</v>
      </c>
      <c r="BL50" s="12">
        <f>[1]节奏总纲!BL50</f>
        <v>2.5440000000000018</v>
      </c>
      <c r="BM50" s="12">
        <f>[1]节奏总纲!BM50</f>
        <v>2.7360000000000015</v>
      </c>
      <c r="BN50" s="12">
        <f>[1]节奏总纲!BN50</f>
        <v>3.3600000000000021</v>
      </c>
    </row>
    <row r="51" spans="6:66" x14ac:dyDescent="0.15">
      <c r="F51" s="12">
        <f>[1]节奏总纲!F51</f>
        <v>49</v>
      </c>
      <c r="G51" s="12">
        <f>[1]节奏总纲!G51</f>
        <v>28.857055729177837</v>
      </c>
      <c r="I51" s="12">
        <f>[1]节奏总纲!I51</f>
        <v>49</v>
      </c>
      <c r="J51" s="12">
        <f>[1]节奏总纲!J51</f>
        <v>507.55295278468168</v>
      </c>
      <c r="K51" s="12">
        <f>[1]节奏总纲!K51</f>
        <v>1.1399999999999999</v>
      </c>
      <c r="N51" s="12">
        <f>[1]节奏总纲!N51</f>
        <v>58</v>
      </c>
      <c r="O51" s="8">
        <v>48</v>
      </c>
      <c r="P51" s="12">
        <f>[1]节奏总纲!P51</f>
        <v>26.857618025475972</v>
      </c>
      <c r="Q51" s="12">
        <f>[1]节奏总纲!Q51</f>
        <v>23.425214441820142</v>
      </c>
      <c r="R51" s="12">
        <f>[1]节奏总纲!R51</f>
        <v>19.329427692935056</v>
      </c>
      <c r="S51" s="12">
        <f>[1]节奏总纲!S51</f>
        <v>14.269452456935383</v>
      </c>
      <c r="T51" s="12">
        <f>[1]节奏总纲!T51</f>
        <v>7.9605979827510778</v>
      </c>
      <c r="V51" s="8">
        <v>48</v>
      </c>
      <c r="W51" s="12">
        <f>[1]节奏总纲!W51</f>
        <v>1.8655413420764368</v>
      </c>
      <c r="X51" s="12">
        <f>[1]节奏总纲!X51</f>
        <v>1.6021330818756674</v>
      </c>
      <c r="Y51" s="12">
        <f>[1]节奏总纲!Y51</f>
        <v>1.3326332732190522</v>
      </c>
      <c r="Z51" s="12">
        <f>[1]节奏总纲!Z51</f>
        <v>0.93368033867339228</v>
      </c>
      <c r="AA51" s="12">
        <f>[1]节奏总纲!AA51</f>
        <v>0.51795754643469571</v>
      </c>
      <c r="AC51" s="8">
        <v>48</v>
      </c>
      <c r="AD51" s="12">
        <f>[1]节奏总纲!AD51</f>
        <v>56.142785979989682</v>
      </c>
      <c r="AE51" s="12">
        <f>[1]节奏总纲!AE51</f>
        <v>58.155157256402767</v>
      </c>
      <c r="AF51" s="12">
        <f>[1]节奏总纲!AF51</f>
        <v>61.006268532239034</v>
      </c>
      <c r="AG51" s="12">
        <f>[1]节奏总纲!AG51</f>
        <v>65.330972386106993</v>
      </c>
      <c r="AH51" s="12">
        <f>[1]节奏总纲!AH51</f>
        <v>73.948464567473962</v>
      </c>
      <c r="AL51" s="8">
        <v>48</v>
      </c>
      <c r="AM51" s="12">
        <f>[1]节奏总纲!AM51</f>
        <v>437.90148836012787</v>
      </c>
      <c r="AN51" s="12">
        <f>[1]节奏总纲!AN51</f>
        <v>350.32119068810232</v>
      </c>
      <c r="AO51" s="12">
        <f>[1]节奏总纲!AO51</f>
        <v>262.74089301607671</v>
      </c>
      <c r="AP51" s="12">
        <f>[1]节奏总纲!AP51</f>
        <v>175.16059534405116</v>
      </c>
      <c r="AQ51" s="12">
        <f>[1]节奏总纲!AQ51</f>
        <v>87.58029767202558</v>
      </c>
      <c r="AS51" s="8">
        <v>48</v>
      </c>
      <c r="AT51" s="12">
        <f>[1]节奏总纲!AT51</f>
        <v>60.132180183323612</v>
      </c>
      <c r="AU51" s="12">
        <f>[1]节奏总纲!AU51</f>
        <v>48.105744146658878</v>
      </c>
      <c r="AV51" s="12">
        <f>[1]节奏总纲!AV51</f>
        <v>36.079308109994173</v>
      </c>
      <c r="AW51" s="12">
        <f>[1]节奏总纲!AW51</f>
        <v>24.052872073329439</v>
      </c>
      <c r="AX51" s="12">
        <f>[1]节奏总纲!AX51</f>
        <v>12.02643603666472</v>
      </c>
      <c r="AY51" s="8"/>
      <c r="AZ51" s="8">
        <v>48</v>
      </c>
      <c r="BA51" s="12">
        <f>[1]节奏总纲!BA51</f>
        <v>33.238809018460984</v>
      </c>
      <c r="BB51" s="12">
        <f>[1]节奏总纲!BB51</f>
        <v>34.627226072894942</v>
      </c>
      <c r="BC51" s="12">
        <f>[1]节奏总纲!BC51</f>
        <v>36.526331209747774</v>
      </c>
      <c r="BD51" s="12">
        <f>[1]节奏总纲!BD51</f>
        <v>39.250296194358178</v>
      </c>
      <c r="BE51" s="12">
        <f>[1]节奏总纲!BE51</f>
        <v>43.928898311540578</v>
      </c>
      <c r="BI51" s="7">
        <v>48</v>
      </c>
      <c r="BJ51" s="12">
        <f>[1]节奏总纲!BJ51</f>
        <v>2.4333333333333349</v>
      </c>
      <c r="BK51" s="12">
        <f>[1]节奏总纲!BK51</f>
        <v>2.4820000000000015</v>
      </c>
      <c r="BL51" s="12">
        <f>[1]节奏总纲!BL51</f>
        <v>2.5793333333333353</v>
      </c>
      <c r="BM51" s="12">
        <f>[1]节奏总纲!BM51</f>
        <v>2.7740000000000014</v>
      </c>
      <c r="BN51" s="12">
        <f>[1]节奏总纲!BN51</f>
        <v>3.4066666666666685</v>
      </c>
    </row>
    <row r="52" spans="6:66" x14ac:dyDescent="0.15">
      <c r="F52" s="12">
        <f>[1]节奏总纲!F52</f>
        <v>50</v>
      </c>
      <c r="G52" s="12">
        <f>[1]节奏总纲!G52</f>
        <v>31</v>
      </c>
      <c r="I52" s="12">
        <f>[1]节奏总纲!I52</f>
        <v>50</v>
      </c>
      <c r="J52" s="12">
        <f>[1]节奏总纲!J52</f>
        <v>588.22499999999991</v>
      </c>
      <c r="K52" s="12">
        <f>[1]节奏总纲!K52</f>
        <v>1.1499999999999999</v>
      </c>
      <c r="N52" s="12">
        <f>[1]节奏总纲!N52</f>
        <v>59</v>
      </c>
      <c r="O52" s="8">
        <v>49</v>
      </c>
      <c r="P52" s="12">
        <f>[1]节奏总纲!P52</f>
        <v>28.857055729177837</v>
      </c>
      <c r="Q52" s="12">
        <f>[1]节奏总纲!Q52</f>
        <v>25.166238301415991</v>
      </c>
      <c r="R52" s="12">
        <f>[1]节奏总纲!R52</f>
        <v>20.719366013549685</v>
      </c>
      <c r="S52" s="12">
        <f>[1]节奏总纲!S52</f>
        <v>15.268268186307994</v>
      </c>
      <c r="T52" s="12">
        <f>[1]节奏总纲!T52</f>
        <v>8.5474599069824766</v>
      </c>
      <c r="V52" s="8">
        <v>49</v>
      </c>
      <c r="W52" s="12">
        <f>[1]节奏总纲!W52</f>
        <v>1.9994377037018651</v>
      </c>
      <c r="X52" s="12">
        <f>[1]节奏总纲!X52</f>
        <v>1.7410238595958489</v>
      </c>
      <c r="Y52" s="12">
        <f>[1]节奏总纲!Y52</f>
        <v>1.389938320614629</v>
      </c>
      <c r="Z52" s="12">
        <f>[1]节奏总纲!Z52</f>
        <v>0.99881572937261076</v>
      </c>
      <c r="AA52" s="12">
        <f>[1]节奏总纲!AA52</f>
        <v>0.58686192423139882</v>
      </c>
      <c r="AC52" s="8">
        <v>49</v>
      </c>
      <c r="AD52" s="12">
        <f>[1]节奏总纲!AD52</f>
        <v>56.430041330048923</v>
      </c>
      <c r="AE52" s="12">
        <f>[1]节奏总纲!AE52</f>
        <v>58.442483247955479</v>
      </c>
      <c r="AF52" s="12">
        <f>[1]节奏总纲!AF52</f>
        <v>61.289495211956165</v>
      </c>
      <c r="AG52" s="12">
        <f>[1]节奏总纲!AG52</f>
        <v>65.640268938313284</v>
      </c>
      <c r="AH52" s="12">
        <f>[1]节奏总纲!AH52</f>
        <v>74.231558509323534</v>
      </c>
      <c r="AL52" s="8">
        <v>49</v>
      </c>
      <c r="AM52" s="12">
        <f>[1]节奏总纲!AM52</f>
        <v>507.55295278468168</v>
      </c>
      <c r="AN52" s="12">
        <f>[1]节奏总纲!AN52</f>
        <v>406.04236222774534</v>
      </c>
      <c r="AO52" s="12">
        <f>[1]节奏总纲!AO52</f>
        <v>304.53177167080901</v>
      </c>
      <c r="AP52" s="12">
        <f>[1]节奏总纲!AP52</f>
        <v>203.02118111387267</v>
      </c>
      <c r="AQ52" s="12">
        <f>[1]节奏总纲!AQ52</f>
        <v>101.51059055693634</v>
      </c>
      <c r="AS52" s="8">
        <v>49</v>
      </c>
      <c r="AT52" s="12">
        <f>[1]节奏总纲!AT52</f>
        <v>69.651464424553808</v>
      </c>
      <c r="AU52" s="12">
        <f>[1]节奏总纲!AU52</f>
        <v>55.721171539643024</v>
      </c>
      <c r="AV52" s="12">
        <f>[1]节奏总纲!AV52</f>
        <v>41.790878654732296</v>
      </c>
      <c r="AW52" s="12">
        <f>[1]节奏总纲!AW52</f>
        <v>27.860585769821512</v>
      </c>
      <c r="AX52" s="12">
        <f>[1]节奏总纲!AX52</f>
        <v>13.930292884910756</v>
      </c>
      <c r="AY52" s="8"/>
      <c r="AZ52" s="8">
        <v>49</v>
      </c>
      <c r="BA52" s="12">
        <f>[1]节奏总纲!BA52</f>
        <v>33.363371207175248</v>
      </c>
      <c r="BB52" s="12">
        <f>[1]节奏总纲!BB52</f>
        <v>34.760359618289606</v>
      </c>
      <c r="BC52" s="12">
        <f>[1]节奏总纲!BC52</f>
        <v>36.666615757473956</v>
      </c>
      <c r="BD52" s="12">
        <f>[1]节奏总纲!BD52</f>
        <v>39.385377961140485</v>
      </c>
      <c r="BE52" s="12">
        <f>[1]节奏总纲!BE52</f>
        <v>44.067911160744309</v>
      </c>
      <c r="BI52" s="7">
        <v>49</v>
      </c>
      <c r="BJ52" s="12">
        <f>[1]节奏总纲!BJ52</f>
        <v>2.4666666666666681</v>
      </c>
      <c r="BK52" s="12">
        <f>[1]节奏总纲!BK52</f>
        <v>2.5160000000000013</v>
      </c>
      <c r="BL52" s="12">
        <f>[1]节奏总纲!BL52</f>
        <v>2.6146666666666682</v>
      </c>
      <c r="BM52" s="12">
        <f>[1]节奏总纲!BM52</f>
        <v>2.8120000000000016</v>
      </c>
      <c r="BN52" s="12">
        <f>[1]节奏总纲!BN52</f>
        <v>3.4533333333333354</v>
      </c>
    </row>
    <row r="53" spans="6:66" x14ac:dyDescent="0.15">
      <c r="F53" s="12">
        <f>[1]节奏总纲!F53</f>
        <v>51</v>
      </c>
      <c r="G53" s="12">
        <f>[1]节奏总纲!G53</f>
        <v>33.296750801161366</v>
      </c>
      <c r="K53" s="6"/>
      <c r="N53" s="12">
        <f>[1]节奏总纲!N53</f>
        <v>60</v>
      </c>
      <c r="O53" s="8">
        <v>50</v>
      </c>
      <c r="P53" s="12">
        <f>[1]节奏总纲!P53</f>
        <v>31</v>
      </c>
      <c r="Q53" s="12">
        <f>[1]节奏总纲!Q53</f>
        <v>27.0351</v>
      </c>
      <c r="R53" s="12">
        <f>[1]节奏总纲!R53</f>
        <v>22.205300000000001</v>
      </c>
      <c r="S53" s="12">
        <f>[1]节奏总纲!S53</f>
        <v>16.386599999999998</v>
      </c>
      <c r="T53" s="12">
        <f>[1]节奏总纲!T53</f>
        <v>9.1883999999999997</v>
      </c>
      <c r="V53" s="8">
        <v>50</v>
      </c>
      <c r="W53" s="12">
        <f>[1]节奏总纲!W53</f>
        <v>2.1429442708221629</v>
      </c>
      <c r="X53" s="12">
        <f>[1]节奏总纲!X53</f>
        <v>1.8688616985840092</v>
      </c>
      <c r="Y53" s="12">
        <f>[1]节奏总纲!Y53</f>
        <v>1.4859339864503163</v>
      </c>
      <c r="Z53" s="12">
        <f>[1]节奏总纲!Z53</f>
        <v>1.118331813692004</v>
      </c>
      <c r="AA53" s="12">
        <f>[1]节奏总纲!AA53</f>
        <v>0.64094009301752308</v>
      </c>
      <c r="AC53" s="8">
        <v>50</v>
      </c>
      <c r="AD53" s="12">
        <f>[1]节奏总纲!AD53</f>
        <v>56.717296680108156</v>
      </c>
      <c r="AE53" s="12">
        <f>[1]节奏总纲!AE53</f>
        <v>58.729809239508185</v>
      </c>
      <c r="AF53" s="12">
        <f>[1]节奏总纲!AF53</f>
        <v>61.572721891673297</v>
      </c>
      <c r="AG53" s="12">
        <f>[1]节奏总纲!AG53</f>
        <v>65.949565490519575</v>
      </c>
      <c r="AH53" s="12">
        <f>[1]节奏总纲!AH53</f>
        <v>74.51042804689898</v>
      </c>
      <c r="AL53" s="8">
        <v>50</v>
      </c>
      <c r="AM53" s="12">
        <f>[1]节奏总纲!AM53</f>
        <v>588.22499999999991</v>
      </c>
      <c r="AN53" s="12">
        <f>[1]节奏总纲!AN53</f>
        <v>470.57999999999993</v>
      </c>
      <c r="AO53" s="12">
        <f>[1]节奏总纲!AO53</f>
        <v>352.93499999999995</v>
      </c>
      <c r="AP53" s="12">
        <f>[1]节奏总纲!AP53</f>
        <v>235.28999999999996</v>
      </c>
      <c r="AQ53" s="12">
        <f>[1]节奏总纲!AQ53</f>
        <v>117.64499999999998</v>
      </c>
      <c r="AS53" s="8">
        <v>50</v>
      </c>
      <c r="AT53" s="12">
        <f>[1]节奏总纲!AT53</f>
        <v>80.67204721531823</v>
      </c>
      <c r="AU53" s="12">
        <f>[1]节奏总纲!AU53</f>
        <v>64.537637772254584</v>
      </c>
      <c r="AV53" s="12">
        <f>[1]节奏总纲!AV53</f>
        <v>48.403228329190938</v>
      </c>
      <c r="AW53" s="12">
        <f>[1]节奏总纲!AW53</f>
        <v>32.268818886127292</v>
      </c>
      <c r="AX53" s="12">
        <f>[1]节奏总纲!AX53</f>
        <v>16.134409443063646</v>
      </c>
      <c r="AY53" s="8"/>
      <c r="AZ53" s="8">
        <v>50</v>
      </c>
      <c r="BA53" s="12">
        <f>[1]节奏总纲!BA53</f>
        <v>33.487933395889513</v>
      </c>
      <c r="BB53" s="12">
        <f>[1]节奏总纲!BB53</f>
        <v>34.893493163684269</v>
      </c>
      <c r="BC53" s="12">
        <f>[1]节奏总纲!BC53</f>
        <v>36.806900305200131</v>
      </c>
      <c r="BD53" s="12">
        <f>[1]节奏总纲!BD53</f>
        <v>39.520459727922798</v>
      </c>
      <c r="BE53" s="12">
        <f>[1]节奏总纲!BE53</f>
        <v>44.197188392263818</v>
      </c>
      <c r="BI53" s="7">
        <v>50</v>
      </c>
      <c r="BJ53" s="12">
        <f>[1]节奏总纲!BJ53</f>
        <v>2.5000000000000013</v>
      </c>
      <c r="BK53" s="12">
        <f>[1]节奏总纲!BK53</f>
        <v>2.5500000000000016</v>
      </c>
      <c r="BL53" s="12">
        <f>[1]节奏总纲!BL53</f>
        <v>2.6500000000000017</v>
      </c>
      <c r="BM53" s="12">
        <f>[1]节奏总纲!BM53</f>
        <v>2.8500000000000014</v>
      </c>
      <c r="BN53" s="12">
        <f>[1]节奏总纲!BN53</f>
        <v>3.5000000000000018</v>
      </c>
    </row>
    <row r="54" spans="6:66" x14ac:dyDescent="0.15">
      <c r="F54" s="12">
        <f>[1]节奏总纲!F54</f>
        <v>52</v>
      </c>
      <c r="G54" s="12">
        <f>[1]节奏总纲!G54</f>
        <v>35.758347359905123</v>
      </c>
      <c r="K54" s="6"/>
      <c r="N54" s="12">
        <f>[1]节奏总纲!N54</f>
        <v>61</v>
      </c>
      <c r="O54" s="8">
        <v>51</v>
      </c>
      <c r="P54" s="12">
        <f>[1]节奏总纲!P54</f>
        <v>33.296750801161366</v>
      </c>
      <c r="Q54" s="12">
        <f>[1]节奏总纲!Q54</f>
        <v>28.928217096048996</v>
      </c>
      <c r="R54" s="12">
        <f>[1]节奏总纲!R54</f>
        <v>23.783869097269566</v>
      </c>
      <c r="S54" s="12">
        <f>[1]节奏总纲!S54</f>
        <v>17.587343773173433</v>
      </c>
      <c r="T54" s="12">
        <f>[1]节奏总纲!T54</f>
        <v>9.8458492119034169</v>
      </c>
      <c r="V54" s="8">
        <v>51</v>
      </c>
      <c r="W54" s="12">
        <f>[1]节奏总纲!W54</f>
        <v>2.296750801161366</v>
      </c>
      <c r="X54" s="12">
        <f>[1]节奏总纲!X54</f>
        <v>1.8931170960489965</v>
      </c>
      <c r="Y54" s="12">
        <f>[1]节奏总纲!Y54</f>
        <v>1.5785690972695647</v>
      </c>
      <c r="Z54" s="12">
        <f>[1]节奏总纲!Z54</f>
        <v>1.2007437731734356</v>
      </c>
      <c r="AA54" s="12">
        <f>[1]节奏总纲!AA54</f>
        <v>0.65744921190341721</v>
      </c>
      <c r="AC54" s="8">
        <v>51</v>
      </c>
      <c r="AD54" s="12">
        <f>[1]节奏总纲!AD54</f>
        <v>57.004247194324648</v>
      </c>
      <c r="AE54" s="12">
        <f>[1]节奏总纲!AE54</f>
        <v>59.016342740868758</v>
      </c>
      <c r="AF54" s="12">
        <f>[1]节奏总纲!AF54</f>
        <v>61.855948571390428</v>
      </c>
      <c r="AG54" s="12">
        <f>[1]节奏总纲!AG54</f>
        <v>66.241691764589476</v>
      </c>
      <c r="AH54" s="12">
        <f>[1]节奏总纲!AH54</f>
        <v>74.789297584474426</v>
      </c>
      <c r="AZ54" s="8">
        <v>51</v>
      </c>
      <c r="BA54" s="12">
        <f>[1]节奏总纲!BA54</f>
        <v>33.612495584603778</v>
      </c>
      <c r="BB54" s="12">
        <f>[1]节奏总纲!BB54</f>
        <v>35.024397713965918</v>
      </c>
      <c r="BC54" s="12">
        <f>[1]节奏总纲!BC54</f>
        <v>36.947184852926306</v>
      </c>
      <c r="BD54" s="12">
        <f>[1]节奏总纲!BD54</f>
        <v>39.655541494705105</v>
      </c>
      <c r="BE54" s="12">
        <f>[1]节奏总纲!BE54</f>
        <v>44.326465623783335</v>
      </c>
      <c r="BI54" s="7">
        <v>51</v>
      </c>
      <c r="BJ54" s="12">
        <f>[1]节奏总纲!BJ54</f>
        <v>2.5333333333333345</v>
      </c>
      <c r="BK54" s="12">
        <f>[1]节奏总纲!BK54</f>
        <v>2.5840000000000014</v>
      </c>
      <c r="BL54" s="12">
        <f>[1]节奏总纲!BL54</f>
        <v>2.6853333333333347</v>
      </c>
      <c r="BM54" s="12">
        <f>[1]节奏总纲!BM54</f>
        <v>2.8880000000000012</v>
      </c>
      <c r="BN54" s="12">
        <f>[1]节奏总纲!BN54</f>
        <v>3.5466666666666682</v>
      </c>
    </row>
    <row r="55" spans="6:66" x14ac:dyDescent="0.15">
      <c r="F55" s="12">
        <f>[1]节奏总纲!F55</f>
        <v>53</v>
      </c>
      <c r="G55" s="12">
        <f>[1]节奏总纲!G55</f>
        <v>38.396621227037308</v>
      </c>
      <c r="K55" s="6"/>
      <c r="N55" s="12">
        <f>[1]节奏总纲!N55</f>
        <v>62</v>
      </c>
      <c r="O55" s="8">
        <v>52</v>
      </c>
      <c r="P55" s="12">
        <f>[1]节奏总纲!P55</f>
        <v>35.758347359905123</v>
      </c>
      <c r="Q55" s="12">
        <f>[1]节奏总纲!Q55</f>
        <v>31.081155525229534</v>
      </c>
      <c r="R55" s="12">
        <f>[1]节奏总纲!R55</f>
        <v>25.606552544428059</v>
      </c>
      <c r="S55" s="12">
        <f>[1]节奏总纲!S55</f>
        <v>18.930469092333773</v>
      </c>
      <c r="T55" s="12">
        <f>[1]节奏总纲!T55</f>
        <v>10.570167479587953</v>
      </c>
      <c r="V55" s="8">
        <v>52</v>
      </c>
      <c r="W55" s="12">
        <f>[1]节奏总纲!W55</f>
        <v>2.4615965587437572</v>
      </c>
      <c r="X55" s="12">
        <f>[1]节奏总纲!X55</f>
        <v>2.1529384291805371</v>
      </c>
      <c r="Y55" s="12">
        <f>[1]节奏总纲!Y55</f>
        <v>1.822683447158493</v>
      </c>
      <c r="Z55" s="12">
        <f>[1]节奏总纲!Z55</f>
        <v>1.3431253191603396</v>
      </c>
      <c r="AA55" s="12">
        <f>[1]节奏总纲!AA55</f>
        <v>0.72431826768453611</v>
      </c>
      <c r="AC55" s="8">
        <v>52</v>
      </c>
      <c r="AD55" s="12">
        <f>[1]节奏总纲!AD55</f>
        <v>57.27226591292537</v>
      </c>
      <c r="AE55" s="12">
        <f>[1]节奏总纲!AE55</f>
        <v>59.290380144164828</v>
      </c>
      <c r="AF55" s="12">
        <f>[1]节奏总纲!AF55</f>
        <v>62.130298748930763</v>
      </c>
      <c r="AG55" s="12">
        <f>[1]节奏总纲!AG55</f>
        <v>66.530472725664353</v>
      </c>
      <c r="AH55" s="12">
        <f>[1]节奏总纲!AH55</f>
        <v>75.062532510920803</v>
      </c>
      <c r="AZ55" s="8">
        <v>52</v>
      </c>
      <c r="BA55" s="12">
        <f>[1]节奏总纲!BA55</f>
        <v>33.737057773318043</v>
      </c>
      <c r="BB55" s="12">
        <f>[1]节奏总纲!BB55</f>
        <v>35.146386283795508</v>
      </c>
      <c r="BC55" s="12">
        <f>[1]节奏总纲!BC55</f>
        <v>37.075448197698059</v>
      </c>
      <c r="BD55" s="12">
        <f>[1]节奏总纲!BD55</f>
        <v>39.790623261487418</v>
      </c>
      <c r="BE55" s="12">
        <f>[1]节奏总纲!BE55</f>
        <v>44.455742855302844</v>
      </c>
      <c r="BI55" s="7">
        <v>52</v>
      </c>
      <c r="BJ55" s="12">
        <f>[1]节奏总纲!BJ55</f>
        <v>2.5666666666666678</v>
      </c>
      <c r="BK55" s="12">
        <f>[1]节奏总纲!BK55</f>
        <v>2.6180000000000012</v>
      </c>
      <c r="BL55" s="12">
        <f>[1]节奏总纲!BL55</f>
        <v>2.7206666666666681</v>
      </c>
      <c r="BM55" s="12">
        <f>[1]节奏总纲!BM55</f>
        <v>2.926000000000001</v>
      </c>
      <c r="BN55" s="12">
        <f>[1]节奏总纲!BN55</f>
        <v>3.5933333333333346</v>
      </c>
    </row>
    <row r="56" spans="6:66" x14ac:dyDescent="0.15">
      <c r="F56" s="12">
        <f>[1]节奏总纲!F56</f>
        <v>54</v>
      </c>
      <c r="G56" s="12">
        <f>[1]节奏总纲!G56</f>
        <v>41.224253144732614</v>
      </c>
      <c r="K56" s="6"/>
      <c r="N56" s="12">
        <f>[1]节奏总纲!N56</f>
        <v>63</v>
      </c>
      <c r="O56" s="8">
        <v>53</v>
      </c>
      <c r="P56" s="12">
        <f>[1]节奏总纲!P56</f>
        <v>38.396621227037308</v>
      </c>
      <c r="Q56" s="12">
        <f>[1]节奏总纲!Q56</f>
        <v>33.42809844025868</v>
      </c>
      <c r="R56" s="12">
        <f>[1]节奏总纲!R56</f>
        <v>27.5802930273809</v>
      </c>
      <c r="S56" s="12">
        <f>[1]节奏总纲!S56</f>
        <v>20.319491953348145</v>
      </c>
      <c r="T56" s="12">
        <f>[1]节奏总纲!T56</f>
        <v>11.338522248344118</v>
      </c>
      <c r="V56" s="8">
        <v>53</v>
      </c>
      <c r="W56" s="12">
        <f>[1]节奏总纲!W56</f>
        <v>2.6382738671321846</v>
      </c>
      <c r="X56" s="12">
        <f>[1]节奏总纲!X56</f>
        <v>2.3469429150291461</v>
      </c>
      <c r="Y56" s="12">
        <f>[1]节奏总纲!Y56</f>
        <v>1.9737404829528415</v>
      </c>
      <c r="Z56" s="12">
        <f>[1]节奏总纲!Z56</f>
        <v>1.3890228610143716</v>
      </c>
      <c r="AA56" s="12">
        <f>[1]节奏总纲!AA56</f>
        <v>0.76835476875616493</v>
      </c>
      <c r="AC56" s="8">
        <v>53</v>
      </c>
      <c r="AD56" s="12">
        <f>[1]节奏总纲!AD56</f>
        <v>57.540284631526099</v>
      </c>
      <c r="AE56" s="12">
        <f>[1]节奏总纲!AE56</f>
        <v>59.564417547460899</v>
      </c>
      <c r="AF56" s="12">
        <f>[1]节奏总纲!AF56</f>
        <v>62.395461425033538</v>
      </c>
      <c r="AG56" s="12">
        <f>[1]节奏总纲!AG56</f>
        <v>66.819253686739231</v>
      </c>
      <c r="AH56" s="12">
        <f>[1]节奏总纲!AH56</f>
        <v>75.318351032805268</v>
      </c>
      <c r="AZ56" s="8">
        <v>53</v>
      </c>
      <c r="BA56" s="12">
        <f>[1]节奏总纲!BA56</f>
        <v>33.861619962032307</v>
      </c>
      <c r="BB56" s="12">
        <f>[1]节奏总纲!BB56</f>
        <v>35.268374853625097</v>
      </c>
      <c r="BC56" s="12">
        <f>[1]节奏总纲!BC56</f>
        <v>37.196452985793947</v>
      </c>
      <c r="BD56" s="12">
        <f>[1]节奏总纲!BD56</f>
        <v>39.925705028269732</v>
      </c>
      <c r="BE56" s="12">
        <f>[1]节奏总纲!BE56</f>
        <v>44.585020086822361</v>
      </c>
      <c r="BI56" s="7">
        <v>53</v>
      </c>
      <c r="BJ56" s="12">
        <f>[1]节奏总纲!BJ56</f>
        <v>2.600000000000001</v>
      </c>
      <c r="BK56" s="12">
        <f>[1]节奏总纲!BK56</f>
        <v>2.652000000000001</v>
      </c>
      <c r="BL56" s="12">
        <f>[1]节奏总纲!BL56</f>
        <v>2.7560000000000011</v>
      </c>
      <c r="BM56" s="12">
        <f>[1]节奏总纲!BM56</f>
        <v>2.9640000000000009</v>
      </c>
      <c r="BN56" s="12">
        <f>[1]节奏总纲!BN56</f>
        <v>3.640000000000001</v>
      </c>
    </row>
    <row r="57" spans="6:66" x14ac:dyDescent="0.15">
      <c r="F57" s="12">
        <f>[1]节奏总纲!F57</f>
        <v>55</v>
      </c>
      <c r="G57" s="12">
        <f>[1]节奏总纲!G57</f>
        <v>44.254833995939045</v>
      </c>
      <c r="K57" s="6"/>
      <c r="N57" s="12">
        <f>[1]节奏总纲!N57</f>
        <v>64</v>
      </c>
      <c r="O57" s="8">
        <v>54</v>
      </c>
      <c r="P57" s="12">
        <f>[1]节奏总纲!P57</f>
        <v>41.224253144732614</v>
      </c>
      <c r="Q57" s="12">
        <f>[1]节奏总纲!Q57</f>
        <v>35.947548742206841</v>
      </c>
      <c r="R57" s="12">
        <f>[1]节奏总纲!R57</f>
        <v>29.553667079458812</v>
      </c>
      <c r="S57" s="12">
        <f>[1]节奏总纲!S57</f>
        <v>21.762283235104348</v>
      </c>
      <c r="T57" s="12">
        <f>[1]节奏总纲!T57</f>
        <v>12.111685573922442</v>
      </c>
      <c r="V57" s="8">
        <v>54</v>
      </c>
      <c r="W57" s="12">
        <f>[1]节奏总纲!W57</f>
        <v>2.8276319176953066</v>
      </c>
      <c r="X57" s="12">
        <f>[1]节奏总纲!X57</f>
        <v>2.5194503019481616</v>
      </c>
      <c r="Y57" s="12">
        <f>[1]节奏总纲!Y57</f>
        <v>1.9733740520779115</v>
      </c>
      <c r="Z57" s="12">
        <f>[1]节奏总纲!Z57</f>
        <v>1.4427912817562039</v>
      </c>
      <c r="AA57" s="12">
        <f>[1]节奏总纲!AA57</f>
        <v>0.77316332557832368</v>
      </c>
      <c r="AC57" s="8">
        <v>54</v>
      </c>
      <c r="AD57" s="12">
        <f>[1]节奏总纲!AD57</f>
        <v>57.80830335012682</v>
      </c>
      <c r="AE57" s="12">
        <f>[1]节奏总纲!AE57</f>
        <v>59.838454950756969</v>
      </c>
      <c r="AF57" s="12">
        <f>[1]节奏总纲!AF57</f>
        <v>62.660624101136307</v>
      </c>
      <c r="AG57" s="12">
        <f>[1]节奏总纲!AG57</f>
        <v>67.098789255934349</v>
      </c>
      <c r="AH57" s="12">
        <f>[1]节奏总纲!AH57</f>
        <v>75.574169554689718</v>
      </c>
      <c r="AZ57" s="8">
        <v>54</v>
      </c>
      <c r="BA57" s="12">
        <f>[1]节奏总纲!BA57</f>
        <v>33.986182150746572</v>
      </c>
      <c r="BB57" s="12">
        <f>[1]节奏总纲!BB57</f>
        <v>35.390363423454687</v>
      </c>
      <c r="BC57" s="12">
        <f>[1]节奏总纲!BC57</f>
        <v>37.317457773889828</v>
      </c>
      <c r="BD57" s="12">
        <f>[1]节奏总纲!BD57</f>
        <v>40.052446592012309</v>
      </c>
      <c r="BE57" s="12">
        <f>[1]节奏总纲!BE57</f>
        <v>44.71429731834187</v>
      </c>
      <c r="BI57" s="7">
        <v>54</v>
      </c>
      <c r="BJ57" s="12">
        <f>[1]节奏总纲!BJ57</f>
        <v>2.6333333333333342</v>
      </c>
      <c r="BK57" s="12">
        <f>[1]节奏总纲!BK57</f>
        <v>2.6860000000000008</v>
      </c>
      <c r="BL57" s="12">
        <f>[1]节奏总纲!BL57</f>
        <v>2.7913333333333346</v>
      </c>
      <c r="BM57" s="12">
        <f>[1]节奏总纲!BM57</f>
        <v>3.0020000000000007</v>
      </c>
      <c r="BN57" s="12">
        <f>[1]节奏总纲!BN57</f>
        <v>3.6866666666666674</v>
      </c>
    </row>
    <row r="58" spans="6:66" x14ac:dyDescent="0.15">
      <c r="F58" s="12">
        <f>[1]节奏总纲!F58</f>
        <v>56</v>
      </c>
      <c r="G58" s="12">
        <f>[1]节奏总纲!G58</f>
        <v>47.502930128332721</v>
      </c>
      <c r="K58" s="6"/>
      <c r="N58" s="12">
        <f>[1]节奏总纲!N58</f>
        <v>65</v>
      </c>
      <c r="O58" s="8">
        <v>55</v>
      </c>
      <c r="P58" s="12">
        <f>[1]节奏总纲!P58</f>
        <v>44.254833995939045</v>
      </c>
      <c r="Q58" s="12">
        <f>[1]节奏总纲!Q58</f>
        <v>38.53268396026413</v>
      </c>
      <c r="R58" s="12">
        <f>[1]节奏总纲!R58</f>
        <v>31.642206307096416</v>
      </c>
      <c r="S58" s="12">
        <f>[1]节奏总纲!S58</f>
        <v>23.282468165263531</v>
      </c>
      <c r="T58" s="12">
        <f>[1]节奏总纲!T58</f>
        <v>12.944538943812169</v>
      </c>
      <c r="V58" s="8">
        <v>55</v>
      </c>
      <c r="W58" s="12">
        <f>[1]节奏总纲!W58</f>
        <v>3.0305808512064303</v>
      </c>
      <c r="X58" s="12">
        <f>[1]节奏总纲!X58</f>
        <v>2.5851352180572889</v>
      </c>
      <c r="Y58" s="12">
        <f>[1]节奏总纲!Y58</f>
        <v>2.0885392276376038</v>
      </c>
      <c r="Z58" s="12">
        <f>[1]节奏总纲!Z58</f>
        <v>1.5201849301591821</v>
      </c>
      <c r="AA58" s="12">
        <f>[1]节奏总纲!AA58</f>
        <v>0.8328533698897278</v>
      </c>
      <c r="AC58" s="8">
        <v>55</v>
      </c>
      <c r="AD58" s="12">
        <f>[1]节奏总纲!AD58</f>
        <v>58.071211008105138</v>
      </c>
      <c r="AE58" s="12">
        <f>[1]节奏总纲!AE58</f>
        <v>60.102437883401088</v>
      </c>
      <c r="AF58" s="12">
        <f>[1]节奏总纲!AF58</f>
        <v>62.925786777239075</v>
      </c>
      <c r="AG58" s="12">
        <f>[1]节奏总纲!AG58</f>
        <v>67.36285691246691</v>
      </c>
      <c r="AH58" s="12">
        <f>[1]节奏总纲!AH58</f>
        <v>75.829988076574182</v>
      </c>
      <c r="AZ58" s="8">
        <v>55</v>
      </c>
      <c r="BA58" s="12">
        <f>[1]节奏总纲!BA58</f>
        <v>34.09469189131628</v>
      </c>
      <c r="BB58" s="12">
        <f>[1]节奏总纲!BB58</f>
        <v>35.512351993284277</v>
      </c>
      <c r="BC58" s="12">
        <f>[1]节奏总纲!BC58</f>
        <v>37.438462561985709</v>
      </c>
      <c r="BD58" s="12">
        <f>[1]节奏总纲!BD58</f>
        <v>40.168994574261895</v>
      </c>
      <c r="BE58" s="12">
        <f>[1]节奏总纲!BE58</f>
        <v>44.843574549861387</v>
      </c>
      <c r="BI58" s="7">
        <v>55</v>
      </c>
      <c r="BJ58" s="12">
        <f>[1]节奏总纲!BJ58</f>
        <v>2.6666666666666674</v>
      </c>
      <c r="BK58" s="12">
        <f>[1]节奏总纲!BK58</f>
        <v>2.7200000000000006</v>
      </c>
      <c r="BL58" s="12">
        <f>[1]节奏总纲!BL58</f>
        <v>2.8266666666666675</v>
      </c>
      <c r="BM58" s="12">
        <f>[1]节奏总纲!BM58</f>
        <v>3.0400000000000005</v>
      </c>
      <c r="BN58" s="12">
        <f>[1]节奏总纲!BN58</f>
        <v>3.7333333333333343</v>
      </c>
    </row>
    <row r="59" spans="6:66" x14ac:dyDescent="0.15">
      <c r="F59" s="12">
        <f>[1]节奏总纲!F59</f>
        <v>57</v>
      </c>
      <c r="G59" s="12">
        <f>[1]节奏总纲!G59</f>
        <v>50.984153366799077</v>
      </c>
      <c r="K59" s="6"/>
      <c r="N59" s="12">
        <f>[1]节奏总纲!N59</f>
        <v>66</v>
      </c>
      <c r="O59" s="8">
        <v>56</v>
      </c>
      <c r="P59" s="12">
        <f>[1]节奏总纲!P59</f>
        <v>47.502930128332721</v>
      </c>
      <c r="Q59" s="12">
        <f>[1]节奏总纲!Q59</f>
        <v>41.275295988508304</v>
      </c>
      <c r="R59" s="12">
        <f>[1]节奏总纲!R59</f>
        <v>33.888590353552566</v>
      </c>
      <c r="S59" s="12">
        <f>[1]节奏总纲!S59</f>
        <v>24.910536559297679</v>
      </c>
      <c r="T59" s="12">
        <f>[1]节奏总纲!T59</f>
        <v>13.837603546383322</v>
      </c>
      <c r="V59" s="8">
        <v>56</v>
      </c>
      <c r="W59" s="12">
        <f>[1]节奏总纲!W59</f>
        <v>3.2480961323936768</v>
      </c>
      <c r="X59" s="12">
        <f>[1]节奏总纲!X59</f>
        <v>2.7426120282441744</v>
      </c>
      <c r="Y59" s="12">
        <f>[1]节奏总纲!Y59</f>
        <v>2.24638404645615</v>
      </c>
      <c r="Z59" s="12">
        <f>[1]节奏总纲!Z59</f>
        <v>1.6280683940341483</v>
      </c>
      <c r="AA59" s="12">
        <f>[1]节奏总纲!AA59</f>
        <v>0.89306460257115283</v>
      </c>
      <c r="AC59" s="8">
        <v>56</v>
      </c>
      <c r="AD59" s="12">
        <f>[1]节奏总纲!AD59</f>
        <v>58.321281314909029</v>
      </c>
      <c r="AE59" s="12">
        <f>[1]节奏总纲!AE59</f>
        <v>60.351982057337977</v>
      </c>
      <c r="AF59" s="12">
        <f>[1]节奏总纲!AF59</f>
        <v>63.17626763611517</v>
      </c>
      <c r="AG59" s="12">
        <f>[1]节奏总纲!AG59</f>
        <v>67.626924568999456</v>
      </c>
      <c r="AH59" s="12">
        <f>[1]节奏总纲!AH59</f>
        <v>76.086647524934079</v>
      </c>
      <c r="AZ59" s="8">
        <v>56</v>
      </c>
      <c r="BA59" s="12">
        <f>[1]节奏总纲!BA59</f>
        <v>34.201198727632011</v>
      </c>
      <c r="BB59" s="12">
        <f>[1]节奏总纲!BB59</f>
        <v>35.634340563113874</v>
      </c>
      <c r="BC59" s="12">
        <f>[1]节奏总纲!BC59</f>
        <v>37.55946735008159</v>
      </c>
      <c r="BD59" s="12">
        <f>[1]节奏总纲!BD59</f>
        <v>40.28554255651148</v>
      </c>
      <c r="BE59" s="12">
        <f>[1]节奏总纲!BE59</f>
        <v>44.972851781380903</v>
      </c>
      <c r="BI59" s="7">
        <v>56</v>
      </c>
      <c r="BJ59" s="12">
        <f>[1]节奏总纲!BJ59</f>
        <v>2.7000000000000006</v>
      </c>
      <c r="BK59" s="12">
        <f>[1]节奏总纲!BK59</f>
        <v>2.7540000000000009</v>
      </c>
      <c r="BL59" s="12">
        <f>[1]节奏总纲!BL59</f>
        <v>2.862000000000001</v>
      </c>
      <c r="BM59" s="12">
        <f>[1]节奏总纲!BM59</f>
        <v>3.0780000000000003</v>
      </c>
      <c r="BN59" s="12">
        <f>[1]节奏总纲!BN59</f>
        <v>3.7800000000000007</v>
      </c>
    </row>
    <row r="60" spans="6:66" x14ac:dyDescent="0.15">
      <c r="F60" s="12">
        <f>[1]节奏总纲!F60</f>
        <v>58</v>
      </c>
      <c r="G60" s="12">
        <f>[1]节奏总纲!G60</f>
        <v>54.715236050951923</v>
      </c>
      <c r="K60" s="6"/>
      <c r="N60" s="12">
        <f>[1]节奏总纲!N60</f>
        <v>67</v>
      </c>
      <c r="O60" s="8">
        <v>57</v>
      </c>
      <c r="P60" s="12">
        <f>[1]节奏总纲!P60</f>
        <v>50.984153366799077</v>
      </c>
      <c r="Q60" s="12">
        <f>[1]节奏总纲!Q60</f>
        <v>44.310327691085078</v>
      </c>
      <c r="R60" s="12">
        <f>[1]节奏总纲!R60</f>
        <v>36.316012443170983</v>
      </c>
      <c r="S60" s="12">
        <f>[1]节奏总纲!S60</f>
        <v>26.664712210835919</v>
      </c>
      <c r="T60" s="12">
        <f>[1]节奏总纲!T60</f>
        <v>14.815994968391813</v>
      </c>
      <c r="V60" s="8">
        <v>57</v>
      </c>
      <c r="W60" s="12">
        <f>[1]节奏总纲!W60</f>
        <v>3.481223238466356</v>
      </c>
      <c r="X60" s="12">
        <f>[1]节奏总纲!X60</f>
        <v>3.0350317025767737</v>
      </c>
      <c r="Y60" s="12">
        <f>[1]节奏总纲!Y60</f>
        <v>2.4274220896184175</v>
      </c>
      <c r="Z60" s="12">
        <f>[1]节奏总纲!Z60</f>
        <v>1.7541756515382403</v>
      </c>
      <c r="AA60" s="12">
        <f>[1]节奏总纲!AA60</f>
        <v>0.97839142200849061</v>
      </c>
      <c r="AC60" s="8">
        <v>57</v>
      </c>
      <c r="AD60" s="12">
        <f>[1]节奏总纲!AD60</f>
        <v>58.571351621712921</v>
      </c>
      <c r="AE60" s="12">
        <f>[1]节奏总纲!AE60</f>
        <v>60.60152623127486</v>
      </c>
      <c r="AF60" s="12">
        <f>[1]节奏总纲!AF60</f>
        <v>63.421042351541736</v>
      </c>
      <c r="AG60" s="12">
        <f>[1]节奏总纲!AG60</f>
        <v>67.890992225532017</v>
      </c>
      <c r="AH60" s="12">
        <f>[1]节奏总纲!AH60</f>
        <v>76.344973133357612</v>
      </c>
      <c r="AZ60" s="8">
        <v>57</v>
      </c>
      <c r="BA60" s="12">
        <f>[1]节奏总纲!BA60</f>
        <v>34.307705563947749</v>
      </c>
      <c r="BB60" s="12">
        <f>[1]节奏总纲!BB60</f>
        <v>35.756329132943463</v>
      </c>
      <c r="BC60" s="12">
        <f>[1]节奏总纲!BC60</f>
        <v>37.680472138177478</v>
      </c>
      <c r="BD60" s="12">
        <f>[1]节奏总纲!BD60</f>
        <v>40.402090538761065</v>
      </c>
      <c r="BE60" s="12">
        <f>[1]节奏总纲!BE60</f>
        <v>45.088151688727308</v>
      </c>
      <c r="BI60" s="7">
        <v>57</v>
      </c>
      <c r="BJ60" s="12">
        <f>[1]节奏总纲!BJ60</f>
        <v>2.7333333333333338</v>
      </c>
      <c r="BK60" s="12">
        <f>[1]节奏总纲!BK60</f>
        <v>2.7880000000000007</v>
      </c>
      <c r="BL60" s="12">
        <f>[1]节奏总纲!BL60</f>
        <v>2.897333333333334</v>
      </c>
      <c r="BM60" s="12">
        <f>[1]节奏总纲!BM60</f>
        <v>3.1160000000000001</v>
      </c>
      <c r="BN60" s="12">
        <f>[1]节奏总纲!BN60</f>
        <v>3.8266666666666671</v>
      </c>
    </row>
    <row r="61" spans="6:66" x14ac:dyDescent="0.15">
      <c r="F61" s="12">
        <f>[1]节奏总纲!F61</f>
        <v>59</v>
      </c>
      <c r="G61" s="12">
        <f>[1]节奏总纲!G61</f>
        <v>58.714111458355703</v>
      </c>
      <c r="K61" s="6"/>
      <c r="N61" s="12">
        <f>[1]节奏总纲!N61</f>
        <v>68</v>
      </c>
      <c r="O61" s="8">
        <v>58</v>
      </c>
      <c r="P61" s="12">
        <f>[1]节奏总纲!P61</f>
        <v>54.715236050951923</v>
      </c>
      <c r="Q61" s="12">
        <f>[1]节奏总纲!Q61</f>
        <v>47.459995750595695</v>
      </c>
      <c r="R61" s="12">
        <f>[1]节奏总纲!R61</f>
        <v>38.913475879437009</v>
      </c>
      <c r="S61" s="12">
        <f>[1]节奏总纲!S61</f>
        <v>28.572296265807093</v>
      </c>
      <c r="T61" s="12">
        <f>[1]节奏总纲!T61</f>
        <v>15.856475407565867</v>
      </c>
      <c r="V61" s="8">
        <v>58</v>
      </c>
      <c r="W61" s="12">
        <f>[1]节奏总纲!W61</f>
        <v>3.7310826841528453</v>
      </c>
      <c r="X61" s="12">
        <f>[1]节奏总纲!X61</f>
        <v>3.149668059510617</v>
      </c>
      <c r="Y61" s="12">
        <f>[1]节奏总纲!Y61</f>
        <v>2.5974634362660254</v>
      </c>
      <c r="Z61" s="12">
        <f>[1]节奏总纲!Z61</f>
        <v>1.9075840549711742</v>
      </c>
      <c r="AA61" s="12">
        <f>[1]节奏总纲!AA61</f>
        <v>1.0404804391740541</v>
      </c>
      <c r="AC61" s="8">
        <v>58</v>
      </c>
      <c r="AD61" s="12">
        <f>[1]节奏总纲!AD61</f>
        <v>58.821421928516813</v>
      </c>
      <c r="AE61" s="12">
        <f>[1]节奏总纲!AE61</f>
        <v>60.851070405211743</v>
      </c>
      <c r="AF61" s="12">
        <f>[1]节奏总纲!AF61</f>
        <v>63.665817066968295</v>
      </c>
      <c r="AG61" s="12">
        <f>[1]节奏总纲!AG61</f>
        <v>68.142437172458173</v>
      </c>
      <c r="AH61" s="12">
        <f>[1]节奏总纲!AH61</f>
        <v>76.60329874178116</v>
      </c>
      <c r="AZ61" s="8">
        <v>58</v>
      </c>
      <c r="BA61" s="12">
        <f>[1]节奏总纲!BA61</f>
        <v>34.41421240026348</v>
      </c>
      <c r="BB61" s="12">
        <f>[1]节奏总纲!BB61</f>
        <v>35.878317702773053</v>
      </c>
      <c r="BC61" s="12">
        <f>[1]节奏总纲!BC61</f>
        <v>37.801476926273359</v>
      </c>
      <c r="BD61" s="12">
        <f>[1]节奏总纲!BD61</f>
        <v>40.518638521010644</v>
      </c>
      <c r="BE61" s="12">
        <f>[1]节奏总纲!BE61</f>
        <v>45.199736104837825</v>
      </c>
      <c r="BI61" s="7">
        <v>58</v>
      </c>
      <c r="BJ61" s="12">
        <f>[1]节奏总纲!BJ61</f>
        <v>2.7666666666666671</v>
      </c>
      <c r="BK61" s="12">
        <f>[1]节奏总纲!BK61</f>
        <v>2.8220000000000005</v>
      </c>
      <c r="BL61" s="12">
        <f>[1]节奏总纲!BL61</f>
        <v>2.9326666666666674</v>
      </c>
      <c r="BM61" s="12">
        <f>[1]节奏总纲!BM61</f>
        <v>3.1540000000000004</v>
      </c>
      <c r="BN61" s="12">
        <f>[1]节奏总纲!BN61</f>
        <v>3.8733333333333335</v>
      </c>
    </row>
    <row r="62" spans="6:66" x14ac:dyDescent="0.15">
      <c r="F62" s="12">
        <f>[1]节奏总纲!F62</f>
        <v>60</v>
      </c>
      <c r="G62" s="12">
        <f>[1]节奏总纲!G62</f>
        <v>63</v>
      </c>
      <c r="K62" s="6"/>
      <c r="N62" s="12">
        <f>[1]节奏总纲!N62</f>
        <v>69</v>
      </c>
      <c r="O62" s="8">
        <v>59</v>
      </c>
      <c r="P62" s="12">
        <f>[1]节奏总纲!P62</f>
        <v>58.714111458355703</v>
      </c>
      <c r="Q62" s="12">
        <f>[1]节奏总纲!Q62</f>
        <v>50.940363101269412</v>
      </c>
      <c r="R62" s="12">
        <f>[1]节奏总纲!R62</f>
        <v>41.728119013453394</v>
      </c>
      <c r="S62" s="12">
        <f>[1]节奏总纲!S62</f>
        <v>30.607666303240826</v>
      </c>
      <c r="T62" s="12">
        <f>[1]节奏总纲!T62</f>
        <v>17.003606678339814</v>
      </c>
      <c r="V62" s="8">
        <v>59</v>
      </c>
      <c r="W62" s="12">
        <f>[1]节奏总纲!W62</f>
        <v>3.99887540740378</v>
      </c>
      <c r="X62" s="12">
        <f>[1]节奏总纲!X62</f>
        <v>3.4803673506737169</v>
      </c>
      <c r="Y62" s="12">
        <f>[1]节奏总纲!Y62</f>
        <v>2.8146431340163858</v>
      </c>
      <c r="Z62" s="12">
        <f>[1]节奏总纲!Z62</f>
        <v>2.0353700374337329</v>
      </c>
      <c r="AA62" s="12">
        <f>[1]节奏总纲!AA62</f>
        <v>1.1471312707739472</v>
      </c>
      <c r="AC62" s="8">
        <v>59</v>
      </c>
      <c r="AD62" s="12">
        <f>[1]节奏总纲!AD62</f>
        <v>59.066704614192936</v>
      </c>
      <c r="AE62" s="12">
        <f>[1]节奏总纲!AE62</f>
        <v>61.094954819415335</v>
      </c>
      <c r="AF62" s="12">
        <f>[1]节奏总纲!AF62</f>
        <v>63.91059178239486</v>
      </c>
      <c r="AG62" s="12">
        <f>[1]节奏总纲!AG62</f>
        <v>68.385008299388929</v>
      </c>
      <c r="AH62" s="12">
        <f>[1]节奏总纲!AH62</f>
        <v>76.861624350204693</v>
      </c>
      <c r="AZ62" s="8">
        <v>59</v>
      </c>
      <c r="BA62" s="12">
        <f>[1]节奏总纲!BA62</f>
        <v>34.520719236579211</v>
      </c>
      <c r="BB62" s="12">
        <f>[1]节奏总纲!BB62</f>
        <v>36.000264155774609</v>
      </c>
      <c r="BC62" s="12">
        <f>[1]节奏总纲!BC62</f>
        <v>37.922481714369241</v>
      </c>
      <c r="BD62" s="12">
        <f>[1]节奏总纲!BD62</f>
        <v>40.635186503260229</v>
      </c>
      <c r="BE62" s="12">
        <f>[1]节奏总纲!BE62</f>
        <v>45.31132052094835</v>
      </c>
      <c r="BI62" s="7">
        <v>59</v>
      </c>
      <c r="BJ62" s="12">
        <f>[1]节奏总纲!BJ62</f>
        <v>2.8000000000000003</v>
      </c>
      <c r="BK62" s="12">
        <f>[1]节奏总纲!BK62</f>
        <v>2.8560000000000003</v>
      </c>
      <c r="BL62" s="12">
        <f>[1]节奏总纲!BL62</f>
        <v>2.9680000000000004</v>
      </c>
      <c r="BM62" s="12">
        <f>[1]节奏总纲!BM62</f>
        <v>3.1920000000000002</v>
      </c>
      <c r="BN62" s="12">
        <f>[1]节奏总纲!BN62</f>
        <v>3.92</v>
      </c>
    </row>
    <row r="63" spans="6:66" x14ac:dyDescent="0.15">
      <c r="F63" s="12">
        <f>[1]节奏总纲!F63</f>
        <v>61</v>
      </c>
      <c r="G63" s="12">
        <f>[1]节奏总纲!G63</f>
        <v>67.593501602322732</v>
      </c>
      <c r="N63" s="12">
        <f>[1]节奏总纲!N63</f>
        <v>70</v>
      </c>
      <c r="O63" s="8">
        <v>60</v>
      </c>
      <c r="P63" s="12">
        <f>[1]节奏总纲!P63</f>
        <v>63</v>
      </c>
      <c r="Q63" s="12">
        <f>[1]节奏总纲!Q63</f>
        <v>54.589500000000001</v>
      </c>
      <c r="R63" s="12">
        <f>[1]节奏总纲!R63</f>
        <v>44.717399999999998</v>
      </c>
      <c r="S63" s="12">
        <f>[1]节奏总纲!S63</f>
        <v>32.810400000000001</v>
      </c>
      <c r="T63" s="12">
        <f>[1]节奏总纲!T63</f>
        <v>18.276300000000003</v>
      </c>
      <c r="V63" s="8">
        <v>60</v>
      </c>
      <c r="W63" s="12">
        <f>[1]节奏总纲!W63</f>
        <v>4.2858885416442973</v>
      </c>
      <c r="X63" s="12">
        <f>[1]节奏总纲!X63</f>
        <v>3.649136898730589</v>
      </c>
      <c r="Y63" s="12">
        <f>[1]节奏总纲!Y63</f>
        <v>2.9892809865466035</v>
      </c>
      <c r="Z63" s="12">
        <f>[1]节奏总纲!Z63</f>
        <v>2.2027336967591751</v>
      </c>
      <c r="AA63" s="12">
        <f>[1]节奏总纲!AA63</f>
        <v>1.2726933216601886</v>
      </c>
      <c r="AC63" s="8">
        <v>60</v>
      </c>
      <c r="AD63" s="12">
        <f>[1]节奏总纲!AD63</f>
        <v>59.300028460644697</v>
      </c>
      <c r="AE63" s="12">
        <f>[1]节奏总纲!AE63</f>
        <v>61.330461663183208</v>
      </c>
      <c r="AF63" s="12">
        <f>[1]节奏总纲!AF63</f>
        <v>64.14304723627319</v>
      </c>
      <c r="AG63" s="12">
        <f>[1]节奏总纲!AG63</f>
        <v>68.627579426319684</v>
      </c>
      <c r="AH63" s="12">
        <f>[1]节奏总纲!AH63</f>
        <v>77.112805903056142</v>
      </c>
      <c r="AZ63" s="8">
        <v>60</v>
      </c>
      <c r="BA63" s="12">
        <f>[1]节奏总纲!BA63</f>
        <v>34.627226072894942</v>
      </c>
      <c r="BB63" s="12">
        <f>[1]节奏总纲!BB63</f>
        <v>36.105477566569242</v>
      </c>
      <c r="BC63" s="12">
        <f>[1]节奏总纲!BC63</f>
        <v>38.037513426486328</v>
      </c>
      <c r="BD63" s="12">
        <f>[1]节奏总纲!BD63</f>
        <v>40.751734485509814</v>
      </c>
      <c r="BE63" s="12">
        <f>[1]节奏总纲!BE63</f>
        <v>45.422904937058867</v>
      </c>
      <c r="BI63" s="7">
        <v>60</v>
      </c>
      <c r="BJ63" s="12">
        <f>[1]节奏总纲!BJ63</f>
        <v>2.8333333333333335</v>
      </c>
      <c r="BK63" s="12">
        <f>[1]节奏总纲!BK63</f>
        <v>2.89</v>
      </c>
      <c r="BL63" s="12">
        <f>[1]节奏总纲!BL63</f>
        <v>3.0033333333333339</v>
      </c>
      <c r="BM63" s="12">
        <f>[1]节奏总纲!BM63</f>
        <v>3.23</v>
      </c>
      <c r="BN63" s="12">
        <f>[1]节奏总纲!BN63</f>
        <v>3.9666666666666668</v>
      </c>
    </row>
    <row r="64" spans="6:66" x14ac:dyDescent="0.15">
      <c r="F64" s="12">
        <f>[1]节奏总纲!F64</f>
        <v>62</v>
      </c>
      <c r="G64" s="12">
        <f>[1]节奏总纲!G64</f>
        <v>72.516694719810218</v>
      </c>
      <c r="N64" s="12">
        <f>[1]节奏总纲!N64</f>
        <v>71</v>
      </c>
      <c r="O64" s="8">
        <v>61</v>
      </c>
      <c r="P64" s="12">
        <f>[1]节奏总纲!P64</f>
        <v>67.593501602322732</v>
      </c>
      <c r="Q64" s="12">
        <f>[1]节奏总纲!Q64</f>
        <v>58.596806539053574</v>
      </c>
      <c r="R64" s="12">
        <f>[1]节奏总纲!R64</f>
        <v>47.977867437328676</v>
      </c>
      <c r="S64" s="12">
        <f>[1]节奏总纲!S64</f>
        <v>35.229733035130607</v>
      </c>
      <c r="T64" s="12">
        <f>[1]节奏总纲!T64</f>
        <v>19.602115464673592</v>
      </c>
      <c r="V64" s="8">
        <v>61</v>
      </c>
      <c r="W64" s="12">
        <f>[1]节奏总纲!W64</f>
        <v>4.593501602322732</v>
      </c>
      <c r="X64" s="12">
        <f>[1]节奏总纲!X64</f>
        <v>4.0073065390535731</v>
      </c>
      <c r="Y64" s="12">
        <f>[1]节奏总纲!Y64</f>
        <v>3.2604674373286784</v>
      </c>
      <c r="Z64" s="12">
        <f>[1]节奏总纲!Z64</f>
        <v>2.4193330351306059</v>
      </c>
      <c r="AA64" s="12">
        <f>[1]节奏总纲!AA64</f>
        <v>1.3258154646735889</v>
      </c>
      <c r="AC64" s="8">
        <v>61</v>
      </c>
      <c r="AD64" s="12">
        <f>[1]节奏总纲!AD64</f>
        <v>59.533352307096465</v>
      </c>
      <c r="AE64" s="12">
        <f>[1]节奏总纲!AE64</f>
        <v>61.56596850695108</v>
      </c>
      <c r="AF64" s="12">
        <f>[1]节奏总纲!AF64</f>
        <v>64.368413367596901</v>
      </c>
      <c r="AG64" s="12">
        <f>[1]节奏总纲!AG64</f>
        <v>68.870150553250454</v>
      </c>
      <c r="AH64" s="12">
        <f>[1]节奏总纲!AH64</f>
        <v>77.355745991356301</v>
      </c>
      <c r="AZ64" s="8">
        <v>61</v>
      </c>
      <c r="BA64" s="12">
        <f>[1]节奏总纲!BA64</f>
        <v>34.733732909210673</v>
      </c>
      <c r="BB64" s="12">
        <f>[1]节奏总纲!BB64</f>
        <v>36.210690977363875</v>
      </c>
      <c r="BC64" s="12">
        <f>[1]节奏总纲!BC64</f>
        <v>38.14189763688286</v>
      </c>
      <c r="BD64" s="12">
        <f>[1]节奏总纲!BD64</f>
        <v>40.8682824677594</v>
      </c>
      <c r="BE64" s="12">
        <f>[1]节奏总纲!BE64</f>
        <v>45.534489353169384</v>
      </c>
      <c r="BI64" s="7">
        <v>61</v>
      </c>
      <c r="BJ64" s="12">
        <f>[1]节奏总纲!BJ64</f>
        <v>2.8666666666666667</v>
      </c>
      <c r="BK64" s="12">
        <f>[1]节奏总纲!BK64</f>
        <v>2.9239999999999999</v>
      </c>
      <c r="BL64" s="12">
        <f>[1]节奏总纲!BL64</f>
        <v>3.0386666666666668</v>
      </c>
      <c r="BM64" s="12">
        <f>[1]节奏总纲!BM64</f>
        <v>3.2679999999999998</v>
      </c>
      <c r="BN64" s="12">
        <f>[1]节奏总纲!BN64</f>
        <v>4.0133333333333328</v>
      </c>
    </row>
    <row r="65" spans="6:66" x14ac:dyDescent="0.15">
      <c r="F65" s="12">
        <f>[1]节奏总纲!F65</f>
        <v>63</v>
      </c>
      <c r="G65" s="12">
        <f>[1]节奏总纲!G65</f>
        <v>77.793242454074615</v>
      </c>
      <c r="N65" s="12">
        <f>[1]节奏总纲!N65</f>
        <v>72</v>
      </c>
      <c r="O65" s="8">
        <v>62</v>
      </c>
      <c r="P65" s="12">
        <f>[1]节奏总纲!P65</f>
        <v>72.516694719810218</v>
      </c>
      <c r="Q65" s="12">
        <f>[1]节奏总纲!Q65</f>
        <v>62.842967644187539</v>
      </c>
      <c r="R65" s="12">
        <f>[1]节奏总纲!R65</f>
        <v>51.5086082594812</v>
      </c>
      <c r="S65" s="12">
        <f>[1]节奏总纲!S65</f>
        <v>37.846462974268952</v>
      </c>
      <c r="T65" s="12">
        <f>[1]节奏总纲!T65</f>
        <v>21.124113171880715</v>
      </c>
      <c r="V65" s="8">
        <v>62</v>
      </c>
      <c r="W65" s="12">
        <f>[1]节奏总纲!W65</f>
        <v>4.9231931174874859</v>
      </c>
      <c r="X65" s="12">
        <f>[1]节奏总纲!X65</f>
        <v>4.2461611051339645</v>
      </c>
      <c r="Y65" s="12">
        <f>[1]节奏总纲!Y65</f>
        <v>3.5307408221525236</v>
      </c>
      <c r="Z65" s="12">
        <f>[1]节奏总纲!Z65</f>
        <v>2.6167299391383452</v>
      </c>
      <c r="AA65" s="12">
        <f>[1]节奏总纲!AA65</f>
        <v>1.5219977072071238</v>
      </c>
      <c r="AC65" s="8">
        <v>62</v>
      </c>
      <c r="AD65" s="12">
        <f>[1]节奏总纲!AD65</f>
        <v>59.766676153548232</v>
      </c>
      <c r="AE65" s="12">
        <f>[1]节奏总纲!AE65</f>
        <v>61.801475350718952</v>
      </c>
      <c r="AF65" s="12">
        <f>[1]节奏总纲!AF65</f>
        <v>64.593779498920611</v>
      </c>
      <c r="AG65" s="12">
        <f>[1]节奏总纲!AG65</f>
        <v>69.105843627521551</v>
      </c>
      <c r="AH65" s="12">
        <f>[1]节奏总纲!AH65</f>
        <v>77.59868607965646</v>
      </c>
      <c r="AZ65" s="8">
        <v>62</v>
      </c>
      <c r="BA65" s="12">
        <f>[1]节奏总纲!BA65</f>
        <v>34.840239745526404</v>
      </c>
      <c r="BB65" s="12">
        <f>[1]节奏总纲!BB65</f>
        <v>36.315904388158508</v>
      </c>
      <c r="BC65" s="12">
        <f>[1]节奏总纲!BC65</f>
        <v>38.246281847279398</v>
      </c>
      <c r="BD65" s="12">
        <f>[1]节奏总纲!BD65</f>
        <v>40.984830450008978</v>
      </c>
      <c r="BE65" s="12">
        <f>[1]节奏总纲!BE65</f>
        <v>45.646073769279901</v>
      </c>
      <c r="BI65" s="7">
        <v>62</v>
      </c>
      <c r="BJ65" s="12">
        <f>[1]节奏总纲!BJ65</f>
        <v>2.9</v>
      </c>
      <c r="BK65" s="12">
        <f>[1]节奏总纲!BK65</f>
        <v>2.9579999999999997</v>
      </c>
      <c r="BL65" s="12">
        <f>[1]节奏总纲!BL65</f>
        <v>3.0739999999999998</v>
      </c>
      <c r="BM65" s="12">
        <f>[1]节奏总纲!BM65</f>
        <v>3.3059999999999996</v>
      </c>
      <c r="BN65" s="12">
        <f>[1]节奏总纲!BN65</f>
        <v>4.0599999999999996</v>
      </c>
    </row>
    <row r="66" spans="6:66" x14ac:dyDescent="0.15">
      <c r="F66" s="12">
        <f>[1]节奏总纲!F66</f>
        <v>64</v>
      </c>
      <c r="G66" s="12">
        <f>[1]节奏总纲!G66</f>
        <v>83.4485062894652</v>
      </c>
      <c r="N66" s="12">
        <f>[1]节奏总纲!N66</f>
        <v>73</v>
      </c>
      <c r="O66" s="8">
        <v>63</v>
      </c>
      <c r="P66" s="12">
        <f>[1]节奏总纲!P66</f>
        <v>77.793242454074615</v>
      </c>
      <c r="Q66" s="12">
        <f>[1]节奏总纲!Q66</f>
        <v>67.470079180418907</v>
      </c>
      <c r="R66" s="12">
        <f>[1]节奏总纲!R66</f>
        <v>55.27987808786542</v>
      </c>
      <c r="S66" s="12">
        <f>[1]节奏总纲!S66</f>
        <v>40.678086479235617</v>
      </c>
      <c r="T66" s="12">
        <f>[1]节奏总纲!T66</f>
        <v>22.700068148098975</v>
      </c>
      <c r="V66" s="8">
        <v>63</v>
      </c>
      <c r="W66" s="12">
        <f>[1]节奏总纲!W66</f>
        <v>5.2765477342643976</v>
      </c>
      <c r="X66" s="12">
        <f>[1]节奏总纲!X66</f>
        <v>4.6271115362313679</v>
      </c>
      <c r="Y66" s="12">
        <f>[1]节奏总纲!Y66</f>
        <v>3.7712698283842201</v>
      </c>
      <c r="Z66" s="12">
        <f>[1]节奏总纲!Z66</f>
        <v>2.8316235049666645</v>
      </c>
      <c r="AA66" s="12">
        <f>[1]节奏总纲!AA66</f>
        <v>1.5759549762182594</v>
      </c>
      <c r="AC66" s="8">
        <v>63</v>
      </c>
      <c r="AD66" s="12">
        <f>[1]节奏总纲!AD66</f>
        <v>60</v>
      </c>
      <c r="AE66" s="12">
        <f>[1]节奏总纲!AE66</f>
        <v>62.033937447710706</v>
      </c>
      <c r="AF66" s="12">
        <f>[1]节奏总纲!AF66</f>
        <v>64.819145630244321</v>
      </c>
      <c r="AG66" s="12">
        <f>[1]节奏总纲!AG66</f>
        <v>69.333613546893503</v>
      </c>
      <c r="AH66" s="12">
        <f>[1]节奏总纲!AH66</f>
        <v>77.841626167956619</v>
      </c>
      <c r="AZ66" s="8">
        <v>63</v>
      </c>
      <c r="BA66" s="12">
        <f>[1]节奏总纲!BA66</f>
        <v>34.946746581842135</v>
      </c>
      <c r="BB66" s="12">
        <f>[1]节奏总纲!BB66</f>
        <v>36.421117798953141</v>
      </c>
      <c r="BC66" s="12">
        <f>[1]节奏总纲!BC66</f>
        <v>38.35066605767593</v>
      </c>
      <c r="BD66" s="12">
        <f>[1]节奏总纲!BD66</f>
        <v>41.087476216725996</v>
      </c>
      <c r="BE66" s="12">
        <f>[1]节奏总纲!BE66</f>
        <v>45.757658185390426</v>
      </c>
      <c r="BI66" s="7">
        <v>63</v>
      </c>
      <c r="BJ66" s="12">
        <f>[1]节奏总纲!BJ66</f>
        <v>2.9333333333333331</v>
      </c>
      <c r="BK66" s="12">
        <f>[1]节奏总纲!BK66</f>
        <v>2.992</v>
      </c>
      <c r="BL66" s="12">
        <f>[1]节奏总纲!BL66</f>
        <v>3.1093333333333333</v>
      </c>
      <c r="BM66" s="12">
        <f>[1]节奏总纲!BM66</f>
        <v>3.3439999999999994</v>
      </c>
      <c r="BN66" s="12">
        <f>[1]节奏总纲!BN66</f>
        <v>4.1066666666666665</v>
      </c>
    </row>
    <row r="67" spans="6:66" x14ac:dyDescent="0.15">
      <c r="F67" s="12">
        <f>[1]节奏总纲!F67</f>
        <v>65</v>
      </c>
      <c r="G67" s="12">
        <f>[1]节奏总纲!G67</f>
        <v>89.509667991878061</v>
      </c>
      <c r="N67" s="12">
        <f>[1]节奏总纲!N67</f>
        <v>74</v>
      </c>
      <c r="O67" s="8">
        <v>64</v>
      </c>
      <c r="P67" s="12">
        <f>[1]节奏总纲!P67</f>
        <v>83.4485062894652</v>
      </c>
      <c r="Q67" s="12">
        <f>[1]节奏总纲!Q67</f>
        <v>72.399924056740005</v>
      </c>
      <c r="R67" s="12">
        <f>[1]节奏总纲!R67</f>
        <v>59.365267374325548</v>
      </c>
      <c r="S67" s="12">
        <f>[1]节奏总纲!S67</f>
        <v>43.718672445050821</v>
      </c>
      <c r="T67" s="12">
        <f>[1]节奏总纲!T67</f>
        <v>24.341929284637001</v>
      </c>
      <c r="V67" s="8">
        <v>64</v>
      </c>
      <c r="W67" s="12">
        <f>[1]节奏总纲!W67</f>
        <v>5.6552638353905849</v>
      </c>
      <c r="X67" s="12">
        <f>[1]节奏总纲!X67</f>
        <v>4.9298448763210985</v>
      </c>
      <c r="Y67" s="12">
        <f>[1]节奏总纲!Y67</f>
        <v>4.0853892864601278</v>
      </c>
      <c r="Z67" s="12">
        <f>[1]节奏总纲!Z67</f>
        <v>3.0405859658152039</v>
      </c>
      <c r="AA67" s="12">
        <f>[1]节奏总纲!AA67</f>
        <v>1.6418611365380258</v>
      </c>
      <c r="AC67" s="8">
        <v>64</v>
      </c>
      <c r="AD67" s="12">
        <f>[1]节奏总纲!AD67</f>
        <v>60.217698846451768</v>
      </c>
      <c r="AE67" s="12">
        <f>[1]节奏总纲!AE67</f>
        <v>62.250054995811666</v>
      </c>
      <c r="AF67" s="12">
        <f>[1]节奏总纲!AF67</f>
        <v>65.042129882798193</v>
      </c>
      <c r="AG67" s="12">
        <f>[1]节奏总纲!AG67</f>
        <v>69.56138346626544</v>
      </c>
      <c r="AH67" s="12">
        <f>[1]节奏总纲!AH67</f>
        <v>78.077870469399883</v>
      </c>
      <c r="AZ67" s="8">
        <v>64</v>
      </c>
      <c r="BA67" s="12">
        <f>[1]节奏总纲!BA67</f>
        <v>35.048795427931836</v>
      </c>
      <c r="BB67" s="12">
        <f>[1]节奏总纲!BB67</f>
        <v>36.526331209747774</v>
      </c>
      <c r="BC67" s="12">
        <f>[1]节奏总纲!BC67</f>
        <v>38.455050268072462</v>
      </c>
      <c r="BD67" s="12">
        <f>[1]节奏总纲!BD67</f>
        <v>41.188041754455355</v>
      </c>
      <c r="BE67" s="12">
        <f>[1]节奏总纲!BE67</f>
        <v>45.869242601500943</v>
      </c>
      <c r="BI67" s="7">
        <v>64</v>
      </c>
      <c r="BJ67" s="12">
        <f>[1]节奏总纲!BJ67</f>
        <v>2.9666666666666663</v>
      </c>
      <c r="BK67" s="12">
        <f>[1]节奏总纲!BK67</f>
        <v>3.0259999999999998</v>
      </c>
      <c r="BL67" s="12">
        <f>[1]节奏总纲!BL67</f>
        <v>3.1446666666666663</v>
      </c>
      <c r="BM67" s="12">
        <f>[1]节奏总纲!BM67</f>
        <v>3.3819999999999992</v>
      </c>
      <c r="BN67" s="12">
        <f>[1]节奏总纲!BN67</f>
        <v>4.1533333333333324</v>
      </c>
    </row>
    <row r="68" spans="6:66" x14ac:dyDescent="0.15">
      <c r="F68" s="12">
        <f>[1]节奏总纲!F68</f>
        <v>66</v>
      </c>
      <c r="G68" s="12">
        <f>[1]节奏总纲!G68</f>
        <v>96.005860256665443</v>
      </c>
      <c r="N68" s="12">
        <f>[1]节奏总纲!N68</f>
        <v>75</v>
      </c>
      <c r="O68" s="8">
        <v>65</v>
      </c>
      <c r="P68" s="12">
        <f>[1]节奏总纲!P68</f>
        <v>89.509667991878061</v>
      </c>
      <c r="Q68" s="12">
        <f>[1]节奏总纲!Q68</f>
        <v>77.64963698295422</v>
      </c>
      <c r="R68" s="12">
        <f>[1]节奏总纲!R68</f>
        <v>63.802491344610679</v>
      </c>
      <c r="S68" s="12">
        <f>[1]节奏总纲!S68</f>
        <v>46.929918928141667</v>
      </c>
      <c r="T68" s="12">
        <f>[1]节奏总纲!T68</f>
        <v>25.993607584841389</v>
      </c>
      <c r="V68" s="8">
        <v>65</v>
      </c>
      <c r="W68" s="12">
        <f>[1]节奏总纲!W68</f>
        <v>6.0611617024128606</v>
      </c>
      <c r="X68" s="12">
        <f>[1]节奏总纲!X68</f>
        <v>5.2497129262142153</v>
      </c>
      <c r="Y68" s="12">
        <f>[1]节奏总纲!Y68</f>
        <v>4.4372239702851317</v>
      </c>
      <c r="Z68" s="12">
        <f>[1]节奏总纲!Z68</f>
        <v>3.2112464830908465</v>
      </c>
      <c r="AA68" s="12">
        <f>[1]节奏总纲!AA68</f>
        <v>1.651678300204388</v>
      </c>
      <c r="AC68" s="8">
        <v>65</v>
      </c>
      <c r="AD68" s="12">
        <f>[1]节奏总纲!AD68</f>
        <v>60.435397692903535</v>
      </c>
      <c r="AE68" s="12">
        <f>[1]节奏总纲!AE68</f>
        <v>62.466172543912634</v>
      </c>
      <c r="AF68" s="12">
        <f>[1]节奏总纲!AF68</f>
        <v>65.255436396961542</v>
      </c>
      <c r="AG68" s="12">
        <f>[1]节奏总纲!AG68</f>
        <v>69.789153385637391</v>
      </c>
      <c r="AH68" s="12">
        <f>[1]节奏总纲!AH68</f>
        <v>78.301575047908599</v>
      </c>
      <c r="AZ68" s="8">
        <v>65</v>
      </c>
      <c r="BA68" s="12">
        <f>[1]节奏总纲!BA68</f>
        <v>35.146386283795508</v>
      </c>
      <c r="BB68" s="12">
        <f>[1]节奏总纲!BB68</f>
        <v>36.631544620542407</v>
      </c>
      <c r="BC68" s="12">
        <f>[1]节奏总纲!BC68</f>
        <v>38.559434478468994</v>
      </c>
      <c r="BD68" s="12">
        <f>[1]节奏总纲!BD68</f>
        <v>41.288607292184714</v>
      </c>
      <c r="BE68" s="12">
        <f>[1]节奏总纲!BE68</f>
        <v>45.98082701761146</v>
      </c>
      <c r="BI68" s="7">
        <v>65</v>
      </c>
      <c r="BJ68" s="12">
        <f>[1]节奏总纲!BJ68</f>
        <v>2.9999999999999996</v>
      </c>
      <c r="BK68" s="12">
        <f>[1]节奏总纲!BK68</f>
        <v>3.0599999999999996</v>
      </c>
      <c r="BL68" s="12">
        <f>[1]节奏总纲!BL68</f>
        <v>3.1799999999999997</v>
      </c>
      <c r="BM68" s="12">
        <f>[1]节奏总纲!BM68</f>
        <v>3.419999999999999</v>
      </c>
      <c r="BN68" s="12">
        <f>[1]节奏总纲!BN68</f>
        <v>4.1999999999999993</v>
      </c>
    </row>
    <row r="69" spans="6:66" x14ac:dyDescent="0.15">
      <c r="F69" s="12">
        <f>[1]节奏总纲!F69</f>
        <v>67</v>
      </c>
      <c r="G69" s="12">
        <f>[1]节奏总纲!G69</f>
        <v>102.96830673359811</v>
      </c>
      <c r="N69" s="12">
        <f>[1]节奏总纲!N69</f>
        <v>76</v>
      </c>
      <c r="O69" s="8">
        <v>66</v>
      </c>
      <c r="P69" s="12">
        <f>[1]节奏总纲!P69</f>
        <v>96.005860256665443</v>
      </c>
      <c r="Q69" s="12">
        <f>[1]节奏总纲!Q69</f>
        <v>83.352287874836932</v>
      </c>
      <c r="R69" s="12">
        <f>[1]节奏总纲!R69</f>
        <v>68.490580707105124</v>
      </c>
      <c r="S69" s="12">
        <f>[1]节奏总纲!S69</f>
        <v>50.163061984107692</v>
      </c>
      <c r="T69" s="12">
        <f>[1]节奏总纲!T69</f>
        <v>27.851300060458648</v>
      </c>
      <c r="V69" s="8">
        <v>66</v>
      </c>
      <c r="W69" s="12">
        <f>[1]节奏总纲!W69</f>
        <v>6.496192264787382</v>
      </c>
      <c r="X69" s="12">
        <f>[1]节奏总纲!X69</f>
        <v>5.7026508918827119</v>
      </c>
      <c r="Y69" s="12">
        <f>[1]节奏总纲!Y69</f>
        <v>4.6880893624944449</v>
      </c>
      <c r="Z69" s="12">
        <f>[1]节奏总纲!Z69</f>
        <v>3.2331430559660248</v>
      </c>
      <c r="AA69" s="12">
        <f>[1]节奏总纲!AA69</f>
        <v>1.8576924756172595</v>
      </c>
      <c r="AC69" s="8">
        <v>66</v>
      </c>
      <c r="AD69" s="12">
        <f>[1]节奏总纲!AD69</f>
        <v>60.653096539355303</v>
      </c>
      <c r="AE69" s="12">
        <f>[1]节奏总纲!AE69</f>
        <v>62.682290092013595</v>
      </c>
      <c r="AF69" s="12">
        <f>[1]节奏总纲!AF69</f>
        <v>65.468742911124906</v>
      </c>
      <c r="AG69" s="12">
        <f>[1]节奏总纲!AG69</f>
        <v>70.015851474333999</v>
      </c>
      <c r="AH69" s="12">
        <f>[1]节奏总纲!AH69</f>
        <v>78.525279626417301</v>
      </c>
      <c r="AZ69" s="8">
        <v>66</v>
      </c>
      <c r="BA69" s="12">
        <f>[1]节奏总纲!BA69</f>
        <v>35.243977139659179</v>
      </c>
      <c r="BB69" s="12">
        <f>[1]节奏总纲!BB69</f>
        <v>36.73675803133704</v>
      </c>
      <c r="BC69" s="12">
        <f>[1]节奏总纲!BC69</f>
        <v>38.663818688865533</v>
      </c>
      <c r="BD69" s="12">
        <f>[1]节奏总纲!BD69</f>
        <v>41.389172829914081</v>
      </c>
      <c r="BE69" s="12">
        <f>[1]节奏总纲!BE69</f>
        <v>46.079770001861057</v>
      </c>
      <c r="BI69" s="7">
        <v>66</v>
      </c>
      <c r="BJ69" s="12">
        <f>[1]节奏总纲!BJ69</f>
        <v>3.0333333333333328</v>
      </c>
      <c r="BK69" s="12">
        <f>[1]节奏总纲!BK69</f>
        <v>3.0939999999999994</v>
      </c>
      <c r="BL69" s="12">
        <f>[1]节奏总纲!BL69</f>
        <v>3.2153333333333327</v>
      </c>
      <c r="BM69" s="12">
        <f>[1]节奏总纲!BM69</f>
        <v>3.4579999999999989</v>
      </c>
      <c r="BN69" s="12">
        <f>[1]节奏总纲!BN69</f>
        <v>4.2466666666666653</v>
      </c>
    </row>
    <row r="70" spans="6:66" x14ac:dyDescent="0.15">
      <c r="F70" s="12">
        <f>[1]节奏总纲!F70</f>
        <v>68</v>
      </c>
      <c r="G70" s="12">
        <f>[1]节奏总纲!G70</f>
        <v>110.43047210190386</v>
      </c>
      <c r="N70" s="12">
        <f>[1]节奏总纲!N70</f>
        <v>77</v>
      </c>
      <c r="O70" s="8">
        <v>67</v>
      </c>
      <c r="P70" s="12">
        <f>[1]节奏总纲!P70</f>
        <v>102.96830673359811</v>
      </c>
      <c r="Q70" s="12">
        <f>[1]节奏总纲!Q70</f>
        <v>89.469161720823394</v>
      </c>
      <c r="R70" s="12">
        <f>[1]节奏总纲!R70</f>
        <v>73.292840732975137</v>
      </c>
      <c r="S70" s="12">
        <f>[1]节奏总纲!S70</f>
        <v>53.625894146857902</v>
      </c>
      <c r="T70" s="12">
        <f>[1]节奏总纲!T70</f>
        <v>29.799027968703292</v>
      </c>
      <c r="V70" s="8">
        <v>67</v>
      </c>
      <c r="W70" s="12">
        <f>[1]节奏总纲!W70</f>
        <v>6.9624464769326693</v>
      </c>
      <c r="X70" s="12">
        <f>[1]节奏总纲!X70</f>
        <v>6.1168738459864613</v>
      </c>
      <c r="Y70" s="12">
        <f>[1]节奏总纲!Y70</f>
        <v>4.8022600258700123</v>
      </c>
      <c r="Z70" s="12">
        <f>[1]节奏总纲!Z70</f>
        <v>3.4628321627502103</v>
      </c>
      <c r="AA70" s="12">
        <f>[1]节奏总纲!AA70</f>
        <v>1.9477279082446444</v>
      </c>
      <c r="AC70" s="8">
        <v>67</v>
      </c>
      <c r="AD70" s="12">
        <f>[1]节奏总纲!AD70</f>
        <v>60.870795385807064</v>
      </c>
      <c r="AE70" s="12">
        <f>[1]节奏总纲!AE70</f>
        <v>62.898407640114556</v>
      </c>
      <c r="AF70" s="12">
        <f>[1]节奏总纲!AF70</f>
        <v>65.682049425288255</v>
      </c>
      <c r="AG70" s="12">
        <f>[1]节奏总纲!AG70</f>
        <v>70.229195678021767</v>
      </c>
      <c r="AH70" s="12">
        <f>[1]节奏总纲!AH70</f>
        <v>78.748984204926018</v>
      </c>
      <c r="AZ70" s="8">
        <v>67</v>
      </c>
      <c r="BA70" s="12">
        <f>[1]节奏总纲!BA70</f>
        <v>35.341567995522851</v>
      </c>
      <c r="BB70" s="12">
        <f>[1]节奏总纲!BB70</f>
        <v>36.841971442131673</v>
      </c>
      <c r="BC70" s="12">
        <f>[1]节奏总纲!BC70</f>
        <v>38.768202899262064</v>
      </c>
      <c r="BD70" s="12">
        <f>[1]节奏总纲!BD70</f>
        <v>41.48973836764344</v>
      </c>
      <c r="BE70" s="12">
        <f>[1]节奏总纲!BE70</f>
        <v>46.176090215954694</v>
      </c>
      <c r="BI70" s="7">
        <v>67</v>
      </c>
      <c r="BJ70" s="12">
        <f>[1]节奏总纲!BJ70</f>
        <v>3.066666666666666</v>
      </c>
      <c r="BK70" s="12">
        <f>[1]节奏总纲!BK70</f>
        <v>3.1279999999999992</v>
      </c>
      <c r="BL70" s="12">
        <f>[1]节奏总纲!BL70</f>
        <v>3.2506666666666661</v>
      </c>
      <c r="BM70" s="12">
        <f>[1]节奏总纲!BM70</f>
        <v>3.4959999999999991</v>
      </c>
      <c r="BN70" s="12">
        <f>[1]节奏总纲!BN70</f>
        <v>4.2933333333333321</v>
      </c>
    </row>
    <row r="71" spans="6:66" x14ac:dyDescent="0.15">
      <c r="F71" s="12">
        <f>[1]节奏总纲!F71</f>
        <v>69</v>
      </c>
      <c r="G71" s="12">
        <f>[1]节奏总纲!G71</f>
        <v>118.42822291671132</v>
      </c>
      <c r="N71" s="12">
        <f>[1]节奏总纲!N71</f>
        <v>78</v>
      </c>
      <c r="O71" s="8">
        <v>68</v>
      </c>
      <c r="P71" s="12">
        <f>[1]节奏总纲!P71</f>
        <v>110.43047210190386</v>
      </c>
      <c r="Q71" s="12">
        <f>[1]节奏总纲!Q71</f>
        <v>95.831563690032169</v>
      </c>
      <c r="R71" s="12">
        <f>[1]节奏总纲!R71</f>
        <v>78.251032531409081</v>
      </c>
      <c r="S71" s="12">
        <f>[1]节奏总纲!S71</f>
        <v>57.412802445779818</v>
      </c>
      <c r="T71" s="12">
        <f>[1]节奏总纲!T71</f>
        <v>31.859191201399263</v>
      </c>
      <c r="V71" s="8">
        <v>68</v>
      </c>
      <c r="W71" s="12">
        <f>[1]节奏总纲!W71</f>
        <v>7.4621653683057474</v>
      </c>
      <c r="X71" s="12">
        <f>[1]节奏总纲!X71</f>
        <v>6.3624019692087757</v>
      </c>
      <c r="Y71" s="12">
        <f>[1]节奏总纲!Y71</f>
        <v>4.9581917984339441</v>
      </c>
      <c r="Z71" s="12">
        <f>[1]节奏总纲!Z71</f>
        <v>3.7869082989219152</v>
      </c>
      <c r="AA71" s="12">
        <f>[1]节奏总纲!AA71</f>
        <v>2.0601632326959702</v>
      </c>
      <c r="AC71" s="8">
        <v>68</v>
      </c>
      <c r="AD71" s="12">
        <f>[1]节奏总纲!AD71</f>
        <v>61.082568038258209</v>
      </c>
      <c r="AE71" s="12">
        <f>[1]节奏总纲!AE71</f>
        <v>63.107492392331935</v>
      </c>
      <c r="AF71" s="12">
        <f>[1]节奏总纲!AF71</f>
        <v>65.895355939451605</v>
      </c>
      <c r="AG71" s="12">
        <f>[1]节奏总纲!AG71</f>
        <v>70.442539881709536</v>
      </c>
      <c r="AH71" s="12">
        <f>[1]节奏总纲!AH71</f>
        <v>78.972688783434734</v>
      </c>
      <c r="AZ71" s="8">
        <v>68</v>
      </c>
      <c r="BA71" s="12">
        <f>[1]节奏总纲!BA71</f>
        <v>35.439158851386523</v>
      </c>
      <c r="BB71" s="12">
        <f>[1]节奏总纲!BB71</f>
        <v>36.947184852926306</v>
      </c>
      <c r="BC71" s="12">
        <f>[1]节奏总纲!BC71</f>
        <v>38.872587109658596</v>
      </c>
      <c r="BD71" s="12">
        <f>[1]节奏总纲!BD71</f>
        <v>41.590303905372799</v>
      </c>
      <c r="BE71" s="12">
        <f>[1]节奏总纲!BE71</f>
        <v>46.272410430048332</v>
      </c>
      <c r="BI71" s="7">
        <v>68</v>
      </c>
      <c r="BJ71" s="12">
        <f>[1]节奏总纲!BJ71</f>
        <v>3.0999999999999992</v>
      </c>
      <c r="BK71" s="12">
        <f>[1]节奏总纲!BK71</f>
        <v>3.161999999999999</v>
      </c>
      <c r="BL71" s="12">
        <f>[1]节奏总纲!BL71</f>
        <v>3.2859999999999991</v>
      </c>
      <c r="BM71" s="12">
        <f>[1]节奏总纲!BM71</f>
        <v>3.5339999999999989</v>
      </c>
      <c r="BN71" s="12">
        <f>[1]节奏总纲!BN71</f>
        <v>4.339999999999999</v>
      </c>
    </row>
    <row r="72" spans="6:66" x14ac:dyDescent="0.15">
      <c r="F72" s="12">
        <f>[1]节奏总纲!F72</f>
        <v>70</v>
      </c>
      <c r="G72" s="12">
        <f>[1]节奏总纲!G72</f>
        <v>127</v>
      </c>
      <c r="N72" s="12">
        <f>[1]节奏总纲!N72</f>
        <v>79</v>
      </c>
      <c r="O72" s="8">
        <v>69</v>
      </c>
      <c r="P72" s="12">
        <f>[1]节奏总纲!P72</f>
        <v>118.42822291671132</v>
      </c>
      <c r="Q72" s="12">
        <f>[1]节奏总纲!Q72</f>
        <v>102.51146975670532</v>
      </c>
      <c r="R72" s="12">
        <f>[1]节奏总纲!R72</f>
        <v>83.894553114198303</v>
      </c>
      <c r="S72" s="12">
        <f>[1]节奏总纲!S72</f>
        <v>61.535304627523196</v>
      </c>
      <c r="T72" s="12">
        <f>[1]节奏总纲!T72</f>
        <v>34.059956910846175</v>
      </c>
      <c r="V72" s="8">
        <v>69</v>
      </c>
      <c r="W72" s="12">
        <f>[1]节奏总纲!W72</f>
        <v>7.9977508148074605</v>
      </c>
      <c r="X72" s="12">
        <f>[1]节奏总纲!X72</f>
        <v>6.6799060666731549</v>
      </c>
      <c r="Y72" s="12">
        <f>[1]节奏总纲!Y72</f>
        <v>5.6435205827892219</v>
      </c>
      <c r="Z72" s="12">
        <f>[1]节奏总纲!Z72</f>
        <v>4.1225021817433785</v>
      </c>
      <c r="AA72" s="12">
        <f>[1]节奏总纲!AA72</f>
        <v>2.2007657094469124</v>
      </c>
      <c r="AC72" s="8">
        <v>69</v>
      </c>
      <c r="AD72" s="12">
        <f>[1]节奏总纲!AD72</f>
        <v>61.285688244217212</v>
      </c>
      <c r="AE72" s="12">
        <f>[1]节奏总纲!AE72</f>
        <v>63.310338531528565</v>
      </c>
      <c r="AF72" s="12">
        <f>[1]节奏总纲!AF72</f>
        <v>66.106079073217742</v>
      </c>
      <c r="AG72" s="12">
        <f>[1]节奏总纲!AG72</f>
        <v>70.655884085397304</v>
      </c>
      <c r="AH72" s="12">
        <f>[1]节奏总纲!AH72</f>
        <v>79.188599387584361</v>
      </c>
      <c r="AZ72" s="8">
        <v>69</v>
      </c>
      <c r="BA72" s="12">
        <f>[1]节奏总纲!BA72</f>
        <v>35.536749707250202</v>
      </c>
      <c r="BB72" s="12">
        <f>[1]节奏总纲!BB72</f>
        <v>37.045197000674086</v>
      </c>
      <c r="BC72" s="12">
        <f>[1]节奏总纲!BC72</f>
        <v>38.976971320055128</v>
      </c>
      <c r="BD72" s="12">
        <f>[1]节奏总纲!BD72</f>
        <v>41.690869443102159</v>
      </c>
      <c r="BE72" s="12">
        <f>[1]节奏总纲!BE72</f>
        <v>46.368730644141969</v>
      </c>
      <c r="BI72" s="7">
        <v>69</v>
      </c>
      <c r="BJ72" s="12">
        <f>[1]节奏总纲!BJ72</f>
        <v>3.1333333333333324</v>
      </c>
      <c r="BK72" s="12">
        <f>[1]节奏总纲!BK72</f>
        <v>3.1959999999999993</v>
      </c>
      <c r="BL72" s="12">
        <f>[1]节奏总纲!BL72</f>
        <v>3.3213333333333326</v>
      </c>
      <c r="BM72" s="12">
        <f>[1]节奏总纲!BM72</f>
        <v>3.5719999999999987</v>
      </c>
      <c r="BN72" s="12">
        <f>[1]节奏总纲!BN72</f>
        <v>4.3866666666666649</v>
      </c>
    </row>
    <row r="73" spans="6:66" x14ac:dyDescent="0.15">
      <c r="F73" s="12">
        <f>[1]节奏总纲!F73</f>
        <v>71</v>
      </c>
      <c r="G73" s="12">
        <f>[1]节奏总纲!G73</f>
        <v>136.18700320464549</v>
      </c>
      <c r="N73" s="12">
        <f>[1]节奏总纲!N73</f>
        <v>80</v>
      </c>
      <c r="O73" s="8">
        <v>70</v>
      </c>
      <c r="P73" s="12">
        <f>[1]节奏总纲!P73</f>
        <v>127</v>
      </c>
      <c r="Q73" s="12">
        <f>[1]节奏总纲!Q73</f>
        <v>109.9693</v>
      </c>
      <c r="R73" s="12">
        <f>[1]节奏总纲!R73</f>
        <v>90.106499999999997</v>
      </c>
      <c r="S73" s="12">
        <f>[1]节奏总纲!S73</f>
        <v>65.925700000000006</v>
      </c>
      <c r="T73" s="12">
        <f>[1]节奏总纲!T73</f>
        <v>36.4998</v>
      </c>
      <c r="V73" s="8">
        <v>70</v>
      </c>
      <c r="W73" s="12">
        <f>[1]节奏总纲!W73</f>
        <v>8.5717770832886799</v>
      </c>
      <c r="X73" s="12">
        <f>[1]节奏总纲!X73</f>
        <v>7.4578302432946799</v>
      </c>
      <c r="Y73" s="12">
        <f>[1]节奏总纲!Y73</f>
        <v>6.2119468858016944</v>
      </c>
      <c r="Z73" s="12">
        <f>[1]节奏总纲!Z73</f>
        <v>4.3903953724768101</v>
      </c>
      <c r="AA73" s="12">
        <f>[1]节奏总纲!AA73</f>
        <v>2.4398430891538254</v>
      </c>
      <c r="AC73" s="8">
        <v>70</v>
      </c>
      <c r="AD73" s="12">
        <f>[1]节奏总纲!AD73</f>
        <v>61.488808450176215</v>
      </c>
      <c r="AE73" s="12">
        <f>[1]节奏总纲!AE73</f>
        <v>63.513184670725188</v>
      </c>
      <c r="AF73" s="12">
        <f>[1]节奏总纲!AF73</f>
        <v>66.314314361313961</v>
      </c>
      <c r="AG73" s="12">
        <f>[1]节奏总纲!AG73</f>
        <v>70.869228289085072</v>
      </c>
      <c r="AH73" s="12">
        <f>[1]节奏总纲!AH73</f>
        <v>79.403426131671111</v>
      </c>
      <c r="AZ73" s="8">
        <v>70</v>
      </c>
      <c r="BA73" s="12">
        <f>[1]节奏总纲!BA73</f>
        <v>35.634340563113874</v>
      </c>
      <c r="BB73" s="12">
        <f>[1]节奏总纲!BB73</f>
        <v>37.135950591746003</v>
      </c>
      <c r="BC73" s="12">
        <f>[1]节奏总纲!BC73</f>
        <v>39.070187171981765</v>
      </c>
      <c r="BD73" s="12">
        <f>[1]节奏总纲!BD73</f>
        <v>41.791434980831518</v>
      </c>
      <c r="BE73" s="12">
        <f>[1]节奏总纲!BE73</f>
        <v>46.465050858235607</v>
      </c>
      <c r="BI73" s="7">
        <v>70</v>
      </c>
      <c r="BJ73" s="12">
        <f>[1]节奏总纲!BJ73</f>
        <v>3.1666666666666656</v>
      </c>
      <c r="BK73" s="12">
        <f>[1]节奏总纲!BK73</f>
        <v>3.2299999999999991</v>
      </c>
      <c r="BL73" s="12">
        <f>[1]节奏总纲!BL73</f>
        <v>3.3566666666666656</v>
      </c>
      <c r="BM73" s="12">
        <f>[1]节奏总纲!BM73</f>
        <v>3.6099999999999985</v>
      </c>
      <c r="BN73" s="12">
        <f>[1]节奏总纲!BN73</f>
        <v>4.4333333333333318</v>
      </c>
    </row>
    <row r="74" spans="6:66" x14ac:dyDescent="0.15">
      <c r="F74" s="12">
        <f>[1]节奏总纲!F74</f>
        <v>72</v>
      </c>
      <c r="G74" s="12">
        <f>[1]节奏总纲!G74</f>
        <v>146.03338943962044</v>
      </c>
      <c r="N74" s="12">
        <f>[1]节奏总纲!N74</f>
        <v>81</v>
      </c>
      <c r="O74" s="8">
        <v>71</v>
      </c>
      <c r="P74" s="12">
        <f>[1]节奏总纲!P74</f>
        <v>136.18700320464549</v>
      </c>
      <c r="Q74" s="12">
        <f>[1]节奏总纲!Q74</f>
        <v>118.03327567746625</v>
      </c>
      <c r="R74" s="12">
        <f>[1]节奏总纲!R74</f>
        <v>96.583822672734584</v>
      </c>
      <c r="S74" s="12">
        <f>[1]节奏总纲!S74</f>
        <v>70.612961161608681</v>
      </c>
      <c r="T74" s="12">
        <f>[1]节奏总纲!T74</f>
        <v>39.126526020694648</v>
      </c>
      <c r="V74" s="8">
        <v>71</v>
      </c>
      <c r="W74" s="12">
        <f>[1]节奏总纲!W74</f>
        <v>9.1870032046454924</v>
      </c>
      <c r="X74" s="12">
        <f>[1]节奏总纲!X74</f>
        <v>8.0639756774662459</v>
      </c>
      <c r="Y74" s="12">
        <f>[1]节奏总纲!Y74</f>
        <v>6.4773226727345872</v>
      </c>
      <c r="Z74" s="12">
        <f>[1]节奏总纲!Z74</f>
        <v>4.6872611616086743</v>
      </c>
      <c r="AA74" s="12">
        <f>[1]节奏总纲!AA74</f>
        <v>2.6267260206946474</v>
      </c>
      <c r="AC74" s="8">
        <v>71</v>
      </c>
      <c r="AD74" s="12">
        <f>[1]节奏总纲!AD74</f>
        <v>61.691928656135218</v>
      </c>
      <c r="AE74" s="12">
        <f>[1]节奏总纲!AE74</f>
        <v>63.716030809921811</v>
      </c>
      <c r="AF74" s="12">
        <f>[1]节奏总纲!AF74</f>
        <v>66.52254964941018</v>
      </c>
      <c r="AG74" s="12">
        <f>[1]节奏总纲!AG74</f>
        <v>71.07781362467729</v>
      </c>
      <c r="AH74" s="12">
        <f>[1]节奏总纲!AH74</f>
        <v>79.618252875757847</v>
      </c>
      <c r="AZ74" s="8">
        <v>71</v>
      </c>
      <c r="BA74" s="12">
        <f>[1]节奏总纲!BA74</f>
        <v>35.731931418977545</v>
      </c>
      <c r="BB74" s="12">
        <f>[1]节奏总纲!BB74</f>
        <v>37.226704182817912</v>
      </c>
      <c r="BC74" s="12">
        <f>[1]节奏总纲!BC74</f>
        <v>39.160241683169971</v>
      </c>
      <c r="BD74" s="12">
        <f>[1]节奏总纲!BD74</f>
        <v>41.892000518560877</v>
      </c>
      <c r="BE74" s="12">
        <f>[1]节奏总纲!BE74</f>
        <v>46.561371072329244</v>
      </c>
      <c r="BI74" s="7">
        <v>71</v>
      </c>
      <c r="BJ74" s="12">
        <f>[1]节奏总纲!BJ74</f>
        <v>3.1999999999999988</v>
      </c>
      <c r="BK74" s="12">
        <f>[1]节奏总纲!BK74</f>
        <v>3.2639999999999989</v>
      </c>
      <c r="BL74" s="12">
        <f>[1]节奏总纲!BL74</f>
        <v>3.391999999999999</v>
      </c>
      <c r="BM74" s="12">
        <f>[1]节奏总纲!BM74</f>
        <v>3.6479999999999984</v>
      </c>
      <c r="BN74" s="12">
        <f>[1]节奏总纲!BN74</f>
        <v>4.4799999999999978</v>
      </c>
    </row>
    <row r="75" spans="6:66" x14ac:dyDescent="0.15">
      <c r="F75" s="12">
        <f>[1]节奏总纲!F75</f>
        <v>73</v>
      </c>
      <c r="G75" s="12">
        <f>[1]节奏总纲!G75</f>
        <v>156.58648490814926</v>
      </c>
      <c r="N75" s="12">
        <f>[1]节奏总纲!N75</f>
        <v>82</v>
      </c>
      <c r="O75" s="8">
        <v>72</v>
      </c>
      <c r="P75" s="12">
        <f>[1]节奏总纲!P75</f>
        <v>146.03338943962044</v>
      </c>
      <c r="Q75" s="12">
        <f>[1]节奏总纲!Q75</f>
        <v>126.581741966263</v>
      </c>
      <c r="R75" s="12">
        <f>[1]节奏总纲!R75</f>
        <v>103.31862302853146</v>
      </c>
      <c r="S75" s="12">
        <f>[1]节奏总纲!S75</f>
        <v>75.586882373947532</v>
      </c>
      <c r="T75" s="12">
        <f>[1]节奏总纲!T75</f>
        <v>41.896979430227098</v>
      </c>
      <c r="V75" s="8">
        <v>72</v>
      </c>
      <c r="W75" s="12">
        <f>[1]节奏总纲!W75</f>
        <v>9.8463862349749434</v>
      </c>
      <c r="X75" s="12">
        <f>[1]节奏总纲!X75</f>
        <v>8.548466288796746</v>
      </c>
      <c r="Y75" s="12">
        <f>[1]节奏总纲!Y75</f>
        <v>6.7348003557968781</v>
      </c>
      <c r="Z75" s="12">
        <f>[1]节奏总纲!Z75</f>
        <v>4.9739212123388512</v>
      </c>
      <c r="AA75" s="12">
        <f>[1]节奏总纲!AA75</f>
        <v>2.7704534095324505</v>
      </c>
      <c r="AC75" s="8">
        <v>72</v>
      </c>
      <c r="AD75" s="12">
        <f>[1]节奏总纲!AD75</f>
        <v>61.895048862094221</v>
      </c>
      <c r="AE75" s="12">
        <f>[1]节奏总纲!AE75</f>
        <v>63.918876949118435</v>
      </c>
      <c r="AF75" s="12">
        <f>[1]节奏总纲!AF75</f>
        <v>66.7307849375064</v>
      </c>
      <c r="AG75" s="12">
        <f>[1]节奏总纲!AG75</f>
        <v>71.278862245535876</v>
      </c>
      <c r="AH75" s="12">
        <f>[1]节奏总纲!AH75</f>
        <v>79.833079619844597</v>
      </c>
      <c r="AZ75" s="8">
        <v>72</v>
      </c>
      <c r="BA75" s="12">
        <f>[1]节奏总纲!BA75</f>
        <v>35.829522274841217</v>
      </c>
      <c r="BB75" s="12">
        <f>[1]节奏总纲!BB75</f>
        <v>37.317457773889828</v>
      </c>
      <c r="BC75" s="12">
        <f>[1]节奏总纲!BC75</f>
        <v>39.250296194358178</v>
      </c>
      <c r="BD75" s="12">
        <f>[1]节奏总纲!BD75</f>
        <v>41.992566056290244</v>
      </c>
      <c r="BE75" s="12">
        <f>[1]节奏总纲!BE75</f>
        <v>46.657691286422882</v>
      </c>
      <c r="BI75" s="7">
        <v>72</v>
      </c>
      <c r="BJ75" s="12">
        <f>[1]节奏总纲!BJ75</f>
        <v>3.2333333333333321</v>
      </c>
      <c r="BK75" s="12">
        <f>[1]节奏总纲!BK75</f>
        <v>3.2979999999999987</v>
      </c>
      <c r="BL75" s="12">
        <f>[1]节奏总纲!BL75</f>
        <v>3.427333333333332</v>
      </c>
      <c r="BM75" s="12">
        <f>[1]节奏总纲!BM75</f>
        <v>3.6859999999999982</v>
      </c>
      <c r="BN75" s="12">
        <f>[1]节奏总纲!BN75</f>
        <v>4.5266666666666646</v>
      </c>
    </row>
    <row r="76" spans="6:66" x14ac:dyDescent="0.15">
      <c r="F76" s="12">
        <f>[1]节奏总纲!F76</f>
        <v>74</v>
      </c>
      <c r="G76" s="12">
        <f>[1]节奏总纲!G76</f>
        <v>167.89701257893043</v>
      </c>
      <c r="N76" s="12">
        <f>[1]节奏总纲!N76</f>
        <v>83</v>
      </c>
      <c r="O76" s="8">
        <v>73</v>
      </c>
      <c r="P76" s="12">
        <f>[1]节奏总纲!P76</f>
        <v>156.58648490814926</v>
      </c>
      <c r="Q76" s="12">
        <f>[1]节奏总纲!Q76</f>
        <v>135.41599214856748</v>
      </c>
      <c r="R76" s="12">
        <f>[1]节奏总纲!R76</f>
        <v>110.58137564213501</v>
      </c>
      <c r="S76" s="12">
        <f>[1]节奏总纲!S76</f>
        <v>80.955212697513176</v>
      </c>
      <c r="T76" s="12">
        <f>[1]节奏总纲!T76</f>
        <v>44.877686574675579</v>
      </c>
      <c r="V76" s="8">
        <v>73</v>
      </c>
      <c r="W76" s="12">
        <f>[1]节奏总纲!W76</f>
        <v>10.553095468528824</v>
      </c>
      <c r="X76" s="12">
        <f>[1]节奏总纲!X76</f>
        <v>8.834250182304487</v>
      </c>
      <c r="Y76" s="12">
        <f>[1]节奏总纲!Y76</f>
        <v>7.2627526136035527</v>
      </c>
      <c r="Z76" s="12">
        <f>[1]节奏总纲!Z76</f>
        <v>5.3683303235656439</v>
      </c>
      <c r="AA76" s="12">
        <f>[1]节奏总纲!AA76</f>
        <v>2.9807071444484805</v>
      </c>
      <c r="AC76" s="8">
        <v>73</v>
      </c>
      <c r="AD76" s="12">
        <f>[1]节奏总纲!AD76</f>
        <v>62.091594979242075</v>
      </c>
      <c r="AE76" s="12">
        <f>[1]节奏总纲!AE76</f>
        <v>64.114306430026588</v>
      </c>
      <c r="AF76" s="12">
        <f>[1]节奏总纲!AF76</f>
        <v>66.939020225602619</v>
      </c>
      <c r="AG76" s="12">
        <f>[1]节奏总纲!AG76</f>
        <v>71.479910866394462</v>
      </c>
      <c r="AH76" s="12">
        <f>[1]节奏总纲!AH76</f>
        <v>80.043898354812981</v>
      </c>
      <c r="AZ76" s="8">
        <v>73</v>
      </c>
      <c r="BA76" s="12">
        <f>[1]节奏总纲!BA76</f>
        <v>35.927113130704889</v>
      </c>
      <c r="BB76" s="12">
        <f>[1]节奏总纲!BB76</f>
        <v>37.408211364961737</v>
      </c>
      <c r="BC76" s="12">
        <f>[1]节奏总纲!BC76</f>
        <v>39.340350705546385</v>
      </c>
      <c r="BD76" s="12">
        <f>[1]节奏总纲!BD76</f>
        <v>42.080366850119908</v>
      </c>
      <c r="BE76" s="12">
        <f>[1]节奏总纲!BE76</f>
        <v>46.754011500516519</v>
      </c>
      <c r="BI76" s="7">
        <v>73</v>
      </c>
      <c r="BJ76" s="12">
        <f>[1]节奏总纲!BJ76</f>
        <v>3.2666666666666653</v>
      </c>
      <c r="BK76" s="12">
        <f>[1]节奏总纲!BK76</f>
        <v>3.3319999999999985</v>
      </c>
      <c r="BL76" s="12">
        <f>[1]节奏总纲!BL76</f>
        <v>3.4626666666666654</v>
      </c>
      <c r="BM76" s="12">
        <f>[1]节奏总纲!BM76</f>
        <v>3.723999999999998</v>
      </c>
      <c r="BN76" s="12">
        <f>[1]节奏总纲!BN76</f>
        <v>4.5733333333333315</v>
      </c>
    </row>
    <row r="77" spans="6:66" x14ac:dyDescent="0.15">
      <c r="F77" s="12">
        <f>[1]节奏总纲!F77</f>
        <v>75</v>
      </c>
      <c r="G77" s="12">
        <f>[1]节奏总纲!G77</f>
        <v>180.01933598375612</v>
      </c>
      <c r="N77" s="12">
        <f>[1]节奏总纲!N77</f>
        <v>84</v>
      </c>
      <c r="O77" s="8">
        <v>74</v>
      </c>
      <c r="P77" s="12">
        <f>[1]节奏总纲!P77</f>
        <v>167.89701257893043</v>
      </c>
      <c r="Q77" s="12">
        <f>[1]节奏总纲!Q77</f>
        <v>145.16375707574326</v>
      </c>
      <c r="R77" s="12">
        <f>[1]节奏总纲!R77</f>
        <v>118.70318789330381</v>
      </c>
      <c r="S77" s="12">
        <f>[1]节奏总纲!S77</f>
        <v>86.869914308338593</v>
      </c>
      <c r="T77" s="12">
        <f>[1]节奏总纲!T77</f>
        <v>48.169652908895138</v>
      </c>
      <c r="V77" s="8">
        <v>74</v>
      </c>
      <c r="W77" s="12">
        <f>[1]节奏总纲!W77</f>
        <v>11.31052767078117</v>
      </c>
      <c r="X77" s="12">
        <f>[1]节奏总纲!X77</f>
        <v>9.7477649271757798</v>
      </c>
      <c r="Y77" s="12">
        <f>[1]节奏总纲!Y77</f>
        <v>8.1218122511687909</v>
      </c>
      <c r="Z77" s="12">
        <f>[1]节奏总纲!Z77</f>
        <v>5.9147016108254178</v>
      </c>
      <c r="AA77" s="12">
        <f>[1]节奏总纲!AA77</f>
        <v>3.2919663342195591</v>
      </c>
      <c r="AC77" s="8">
        <v>74</v>
      </c>
      <c r="AD77" s="12">
        <f>[1]节奏总纲!AD77</f>
        <v>62.281112832649576</v>
      </c>
      <c r="AE77" s="12">
        <f>[1]节奏总纲!AE77</f>
        <v>64.304793036447776</v>
      </c>
      <c r="AF77" s="12">
        <f>[1]节奏总纲!AF77</f>
        <v>67.14262442756818</v>
      </c>
      <c r="AG77" s="12">
        <f>[1]节奏总纲!AG77</f>
        <v>71.680959487253048</v>
      </c>
      <c r="AH77" s="12">
        <f>[1]节奏总纲!AH77</f>
        <v>80.24075196383977</v>
      </c>
      <c r="AZ77" s="8">
        <v>74</v>
      </c>
      <c r="BA77" s="12">
        <f>[1]节奏总纲!BA77</f>
        <v>36.021306837933537</v>
      </c>
      <c r="BB77" s="12">
        <f>[1]节奏总纲!BB77</f>
        <v>37.498964956033646</v>
      </c>
      <c r="BC77" s="12">
        <f>[1]节奏总纲!BC77</f>
        <v>39.430405216734592</v>
      </c>
      <c r="BD77" s="12">
        <f>[1]节奏总纲!BD77</f>
        <v>42.167148737437564</v>
      </c>
      <c r="BE77" s="12">
        <f>[1]节奏总纲!BE77</f>
        <v>46.850331714610157</v>
      </c>
      <c r="BI77" s="7">
        <v>74</v>
      </c>
      <c r="BJ77" s="12">
        <f>[1]节奏总纲!BJ77</f>
        <v>3.2999999999999985</v>
      </c>
      <c r="BK77" s="12">
        <f>[1]节奏总纲!BK77</f>
        <v>3.3659999999999983</v>
      </c>
      <c r="BL77" s="12">
        <f>[1]节奏总纲!BL77</f>
        <v>3.4979999999999984</v>
      </c>
      <c r="BM77" s="12">
        <f>[1]节奏总纲!BM77</f>
        <v>3.7619999999999978</v>
      </c>
      <c r="BN77" s="12">
        <f>[1]节奏总纲!BN77</f>
        <v>4.6199999999999974</v>
      </c>
    </row>
    <row r="78" spans="6:66" x14ac:dyDescent="0.15">
      <c r="F78" s="12">
        <f>[1]节奏总纲!F78</f>
        <v>76</v>
      </c>
      <c r="G78" s="12">
        <f>[1]节奏总纲!G78</f>
        <v>193.01172051333091</v>
      </c>
      <c r="N78" s="12">
        <f>[1]节奏总纲!N78</f>
        <v>85</v>
      </c>
      <c r="O78" s="8">
        <v>75</v>
      </c>
      <c r="P78" s="12">
        <f>[1]节奏总纲!P78</f>
        <v>180.01933598375612</v>
      </c>
      <c r="Q78" s="12">
        <f>[1]节奏总纲!Q78</f>
        <v>155.75272949314578</v>
      </c>
      <c r="R78" s="12">
        <f>[1]节奏总纲!R78</f>
        <v>127.38168214210583</v>
      </c>
      <c r="S78" s="12">
        <f>[1]节奏总纲!S78</f>
        <v>93.214012172388934</v>
      </c>
      <c r="T78" s="12">
        <f>[1]节奏总纲!T78</f>
        <v>51.755559095329879</v>
      </c>
      <c r="V78" s="8">
        <v>75</v>
      </c>
      <c r="W78" s="12">
        <f>[1]节奏总纲!W78</f>
        <v>12.122323404825693</v>
      </c>
      <c r="X78" s="12">
        <f>[1]节奏总纲!X78</f>
        <v>10.588972417402516</v>
      </c>
      <c r="Y78" s="12">
        <f>[1]节奏总纲!Y78</f>
        <v>8.6784942488020249</v>
      </c>
      <c r="Z78" s="12">
        <f>[1]节奏总纲!Z78</f>
        <v>6.3440978640503403</v>
      </c>
      <c r="AA78" s="12">
        <f>[1]节奏总纲!AA78</f>
        <v>3.585906186434741</v>
      </c>
      <c r="AC78" s="8">
        <v>75</v>
      </c>
      <c r="AD78" s="12">
        <f>[1]节奏总纲!AD78</f>
        <v>62.470630686057078</v>
      </c>
      <c r="AE78" s="12">
        <f>[1]节奏总纲!AE78</f>
        <v>64.495279642868965</v>
      </c>
      <c r="AF78" s="12">
        <f>[1]节奏总纲!AF78</f>
        <v>67.344310856946692</v>
      </c>
      <c r="AG78" s="12">
        <f>[1]节奏总纲!AG78</f>
        <v>71.882008108111634</v>
      </c>
      <c r="AH78" s="12">
        <f>[1]节奏总纲!AH78</f>
        <v>80.437605572866573</v>
      </c>
      <c r="AZ78" s="8">
        <v>75</v>
      </c>
      <c r="BA78" s="12">
        <f>[1]节奏总纲!BA78</f>
        <v>36.105477566569242</v>
      </c>
      <c r="BB78" s="12">
        <f>[1]节奏总纲!BB78</f>
        <v>37.589718547105562</v>
      </c>
      <c r="BC78" s="12">
        <f>[1]节奏总纲!BC78</f>
        <v>39.520459727922798</v>
      </c>
      <c r="BD78" s="12">
        <f>[1]节奏总纲!BD78</f>
        <v>42.253930624755228</v>
      </c>
      <c r="BE78" s="12">
        <f>[1]节奏总纲!BE78</f>
        <v>46.946651928703787</v>
      </c>
      <c r="BI78" s="7">
        <v>75</v>
      </c>
      <c r="BJ78" s="12">
        <f>[1]节奏总纲!BJ78</f>
        <v>3.3333333333333317</v>
      </c>
      <c r="BK78" s="12">
        <f>[1]节奏总纲!BK78</f>
        <v>3.3999999999999986</v>
      </c>
      <c r="BL78" s="12">
        <f>[1]节奏总纲!BL78</f>
        <v>3.5333333333333319</v>
      </c>
      <c r="BM78" s="12">
        <f>[1]节奏总纲!BM78</f>
        <v>3.7999999999999976</v>
      </c>
      <c r="BN78" s="12">
        <f>[1]节奏总纲!BN78</f>
        <v>4.6666666666666643</v>
      </c>
    </row>
    <row r="79" spans="6:66" x14ac:dyDescent="0.15">
      <c r="F79" s="12">
        <f>[1]节奏总纲!F79</f>
        <v>77</v>
      </c>
      <c r="G79" s="12">
        <f>[1]节奏总纲!G79</f>
        <v>206.93661346719625</v>
      </c>
      <c r="N79" s="12">
        <f>[1]节奏总纲!N79</f>
        <v>86</v>
      </c>
      <c r="O79" s="8">
        <v>76</v>
      </c>
      <c r="P79" s="12">
        <f>[1]节奏总纲!P79</f>
        <v>193.01172051333091</v>
      </c>
      <c r="Q79" s="12">
        <f>[1]节奏总纲!Q79</f>
        <v>166.97443941608256</v>
      </c>
      <c r="R79" s="12">
        <f>[1]节奏总纲!R79</f>
        <v>136.51718991907896</v>
      </c>
      <c r="S79" s="12">
        <f>[1]节奏总纲!S79</f>
        <v>100.0379747420594</v>
      </c>
      <c r="T79" s="12">
        <f>[1]节奏总纲!T79</f>
        <v>55.664580196044632</v>
      </c>
      <c r="V79" s="8">
        <v>76</v>
      </c>
      <c r="W79" s="12">
        <f>[1]节奏总纲!W79</f>
        <v>12.992384529574792</v>
      </c>
      <c r="X79" s="12">
        <f>[1]节奏总纲!X79</f>
        <v>11.221709922936782</v>
      </c>
      <c r="Y79" s="12">
        <f>[1]节奏总纲!Y79</f>
        <v>9.1355077769731281</v>
      </c>
      <c r="Z79" s="12">
        <f>[1]节奏总纲!Z79</f>
        <v>6.8239625696704707</v>
      </c>
      <c r="AA79" s="12">
        <f>[1]节奏总纲!AA79</f>
        <v>3.9090211007147531</v>
      </c>
      <c r="AC79" s="8">
        <v>76</v>
      </c>
      <c r="AD79" s="12">
        <f>[1]节奏总纲!AD79</f>
        <v>62.660148539464579</v>
      </c>
      <c r="AE79" s="12">
        <f>[1]节奏总纲!AE79</f>
        <v>64.685766249290154</v>
      </c>
      <c r="AF79" s="12">
        <f>[1]节奏总纲!AF79</f>
        <v>67.545997286325218</v>
      </c>
      <c r="AG79" s="12">
        <f>[1]节奏总纲!AG79</f>
        <v>72.076954583856178</v>
      </c>
      <c r="AH79" s="12">
        <f>[1]节奏总纲!AH79</f>
        <v>80.634459181893376</v>
      </c>
      <c r="AZ79" s="8">
        <v>76</v>
      </c>
      <c r="BA79" s="12">
        <f>[1]节奏总纲!BA79</f>
        <v>36.189648295204947</v>
      </c>
      <c r="BB79" s="12">
        <f>[1]节奏总纲!BB79</f>
        <v>37.680472138177471</v>
      </c>
      <c r="BC79" s="12">
        <f>[1]节奏总纲!BC79</f>
        <v>39.610514239111005</v>
      </c>
      <c r="BD79" s="12">
        <f>[1]节奏总纲!BD79</f>
        <v>42.340712512072891</v>
      </c>
      <c r="BE79" s="12">
        <f>[1]节奏总纲!BE79</f>
        <v>47.037096473408994</v>
      </c>
      <c r="BI79" s="7">
        <v>76</v>
      </c>
      <c r="BJ79" s="12">
        <f>[1]节奏总纲!BJ79</f>
        <v>3.3666666666666649</v>
      </c>
      <c r="BK79" s="12">
        <f>[1]节奏总纲!BK79</f>
        <v>3.4339999999999984</v>
      </c>
      <c r="BL79" s="12">
        <f>[1]节奏总纲!BL79</f>
        <v>3.5686666666666649</v>
      </c>
      <c r="BM79" s="12">
        <f>[1]节奏总纲!BM79</f>
        <v>3.8379999999999979</v>
      </c>
      <c r="BN79" s="12">
        <f>[1]节奏总纲!BN79</f>
        <v>4.7133333333333303</v>
      </c>
    </row>
    <row r="80" spans="6:66" x14ac:dyDescent="0.15">
      <c r="F80" s="12">
        <f>[1]节奏总纲!F80</f>
        <v>78</v>
      </c>
      <c r="G80" s="12">
        <f>[1]节奏总纲!G80</f>
        <v>221.86094420380775</v>
      </c>
      <c r="N80" s="12">
        <f>[1]节奏总纲!N80</f>
        <v>87</v>
      </c>
      <c r="O80" s="8">
        <v>77</v>
      </c>
      <c r="P80" s="12">
        <f>[1]节奏总纲!P80</f>
        <v>206.93661346719625</v>
      </c>
      <c r="Q80" s="12">
        <f>[1]节奏总纲!Q80</f>
        <v>179.12433261720508</v>
      </c>
      <c r="R80" s="12">
        <f>[1]节奏总纲!R80</f>
        <v>146.53181599612165</v>
      </c>
      <c r="S80" s="12">
        <f>[1]节奏总纲!S80</f>
        <v>107.42079605082158</v>
      </c>
      <c r="T80" s="12">
        <f>[1]节奏总纲!T80</f>
        <v>59.535663694512365</v>
      </c>
      <c r="V80" s="8">
        <v>77</v>
      </c>
      <c r="W80" s="12">
        <f>[1]节奏总纲!W80</f>
        <v>13.924892953865339</v>
      </c>
      <c r="X80" s="12">
        <f>[1]节奏总纲!X80</f>
        <v>12.149893201122524</v>
      </c>
      <c r="Y80" s="12">
        <f>[1]节奏总纲!Y80</f>
        <v>10.014626077042692</v>
      </c>
      <c r="Z80" s="12">
        <f>[1]节奏总纲!Z80</f>
        <v>7.3828213087621748</v>
      </c>
      <c r="AA80" s="12">
        <f>[1]节奏总纲!AA80</f>
        <v>3.8710834984677334</v>
      </c>
      <c r="AC80" s="8">
        <v>77</v>
      </c>
      <c r="AD80" s="12">
        <f>[1]节奏总纲!AD80</f>
        <v>62.849666392872081</v>
      </c>
      <c r="AE80" s="12">
        <f>[1]节奏总纲!AE80</f>
        <v>64.876252855711357</v>
      </c>
      <c r="AF80" s="12">
        <f>[1]节奏总纲!AF80</f>
        <v>67.747683715703729</v>
      </c>
      <c r="AG80" s="12">
        <f>[1]节奏总纲!AG80</f>
        <v>72.263232241847945</v>
      </c>
      <c r="AH80" s="12">
        <f>[1]节奏总纲!AH80</f>
        <v>80.83131279092018</v>
      </c>
      <c r="AZ80" s="8">
        <v>77</v>
      </c>
      <c r="BA80" s="12">
        <f>[1]节奏总纲!BA80</f>
        <v>36.273819023840659</v>
      </c>
      <c r="BB80" s="12">
        <f>[1]节奏总纲!BB80</f>
        <v>37.771225729249387</v>
      </c>
      <c r="BC80" s="12">
        <f>[1]节奏总纲!BC80</f>
        <v>39.700568750299212</v>
      </c>
      <c r="BD80" s="12">
        <f>[1]节奏总纲!BD80</f>
        <v>42.427494399390554</v>
      </c>
      <c r="BE80" s="12">
        <f>[1]节奏总纲!BE80</f>
        <v>47.12024662670057</v>
      </c>
      <c r="BI80" s="7">
        <v>77</v>
      </c>
      <c r="BJ80" s="12">
        <f>[1]节奏总纲!BJ80</f>
        <v>3.3999999999999981</v>
      </c>
      <c r="BK80" s="12">
        <f>[1]节奏总纲!BK80</f>
        <v>3.4679999999999982</v>
      </c>
      <c r="BL80" s="12">
        <f>[1]节奏总纲!BL80</f>
        <v>3.6039999999999983</v>
      </c>
      <c r="BM80" s="12">
        <f>[1]节奏总纲!BM80</f>
        <v>3.8759999999999977</v>
      </c>
      <c r="BN80" s="12">
        <f>[1]节奏总纲!BN80</f>
        <v>4.7599999999999971</v>
      </c>
    </row>
    <row r="81" spans="6:66" x14ac:dyDescent="0.15">
      <c r="F81" s="12">
        <f>[1]节奏总纲!F81</f>
        <v>79</v>
      </c>
      <c r="G81" s="12">
        <f>[1]节奏总纲!G81</f>
        <v>237.85644583342264</v>
      </c>
      <c r="N81" s="12">
        <f>[1]节奏总纲!N81</f>
        <v>88</v>
      </c>
      <c r="O81" s="8">
        <v>78</v>
      </c>
      <c r="P81" s="12">
        <f>[1]节奏总纲!P81</f>
        <v>221.86094420380775</v>
      </c>
      <c r="Q81" s="12">
        <f>[1]节奏总纲!Q81</f>
        <v>192.04283330281601</v>
      </c>
      <c r="R81" s="12">
        <f>[1]节奏总纲!R81</f>
        <v>157.23285115723854</v>
      </c>
      <c r="S81" s="12">
        <f>[1]节奏总纲!S81</f>
        <v>115.1680161361966</v>
      </c>
      <c r="T81" s="12">
        <f>[1]节奏总纲!T81</f>
        <v>63.651904892072437</v>
      </c>
      <c r="V81" s="8">
        <v>78</v>
      </c>
      <c r="W81" s="12">
        <f>[1]节奏总纲!W81</f>
        <v>14.924330736611495</v>
      </c>
      <c r="X81" s="12">
        <f>[1]节奏总纲!X81</f>
        <v>12.918500685610923</v>
      </c>
      <c r="Y81" s="12">
        <f>[1]节奏总纲!Y81</f>
        <v>10.701035161116891</v>
      </c>
      <c r="Z81" s="12">
        <f>[1]节奏总纲!Z81</f>
        <v>7.7472200853750195</v>
      </c>
      <c r="AA81" s="12">
        <f>[1]节奏总纲!AA81</f>
        <v>4.1162411975600719</v>
      </c>
      <c r="AC81" s="8">
        <v>78</v>
      </c>
      <c r="AD81" s="12">
        <f>[1]节奏总纲!AD81</f>
        <v>63.036560194527354</v>
      </c>
      <c r="AE81" s="12">
        <f>[1]节奏总纲!AE81</f>
        <v>65.061438622789353</v>
      </c>
      <c r="AF81" s="12">
        <f>[1]节奏总纲!AF81</f>
        <v>67.949370145082256</v>
      </c>
      <c r="AG81" s="12">
        <f>[1]节奏总纲!AG81</f>
        <v>72.449509899839711</v>
      </c>
      <c r="AH81" s="12">
        <f>[1]节奏总纲!AH81</f>
        <v>81.026624803116562</v>
      </c>
      <c r="AZ81" s="8">
        <v>78</v>
      </c>
      <c r="BA81" s="12">
        <f>[1]节奏总纲!BA81</f>
        <v>36.357989752476364</v>
      </c>
      <c r="BB81" s="12">
        <f>[1]节奏总纲!BB81</f>
        <v>37.861979320321296</v>
      </c>
      <c r="BC81" s="12">
        <f>[1]节奏总纲!BC81</f>
        <v>39.790623261487418</v>
      </c>
      <c r="BD81" s="12">
        <f>[1]节奏总纲!BD81</f>
        <v>42.51427628670821</v>
      </c>
      <c r="BE81" s="12">
        <f>[1]节奏总纲!BE81</f>
        <v>47.203396779992147</v>
      </c>
      <c r="BI81" s="7">
        <v>78</v>
      </c>
      <c r="BJ81" s="12">
        <f>[1]节奏总纲!BJ81</f>
        <v>3.4333333333333313</v>
      </c>
      <c r="BK81" s="12">
        <f>[1]节奏总纲!BK81</f>
        <v>3.501999999999998</v>
      </c>
      <c r="BL81" s="12">
        <f>[1]节奏总纲!BL81</f>
        <v>3.6393333333333313</v>
      </c>
      <c r="BM81" s="12">
        <f>[1]节奏总纲!BM81</f>
        <v>3.9139999999999975</v>
      </c>
      <c r="BN81" s="12">
        <f>[1]节奏总纲!BN81</f>
        <v>4.806666666666664</v>
      </c>
    </row>
    <row r="82" spans="6:66" x14ac:dyDescent="0.15">
      <c r="F82" s="12">
        <f>[1]节奏总纲!F82</f>
        <v>80</v>
      </c>
      <c r="G82" s="12">
        <f>[1]节奏总纲!G82</f>
        <v>255</v>
      </c>
      <c r="N82" s="12">
        <f>[1]节奏总纲!N82</f>
        <v>89</v>
      </c>
      <c r="O82" s="8">
        <v>79</v>
      </c>
      <c r="P82" s="12">
        <f>[1]节奏总纲!P82</f>
        <v>237.85644583342264</v>
      </c>
      <c r="Q82" s="12">
        <f>[1]节奏总纲!Q82</f>
        <v>206.07882467007735</v>
      </c>
      <c r="R82" s="12">
        <f>[1]节奏总纲!R82</f>
        <v>168.73536267423003</v>
      </c>
      <c r="S82" s="12">
        <f>[1]节奏总纲!S82</f>
        <v>123.11449636337954</v>
      </c>
      <c r="T82" s="12">
        <f>[1]节奏总纲!T82</f>
        <v>68.122086086692235</v>
      </c>
      <c r="V82" s="8">
        <v>79</v>
      </c>
      <c r="W82" s="12">
        <f>[1]节奏总纲!W82</f>
        <v>15.995501629614893</v>
      </c>
      <c r="X82" s="12">
        <f>[1]节奏总纲!X82</f>
        <v>14.035991367261346</v>
      </c>
      <c r="Y82" s="12">
        <f>[1]节奏总纲!Y82</f>
        <v>11.50251151699149</v>
      </c>
      <c r="Z82" s="12">
        <f>[1]节奏总纲!Z82</f>
        <v>7.9464802271829456</v>
      </c>
      <c r="AA82" s="12">
        <f>[1]节奏总纲!AA82</f>
        <v>4.4701811946197978</v>
      </c>
      <c r="AC82" s="8">
        <v>79</v>
      </c>
      <c r="AD82" s="12">
        <f>[1]节奏总纲!AD82</f>
        <v>63.213386604241791</v>
      </c>
      <c r="AE82" s="12">
        <f>[1]节奏总纲!AE82</f>
        <v>65.23679566619937</v>
      </c>
      <c r="AF82" s="12">
        <f>[1]节奏总纲!AF82</f>
        <v>68.132712808893615</v>
      </c>
      <c r="AG82" s="12">
        <f>[1]节奏总纲!AG82</f>
        <v>72.635787557831478</v>
      </c>
      <c r="AH82" s="12">
        <f>[1]节奏总纲!AH82</f>
        <v>81.212704266341873</v>
      </c>
      <c r="AZ82" s="8">
        <v>79</v>
      </c>
      <c r="BA82" s="12">
        <f>[1]节奏总纲!BA82</f>
        <v>36.442160481112069</v>
      </c>
      <c r="BB82" s="12">
        <f>[1]节奏总纲!BB82</f>
        <v>37.952732911393213</v>
      </c>
      <c r="BC82" s="12">
        <f>[1]节奏总纲!BC82</f>
        <v>39.880677772675625</v>
      </c>
      <c r="BD82" s="12">
        <f>[1]节奏总纲!BD82</f>
        <v>42.601058174025873</v>
      </c>
      <c r="BE82" s="12">
        <f>[1]节奏总纲!BE82</f>
        <v>47.286546933283724</v>
      </c>
      <c r="BI82" s="7">
        <v>79</v>
      </c>
      <c r="BJ82" s="12">
        <f>[1]节奏总纲!BJ82</f>
        <v>3.4666666666666646</v>
      </c>
      <c r="BK82" s="12">
        <f>[1]节奏总纲!BK82</f>
        <v>3.5359999999999978</v>
      </c>
      <c r="BL82" s="12">
        <f>[1]节奏总纲!BL82</f>
        <v>3.6746666666666647</v>
      </c>
      <c r="BM82" s="12">
        <f>[1]节奏总纲!BM82</f>
        <v>3.9519999999999973</v>
      </c>
      <c r="BN82" s="12">
        <f>[1]节奏总纲!BN82</f>
        <v>4.8533333333333299</v>
      </c>
    </row>
    <row r="83" spans="6:66" x14ac:dyDescent="0.15">
      <c r="F83" s="12">
        <f>[1]节奏总纲!F83</f>
        <v>81</v>
      </c>
      <c r="G83" s="12">
        <f>[1]节奏总纲!G83</f>
        <v>273.37400640929098</v>
      </c>
      <c r="N83" s="12">
        <f>[1]节奏总纲!N83</f>
        <v>90</v>
      </c>
      <c r="O83" s="8">
        <v>80</v>
      </c>
      <c r="P83" s="12">
        <f>[1]节奏总纲!P83</f>
        <v>255</v>
      </c>
      <c r="Q83" s="12">
        <f>[1]节奏总纲!Q83</f>
        <v>221.08500000000001</v>
      </c>
      <c r="R83" s="12">
        <f>[1]节奏总纲!R83</f>
        <v>180.33600000000001</v>
      </c>
      <c r="S83" s="12">
        <f>[1]节奏总纲!S83</f>
        <v>131.58000000000001</v>
      </c>
      <c r="T83" s="12">
        <f>[1]节奏总纲!T83</f>
        <v>72.777000000000001</v>
      </c>
      <c r="V83" s="8">
        <v>80</v>
      </c>
      <c r="W83" s="12">
        <f>[1]节奏总纲!W83</f>
        <v>17.14355416657736</v>
      </c>
      <c r="X83" s="12">
        <f>[1]节奏总纲!X83</f>
        <v>15.006175329922655</v>
      </c>
      <c r="Y83" s="12">
        <f>[1]节奏总纲!Y83</f>
        <v>11.600637325769981</v>
      </c>
      <c r="Z83" s="12">
        <f>[1]节奏总纲!Z83</f>
        <v>8.4655036366204683</v>
      </c>
      <c r="AA83" s="12">
        <f>[1]节奏总纲!AA83</f>
        <v>4.6549139133077659</v>
      </c>
      <c r="AC83" s="8">
        <v>80</v>
      </c>
      <c r="AD83" s="12">
        <f>[1]节奏总纲!AD83</f>
        <v>63.39021301395622</v>
      </c>
      <c r="AE83" s="12">
        <f>[1]节奏总纲!AE83</f>
        <v>65.412152709609373</v>
      </c>
      <c r="AF83" s="12">
        <f>[1]节奏总纲!AF83</f>
        <v>68.309907165737044</v>
      </c>
      <c r="AG83" s="12">
        <f>[1]节奏总纲!AG83</f>
        <v>72.822065215823244</v>
      </c>
      <c r="AH83" s="12">
        <f>[1]节奏总纲!AH83</f>
        <v>81.398783729567185</v>
      </c>
      <c r="AZ83" s="8">
        <v>80</v>
      </c>
      <c r="BA83" s="12">
        <f>[1]节奏总纲!BA83</f>
        <v>36.526331209747774</v>
      </c>
      <c r="BB83" s="12">
        <f>[1]节奏总纲!BB83</f>
        <v>38.037513426486328</v>
      </c>
      <c r="BC83" s="12">
        <f>[1]节奏总纲!BC83</f>
        <v>39.970732283863832</v>
      </c>
      <c r="BD83" s="12">
        <f>[1]节奏总纲!BD83</f>
        <v>42.687840061343536</v>
      </c>
      <c r="BE83" s="12">
        <f>[1]节奏总纲!BE83</f>
        <v>47.3696970865753</v>
      </c>
      <c r="BI83" s="11">
        <v>80</v>
      </c>
      <c r="BJ83" s="12">
        <f>[1]节奏总纲!BJ83</f>
        <v>3.4999999999999978</v>
      </c>
      <c r="BK83" s="12">
        <f>[1]节奏总纲!BK83</f>
        <v>3.5699999999999976</v>
      </c>
      <c r="BL83" s="12">
        <f>[1]节奏总纲!BL83</f>
        <v>3.7099999999999977</v>
      </c>
      <c r="BM83" s="12">
        <f>[1]节奏总纲!BM83</f>
        <v>3.9899999999999971</v>
      </c>
      <c r="BN83" s="12">
        <f>[1]节奏总纲!BN83</f>
        <v>4.8999999999999968</v>
      </c>
    </row>
    <row r="84" spans="6:66" x14ac:dyDescent="0.15">
      <c r="F84" s="12">
        <f>[1]节奏总纲!F84</f>
        <v>82</v>
      </c>
      <c r="G84" s="12">
        <f>[1]节奏总纲!G84</f>
        <v>293.06677887924064</v>
      </c>
      <c r="N84" s="12">
        <f>[1]节奏总纲!N84</f>
        <v>91</v>
      </c>
      <c r="O84" s="8">
        <v>81</v>
      </c>
      <c r="P84" s="12">
        <f>[1]节奏总纲!P84</f>
        <v>273.37400640929098</v>
      </c>
      <c r="Q84" s="12">
        <f>[1]节奏总纲!Q84</f>
        <v>236.35916594147301</v>
      </c>
      <c r="R84" s="12">
        <f>[1]节奏总纲!R84</f>
        <v>192.67399971726829</v>
      </c>
      <c r="S84" s="12">
        <f>[1]节奏总纲!S84</f>
        <v>140.76027590014394</v>
      </c>
      <c r="T84" s="12">
        <f>[1]节奏总纲!T84</f>
        <v>77.856917025366073</v>
      </c>
      <c r="V84" s="8">
        <v>81</v>
      </c>
      <c r="W84" s="12">
        <f>[1]节奏总纲!W84</f>
        <v>18.374006409290985</v>
      </c>
      <c r="X84" s="12">
        <f>[1]节奏总纲!X84</f>
        <v>15.274165941473001</v>
      </c>
      <c r="Y84" s="12">
        <f>[1]节奏总纲!Y84</f>
        <v>12.337999717268275</v>
      </c>
      <c r="Z84" s="12">
        <f>[1]节奏总纲!Z84</f>
        <v>9.1802759001439256</v>
      </c>
      <c r="AA84" s="12">
        <f>[1]节奏总纲!AA84</f>
        <v>5.0799170253660719</v>
      </c>
      <c r="AC84" s="8">
        <v>81</v>
      </c>
      <c r="AD84" s="12">
        <f>[1]节奏总纲!AD84</f>
        <v>63.567039423670657</v>
      </c>
      <c r="AE84" s="12">
        <f>[1]节奏总纲!AE84</f>
        <v>65.58750975301939</v>
      </c>
      <c r="AF84" s="12">
        <f>[1]节奏总纲!AF84</f>
        <v>68.487101522580488</v>
      </c>
      <c r="AG84" s="12">
        <f>[1]节奏总纲!AG84</f>
        <v>73.007572199822363</v>
      </c>
      <c r="AH84" s="12">
        <f>[1]节奏总纲!AH84</f>
        <v>81.584863192792497</v>
      </c>
      <c r="AZ84" s="8">
        <v>81</v>
      </c>
      <c r="BA84" s="12">
        <f>[1]节奏总纲!BA84</f>
        <v>36.610501938383479</v>
      </c>
      <c r="BB84" s="12">
        <f>[1]节奏总纲!BB84</f>
        <v>38.11580158428373</v>
      </c>
      <c r="BC84" s="12">
        <f>[1]节奏总纲!BC84</f>
        <v>40.052446592012309</v>
      </c>
      <c r="BD84" s="12">
        <f>[1]节奏总纲!BD84</f>
        <v>42.774621948661192</v>
      </c>
      <c r="BE84" s="12">
        <f>[1]节奏总纲!BE84</f>
        <v>47.452847239866877</v>
      </c>
      <c r="BI84" s="7">
        <v>81</v>
      </c>
      <c r="BJ84" s="12">
        <f>[1]节奏总纲!BJ84</f>
        <v>3.4999999999999978</v>
      </c>
      <c r="BK84" s="12">
        <f>[1]节奏总纲!BK84</f>
        <v>3.5699999999999976</v>
      </c>
      <c r="BL84" s="12">
        <f>[1]节奏总纲!BL84</f>
        <v>3.7099999999999977</v>
      </c>
      <c r="BM84" s="12">
        <f>[1]节奏总纲!BM84</f>
        <v>3.9899999999999971</v>
      </c>
      <c r="BN84" s="12">
        <f>[1]节奏总纲!BN84</f>
        <v>4.8999999999999968</v>
      </c>
    </row>
    <row r="85" spans="6:66" x14ac:dyDescent="0.15">
      <c r="F85" s="12">
        <f>[1]节奏总纲!F85</f>
        <v>83</v>
      </c>
      <c r="G85" s="12">
        <f>[1]节奏总纲!G85</f>
        <v>314.1729698162988</v>
      </c>
      <c r="N85" s="12">
        <f>[1]节奏总纲!N85</f>
        <v>92</v>
      </c>
      <c r="O85" s="8">
        <v>82</v>
      </c>
      <c r="P85" s="12">
        <f>[1]节奏总纲!P85</f>
        <v>293.06677887924064</v>
      </c>
      <c r="Q85" s="12">
        <f>[1]节奏总纲!Q85</f>
        <v>253.15108359588808</v>
      </c>
      <c r="R85" s="12">
        <f>[1]节奏总纲!R85</f>
        <v>206.37762568676126</v>
      </c>
      <c r="S85" s="12">
        <f>[1]节奏总纲!S85</f>
        <v>150.81216441125721</v>
      </c>
      <c r="T85" s="12">
        <f>[1]节奏总纲!T85</f>
        <v>83.230965201704336</v>
      </c>
      <c r="V85" s="8">
        <v>82</v>
      </c>
      <c r="W85" s="12">
        <f>[1]节奏总纲!W85</f>
        <v>19.692772469949659</v>
      </c>
      <c r="X85" s="12">
        <f>[1]节奏总纲!X85</f>
        <v>16.791917654415073</v>
      </c>
      <c r="Y85" s="12">
        <f>[1]节奏总纲!Y85</f>
        <v>13.703625969492975</v>
      </c>
      <c r="Z85" s="12">
        <f>[1]节奏总纲!Z85</f>
        <v>10.051888511113276</v>
      </c>
      <c r="AA85" s="12">
        <f>[1]节奏总纲!AA85</f>
        <v>5.3740481763382633</v>
      </c>
      <c r="AC85" s="8">
        <v>82</v>
      </c>
      <c r="AD85" s="12">
        <f>[1]节奏总纲!AD85</f>
        <v>63.743865833385094</v>
      </c>
      <c r="AE85" s="12">
        <f>[1]节奏总纲!AE85</f>
        <v>65.762866796429392</v>
      </c>
      <c r="AF85" s="12">
        <f>[1]节奏总纲!AF85</f>
        <v>68.664295879423918</v>
      </c>
      <c r="AG85" s="12">
        <f>[1]节奏总纲!AG85</f>
        <v>73.176642436293761</v>
      </c>
      <c r="AH85" s="12">
        <f>[1]节奏总纲!AH85</f>
        <v>81.770942656017823</v>
      </c>
      <c r="AZ85" s="8">
        <v>82</v>
      </c>
      <c r="BA85" s="12">
        <f>[1]节奏总纲!BA85</f>
        <v>36.694672667019191</v>
      </c>
      <c r="BB85" s="12">
        <f>[1]节奏总纲!BB85</f>
        <v>38.194089742081125</v>
      </c>
      <c r="BC85" s="12">
        <f>[1]节奏总纲!BC85</f>
        <v>40.130145246845366</v>
      </c>
      <c r="BD85" s="12">
        <f>[1]节奏总纲!BD85</f>
        <v>42.861403835978855</v>
      </c>
      <c r="BE85" s="12">
        <f>[1]节奏总纲!BE85</f>
        <v>47.535997393158453</v>
      </c>
      <c r="BI85" s="7">
        <v>82</v>
      </c>
      <c r="BJ85" s="12">
        <f>[1]节奏总纲!BJ85</f>
        <v>3.4999999999999978</v>
      </c>
      <c r="BK85" s="12">
        <f>[1]节奏总纲!BK85</f>
        <v>3.5699999999999976</v>
      </c>
      <c r="BL85" s="12">
        <f>[1]节奏总纲!BL85</f>
        <v>3.7099999999999977</v>
      </c>
      <c r="BM85" s="12">
        <f>[1]节奏总纲!BM85</f>
        <v>3.9899999999999971</v>
      </c>
      <c r="BN85" s="12">
        <f>[1]节奏总纲!BN85</f>
        <v>4.8999999999999968</v>
      </c>
    </row>
    <row r="86" spans="6:66" x14ac:dyDescent="0.15">
      <c r="F86" s="12">
        <f>[1]节奏总纲!F86</f>
        <v>84</v>
      </c>
      <c r="G86" s="12">
        <f>[1]节奏总纲!G86</f>
        <v>336.79402515786086</v>
      </c>
      <c r="N86" s="12">
        <f>[1]节奏总纲!N86</f>
        <v>93</v>
      </c>
      <c r="O86" s="8">
        <v>83</v>
      </c>
      <c r="P86" s="12">
        <f>[1]节奏总纲!P86</f>
        <v>314.1729698162988</v>
      </c>
      <c r="Q86" s="12">
        <f>[1]节奏总纲!Q86</f>
        <v>271.53969781222702</v>
      </c>
      <c r="R86" s="12">
        <f>[1]节奏总纲!R86</f>
        <v>221.55477831445393</v>
      </c>
      <c r="S86" s="12">
        <f>[1]节奏总纲!S86</f>
        <v>161.57915837652246</v>
      </c>
      <c r="T86" s="12">
        <f>[1]节奏总纲!T86</f>
        <v>89.193706130847232</v>
      </c>
      <c r="V86" s="8">
        <v>83</v>
      </c>
      <c r="W86" s="12">
        <f>[1]节奏总纲!W86</f>
        <v>21.106190937058159</v>
      </c>
      <c r="X86" s="12">
        <f>[1]节奏总纲!X86</f>
        <v>18.388614216338937</v>
      </c>
      <c r="Y86" s="12">
        <f>[1]节奏总纲!Y86</f>
        <v>15.177152627692664</v>
      </c>
      <c r="Z86" s="12">
        <f>[1]节奏总纲!Z86</f>
        <v>10.766993965265243</v>
      </c>
      <c r="AA86" s="12">
        <f>[1]节奏总纲!AA86</f>
        <v>5.9627409291428961</v>
      </c>
      <c r="AC86" s="8">
        <v>83</v>
      </c>
      <c r="AD86" s="12">
        <f>[1]节奏总纲!AD86</f>
        <v>63.920692243099523</v>
      </c>
      <c r="AE86" s="12">
        <f>[1]节奏总纲!AE86</f>
        <v>65.938223839839395</v>
      </c>
      <c r="AF86" s="12">
        <f>[1]节奏总纲!AF86</f>
        <v>68.841490236267347</v>
      </c>
      <c r="AG86" s="12">
        <f>[1]节奏总纲!AG86</f>
        <v>73.34571267276516</v>
      </c>
      <c r="AH86" s="12">
        <f>[1]节奏总纲!AH86</f>
        <v>81.957022119243135</v>
      </c>
      <c r="AZ86" s="8">
        <v>83</v>
      </c>
      <c r="BA86" s="12">
        <f>[1]节奏总纲!BA86</f>
        <v>36.778843395654896</v>
      </c>
      <c r="BB86" s="12">
        <f>[1]节奏总纲!BB86</f>
        <v>38.272377899878528</v>
      </c>
      <c r="BC86" s="12">
        <f>[1]节奏总纲!BC86</f>
        <v>40.207843901678423</v>
      </c>
      <c r="BD86" s="12">
        <f>[1]节奏总纲!BD86</f>
        <v>42.948185723296518</v>
      </c>
      <c r="BE86" s="12">
        <f>[1]节奏总纲!BE86</f>
        <v>47.619147546450023</v>
      </c>
      <c r="BI86" s="7">
        <v>83</v>
      </c>
      <c r="BJ86" s="12">
        <f>[1]节奏总纲!BJ86</f>
        <v>3.4999999999999978</v>
      </c>
      <c r="BK86" s="12">
        <f>[1]节奏总纲!BK86</f>
        <v>3.5699999999999976</v>
      </c>
      <c r="BL86" s="12">
        <f>[1]节奏总纲!BL86</f>
        <v>3.7099999999999977</v>
      </c>
      <c r="BM86" s="12">
        <f>[1]节奏总纲!BM86</f>
        <v>3.9899999999999971</v>
      </c>
      <c r="BN86" s="12">
        <f>[1]节奏总纲!BN86</f>
        <v>4.8999999999999968</v>
      </c>
    </row>
    <row r="87" spans="6:66" x14ac:dyDescent="0.15">
      <c r="F87" s="12">
        <f>[1]节奏总纲!F87</f>
        <v>85</v>
      </c>
      <c r="G87" s="12">
        <f>[1]节奏总纲!G87</f>
        <v>361.0386719675123</v>
      </c>
      <c r="N87" s="12">
        <f>[1]节奏总纲!N87</f>
        <v>94</v>
      </c>
      <c r="O87" s="8">
        <v>84</v>
      </c>
      <c r="P87" s="12">
        <f>[1]节奏总纲!P87</f>
        <v>336.79402515786086</v>
      </c>
      <c r="Q87" s="12">
        <f>[1]节奏总纲!Q87</f>
        <v>291.2594729565181</v>
      </c>
      <c r="R87" s="12">
        <f>[1]节奏总纲!R87</f>
        <v>237.27139072371298</v>
      </c>
      <c r="S87" s="12">
        <f>[1]节奏总纲!S87</f>
        <v>172.97741132107731</v>
      </c>
      <c r="T87" s="12">
        <f>[1]节奏总纲!T87</f>
        <v>95.64950314483248</v>
      </c>
      <c r="V87" s="8">
        <v>84</v>
      </c>
      <c r="W87" s="12">
        <f>[1]节奏总纲!W87</f>
        <v>22.621055341562055</v>
      </c>
      <c r="X87" s="12">
        <f>[1]节奏总纲!X87</f>
        <v>19.719775144291077</v>
      </c>
      <c r="Y87" s="12">
        <f>[1]节奏总纲!Y87</f>
        <v>15.716612409259056</v>
      </c>
      <c r="Z87" s="12">
        <f>[1]节奏总纲!Z87</f>
        <v>11.398252944554855</v>
      </c>
      <c r="AA87" s="12">
        <f>[1]节奏总纲!AA87</f>
        <v>6.4557970139852472</v>
      </c>
      <c r="AC87" s="8">
        <v>84</v>
      </c>
      <c r="AD87" s="12">
        <f>[1]节奏总纲!AD87</f>
        <v>64.090988120365651</v>
      </c>
      <c r="AE87" s="12">
        <f>[1]节奏总纲!AE87</f>
        <v>66.105889403880397</v>
      </c>
      <c r="AF87" s="12">
        <f>[1]节奏总纲!AF87</f>
        <v>69.01697485309198</v>
      </c>
      <c r="AG87" s="12">
        <f>[1]节奏总纲!AG87</f>
        <v>73.514782909236544</v>
      </c>
      <c r="AH87" s="12">
        <f>[1]节奏总纲!AH87</f>
        <v>82.128973371044353</v>
      </c>
      <c r="AZ87" s="8">
        <v>84</v>
      </c>
      <c r="BA87" s="12">
        <f>[1]节奏总纲!BA87</f>
        <v>36.863014124290601</v>
      </c>
      <c r="BB87" s="12">
        <f>[1]节奏总纲!BB87</f>
        <v>38.35066605767593</v>
      </c>
      <c r="BC87" s="12">
        <f>[1]节奏总纲!BC87</f>
        <v>40.28554255651148</v>
      </c>
      <c r="BD87" s="12">
        <f>[1]节奏总纲!BD87</f>
        <v>43.030177309109042</v>
      </c>
      <c r="BE87" s="12">
        <f>[1]节奏总纲!BE87</f>
        <v>47.7022976997416</v>
      </c>
      <c r="BI87" s="7">
        <v>84</v>
      </c>
      <c r="BJ87" s="12">
        <f>[1]节奏总纲!BJ87</f>
        <v>3.4999999999999978</v>
      </c>
      <c r="BK87" s="12">
        <f>[1]节奏总纲!BK87</f>
        <v>3.5699999999999976</v>
      </c>
      <c r="BL87" s="12">
        <f>[1]节奏总纲!BL87</f>
        <v>3.7099999999999977</v>
      </c>
      <c r="BM87" s="12">
        <f>[1]节奏总纲!BM87</f>
        <v>3.9899999999999971</v>
      </c>
      <c r="BN87" s="12">
        <f>[1]节奏总纲!BN87</f>
        <v>4.8999999999999968</v>
      </c>
    </row>
    <row r="88" spans="6:66" x14ac:dyDescent="0.15">
      <c r="F88" s="12">
        <f>[1]节奏总纲!F88</f>
        <v>86</v>
      </c>
      <c r="G88" s="12">
        <f>[1]节奏总纲!G88</f>
        <v>387.02344102666189</v>
      </c>
      <c r="N88" s="12">
        <f>[1]节奏总纲!N88</f>
        <v>95</v>
      </c>
      <c r="O88" s="8">
        <v>85</v>
      </c>
      <c r="P88" s="12">
        <f>[1]节奏总纲!P88</f>
        <v>361.0386719675123</v>
      </c>
      <c r="Q88" s="12">
        <f>[1]节奏总纲!Q88</f>
        <v>311.72078937675008</v>
      </c>
      <c r="R88" s="12">
        <f>[1]节奏总纲!R88</f>
        <v>253.91849799475142</v>
      </c>
      <c r="S88" s="12">
        <f>[1]节奏总纲!S88</f>
        <v>185.57387739130132</v>
      </c>
      <c r="T88" s="12">
        <f>[1]节奏总纲!T88</f>
        <v>102.53498283877349</v>
      </c>
      <c r="V88" s="8">
        <v>85</v>
      </c>
      <c r="W88" s="12">
        <f>[1]节奏总纲!W88</f>
        <v>24.244646809651442</v>
      </c>
      <c r="X88" s="12">
        <f>[1]节奏总纲!X88</f>
        <v>20.461316420231981</v>
      </c>
      <c r="Y88" s="12">
        <f>[1]节奏总纲!Y88</f>
        <v>16.647107271038436</v>
      </c>
      <c r="Z88" s="12">
        <f>[1]节奏总纲!Z88</f>
        <v>12.596466070224011</v>
      </c>
      <c r="AA88" s="12">
        <f>[1]节奏总纲!AA88</f>
        <v>6.8854796939410079</v>
      </c>
      <c r="AC88" s="8">
        <v>85</v>
      </c>
      <c r="AD88" s="12">
        <f>[1]节奏总纲!AD88</f>
        <v>64.255972994404218</v>
      </c>
      <c r="AE88" s="12">
        <f>[1]节奏总纲!AE88</f>
        <v>66.269371604948859</v>
      </c>
      <c r="AF88" s="12">
        <f>[1]节奏总纲!AF88</f>
        <v>69.17795498031839</v>
      </c>
      <c r="AG88" s="12">
        <f>[1]节奏总纲!AG88</f>
        <v>73.683853145707943</v>
      </c>
      <c r="AH88" s="12">
        <f>[1]节奏总纲!AH88</f>
        <v>82.296681479091191</v>
      </c>
      <c r="AZ88" s="8">
        <v>85</v>
      </c>
      <c r="BA88" s="12">
        <f>[1]节奏总纲!BA88</f>
        <v>36.947184852926306</v>
      </c>
      <c r="BB88" s="12">
        <f>[1]节奏总纲!BB88</f>
        <v>38.428954215473325</v>
      </c>
      <c r="BC88" s="12">
        <f>[1]节奏总纲!BC88</f>
        <v>40.363241211344537</v>
      </c>
      <c r="BD88" s="12">
        <f>[1]节奏总纲!BD88</f>
        <v>43.105070725978337</v>
      </c>
      <c r="BE88" s="12">
        <f>[1]节奏总纲!BE88</f>
        <v>47.785447853033176</v>
      </c>
      <c r="BI88" s="7">
        <v>85</v>
      </c>
      <c r="BJ88" s="12">
        <f>[1]节奏总纲!BJ88</f>
        <v>3.4999999999999978</v>
      </c>
      <c r="BK88" s="12">
        <f>[1]节奏总纲!BK88</f>
        <v>3.5699999999999976</v>
      </c>
      <c r="BL88" s="12">
        <f>[1]节奏总纲!BL88</f>
        <v>3.7099999999999977</v>
      </c>
      <c r="BM88" s="12">
        <f>[1]节奏总纲!BM88</f>
        <v>3.9899999999999971</v>
      </c>
      <c r="BN88" s="12">
        <f>[1]节奏总纲!BN88</f>
        <v>4.8999999999999968</v>
      </c>
    </row>
    <row r="89" spans="6:66" x14ac:dyDescent="0.15">
      <c r="F89" s="12">
        <f>[1]节奏总纲!F89</f>
        <v>87</v>
      </c>
      <c r="G89" s="12">
        <f>[1]节奏总纲!G89</f>
        <v>414.87322693439216</v>
      </c>
      <c r="N89" s="12">
        <f>[1]节奏总纲!N89</f>
        <v>96</v>
      </c>
      <c r="O89" s="8">
        <v>86</v>
      </c>
      <c r="P89" s="12">
        <f>[1]节奏总纲!P89</f>
        <v>387.02344102666189</v>
      </c>
      <c r="Q89" s="12">
        <f>[1]节奏总纲!Q89</f>
        <v>334.00122960600919</v>
      </c>
      <c r="R89" s="12">
        <f>[1]节奏总纲!R89</f>
        <v>272.23228841815398</v>
      </c>
      <c r="S89" s="12">
        <f>[1]节奏总纲!S89</f>
        <v>199.39447681693619</v>
      </c>
      <c r="T89" s="12">
        <f>[1]节奏总纲!T89</f>
        <v>108.94709864900531</v>
      </c>
      <c r="V89" s="8">
        <v>86</v>
      </c>
      <c r="W89" s="12">
        <f>[1]节奏总纲!W89</f>
        <v>25.984769059149585</v>
      </c>
      <c r="X89" s="12">
        <f>[1]节奏总纲!X89</f>
        <v>22.280440229259113</v>
      </c>
      <c r="Y89" s="12">
        <f>[1]节奏总纲!Y89</f>
        <v>18.313790423402565</v>
      </c>
      <c r="Z89" s="12">
        <f>[1]节奏总纲!Z89</f>
        <v>13.820599425634867</v>
      </c>
      <c r="AA89" s="12">
        <f>[1]节奏总纲!AA89</f>
        <v>6.4121158102318248</v>
      </c>
      <c r="AC89" s="8">
        <v>86</v>
      </c>
      <c r="AD89" s="12">
        <f>[1]节奏总纲!AD89</f>
        <v>64.420957868442798</v>
      </c>
      <c r="AE89" s="12">
        <f>[1]节奏总纲!AE89</f>
        <v>66.43285380601732</v>
      </c>
      <c r="AF89" s="12">
        <f>[1]节奏总纲!AF89</f>
        <v>69.338935107544785</v>
      </c>
      <c r="AG89" s="12">
        <f>[1]节奏总纲!AG89</f>
        <v>73.852923382179341</v>
      </c>
      <c r="AH89" s="12">
        <f>[1]节奏总纲!AH89</f>
        <v>82.464389587138029</v>
      </c>
      <c r="AZ89" s="8">
        <v>86</v>
      </c>
      <c r="BA89" s="12">
        <f>[1]节奏总纲!BA89</f>
        <v>37.027046282459708</v>
      </c>
      <c r="BB89" s="12">
        <f>[1]节奏总纲!BB89</f>
        <v>38.507242373270728</v>
      </c>
      <c r="BC89" s="12">
        <f>[1]节奏总纲!BC89</f>
        <v>40.440939866177594</v>
      </c>
      <c r="BD89" s="12">
        <f>[1]节奏总纲!BD89</f>
        <v>43.179964142847631</v>
      </c>
      <c r="BE89" s="12">
        <f>[1]节奏总纲!BE89</f>
        <v>47.868598006324753</v>
      </c>
      <c r="BI89" s="7">
        <v>86</v>
      </c>
      <c r="BJ89" s="12">
        <f>[1]节奏总纲!BJ89</f>
        <v>3.4999999999999978</v>
      </c>
      <c r="BK89" s="12">
        <f>[1]节奏总纲!BK89</f>
        <v>3.5699999999999976</v>
      </c>
      <c r="BL89" s="12">
        <f>[1]节奏总纲!BL89</f>
        <v>3.7099999999999977</v>
      </c>
      <c r="BM89" s="12">
        <f>[1]节奏总纲!BM89</f>
        <v>3.9899999999999971</v>
      </c>
      <c r="BN89" s="12">
        <f>[1]节奏总纲!BN89</f>
        <v>4.8999999999999968</v>
      </c>
    </row>
    <row r="90" spans="6:66" x14ac:dyDescent="0.15">
      <c r="F90" s="12">
        <f>[1]节奏总纲!F90</f>
        <v>88</v>
      </c>
      <c r="G90" s="12">
        <f>[1]节奏总纲!G90</f>
        <v>444.72188840761549</v>
      </c>
      <c r="N90" s="12">
        <f>[1]节奏总纲!N90</f>
        <v>97</v>
      </c>
      <c r="O90" s="8">
        <v>87</v>
      </c>
      <c r="P90" s="12">
        <f>[1]节奏总纲!P90</f>
        <v>414.87322693439216</v>
      </c>
      <c r="Q90" s="12">
        <f>[1]节奏总纲!Q90</f>
        <v>358.28451878054108</v>
      </c>
      <c r="R90" s="12">
        <f>[1]节奏总纲!R90</f>
        <v>292.4026503433596</v>
      </c>
      <c r="S90" s="12">
        <f>[1]节奏总纲!S90</f>
        <v>212.58104148118252</v>
      </c>
      <c r="T90" s="12">
        <f>[1]节奏总纲!T90</f>
        <v>115.74963031469542</v>
      </c>
      <c r="V90" s="8">
        <v>87</v>
      </c>
      <c r="W90" s="12">
        <f>[1]节奏总纲!W90</f>
        <v>27.849785907730279</v>
      </c>
      <c r="X90" s="12">
        <f>[1]节奏总纲!X90</f>
        <v>24.283289174531888</v>
      </c>
      <c r="Y90" s="12">
        <f>[1]节奏总纲!Y90</f>
        <v>20.170361925205611</v>
      </c>
      <c r="Z90" s="12">
        <f>[1]节奏总纲!Z90</f>
        <v>13.186564664246333</v>
      </c>
      <c r="AA90" s="12">
        <f>[1]节奏总纲!AA90</f>
        <v>6.8025316656901111</v>
      </c>
      <c r="AC90" s="8">
        <v>87</v>
      </c>
      <c r="AD90" s="12">
        <f>[1]节奏总纲!AD90</f>
        <v>64.585942742481365</v>
      </c>
      <c r="AE90" s="12">
        <f>[1]节奏总纲!AE90</f>
        <v>66.596336007085796</v>
      </c>
      <c r="AF90" s="12">
        <f>[1]节奏总纲!AF90</f>
        <v>69.49991523477118</v>
      </c>
      <c r="AG90" s="12">
        <f>[1]节奏总纲!AG90</f>
        <v>74.02050499447661</v>
      </c>
      <c r="AH90" s="12">
        <f>[1]节奏总纲!AH90</f>
        <v>82.632097695184868</v>
      </c>
      <c r="AZ90" s="8">
        <v>87</v>
      </c>
      <c r="BA90" s="12">
        <f>[1]节奏总纲!BA90</f>
        <v>37.099649155317238</v>
      </c>
      <c r="BB90" s="12">
        <f>[1]节奏总纲!BB90</f>
        <v>38.58553053106813</v>
      </c>
      <c r="BC90" s="12">
        <f>[1]节奏总纲!BC90</f>
        <v>40.518638521010651</v>
      </c>
      <c r="BD90" s="12">
        <f>[1]节奏总纲!BD90</f>
        <v>43.254857559716925</v>
      </c>
      <c r="BE90" s="12">
        <f>[1]节奏总纲!BE90</f>
        <v>47.951748159616329</v>
      </c>
      <c r="BI90" s="7">
        <v>87</v>
      </c>
      <c r="BJ90" s="12">
        <f>[1]节奏总纲!BJ90</f>
        <v>3.4999999999999978</v>
      </c>
      <c r="BK90" s="12">
        <f>[1]节奏总纲!BK90</f>
        <v>3.5699999999999976</v>
      </c>
      <c r="BL90" s="12">
        <f>[1]节奏总纲!BL90</f>
        <v>3.7099999999999977</v>
      </c>
      <c r="BM90" s="12">
        <f>[1]节奏总纲!BM90</f>
        <v>3.9899999999999971</v>
      </c>
      <c r="BN90" s="12">
        <f>[1]节奏总纲!BN90</f>
        <v>4.8999999999999968</v>
      </c>
    </row>
    <row r="91" spans="6:66" x14ac:dyDescent="0.15">
      <c r="F91" s="12">
        <f>[1]节奏总纲!F91</f>
        <v>89</v>
      </c>
      <c r="G91" s="12">
        <f>[1]节奏总纲!G91</f>
        <v>476.71289166684534</v>
      </c>
      <c r="N91" s="12">
        <f>[1]节奏总纲!N91</f>
        <v>98</v>
      </c>
      <c r="O91" s="8">
        <v>88</v>
      </c>
      <c r="P91" s="12">
        <f>[1]节奏总纲!P91</f>
        <v>444.72188840761549</v>
      </c>
      <c r="Q91" s="12">
        <f>[1]节奏总纲!Q91</f>
        <v>384.7733778502689</v>
      </c>
      <c r="R91" s="12">
        <f>[1]节奏总纲!R91</f>
        <v>312.90632068359827</v>
      </c>
      <c r="S91" s="12">
        <f>[1]节奏总纲!S91</f>
        <v>226.0076636887502</v>
      </c>
      <c r="T91" s="12">
        <f>[1]节奏总纲!T91</f>
        <v>123.1879630889095</v>
      </c>
      <c r="V91" s="8">
        <v>88</v>
      </c>
      <c r="W91" s="12">
        <f>[1]节奏总纲!W91</f>
        <v>29.848661473223331</v>
      </c>
      <c r="X91" s="12">
        <f>[1]节奏总纲!X91</f>
        <v>26.488859069727823</v>
      </c>
      <c r="Y91" s="12">
        <f>[1]节奏总纲!Y91</f>
        <v>20.503670340238671</v>
      </c>
      <c r="Z91" s="12">
        <f>[1]节奏总纲!Z91</f>
        <v>13.426622207567675</v>
      </c>
      <c r="AA91" s="12">
        <f>[1]节奏总纲!AA91</f>
        <v>7.438332774214075</v>
      </c>
      <c r="AC91" s="8">
        <v>88</v>
      </c>
      <c r="AD91" s="12">
        <f>[1]节奏总纲!AD91</f>
        <v>64.750927616519931</v>
      </c>
      <c r="AE91" s="12">
        <f>[1]节奏总纲!AE91</f>
        <v>66.759818208154257</v>
      </c>
      <c r="AF91" s="12">
        <f>[1]节奏总纲!AF91</f>
        <v>69.660895361997589</v>
      </c>
      <c r="AG91" s="12">
        <f>[1]节奏总纲!AG91</f>
        <v>74.178131818877702</v>
      </c>
      <c r="AH91" s="12">
        <f>[1]节奏总纲!AH91</f>
        <v>82.799805803231706</v>
      </c>
      <c r="AZ91" s="8">
        <v>88</v>
      </c>
      <c r="BA91" s="12">
        <f>[1]节奏总纲!BA91</f>
        <v>37.172252028174768</v>
      </c>
      <c r="BB91" s="12">
        <f>[1]节奏总纲!BB91</f>
        <v>38.663818688865533</v>
      </c>
      <c r="BC91" s="12">
        <f>[1]节奏总纲!BC91</f>
        <v>40.596337175843701</v>
      </c>
      <c r="BD91" s="12">
        <f>[1]节奏总纲!BD91</f>
        <v>43.329750976586219</v>
      </c>
      <c r="BE91" s="12">
        <f>[1]节奏总纲!BE91</f>
        <v>48.030128751164234</v>
      </c>
      <c r="BI91" s="7">
        <v>88</v>
      </c>
      <c r="BJ91" s="12">
        <f>[1]节奏总纲!BJ91</f>
        <v>3.4999999999999978</v>
      </c>
      <c r="BK91" s="12">
        <f>[1]节奏总纲!BK91</f>
        <v>3.5699999999999976</v>
      </c>
      <c r="BL91" s="12">
        <f>[1]节奏总纲!BL91</f>
        <v>3.7099999999999977</v>
      </c>
      <c r="BM91" s="12">
        <f>[1]节奏总纲!BM91</f>
        <v>3.9899999999999971</v>
      </c>
      <c r="BN91" s="12">
        <f>[1]节奏总纲!BN91</f>
        <v>4.8999999999999968</v>
      </c>
    </row>
    <row r="92" spans="6:66" x14ac:dyDescent="0.15">
      <c r="F92" s="12">
        <f>[1]节奏总纲!F92</f>
        <v>90</v>
      </c>
      <c r="G92" s="12">
        <f>[1]节奏总纲!G92</f>
        <v>511</v>
      </c>
      <c r="N92" s="12">
        <f>[1]节奏总纲!N92</f>
        <v>99</v>
      </c>
      <c r="O92" s="8">
        <v>89</v>
      </c>
      <c r="P92" s="12">
        <f>[1]节奏总纲!P92</f>
        <v>476.71289166684534</v>
      </c>
      <c r="Q92" s="12">
        <f>[1]节奏总纲!Q92</f>
        <v>411.78459582182103</v>
      </c>
      <c r="R92" s="12">
        <f>[1]节奏总纲!R92</f>
        <v>332.60258451595797</v>
      </c>
      <c r="S92" s="12">
        <f>[1]节奏总纲!S92</f>
        <v>240.31096868925673</v>
      </c>
      <c r="T92" s="12">
        <f>[1]节奏总纲!T92</f>
        <v>130.61933231671563</v>
      </c>
      <c r="V92" s="8">
        <v>89</v>
      </c>
      <c r="W92" s="12">
        <f>[1]节奏总纲!W92</f>
        <v>31.991003259229842</v>
      </c>
      <c r="X92" s="12">
        <f>[1]节奏总纲!X92</f>
        <v>27.011217971552128</v>
      </c>
      <c r="Y92" s="12">
        <f>[1]节奏总纲!Y92</f>
        <v>19.696263832359705</v>
      </c>
      <c r="Z92" s="12">
        <f>[1]节奏总纲!Z92</f>
        <v>14.303305000506526</v>
      </c>
      <c r="AA92" s="12">
        <f>[1]节奏总纲!AA92</f>
        <v>7.4313692278061296</v>
      </c>
      <c r="AC92" s="8">
        <v>89</v>
      </c>
      <c r="AD92" s="12">
        <f>[1]节奏总纲!AD92</f>
        <v>64.915912490558512</v>
      </c>
      <c r="AE92" s="12">
        <f>[1]节奏总纲!AE92</f>
        <v>66.923300409222719</v>
      </c>
      <c r="AF92" s="12">
        <f>[1]节奏总纲!AF92</f>
        <v>69.821875489223984</v>
      </c>
      <c r="AG92" s="12">
        <f>[1]节奏总纲!AG92</f>
        <v>74.335758643278794</v>
      </c>
      <c r="AH92" s="12">
        <f>[1]节奏总纲!AH92</f>
        <v>82.967513911278544</v>
      </c>
      <c r="AZ92" s="8">
        <v>89</v>
      </c>
      <c r="BA92" s="12">
        <f>[1]节奏总纲!BA92</f>
        <v>37.244854901032298</v>
      </c>
      <c r="BB92" s="12">
        <f>[1]节奏总纲!BB92</f>
        <v>38.742106846662928</v>
      </c>
      <c r="BC92" s="12">
        <f>[1]节奏总纲!BC92</f>
        <v>40.674035830676758</v>
      </c>
      <c r="BD92" s="12">
        <f>[1]节奏总纲!BD92</f>
        <v>43.404644393455513</v>
      </c>
      <c r="BE92" s="12">
        <f>[1]节奏总纲!BE92</f>
        <v>48.101914750802706</v>
      </c>
      <c r="BI92" s="7">
        <v>89</v>
      </c>
      <c r="BJ92" s="12">
        <f>[1]节奏总纲!BJ92</f>
        <v>3.4999999999999978</v>
      </c>
      <c r="BK92" s="12">
        <f>[1]节奏总纲!BK92</f>
        <v>3.5699999999999976</v>
      </c>
      <c r="BL92" s="12">
        <f>[1]节奏总纲!BL92</f>
        <v>3.7099999999999977</v>
      </c>
      <c r="BM92" s="12">
        <f>[1]节奏总纲!BM92</f>
        <v>3.9899999999999971</v>
      </c>
      <c r="BN92" s="12">
        <f>[1]节奏总纲!BN92</f>
        <v>4.8999999999999968</v>
      </c>
    </row>
    <row r="93" spans="6:66" x14ac:dyDescent="0.15">
      <c r="F93" s="12">
        <f>[1]节奏总纲!F93</f>
        <v>91</v>
      </c>
      <c r="G93" s="12">
        <f>[1]节奏总纲!G93</f>
        <v>547.74801281858208</v>
      </c>
      <c r="N93" s="12">
        <f>[1]节奏总纲!N93</f>
        <v>100</v>
      </c>
      <c r="O93" s="8">
        <v>90</v>
      </c>
      <c r="P93" s="12">
        <f>[1]节奏总纲!P93</f>
        <v>511</v>
      </c>
      <c r="Q93" s="12">
        <f>[1]节奏总纲!Q93</f>
        <v>438.13140000000004</v>
      </c>
      <c r="R93" s="12">
        <f>[1]节奏总纲!R93</f>
        <v>353.76530000000002</v>
      </c>
      <c r="S93" s="12">
        <f>[1]节奏总纲!S93</f>
        <v>254.88680000000002</v>
      </c>
      <c r="T93" s="12">
        <f>[1]节奏总纲!T93</f>
        <v>138.48100000000002</v>
      </c>
      <c r="V93" s="8">
        <v>90</v>
      </c>
      <c r="W93" s="12">
        <f>[1]节奏总纲!W93</f>
        <v>34.287108333154663</v>
      </c>
      <c r="X93" s="12">
        <f>[1]节奏总纲!X93</f>
        <v>26.346804178179013</v>
      </c>
      <c r="Y93" s="12">
        <f>[1]节奏总纲!Y93</f>
        <v>21.162715484042053</v>
      </c>
      <c r="Z93" s="12">
        <f>[1]节奏总纲!Z93</f>
        <v>14.575831310743297</v>
      </c>
      <c r="AA93" s="12">
        <f>[1]节奏总纲!AA93</f>
        <v>7.861667683284395</v>
      </c>
      <c r="AC93" s="8">
        <v>90</v>
      </c>
      <c r="AD93" s="12">
        <f>[1]节奏总纲!AD93</f>
        <v>65.075479910097457</v>
      </c>
      <c r="AE93" s="12">
        <f>[1]节奏总纲!AE93</f>
        <v>67.083433628014333</v>
      </c>
      <c r="AF93" s="12">
        <f>[1]节奏总纲!AF93</f>
        <v>69.982855616450394</v>
      </c>
      <c r="AG93" s="12">
        <f>[1]节奏总纲!AG93</f>
        <v>74.493385467679886</v>
      </c>
      <c r="AH93" s="12">
        <f>[1]节奏总纲!AH93</f>
        <v>83.124894550960335</v>
      </c>
      <c r="AZ93" s="8">
        <v>90</v>
      </c>
      <c r="BA93" s="12">
        <f>[1]节奏总纲!BA93</f>
        <v>37.317457773889828</v>
      </c>
      <c r="BB93" s="12">
        <f>[1]节奏总纲!BB93</f>
        <v>38.82039500446033</v>
      </c>
      <c r="BC93" s="12">
        <f>[1]节奏总纲!BC93</f>
        <v>40.751734485509814</v>
      </c>
      <c r="BD93" s="12">
        <f>[1]节奏总纲!BD93</f>
        <v>43.479537810324807</v>
      </c>
      <c r="BE93" s="12">
        <f>[1]节奏总纲!BE93</f>
        <v>48.173700750441178</v>
      </c>
      <c r="BI93" s="7">
        <v>90</v>
      </c>
      <c r="BJ93" s="12">
        <f>[1]节奏总纲!BJ93</f>
        <v>3.4999999999999978</v>
      </c>
      <c r="BK93" s="12">
        <f>[1]节奏总纲!BK93</f>
        <v>3.5699999999999976</v>
      </c>
      <c r="BL93" s="12">
        <f>[1]节奏总纲!BL93</f>
        <v>3.7099999999999977</v>
      </c>
      <c r="BM93" s="12">
        <f>[1]节奏总纲!BM93</f>
        <v>3.9899999999999971</v>
      </c>
      <c r="BN93" s="12">
        <f>[1]节奏总纲!BN93</f>
        <v>4.8999999999999968</v>
      </c>
    </row>
    <row r="94" spans="6:66" x14ac:dyDescent="0.15">
      <c r="F94" s="12">
        <f>[1]节奏总纲!F94</f>
        <v>92</v>
      </c>
      <c r="G94" s="12">
        <f>[1]节奏总纲!G94</f>
        <v>587.1335577584814</v>
      </c>
      <c r="N94" s="12">
        <f>[1]节奏总纲!N94</f>
        <v>101</v>
      </c>
      <c r="O94" s="8">
        <v>91</v>
      </c>
      <c r="P94" s="12">
        <f>[1]节奏总纲!P94</f>
        <v>547.74801281858208</v>
      </c>
      <c r="Q94" s="12">
        <f>[1]节奏总纲!Q94</f>
        <v>469.42004698552483</v>
      </c>
      <c r="R94" s="12">
        <f>[1]节奏总纲!R94</f>
        <v>378.43910205635837</v>
      </c>
      <c r="S94" s="12">
        <f>[1]节奏总纲!S94</f>
        <v>272.61418597980827</v>
      </c>
      <c r="T94" s="12">
        <f>[1]节奏总纲!T94</f>
        <v>147.89196346101718</v>
      </c>
      <c r="V94" s="8">
        <v>91</v>
      </c>
      <c r="W94" s="12">
        <f>[1]节奏总纲!W94</f>
        <v>36.748012818582083</v>
      </c>
      <c r="X94" s="12">
        <f>[1]节奏总纲!X94</f>
        <v>31.288646985524792</v>
      </c>
      <c r="Y94" s="12">
        <f>[1]节奏总纲!Y94</f>
        <v>24.67380205635834</v>
      </c>
      <c r="Z94" s="12">
        <f>[1]节奏总纲!Z94</f>
        <v>17.727385979808247</v>
      </c>
      <c r="AA94" s="12">
        <f>[1]节奏总纲!AA94</f>
        <v>9.4109634610171611</v>
      </c>
      <c r="AC94" s="8">
        <v>91</v>
      </c>
      <c r="AD94" s="12">
        <f>[1]节奏总纲!AD94</f>
        <v>65.229416240679981</v>
      </c>
      <c r="AE94" s="12">
        <f>[1]节奏总纲!AE94</f>
        <v>67.240606973055961</v>
      </c>
      <c r="AF94" s="12">
        <f>[1]节奏总纲!AF94</f>
        <v>70.137942795989005</v>
      </c>
      <c r="AG94" s="12">
        <f>[1]节奏总纲!AG94</f>
        <v>74.651012292080978</v>
      </c>
      <c r="AH94" s="12">
        <f>[1]节奏总纲!AH94</f>
        <v>83.279794092850153</v>
      </c>
      <c r="AZ94" s="8">
        <v>91</v>
      </c>
      <c r="BA94" s="12">
        <f>[1]节奏总纲!BA94</f>
        <v>37.390060646747358</v>
      </c>
      <c r="BB94" s="12">
        <f>[1]节奏总纲!BB94</f>
        <v>38.898683162257733</v>
      </c>
      <c r="BC94" s="12">
        <f>[1]节奏总纲!BC94</f>
        <v>40.829433140342871</v>
      </c>
      <c r="BD94" s="12">
        <f>[1]节奏总纲!BD94</f>
        <v>43.554431227194108</v>
      </c>
      <c r="BE94" s="12">
        <f>[1]节奏总纲!BE94</f>
        <v>48.24548675007965</v>
      </c>
      <c r="BI94" s="7">
        <v>91</v>
      </c>
      <c r="BJ94" s="12">
        <f>[1]节奏总纲!BJ94</f>
        <v>3.4999999999999978</v>
      </c>
      <c r="BK94" s="12">
        <f>[1]节奏总纲!BK94</f>
        <v>3.5699999999999976</v>
      </c>
      <c r="BL94" s="12">
        <f>[1]节奏总纲!BL94</f>
        <v>3.7099999999999977</v>
      </c>
      <c r="BM94" s="12">
        <f>[1]节奏总纲!BM94</f>
        <v>3.9899999999999971</v>
      </c>
      <c r="BN94" s="12">
        <f>[1]节奏总纲!BN94</f>
        <v>4.8999999999999968</v>
      </c>
    </row>
    <row r="95" spans="6:66" x14ac:dyDescent="0.15">
      <c r="F95" s="12">
        <f>[1]节奏总纲!F95</f>
        <v>93</v>
      </c>
      <c r="G95" s="12">
        <f>[1]节奏总纲!G95</f>
        <v>629.34593963259704</v>
      </c>
      <c r="N95" s="12">
        <f>[1]节奏总纲!N95</f>
        <v>102</v>
      </c>
      <c r="O95" s="8">
        <v>92</v>
      </c>
      <c r="P95" s="12">
        <f>[1]节奏总纲!P95</f>
        <v>587.1335577584814</v>
      </c>
      <c r="Q95" s="12">
        <f>[1]节奏总纲!Q95</f>
        <v>502.29275866238083</v>
      </c>
      <c r="R95" s="12">
        <f>[1]节奏总纲!R95</f>
        <v>405.12215485335213</v>
      </c>
      <c r="S95" s="12">
        <f>[1]节奏总纲!S95</f>
        <v>291.57052478286187</v>
      </c>
      <c r="T95" s="12">
        <f>[1]节奏总纲!T95</f>
        <v>158.23249381591074</v>
      </c>
      <c r="V95" s="8">
        <v>92</v>
      </c>
      <c r="W95" s="12">
        <f>[1]节奏总纲!W95</f>
        <v>39.385544939899319</v>
      </c>
      <c r="X95" s="12">
        <f>[1]节奏总纲!X95</f>
        <v>32.872711676855999</v>
      </c>
      <c r="Y95" s="12">
        <f>[1]节奏总纲!Y95</f>
        <v>26.683052796993763</v>
      </c>
      <c r="Z95" s="12">
        <f>[1]节奏总纲!Z95</f>
        <v>18.956338803053598</v>
      </c>
      <c r="AA95" s="12">
        <f>[1]节奏总纲!AA95</f>
        <v>10.340530354893559</v>
      </c>
      <c r="AC95" s="8">
        <v>92</v>
      </c>
      <c r="AD95" s="12">
        <f>[1]节奏总纲!AD95</f>
        <v>65.38335257126252</v>
      </c>
      <c r="AE95" s="12">
        <f>[1]节奏总纲!AE95</f>
        <v>67.397780318097588</v>
      </c>
      <c r="AF95" s="12">
        <f>[1]节奏总纲!AF95</f>
        <v>70.292327570459079</v>
      </c>
      <c r="AG95" s="12">
        <f>[1]节奏总纲!AG95</f>
        <v>74.808639116482055</v>
      </c>
      <c r="AH95" s="12">
        <f>[1]节奏总纲!AH95</f>
        <v>83.434693634739986</v>
      </c>
      <c r="AZ95" s="8">
        <v>92</v>
      </c>
      <c r="BA95" s="12">
        <f>[1]节奏总纲!BA95</f>
        <v>37.462663519604888</v>
      </c>
      <c r="BB95" s="12">
        <f>[1]节奏总纲!BB95</f>
        <v>38.976971320055128</v>
      </c>
      <c r="BC95" s="12">
        <f>[1]节奏总纲!BC95</f>
        <v>40.907131795175928</v>
      </c>
      <c r="BD95" s="12">
        <f>[1]节奏总纲!BD95</f>
        <v>43.629324644063402</v>
      </c>
      <c r="BE95" s="12">
        <f>[1]节奏总纲!BE95</f>
        <v>48.317272749718121</v>
      </c>
      <c r="BI95" s="7">
        <v>92</v>
      </c>
      <c r="BJ95" s="12">
        <f>[1]节奏总纲!BJ95</f>
        <v>3.4999999999999978</v>
      </c>
      <c r="BK95" s="12">
        <f>[1]节奏总纲!BK95</f>
        <v>3.5699999999999976</v>
      </c>
      <c r="BL95" s="12">
        <f>[1]节奏总纲!BL95</f>
        <v>3.7099999999999977</v>
      </c>
      <c r="BM95" s="12">
        <f>[1]节奏总纲!BM95</f>
        <v>3.9899999999999971</v>
      </c>
      <c r="BN95" s="12">
        <f>[1]节奏总纲!BN95</f>
        <v>4.8999999999999968</v>
      </c>
    </row>
    <row r="96" spans="6:66" x14ac:dyDescent="0.15">
      <c r="F96" s="12">
        <f>[1]节奏总纲!F96</f>
        <v>94</v>
      </c>
      <c r="G96" s="12">
        <f>[1]节奏总纲!G96</f>
        <v>674.58805031572183</v>
      </c>
      <c r="N96" s="12">
        <f>[1]节奏总纲!N96</f>
        <v>103</v>
      </c>
      <c r="O96" s="8">
        <v>93</v>
      </c>
      <c r="P96" s="12">
        <f>[1]节奏总纲!P96</f>
        <v>629.34593963259704</v>
      </c>
      <c r="Q96" s="12">
        <f>[1]节奏总纲!Q96</f>
        <v>538.1537129798337</v>
      </c>
      <c r="R96" s="12">
        <f>[1]节奏总纲!R96</f>
        <v>433.68228700082267</v>
      </c>
      <c r="S96" s="12">
        <f>[1]节奏总纲!S96</f>
        <v>312.34438983965794</v>
      </c>
      <c r="T96" s="12">
        <f>[1]节奏总纲!T96</f>
        <v>168.664711821536</v>
      </c>
      <c r="V96" s="8">
        <v>93</v>
      </c>
      <c r="W96" s="12">
        <f>[1]节奏总纲!W96</f>
        <v>42.212381874115636</v>
      </c>
      <c r="X96" s="12">
        <f>[1]节奏总纲!X96</f>
        <v>35.860954317452865</v>
      </c>
      <c r="Y96" s="12">
        <f>[1]节奏总纲!Y96</f>
        <v>28.56013214747054</v>
      </c>
      <c r="Z96" s="12">
        <f>[1]节奏总纲!Z96</f>
        <v>20.773865056796069</v>
      </c>
      <c r="AA96" s="12">
        <f>[1]节奏总纲!AA96</f>
        <v>10.432218005625259</v>
      </c>
      <c r="AC96" s="8">
        <v>93</v>
      </c>
      <c r="AD96" s="12">
        <f>[1]节奏总纲!AD96</f>
        <v>65.537288901845059</v>
      </c>
      <c r="AE96" s="12">
        <f>[1]节奏总纲!AE96</f>
        <v>67.554953663139216</v>
      </c>
      <c r="AF96" s="12">
        <f>[1]节奏总纲!AF96</f>
        <v>70.446712344929153</v>
      </c>
      <c r="AG96" s="12">
        <f>[1]节奏总纲!AG96</f>
        <v>74.966265940883147</v>
      </c>
      <c r="AH96" s="12">
        <f>[1]节奏总纲!AH96</f>
        <v>83.589593176629805</v>
      </c>
      <c r="AZ96" s="8">
        <v>93</v>
      </c>
      <c r="BA96" s="12">
        <f>[1]节奏总纲!BA96</f>
        <v>37.535266392462418</v>
      </c>
      <c r="BB96" s="12">
        <f>[1]节奏总纲!BB96</f>
        <v>39.047673544184711</v>
      </c>
      <c r="BC96" s="12">
        <f>[1]节奏总纲!BC96</f>
        <v>40.984830450008985</v>
      </c>
      <c r="BD96" s="12">
        <f>[1]节奏总纲!BD96</f>
        <v>43.704218060932696</v>
      </c>
      <c r="BE96" s="12">
        <f>[1]节奏总纲!BE96</f>
        <v>48.389058749356593</v>
      </c>
      <c r="BI96" s="7">
        <v>93</v>
      </c>
      <c r="BJ96" s="12">
        <f>[1]节奏总纲!BJ96</f>
        <v>3.4999999999999978</v>
      </c>
      <c r="BK96" s="12">
        <f>[1]节奏总纲!BK96</f>
        <v>3.5699999999999976</v>
      </c>
      <c r="BL96" s="12">
        <f>[1]节奏总纲!BL96</f>
        <v>3.7099999999999977</v>
      </c>
      <c r="BM96" s="12">
        <f>[1]节奏总纲!BM96</f>
        <v>3.9899999999999971</v>
      </c>
      <c r="BN96" s="12">
        <f>[1]节奏总纲!BN96</f>
        <v>4.8999999999999968</v>
      </c>
    </row>
    <row r="97" spans="6:66" x14ac:dyDescent="0.15">
      <c r="F97" s="12">
        <f>[1]节奏总纲!F97</f>
        <v>95</v>
      </c>
      <c r="G97" s="12">
        <f>[1]节奏总纲!G97</f>
        <v>723.0773439350246</v>
      </c>
      <c r="N97" s="12">
        <f>[1]节奏总纲!N97</f>
        <v>104</v>
      </c>
      <c r="O97" s="8">
        <v>94</v>
      </c>
      <c r="P97" s="12">
        <f>[1]节奏总纲!P97</f>
        <v>674.58805031572183</v>
      </c>
      <c r="Q97" s="12">
        <f>[1]节奏总纲!Q97</f>
        <v>576.57040660484745</v>
      </c>
      <c r="R97" s="12">
        <f>[1]节奏总纲!R97</f>
        <v>464.31895503231135</v>
      </c>
      <c r="S97" s="12">
        <f>[1]节奏总纲!S97</f>
        <v>332.97666163584029</v>
      </c>
      <c r="T97" s="12">
        <f>[1]节奏总纲!T97</f>
        <v>179.77771540913989</v>
      </c>
      <c r="V97" s="8">
        <v>94</v>
      </c>
      <c r="W97" s="12">
        <f>[1]节奏总纲!W97</f>
        <v>45.242110683124793</v>
      </c>
      <c r="X97" s="12">
        <f>[1]节奏总纲!X97</f>
        <v>38.41669362501375</v>
      </c>
      <c r="Y97" s="12">
        <f>[1]节奏总纲!Y97</f>
        <v>30.636668031488682</v>
      </c>
      <c r="Z97" s="12">
        <f>[1]节奏总纲!Z97</f>
        <v>20.632271796182351</v>
      </c>
      <c r="AA97" s="12">
        <f>[1]节奏总纲!AA97</f>
        <v>11.113003587603885</v>
      </c>
      <c r="AC97" s="8">
        <v>94</v>
      </c>
      <c r="AD97" s="12">
        <f>[1]节奏总纲!AD97</f>
        <v>65.691225232427584</v>
      </c>
      <c r="AE97" s="12">
        <f>[1]节奏总纲!AE97</f>
        <v>67.712127008180858</v>
      </c>
      <c r="AF97" s="12">
        <f>[1]节奏总纲!AF97</f>
        <v>70.601097119399213</v>
      </c>
      <c r="AG97" s="12">
        <f>[1]节奏总纲!AG97</f>
        <v>75.115180559621535</v>
      </c>
      <c r="AH97" s="12">
        <f>[1]节奏总纲!AH97</f>
        <v>83.744492718519624</v>
      </c>
      <c r="AZ97" s="8">
        <v>94</v>
      </c>
      <c r="BA97" s="12">
        <f>[1]节奏总纲!BA97</f>
        <v>37.607869265319941</v>
      </c>
      <c r="BB97" s="12">
        <f>[1]节奏总纲!BB97</f>
        <v>39.115214427575864</v>
      </c>
      <c r="BC97" s="12">
        <f>[1]节奏总纲!BC97</f>
        <v>41.053954370816207</v>
      </c>
      <c r="BD97" s="12">
        <f>[1]节奏总纲!BD97</f>
        <v>43.77911147780199</v>
      </c>
      <c r="BE97" s="12">
        <f>[1]节奏总纲!BE97</f>
        <v>48.460844748995065</v>
      </c>
      <c r="BI97" s="7">
        <v>94</v>
      </c>
      <c r="BJ97" s="12">
        <f>[1]节奏总纲!BJ97</f>
        <v>3.4999999999999978</v>
      </c>
      <c r="BK97" s="12">
        <f>[1]节奏总纲!BK97</f>
        <v>3.5699999999999976</v>
      </c>
      <c r="BL97" s="12">
        <f>[1]节奏总纲!BL97</f>
        <v>3.7099999999999977</v>
      </c>
      <c r="BM97" s="12">
        <f>[1]节奏总纲!BM97</f>
        <v>3.9899999999999971</v>
      </c>
      <c r="BN97" s="12">
        <f>[1]节奏总纲!BN97</f>
        <v>4.8999999999999968</v>
      </c>
    </row>
    <row r="98" spans="6:66" x14ac:dyDescent="0.15">
      <c r="F98" s="12">
        <f>[1]节奏总纲!F98</f>
        <v>96</v>
      </c>
      <c r="G98" s="12">
        <f>[1]节奏总纲!G98</f>
        <v>775.04688205332377</v>
      </c>
      <c r="N98" s="12">
        <f>[1]节奏总纲!N98</f>
        <v>105</v>
      </c>
      <c r="O98" s="8">
        <v>95</v>
      </c>
      <c r="P98" s="12">
        <f>[1]节奏总纲!P98</f>
        <v>723.0773439350246</v>
      </c>
      <c r="Q98" s="12">
        <f>[1]节奏总纲!Q98</f>
        <v>618.44805226762651</v>
      </c>
      <c r="R98" s="12">
        <f>[1]节奏总纲!R98</f>
        <v>496.24798114260739</v>
      </c>
      <c r="S98" s="12">
        <f>[1]节奏总纲!S98</f>
        <v>355.68174548163859</v>
      </c>
      <c r="T98" s="12">
        <f>[1]节奏总纲!T98</f>
        <v>192.70011215868408</v>
      </c>
      <c r="V98" s="8">
        <v>95</v>
      </c>
      <c r="W98" s="12">
        <f>[1]节奏总纲!W98</f>
        <v>48.489293619302771</v>
      </c>
      <c r="X98" s="12">
        <f>[1]节奏总纲!X98</f>
        <v>41.877645662779059</v>
      </c>
      <c r="Y98" s="12">
        <f>[1]节奏总纲!Y98</f>
        <v>31.929026110296036</v>
      </c>
      <c r="Z98" s="12">
        <f>[1]节奏总纲!Z98</f>
        <v>22.705083845798299</v>
      </c>
      <c r="AA98" s="12">
        <f>[1]节奏总纲!AA98</f>
        <v>12.922396749544191</v>
      </c>
      <c r="AC98" s="8">
        <v>95</v>
      </c>
      <c r="AD98" s="12">
        <f>[1]节奏总纲!AD98</f>
        <v>65.845161563010123</v>
      </c>
      <c r="AE98" s="12">
        <f>[1]节奏总纲!AE98</f>
        <v>67.869300353222485</v>
      </c>
      <c r="AF98" s="12">
        <f>[1]节奏总纲!AF98</f>
        <v>70.755481893869288</v>
      </c>
      <c r="AG98" s="12">
        <f>[1]节奏总纲!AG98</f>
        <v>75.261722981240993</v>
      </c>
      <c r="AH98" s="12">
        <f>[1]节奏总纲!AH98</f>
        <v>83.899392260409456</v>
      </c>
      <c r="AZ98" s="8">
        <v>95</v>
      </c>
      <c r="BA98" s="12">
        <f>[1]节奏总纲!BA98</f>
        <v>37.680472138177471</v>
      </c>
      <c r="BB98" s="12">
        <f>[1]节奏总纲!BB98</f>
        <v>39.182755310967018</v>
      </c>
      <c r="BC98" s="12">
        <f>[1]节奏总纲!BC98</f>
        <v>41.120998062635785</v>
      </c>
      <c r="BD98" s="12">
        <f>[1]节奏总纲!BD98</f>
        <v>43.854004894671284</v>
      </c>
      <c r="BE98" s="12">
        <f>[1]节奏总纲!BE98</f>
        <v>48.532630748633537</v>
      </c>
      <c r="BI98" s="7">
        <v>95</v>
      </c>
      <c r="BJ98" s="12">
        <f>[1]节奏总纲!BJ98</f>
        <v>3.4999999999999978</v>
      </c>
      <c r="BK98" s="12">
        <f>[1]节奏总纲!BK98</f>
        <v>3.5699999999999976</v>
      </c>
      <c r="BL98" s="12">
        <f>[1]节奏总纲!BL98</f>
        <v>3.7099999999999977</v>
      </c>
      <c r="BM98" s="12">
        <f>[1]节奏总纲!BM98</f>
        <v>3.9899999999999971</v>
      </c>
      <c r="BN98" s="12">
        <f>[1]节奏总纲!BN98</f>
        <v>4.8999999999999968</v>
      </c>
    </row>
    <row r="99" spans="6:66" x14ac:dyDescent="0.15">
      <c r="F99" s="12">
        <f>[1]节奏总纲!F99</f>
        <v>97</v>
      </c>
      <c r="G99" s="12">
        <f>[1]节奏总纲!G99</f>
        <v>830.74645386878444</v>
      </c>
      <c r="N99" s="12">
        <f>[1]节奏总纲!N99</f>
        <v>106</v>
      </c>
      <c r="O99" s="8">
        <v>96</v>
      </c>
      <c r="P99" s="12">
        <f>[1]节奏总纲!P99</f>
        <v>775.04688205332377</v>
      </c>
      <c r="Q99" s="12">
        <f>[1]节奏总纲!Q99</f>
        <v>661.0374857032798</v>
      </c>
      <c r="R99" s="12">
        <f>[1]节奏总纲!R99</f>
        <v>529.6670391952415</v>
      </c>
      <c r="S99" s="12">
        <f>[1]节奏总纲!S99</f>
        <v>380.3930097117713</v>
      </c>
      <c r="T99" s="12">
        <f>[1]节奏总纲!T99</f>
        <v>206.5499940672108</v>
      </c>
      <c r="V99" s="8">
        <v>96</v>
      </c>
      <c r="W99" s="12">
        <f>[1]节奏总纲!W99</f>
        <v>51.96953811829917</v>
      </c>
      <c r="X99" s="12">
        <f>[1]节奏总纲!X99</f>
        <v>42.589433435653291</v>
      </c>
      <c r="Y99" s="12">
        <f>[1]节奏总纲!Y99</f>
        <v>33.419058052634114</v>
      </c>
      <c r="Z99" s="12">
        <f>[1]节奏总纲!Z99</f>
        <v>24.711264230132713</v>
      </c>
      <c r="AA99" s="12">
        <f>[1]节奏总纲!AA99</f>
        <v>13.849881908526726</v>
      </c>
      <c r="AC99" s="8">
        <v>96</v>
      </c>
      <c r="AD99" s="12">
        <f>[1]节奏总纲!AD99</f>
        <v>65.999097893592648</v>
      </c>
      <c r="AE99" s="12">
        <f>[1]节奏总纲!AE99</f>
        <v>68.025215371037646</v>
      </c>
      <c r="AF99" s="12">
        <f>[1]节奏总纲!AF99</f>
        <v>70.909866668339362</v>
      </c>
      <c r="AG99" s="12">
        <f>[1]节奏总纲!AG99</f>
        <v>75.408265402860437</v>
      </c>
      <c r="AH99" s="12">
        <f>[1]节奏总纲!AH99</f>
        <v>84.050903767166133</v>
      </c>
      <c r="AZ99" s="8">
        <v>96</v>
      </c>
      <c r="BA99" s="12">
        <f>[1]节奏总纲!BA99</f>
        <v>37.753075011035001</v>
      </c>
      <c r="BB99" s="12">
        <f>[1]节奏总纲!BB99</f>
        <v>39.250296194358178</v>
      </c>
      <c r="BC99" s="12">
        <f>[1]节奏总纲!BC99</f>
        <v>41.188041754455355</v>
      </c>
      <c r="BD99" s="12">
        <f>[1]节奏总纲!BD99</f>
        <v>43.928898311540578</v>
      </c>
      <c r="BE99" s="12">
        <f>[1]节奏总纲!BE99</f>
        <v>48.604416748272008</v>
      </c>
      <c r="BI99" s="7">
        <v>96</v>
      </c>
      <c r="BJ99" s="12">
        <f>[1]节奏总纲!BJ99</f>
        <v>3.4999999999999978</v>
      </c>
      <c r="BK99" s="12">
        <f>[1]节奏总纲!BK99</f>
        <v>3.5699999999999976</v>
      </c>
      <c r="BL99" s="12">
        <f>[1]节奏总纲!BL99</f>
        <v>3.7099999999999977</v>
      </c>
      <c r="BM99" s="12">
        <f>[1]节奏总纲!BM99</f>
        <v>3.9899999999999971</v>
      </c>
      <c r="BN99" s="12">
        <f>[1]节奏总纲!BN99</f>
        <v>4.8999999999999968</v>
      </c>
    </row>
    <row r="100" spans="6:66" x14ac:dyDescent="0.15">
      <c r="F100" s="12">
        <f>[1]节奏总纲!F100</f>
        <v>98</v>
      </c>
      <c r="G100" s="12">
        <f>[1]节奏总纲!G100</f>
        <v>890.4437768152311</v>
      </c>
      <c r="N100" s="12">
        <f>[1]节奏总纲!N100</f>
        <v>107</v>
      </c>
      <c r="O100" s="8">
        <v>97</v>
      </c>
      <c r="P100" s="12">
        <f>[1]节奏总纲!P100</f>
        <v>830.74645386878444</v>
      </c>
      <c r="Q100" s="12">
        <f>[1]节奏总纲!Q100</f>
        <v>707.38060546926999</v>
      </c>
      <c r="R100" s="12">
        <f>[1]节奏总纲!R100</f>
        <v>568.64594767318295</v>
      </c>
      <c r="S100" s="12">
        <f>[1]节奏总纲!S100</f>
        <v>409.14262853037633</v>
      </c>
      <c r="T100" s="12">
        <f>[1]节奏总纲!T100</f>
        <v>222.64004963683425</v>
      </c>
      <c r="V100" s="8">
        <v>97</v>
      </c>
      <c r="W100" s="12">
        <f>[1]节奏总纲!W100</f>
        <v>55.699571815460672</v>
      </c>
      <c r="X100" s="12">
        <f>[1]节奏总纲!X100</f>
        <v>46.343119765990195</v>
      </c>
      <c r="Y100" s="12">
        <f>[1]节奏总纲!Y100</f>
        <v>38.978908477941445</v>
      </c>
      <c r="Z100" s="12">
        <f>[1]节奏总纲!Z100</f>
        <v>28.749618818605029</v>
      </c>
      <c r="AA100" s="12">
        <f>[1]节奏总纲!AA100</f>
        <v>16.090055569623445</v>
      </c>
      <c r="AC100" s="8">
        <v>97</v>
      </c>
      <c r="AD100" s="12">
        <f>[1]节奏总纲!AD100</f>
        <v>66.142785979989682</v>
      </c>
      <c r="AE100" s="12">
        <f>[1]节奏总纲!AE100</f>
        <v>68.174918074940805</v>
      </c>
      <c r="AF100" s="12">
        <f>[1]节奏总纲!AF100</f>
        <v>71.061795050376986</v>
      </c>
      <c r="AG100" s="12">
        <f>[1]节奏总纲!AG100</f>
        <v>75.554807824479894</v>
      </c>
      <c r="AH100" s="12">
        <f>[1]节奏总纲!AH100</f>
        <v>84.196136930932482</v>
      </c>
      <c r="AZ100" s="8">
        <v>97</v>
      </c>
      <c r="BA100" s="12">
        <f>[1]节奏总纲!BA100</f>
        <v>37.825677883892531</v>
      </c>
      <c r="BB100" s="12">
        <f>[1]节奏总纲!BB100</f>
        <v>39.317837077749331</v>
      </c>
      <c r="BC100" s="12">
        <f>[1]节奏总纲!BC100</f>
        <v>41.255085446274933</v>
      </c>
      <c r="BD100" s="12">
        <f>[1]节奏总纲!BD100</f>
        <v>44.003272544984547</v>
      </c>
      <c r="BE100" s="12">
        <f>[1]节奏总纲!BE100</f>
        <v>48.67620274791048</v>
      </c>
      <c r="BI100" s="7">
        <v>97</v>
      </c>
      <c r="BJ100" s="12">
        <f>[1]节奏总纲!BJ100</f>
        <v>3.4999999999999978</v>
      </c>
      <c r="BK100" s="12">
        <f>[1]节奏总纲!BK100</f>
        <v>3.5699999999999976</v>
      </c>
      <c r="BL100" s="12">
        <f>[1]节奏总纲!BL100</f>
        <v>3.7099999999999977</v>
      </c>
      <c r="BM100" s="12">
        <f>[1]节奏总纲!BM100</f>
        <v>3.9899999999999971</v>
      </c>
      <c r="BN100" s="12">
        <f>[1]节奏总纲!BN100</f>
        <v>4.8999999999999968</v>
      </c>
    </row>
    <row r="101" spans="6:66" x14ac:dyDescent="0.15">
      <c r="F101" s="12">
        <f>[1]节奏总纲!F101</f>
        <v>99</v>
      </c>
      <c r="G101" s="12">
        <f>[1]节奏总纲!G101</f>
        <v>954.42578333369079</v>
      </c>
      <c r="N101" s="12">
        <f>[1]节奏总纲!N101</f>
        <v>108</v>
      </c>
      <c r="O101" s="8">
        <v>98</v>
      </c>
      <c r="P101" s="12">
        <f>[1]节奏总纲!P101</f>
        <v>890.4437768152311</v>
      </c>
      <c r="Q101" s="12">
        <f>[1]节奏总纲!Q101</f>
        <v>759.6375860010736</v>
      </c>
      <c r="R101" s="12">
        <f>[1]节奏总纲!R101</f>
        <v>612.26914093815287</v>
      </c>
      <c r="S101" s="12">
        <f>[1]节奏总纲!S101</f>
        <v>441.21489141194701</v>
      </c>
      <c r="T101" s="12">
        <f>[1]节奏总纲!T101</f>
        <v>240.41981974011242</v>
      </c>
      <c r="V101" s="8">
        <v>98</v>
      </c>
      <c r="W101" s="12">
        <f>[1]节奏总纲!W101</f>
        <v>59.697322946446661</v>
      </c>
      <c r="X101" s="12">
        <f>[1]节奏总纲!X101</f>
        <v>52.256980531803606</v>
      </c>
      <c r="Y101" s="12">
        <f>[1]节奏总纲!Y101</f>
        <v>43.623193264969927</v>
      </c>
      <c r="Z101" s="12">
        <f>[1]节奏总纲!Z101</f>
        <v>32.07226288157068</v>
      </c>
      <c r="AA101" s="12">
        <f>[1]节奏总纲!AA101</f>
        <v>17.779770103278167</v>
      </c>
      <c r="AC101" s="8">
        <v>98</v>
      </c>
      <c r="AD101" s="12">
        <f>[1]节奏总纲!AD101</f>
        <v>66.286413655019302</v>
      </c>
      <c r="AE101" s="12">
        <f>[1]节奏总纲!AE101</f>
        <v>68.324620778843951</v>
      </c>
      <c r="AF101" s="12">
        <f>[1]节奏总纲!AF101</f>
        <v>71.210277551293188</v>
      </c>
      <c r="AG101" s="12">
        <f>[1]节奏总纲!AG101</f>
        <v>75.701350246099338</v>
      </c>
      <c r="AH101" s="12">
        <f>[1]节奏总纲!AH101</f>
        <v>84.341370094698831</v>
      </c>
      <c r="AZ101" s="8">
        <v>98</v>
      </c>
      <c r="BA101" s="12">
        <f>[1]节奏总纲!BA101</f>
        <v>37.898280756750061</v>
      </c>
      <c r="BB101" s="12">
        <f>[1]节奏总纲!BB101</f>
        <v>39.385377961140485</v>
      </c>
      <c r="BC101" s="12">
        <f>[1]节奏总纲!BC101</f>
        <v>41.322129138094503</v>
      </c>
      <c r="BD101" s="12">
        <f>[1]节奏总纲!BD101</f>
        <v>44.067911160744309</v>
      </c>
      <c r="BE101" s="12">
        <f>[1]节奏总纲!BE101</f>
        <v>48.747988747548945</v>
      </c>
      <c r="BI101" s="7">
        <v>98</v>
      </c>
      <c r="BJ101" s="12">
        <f>[1]节奏总纲!BJ101</f>
        <v>3.4999999999999978</v>
      </c>
      <c r="BK101" s="12">
        <f>[1]节奏总纲!BK101</f>
        <v>3.5699999999999976</v>
      </c>
      <c r="BL101" s="12">
        <f>[1]节奏总纲!BL101</f>
        <v>3.7099999999999977</v>
      </c>
      <c r="BM101" s="12">
        <f>[1]节奏总纲!BM101</f>
        <v>3.9899999999999971</v>
      </c>
      <c r="BN101" s="12">
        <f>[1]节奏总纲!BN101</f>
        <v>4.8999999999999968</v>
      </c>
    </row>
    <row r="102" spans="6:66" x14ac:dyDescent="0.15">
      <c r="F102" s="12">
        <f>[1]节奏总纲!F102</f>
        <v>100</v>
      </c>
      <c r="G102" s="12">
        <f>[1]节奏总纲!G102</f>
        <v>1023</v>
      </c>
      <c r="N102" s="12">
        <f>[1]节奏总纲!N102</f>
        <v>109</v>
      </c>
      <c r="O102" s="8">
        <v>99</v>
      </c>
      <c r="P102" s="12">
        <f>[1]节奏总纲!P102</f>
        <v>954.42578333369079</v>
      </c>
      <c r="Q102" s="12">
        <f>[1]节奏总纲!Q102</f>
        <v>815.74771701530551</v>
      </c>
      <c r="R102" s="12">
        <f>[1]节奏总纲!R102</f>
        <v>658.26746276524648</v>
      </c>
      <c r="S102" s="12">
        <f>[1]节奏总纲!S102</f>
        <v>475.39948267851139</v>
      </c>
      <c r="T102" s="12">
        <f>[1]节奏总纲!T102</f>
        <v>257.2177486084297</v>
      </c>
      <c r="V102" s="8">
        <v>99</v>
      </c>
      <c r="W102" s="12">
        <f>[1]节奏总纲!W102</f>
        <v>63.982006518459684</v>
      </c>
      <c r="X102" s="12">
        <f>[1]节奏总纲!X102</f>
        <v>56.110131014231911</v>
      </c>
      <c r="Y102" s="12">
        <f>[1]节奏总纲!Y102</f>
        <v>45.998321827093605</v>
      </c>
      <c r="Z102" s="12">
        <f>[1]节奏总纲!Z102</f>
        <v>34.184591266564382</v>
      </c>
      <c r="AA102" s="12">
        <f>[1]节奏总纲!AA102</f>
        <v>16.797928868317285</v>
      </c>
      <c r="AC102" s="8">
        <v>99</v>
      </c>
      <c r="AD102" s="12">
        <f>[1]节奏总纲!AD102</f>
        <v>66.430041330048923</v>
      </c>
      <c r="AE102" s="12">
        <f>[1]节奏总纲!AE102</f>
        <v>68.474323482747096</v>
      </c>
      <c r="AF102" s="12">
        <f>[1]节奏总纲!AF102</f>
        <v>71.358760052209377</v>
      </c>
      <c r="AG102" s="12">
        <f>[1]节奏总纲!AG102</f>
        <v>75.847892667718796</v>
      </c>
      <c r="AH102" s="12">
        <f>[1]节奏总纲!AH102</f>
        <v>84.48660325846518</v>
      </c>
      <c r="AZ102" s="8">
        <v>99</v>
      </c>
      <c r="BA102" s="12">
        <f>[1]节奏总纲!BA102</f>
        <v>37.970883629607592</v>
      </c>
      <c r="BB102" s="12">
        <f>[1]节奏总纲!BB102</f>
        <v>39.452918844531645</v>
      </c>
      <c r="BC102" s="12">
        <f>[1]节奏总纲!BC102</f>
        <v>41.389172829914081</v>
      </c>
      <c r="BD102" s="12">
        <f>[1]节奏总纲!BD102</f>
        <v>44.132549776504064</v>
      </c>
      <c r="BE102" s="12">
        <f>[1]节奏总纲!BE102</f>
        <v>48.819774747187417</v>
      </c>
      <c r="BI102" s="7">
        <v>99</v>
      </c>
      <c r="BJ102" s="12">
        <f>[1]节奏总纲!BJ102</f>
        <v>3.4999999999999978</v>
      </c>
      <c r="BK102" s="12">
        <f>[1]节奏总纲!BK102</f>
        <v>3.5699999999999976</v>
      </c>
      <c r="BL102" s="12">
        <f>[1]节奏总纲!BL102</f>
        <v>3.7099999999999977</v>
      </c>
      <c r="BM102" s="12">
        <f>[1]节奏总纲!BM102</f>
        <v>3.9899999999999971</v>
      </c>
      <c r="BN102" s="12">
        <f>[1]节奏总纲!BN102</f>
        <v>4.8999999999999968</v>
      </c>
    </row>
    <row r="103" spans="6:66" x14ac:dyDescent="0.15">
      <c r="F103" s="12">
        <f>[1]节奏总纲!F103</f>
        <v>101</v>
      </c>
      <c r="G103" s="12">
        <f>[1]节奏总纲!G103</f>
        <v>1096.4960256371633</v>
      </c>
      <c r="N103" s="12">
        <f>[1]节奏总纲!N103</f>
        <v>110</v>
      </c>
      <c r="O103" s="8">
        <v>100</v>
      </c>
      <c r="P103" s="12">
        <f>[1]节奏总纲!P103</f>
        <v>1023</v>
      </c>
      <c r="Q103" s="12">
        <f>[1]节奏总纲!Q103</f>
        <v>874.97189999999989</v>
      </c>
      <c r="R103" s="12">
        <f>[1]节奏总纲!R103</f>
        <v>706.6884</v>
      </c>
      <c r="S103" s="12">
        <f>[1]节奏总纲!S103</f>
        <v>508.22640000000001</v>
      </c>
      <c r="T103" s="12">
        <f>[1]节奏总纲!T103</f>
        <v>274.16400000000004</v>
      </c>
      <c r="V103" s="8">
        <v>100</v>
      </c>
      <c r="W103" s="12">
        <f>[1]节奏总纲!W103</f>
        <v>68.574216666309212</v>
      </c>
      <c r="X103" s="12">
        <f>[1]节奏总纲!X103</f>
        <v>59.22418298469438</v>
      </c>
      <c r="Y103" s="12">
        <f>[1]节奏总纲!Y103</f>
        <v>48.420937234753524</v>
      </c>
      <c r="Z103" s="12">
        <f>[1]节奏总纲!Z103</f>
        <v>32.826917321488622</v>
      </c>
      <c r="AA103" s="12">
        <f>[1]节奏总纲!AA103</f>
        <v>16.946251391570343</v>
      </c>
      <c r="AC103" s="8">
        <v>100</v>
      </c>
      <c r="AD103" s="12">
        <f>[1]节奏总纲!AD103</f>
        <v>66.573669005078543</v>
      </c>
      <c r="AE103" s="12">
        <f>[1]节奏总纲!AE103</f>
        <v>68.624026186650241</v>
      </c>
      <c r="AF103" s="12">
        <f>[1]节奏总纲!AF103</f>
        <v>71.507242553125565</v>
      </c>
      <c r="AG103" s="12">
        <f>[1]节奏总纲!AG103</f>
        <v>75.994435089338239</v>
      </c>
      <c r="AH103" s="12">
        <f>[1]节奏总纲!AH103</f>
        <v>84.63183642223153</v>
      </c>
      <c r="AZ103" s="8">
        <v>100</v>
      </c>
      <c r="BA103" s="12">
        <f>[1]节奏总纲!BA103</f>
        <v>38.037513426486328</v>
      </c>
      <c r="BB103" s="12">
        <f>[1]节奏总纲!BB103</f>
        <v>39.520459727922798</v>
      </c>
      <c r="BC103" s="12">
        <f>[1]节奏总纲!BC103</f>
        <v>41.456216521733651</v>
      </c>
      <c r="BD103" s="12">
        <f>[1]节奏总纲!BD103</f>
        <v>44.197188392263818</v>
      </c>
      <c r="BE103" s="12">
        <f>[1]节奏总纲!BE103</f>
        <v>48.891560746825888</v>
      </c>
      <c r="BI103" s="7">
        <v>100</v>
      </c>
      <c r="BJ103" s="12">
        <f>[1]节奏总纲!BJ103</f>
        <v>3.4999999999999978</v>
      </c>
      <c r="BK103" s="12">
        <f>[1]节奏总纲!BK103</f>
        <v>3.5699999999999976</v>
      </c>
      <c r="BL103" s="12">
        <f>[1]节奏总纲!BL103</f>
        <v>3.7099999999999977</v>
      </c>
      <c r="BM103" s="12">
        <f>[1]节奏总纲!BM103</f>
        <v>3.9899999999999971</v>
      </c>
      <c r="BN103" s="12">
        <f>[1]节奏总纲!BN103</f>
        <v>4.8999999999999968</v>
      </c>
    </row>
    <row r="104" spans="6:66" x14ac:dyDescent="0.15">
      <c r="F104" s="12">
        <f>[1]节奏总纲!F104</f>
        <v>102</v>
      </c>
      <c r="G104" s="12">
        <f>[1]节奏总纲!G104</f>
        <v>1175.2671155169628</v>
      </c>
      <c r="N104" s="12">
        <f>[1]节奏总纲!N104</f>
        <v>111</v>
      </c>
      <c r="O104" s="8">
        <v>101</v>
      </c>
      <c r="P104" s="12">
        <f>[1]节奏总纲!P104</f>
        <v>1096.4960256371633</v>
      </c>
      <c r="Q104" s="12">
        <f>[1]节奏总纲!Q104</f>
        <v>939.58744436848519</v>
      </c>
      <c r="R104" s="12">
        <f>[1]节奏总纲!R104</f>
        <v>756.47260808707892</v>
      </c>
      <c r="S104" s="12">
        <f>[1]节奏总纲!S104</f>
        <v>541.34008785706749</v>
      </c>
      <c r="T104" s="12">
        <f>[1]节奏总纲!T104</f>
        <v>292.76443884512258</v>
      </c>
      <c r="V104" s="8">
        <v>101</v>
      </c>
      <c r="W104" s="12">
        <f>[1]节奏总纲!W104</f>
        <v>73.496025637163257</v>
      </c>
      <c r="X104" s="12">
        <f>[1]节奏总纲!X104</f>
        <v>64.615544368485303</v>
      </c>
      <c r="Y104" s="12">
        <f>[1]节奏总纲!Y104</f>
        <v>49.784208087078923</v>
      </c>
      <c r="Z104" s="12">
        <f>[1]节奏总纲!Z104</f>
        <v>33.113687857067475</v>
      </c>
      <c r="AA104" s="12">
        <f>[1]节奏总纲!AA104</f>
        <v>18.60043884512254</v>
      </c>
      <c r="AC104" s="8">
        <v>101</v>
      </c>
      <c r="AD104" s="12">
        <f>[1]节奏总纲!AD104</f>
        <v>66.717296680108163</v>
      </c>
      <c r="AE104" s="12">
        <f>[1]节奏总纲!AE104</f>
        <v>68.773728890553386</v>
      </c>
      <c r="AF104" s="12">
        <f>[1]节奏总纲!AF104</f>
        <v>71.655725054041767</v>
      </c>
      <c r="AG104" s="12">
        <f>[1]节奏总纲!AG104</f>
        <v>76.130305911210229</v>
      </c>
      <c r="AH104" s="12">
        <f>[1]节奏总纲!AH104</f>
        <v>84.777069585997879</v>
      </c>
      <c r="AZ104" s="8">
        <v>101</v>
      </c>
      <c r="BA104" s="12">
        <f>[1]节奏总纲!BA104</f>
        <v>38.100143952724252</v>
      </c>
      <c r="BB104" s="12">
        <f>[1]节奏总纲!BB104</f>
        <v>39.588000611313952</v>
      </c>
      <c r="BC104" s="12">
        <f>[1]节奏总纲!BC104</f>
        <v>41.523260213553229</v>
      </c>
      <c r="BD104" s="12">
        <f>[1]节奏总纲!BD104</f>
        <v>44.261827008023573</v>
      </c>
      <c r="BE104" s="12">
        <f>[1]节奏总纲!BE104</f>
        <v>48.96334674646436</v>
      </c>
      <c r="BN104" s="10"/>
    </row>
    <row r="105" spans="6:66" x14ac:dyDescent="0.15">
      <c r="F105" s="12">
        <f>[1]节奏总纲!F105</f>
        <v>103</v>
      </c>
      <c r="G105" s="12">
        <f>[1]节奏总纲!G105</f>
        <v>1259.6918792651943</v>
      </c>
      <c r="N105" s="12">
        <f>[1]节奏总纲!N105</f>
        <v>112</v>
      </c>
      <c r="O105" s="8">
        <v>102</v>
      </c>
      <c r="P105" s="12">
        <f>[1]节奏总纲!P105</f>
        <v>1175.2671155169628</v>
      </c>
      <c r="Q105" s="12">
        <f>[1]节奏总纲!Q105</f>
        <v>1004.2657502092447</v>
      </c>
      <c r="R105" s="12">
        <f>[1]节奏总纲!R105</f>
        <v>806.23324124463659</v>
      </c>
      <c r="S105" s="12">
        <f>[1]节奏总纲!S105</f>
        <v>577.05615371882868</v>
      </c>
      <c r="T105" s="12">
        <f>[1]节奏总纲!T105</f>
        <v>312.62105272751211</v>
      </c>
      <c r="V105" s="8">
        <v>102</v>
      </c>
      <c r="W105" s="12">
        <f>[1]节奏总纲!W105</f>
        <v>78.771089879799547</v>
      </c>
      <c r="X105" s="12">
        <f>[1]节奏总纲!X105</f>
        <v>64.678305840759549</v>
      </c>
      <c r="Y105" s="12">
        <f>[1]节奏总纲!Y105</f>
        <v>49.760633157557663</v>
      </c>
      <c r="Z105" s="12">
        <f>[1]节奏总纲!Z105</f>
        <v>35.716065861761194</v>
      </c>
      <c r="AA105" s="12">
        <f>[1]节奏总纲!AA105</f>
        <v>19.856613882389524</v>
      </c>
      <c r="AC105" s="8">
        <v>102</v>
      </c>
      <c r="AD105" s="12">
        <f>[1]节奏总纲!AD105</f>
        <v>66.860924355137783</v>
      </c>
      <c r="AE105" s="12">
        <f>[1]节奏总纲!AE105</f>
        <v>68.923431594456531</v>
      </c>
      <c r="AF105" s="12">
        <f>[1]节奏总纲!AF105</f>
        <v>71.804207554957955</v>
      </c>
      <c r="AG105" s="12">
        <f>[1]节奏总纲!AG105</f>
        <v>76.265755485049056</v>
      </c>
      <c r="AH105" s="12">
        <f>[1]节奏总纲!AH105</f>
        <v>84.922302749764228</v>
      </c>
      <c r="AZ105" s="8">
        <v>102</v>
      </c>
      <c r="BA105" s="12">
        <f>[1]节奏总纲!BA105</f>
        <v>38.16277447896217</v>
      </c>
      <c r="BB105" s="12">
        <f>[1]节奏总纲!BB105</f>
        <v>39.655541494705105</v>
      </c>
      <c r="BC105" s="12">
        <f>[1]节奏总纲!BC105</f>
        <v>41.590303905372799</v>
      </c>
      <c r="BD105" s="12">
        <f>[1]节奏总纲!BD105</f>
        <v>44.326465623783335</v>
      </c>
      <c r="BE105" s="12">
        <f>[1]节奏总纲!BE105</f>
        <v>49.030333272797542</v>
      </c>
      <c r="BN105" s="10"/>
    </row>
    <row r="106" spans="6:66" x14ac:dyDescent="0.15">
      <c r="F106" s="12">
        <f>[1]节奏总纲!F106</f>
        <v>104</v>
      </c>
      <c r="G106" s="12">
        <f>[1]节奏总纲!G106</f>
        <v>1350.1761006314437</v>
      </c>
      <c r="N106" s="12">
        <f>[1]节奏总纲!N106</f>
        <v>113</v>
      </c>
      <c r="O106" s="8">
        <v>103</v>
      </c>
      <c r="P106" s="12">
        <f>[1]节奏总纲!P106</f>
        <v>1259.6918792651943</v>
      </c>
      <c r="Q106" s="12">
        <f>[1]节奏总纲!Q106</f>
        <v>1073.383450321872</v>
      </c>
      <c r="R106" s="12">
        <f>[1]节奏总纲!R106</f>
        <v>860.49552272605433</v>
      </c>
      <c r="S106" s="12">
        <f>[1]节奏总纲!S106</f>
        <v>618.00483596750428</v>
      </c>
      <c r="T106" s="12">
        <f>[1]节奏总纲!T106</f>
        <v>335.07803988454168</v>
      </c>
      <c r="V106" s="8">
        <v>103</v>
      </c>
      <c r="W106" s="12">
        <f>[1]节奏总纲!W106</f>
        <v>84.424763748231499</v>
      </c>
      <c r="X106" s="12">
        <f>[1]节奏总纲!X106</f>
        <v>69.11770011262729</v>
      </c>
      <c r="Y106" s="12">
        <f>[1]节奏总纲!Y106</f>
        <v>54.262281481417745</v>
      </c>
      <c r="Z106" s="12">
        <f>[1]节奏总纲!Z106</f>
        <v>40.948682248675595</v>
      </c>
      <c r="AA106" s="12">
        <f>[1]节奏总纲!AA106</f>
        <v>22.456987157029573</v>
      </c>
      <c r="AC106" s="8">
        <v>103</v>
      </c>
      <c r="AD106" s="12">
        <f>[1]节奏总纲!AD106</f>
        <v>67.004247194324648</v>
      </c>
      <c r="AE106" s="12">
        <f>[1]节奏总纲!AE106</f>
        <v>69.0655056802525</v>
      </c>
      <c r="AF106" s="12">
        <f>[1]节奏总纲!AF106</f>
        <v>71.952690055874157</v>
      </c>
      <c r="AG106" s="12">
        <f>[1]节奏总纲!AG106</f>
        <v>76.401205058887882</v>
      </c>
      <c r="AH106" s="12">
        <f>[1]节奏总纲!AH106</f>
        <v>85.072521641060263</v>
      </c>
      <c r="AZ106" s="8">
        <v>103</v>
      </c>
      <c r="BA106" s="12">
        <f>[1]节奏总纲!BA106</f>
        <v>38.225405005200088</v>
      </c>
      <c r="BB106" s="12">
        <f>[1]节奏总纲!BB106</f>
        <v>39.723082378096265</v>
      </c>
      <c r="BC106" s="12">
        <f>[1]节奏总纲!BC106</f>
        <v>41.657347597192377</v>
      </c>
      <c r="BD106" s="12">
        <f>[1]节奏总纲!BD106</f>
        <v>44.39110423954309</v>
      </c>
      <c r="BE106" s="12">
        <f>[1]节奏总纲!BE106</f>
        <v>49.09231260978715</v>
      </c>
      <c r="BN106" s="10"/>
    </row>
    <row r="107" spans="6:66" x14ac:dyDescent="0.15">
      <c r="F107" s="12">
        <f>[1]节奏总纲!F107</f>
        <v>105</v>
      </c>
      <c r="G107" s="12">
        <f>[1]节奏总纲!G107</f>
        <v>1447.1546878700494</v>
      </c>
      <c r="N107" s="12">
        <f>[1]节奏总纲!N107</f>
        <v>114</v>
      </c>
      <c r="O107" s="8">
        <v>104</v>
      </c>
      <c r="P107" s="12">
        <f>[1]节奏总纲!P107</f>
        <v>1350.1761006314437</v>
      </c>
      <c r="Q107" s="12">
        <f>[1]节奏总纲!Q107</f>
        <v>1149.9449849078005</v>
      </c>
      <c r="R107" s="12">
        <f>[1]节奏总纲!R107</f>
        <v>925.14066415266529</v>
      </c>
      <c r="S107" s="12">
        <f>[1]节奏总纲!S107</f>
        <v>664.55667673079665</v>
      </c>
      <c r="T107" s="12">
        <f>[1]节奏总纲!T107</f>
        <v>360.49701886859549</v>
      </c>
      <c r="V107" s="8">
        <v>104</v>
      </c>
      <c r="W107" s="12">
        <f>[1]节奏总纲!W107</f>
        <v>90.484221366249358</v>
      </c>
      <c r="X107" s="12">
        <f>[1]节奏总纲!X107</f>
        <v>76.561534585928484</v>
      </c>
      <c r="Y107" s="12">
        <f>[1]节奏总纲!Y107</f>
        <v>64.645141426610962</v>
      </c>
      <c r="Z107" s="12">
        <f>[1]节奏总纲!Z107</f>
        <v>46.551840763292375</v>
      </c>
      <c r="AA107" s="12">
        <f>[1]节奏总纲!AA107</f>
        <v>25.418978984053808</v>
      </c>
      <c r="AC107" s="8">
        <v>104</v>
      </c>
      <c r="AD107" s="12">
        <f>[1]节奏总纲!AD107</f>
        <v>67.138256553625013</v>
      </c>
      <c r="AE107" s="12">
        <f>[1]节奏总纲!AE107</f>
        <v>69.199592937186125</v>
      </c>
      <c r="AF107" s="12">
        <f>[1]节奏总纲!AF107</f>
        <v>72.093818006439079</v>
      </c>
      <c r="AG107" s="12">
        <f>[1]节奏总纲!AG107</f>
        <v>76.536654632726695</v>
      </c>
      <c r="AH107" s="12">
        <f>[1]节奏总纲!AH107</f>
        <v>85.228476403824274</v>
      </c>
      <c r="AZ107" s="8">
        <v>104</v>
      </c>
      <c r="BA107" s="12">
        <f>[1]节奏总纲!BA107</f>
        <v>38.288035531438013</v>
      </c>
      <c r="BB107" s="12">
        <f>[1]节奏总纲!BB107</f>
        <v>39.790623261487418</v>
      </c>
      <c r="BC107" s="12">
        <f>[1]节奏总纲!BC107</f>
        <v>41.724391289011947</v>
      </c>
      <c r="BD107" s="12">
        <f>[1]节奏总纲!BD107</f>
        <v>44.455742855302844</v>
      </c>
      <c r="BE107" s="12">
        <f>[1]节奏总纲!BE107</f>
        <v>49.154291946776759</v>
      </c>
      <c r="BN107" s="10"/>
    </row>
    <row r="108" spans="6:66" x14ac:dyDescent="0.15">
      <c r="F108" s="12">
        <f>[1]节奏总纲!F108</f>
        <v>106</v>
      </c>
      <c r="G108" s="12">
        <f>[1]节奏总纲!G108</f>
        <v>1551.0937641066464</v>
      </c>
      <c r="N108" s="12">
        <f>[1]节奏总纲!N108</f>
        <v>115</v>
      </c>
      <c r="O108" s="8">
        <v>105</v>
      </c>
      <c r="P108" s="12">
        <f>[1]节奏总纲!P108</f>
        <v>1447.1546878700494</v>
      </c>
      <c r="Q108" s="12">
        <f>[1]节奏总纲!Q108</f>
        <v>1234.8570951595132</v>
      </c>
      <c r="R108" s="12">
        <f>[1]节奏总纲!R108</f>
        <v>993.18226228521496</v>
      </c>
      <c r="S108" s="12">
        <f>[1]节奏总纲!S108</f>
        <v>714.74970033901741</v>
      </c>
      <c r="T108" s="12">
        <f>[1]节奏总纲!T108</f>
        <v>386.39030166130323</v>
      </c>
      <c r="V108" s="8">
        <v>105</v>
      </c>
      <c r="W108" s="12">
        <f>[1]节奏总纲!W108</f>
        <v>96.978587238605769</v>
      </c>
      <c r="X108" s="12">
        <f>[1]节奏总纲!X108</f>
        <v>84.912110251712647</v>
      </c>
      <c r="Y108" s="12">
        <f>[1]节奏总纲!Y108</f>
        <v>68.041598132549666</v>
      </c>
      <c r="Z108" s="12">
        <f>[1]节奏总纲!Z108</f>
        <v>50.193023608220756</v>
      </c>
      <c r="AA108" s="12">
        <f>[1]节奏总纲!AA108</f>
        <v>25.893282792707737</v>
      </c>
      <c r="AC108" s="8">
        <v>105</v>
      </c>
      <c r="AD108" s="12">
        <f>[1]节奏总纲!AD108</f>
        <v>67.272265912925377</v>
      </c>
      <c r="AE108" s="12">
        <f>[1]节奏总纲!AE108</f>
        <v>69.333680194119751</v>
      </c>
      <c r="AF108" s="12">
        <f>[1]节奏总纲!AF108</f>
        <v>72.23150684883845</v>
      </c>
      <c r="AG108" s="12">
        <f>[1]节奏总纲!AG108</f>
        <v>76.672104206565521</v>
      </c>
      <c r="AH108" s="12">
        <f>[1]节奏总纲!AH108</f>
        <v>85.384431166588271</v>
      </c>
      <c r="AZ108" s="8">
        <v>105</v>
      </c>
      <c r="BA108" s="12">
        <f>[1]节奏总纲!BA108</f>
        <v>38.35066605767593</v>
      </c>
      <c r="BB108" s="12">
        <f>[1]节奏总纲!BB108</f>
        <v>39.858164144878572</v>
      </c>
      <c r="BC108" s="12">
        <f>[1]节奏总纲!BC108</f>
        <v>41.791434980831518</v>
      </c>
      <c r="BD108" s="12">
        <f>[1]节奏总纲!BD108</f>
        <v>44.520381471062606</v>
      </c>
      <c r="BE108" s="12">
        <f>[1]节奏总纲!BE108</f>
        <v>49.216271283766375</v>
      </c>
      <c r="BN108" s="10"/>
    </row>
    <row r="109" spans="6:66" x14ac:dyDescent="0.15">
      <c r="F109" s="12">
        <f>[1]节奏总纲!F109</f>
        <v>107</v>
      </c>
      <c r="G109" s="12">
        <f>[1]节奏总纲!G109</f>
        <v>1662.4929077375689</v>
      </c>
      <c r="N109" s="12">
        <f>[1]节奏总纲!N109</f>
        <v>116</v>
      </c>
      <c r="O109" s="8">
        <v>106</v>
      </c>
      <c r="P109" s="12">
        <f>[1]节奏总纲!P109</f>
        <v>1551.0937641066464</v>
      </c>
      <c r="Q109" s="12">
        <f>[1]节奏总纲!Q109</f>
        <v>1324.4789651706653</v>
      </c>
      <c r="R109" s="12">
        <f>[1]节奏总纲!R109</f>
        <v>1064.6707596828021</v>
      </c>
      <c r="S109" s="12">
        <f>[1]节奏总纲!S109</f>
        <v>764.999444457398</v>
      </c>
      <c r="T109" s="12">
        <f>[1]节奏总纲!T109</f>
        <v>412.59094125236794</v>
      </c>
      <c r="V109" s="8">
        <v>106</v>
      </c>
      <c r="W109" s="12">
        <f>[1]节奏总纲!W109</f>
        <v>103.93907623659697</v>
      </c>
      <c r="X109" s="12">
        <f>[1]节奏总纲!X109</f>
        <v>89.621870011152168</v>
      </c>
      <c r="Y109" s="12">
        <f>[1]节奏总纲!Y109</f>
        <v>71.488497397587139</v>
      </c>
      <c r="Z109" s="12">
        <f>[1]节奏总纲!Z109</f>
        <v>50.24974411838059</v>
      </c>
      <c r="AA109" s="12">
        <f>[1]节奏总纲!AA109</f>
        <v>26.200639591064714</v>
      </c>
      <c r="AC109" s="8">
        <v>106</v>
      </c>
      <c r="AD109" s="12">
        <f>[1]节奏总纲!AD109</f>
        <v>67.406275272225741</v>
      </c>
      <c r="AE109" s="12">
        <f>[1]节奏总纲!AE109</f>
        <v>69.467767451053362</v>
      </c>
      <c r="AF109" s="12">
        <f>[1]节奏总纲!AF109</f>
        <v>72.369195691237806</v>
      </c>
      <c r="AG109" s="12">
        <f>[1]节奏总纲!AG109</f>
        <v>76.807553780404334</v>
      </c>
      <c r="AH109" s="12">
        <f>[1]节奏总纲!AH109</f>
        <v>85.540385929352269</v>
      </c>
      <c r="AZ109" s="8">
        <v>106</v>
      </c>
      <c r="BA109" s="12">
        <f>[1]节奏总纲!BA109</f>
        <v>38.413296583913848</v>
      </c>
      <c r="BB109" s="12">
        <f>[1]节奏总纲!BB109</f>
        <v>39.925705028269732</v>
      </c>
      <c r="BC109" s="12">
        <f>[1]节奏总纲!BC109</f>
        <v>41.858478672651096</v>
      </c>
      <c r="BD109" s="12">
        <f>[1]节奏总纲!BD109</f>
        <v>44.585020086822361</v>
      </c>
      <c r="BE109" s="12">
        <f>[1]节奏总纲!BE109</f>
        <v>49.278250620755983</v>
      </c>
      <c r="BN109" s="10"/>
    </row>
    <row r="110" spans="6:66" x14ac:dyDescent="0.15">
      <c r="F110" s="12">
        <f>[1]节奏总纲!F110</f>
        <v>108</v>
      </c>
      <c r="G110" s="12">
        <f>[1]节奏总纲!G110</f>
        <v>1781.8875536304624</v>
      </c>
      <c r="N110" s="12">
        <f>[1]节奏总纲!N110</f>
        <v>117</v>
      </c>
      <c r="O110" s="8">
        <v>107</v>
      </c>
      <c r="P110" s="12">
        <f>[1]节奏总纲!P110</f>
        <v>1662.4929077375689</v>
      </c>
      <c r="Q110" s="12">
        <f>[1]节奏总纲!Q110</f>
        <v>1418.9376967540152</v>
      </c>
      <c r="R110" s="12">
        <f>[1]节奏总纲!R110</f>
        <v>1142.9638740695787</v>
      </c>
      <c r="S110" s="12">
        <f>[1]节奏总纲!S110</f>
        <v>817.11526415301512</v>
      </c>
      <c r="T110" s="12">
        <f>[1]节奏总纲!T110</f>
        <v>439.89562338736073</v>
      </c>
      <c r="V110" s="8">
        <v>107</v>
      </c>
      <c r="W110" s="12">
        <f>[1]节奏总纲!W110</f>
        <v>111.39914363092248</v>
      </c>
      <c r="X110" s="12">
        <f>[1]节奏总纲!X110</f>
        <v>94.458731583349845</v>
      </c>
      <c r="Y110" s="12">
        <f>[1]节奏总纲!Y110</f>
        <v>78.293114386776551</v>
      </c>
      <c r="Z110" s="12">
        <f>[1]节奏总纲!Z110</f>
        <v>52.11581969561712</v>
      </c>
      <c r="AA110" s="12">
        <f>[1]节奏总纲!AA110</f>
        <v>27.304682134992788</v>
      </c>
      <c r="AC110" s="8">
        <v>107</v>
      </c>
      <c r="AD110" s="12">
        <f>[1]节奏总纲!AD110</f>
        <v>67.540284631526106</v>
      </c>
      <c r="AE110" s="12">
        <f>[1]节奏总纲!AE110</f>
        <v>69.601854707986988</v>
      </c>
      <c r="AF110" s="12">
        <f>[1]节奏总纲!AF110</f>
        <v>72.506884533637162</v>
      </c>
      <c r="AG110" s="12">
        <f>[1]节奏总纲!AG110</f>
        <v>76.94300335424316</v>
      </c>
      <c r="AH110" s="12">
        <f>[1]节奏总纲!AH110</f>
        <v>85.696340692116266</v>
      </c>
      <c r="AZ110" s="8">
        <v>107</v>
      </c>
      <c r="BA110" s="12">
        <f>[1]节奏总纲!BA110</f>
        <v>38.475927110151773</v>
      </c>
      <c r="BB110" s="12">
        <f>[1]节奏总纲!BB110</f>
        <v>39.993245911660885</v>
      </c>
      <c r="BC110" s="12">
        <f>[1]节奏总纲!BC110</f>
        <v>41.925522364470666</v>
      </c>
      <c r="BD110" s="12">
        <f>[1]节奏总纲!BD110</f>
        <v>44.649658702582116</v>
      </c>
      <c r="BE110" s="12">
        <f>[1]节奏总纲!BE110</f>
        <v>49.340229957745592</v>
      </c>
      <c r="BN110" s="10"/>
    </row>
    <row r="111" spans="6:66" x14ac:dyDescent="0.15">
      <c r="F111" s="12">
        <f>[1]节奏总纲!F111</f>
        <v>109</v>
      </c>
      <c r="G111" s="12">
        <f>[1]节奏总纲!G111</f>
        <v>1909.8515666673818</v>
      </c>
      <c r="N111" s="12">
        <f>[1]节奏总纲!N111</f>
        <v>118</v>
      </c>
      <c r="O111" s="8">
        <v>108</v>
      </c>
      <c r="P111" s="12">
        <f>[1]节奏总纲!P111</f>
        <v>1781.8875536304624</v>
      </c>
      <c r="Q111" s="12">
        <f>[1]节奏总纲!Q111</f>
        <v>1521.9101595557779</v>
      </c>
      <c r="R111" s="12">
        <f>[1]节奏总纲!R111</f>
        <v>1218.0983316617842</v>
      </c>
      <c r="S111" s="12">
        <f>[1]节奏总纲!S111</f>
        <v>870.98663621457001</v>
      </c>
      <c r="T111" s="12">
        <f>[1]节奏总纲!T111</f>
        <v>470.41831415844212</v>
      </c>
      <c r="V111" s="8">
        <v>108</v>
      </c>
      <c r="W111" s="12">
        <f>[1]节奏总纲!W111</f>
        <v>119.39464589289355</v>
      </c>
      <c r="X111" s="12">
        <f>[1]节奏总纲!X111</f>
        <v>102.97246280176273</v>
      </c>
      <c r="Y111" s="12">
        <f>[1]节奏总纲!Y111</f>
        <v>75.134457592205536</v>
      </c>
      <c r="Z111" s="12">
        <f>[1]节奏总纲!Z111</f>
        <v>53.871372061554894</v>
      </c>
      <c r="AA111" s="12">
        <f>[1]节奏总纲!AA111</f>
        <v>30.522690771081386</v>
      </c>
      <c r="AC111" s="8">
        <v>108</v>
      </c>
      <c r="AD111" s="12">
        <f>[1]节奏总纲!AD111</f>
        <v>67.674293990826456</v>
      </c>
      <c r="AE111" s="12">
        <f>[1]节奏总纲!AE111</f>
        <v>69.735941964920613</v>
      </c>
      <c r="AF111" s="12">
        <f>[1]节奏总纲!AF111</f>
        <v>72.644573376036519</v>
      </c>
      <c r="AG111" s="12">
        <f>[1]节奏总纲!AG111</f>
        <v>77.074762810762508</v>
      </c>
      <c r="AH111" s="12">
        <f>[1]节奏总纲!AH111</f>
        <v>85.852295454880277</v>
      </c>
      <c r="AZ111" s="8">
        <v>108</v>
      </c>
      <c r="BA111" s="12">
        <f>[1]节奏总纲!BA111</f>
        <v>38.53855763638969</v>
      </c>
      <c r="BB111" s="12">
        <f>[1]节奏总纲!BB111</f>
        <v>40.052446592012309</v>
      </c>
      <c r="BC111" s="12">
        <f>[1]节奏总纲!BC111</f>
        <v>41.992566056290244</v>
      </c>
      <c r="BD111" s="12">
        <f>[1]节奏总纲!BD111</f>
        <v>44.71429731834187</v>
      </c>
      <c r="BE111" s="12">
        <f>[1]节奏总纲!BE111</f>
        <v>49.402209294735208</v>
      </c>
      <c r="BN111" s="10"/>
    </row>
    <row r="112" spans="6:66" x14ac:dyDescent="0.15">
      <c r="F112" s="12">
        <f>[1]节奏总纲!F112</f>
        <v>110</v>
      </c>
      <c r="G112" s="12">
        <f>[1]节奏总纲!G112</f>
        <v>2047</v>
      </c>
      <c r="N112" s="12">
        <f>[1]节奏总纲!N112</f>
        <v>119</v>
      </c>
      <c r="O112" s="8">
        <v>109</v>
      </c>
      <c r="P112" s="12">
        <f>[1]节奏总纲!P112</f>
        <v>1909.8515666673818</v>
      </c>
      <c r="Q112" s="12">
        <f>[1]节奏总纲!Q112</f>
        <v>1624.7107277639418</v>
      </c>
      <c r="R112" s="12">
        <f>[1]节奏总纲!R112</f>
        <v>1300.0359614304869</v>
      </c>
      <c r="S112" s="12">
        <f>[1]节奏总纲!S112</f>
        <v>930.28869812368168</v>
      </c>
      <c r="T112" s="12">
        <f>[1]节奏总纲!T112</f>
        <v>503.05490266018842</v>
      </c>
      <c r="V112" s="8">
        <v>109</v>
      </c>
      <c r="W112" s="12">
        <f>[1]节奏总纲!W112</f>
        <v>127.96401303691937</v>
      </c>
      <c r="X112" s="12">
        <f>[1]节奏总纲!X112</f>
        <v>102.8005682081639</v>
      </c>
      <c r="Y112" s="12">
        <f>[1]节奏总纲!Y112</f>
        <v>81.937629768702664</v>
      </c>
      <c r="Z112" s="12">
        <f>[1]节奏总纲!Z112</f>
        <v>59.302061909111671</v>
      </c>
      <c r="AA112" s="12">
        <f>[1]节奏总纲!AA112</f>
        <v>32.636588501746303</v>
      </c>
      <c r="AC112" s="8">
        <v>109</v>
      </c>
      <c r="AD112" s="12">
        <f>[1]节奏总纲!AD112</f>
        <v>67.80830335012682</v>
      </c>
      <c r="AE112" s="12">
        <f>[1]节奏总纲!AE112</f>
        <v>69.870029221854239</v>
      </c>
      <c r="AF112" s="12">
        <f>[1]节奏总纲!AF112</f>
        <v>72.782262218435889</v>
      </c>
      <c r="AG112" s="12">
        <f>[1]节奏总纲!AG112</f>
        <v>77.203841369133116</v>
      </c>
      <c r="AH112" s="12">
        <f>[1]节奏总纲!AH112</f>
        <v>86.007776715139968</v>
      </c>
      <c r="AZ112" s="8">
        <v>109</v>
      </c>
      <c r="BA112" s="12">
        <f>[1]节奏总纲!BA112</f>
        <v>38.601188162627608</v>
      </c>
      <c r="BB112" s="12">
        <f>[1]节奏总纲!BB112</f>
        <v>40.110720583137102</v>
      </c>
      <c r="BC112" s="12">
        <f>[1]节奏总纲!BC112</f>
        <v>42.051439554347354</v>
      </c>
      <c r="BD112" s="12">
        <f>[1]节奏总纲!BD112</f>
        <v>44.778935934101632</v>
      </c>
      <c r="BE112" s="12">
        <f>[1]节奏总纲!BE112</f>
        <v>49.464188631724817</v>
      </c>
      <c r="BN112" s="10"/>
    </row>
    <row r="113" spans="6:66" x14ac:dyDescent="0.15">
      <c r="F113" s="12">
        <f>[1]节奏总纲!F113</f>
        <v>111</v>
      </c>
      <c r="G113" s="12">
        <f>[1]节奏总纲!G113</f>
        <v>2193.9920512743265</v>
      </c>
      <c r="N113" s="12">
        <f>[1]节奏总纲!N113</f>
        <v>120</v>
      </c>
      <c r="O113" s="8">
        <v>110</v>
      </c>
      <c r="P113" s="12">
        <f>[1]节奏总纲!P113</f>
        <v>2047</v>
      </c>
      <c r="Q113" s="12">
        <f>[1]节奏总纲!Q113</f>
        <v>1740.5640999999998</v>
      </c>
      <c r="R113" s="12">
        <f>[1]节奏总纲!R113</f>
        <v>1395.6445999999999</v>
      </c>
      <c r="S113" s="12">
        <f>[1]节奏总纲!S113</f>
        <v>999.75480000000005</v>
      </c>
      <c r="T113" s="12">
        <f>[1]节奏总纲!T113</f>
        <v>541.22680000000003</v>
      </c>
      <c r="V113" s="8">
        <v>110</v>
      </c>
      <c r="W113" s="12">
        <f>[1]节奏总纲!W113</f>
        <v>137.1484333326182</v>
      </c>
      <c r="X113" s="12">
        <f>[1]节奏总纲!X113</f>
        <v>115.85337223605802</v>
      </c>
      <c r="Y113" s="12">
        <f>[1]节奏总纲!Y113</f>
        <v>95.608638569513005</v>
      </c>
      <c r="Z113" s="12">
        <f>[1]节奏总纲!Z113</f>
        <v>69.466101876318362</v>
      </c>
      <c r="AA113" s="12">
        <f>[1]节奏总纲!AA113</f>
        <v>38.171897339811608</v>
      </c>
      <c r="AC113" s="8">
        <v>110</v>
      </c>
      <c r="AD113" s="12">
        <f>[1]节奏总纲!AD113</f>
        <v>67.942312709427185</v>
      </c>
      <c r="AE113" s="12">
        <f>[1]节奏总纲!AE113</f>
        <v>70.003807055133578</v>
      </c>
      <c r="AF113" s="12">
        <f>[1]节奏总纲!AF113</f>
        <v>72.919951060835245</v>
      </c>
      <c r="AG113" s="12">
        <f>[1]节奏总纲!AG113</f>
        <v>77.332919927503724</v>
      </c>
      <c r="AH113" s="12">
        <f>[1]节奏总纲!AH113</f>
        <v>86.154780808490045</v>
      </c>
      <c r="AZ113" s="8">
        <v>110</v>
      </c>
      <c r="BA113" s="12">
        <f>[1]节奏总纲!BA113</f>
        <v>38.663818688865533</v>
      </c>
      <c r="BB113" s="12">
        <f>[1]节奏总纲!BB113</f>
        <v>40.168994574261895</v>
      </c>
      <c r="BC113" s="12">
        <f>[1]节奏总纲!BC113</f>
        <v>42.109294145892463</v>
      </c>
      <c r="BD113" s="12">
        <f>[1]节奏总纲!BD113</f>
        <v>44.843574549861387</v>
      </c>
      <c r="BE113" s="12">
        <f>[1]节奏总纲!BE113</f>
        <v>49.526167968714425</v>
      </c>
      <c r="BN113" s="10"/>
    </row>
    <row r="114" spans="6:66" x14ac:dyDescent="0.15">
      <c r="F114" s="12">
        <f>[1]节奏总纲!F114</f>
        <v>112</v>
      </c>
      <c r="G114" s="12">
        <f>[1]节奏总纲!G114</f>
        <v>2351.5342310339256</v>
      </c>
      <c r="N114" s="13">
        <f>[1]节奏总纲!N114</f>
        <v>121</v>
      </c>
      <c r="O114" s="13">
        <v>111</v>
      </c>
      <c r="P114" s="13">
        <f>[1]节奏总纲!P114</f>
        <v>2193.9920512743265</v>
      </c>
      <c r="Q114" s="13">
        <f>[1]节奏总纲!Q114</f>
        <v>1869.0618284805987</v>
      </c>
      <c r="R114" s="13">
        <f>[1]节奏总纲!R114</f>
        <v>1500.4711638665117</v>
      </c>
      <c r="S114" s="13">
        <f>[1]节奏总纲!S114</f>
        <v>1076.5918995603122</v>
      </c>
      <c r="T114" s="13">
        <f>[1]节奏总纲!T114</f>
        <v>583.60188563897088</v>
      </c>
      <c r="U114" s="13"/>
      <c r="V114" s="13">
        <v>111</v>
      </c>
      <c r="W114" s="13">
        <f>[1]节奏总纲!W114</f>
        <v>146.99205127432651</v>
      </c>
      <c r="X114" s="13">
        <f>[1]节奏总纲!X114</f>
        <v>128.49772848059888</v>
      </c>
      <c r="Y114" s="13">
        <f>[1]节奏总纲!Y114</f>
        <v>104.82656386651183</v>
      </c>
      <c r="Z114" s="13">
        <f>[1]节奏总纲!Z114</f>
        <v>76.83709956031214</v>
      </c>
      <c r="AA114" s="13">
        <f>[1]节奏总纲!AA114</f>
        <v>42.375085638970859</v>
      </c>
      <c r="AC114" s="8">
        <v>111</v>
      </c>
      <c r="AD114" s="12">
        <f>[1]节奏总纲!AD114</f>
        <v>68.071211008105138</v>
      </c>
      <c r="AE114" s="12">
        <f>[1]节奏总纲!AE114</f>
        <v>70.127815365673797</v>
      </c>
      <c r="AF114" s="12">
        <f>[1]节奏总纲!AF114</f>
        <v>73.051543220271398</v>
      </c>
      <c r="AG114" s="12">
        <f>[1]节奏总纲!AG114</f>
        <v>77.461998485874332</v>
      </c>
      <c r="AH114" s="12">
        <f>[1]节奏总纲!AH114</f>
        <v>86.301784901840136</v>
      </c>
      <c r="AZ114" s="8">
        <v>111</v>
      </c>
      <c r="BA114" s="12">
        <f>[1]节奏总纲!BA114</f>
        <v>38.72644921510345</v>
      </c>
      <c r="BB114" s="12">
        <f>[1]节奏总纲!BB114</f>
        <v>40.227268565386687</v>
      </c>
      <c r="BC114" s="12">
        <f>[1]节奏总纲!BC114</f>
        <v>42.167148737437572</v>
      </c>
      <c r="BD114" s="12">
        <f>[1]节奏总纲!BD114</f>
        <v>44.908213165621142</v>
      </c>
      <c r="BE114" s="12">
        <f>[1]节奏总纲!BE114</f>
        <v>49.588147305704041</v>
      </c>
      <c r="BN114" s="10"/>
    </row>
    <row r="115" spans="6:66" x14ac:dyDescent="0.15">
      <c r="F115" s="12">
        <f>[1]节奏总纲!F115</f>
        <v>113</v>
      </c>
      <c r="G115" s="12">
        <f>[1]节奏总纲!G115</f>
        <v>2520.3837585303886</v>
      </c>
      <c r="N115" s="13">
        <f>[1]节奏总纲!N115</f>
        <v>122</v>
      </c>
      <c r="O115" s="13">
        <v>112</v>
      </c>
      <c r="P115" s="13">
        <f>[1]节奏总纲!P115</f>
        <v>2351.5342310339256</v>
      </c>
      <c r="Q115" s="13">
        <f>[1]节奏总纲!Q115</f>
        <v>2004.6829319564217</v>
      </c>
      <c r="R115" s="13">
        <f>[1]节奏总纲!R115</f>
        <v>1609.3900277196187</v>
      </c>
      <c r="S115" s="13">
        <f>[1]节奏总纲!S115</f>
        <v>1155.3087677069677</v>
      </c>
      <c r="T115" s="13">
        <f>[1]节奏总纲!T115</f>
        <v>623.15657122399034</v>
      </c>
      <c r="U115" s="13"/>
      <c r="V115" s="13">
        <v>112</v>
      </c>
      <c r="W115" s="13">
        <f>[1]节奏总纲!W115</f>
        <v>157.54217975959909</v>
      </c>
      <c r="X115" s="13">
        <f>[1]节奏总纲!X115</f>
        <v>135.62110347582302</v>
      </c>
      <c r="Y115" s="13">
        <f>[1]节奏总纲!Y115</f>
        <v>108.91886385310704</v>
      </c>
      <c r="Z115" s="13">
        <f>[1]节奏总纲!Z115</f>
        <v>78.716868146655543</v>
      </c>
      <c r="AA115" s="13">
        <f>[1]节奏总纲!AA115</f>
        <v>39.554685585019456</v>
      </c>
      <c r="AC115" s="8">
        <v>112</v>
      </c>
      <c r="AD115" s="12">
        <f>[1]节奏总纲!AD115</f>
        <v>68.196246161507091</v>
      </c>
      <c r="AE115" s="12">
        <f>[1]节奏总纲!AE115</f>
        <v>70.251823676214016</v>
      </c>
      <c r="AF115" s="12">
        <f>[1]节奏总纲!AF115</f>
        <v>73.174668450093861</v>
      </c>
      <c r="AG115" s="12">
        <f>[1]节奏总纲!AG115</f>
        <v>77.591077044244926</v>
      </c>
      <c r="AH115" s="12">
        <f>[1]节奏总纲!AH115</f>
        <v>86.448788995190213</v>
      </c>
      <c r="AZ115" s="8">
        <v>112</v>
      </c>
      <c r="BA115" s="12">
        <f>[1]节奏总纲!BA115</f>
        <v>38.789079741341368</v>
      </c>
      <c r="BB115" s="12">
        <f>[1]节奏总纲!BB115</f>
        <v>40.28554255651148</v>
      </c>
      <c r="BC115" s="12">
        <f>[1]节奏总纲!BC115</f>
        <v>42.225003328982673</v>
      </c>
      <c r="BD115" s="12">
        <f>[1]节奏总纲!BD115</f>
        <v>44.972851781380903</v>
      </c>
      <c r="BE115" s="12">
        <f>[1]节奏总纲!BE115</f>
        <v>49.65012664269365</v>
      </c>
      <c r="BN115" s="10"/>
    </row>
    <row r="116" spans="6:66" x14ac:dyDescent="0.15">
      <c r="F116" s="12">
        <f>[1]节奏总纲!F116</f>
        <v>114</v>
      </c>
      <c r="G116" s="12">
        <f>[1]节奏总纲!G116</f>
        <v>2701.3522012628878</v>
      </c>
      <c r="N116" s="13">
        <f>[1]节奏总纲!N116</f>
        <v>123</v>
      </c>
      <c r="O116" s="13">
        <v>113</v>
      </c>
      <c r="P116" s="13">
        <f>[1]节奏总纲!P116</f>
        <v>2520.3837585303886</v>
      </c>
      <c r="Q116" s="13">
        <f>[1]节奏总纲!Q116</f>
        <v>2150.1393844022746</v>
      </c>
      <c r="R116" s="13">
        <f>[1]节奏总纲!R116</f>
        <v>1727.7230664725814</v>
      </c>
      <c r="S116" s="13">
        <f>[1]节奏总纲!S116</f>
        <v>1235.7441568074496</v>
      </c>
      <c r="T116" s="13">
        <f>[1]节奏总纲!T116</f>
        <v>664.12112037275745</v>
      </c>
      <c r="U116" s="13"/>
      <c r="V116" s="13">
        <v>113</v>
      </c>
      <c r="W116" s="13">
        <f>[1]节奏总纲!W116</f>
        <v>168.849527496463</v>
      </c>
      <c r="X116" s="13">
        <f>[1]节奏总纲!X116</f>
        <v>145.45645244585285</v>
      </c>
      <c r="Y116" s="13">
        <f>[1]节奏总纲!Y116</f>
        <v>118.33303875296269</v>
      </c>
      <c r="Z116" s="13">
        <f>[1]节奏总纲!Z116</f>
        <v>80.435389100481871</v>
      </c>
      <c r="AA116" s="13">
        <f>[1]节奏总纲!AA116</f>
        <v>40.964549148767105</v>
      </c>
      <c r="AC116" s="8">
        <v>113</v>
      </c>
      <c r="AD116" s="12">
        <f>[1]节奏总纲!AD116</f>
        <v>68.321281314909029</v>
      </c>
      <c r="AE116" s="12">
        <f>[1]节奏总纲!AE116</f>
        <v>70.375831986754235</v>
      </c>
      <c r="AF116" s="12">
        <f>[1]节奏总纲!AF116</f>
        <v>73.297793679916325</v>
      </c>
      <c r="AG116" s="12">
        <f>[1]节奏总纲!AG116</f>
        <v>77.720155602615534</v>
      </c>
      <c r="AH116" s="12">
        <f>[1]节奏总纲!AH116</f>
        <v>86.595793088540304</v>
      </c>
      <c r="AZ116" s="8">
        <v>113</v>
      </c>
      <c r="BA116" s="12">
        <f>[1]节奏总纲!BA116</f>
        <v>38.851710267579293</v>
      </c>
      <c r="BB116" s="12">
        <f>[1]节奏总纲!BB116</f>
        <v>40.343816547636273</v>
      </c>
      <c r="BC116" s="12">
        <f>[1]节奏总纲!BC116</f>
        <v>42.282857920527782</v>
      </c>
      <c r="BD116" s="12">
        <f>[1]节奏总纲!BD116</f>
        <v>45.032359480672049</v>
      </c>
      <c r="BE116" s="12">
        <f>[1]节奏总纲!BE116</f>
        <v>49.712105979683258</v>
      </c>
      <c r="BN116" s="10"/>
    </row>
    <row r="117" spans="6:66" x14ac:dyDescent="0.15">
      <c r="F117" s="12">
        <f>[1]节奏总纲!F117</f>
        <v>115</v>
      </c>
      <c r="G117" s="12">
        <f>[1]节奏总纲!G117</f>
        <v>2895.3093757400989</v>
      </c>
      <c r="N117" s="13">
        <f>[1]节奏总纲!N117</f>
        <v>124</v>
      </c>
      <c r="O117" s="13">
        <v>114</v>
      </c>
      <c r="P117" s="13">
        <f>[1]节奏总纲!P117</f>
        <v>2701.3522012628878</v>
      </c>
      <c r="Q117" s="13">
        <f>[1]节奏总纲!Q117</f>
        <v>2306.1443742181273</v>
      </c>
      <c r="R117" s="13">
        <f>[1]节奏总纲!R117</f>
        <v>1846.3742295631837</v>
      </c>
      <c r="S117" s="13">
        <f>[1]节奏总纲!S117</f>
        <v>1317.1793333357841</v>
      </c>
      <c r="T117" s="13">
        <f>[1]节奏总纲!T117</f>
        <v>708.83481761138182</v>
      </c>
      <c r="U117" s="13"/>
      <c r="V117" s="13">
        <v>114</v>
      </c>
      <c r="W117" s="13">
        <f>[1]节奏总纲!W117</f>
        <v>180.96844273249917</v>
      </c>
      <c r="X117" s="13">
        <f>[1]节奏总纲!X117</f>
        <v>156.0049898158527</v>
      </c>
      <c r="Y117" s="13">
        <f>[1]节奏总纲!Y117</f>
        <v>118.65116309060227</v>
      </c>
      <c r="Z117" s="13">
        <f>[1]节奏总纲!Z117</f>
        <v>81.435176528334523</v>
      </c>
      <c r="AA117" s="13">
        <f>[1]节奏总纲!AA117</f>
        <v>44.713697238624377</v>
      </c>
      <c r="AC117" s="8">
        <v>114</v>
      </c>
      <c r="AD117" s="12">
        <f>[1]节奏总纲!AD117</f>
        <v>68.446316468310982</v>
      </c>
      <c r="AE117" s="12">
        <f>[1]节奏总纲!AE117</f>
        <v>70.499840297294455</v>
      </c>
      <c r="AF117" s="12">
        <f>[1]节奏总纲!AF117</f>
        <v>73.420918909738774</v>
      </c>
      <c r="AG117" s="12">
        <f>[1]节奏总纲!AG117</f>
        <v>77.849234160986143</v>
      </c>
      <c r="AH117" s="12">
        <f>[1]节奏总纲!AH117</f>
        <v>86.742797181890381</v>
      </c>
      <c r="AZ117" s="8">
        <v>114</v>
      </c>
      <c r="BA117" s="12">
        <f>[1]节奏总纲!BA117</f>
        <v>38.91434079381721</v>
      </c>
      <c r="BB117" s="12">
        <f>[1]节奏总纲!BB117</f>
        <v>40.402090538761065</v>
      </c>
      <c r="BC117" s="12">
        <f>[1]节奏总纲!BC117</f>
        <v>42.340712512072891</v>
      </c>
      <c r="BD117" s="12">
        <f>[1]节奏总纲!BD117</f>
        <v>45.088151688727308</v>
      </c>
      <c r="BE117" s="12">
        <f>[1]节奏总纲!BE117</f>
        <v>49.774085316672867</v>
      </c>
      <c r="BN117" s="10"/>
    </row>
    <row r="118" spans="6:66" x14ac:dyDescent="0.15">
      <c r="F118" s="12">
        <f>[1]节奏总纲!F118</f>
        <v>116</v>
      </c>
      <c r="G118" s="12">
        <f>[1]节奏总纲!G118</f>
        <v>3103.1875282132928</v>
      </c>
      <c r="N118" s="13">
        <f>[1]节奏总纲!N118</f>
        <v>125</v>
      </c>
      <c r="O118" s="13">
        <v>115</v>
      </c>
      <c r="P118" s="13">
        <f>[1]节奏总纲!P118</f>
        <v>2895.3093757400989</v>
      </c>
      <c r="Q118" s="13">
        <f>[1]节奏总纲!Q118</f>
        <v>2461.8815621918061</v>
      </c>
      <c r="R118" s="13">
        <f>[1]节奏总纲!R118</f>
        <v>1967.6522517529711</v>
      </c>
      <c r="S118" s="13">
        <f>[1]节奏总纲!S118</f>
        <v>1404.8041091090961</v>
      </c>
      <c r="T118" s="13">
        <f>[1]节奏总纲!T118</f>
        <v>756.54433988088772</v>
      </c>
      <c r="U118" s="13"/>
      <c r="V118" s="13">
        <v>115</v>
      </c>
      <c r="W118" s="13">
        <f>[1]节奏总纲!W118</f>
        <v>193.95717447721108</v>
      </c>
      <c r="X118" s="13">
        <f>[1]节奏总纲!X118</f>
        <v>155.73718797367883</v>
      </c>
      <c r="Y118" s="13">
        <f>[1]节奏总纲!Y118</f>
        <v>121.27802218978741</v>
      </c>
      <c r="Z118" s="13">
        <f>[1]节奏总纲!Z118</f>
        <v>87.624775773311967</v>
      </c>
      <c r="AA118" s="13">
        <f>[1]节奏总纲!AA118</f>
        <v>47.709522269505896</v>
      </c>
      <c r="AC118" s="8">
        <v>115</v>
      </c>
      <c r="AD118" s="12">
        <f>[1]节奏总纲!AD118</f>
        <v>68.571351621712935</v>
      </c>
      <c r="AE118" s="12">
        <f>[1]节奏总纲!AE118</f>
        <v>70.623848607834674</v>
      </c>
      <c r="AF118" s="12">
        <f>[1]节奏总纲!AF118</f>
        <v>73.544044139561237</v>
      </c>
      <c r="AG118" s="12">
        <f>[1]节奏总纲!AG118</f>
        <v>77.978312719356751</v>
      </c>
      <c r="AH118" s="12">
        <f>[1]节奏总纲!AH118</f>
        <v>86.889801275240458</v>
      </c>
      <c r="AZ118" s="8">
        <v>115</v>
      </c>
      <c r="BA118" s="12">
        <f>[1]节奏总纲!BA118</f>
        <v>38.976971320055128</v>
      </c>
      <c r="BB118" s="12">
        <f>[1]节奏总纲!BB118</f>
        <v>40.460364529885858</v>
      </c>
      <c r="BC118" s="12">
        <f>[1]节奏总纲!BC118</f>
        <v>42.398567103617999</v>
      </c>
      <c r="BD118" s="12">
        <f>[1]节奏总纲!BD118</f>
        <v>45.143943896782567</v>
      </c>
      <c r="BE118" s="12">
        <f>[1]节奏总纲!BE118</f>
        <v>49.836064653662483</v>
      </c>
      <c r="BN118" s="10"/>
    </row>
    <row r="119" spans="6:66" x14ac:dyDescent="0.15">
      <c r="F119" s="12">
        <f>[1]节奏总纲!F119</f>
        <v>117</v>
      </c>
      <c r="G119" s="12">
        <f>[1]节奏总纲!G119</f>
        <v>3325.985815475135</v>
      </c>
      <c r="N119" s="13">
        <f>[1]节奏总纲!N119</f>
        <v>126</v>
      </c>
      <c r="O119" s="13">
        <v>116</v>
      </c>
      <c r="P119" s="13">
        <f>[1]节奏总纲!P119</f>
        <v>3103.1875282132928</v>
      </c>
      <c r="Q119" s="13">
        <f>[1]节奏总纲!Q119</f>
        <v>2634.2958927002642</v>
      </c>
      <c r="R119" s="13">
        <f>[1]节奏总纲!R119</f>
        <v>2106.4436941511831</v>
      </c>
      <c r="S119" s="13">
        <f>[1]节奏总纲!S119</f>
        <v>1506.5975449475536</v>
      </c>
      <c r="T119" s="13">
        <f>[1]节奏总纲!T119</f>
        <v>811.48353862777606</v>
      </c>
      <c r="U119" s="13"/>
      <c r="V119" s="13">
        <v>116</v>
      </c>
      <c r="W119" s="13">
        <f>[1]节奏总纲!W119</f>
        <v>207.87815247319395</v>
      </c>
      <c r="X119" s="13">
        <f>[1]节奏总纲!X119</f>
        <v>172.41433050845808</v>
      </c>
      <c r="Y119" s="13">
        <f>[1]节奏总纲!Y119</f>
        <v>138.79144239821198</v>
      </c>
      <c r="Z119" s="13">
        <f>[1]节奏总纲!Z119</f>
        <v>101.79343583845753</v>
      </c>
      <c r="AA119" s="13">
        <f>[1]节奏总纲!AA119</f>
        <v>54.939198746888337</v>
      </c>
      <c r="AC119" s="8">
        <v>116</v>
      </c>
      <c r="AD119" s="12">
        <f>[1]节奏总纲!AD119</f>
        <v>68.696386775114874</v>
      </c>
      <c r="AE119" s="12">
        <f>[1]节奏总纲!AE119</f>
        <v>70.747856918374893</v>
      </c>
      <c r="AF119" s="12">
        <f>[1]节奏总纲!AF119</f>
        <v>73.667169369383686</v>
      </c>
      <c r="AG119" s="12">
        <f>[1]节奏总纲!AG119</f>
        <v>78.10469841238104</v>
      </c>
      <c r="AH119" s="12">
        <f>[1]节奏总纲!AH119</f>
        <v>87.033659382136349</v>
      </c>
      <c r="AZ119" s="8">
        <v>116</v>
      </c>
      <c r="BA119" s="12">
        <f>[1]节奏总纲!BA119</f>
        <v>39.034165367506482</v>
      </c>
      <c r="BB119" s="12">
        <f>[1]节奏总纲!BB119</f>
        <v>40.518638521010644</v>
      </c>
      <c r="BC119" s="12">
        <f>[1]节奏总纲!BC119</f>
        <v>42.456421695163108</v>
      </c>
      <c r="BD119" s="12">
        <f>[1]节奏总纲!BD119</f>
        <v>45.199736104837825</v>
      </c>
      <c r="BE119" s="12">
        <f>[1]节奏总纲!BE119</f>
        <v>49.898043990652091</v>
      </c>
      <c r="BN119" s="10"/>
    </row>
    <row r="120" spans="6:66" x14ac:dyDescent="0.15">
      <c r="F120" s="12">
        <f>[1]节奏总纲!F120</f>
        <v>118</v>
      </c>
      <c r="G120" s="12">
        <f>[1]节奏总纲!G120</f>
        <v>3564.7751072609281</v>
      </c>
      <c r="N120" s="13">
        <f>[1]节奏总纲!N120</f>
        <v>127</v>
      </c>
      <c r="O120" s="13">
        <v>117</v>
      </c>
      <c r="P120" s="13">
        <f>[1]节奏总纲!P120</f>
        <v>3325.985815475135</v>
      </c>
      <c r="Q120" s="13">
        <f>[1]节奏总纲!Q120</f>
        <v>2825.4249502461275</v>
      </c>
      <c r="R120" s="13">
        <f>[1]节奏总纲!R120</f>
        <v>2260.0073616153541</v>
      </c>
      <c r="S120" s="13">
        <f>[1]节奏总纲!S120</f>
        <v>1618.0920992286531</v>
      </c>
      <c r="T120" s="13">
        <f>[1]节奏总纲!T120</f>
        <v>872.40607939912786</v>
      </c>
      <c r="U120" s="13"/>
      <c r="V120" s="13">
        <v>117</v>
      </c>
      <c r="W120" s="13">
        <f>[1]节奏总纲!W120</f>
        <v>222.79828726184223</v>
      </c>
      <c r="X120" s="13">
        <f>[1]节奏总纲!X120</f>
        <v>191.12905754586336</v>
      </c>
      <c r="Y120" s="13">
        <f>[1]节奏总纲!Y120</f>
        <v>153.56366746417098</v>
      </c>
      <c r="Z120" s="13">
        <f>[1]节奏总纲!Z120</f>
        <v>111.49455428109945</v>
      </c>
      <c r="AA120" s="13">
        <f>[1]节奏总纲!AA120</f>
        <v>60.922540771351805</v>
      </c>
      <c r="AC120" s="8">
        <v>117</v>
      </c>
      <c r="AD120" s="12">
        <f>[1]节奏总纲!AD120</f>
        <v>68.821421928516827</v>
      </c>
      <c r="AE120" s="12">
        <f>[1]节奏总纲!AE120</f>
        <v>70.871865228915112</v>
      </c>
      <c r="AF120" s="12">
        <f>[1]节奏总纲!AF120</f>
        <v>73.790294599206149</v>
      </c>
      <c r="AG120" s="12">
        <f>[1]节奏总纲!AG120</f>
        <v>78.230540290975199</v>
      </c>
      <c r="AH120" s="12">
        <f>[1]节奏总纲!AH120</f>
        <v>87.168098110592624</v>
      </c>
      <c r="AZ120" s="8">
        <v>117</v>
      </c>
      <c r="BA120" s="12">
        <f>[1]节奏总纲!BA120</f>
        <v>39.088198074219406</v>
      </c>
      <c r="BB120" s="12">
        <f>[1]节奏总纲!BB120</f>
        <v>40.576912512135436</v>
      </c>
      <c r="BC120" s="12">
        <f>[1]节奏总纲!BC120</f>
        <v>42.51427628670821</v>
      </c>
      <c r="BD120" s="12">
        <f>[1]节奏总纲!BD120</f>
        <v>45.255528312893091</v>
      </c>
      <c r="BE120" s="12">
        <f>[1]节奏总纲!BE120</f>
        <v>49.9600233276417</v>
      </c>
      <c r="BN120" s="10"/>
    </row>
    <row r="121" spans="6:66" x14ac:dyDescent="0.15">
      <c r="F121" s="12">
        <f>[1]节奏总纲!F121</f>
        <v>119</v>
      </c>
      <c r="G121" s="12">
        <f>[1]节奏总纲!G121</f>
        <v>3820.7031333347636</v>
      </c>
      <c r="N121" s="13">
        <f>[1]节奏总纲!N121</f>
        <v>128</v>
      </c>
      <c r="O121" s="13">
        <v>118</v>
      </c>
      <c r="P121" s="13">
        <f>[1]节奏总纲!P121</f>
        <v>3564.7751072609281</v>
      </c>
      <c r="Q121" s="13">
        <f>[1]节奏总纲!Q121</f>
        <v>3030.4153186825147</v>
      </c>
      <c r="R121" s="13">
        <f>[1]节奏总纲!R121</f>
        <v>2426.1859380017877</v>
      </c>
      <c r="S121" s="13">
        <f>[1]节奏总纲!S121</f>
        <v>1738.8972973218808</v>
      </c>
      <c r="T121" s="13">
        <f>[1]节奏总纲!T121</f>
        <v>936.10994316671975</v>
      </c>
      <c r="U121" s="13"/>
      <c r="V121" s="13">
        <v>118</v>
      </c>
      <c r="W121" s="13">
        <f>[1]节奏总纲!W121</f>
        <v>238.78929178579301</v>
      </c>
      <c r="X121" s="13">
        <f>[1]节奏总纲!X121</f>
        <v>204.99036843638714</v>
      </c>
      <c r="Y121" s="13">
        <f>[1]节奏总纲!Y121</f>
        <v>166.17857638643363</v>
      </c>
      <c r="Z121" s="13">
        <f>[1]节奏总纲!Z121</f>
        <v>120.80519809322777</v>
      </c>
      <c r="AA121" s="13">
        <f>[1]节奏总纲!AA121</f>
        <v>63.703863767591884</v>
      </c>
      <c r="AC121" s="8">
        <v>118</v>
      </c>
      <c r="AD121" s="12">
        <f>[1]节奏总纲!AD121</f>
        <v>68.946457081918766</v>
      </c>
      <c r="AE121" s="12">
        <f>[1]节奏总纲!AE121</f>
        <v>70.995873539455332</v>
      </c>
      <c r="AF121" s="12">
        <f>[1]节奏总纲!AF121</f>
        <v>73.913419829028598</v>
      </c>
      <c r="AG121" s="12">
        <f>[1]节奏总纲!AG121</f>
        <v>78.356382169569343</v>
      </c>
      <c r="AH121" s="12">
        <f>[1]节奏总纲!AH121</f>
        <v>87.302536839048898</v>
      </c>
      <c r="AZ121" s="8">
        <v>118</v>
      </c>
      <c r="BA121" s="12">
        <f>[1]节奏总纲!BA121</f>
        <v>39.14223078093233</v>
      </c>
      <c r="BB121" s="12">
        <f>[1]节奏总纲!BB121</f>
        <v>40.635186503260229</v>
      </c>
      <c r="BC121" s="12">
        <f>[1]节奏总纲!BC121</f>
        <v>42.572130878253319</v>
      </c>
      <c r="BD121" s="12">
        <f>[1]节奏总纲!BD121</f>
        <v>45.31132052094835</v>
      </c>
      <c r="BE121" s="12">
        <f>[1]节奏总纲!BE121</f>
        <v>50.018998195299922</v>
      </c>
      <c r="BN121" s="10"/>
    </row>
    <row r="122" spans="6:66" x14ac:dyDescent="0.15">
      <c r="F122" s="12">
        <f>[1]节奏总纲!F122</f>
        <v>120</v>
      </c>
      <c r="G122" s="12">
        <f>[1]节奏总纲!G122</f>
        <v>4095</v>
      </c>
      <c r="N122" s="13">
        <f>[1]节奏总纲!N122</f>
        <v>129</v>
      </c>
      <c r="O122" s="13">
        <v>119</v>
      </c>
      <c r="P122" s="13">
        <f>[1]节奏总纲!P122</f>
        <v>3820.7031333347636</v>
      </c>
      <c r="Q122" s="13">
        <f>[1]节奏总纲!Q122</f>
        <v>3250.2721555278836</v>
      </c>
      <c r="R122" s="13">
        <f>[1]节奏总纲!R122</f>
        <v>2604.5733259943081</v>
      </c>
      <c r="S122" s="13">
        <f>[1]节奏总纲!S122</f>
        <v>1864.8851993806979</v>
      </c>
      <c r="T122" s="13">
        <f>[1]节奏总纲!T122</f>
        <v>998.73179905370728</v>
      </c>
      <c r="U122" s="13"/>
      <c r="V122" s="13">
        <v>119</v>
      </c>
      <c r="W122" s="13">
        <f>[1]节奏总纲!W122</f>
        <v>255.92802607383555</v>
      </c>
      <c r="X122" s="13">
        <f>[1]节奏总纲!X122</f>
        <v>219.85683684536889</v>
      </c>
      <c r="Y122" s="13">
        <f>[1]节奏总纲!Y122</f>
        <v>178.38738799252042</v>
      </c>
      <c r="Z122" s="13">
        <f>[1]节奏总纲!Z122</f>
        <v>125.9879020588171</v>
      </c>
      <c r="AA122" s="13">
        <f>[1]节奏总纲!AA122</f>
        <v>62.621855886987532</v>
      </c>
      <c r="AC122" s="8">
        <v>119</v>
      </c>
      <c r="AD122" s="12">
        <f>[1]节奏总纲!AD122</f>
        <v>69.066704614192943</v>
      </c>
      <c r="AE122" s="12">
        <f>[1]节奏总纲!AE122</f>
        <v>71.113087458015798</v>
      </c>
      <c r="AF122" s="12">
        <f>[1]节奏总纲!AF122</f>
        <v>74.034200876118248</v>
      </c>
      <c r="AG122" s="12">
        <f>[1]节奏总纲!AG122</f>
        <v>78.482224048163502</v>
      </c>
      <c r="AH122" s="12">
        <f>[1]节奏总纲!AH122</f>
        <v>87.436975567505186</v>
      </c>
      <c r="AZ122" s="8">
        <v>119</v>
      </c>
      <c r="BA122" s="12">
        <f>[1]节奏总纲!BA122</f>
        <v>39.196263487645254</v>
      </c>
      <c r="BB122" s="12">
        <f>[1]节奏总纲!BB122</f>
        <v>40.693460494385022</v>
      </c>
      <c r="BC122" s="12">
        <f>[1]节奏总纲!BC122</f>
        <v>42.629985469798427</v>
      </c>
      <c r="BD122" s="12">
        <f>[1]节奏总纲!BD122</f>
        <v>45.367112729003608</v>
      </c>
      <c r="BE122" s="12">
        <f>[1]节奏总纲!BE122</f>
        <v>50.072514238398277</v>
      </c>
      <c r="BN122" s="10"/>
    </row>
    <row r="123" spans="6:66" x14ac:dyDescent="0.15">
      <c r="F123" s="12">
        <f>[1]节奏总纲!F123</f>
        <v>121</v>
      </c>
      <c r="G123" s="12">
        <f>[1]节奏总纲!G123</f>
        <v>4388.9841025486576</v>
      </c>
      <c r="N123" s="13">
        <f>[1]节奏总纲!N123</f>
        <v>130</v>
      </c>
      <c r="O123" s="13">
        <v>120</v>
      </c>
      <c r="P123" s="13">
        <f>[1]节奏总纲!P123</f>
        <v>4095</v>
      </c>
      <c r="Q123" s="13">
        <f>[1]节奏总纲!Q123</f>
        <v>3486.0735</v>
      </c>
      <c r="R123" s="13">
        <f>[1]节奏总纲!R123</f>
        <v>2791.971</v>
      </c>
      <c r="S123" s="13">
        <f>[1]节奏总纲!S123</f>
        <v>1987.713</v>
      </c>
      <c r="T123" s="13">
        <f>[1]节奏总纲!T123</f>
        <v>1066.3380000000002</v>
      </c>
      <c r="U123" s="13"/>
      <c r="V123" s="13">
        <v>120</v>
      </c>
      <c r="W123" s="13">
        <f>[1]节奏总纲!W123</f>
        <v>274.29686666523639</v>
      </c>
      <c r="X123" s="13">
        <f>[1]节奏总纲!X123</f>
        <v>235.8013444721164</v>
      </c>
      <c r="Y123" s="13">
        <f>[1]节奏总纲!Y123</f>
        <v>187.3976740056919</v>
      </c>
      <c r="Z123" s="13">
        <f>[1]节奏总纲!Z123</f>
        <v>122.82780061930202</v>
      </c>
      <c r="AA123" s="13">
        <f>[1]节奏总纲!AA123</f>
        <v>67.606200946292915</v>
      </c>
      <c r="AC123" s="8">
        <v>120</v>
      </c>
      <c r="AD123" s="12">
        <f>[1]节奏总纲!AD123</f>
        <v>69.18336653741882</v>
      </c>
      <c r="AE123" s="12">
        <f>[1]节奏总纲!AE123</f>
        <v>71.230067506391322</v>
      </c>
      <c r="AF123" s="12">
        <f>[1]节奏总纲!AF123</f>
        <v>74.149428238300118</v>
      </c>
      <c r="AG123" s="12">
        <f>[1]节奏总纲!AG123</f>
        <v>78.608065926757661</v>
      </c>
      <c r="AH123" s="12">
        <f>[1]节奏总纲!AH123</f>
        <v>87.571414295961461</v>
      </c>
      <c r="AZ123" s="8">
        <v>120</v>
      </c>
      <c r="BA123" s="12">
        <f>[1]节奏总纲!BA123</f>
        <v>39.250296194358178</v>
      </c>
      <c r="BB123" s="12">
        <f>[1]节奏总纲!BB123</f>
        <v>40.751734485509814</v>
      </c>
      <c r="BC123" s="12">
        <f>[1]节奏总纲!BC123</f>
        <v>42.687840061343536</v>
      </c>
      <c r="BD123" s="12">
        <f>[1]节奏总纲!BD123</f>
        <v>45.422904937058867</v>
      </c>
      <c r="BE123" s="12">
        <f>[1]节奏总纲!BE123</f>
        <v>50.126030281496639</v>
      </c>
      <c r="BN123" s="10"/>
    </row>
    <row r="124" spans="6:66" x14ac:dyDescent="0.15">
      <c r="F124" s="12">
        <f>[1]节奏总纲!F124</f>
        <v>122</v>
      </c>
      <c r="G124" s="12">
        <f>[1]节奏总纲!G124</f>
        <v>4704.0684620678521</v>
      </c>
      <c r="N124" s="13">
        <f>[1]节奏总纲!N124</f>
        <v>131</v>
      </c>
      <c r="O124" s="13">
        <v>121</v>
      </c>
      <c r="P124" s="13">
        <f>[1]节奏总纲!P124</f>
        <v>4388.9841025486576</v>
      </c>
      <c r="Q124" s="13">
        <f>[1]节奏总纲!Q124</f>
        <v>3731.5142839868686</v>
      </c>
      <c r="R124" s="13">
        <f>[1]节奏总纲!R124</f>
        <v>2975.2923231177347</v>
      </c>
      <c r="S124" s="13">
        <f>[1]节奏总纲!S124</f>
        <v>2118.5626263002373</v>
      </c>
      <c r="T124" s="13">
        <f>[1]节奏总纲!T124</f>
        <v>1139.8191714318864</v>
      </c>
      <c r="U124" s="13"/>
      <c r="V124" s="13">
        <v>121</v>
      </c>
      <c r="W124" s="13">
        <f>[1]节奏总纲!W124</f>
        <v>293.98410254865757</v>
      </c>
      <c r="X124" s="13">
        <f>[1]节奏总纲!X124</f>
        <v>245.44078398686861</v>
      </c>
      <c r="Y124" s="13">
        <f>[1]节奏总纲!Y124</f>
        <v>183.32132311773466</v>
      </c>
      <c r="Z124" s="13">
        <f>[1]节奏总纲!Z124</f>
        <v>130.84962630023733</v>
      </c>
      <c r="AA124" s="13">
        <f>[1]节奏总纲!AA124</f>
        <v>73.481171431886196</v>
      </c>
      <c r="AC124" s="8">
        <v>121</v>
      </c>
      <c r="AD124" s="12">
        <f>[1]节奏总纲!AD124</f>
        <v>69.300028460644711</v>
      </c>
      <c r="AE124" s="12">
        <f>[1]节奏总纲!AE124</f>
        <v>71.347047554766846</v>
      </c>
      <c r="AF124" s="12">
        <f>[1]节奏总纲!AF124</f>
        <v>74.264655600481987</v>
      </c>
      <c r="AG124" s="12">
        <f>[1]节奏总纲!AG124</f>
        <v>78.733907805351805</v>
      </c>
      <c r="AH124" s="12">
        <f>[1]节奏总纲!AH124</f>
        <v>87.705853024417735</v>
      </c>
      <c r="AZ124" s="8">
        <v>121</v>
      </c>
      <c r="BA124" s="12">
        <f>[1]节奏总纲!BA124</f>
        <v>39.304328901071102</v>
      </c>
      <c r="BB124" s="12">
        <f>[1]节奏总纲!BB124</f>
        <v>40.810008476634607</v>
      </c>
      <c r="BC124" s="12">
        <f>[1]节奏总纲!BC124</f>
        <v>42.745694652888645</v>
      </c>
      <c r="BD124" s="12">
        <f>[1]节奏总纲!BD124</f>
        <v>45.478697145114126</v>
      </c>
      <c r="BE124" s="12">
        <f>[1]节奏总纲!BE124</f>
        <v>50.179546324595002</v>
      </c>
      <c r="BN124" s="10"/>
    </row>
    <row r="125" spans="6:66" x14ac:dyDescent="0.15">
      <c r="F125" s="12">
        <f>[1]节奏总纲!F125</f>
        <v>123</v>
      </c>
      <c r="G125" s="12">
        <f>[1]节奏总纲!G125</f>
        <v>5041.7675170607781</v>
      </c>
      <c r="N125" s="13">
        <f>[1]节奏总纲!N125</f>
        <v>132</v>
      </c>
      <c r="O125" s="13">
        <v>122</v>
      </c>
      <c r="P125" s="13">
        <f>[1]节奏总纲!P125</f>
        <v>4704.0684620678521</v>
      </c>
      <c r="Q125" s="13">
        <f>[1]节奏总纲!Q125</f>
        <v>3986.6980216025049</v>
      </c>
      <c r="R125" s="13">
        <f>[1]节奏总纲!R125</f>
        <v>3179.9502803578685</v>
      </c>
      <c r="S125" s="13">
        <f>[1]节奏总纲!S125</f>
        <v>2267.3609987167047</v>
      </c>
      <c r="T125" s="13">
        <f>[1]节奏总纲!T125</f>
        <v>1221.1761727528144</v>
      </c>
      <c r="U125" s="13"/>
      <c r="V125" s="13">
        <v>122</v>
      </c>
      <c r="W125" s="13">
        <f>[1]节奏总纲!W125</f>
        <v>315.08435951919455</v>
      </c>
      <c r="X125" s="13">
        <f>[1]节奏总纲!X125</f>
        <v>255.18373761563635</v>
      </c>
      <c r="Y125" s="13">
        <f>[1]节奏总纲!Y125</f>
        <v>204.65795724013378</v>
      </c>
      <c r="Z125" s="13">
        <f>[1]节奏总纲!Z125</f>
        <v>148.79837241646737</v>
      </c>
      <c r="AA125" s="13">
        <f>[1]节奏总纲!AA125</f>
        <v>81.357001320928021</v>
      </c>
      <c r="AC125" s="8">
        <v>122</v>
      </c>
      <c r="AD125" s="12">
        <f>[1]节奏总纲!AD125</f>
        <v>69.416690383870588</v>
      </c>
      <c r="AE125" s="12">
        <f>[1]节奏总纲!AE125</f>
        <v>71.46402760314237</v>
      </c>
      <c r="AF125" s="12">
        <f>[1]节奏总纲!AF125</f>
        <v>74.379882962663856</v>
      </c>
      <c r="AG125" s="12">
        <f>[1]节奏总纲!AG125</f>
        <v>78.859749683945964</v>
      </c>
      <c r="AH125" s="12">
        <f>[1]节奏总纲!AH125</f>
        <v>87.840291752874009</v>
      </c>
      <c r="AZ125" s="8">
        <v>122</v>
      </c>
      <c r="BA125" s="12">
        <f>[1]节奏总纲!BA125</f>
        <v>39.358361607784026</v>
      </c>
      <c r="BB125" s="12">
        <f>[1]节奏总纲!BB125</f>
        <v>40.8682824677594</v>
      </c>
      <c r="BC125" s="12">
        <f>[1]节奏总纲!BC125</f>
        <v>42.803549244433754</v>
      </c>
      <c r="BD125" s="12">
        <f>[1]节奏总纲!BD125</f>
        <v>45.534489353169384</v>
      </c>
      <c r="BE125" s="12">
        <f>[1]节奏总纲!BE125</f>
        <v>50.233062367693357</v>
      </c>
      <c r="BN125" s="10"/>
    </row>
    <row r="126" spans="6:66" x14ac:dyDescent="0.15">
      <c r="F126" s="12">
        <f>[1]节奏总纲!F126</f>
        <v>124</v>
      </c>
      <c r="G126" s="12">
        <f>[1]节奏总纲!G126</f>
        <v>5403.704402525771</v>
      </c>
      <c r="N126" s="13">
        <f>[1]节奏总纲!N126</f>
        <v>133</v>
      </c>
      <c r="O126" s="13">
        <v>123</v>
      </c>
      <c r="P126" s="13">
        <f>[1]节奏总纲!P126</f>
        <v>5041.7675170607781</v>
      </c>
      <c r="Q126" s="13">
        <f>[1]节奏总纲!Q126</f>
        <v>4270.8812637021847</v>
      </c>
      <c r="R126" s="13">
        <f>[1]节奏总纲!R126</f>
        <v>3414.7891393052651</v>
      </c>
      <c r="S126" s="13">
        <f>[1]节奏总纲!S126</f>
        <v>2441.7280085125349</v>
      </c>
      <c r="T126" s="13">
        <f>[1]节奏总纲!T126</f>
        <v>1313.3804381943328</v>
      </c>
      <c r="U126" s="13"/>
      <c r="V126" s="13">
        <v>123</v>
      </c>
      <c r="W126" s="13">
        <f>[1]节奏总纲!W126</f>
        <v>337.69905499292599</v>
      </c>
      <c r="X126" s="13">
        <f>[1]节奏总纲!X126</f>
        <v>284.18324209967977</v>
      </c>
      <c r="Y126" s="13">
        <f>[1]节奏总纲!Y126</f>
        <v>234.8388589473966</v>
      </c>
      <c r="Z126" s="13">
        <f>[1]节奏总纲!Z126</f>
        <v>174.3670097958302</v>
      </c>
      <c r="AA126" s="13">
        <f>[1]节奏总纲!AA126</f>
        <v>92.204265441518373</v>
      </c>
      <c r="AC126" s="8">
        <v>123</v>
      </c>
      <c r="AD126" s="12">
        <f>[1]节奏总纲!AD126</f>
        <v>69.533352307096465</v>
      </c>
      <c r="AE126" s="12">
        <f>[1]节奏总纲!AE126</f>
        <v>71.581007651517908</v>
      </c>
      <c r="AF126" s="12">
        <f>[1]节奏总纲!AF126</f>
        <v>74.495110324845726</v>
      </c>
      <c r="AG126" s="12">
        <f>[1]节奏总纲!AG126</f>
        <v>78.985591562540122</v>
      </c>
      <c r="AH126" s="12">
        <f>[1]节奏总纲!AH126</f>
        <v>87.974730481330297</v>
      </c>
      <c r="AZ126" s="8">
        <v>123</v>
      </c>
      <c r="BA126" s="12">
        <f>[1]节奏总纲!BA126</f>
        <v>39.41239431449695</v>
      </c>
      <c r="BB126" s="12">
        <f>[1]节奏总纲!BB126</f>
        <v>40.926556458884193</v>
      </c>
      <c r="BC126" s="12">
        <f>[1]节奏总纲!BC126</f>
        <v>42.861403835978855</v>
      </c>
      <c r="BD126" s="12">
        <f>[1]节奏总纲!BD126</f>
        <v>45.590281561224643</v>
      </c>
      <c r="BE126" s="12">
        <f>[1]节奏总纲!BE126</f>
        <v>50.286578410791719</v>
      </c>
      <c r="BN126" s="10"/>
    </row>
    <row r="127" spans="6:66" x14ac:dyDescent="0.15">
      <c r="F127" s="12">
        <f>[1]节奏总纲!F127</f>
        <v>125</v>
      </c>
      <c r="G127" s="12">
        <f>[1]节奏总纲!G127</f>
        <v>5791.6187514801986</v>
      </c>
      <c r="N127" s="13">
        <f>[1]节奏总纲!N127</f>
        <v>134</v>
      </c>
      <c r="O127" s="13">
        <v>124</v>
      </c>
      <c r="P127" s="13">
        <f>[1]节奏总纲!P127</f>
        <v>5403.704402525771</v>
      </c>
      <c r="Q127" s="13">
        <f>[1]节奏总纲!Q127</f>
        <v>4591.5276308261473</v>
      </c>
      <c r="R127" s="13">
        <f>[1]节奏总纲!R127</f>
        <v>3670.1960301955037</v>
      </c>
      <c r="S127" s="13">
        <f>[1]节奏总纲!S127</f>
        <v>2624.0388578665143</v>
      </c>
      <c r="T127" s="13">
        <f>[1]节奏总纲!T127</f>
        <v>1415.7705534617521</v>
      </c>
      <c r="U127" s="13"/>
      <c r="V127" s="13">
        <v>124</v>
      </c>
      <c r="W127" s="13">
        <f>[1]节奏总纲!W127</f>
        <v>361.93688546499288</v>
      </c>
      <c r="X127" s="13">
        <f>[1]节奏总纲!X127</f>
        <v>320.64636712396259</v>
      </c>
      <c r="Y127" s="13">
        <f>[1]节奏总纲!Y127</f>
        <v>255.40689089023863</v>
      </c>
      <c r="Z127" s="13">
        <f>[1]节奏总纲!Z127</f>
        <v>182.31084935397939</v>
      </c>
      <c r="AA127" s="13">
        <f>[1]节奏总纲!AA127</f>
        <v>102.39011526741933</v>
      </c>
      <c r="AC127" s="8">
        <v>124</v>
      </c>
      <c r="AD127" s="12">
        <f>[1]节奏总纲!AD127</f>
        <v>69.650014230322356</v>
      </c>
      <c r="AE127" s="12">
        <f>[1]节奏总纲!AE127</f>
        <v>71.697987699893432</v>
      </c>
      <c r="AF127" s="12">
        <f>[1]节奏总纲!AF127</f>
        <v>74.610337687027609</v>
      </c>
      <c r="AG127" s="12">
        <f>[1]节奏总纲!AG127</f>
        <v>79.104601412347151</v>
      </c>
      <c r="AH127" s="12">
        <f>[1]节奏总纲!AH127</f>
        <v>88.109271506528316</v>
      </c>
      <c r="AZ127" s="8">
        <v>124</v>
      </c>
      <c r="BA127" s="12">
        <f>[1]节奏总纲!BA127</f>
        <v>39.466427021209874</v>
      </c>
      <c r="BB127" s="12">
        <f>[1]节奏总纲!BB127</f>
        <v>40.984830450008978</v>
      </c>
      <c r="BC127" s="12">
        <f>[1]节奏总纲!BC127</f>
        <v>42.919258427523964</v>
      </c>
      <c r="BD127" s="12">
        <f>[1]节奏总纲!BD127</f>
        <v>45.646073769279901</v>
      </c>
      <c r="BE127" s="12">
        <f>[1]节奏总纲!BE127</f>
        <v>50.340094453890082</v>
      </c>
      <c r="BN127" s="10"/>
    </row>
    <row r="128" spans="6:66" x14ac:dyDescent="0.15">
      <c r="F128" s="12">
        <f>[1]节奏总纲!F128</f>
        <v>126</v>
      </c>
      <c r="G128" s="12">
        <f>[1]节奏总纲!G128</f>
        <v>6207.3750564265865</v>
      </c>
      <c r="N128" s="13">
        <f>[1]节奏总纲!N128</f>
        <v>135</v>
      </c>
      <c r="O128" s="13">
        <v>125</v>
      </c>
      <c r="P128" s="13">
        <f>[1]节奏总纲!P128</f>
        <v>5791.6187514801986</v>
      </c>
      <c r="Q128" s="13">
        <f>[1]节奏总纲!Q128</f>
        <v>4918.821805632133</v>
      </c>
      <c r="R128" s="13">
        <f>[1]节奏总纲!R128</f>
        <v>3940.0382366319791</v>
      </c>
      <c r="S128" s="13">
        <f>[1]节奏总纲!S128</f>
        <v>2819.9391700957085</v>
      </c>
      <c r="T128" s="13">
        <f>[1]节奏总纲!T128</f>
        <v>1508.7166847605918</v>
      </c>
      <c r="U128" s="13"/>
      <c r="V128" s="13">
        <v>125</v>
      </c>
      <c r="W128" s="13">
        <f>[1]节奏总纲!W128</f>
        <v>387.91434895442762</v>
      </c>
      <c r="X128" s="13">
        <f>[1]节奏总纲!X128</f>
        <v>327.29417480598568</v>
      </c>
      <c r="Y128" s="13">
        <f>[1]节奏总纲!Y128</f>
        <v>269.84220643647541</v>
      </c>
      <c r="Z128" s="13">
        <f>[1]节奏总纲!Z128</f>
        <v>195.90031222919424</v>
      </c>
      <c r="AA128" s="13">
        <f>[1]节奏总纲!AA128</f>
        <v>92.946131298839646</v>
      </c>
      <c r="AC128" s="8">
        <v>125</v>
      </c>
      <c r="AD128" s="12">
        <f>[1]节奏总纲!AD128</f>
        <v>69.766676153548232</v>
      </c>
      <c r="AE128" s="12">
        <f>[1]节奏总纲!AE128</f>
        <v>71.814967748268955</v>
      </c>
      <c r="AF128" s="12">
        <f>[1]节奏总纲!AF128</f>
        <v>74.725565049209479</v>
      </c>
      <c r="AG128" s="12">
        <f>[1]节奏总纲!AG128</f>
        <v>79.222727875098187</v>
      </c>
      <c r="AH128" s="12">
        <f>[1]节奏总纲!AH128</f>
        <v>88.243836210467165</v>
      </c>
      <c r="AZ128" s="8">
        <v>125</v>
      </c>
      <c r="BA128" s="12">
        <f>[1]节奏总纲!BA128</f>
        <v>39.520459727922798</v>
      </c>
      <c r="BB128" s="12">
        <f>[1]节奏总纲!BB128</f>
        <v>41.037193447861313</v>
      </c>
      <c r="BC128" s="12">
        <f>[1]节奏总纲!BC128</f>
        <v>42.977113019069073</v>
      </c>
      <c r="BD128" s="12">
        <f>[1]节奏总纲!BD128</f>
        <v>45.701865977335167</v>
      </c>
      <c r="BE128" s="12">
        <f>[1]节奏总纲!BE128</f>
        <v>50.393610496988437</v>
      </c>
      <c r="BN128" s="10"/>
    </row>
    <row r="129" spans="6:66" x14ac:dyDescent="0.15">
      <c r="F129" s="12">
        <f>[1]节奏总纲!F129</f>
        <v>127</v>
      </c>
      <c r="G129" s="12">
        <f>[1]节奏总纲!G129</f>
        <v>6652.971630950271</v>
      </c>
      <c r="N129" s="13">
        <f>[1]节奏总纲!N129</f>
        <v>136</v>
      </c>
      <c r="O129" s="13">
        <v>126</v>
      </c>
      <c r="P129" s="13">
        <f>[1]节奏总纲!P129</f>
        <v>6207.3750564265865</v>
      </c>
      <c r="Q129" s="13">
        <f>[1]节奏总纲!Q129</f>
        <v>5281.855435513382</v>
      </c>
      <c r="R129" s="13">
        <f>[1]节奏总纲!R129</f>
        <v>4229.7053634490758</v>
      </c>
      <c r="S129" s="13">
        <f>[1]节奏总纲!S129</f>
        <v>3005.6110023217534</v>
      </c>
      <c r="T129" s="13">
        <f>[1]节奏总纲!T129</f>
        <v>1607.710139614486</v>
      </c>
      <c r="U129" s="13"/>
      <c r="V129" s="13">
        <v>126</v>
      </c>
      <c r="W129" s="13">
        <f>[1]节奏总纲!W129</f>
        <v>415.7563049463879</v>
      </c>
      <c r="X129" s="13">
        <f>[1]节奏总纲!X129</f>
        <v>363.033629881249</v>
      </c>
      <c r="Y129" s="13">
        <f>[1]节奏总纲!Y129</f>
        <v>289.66712681709669</v>
      </c>
      <c r="Z129" s="13">
        <f>[1]节奏总纲!Z129</f>
        <v>185.6718322260449</v>
      </c>
      <c r="AA129" s="13">
        <f>[1]节奏总纲!AA129</f>
        <v>98.993454853894264</v>
      </c>
      <c r="AC129" s="8">
        <v>126</v>
      </c>
      <c r="AD129" s="12">
        <f>[1]节奏总纲!AD129</f>
        <v>69.883338076774123</v>
      </c>
      <c r="AE129" s="12">
        <f>[1]节奏总纲!AE129</f>
        <v>71.931947796644479</v>
      </c>
      <c r="AF129" s="12">
        <f>[1]节奏总纲!AF129</f>
        <v>74.840792411391348</v>
      </c>
      <c r="AG129" s="12">
        <f>[1]节奏总纲!AG129</f>
        <v>79.340854337849223</v>
      </c>
      <c r="AH129" s="12">
        <f>[1]节奏总纲!AH129</f>
        <v>88.378400914406001</v>
      </c>
      <c r="AZ129" s="8">
        <v>126</v>
      </c>
      <c r="BA129" s="12">
        <f>[1]节奏总纲!BA129</f>
        <v>39.574492434635722</v>
      </c>
      <c r="BB129" s="12">
        <f>[1]节奏总纲!BB129</f>
        <v>41.087476216725996</v>
      </c>
      <c r="BC129" s="12">
        <f>[1]节奏总纲!BC129</f>
        <v>43.030177309109042</v>
      </c>
      <c r="BD129" s="12">
        <f>[1]节奏总纲!BD129</f>
        <v>45.757658185390426</v>
      </c>
      <c r="BE129" s="12">
        <f>[1]节奏总纲!BE129</f>
        <v>50.447126540086799</v>
      </c>
      <c r="BN129" s="10"/>
    </row>
    <row r="130" spans="6:66" x14ac:dyDescent="0.15">
      <c r="F130" s="12">
        <f>[1]节奏总纲!F130</f>
        <v>128</v>
      </c>
      <c r="G130" s="12">
        <f>[1]节奏总纲!G130</f>
        <v>7130.5502145218443</v>
      </c>
      <c r="N130" s="13">
        <f>[1]节奏总纲!N130</f>
        <v>137</v>
      </c>
      <c r="O130" s="13">
        <v>127</v>
      </c>
      <c r="P130" s="13">
        <f>[1]节奏总纲!P130</f>
        <v>6652.971630950271</v>
      </c>
      <c r="Q130" s="13">
        <f>[1]节奏总纲!Q130</f>
        <v>5658.3523721232059</v>
      </c>
      <c r="R130" s="13">
        <f>[1]节奏总纲!R130</f>
        <v>4507.3882799688081</v>
      </c>
      <c r="S130" s="13">
        <f>[1]节奏总纲!S130</f>
        <v>3196.752868671605</v>
      </c>
      <c r="T130" s="13">
        <f>[1]节奏总纲!T130</f>
        <v>1713.1401949696949</v>
      </c>
      <c r="U130" s="13"/>
      <c r="V130" s="13">
        <v>127</v>
      </c>
      <c r="W130" s="13">
        <f>[1]节奏总纲!W130</f>
        <v>445.59657452368447</v>
      </c>
      <c r="X130" s="13">
        <f>[1]节奏总纲!X130</f>
        <v>376.49693660982393</v>
      </c>
      <c r="Y130" s="13">
        <f>[1]节奏总纲!Y130</f>
        <v>277.68291651973232</v>
      </c>
      <c r="Z130" s="13">
        <f>[1]节奏总纲!Z130</f>
        <v>191.14186634985163</v>
      </c>
      <c r="AA130" s="13">
        <f>[1]节奏总纲!AA130</f>
        <v>105.43005535520888</v>
      </c>
      <c r="AC130" s="8">
        <v>127</v>
      </c>
      <c r="AD130" s="12">
        <f>[1]节奏总纲!AD130</f>
        <v>70</v>
      </c>
      <c r="AE130" s="12">
        <f>[1]节奏总纲!AE130</f>
        <v>72.047345051940553</v>
      </c>
      <c r="AF130" s="12">
        <f>[1]节奏总纲!AF130</f>
        <v>74.956019773573217</v>
      </c>
      <c r="AG130" s="12">
        <f>[1]节奏总纲!AG130</f>
        <v>79.458980800600258</v>
      </c>
      <c r="AH130" s="12">
        <f>[1]节奏总纲!AH130</f>
        <v>88.51296561834485</v>
      </c>
      <c r="AZ130" s="8">
        <v>127</v>
      </c>
      <c r="BA130" s="12">
        <f>[1]节奏总纲!BA130</f>
        <v>39.628525141348646</v>
      </c>
      <c r="BB130" s="12">
        <f>[1]节奏总纲!BB130</f>
        <v>41.137758985590679</v>
      </c>
      <c r="BC130" s="12">
        <f>[1]节奏总纲!BC130</f>
        <v>43.080106253688569</v>
      </c>
      <c r="BD130" s="12">
        <f>[1]节奏总纲!BD130</f>
        <v>45.813450393445684</v>
      </c>
      <c r="BE130" s="12">
        <f>[1]节奏总纲!BE130</f>
        <v>50.500642583185162</v>
      </c>
      <c r="BN130" s="10"/>
    </row>
    <row r="131" spans="6:66" x14ac:dyDescent="0.15">
      <c r="F131" s="12">
        <f>[1]节奏总纲!F131</f>
        <v>129</v>
      </c>
      <c r="G131" s="12">
        <f>[1]节奏总纲!G131</f>
        <v>7642.4062666695281</v>
      </c>
      <c r="N131" s="13">
        <f>[1]节奏总纲!N131</f>
        <v>138</v>
      </c>
      <c r="O131" s="13">
        <v>128</v>
      </c>
      <c r="P131" s="13">
        <f>[1]节奏总纲!P131</f>
        <v>7130.5502145218443</v>
      </c>
      <c r="Q131" s="13">
        <f>[1]节奏总纲!Q131</f>
        <v>6033.1585365069323</v>
      </c>
      <c r="R131" s="13">
        <f>[1]节奏总纲!R131</f>
        <v>4796.0080742873924</v>
      </c>
      <c r="S131" s="13">
        <f>[1]节奏总纲!S131</f>
        <v>3409.1160575628937</v>
      </c>
      <c r="T131" s="13">
        <f>[1]节奏总纲!T131</f>
        <v>1828.9861300248531</v>
      </c>
      <c r="U131" s="13"/>
      <c r="V131" s="13">
        <v>128</v>
      </c>
      <c r="W131" s="13">
        <f>[1]节奏总纲!W131</f>
        <v>477.57858357157329</v>
      </c>
      <c r="X131" s="13">
        <f>[1]节奏总纲!X131</f>
        <v>374.80616438372635</v>
      </c>
      <c r="Y131" s="13">
        <f>[1]节奏总纲!Y131</f>
        <v>288.61979431858435</v>
      </c>
      <c r="Z131" s="13">
        <f>[1]节奏总纲!Z131</f>
        <v>212.3631888912887</v>
      </c>
      <c r="AA131" s="13">
        <f>[1]节奏总纲!AA131</f>
        <v>115.84593505515818</v>
      </c>
      <c r="AC131" s="8">
        <v>128</v>
      </c>
      <c r="AD131" s="12">
        <f>[1]节奏总纲!AD131</f>
        <v>70.108849423225877</v>
      </c>
      <c r="AE131" s="12">
        <f>[1]节奏总纲!AE131</f>
        <v>72.160540850040434</v>
      </c>
      <c r="AF131" s="12">
        <f>[1]节奏总纲!AF131</f>
        <v>75.067682921736733</v>
      </c>
      <c r="AG131" s="12">
        <f>[1]节奏总纲!AG131</f>
        <v>79.577107263351294</v>
      </c>
      <c r="AH131" s="12">
        <f>[1]节奏总纲!AH131</f>
        <v>88.6475303222837</v>
      </c>
      <c r="AZ131" s="8">
        <v>128</v>
      </c>
      <c r="BA131" s="12">
        <f>[1]节奏总纲!BA131</f>
        <v>39.68255784806157</v>
      </c>
      <c r="BB131" s="12">
        <f>[1]节奏总纲!BB131</f>
        <v>41.188041754455355</v>
      </c>
      <c r="BC131" s="12">
        <f>[1]节奏总纲!BC131</f>
        <v>43.130035198268104</v>
      </c>
      <c r="BD131" s="12">
        <f>[1]节奏总纲!BD131</f>
        <v>45.869242601500943</v>
      </c>
      <c r="BE131" s="12">
        <f>[1]节奏总纲!BE131</f>
        <v>50.554158626283517</v>
      </c>
      <c r="BN131" s="10"/>
    </row>
    <row r="132" spans="6:66" x14ac:dyDescent="0.15">
      <c r="F132" s="12">
        <f>[1]节奏总纲!F132</f>
        <v>130</v>
      </c>
      <c r="G132" s="12">
        <f>[1]节奏总纲!G132</f>
        <v>8191</v>
      </c>
      <c r="N132" s="13">
        <f>[1]节奏总纲!N132</f>
        <v>139</v>
      </c>
      <c r="O132" s="13">
        <v>129</v>
      </c>
      <c r="P132" s="13">
        <f>[1]节奏总纲!P132</f>
        <v>7642.4062666695281</v>
      </c>
      <c r="Q132" s="13">
        <f>[1]节奏总纲!Q132</f>
        <v>6463.18297972242</v>
      </c>
      <c r="R132" s="13">
        <f>[1]节奏总纲!R132</f>
        <v>5148.6891018552606</v>
      </c>
      <c r="S132" s="13">
        <f>[1]节奏总纲!S132</f>
        <v>3666.0622861213728</v>
      </c>
      <c r="T132" s="13">
        <f>[1]节奏总纲!T132</f>
        <v>1967.9196136674036</v>
      </c>
      <c r="U132" s="13"/>
      <c r="V132" s="13">
        <v>129</v>
      </c>
      <c r="W132" s="13">
        <f>[1]节奏总纲!W132</f>
        <v>511.85605214768384</v>
      </c>
      <c r="X132" s="13">
        <f>[1]节奏总纲!X132</f>
        <v>430.02444321548774</v>
      </c>
      <c r="Y132" s="13">
        <f>[1]节奏总纲!Y132</f>
        <v>352.68102756786811</v>
      </c>
      <c r="Z132" s="13">
        <f>[1]节奏总纲!Z132</f>
        <v>256.94622855847911</v>
      </c>
      <c r="AA132" s="13">
        <f>[1]节奏总纲!AA132</f>
        <v>138.93348364255053</v>
      </c>
      <c r="AC132" s="8">
        <v>129</v>
      </c>
      <c r="AD132" s="12">
        <f>[1]节奏总纲!AD132</f>
        <v>70.217698846451768</v>
      </c>
      <c r="AE132" s="12">
        <f>[1]节奏总纲!AE132</f>
        <v>72.273736648140314</v>
      </c>
      <c r="AF132" s="12">
        <f>[1]节奏总纲!AF132</f>
        <v>75.177145912126889</v>
      </c>
      <c r="AG132" s="12">
        <f>[1]节奏总纲!AG132</f>
        <v>79.69523372610233</v>
      </c>
      <c r="AH132" s="12">
        <f>[1]节奏总纲!AH132</f>
        <v>88.782095026222549</v>
      </c>
      <c r="AZ132" s="8">
        <v>129</v>
      </c>
      <c r="BA132" s="12">
        <f>[1]节奏总纲!BA132</f>
        <v>39.736590554774494</v>
      </c>
      <c r="BB132" s="12">
        <f>[1]节奏总纲!BB132</f>
        <v>41.238324523320038</v>
      </c>
      <c r="BC132" s="12">
        <f>[1]节奏总纲!BC132</f>
        <v>43.179964142847631</v>
      </c>
      <c r="BD132" s="12">
        <f>[1]节奏总纲!BD132</f>
        <v>45.925034809556202</v>
      </c>
      <c r="BE132" s="12">
        <f>[1]节奏总纲!BE132</f>
        <v>50.607674669381879</v>
      </c>
      <c r="BN132" s="10"/>
    </row>
    <row r="133" spans="6:66" x14ac:dyDescent="0.15">
      <c r="F133" s="12">
        <f>[1]节奏总纲!F133</f>
        <v>131</v>
      </c>
      <c r="G133" s="12">
        <f>[1]节奏总纲!G133</f>
        <v>8778.9682050973151</v>
      </c>
      <c r="N133" s="13">
        <f>[1]节奏总纲!N133</f>
        <v>140</v>
      </c>
      <c r="O133" s="13">
        <v>130</v>
      </c>
      <c r="P133" s="13">
        <f>[1]节奏总纲!P133</f>
        <v>8191</v>
      </c>
      <c r="Q133" s="13">
        <f>[1]节奏总纲!Q133</f>
        <v>6940.2343000000001</v>
      </c>
      <c r="R133" s="13">
        <f>[1]节奏总纲!R133</f>
        <v>5535.4777999999997</v>
      </c>
      <c r="S133" s="13">
        <f>[1]节奏总纲!S133</f>
        <v>3951.3384000000001</v>
      </c>
      <c r="T133" s="13">
        <f>[1]节奏总纲!T133</f>
        <v>2123.1071999999999</v>
      </c>
      <c r="U133" s="13"/>
      <c r="V133" s="13">
        <v>130</v>
      </c>
      <c r="W133" s="13">
        <f>[1]节奏总纲!W133</f>
        <v>548.59373333047188</v>
      </c>
      <c r="X133" s="13">
        <f>[1]节奏总纲!X133</f>
        <v>477.05132027758009</v>
      </c>
      <c r="Y133" s="13">
        <f>[1]节奏总纲!Y133</f>
        <v>386.7886981447391</v>
      </c>
      <c r="Z133" s="13">
        <f>[1]节奏总纲!Z133</f>
        <v>285.27611387862726</v>
      </c>
      <c r="AA133" s="13">
        <f>[1]节奏总纲!AA133</f>
        <v>155.18758633259631</v>
      </c>
      <c r="AC133" s="8">
        <v>130</v>
      </c>
      <c r="AD133" s="12">
        <f>[1]节奏总纲!AD133</f>
        <v>70.326548269677644</v>
      </c>
      <c r="AE133" s="12">
        <f>[1]节奏总纲!AE133</f>
        <v>72.386932446240195</v>
      </c>
      <c r="AF133" s="12">
        <f>[1]节奏总纲!AF133</f>
        <v>75.286608902517045</v>
      </c>
      <c r="AG133" s="12">
        <f>[1]节奏总纲!AG133</f>
        <v>79.813360188853366</v>
      </c>
      <c r="AH133" s="12">
        <f>[1]节奏总纲!AH133</f>
        <v>88.916659730161399</v>
      </c>
      <c r="AZ133" s="8">
        <v>130</v>
      </c>
      <c r="BA133" s="12">
        <f>[1]节奏总纲!BA133</f>
        <v>39.790623261487418</v>
      </c>
      <c r="BB133" s="12">
        <f>[1]节奏总纲!BB133</f>
        <v>41.288607292184714</v>
      </c>
      <c r="BC133" s="12">
        <f>[1]节奏总纲!BC133</f>
        <v>43.229893087427158</v>
      </c>
      <c r="BD133" s="12">
        <f>[1]节奏总纲!BD133</f>
        <v>45.98082701761146</v>
      </c>
      <c r="BE133" s="12">
        <f>[1]节奏总纲!BE133</f>
        <v>50.661190712480241</v>
      </c>
      <c r="BN133" s="10"/>
    </row>
    <row r="134" spans="6:66" x14ac:dyDescent="0.15">
      <c r="F134" s="12">
        <f>[1]节奏总纲!F134</f>
        <v>132</v>
      </c>
      <c r="G134" s="12">
        <f>[1]节奏总纲!G134</f>
        <v>9409.1369241357042</v>
      </c>
      <c r="N134" s="13">
        <f>[1]节奏总纲!N134</f>
        <v>141</v>
      </c>
      <c r="O134" s="13">
        <v>131</v>
      </c>
      <c r="P134" s="13">
        <f>[1]节奏总纲!P134</f>
        <v>8778.9682050973151</v>
      </c>
      <c r="Q134" s="13">
        <f>[1]节奏总纲!Q134</f>
        <v>7443.6871411020138</v>
      </c>
      <c r="R134" s="13">
        <f>[1]节奏总纲!R134</f>
        <v>5941.6056812098623</v>
      </c>
      <c r="S134" s="13">
        <f>[1]节奏总纲!S134</f>
        <v>4246.3869208055712</v>
      </c>
      <c r="T134" s="13">
        <f>[1]节奏总纲!T134</f>
        <v>2275.5085587612239</v>
      </c>
      <c r="U134" s="13"/>
      <c r="V134" s="13">
        <v>131</v>
      </c>
      <c r="W134" s="13">
        <f>[1]节奏总纲!W134</f>
        <v>587.96820509731515</v>
      </c>
      <c r="X134" s="13">
        <f>[1]节奏总纲!X134</f>
        <v>503.45284110201374</v>
      </c>
      <c r="Y134" s="13">
        <f>[1]节奏总纲!Y134</f>
        <v>406.12788120986261</v>
      </c>
      <c r="Z134" s="13">
        <f>[1]节奏总纲!Z134</f>
        <v>295.04852080557112</v>
      </c>
      <c r="AA134" s="13">
        <f>[1]节奏总纲!AA134</f>
        <v>152.40135876122395</v>
      </c>
      <c r="AC134" s="8">
        <v>131</v>
      </c>
      <c r="AD134" s="12">
        <f>[1]节奏总纲!AD134</f>
        <v>70.435397692903535</v>
      </c>
      <c r="AE134" s="12">
        <f>[1]节奏总纲!AE134</f>
        <v>72.50012824434009</v>
      </c>
      <c r="AF134" s="12">
        <f>[1]节奏总纲!AF134</f>
        <v>75.396071892907202</v>
      </c>
      <c r="AG134" s="12">
        <f>[1]节奏总纲!AG134</f>
        <v>79.931486651604402</v>
      </c>
      <c r="AH134" s="12">
        <f>[1]节奏总纲!AH134</f>
        <v>89.048420729369383</v>
      </c>
      <c r="AZ134" s="8">
        <v>131</v>
      </c>
      <c r="BA134" s="12">
        <f>[1]节奏总纲!BA134</f>
        <v>39.844655968200342</v>
      </c>
      <c r="BB134" s="12">
        <f>[1]节奏总纲!BB134</f>
        <v>41.338890061049398</v>
      </c>
      <c r="BC134" s="12">
        <f>[1]节奏总纲!BC134</f>
        <v>43.279822032006692</v>
      </c>
      <c r="BD134" s="12">
        <f>[1]节奏总纲!BD134</f>
        <v>46.031609894814238</v>
      </c>
      <c r="BE134" s="12">
        <f>[1]节奏总纲!BE134</f>
        <v>50.714706755578604</v>
      </c>
      <c r="BN134" s="10"/>
    </row>
    <row r="135" spans="6:66" x14ac:dyDescent="0.15">
      <c r="F135" s="12">
        <f>[1]节奏总纲!F135</f>
        <v>133</v>
      </c>
      <c r="G135" s="12">
        <f>[1]节奏总纲!G135</f>
        <v>10084.535034121556</v>
      </c>
      <c r="N135" s="13">
        <f>[1]节奏总纲!N135</f>
        <v>142</v>
      </c>
      <c r="O135" s="13">
        <v>132</v>
      </c>
      <c r="P135" s="13">
        <f>[1]节奏总纲!P135</f>
        <v>9409.1369241357042</v>
      </c>
      <c r="Q135" s="13">
        <f>[1]节奏总纲!Q135</f>
        <v>7983.6526801291457</v>
      </c>
      <c r="R135" s="13">
        <f>[1]节奏总纲!R135</f>
        <v>6387.8630577957292</v>
      </c>
      <c r="S135" s="13">
        <f>[1]节奏总纲!S135</f>
        <v>4544.6131343575453</v>
      </c>
      <c r="T135" s="13">
        <f>[1]节奏总纲!T135</f>
        <v>2427.557326427012</v>
      </c>
      <c r="U135" s="13"/>
      <c r="V135" s="13">
        <v>132</v>
      </c>
      <c r="W135" s="13">
        <f>[1]节奏总纲!W135</f>
        <v>630.1687190383891</v>
      </c>
      <c r="X135" s="13">
        <f>[1]节奏总纲!X135</f>
        <v>539.96553902713185</v>
      </c>
      <c r="Y135" s="13">
        <f>[1]节奏总纲!Y135</f>
        <v>446.25737658586695</v>
      </c>
      <c r="Z135" s="13">
        <f>[1]节奏总纲!Z135</f>
        <v>298.22621355197407</v>
      </c>
      <c r="AA135" s="13">
        <f>[1]节奏总纲!AA135</f>
        <v>152.04876766578809</v>
      </c>
      <c r="AC135" s="8">
        <v>132</v>
      </c>
      <c r="AD135" s="12">
        <f>[1]节奏总纲!AD135</f>
        <v>70.544247116129412</v>
      </c>
      <c r="AE135" s="12">
        <f>[1]节奏总纲!AE135</f>
        <v>72.61332404243997</v>
      </c>
      <c r="AF135" s="12">
        <f>[1]节奏总纲!AF135</f>
        <v>75.505534883297358</v>
      </c>
      <c r="AG135" s="12">
        <f>[1]节奏总纲!AG135</f>
        <v>80.045750258986601</v>
      </c>
      <c r="AH135" s="12">
        <f>[1]节奏总纲!AH135</f>
        <v>89.175620204122851</v>
      </c>
      <c r="AZ135" s="8">
        <v>132</v>
      </c>
      <c r="BA135" s="12">
        <f>[1]节奏总纲!BA135</f>
        <v>39.898688674913267</v>
      </c>
      <c r="BB135" s="12">
        <f>[1]节奏总纲!BB135</f>
        <v>41.389172829914081</v>
      </c>
      <c r="BC135" s="12">
        <f>[1]节奏总纲!BC135</f>
        <v>43.329750976586219</v>
      </c>
      <c r="BD135" s="12">
        <f>[1]节奏总纲!BD135</f>
        <v>46.079770001861057</v>
      </c>
      <c r="BE135" s="12">
        <f>[1]节奏总纲!BE135</f>
        <v>50.768222798676959</v>
      </c>
      <c r="BN135" s="10"/>
    </row>
    <row r="136" spans="6:66" x14ac:dyDescent="0.15">
      <c r="F136" s="12">
        <f>[1]节奏总纲!F136</f>
        <v>134</v>
      </c>
      <c r="G136" s="12">
        <f>[1]节奏总纲!G136</f>
        <v>10808.408805051544</v>
      </c>
      <c r="N136" s="13">
        <f>[1]节奏总纲!N136</f>
        <v>143</v>
      </c>
      <c r="O136" s="13">
        <v>133</v>
      </c>
      <c r="P136" s="13">
        <f>[1]节奏总纲!P136</f>
        <v>10084.535034121556</v>
      </c>
      <c r="Q136" s="13">
        <f>[1]节奏总纲!Q136</f>
        <v>8562.7786974726132</v>
      </c>
      <c r="R136" s="13">
        <f>[1]节奏总纲!R136</f>
        <v>6827.2302181002942</v>
      </c>
      <c r="S136" s="13">
        <f>[1]节奏总纲!S136</f>
        <v>4843.6021768885839</v>
      </c>
      <c r="T136" s="13">
        <f>[1]节奏总纲!T136</f>
        <v>2583.6578757419425</v>
      </c>
      <c r="U136" s="13"/>
      <c r="V136" s="13">
        <v>133</v>
      </c>
      <c r="W136" s="13">
        <f>[1]节奏总纲!W136</f>
        <v>675.39810998585199</v>
      </c>
      <c r="X136" s="13">
        <f>[1]节奏总纲!X136</f>
        <v>579.12601734346754</v>
      </c>
      <c r="Y136" s="13">
        <f>[1]节奏总纲!Y136</f>
        <v>439.367160304565</v>
      </c>
      <c r="Z136" s="13">
        <f>[1]节奏总纲!Z136</f>
        <v>298.98904253103865</v>
      </c>
      <c r="AA136" s="13">
        <f>[1]节奏总纲!AA136</f>
        <v>156.1005493149305</v>
      </c>
      <c r="AC136" s="8">
        <v>133</v>
      </c>
      <c r="AD136" s="12">
        <f>[1]节奏总纲!AD136</f>
        <v>70.653096539355303</v>
      </c>
      <c r="AE136" s="12">
        <f>[1]节奏总纲!AE136</f>
        <v>72.726519840539851</v>
      </c>
      <c r="AF136" s="12">
        <f>[1]节奏总纲!AF136</f>
        <v>75.614997873687514</v>
      </c>
      <c r="AG136" s="12">
        <f>[1]节奏总纲!AG136</f>
        <v>80.154679447049915</v>
      </c>
      <c r="AH136" s="12">
        <f>[1]节奏总纲!AH136</f>
        <v>89.302819678876304</v>
      </c>
      <c r="AZ136" s="8">
        <v>133</v>
      </c>
      <c r="BA136" s="12">
        <f>[1]节奏总纲!BA136</f>
        <v>39.952721381626191</v>
      </c>
      <c r="BB136" s="12">
        <f>[1]节奏总纲!BB136</f>
        <v>41.439455598778757</v>
      </c>
      <c r="BC136" s="12">
        <f>[1]节奏总纲!BC136</f>
        <v>43.379679921165753</v>
      </c>
      <c r="BD136" s="12">
        <f>[1]节奏总纲!BD136</f>
        <v>46.127930108907876</v>
      </c>
      <c r="BE136" s="12">
        <f>[1]节奏总纲!BE136</f>
        <v>50.821738841775321</v>
      </c>
      <c r="BN136" s="10"/>
    </row>
    <row r="137" spans="6:66" x14ac:dyDescent="0.15">
      <c r="F137" s="12">
        <f>[1]节奏总纲!F137</f>
        <v>135</v>
      </c>
      <c r="G137" s="12">
        <f>[1]节奏总纲!G137</f>
        <v>11584.237502960397</v>
      </c>
      <c r="N137" s="13">
        <f>[1]节奏总纲!N137</f>
        <v>144</v>
      </c>
      <c r="O137" s="13">
        <v>134</v>
      </c>
      <c r="P137" s="13">
        <f>[1]节奏总纲!P137</f>
        <v>10808.408805051544</v>
      </c>
      <c r="Q137" s="13">
        <f>[1]节奏总纲!Q137</f>
        <v>9151.4797352371424</v>
      </c>
      <c r="R137" s="13">
        <f>[1]节奏总纲!R137</f>
        <v>7268.654921397163</v>
      </c>
      <c r="S137" s="13">
        <f>[1]节奏总纲!S137</f>
        <v>5162.0960452926174</v>
      </c>
      <c r="T137" s="13">
        <f>[1]节奏总纲!T137</f>
        <v>2762.6292905711744</v>
      </c>
      <c r="U137" s="13"/>
      <c r="V137" s="13">
        <v>134</v>
      </c>
      <c r="W137" s="13">
        <f>[1]节奏总纲!W137</f>
        <v>723.87377092998759</v>
      </c>
      <c r="X137" s="13">
        <f>[1]节奏总纲!X137</f>
        <v>588.70103776452925</v>
      </c>
      <c r="Y137" s="13">
        <f>[1]节奏总纲!Y137</f>
        <v>441.42470329686876</v>
      </c>
      <c r="Z137" s="13">
        <f>[1]节奏总纲!Z137</f>
        <v>318.49386840403349</v>
      </c>
      <c r="AA137" s="13">
        <f>[1]节奏总纲!AA137</f>
        <v>178.97141482923189</v>
      </c>
      <c r="AC137" s="8">
        <v>134</v>
      </c>
      <c r="AD137" s="12">
        <f>[1]节奏总纲!AD137</f>
        <v>70.76194596258118</v>
      </c>
      <c r="AE137" s="12">
        <f>[1]节奏总纲!AE137</f>
        <v>72.839715638639731</v>
      </c>
      <c r="AF137" s="12">
        <f>[1]节奏总纲!AF137</f>
        <v>75.72446086407767</v>
      </c>
      <c r="AG137" s="12">
        <f>[1]节奏总纲!AG137</f>
        <v>80.263608635113243</v>
      </c>
      <c r="AH137" s="12">
        <f>[1]节奏总纲!AH137</f>
        <v>89.430019153629758</v>
      </c>
      <c r="AZ137" s="8">
        <v>134</v>
      </c>
      <c r="BA137" s="12">
        <f>[1]节奏总纲!BA137</f>
        <v>40.005827399112476</v>
      </c>
      <c r="BB137" s="12">
        <f>[1]节奏总纲!BB137</f>
        <v>41.48973836764344</v>
      </c>
      <c r="BC137" s="12">
        <f>[1]节奏总纲!BC137</f>
        <v>43.42960886574528</v>
      </c>
      <c r="BD137" s="12">
        <f>[1]节奏总纲!BD137</f>
        <v>46.176090215954694</v>
      </c>
      <c r="BE137" s="12">
        <f>[1]节奏总纲!BE137</f>
        <v>50.875254884873684</v>
      </c>
      <c r="BN137" s="10"/>
    </row>
    <row r="138" spans="6:66" x14ac:dyDescent="0.15">
      <c r="F138" s="12">
        <f>[1]节奏总纲!F138</f>
        <v>136</v>
      </c>
      <c r="G138" s="12">
        <f>[1]节奏总纲!G138</f>
        <v>12415.750112853173</v>
      </c>
      <c r="N138" s="13">
        <f>[1]节奏总纲!N138</f>
        <v>145</v>
      </c>
      <c r="O138" s="13">
        <v>135</v>
      </c>
      <c r="P138" s="13">
        <f>[1]节奏总纲!P138</f>
        <v>11584.237502960397</v>
      </c>
      <c r="Q138" s="13">
        <f>[1]节奏总纲!Q138</f>
        <v>9780.5717237494646</v>
      </c>
      <c r="R138" s="13">
        <f>[1]节奏总纲!R138</f>
        <v>7779.9739069882025</v>
      </c>
      <c r="S138" s="13">
        <f>[1]节奏总纲!S138</f>
        <v>5532.6318314138862</v>
      </c>
      <c r="T138" s="13">
        <f>[1]节奏总纲!T138</f>
        <v>2965.5648007578616</v>
      </c>
      <c r="U138" s="13"/>
      <c r="V138" s="13">
        <v>135</v>
      </c>
      <c r="W138" s="13">
        <f>[1]节奏总纲!W138</f>
        <v>775.82869790885343</v>
      </c>
      <c r="X138" s="13">
        <f>[1]节奏总纲!X138</f>
        <v>629.09198851232213</v>
      </c>
      <c r="Y138" s="13">
        <f>[1]节奏总纲!Y138</f>
        <v>511.31898559103956</v>
      </c>
      <c r="Z138" s="13">
        <f>[1]节奏总纲!Z138</f>
        <v>370.53578612126876</v>
      </c>
      <c r="AA138" s="13">
        <f>[1]节奏总纲!AA138</f>
        <v>202.93551018668722</v>
      </c>
      <c r="AC138" s="8">
        <v>135</v>
      </c>
      <c r="AD138" s="12">
        <f>[1]节奏总纲!AD138</f>
        <v>70.870795385807057</v>
      </c>
      <c r="AE138" s="12">
        <f>[1]节奏总纲!AE138</f>
        <v>72.952911436739612</v>
      </c>
      <c r="AF138" s="12">
        <f>[1]节奏总纲!AF138</f>
        <v>75.833923854467812</v>
      </c>
      <c r="AG138" s="12">
        <f>[1]节奏总纲!AG138</f>
        <v>80.372537823176572</v>
      </c>
      <c r="AH138" s="12">
        <f>[1]节奏总纲!AH138</f>
        <v>89.557218628383211</v>
      </c>
      <c r="AZ138" s="8">
        <v>135</v>
      </c>
      <c r="BA138" s="12">
        <f>[1]节奏总纲!BA138</f>
        <v>40.052446592012309</v>
      </c>
      <c r="BB138" s="12">
        <f>[1]节奏总纲!BB138</f>
        <v>41.540021136508116</v>
      </c>
      <c r="BC138" s="12">
        <f>[1]节奏总纲!BC138</f>
        <v>43.479537810324814</v>
      </c>
      <c r="BD138" s="12">
        <f>[1]节奏总纲!BD138</f>
        <v>46.224250323001513</v>
      </c>
      <c r="BE138" s="12">
        <f>[1]节奏总纲!BE138</f>
        <v>50.928770927972039</v>
      </c>
      <c r="BN138" s="10"/>
    </row>
    <row r="139" spans="6:66" x14ac:dyDescent="0.15">
      <c r="F139" s="12">
        <f>[1]节奏总纲!F139</f>
        <v>137</v>
      </c>
      <c r="G139" s="12">
        <f>[1]节奏总纲!G139</f>
        <v>13306.943261900544</v>
      </c>
      <c r="N139" s="13">
        <f>[1]节奏总纲!N139</f>
        <v>146</v>
      </c>
      <c r="O139" s="13">
        <v>136</v>
      </c>
      <c r="P139" s="13">
        <f>[1]节奏总纲!P139</f>
        <v>12415.750112853173</v>
      </c>
      <c r="Q139" s="13">
        <f>[1]节奏总纲!Q139</f>
        <v>10502.4830204625</v>
      </c>
      <c r="R139" s="13">
        <f>[1]节奏总纲!R139</f>
        <v>8371.9403010968945</v>
      </c>
      <c r="S139" s="13">
        <f>[1]节奏总纲!S139</f>
        <v>5949.627454079241</v>
      </c>
      <c r="T139" s="13">
        <f>[1]节奏总纲!T139</f>
        <v>3194.5725040371212</v>
      </c>
      <c r="U139" s="13"/>
      <c r="V139" s="13">
        <v>136</v>
      </c>
      <c r="W139" s="13">
        <f>[1]节奏总纲!W139</f>
        <v>831.5126098927758</v>
      </c>
      <c r="X139" s="13">
        <f>[1]节奏总纲!X139</f>
        <v>721.91129671303497</v>
      </c>
      <c r="Y139" s="13">
        <f>[1]节奏总纲!Y139</f>
        <v>591.96639410869193</v>
      </c>
      <c r="Z139" s="13">
        <f>[1]节奏总纲!Z139</f>
        <v>416.99562266535486</v>
      </c>
      <c r="AA139" s="13">
        <f>[1]节奏总纲!AA139</f>
        <v>229.00770327925966</v>
      </c>
      <c r="AC139" s="8">
        <v>136</v>
      </c>
      <c r="AD139" s="12">
        <f>[1]节奏总纲!AD139</f>
        <v>70.979644809032948</v>
      </c>
      <c r="AE139" s="12">
        <f>[1]节奏总纲!AE139</f>
        <v>73.059911975288244</v>
      </c>
      <c r="AF139" s="12">
        <f>[1]节奏总纲!AF139</f>
        <v>75.943386844857969</v>
      </c>
      <c r="AG139" s="12">
        <f>[1]节奏总纲!AG139</f>
        <v>80.4814670112399</v>
      </c>
      <c r="AH139" s="12">
        <f>[1]节奏总纲!AH139</f>
        <v>89.684418103136665</v>
      </c>
      <c r="AZ139" s="8">
        <v>136</v>
      </c>
      <c r="BA139" s="12">
        <f>[1]节奏总纲!BA139</f>
        <v>40.099065784912149</v>
      </c>
      <c r="BB139" s="12">
        <f>[1]节奏总纲!BB139</f>
        <v>41.590303905372799</v>
      </c>
      <c r="BC139" s="12">
        <f>[1]节奏总纲!BC139</f>
        <v>43.529466754904341</v>
      </c>
      <c r="BD139" s="12">
        <f>[1]节奏总纲!BD139</f>
        <v>46.272410430048332</v>
      </c>
      <c r="BE139" s="12">
        <f>[1]节奏总纲!BE139</f>
        <v>50.982286971070401</v>
      </c>
      <c r="BN139" s="10"/>
    </row>
    <row r="140" spans="6:66" x14ac:dyDescent="0.15">
      <c r="F140" s="12">
        <f>[1]节奏总纲!F140</f>
        <v>138</v>
      </c>
      <c r="G140" s="12">
        <f>[1]节奏总纲!G140</f>
        <v>14262.10042904369</v>
      </c>
      <c r="N140" s="13">
        <f>[1]节奏总纲!N140</f>
        <v>147</v>
      </c>
      <c r="O140" s="13">
        <v>137</v>
      </c>
      <c r="P140" s="13">
        <f>[1]节奏总纲!P140</f>
        <v>13306.943261900544</v>
      </c>
      <c r="Q140" s="13">
        <f>[1]节奏总纲!Q140</f>
        <v>11264.327471198811</v>
      </c>
      <c r="R140" s="13">
        <f>[1]节奏总纲!R140</f>
        <v>8987.5094790876265</v>
      </c>
      <c r="S140" s="13">
        <f>[1]节奏总纲!S140</f>
        <v>6407.293180605112</v>
      </c>
      <c r="T140" s="13">
        <f>[1]节奏总纲!T140</f>
        <v>3433.1913615703402</v>
      </c>
      <c r="U140" s="13"/>
      <c r="V140" s="13">
        <v>137</v>
      </c>
      <c r="W140" s="13">
        <f>[1]节奏总纲!W140</f>
        <v>891.19314904737075</v>
      </c>
      <c r="X140" s="13">
        <f>[1]节奏总纲!X140</f>
        <v>761.84445073631105</v>
      </c>
      <c r="Y140" s="13">
        <f>[1]节奏总纲!Y140</f>
        <v>615.56917799073199</v>
      </c>
      <c r="Z140" s="13">
        <f>[1]节奏总纲!Z140</f>
        <v>457.66572652587092</v>
      </c>
      <c r="AA140" s="13">
        <f>[1]节奏总纲!AA140</f>
        <v>238.61885753321894</v>
      </c>
      <c r="AC140" s="8">
        <v>137</v>
      </c>
      <c r="AD140" s="12">
        <f>[1]节奏总纲!AD140</f>
        <v>71.082568038258202</v>
      </c>
      <c r="AE140" s="12">
        <f>[1]节奏总纲!AE140</f>
        <v>73.162499594857536</v>
      </c>
      <c r="AF140" s="12">
        <f>[1]节奏总纲!AF140</f>
        <v>76.048210495050611</v>
      </c>
      <c r="AG140" s="12">
        <f>[1]节奏总纲!AG140</f>
        <v>80.590396199303228</v>
      </c>
      <c r="AH140" s="12">
        <f>[1]节奏总纲!AH140</f>
        <v>89.811617577890132</v>
      </c>
      <c r="AZ140" s="8">
        <v>137</v>
      </c>
      <c r="BA140" s="12">
        <f>[1]节奏总纲!BA140</f>
        <v>40.145684977811982</v>
      </c>
      <c r="BB140" s="12">
        <f>[1]节奏总纲!BB140</f>
        <v>41.640586674237483</v>
      </c>
      <c r="BC140" s="12">
        <f>[1]节奏总纲!BC140</f>
        <v>43.579395699483875</v>
      </c>
      <c r="BD140" s="12">
        <f>[1]节奏总纲!BD140</f>
        <v>46.320570537095151</v>
      </c>
      <c r="BE140" s="12">
        <f>[1]节奏总纲!BE140</f>
        <v>51.030916192165336</v>
      </c>
      <c r="BN140" s="10"/>
    </row>
    <row r="141" spans="6:66" x14ac:dyDescent="0.15">
      <c r="F141" s="12">
        <f>[1]节奏总纲!F141</f>
        <v>139</v>
      </c>
      <c r="G141" s="12">
        <f>[1]节奏总纲!G141</f>
        <v>15285.812533339058</v>
      </c>
      <c r="N141" s="13">
        <f>[1]节奏总纲!N141</f>
        <v>148</v>
      </c>
      <c r="O141" s="13">
        <v>138</v>
      </c>
      <c r="P141" s="13">
        <f>[1]节奏总纲!P141</f>
        <v>14262.10042904369</v>
      </c>
      <c r="Q141" s="13">
        <f>[1]节奏总纲!Q141</f>
        <v>12081.42527344291</v>
      </c>
      <c r="R141" s="13">
        <f>[1]节奏总纲!R141</f>
        <v>9648.3109402480568</v>
      </c>
      <c r="S141" s="13">
        <f>[1]节奏总纲!S141</f>
        <v>6871.4799867132497</v>
      </c>
      <c r="T141" s="13">
        <f>[1]节奏总纲!T141</f>
        <v>3665.3598102642286</v>
      </c>
      <c r="U141" s="13"/>
      <c r="V141" s="13">
        <v>138</v>
      </c>
      <c r="W141" s="13">
        <f>[1]节奏总纲!W141</f>
        <v>955.15716714314658</v>
      </c>
      <c r="X141" s="13">
        <f>[1]节奏总纲!X141</f>
        <v>817.09780224409951</v>
      </c>
      <c r="Y141" s="13">
        <f>[1]节奏总纲!Y141</f>
        <v>660.80146116043034</v>
      </c>
      <c r="Z141" s="13">
        <f>[1]节奏总纲!Z141</f>
        <v>464.18680610813772</v>
      </c>
      <c r="AA141" s="13">
        <f>[1]节奏总纲!AA141</f>
        <v>232.16844869388842</v>
      </c>
      <c r="AC141" s="8">
        <v>138</v>
      </c>
      <c r="AD141" s="12">
        <f>[1]节奏总纲!AD141</f>
        <v>71.184128141237707</v>
      </c>
      <c r="AE141" s="12">
        <f>[1]节奏总纲!AE141</f>
        <v>73.265087214426828</v>
      </c>
      <c r="AF141" s="12">
        <f>[1]节奏总纲!AF141</f>
        <v>76.148064447889894</v>
      </c>
      <c r="AG141" s="12">
        <f>[1]节奏总纲!AG141</f>
        <v>80.699325387366557</v>
      </c>
      <c r="AH141" s="12">
        <f>[1]节奏总纲!AH141</f>
        <v>89.938817052643586</v>
      </c>
      <c r="AZ141" s="8">
        <v>138</v>
      </c>
      <c r="BA141" s="12">
        <f>[1]节奏总纲!BA141</f>
        <v>40.192304170711814</v>
      </c>
      <c r="BB141" s="12">
        <f>[1]节奏总纲!BB141</f>
        <v>41.690869443102159</v>
      </c>
      <c r="BC141" s="12">
        <f>[1]节奏总纲!BC141</f>
        <v>43.629324644063402</v>
      </c>
      <c r="BD141" s="12">
        <f>[1]节奏总纲!BD141</f>
        <v>46.368730644141969</v>
      </c>
      <c r="BE141" s="12">
        <f>[1]节奏总纲!BE141</f>
        <v>51.077127728003028</v>
      </c>
      <c r="BN141" s="10"/>
    </row>
    <row r="142" spans="6:66" x14ac:dyDescent="0.15">
      <c r="F142" s="12">
        <f>[1]节奏总纲!F142</f>
        <v>140</v>
      </c>
      <c r="G142" s="12">
        <f>[1]节奏总纲!G142</f>
        <v>16383</v>
      </c>
      <c r="N142" s="13">
        <f>[1]节奏总纲!N142</f>
        <v>149</v>
      </c>
      <c r="O142" s="13">
        <v>139</v>
      </c>
      <c r="P142" s="13">
        <f>[1]节奏总纲!P142</f>
        <v>15285.812533339058</v>
      </c>
      <c r="Q142" s="13">
        <f>[1]节奏总纲!Q142</f>
        <v>12957.783284511519</v>
      </c>
      <c r="R142" s="13">
        <f>[1]节奏总纲!R142</f>
        <v>10342.380760057207</v>
      </c>
      <c r="S142" s="13">
        <f>[1]节奏总纲!S142</f>
        <v>7323.4327847227432</v>
      </c>
      <c r="T142" s="13">
        <f>[1]节奏总纲!T142</f>
        <v>3902.4679397614618</v>
      </c>
      <c r="U142" s="13"/>
      <c r="V142" s="13">
        <v>139</v>
      </c>
      <c r="W142" s="13">
        <f>[1]节奏总纲!W142</f>
        <v>1023.7121042953677</v>
      </c>
      <c r="X142" s="13">
        <f>[1]节奏总纲!X142</f>
        <v>876.3580110686089</v>
      </c>
      <c r="Y142" s="13">
        <f>[1]节奏总纲!Y142</f>
        <v>694.06981980915043</v>
      </c>
      <c r="Z142" s="13">
        <f>[1]节奏总纲!Z142</f>
        <v>451.95279800949356</v>
      </c>
      <c r="AA142" s="13">
        <f>[1]节奏总纲!AA142</f>
        <v>237.10812949723322</v>
      </c>
      <c r="AC142" s="8">
        <v>139</v>
      </c>
      <c r="AD142" s="12">
        <f>[1]节奏总纲!AD142</f>
        <v>71.285688244217212</v>
      </c>
      <c r="AE142" s="12">
        <f>[1]节奏总纲!AE142</f>
        <v>73.367674833996119</v>
      </c>
      <c r="AF142" s="12">
        <f>[1]节奏总纲!AF142</f>
        <v>76.247918400729162</v>
      </c>
      <c r="AG142" s="12">
        <f>[1]节奏总纲!AG142</f>
        <v>80.808254575429885</v>
      </c>
      <c r="AH142" s="12">
        <f>[1]节奏总纲!AH142</f>
        <v>90.055148444912135</v>
      </c>
      <c r="AZ142" s="8">
        <v>139</v>
      </c>
      <c r="BA142" s="12">
        <f>[1]节奏总纲!BA142</f>
        <v>40.238923363611647</v>
      </c>
      <c r="BB142" s="12">
        <f>[1]节奏总纲!BB142</f>
        <v>41.741152211966842</v>
      </c>
      <c r="BC142" s="12">
        <f>[1]节奏总纲!BC142</f>
        <v>43.679253588642929</v>
      </c>
      <c r="BD142" s="12">
        <f>[1]节奏总纲!BD142</f>
        <v>46.416890751188788</v>
      </c>
      <c r="BE142" s="12">
        <f>[1]节奏总纲!BE142</f>
        <v>51.12333926384072</v>
      </c>
      <c r="BN142" s="10"/>
    </row>
    <row r="143" spans="6:66" x14ac:dyDescent="0.15">
      <c r="F143" s="12">
        <f>[1]节奏总纲!F143</f>
        <v>141</v>
      </c>
      <c r="G143" s="12">
        <f>[1]节奏总纲!G143</f>
        <v>17558.936410194601</v>
      </c>
      <c r="N143" s="13">
        <f>[1]节奏总纲!N143</f>
        <v>150</v>
      </c>
      <c r="O143" s="13">
        <v>140</v>
      </c>
      <c r="P143" s="13">
        <f>[1]节奏总纲!P143</f>
        <v>16383</v>
      </c>
      <c r="Q143" s="13">
        <f>[1]节奏总纲!Q143</f>
        <v>13881.315900000001</v>
      </c>
      <c r="R143" s="13">
        <f>[1]节奏总纲!R143</f>
        <v>11020.8441</v>
      </c>
      <c r="S143" s="13">
        <f>[1]节奏总纲!S143</f>
        <v>7804.8612000000003</v>
      </c>
      <c r="T143" s="13">
        <f>[1]节奏总纲!T143</f>
        <v>4169.4735000000001</v>
      </c>
      <c r="U143" s="13"/>
      <c r="V143" s="13">
        <v>140</v>
      </c>
      <c r="W143" s="13">
        <f>[1]节奏总纲!W143</f>
        <v>1097.1874666609419</v>
      </c>
      <c r="X143" s="13">
        <f>[1]节奏总纲!X143</f>
        <v>923.53261548848241</v>
      </c>
      <c r="Y143" s="13">
        <f>[1]节奏总纲!Y143</f>
        <v>678.46333994279303</v>
      </c>
      <c r="Z143" s="13">
        <f>[1]节奏总纲!Z143</f>
        <v>481.42841527725705</v>
      </c>
      <c r="AA143" s="13">
        <f>[1]节奏总纲!AA143</f>
        <v>267.00556023853824</v>
      </c>
      <c r="AC143" s="8">
        <v>140</v>
      </c>
      <c r="AD143" s="12">
        <f>[1]节奏总纲!AD143</f>
        <v>71.387248347196717</v>
      </c>
      <c r="AE143" s="12">
        <f>[1]节奏总纲!AE143</f>
        <v>73.470262453565411</v>
      </c>
      <c r="AF143" s="12">
        <f>[1]节奏总纲!AF143</f>
        <v>76.347772353568445</v>
      </c>
      <c r="AG143" s="12">
        <f>[1]节奏总纲!AG143</f>
        <v>80.917183763493213</v>
      </c>
      <c r="AH143" s="12">
        <f>[1]节奏总纲!AH143</f>
        <v>90.16140749098561</v>
      </c>
      <c r="AZ143" s="8">
        <v>140</v>
      </c>
      <c r="BA143" s="12">
        <f>[1]节奏总纲!BA143</f>
        <v>40.28554255651148</v>
      </c>
      <c r="BB143" s="12">
        <f>[1]节奏总纲!BB143</f>
        <v>41.791434980831518</v>
      </c>
      <c r="BC143" s="12">
        <f>[1]节奏总纲!BC143</f>
        <v>43.729182533222463</v>
      </c>
      <c r="BD143" s="12">
        <f>[1]节奏总纲!BD143</f>
        <v>46.465050858235607</v>
      </c>
      <c r="BE143" s="12">
        <f>[1]节奏总纲!BE143</f>
        <v>51.169550799678412</v>
      </c>
      <c r="BN143" s="10"/>
    </row>
    <row r="144" spans="6:66" x14ac:dyDescent="0.15">
      <c r="F144" s="12">
        <f>[1]节奏总纲!F144</f>
        <v>142</v>
      </c>
      <c r="G144" s="12">
        <f>[1]节奏总纲!G144</f>
        <v>18819.273848271412</v>
      </c>
      <c r="N144" s="13">
        <f>[1]节奏总纲!N144</f>
        <v>151</v>
      </c>
      <c r="O144" s="13">
        <v>141</v>
      </c>
      <c r="P144" s="13">
        <f>[1]节奏总纲!P144</f>
        <v>17558.936410194601</v>
      </c>
      <c r="Q144" s="13">
        <f>[1]节奏总纲!Q144</f>
        <v>14817.986436563224</v>
      </c>
      <c r="R144" s="13">
        <f>[1]节奏总纲!R144</f>
        <v>11760.975607548344</v>
      </c>
      <c r="S144" s="13">
        <f>[1]节奏总纲!S144</f>
        <v>8352.7860503295724</v>
      </c>
      <c r="T144" s="13">
        <f>[1]节奏总纲!T144</f>
        <v>4465.2375291124872</v>
      </c>
      <c r="U144" s="13"/>
      <c r="V144" s="13">
        <v>141</v>
      </c>
      <c r="W144" s="13">
        <f>[1]节奏总纲!W144</f>
        <v>1175.9364101946012</v>
      </c>
      <c r="X144" s="13">
        <f>[1]节奏总纲!X144</f>
        <v>936.67053656322241</v>
      </c>
      <c r="Y144" s="13">
        <f>[1]节奏总纲!Y144</f>
        <v>740.13150754834351</v>
      </c>
      <c r="Z144" s="13">
        <f>[1]节奏总纲!Z144</f>
        <v>547.92485032957211</v>
      </c>
      <c r="AA144" s="13">
        <f>[1]节奏总纲!AA144</f>
        <v>295.76402911248715</v>
      </c>
      <c r="AC144" s="8">
        <v>141</v>
      </c>
      <c r="AD144" s="12">
        <f>[1]节奏总纲!AD144</f>
        <v>71.488808450176208</v>
      </c>
      <c r="AE144" s="12">
        <f>[1]节奏总纲!AE144</f>
        <v>73.572850073134703</v>
      </c>
      <c r="AF144" s="12">
        <f>[1]节奏总纲!AF144</f>
        <v>76.447626306407713</v>
      </c>
      <c r="AG144" s="12">
        <f>[1]节奏总纲!AG144</f>
        <v>81.023848662825003</v>
      </c>
      <c r="AH144" s="12">
        <f>[1]节奏总纲!AH144</f>
        <v>90.267666537059071</v>
      </c>
      <c r="AZ144" s="8">
        <v>141</v>
      </c>
      <c r="BA144" s="12">
        <f>[1]节奏总纲!BA144</f>
        <v>40.332161749411313</v>
      </c>
      <c r="BB144" s="12">
        <f>[1]节奏总纲!BB144</f>
        <v>41.841717749696201</v>
      </c>
      <c r="BC144" s="12">
        <f>[1]节奏总纲!BC144</f>
        <v>43.77911147780199</v>
      </c>
      <c r="BD144" s="12">
        <f>[1]节奏总纲!BD144</f>
        <v>46.513210965282425</v>
      </c>
      <c r="BE144" s="12">
        <f>[1]节奏总纲!BE144</f>
        <v>51.215762335516104</v>
      </c>
    </row>
    <row r="145" spans="6:57" x14ac:dyDescent="0.15">
      <c r="F145" s="12">
        <f>[1]节奏总纲!F145</f>
        <v>143</v>
      </c>
      <c r="G145" s="12">
        <f>[1]节奏总纲!G145</f>
        <v>20170.070068243116</v>
      </c>
      <c r="N145" s="13">
        <f>[1]节奏总纲!N145</f>
        <v>152</v>
      </c>
      <c r="O145" s="13">
        <v>142</v>
      </c>
      <c r="P145" s="13">
        <f>[1]节奏总纲!P145</f>
        <v>18819.273848271412</v>
      </c>
      <c r="Q145" s="13">
        <f>[1]节奏总纲!Q145</f>
        <v>15892.876764865208</v>
      </c>
      <c r="R145" s="13">
        <f>[1]节奏总纲!R145</f>
        <v>12644.670098653563</v>
      </c>
      <c r="S145" s="13">
        <f>[1]节奏总纲!S145</f>
        <v>8976.7936256254634</v>
      </c>
      <c r="T145" s="13">
        <f>[1]节奏总纲!T145</f>
        <v>4804.5606134636919</v>
      </c>
      <c r="U145" s="13"/>
      <c r="V145" s="13">
        <v>142</v>
      </c>
      <c r="W145" s="13">
        <f>[1]节奏总纲!W145</f>
        <v>1260.3374380768109</v>
      </c>
      <c r="X145" s="13">
        <f>[1]节奏总纲!X145</f>
        <v>1074.8903283019845</v>
      </c>
      <c r="Y145" s="13">
        <f>[1]节奏总纲!Y145</f>
        <v>883.69449110521964</v>
      </c>
      <c r="Z145" s="13">
        <f>[1]节奏总纲!Z145</f>
        <v>624.007575295891</v>
      </c>
      <c r="AA145" s="13">
        <f>[1]节奏总纲!AA145</f>
        <v>339.32308435120467</v>
      </c>
      <c r="AC145" s="8">
        <v>142</v>
      </c>
      <c r="AD145" s="12">
        <f>[1]节奏总纲!AD145</f>
        <v>71.590368553155713</v>
      </c>
      <c r="AE145" s="12">
        <f>[1]节奏总纲!AE145</f>
        <v>73.675437692703994</v>
      </c>
      <c r="AF145" s="12">
        <f>[1]节奏总纲!AF145</f>
        <v>76.547480259246996</v>
      </c>
      <c r="AG145" s="12">
        <f>[1]节奏总纲!AG145</f>
        <v>81.123332456233015</v>
      </c>
      <c r="AH145" s="12">
        <f>[1]节奏总纲!AH145</f>
        <v>90.373925583132547</v>
      </c>
      <c r="AZ145" s="8">
        <v>142</v>
      </c>
      <c r="BA145" s="12">
        <f>[1]节奏总纲!BA145</f>
        <v>40.378780942311145</v>
      </c>
      <c r="BB145" s="12">
        <f>[1]节奏总纲!BB145</f>
        <v>41.892000518560877</v>
      </c>
      <c r="BC145" s="12">
        <f>[1]节奏总纲!BC145</f>
        <v>43.829040422381524</v>
      </c>
      <c r="BD145" s="12">
        <f>[1]节奏总纲!BD145</f>
        <v>46.561371072329244</v>
      </c>
      <c r="BE145" s="12">
        <f>[1]节奏总纲!BE145</f>
        <v>51.261973871353796</v>
      </c>
    </row>
    <row r="146" spans="6:57" x14ac:dyDescent="0.15">
      <c r="F146" s="12">
        <f>[1]节奏总纲!F146</f>
        <v>144</v>
      </c>
      <c r="G146" s="12">
        <f>[1]节奏总纲!G146</f>
        <v>21617.817610103088</v>
      </c>
      <c r="N146" s="13">
        <f>[1]节奏总纲!N146</f>
        <v>153</v>
      </c>
      <c r="O146" s="13">
        <v>143</v>
      </c>
      <c r="P146" s="13">
        <f>[1]节奏总纲!P146</f>
        <v>20170.070068243116</v>
      </c>
      <c r="Q146" s="13">
        <f>[1]节奏总纲!Q146</f>
        <v>17065.896284740498</v>
      </c>
      <c r="R146" s="13">
        <f>[1]节奏总纲!R146</f>
        <v>13574.457155927617</v>
      </c>
      <c r="S146" s="13">
        <f>[1]节奏总纲!S146</f>
        <v>9653.3955346611565</v>
      </c>
      <c r="T146" s="13">
        <f>[1]节奏总纲!T146</f>
        <v>5173.6229725043595</v>
      </c>
      <c r="U146" s="13"/>
      <c r="V146" s="13">
        <v>143</v>
      </c>
      <c r="W146" s="13">
        <f>[1]节奏总纲!W146</f>
        <v>1350.796219971704</v>
      </c>
      <c r="X146" s="13">
        <f>[1]节奏总纲!X146</f>
        <v>1173.0195198752899</v>
      </c>
      <c r="Y146" s="13">
        <f>[1]节奏总纲!Y146</f>
        <v>929.78705727405395</v>
      </c>
      <c r="Z146" s="13">
        <f>[1]节奏总纲!Z146</f>
        <v>676.6019090356931</v>
      </c>
      <c r="AA146" s="13">
        <f>[1]节奏总纲!AA146</f>
        <v>369.06235904066762</v>
      </c>
      <c r="AC146" s="8">
        <v>143</v>
      </c>
      <c r="AD146" s="12">
        <f>[1]节奏总纲!AD146</f>
        <v>71.691928656135218</v>
      </c>
      <c r="AE146" s="12">
        <f>[1]节奏总纲!AE146</f>
        <v>73.778025312273286</v>
      </c>
      <c r="AF146" s="12">
        <f>[1]节奏总纲!AF146</f>
        <v>76.647334212086264</v>
      </c>
      <c r="AG146" s="12">
        <f>[1]节奏总纲!AG146</f>
        <v>81.222816249641028</v>
      </c>
      <c r="AH146" s="12">
        <f>[1]节奏总纲!AH146</f>
        <v>90.480184629206022</v>
      </c>
      <c r="AZ146" s="8">
        <v>143</v>
      </c>
      <c r="BA146" s="12">
        <f>[1]节奏总纲!BA146</f>
        <v>40.425400135210978</v>
      </c>
      <c r="BB146" s="12">
        <f>[1]节奏总纲!BB146</f>
        <v>41.94228328742556</v>
      </c>
      <c r="BC146" s="12">
        <f>[1]节奏总纲!BC146</f>
        <v>43.878969366961051</v>
      </c>
      <c r="BD146" s="12">
        <f>[1]节奏总纲!BD146</f>
        <v>46.609531179376063</v>
      </c>
      <c r="BE146" s="12">
        <f>[1]节奏总纲!BE146</f>
        <v>51.308185407191495</v>
      </c>
    </row>
    <row r="147" spans="6:57" x14ac:dyDescent="0.15">
      <c r="F147" s="12">
        <f>[1]节奏总纲!F147</f>
        <v>145</v>
      </c>
      <c r="G147" s="12">
        <f>[1]节奏总纲!G147</f>
        <v>23169.475005920798</v>
      </c>
      <c r="N147" s="13">
        <f>[1]节奏总纲!N147</f>
        <v>154</v>
      </c>
      <c r="O147" s="13">
        <v>144</v>
      </c>
      <c r="P147" s="13">
        <f>[1]节奏总纲!P147</f>
        <v>21617.817610103088</v>
      </c>
      <c r="Q147" s="13">
        <f>[1]节奏总纲!Q147</f>
        <v>18282.188352864181</v>
      </c>
      <c r="R147" s="13">
        <f>[1]节奏总纲!R147</f>
        <v>14572.570850970493</v>
      </c>
      <c r="S147" s="13">
        <f>[1]节奏总纲!S147</f>
        <v>10367.905325805441</v>
      </c>
      <c r="T147" s="13">
        <f>[1]节奏总纲!T147</f>
        <v>5534.1613081863907</v>
      </c>
      <c r="U147" s="13"/>
      <c r="V147" s="13">
        <v>144</v>
      </c>
      <c r="W147" s="13">
        <f>[1]节奏总纲!W147</f>
        <v>1447.7475418599715</v>
      </c>
      <c r="X147" s="13">
        <f>[1]节奏总纲!X147</f>
        <v>1216.2920681236828</v>
      </c>
      <c r="Y147" s="13">
        <f>[1]节奏总纲!Y147</f>
        <v>998.11369504287541</v>
      </c>
      <c r="Z147" s="13">
        <f>[1]节奏总纲!Z147</f>
        <v>714.50979114428446</v>
      </c>
      <c r="AA147" s="13">
        <f>[1]节奏总纲!AA147</f>
        <v>360.53833568203117</v>
      </c>
      <c r="AC147" s="8">
        <v>144</v>
      </c>
      <c r="AD147" s="12">
        <f>[1]节奏总纲!AD147</f>
        <v>71.793488759114723</v>
      </c>
      <c r="AE147" s="12">
        <f>[1]节奏总纲!AE147</f>
        <v>73.880612931842577</v>
      </c>
      <c r="AF147" s="12">
        <f>[1]节奏总纲!AF147</f>
        <v>76.747188164925547</v>
      </c>
      <c r="AG147" s="12">
        <f>[1]节奏总纲!AG147</f>
        <v>81.322300043049054</v>
      </c>
      <c r="AH147" s="12">
        <f>[1]节奏总纲!AH147</f>
        <v>90.586443675279497</v>
      </c>
      <c r="AZ147" s="8">
        <v>144</v>
      </c>
      <c r="BA147" s="12">
        <f>[1]节奏总纲!BA147</f>
        <v>40.472019328110811</v>
      </c>
      <c r="BB147" s="12">
        <f>[1]节奏总纲!BB147</f>
        <v>41.992566056290244</v>
      </c>
      <c r="BC147" s="12">
        <f>[1]节奏总纲!BC147</f>
        <v>43.928898311540586</v>
      </c>
      <c r="BD147" s="12">
        <f>[1]节奏总纲!BD147</f>
        <v>46.657691286422882</v>
      </c>
      <c r="BE147" s="12">
        <f>[1]节奏总纲!BE147</f>
        <v>51.354396943029187</v>
      </c>
    </row>
    <row r="148" spans="6:57" x14ac:dyDescent="0.15">
      <c r="F148" s="12">
        <f>[1]节奏总纲!F148</f>
        <v>146</v>
      </c>
      <c r="G148" s="12">
        <f>[1]节奏总纲!G148</f>
        <v>24832.50022570635</v>
      </c>
      <c r="N148" s="13">
        <f>[1]节奏总纲!N148</f>
        <v>155</v>
      </c>
      <c r="O148" s="13">
        <v>145</v>
      </c>
      <c r="P148" s="13">
        <f>[1]节奏总纲!P148</f>
        <v>23169.475005920798</v>
      </c>
      <c r="Q148" s="13">
        <f>[1]节奏总纲!Q148</f>
        <v>19631.496172516694</v>
      </c>
      <c r="R148" s="13">
        <f>[1]节奏总纲!R148</f>
        <v>15650.9803664995</v>
      </c>
      <c r="S148" s="13">
        <f>[1]节奏总纲!S148</f>
        <v>11095.86158033547</v>
      </c>
      <c r="T148" s="13">
        <f>[1]节奏总纲!T148</f>
        <v>5908.2161265098039</v>
      </c>
      <c r="U148" s="13"/>
      <c r="V148" s="13">
        <v>145</v>
      </c>
      <c r="W148" s="13">
        <f>[1]节奏总纲!W148</f>
        <v>1551.6573958177105</v>
      </c>
      <c r="X148" s="13">
        <f>[1]节奏总纲!X148</f>
        <v>1349.307819652513</v>
      </c>
      <c r="Y148" s="13">
        <f>[1]节奏总纲!Y148</f>
        <v>1078.409515529007</v>
      </c>
      <c r="Z148" s="13">
        <f>[1]节奏总纲!Z148</f>
        <v>727.95625453002867</v>
      </c>
      <c r="AA148" s="13">
        <f>[1]节奏总纲!AA148</f>
        <v>374.0548183234132</v>
      </c>
      <c r="AC148" s="8">
        <v>145</v>
      </c>
      <c r="AD148" s="12">
        <f>[1]节奏总纲!AD148</f>
        <v>71.895048862094214</v>
      </c>
      <c r="AE148" s="12">
        <f>[1]节奏总纲!AE148</f>
        <v>73.983200551411869</v>
      </c>
      <c r="AF148" s="12">
        <f>[1]节奏总纲!AF148</f>
        <v>76.847042117764815</v>
      </c>
      <c r="AG148" s="12">
        <f>[1]节奏总纲!AG148</f>
        <v>81.421783836457067</v>
      </c>
      <c r="AH148" s="12">
        <f>[1]节奏总纲!AH148</f>
        <v>90.692702721352973</v>
      </c>
      <c r="AZ148" s="8">
        <v>145</v>
      </c>
      <c r="BA148" s="12">
        <f>[1]节奏总纲!BA148</f>
        <v>40.518638521010651</v>
      </c>
      <c r="BB148" s="12">
        <f>[1]节奏总纲!BB148</f>
        <v>42.036975906461073</v>
      </c>
      <c r="BC148" s="12">
        <f>[1]节奏总纲!BC148</f>
        <v>43.978827256120113</v>
      </c>
      <c r="BD148" s="12">
        <f>[1]节奏总纲!BD148</f>
        <v>46.7058513934697</v>
      </c>
      <c r="BE148" s="12">
        <f>[1]节奏总纲!BE148</f>
        <v>51.400608478866879</v>
      </c>
    </row>
    <row r="149" spans="6:57" x14ac:dyDescent="0.15">
      <c r="F149" s="12">
        <f>[1]节奏总纲!F149</f>
        <v>147</v>
      </c>
      <c r="G149" s="12">
        <f>[1]节奏总纲!G149</f>
        <v>26614.886523801088</v>
      </c>
      <c r="N149" s="13">
        <f>[1]节奏总纲!N149</f>
        <v>156</v>
      </c>
      <c r="O149" s="13">
        <v>146</v>
      </c>
      <c r="P149" s="13">
        <f>[1]节奏总纲!P149</f>
        <v>24832.50022570635</v>
      </c>
      <c r="Q149" s="13">
        <f>[1]节奏总纲!Q149</f>
        <v>21030.644441150707</v>
      </c>
      <c r="R149" s="13">
        <f>[1]节奏总纲!R149</f>
        <v>16694.889901742379</v>
      </c>
      <c r="S149" s="13">
        <f>[1]节奏总纲!S149</f>
        <v>11807.853857323369</v>
      </c>
      <c r="T149" s="13">
        <f>[1]节奏总纲!T149</f>
        <v>6290.0723071714192</v>
      </c>
      <c r="U149" s="13"/>
      <c r="V149" s="13">
        <v>146</v>
      </c>
      <c r="W149" s="13">
        <f>[1]节奏总纲!W149</f>
        <v>1663.0252197855516</v>
      </c>
      <c r="X149" s="13">
        <f>[1]节奏总纲!X149</f>
        <v>1399.1482686340132</v>
      </c>
      <c r="Y149" s="13">
        <f>[1]节奏总纲!Y149</f>
        <v>1043.9095352428794</v>
      </c>
      <c r="Z149" s="13">
        <f>[1]节奏总纲!Z149</f>
        <v>711.99227698789946</v>
      </c>
      <c r="AA149" s="13">
        <f>[1]节奏总纲!AA149</f>
        <v>381.85618066161533</v>
      </c>
      <c r="AC149" s="8">
        <v>146</v>
      </c>
      <c r="AD149" s="12">
        <f>[1]节奏总纲!AD149</f>
        <v>71.996608965073719</v>
      </c>
      <c r="AE149" s="12">
        <f>[1]节奏总纲!AE149</f>
        <v>74.078973000522922</v>
      </c>
      <c r="AF149" s="12">
        <f>[1]节奏总纲!AF149</f>
        <v>76.946896070604097</v>
      </c>
      <c r="AG149" s="12">
        <f>[1]节奏总纲!AG149</f>
        <v>81.521267629865079</v>
      </c>
      <c r="AH149" s="12">
        <f>[1]节奏总纲!AH149</f>
        <v>90.798961767426448</v>
      </c>
      <c r="AZ149" s="8">
        <v>146</v>
      </c>
      <c r="BA149" s="12">
        <f>[1]节奏总纲!BA149</f>
        <v>40.565257713910484</v>
      </c>
      <c r="BB149" s="12">
        <f>[1]节奏总纲!BB149</f>
        <v>42.080366850119908</v>
      </c>
      <c r="BC149" s="12">
        <f>[1]节奏总纲!BC149</f>
        <v>44.024818750237806</v>
      </c>
      <c r="BD149" s="12">
        <f>[1]节奏总纲!BD149</f>
        <v>46.754011500516519</v>
      </c>
      <c r="BE149" s="12">
        <f>[1]节奏总纲!BE149</f>
        <v>51.446820014704571</v>
      </c>
    </row>
    <row r="150" spans="6:57" x14ac:dyDescent="0.15">
      <c r="F150" s="12">
        <f>[1]节奏总纲!F150</f>
        <v>148</v>
      </c>
      <c r="G150" s="12">
        <f>[1]节奏总纲!G150</f>
        <v>28525.200858087381</v>
      </c>
      <c r="N150" s="13">
        <f>[1]节奏总纲!N150</f>
        <v>157</v>
      </c>
      <c r="O150" s="13">
        <v>147</v>
      </c>
      <c r="P150" s="13">
        <f>[1]节奏总纲!P150</f>
        <v>26614.886523801088</v>
      </c>
      <c r="Q150" s="13">
        <f>[1]节奏总纲!Q150</f>
        <v>22449.65678282622</v>
      </c>
      <c r="R150" s="13">
        <f>[1]节奏总纲!R150</f>
        <v>17789.390152508648</v>
      </c>
      <c r="S150" s="13">
        <f>[1]节奏总纲!S150</f>
        <v>12583.518348453154</v>
      </c>
      <c r="T150" s="13">
        <f>[1]节奏总纲!T150</f>
        <v>6706.951403997874</v>
      </c>
      <c r="U150" s="13"/>
      <c r="V150" s="13">
        <v>147</v>
      </c>
      <c r="W150" s="13">
        <f>[1]节奏总纲!W150</f>
        <v>1782.3862980947379</v>
      </c>
      <c r="X150" s="13">
        <f>[1]节奏总纲!X150</f>
        <v>1419.0123416755123</v>
      </c>
      <c r="Y150" s="13">
        <f>[1]节奏总纲!Y150</f>
        <v>1094.5002507662684</v>
      </c>
      <c r="Z150" s="13">
        <f>[1]节奏总纲!Z150</f>
        <v>775.66449112978444</v>
      </c>
      <c r="AA150" s="13">
        <f>[1]节奏总纲!AA150</f>
        <v>416.87909682645477</v>
      </c>
      <c r="AC150" s="8">
        <v>147</v>
      </c>
      <c r="AD150" s="12">
        <f>[1]节奏总纲!AD150</f>
        <v>72.091594979242075</v>
      </c>
      <c r="AE150" s="12">
        <f>[1]节奏总纲!AE150</f>
        <v>74.173410870467364</v>
      </c>
      <c r="AF150" s="12">
        <f>[1]节奏总纲!AF150</f>
        <v>77.043751281705866</v>
      </c>
      <c r="AG150" s="12">
        <f>[1]节奏总纲!AG150</f>
        <v>81.620751423273092</v>
      </c>
      <c r="AH150" s="12">
        <f>[1]节奏总纲!AH150</f>
        <v>90.905220813499923</v>
      </c>
      <c r="AZ150" s="8">
        <v>147</v>
      </c>
      <c r="BA150" s="12">
        <f>[1]节奏总纲!BA150</f>
        <v>40.611876906810316</v>
      </c>
      <c r="BB150" s="12">
        <f>[1]节奏总纲!BB150</f>
        <v>42.123757793778736</v>
      </c>
      <c r="BC150" s="12">
        <f>[1]节奏总纲!BC150</f>
        <v>44.067911160744309</v>
      </c>
      <c r="BD150" s="12">
        <f>[1]节奏总纲!BD150</f>
        <v>46.802171607563338</v>
      </c>
      <c r="BE150" s="12">
        <f>[1]节奏总纲!BE150</f>
        <v>51.493031550542263</v>
      </c>
    </row>
    <row r="151" spans="6:57" x14ac:dyDescent="0.15">
      <c r="F151" s="12">
        <f>[1]节奏总纲!F151</f>
        <v>149</v>
      </c>
      <c r="G151" s="12">
        <f>[1]节奏总纲!G151</f>
        <v>30572.62506667812</v>
      </c>
      <c r="N151" s="13">
        <f>[1]节奏总纲!N151</f>
        <v>158</v>
      </c>
      <c r="O151" s="13">
        <v>148</v>
      </c>
      <c r="P151" s="13">
        <f>[1]节奏总纲!P151</f>
        <v>28525.200858087381</v>
      </c>
      <c r="Q151" s="13">
        <f>[1]节奏总纲!Q151</f>
        <v>24049.59684345347</v>
      </c>
      <c r="R151" s="13">
        <f>[1]节奏总纲!R151</f>
        <v>19077.65433388884</v>
      </c>
      <c r="S151" s="13">
        <f>[1]节奏总纲!S151</f>
        <v>13515.240166561802</v>
      </c>
      <c r="T151" s="13">
        <f>[1]节奏总纲!T151</f>
        <v>7202.6132166670641</v>
      </c>
      <c r="U151" s="13"/>
      <c r="V151" s="13">
        <v>148</v>
      </c>
      <c r="W151" s="13">
        <f>[1]节奏总纲!W151</f>
        <v>1910.3143342862932</v>
      </c>
      <c r="X151" s="13">
        <f>[1]节奏总纲!X151</f>
        <v>1599.9400606272502</v>
      </c>
      <c r="Y151" s="13">
        <f>[1]节奏总纲!Y151</f>
        <v>1288.2641813801929</v>
      </c>
      <c r="Z151" s="13">
        <f>[1]节奏总纲!Z151</f>
        <v>931.72181810864822</v>
      </c>
      <c r="AA151" s="13">
        <f>[1]节奏总纲!AA151</f>
        <v>495.66181266919011</v>
      </c>
      <c r="AC151" s="8">
        <v>148</v>
      </c>
      <c r="AD151" s="12">
        <f>[1]节奏总纲!AD151</f>
        <v>72.186353905945822</v>
      </c>
      <c r="AE151" s="12">
        <f>[1]节奏总纲!AE151</f>
        <v>74.267848740411821</v>
      </c>
      <c r="AF151" s="12">
        <f>[1]节奏总纲!AF151</f>
        <v>77.137200185007629</v>
      </c>
      <c r="AG151" s="12">
        <f>[1]节奏总纲!AG151</f>
        <v>81.720235216681118</v>
      </c>
      <c r="AH151" s="12">
        <f>[1]节奏总纲!AH151</f>
        <v>91.01044787213759</v>
      </c>
      <c r="AZ151" s="8">
        <v>148</v>
      </c>
      <c r="BA151" s="12">
        <f>[1]节奏总纲!BA151</f>
        <v>40.658496099710149</v>
      </c>
      <c r="BB151" s="12">
        <f>[1]节奏总纲!BB151</f>
        <v>42.167148737437564</v>
      </c>
      <c r="BC151" s="12">
        <f>[1]节奏总纲!BC151</f>
        <v>44.111003571250812</v>
      </c>
      <c r="BD151" s="12">
        <f>[1]节奏总纲!BD151</f>
        <v>46.850331714610157</v>
      </c>
      <c r="BE151" s="12">
        <f>[1]节奏总纲!BE151</f>
        <v>51.539243086379955</v>
      </c>
    </row>
    <row r="152" spans="6:57" x14ac:dyDescent="0.15">
      <c r="F152" s="12">
        <f>[1]节奏总纲!F152</f>
        <v>150</v>
      </c>
      <c r="G152" s="12">
        <f>[1]节奏总纲!G152</f>
        <v>32767</v>
      </c>
      <c r="N152" s="13">
        <f>[1]节奏总纲!N152</f>
        <v>159</v>
      </c>
      <c r="O152" s="13">
        <v>149</v>
      </c>
      <c r="P152" s="13">
        <f>[1]节奏总纲!P152</f>
        <v>30572.62506667812</v>
      </c>
      <c r="Q152" s="13">
        <f>[1]节奏总纲!Q152</f>
        <v>25794.12376875633</v>
      </c>
      <c r="R152" s="13">
        <f>[1]节奏总纲!R152</f>
        <v>20471.429744647667</v>
      </c>
      <c r="S152" s="13">
        <f>[1]节奏总纲!S152</f>
        <v>14525.054169178775</v>
      </c>
      <c r="T152" s="13">
        <f>[1]节奏总纲!T152</f>
        <v>7744.0459293895683</v>
      </c>
      <c r="U152" s="13"/>
      <c r="V152" s="13">
        <v>149</v>
      </c>
      <c r="W152" s="13">
        <f>[1]节奏总纲!W152</f>
        <v>2047.424208590739</v>
      </c>
      <c r="X152" s="13">
        <f>[1]节奏总纲!X152</f>
        <v>1744.52692530286</v>
      </c>
      <c r="Y152" s="13">
        <f>[1]节奏总纲!Y152</f>
        <v>1393.7754107588262</v>
      </c>
      <c r="Z152" s="13">
        <f>[1]节奏总纲!Z152</f>
        <v>1009.8140026169731</v>
      </c>
      <c r="AA152" s="13">
        <f>[1]节奏总纲!AA152</f>
        <v>541.43271272250422</v>
      </c>
      <c r="AC152" s="8">
        <v>149</v>
      </c>
      <c r="AD152" s="12">
        <f>[1]节奏总纲!AD152</f>
        <v>72.281112832649583</v>
      </c>
      <c r="AE152" s="12">
        <f>[1]节奏总纲!AE152</f>
        <v>74.362286610356264</v>
      </c>
      <c r="AF152" s="12">
        <f>[1]节奏总纲!AF152</f>
        <v>77.230649088309391</v>
      </c>
      <c r="AG152" s="12">
        <f>[1]节奏总纲!AG152</f>
        <v>81.819719010089131</v>
      </c>
      <c r="AH152" s="12">
        <f>[1]节奏总纲!AH152</f>
        <v>91.10715471073091</v>
      </c>
      <c r="AZ152" s="8">
        <v>149</v>
      </c>
      <c r="BA152" s="12">
        <f>[1]节奏总纲!BA152</f>
        <v>40.705115292609982</v>
      </c>
      <c r="BB152" s="12">
        <f>[1]节奏总纲!BB152</f>
        <v>42.2105396810964</v>
      </c>
      <c r="BC152" s="12">
        <f>[1]节奏总纲!BC152</f>
        <v>44.154095981757315</v>
      </c>
      <c r="BD152" s="12">
        <f>[1]节奏总纲!BD152</f>
        <v>46.898491821656968</v>
      </c>
      <c r="BE152" s="12">
        <f>[1]节奏总纲!BE152</f>
        <v>51.585454622217647</v>
      </c>
    </row>
    <row r="153" spans="6:57" x14ac:dyDescent="0.15">
      <c r="N153" s="13">
        <f>[1]节奏总纲!N153</f>
        <v>160</v>
      </c>
      <c r="O153" s="13">
        <v>150</v>
      </c>
      <c r="P153" s="13">
        <f>[1]节奏总纲!P153</f>
        <v>32767</v>
      </c>
      <c r="Q153" s="13">
        <f>[1]节奏总纲!Q153</f>
        <v>27665.178100000001</v>
      </c>
      <c r="R153" s="13">
        <f>[1]节奏总纲!R153</f>
        <v>21976.8269</v>
      </c>
      <c r="S153" s="13">
        <f>[1]节奏总纲!S153</f>
        <v>15577.4318</v>
      </c>
      <c r="T153" s="13">
        <f>[1]节奏总纲!T153</f>
        <v>8355.5850000000009</v>
      </c>
      <c r="U153" s="13"/>
      <c r="V153" s="13">
        <v>150</v>
      </c>
      <c r="W153" s="13">
        <f>[1]节奏总纲!W153</f>
        <v>2194.3749333218802</v>
      </c>
      <c r="X153" s="13">
        <f>[1]节奏总纲!X153</f>
        <v>1871.0543312436712</v>
      </c>
      <c r="Y153" s="13">
        <f>[1]节奏总纲!Y153</f>
        <v>1505.3971553523334</v>
      </c>
      <c r="Z153" s="13">
        <f>[1]节奏总纲!Z153</f>
        <v>1052.3776308212255</v>
      </c>
      <c r="AA153" s="13">
        <f>[1]节奏总纲!AA153</f>
        <v>611.53907061043265</v>
      </c>
      <c r="AC153" s="8">
        <v>150</v>
      </c>
      <c r="AD153" s="12">
        <f>[1]节奏总纲!AD153</f>
        <v>72.375871759353331</v>
      </c>
      <c r="AE153" s="12">
        <f>[1]节奏总纲!AE153</f>
        <v>74.456724480300707</v>
      </c>
      <c r="AF153" s="12">
        <f>[1]节奏总纲!AF153</f>
        <v>77.324097991611154</v>
      </c>
      <c r="AG153" s="12">
        <f>[1]节奏总纲!AG153</f>
        <v>81.919202803497143</v>
      </c>
      <c r="AH153" s="12">
        <f>[1]节奏总纲!AH153</f>
        <v>91.20386154932423</v>
      </c>
      <c r="AZ153" s="8">
        <v>150</v>
      </c>
      <c r="BA153" s="12">
        <f>[1]节奏总纲!BA153</f>
        <v>40.751734485509814</v>
      </c>
      <c r="BB153" s="12">
        <f>[1]节奏总纲!BB153</f>
        <v>42.253930624755228</v>
      </c>
      <c r="BC153" s="12">
        <f>[1]节奏总纲!BC153</f>
        <v>44.197188392263818</v>
      </c>
      <c r="BD153" s="12">
        <f>[1]节奏总纲!BD153</f>
        <v>46.946651928703787</v>
      </c>
      <c r="BE153" s="12">
        <f>[1]节奏总纲!BE153</f>
        <v>51.631666158055346</v>
      </c>
    </row>
    <row r="154" spans="6:57" x14ac:dyDescent="0.15">
      <c r="N154" s="13">
        <f>[1]节奏总纲!N154</f>
        <v>161</v>
      </c>
      <c r="O154" s="13">
        <v>151</v>
      </c>
      <c r="P154" s="13">
        <f>[1]节奏总纲!P154</f>
        <v>35118.87282038921</v>
      </c>
      <c r="Q154" s="13">
        <f>[1]节奏总纲!Q154</f>
        <v>29671.935645946844</v>
      </c>
      <c r="R154" s="13">
        <f>[1]节奏总纲!R154</f>
        <v>23592.858760737468</v>
      </c>
      <c r="S154" s="13">
        <f>[1]节奏总纲!S154</f>
        <v>16825.451968248472</v>
      </c>
      <c r="T154" s="13">
        <f>[1]节奏总纲!T154</f>
        <v>9211.6803407880889</v>
      </c>
      <c r="U154" s="13"/>
      <c r="V154" s="13">
        <v>151</v>
      </c>
      <c r="W154" s="13">
        <f>[1]节奏总纲!W154</f>
        <v>2351.8728203892097</v>
      </c>
      <c r="X154" s="13">
        <f>[1]节奏总纲!X154</f>
        <v>2006.7575459468426</v>
      </c>
      <c r="Y154" s="13">
        <f>[1]节奏总纲!Y154</f>
        <v>1616.0318607374684</v>
      </c>
      <c r="Z154" s="13">
        <f>[1]节奏总纲!Z154</f>
        <v>1248.0201682484712</v>
      </c>
      <c r="AA154" s="13">
        <f>[1]节奏总纲!AA154</f>
        <v>856.09534078808792</v>
      </c>
      <c r="AC154" s="8">
        <v>151</v>
      </c>
      <c r="AD154" s="12">
        <f>[1]节奏总纲!AD154</f>
        <v>72.470630686057078</v>
      </c>
      <c r="AE154" s="12">
        <f>[1]节奏总纲!AE154</f>
        <v>74.551162350245164</v>
      </c>
      <c r="AF154" s="12">
        <f>[1]节奏总纲!AF154</f>
        <v>77.417546894912917</v>
      </c>
      <c r="AG154" s="12">
        <f>[1]节奏总纲!AG154</f>
        <v>82.01744549958407</v>
      </c>
      <c r="AH154" s="12">
        <f>[1]节奏总纲!AH154</f>
        <v>91.300568387917551</v>
      </c>
      <c r="AZ154" s="8">
        <v>151</v>
      </c>
      <c r="BA154" s="12">
        <f>[1]节奏总纲!BA154</f>
        <v>40.798353678409647</v>
      </c>
      <c r="BB154" s="12">
        <f>[1]节奏总纲!BB154</f>
        <v>42.297321568414056</v>
      </c>
      <c r="BC154" s="12">
        <f>[1]节奏总纲!BC154</f>
        <v>44.240280802770329</v>
      </c>
      <c r="BD154" s="12">
        <f>[1]节奏总纲!BD154</f>
        <v>46.994812035750606</v>
      </c>
      <c r="BE154" s="12">
        <f>[1]节奏总纲!BE154</f>
        <v>51.677877693893038</v>
      </c>
    </row>
    <row r="155" spans="6:57" x14ac:dyDescent="0.15">
      <c r="N155" s="13">
        <f>[1]节奏总纲!N155</f>
        <v>162</v>
      </c>
      <c r="O155" s="13">
        <v>152</v>
      </c>
      <c r="P155" s="13">
        <f>[1]节奏总纲!P155</f>
        <v>37639.547696542824</v>
      </c>
      <c r="Q155" s="13">
        <f>[1]节奏总纲!Q155</f>
        <v>31786.598029730416</v>
      </c>
      <c r="R155" s="13">
        <f>[1]节奏总纲!R155</f>
        <v>25478.209835789836</v>
      </c>
      <c r="S155" s="13">
        <f>[1]节奏总纲!S155</f>
        <v>18481.017919002526</v>
      </c>
      <c r="T155" s="13">
        <f>[1]节奏总纲!T155</f>
        <v>16185.005509513414</v>
      </c>
      <c r="U155" s="13"/>
      <c r="V155" s="13">
        <v>152</v>
      </c>
      <c r="W155" s="13">
        <f>[1]节奏总纲!W155</f>
        <v>2520.6748761536146</v>
      </c>
      <c r="X155" s="13">
        <f>[1]节奏总纲!X155</f>
        <v>2114.6623837835723</v>
      </c>
      <c r="Y155" s="13">
        <f>[1]节奏总纲!Y155</f>
        <v>1885.3510750523674</v>
      </c>
      <c r="Z155" s="13">
        <f>[1]节奏总纲!Z155</f>
        <v>1655.5659507540549</v>
      </c>
      <c r="AA155" s="13">
        <f>[1]节奏总纲!AA155</f>
        <v>6973.3251687253251</v>
      </c>
      <c r="AC155" s="8">
        <v>152</v>
      </c>
      <c r="AD155" s="12">
        <f>[1]节奏总纲!AD155</f>
        <v>72.565389612760825</v>
      </c>
      <c r="AE155" s="12">
        <f>[1]节奏总纲!AE155</f>
        <v>74.645600220189607</v>
      </c>
      <c r="AF155" s="12">
        <f>[1]节奏总纲!AF155</f>
        <v>77.51099579821468</v>
      </c>
      <c r="AG155" s="12">
        <f>[1]节奏总纲!AG155</f>
        <v>82.110321933176039</v>
      </c>
      <c r="AH155" s="12">
        <f>[1]节奏总纲!AH155</f>
        <v>91.397275226510871</v>
      </c>
      <c r="AZ155" s="8">
        <v>152</v>
      </c>
      <c r="BA155" s="12">
        <f>[1]节奏总纲!BA155</f>
        <v>40.84497287130948</v>
      </c>
      <c r="BB155" s="12">
        <f>[1]节奏总纲!BB155</f>
        <v>42.340712512072891</v>
      </c>
      <c r="BC155" s="12">
        <f>[1]节奏总纲!BC155</f>
        <v>44.283373213276832</v>
      </c>
      <c r="BD155" s="12">
        <f>[1]节奏总纲!BD155</f>
        <v>47.037096473408994</v>
      </c>
      <c r="BE155" s="12">
        <f>[1]节奏总纲!BE155</f>
        <v>51.72408922973073</v>
      </c>
    </row>
    <row r="156" spans="6:57" x14ac:dyDescent="0.15">
      <c r="N156" s="13">
        <f>[1]节奏总纲!N156</f>
        <v>163</v>
      </c>
      <c r="O156" s="13">
        <v>153</v>
      </c>
      <c r="P156" s="13">
        <f>[1]节奏总纲!P156</f>
        <v>40341.140136486232</v>
      </c>
      <c r="Q156" s="13">
        <f>[1]节奏总纲!Q156</f>
        <v>34471.50424662749</v>
      </c>
      <c r="R156" s="13">
        <f>[1]节奏总纲!R156</f>
        <v>27916.06897444847</v>
      </c>
      <c r="S156" s="13">
        <f>[1]节奏总纲!S156</f>
        <v>26221.741088716051</v>
      </c>
      <c r="T156" s="13">
        <f>[1]节奏总纲!T156</f>
        <v>26423.446789398484</v>
      </c>
      <c r="U156" s="13"/>
      <c r="V156" s="13">
        <v>153</v>
      </c>
      <c r="W156" s="13">
        <f>[1]节奏总纲!W156</f>
        <v>2701.592439943408</v>
      </c>
      <c r="X156" s="13">
        <f>[1]节奏总纲!X156</f>
        <v>2684.906216897074</v>
      </c>
      <c r="Y156" s="13">
        <f>[1]节奏总纲!Y156</f>
        <v>2437.859138658634</v>
      </c>
      <c r="Z156" s="13">
        <f>[1]节奏总纲!Z156</f>
        <v>7740.7231697135248</v>
      </c>
      <c r="AA156" s="13">
        <f>[1]节奏总纲!AA156</f>
        <v>10238.44127988507</v>
      </c>
      <c r="AC156" s="8">
        <v>153</v>
      </c>
      <c r="AD156" s="12">
        <f>[1]节奏总纲!AD156</f>
        <v>72.660148539464572</v>
      </c>
      <c r="AE156" s="12">
        <f>[1]节奏总纲!AE156</f>
        <v>74.74003809013405</v>
      </c>
      <c r="AF156" s="12">
        <f>[1]节奏总纲!AF156</f>
        <v>77.604444701516456</v>
      </c>
      <c r="AG156" s="12">
        <f>[1]节奏总纲!AG156</f>
        <v>82.203198366767992</v>
      </c>
      <c r="AH156" s="12">
        <f>[1]节奏总纲!AH156</f>
        <v>91.493982065104177</v>
      </c>
      <c r="AZ156" s="8">
        <v>153</v>
      </c>
      <c r="BA156" s="12">
        <f>[1]节奏总纲!BA156</f>
        <v>40.891592064209313</v>
      </c>
      <c r="BB156" s="12">
        <f>[1]节奏总纲!BB156</f>
        <v>42.384103455731719</v>
      </c>
      <c r="BC156" s="12">
        <f>[1]节奏总纲!BC156</f>
        <v>44.326465623783335</v>
      </c>
      <c r="BD156" s="12">
        <f>[1]节奏总纲!BD156</f>
        <v>47.078671550054786</v>
      </c>
      <c r="BE156" s="12">
        <f>[1]节奏总纲!BE156</f>
        <v>51.770300765568422</v>
      </c>
    </row>
    <row r="157" spans="6:57" x14ac:dyDescent="0.15">
      <c r="N157" s="13">
        <f>[1]节奏总纲!N157</f>
        <v>164</v>
      </c>
      <c r="O157" s="13">
        <v>154</v>
      </c>
      <c r="P157" s="13">
        <f>[1]节奏总纲!P157</f>
        <v>43236.635220206183</v>
      </c>
      <c r="Q157" s="13">
        <f>[1]节奏总纲!Q157</f>
        <v>37140.269654157113</v>
      </c>
      <c r="R157" s="13">
        <f>[1]节奏总纲!R157</f>
        <v>35237.857704468035</v>
      </c>
      <c r="S157" s="13">
        <f>[1]节奏总纲!S157</f>
        <v>35367.567610128652</v>
      </c>
      <c r="T157" s="13">
        <f>[1]节奏总纲!T157</f>
        <v>35454.040880569068</v>
      </c>
      <c r="U157" s="13"/>
      <c r="V157" s="13">
        <v>154</v>
      </c>
      <c r="W157" s="13">
        <f>[1]节奏总纲!W157</f>
        <v>2895.4950837199503</v>
      </c>
      <c r="X157" s="13">
        <f>[1]节奏总纲!X157</f>
        <v>2668.7654075296232</v>
      </c>
      <c r="Y157" s="13">
        <f>[1]节奏总纲!Y157</f>
        <v>7321.7887300195653</v>
      </c>
      <c r="Z157" s="13">
        <f>[1]节奏总纲!Z157</f>
        <v>9145.8265214126004</v>
      </c>
      <c r="AA157" s="13">
        <f>[1]节奏总纲!AA157</f>
        <v>9030.5940911705839</v>
      </c>
      <c r="AC157" s="8">
        <v>154</v>
      </c>
      <c r="AD157" s="12">
        <f>[1]节奏总纲!AD157</f>
        <v>72.754907466168333</v>
      </c>
      <c r="AE157" s="12">
        <f>[1]节奏总纲!AE157</f>
        <v>74.834475960078507</v>
      </c>
      <c r="AF157" s="12">
        <f>[1]节奏总纲!AF157</f>
        <v>77.697893604818219</v>
      </c>
      <c r="AG157" s="12">
        <f>[1]节奏总纲!AG157</f>
        <v>82.29607480035996</v>
      </c>
      <c r="AH157" s="12">
        <f>[1]节奏总纲!AH157</f>
        <v>91.590688903697497</v>
      </c>
      <c r="AZ157" s="8">
        <v>154</v>
      </c>
      <c r="BA157" s="12">
        <f>[1]节奏总纲!BA157</f>
        <v>40.938211257109145</v>
      </c>
      <c r="BB157" s="12">
        <f>[1]节奏总纲!BB157</f>
        <v>42.427494399390554</v>
      </c>
      <c r="BC157" s="12">
        <f>[1]节奏总纲!BC157</f>
        <v>44.369558034289838</v>
      </c>
      <c r="BD157" s="12">
        <f>[1]节奏总纲!BD157</f>
        <v>47.12024662670057</v>
      </c>
      <c r="BE157" s="12">
        <f>[1]节奏总纲!BE157</f>
        <v>51.816512301406114</v>
      </c>
    </row>
    <row r="158" spans="6:57" x14ac:dyDescent="0.15">
      <c r="N158" s="13">
        <f>[1]节奏总纲!N158</f>
        <v>165</v>
      </c>
      <c r="O158" s="13">
        <v>155</v>
      </c>
      <c r="P158" s="13">
        <f>[1]节奏总纲!P158</f>
        <v>46339.950011841604</v>
      </c>
      <c r="Q158" s="13">
        <f>[1]节奏总纲!Q158</f>
        <v>44161.972361285043</v>
      </c>
      <c r="R158" s="13">
        <f>[1]节奏总纲!R158</f>
        <v>44486.352011367941</v>
      </c>
      <c r="S158" s="13">
        <f>[1]节奏总纲!S158</f>
        <v>44486.352011367941</v>
      </c>
      <c r="T158" s="13">
        <f>[1]节奏总纲!T158</f>
        <v>44625.371861403466</v>
      </c>
      <c r="U158" s="13"/>
      <c r="V158" s="13">
        <v>155</v>
      </c>
      <c r="W158" s="13">
        <f>[1]节奏总纲!W158</f>
        <v>3103.314791635421</v>
      </c>
      <c r="X158" s="13">
        <f>[1]节奏总纲!X158</f>
        <v>7021.7027071279299</v>
      </c>
      <c r="Y158" s="13">
        <f>[1]节奏总纲!Y158</f>
        <v>9248.4943068999055</v>
      </c>
      <c r="Z158" s="13">
        <f>[1]节奏总纲!Z158</f>
        <v>9118.7844012392889</v>
      </c>
      <c r="AA158" s="13">
        <f>[1]节奏总纲!AA158</f>
        <v>9171.3309808343984</v>
      </c>
      <c r="AC158" s="8">
        <v>155</v>
      </c>
      <c r="AD158" s="12">
        <f>[1]节奏总纲!AD158</f>
        <v>72.849666392872081</v>
      </c>
      <c r="AE158" s="12">
        <f>[1]节奏总纲!AE158</f>
        <v>74.92891383002295</v>
      </c>
      <c r="AF158" s="12">
        <f>[1]节奏总纲!AF158</f>
        <v>77.791342508119982</v>
      </c>
      <c r="AG158" s="12">
        <f>[1]节奏总纲!AG158</f>
        <v>82.388951233951914</v>
      </c>
      <c r="AH158" s="12">
        <f>[1]节奏总纲!AH158</f>
        <v>91.687395742290818</v>
      </c>
      <c r="AZ158" s="8">
        <v>155</v>
      </c>
      <c r="BA158" s="12">
        <f>[1]节奏总纲!BA158</f>
        <v>40.984830450008985</v>
      </c>
      <c r="BB158" s="12">
        <f>[1]节奏总纲!BB158</f>
        <v>42.470885343049382</v>
      </c>
      <c r="BC158" s="12">
        <f>[1]节奏总纲!BC158</f>
        <v>44.412650444796341</v>
      </c>
      <c r="BD158" s="12">
        <f>[1]节奏总纲!BD158</f>
        <v>47.161821703346362</v>
      </c>
      <c r="BE158" s="12">
        <f>[1]节奏总纲!BE158</f>
        <v>51.862723837243806</v>
      </c>
    </row>
    <row r="159" spans="6:57" x14ac:dyDescent="0.15">
      <c r="N159" s="13">
        <f>[1]节奏总纲!N159</f>
        <v>166</v>
      </c>
      <c r="O159" s="13">
        <v>156</v>
      </c>
      <c r="P159" s="13">
        <f>[1]节奏总纲!P159</f>
        <v>49666.000451412707</v>
      </c>
      <c r="Q159" s="13">
        <f>[1]节奏总纲!Q159</f>
        <v>49666.000451412707</v>
      </c>
      <c r="R159" s="13">
        <f>[1]节奏总纲!R159</f>
        <v>50162.660455926831</v>
      </c>
      <c r="S159" s="13">
        <f>[1]节奏总纲!S159</f>
        <v>50162.660455926831</v>
      </c>
      <c r="T159" s="13">
        <f>[1]节奏总纲!T159</f>
        <v>50311.658457281068</v>
      </c>
      <c r="U159" s="13"/>
      <c r="V159" s="13">
        <v>156</v>
      </c>
      <c r="W159" s="13">
        <f>[1]节奏总纲!W159</f>
        <v>3326.0504395711032</v>
      </c>
      <c r="X159" s="13">
        <f>[1]节奏总纲!X159</f>
        <v>5504.0280901276637</v>
      </c>
      <c r="Y159" s="13">
        <f>[1]节奏总纲!Y159</f>
        <v>5676.3084445588902</v>
      </c>
      <c r="Z159" s="13">
        <f>[1]节奏总纲!Z159</f>
        <v>5676.3084445588902</v>
      </c>
      <c r="AA159" s="13">
        <f>[1]节奏总纲!AA159</f>
        <v>5686.2865958776019</v>
      </c>
      <c r="AC159" s="8">
        <v>156</v>
      </c>
      <c r="AD159" s="12">
        <f>[1]节奏总纲!AD159</f>
        <v>72.944425319575828</v>
      </c>
      <c r="AE159" s="12">
        <f>[1]节奏总纲!AE159</f>
        <v>75.022035011469043</v>
      </c>
      <c r="AF159" s="12">
        <f>[1]节奏总纲!AF159</f>
        <v>77.884791411421745</v>
      </c>
      <c r="AG159" s="12">
        <f>[1]节奏总纲!AG159</f>
        <v>82.481827667543882</v>
      </c>
      <c r="AH159" s="12">
        <f>[1]节奏总纲!AH159</f>
        <v>91.784102580884138</v>
      </c>
      <c r="AZ159" s="8">
        <v>156</v>
      </c>
      <c r="BA159" s="12">
        <f>[1]节奏总纲!BA159</f>
        <v>41.027136894088379</v>
      </c>
      <c r="BB159" s="12">
        <f>[1]节奏总纲!BB159</f>
        <v>42.51427628670821</v>
      </c>
      <c r="BC159" s="12">
        <f>[1]节奏总纲!BC159</f>
        <v>44.455742855302844</v>
      </c>
      <c r="BD159" s="12">
        <f>[1]节奏总纲!BD159</f>
        <v>47.203396779992147</v>
      </c>
      <c r="BE159" s="12">
        <f>[1]节奏总纲!BE159</f>
        <v>51.908935373081505</v>
      </c>
    </row>
    <row r="160" spans="6:57" x14ac:dyDescent="0.15">
      <c r="N160" s="13">
        <f>[1]节奏总纲!N160</f>
        <v>167</v>
      </c>
      <c r="O160" s="13">
        <v>157</v>
      </c>
      <c r="P160" s="13">
        <f>[1]节奏总纲!P160</f>
        <v>53230.773047602182</v>
      </c>
      <c r="Q160" s="13">
        <f>[1]节奏总纲!Q160</f>
        <v>53230.773047602182</v>
      </c>
      <c r="R160" s="13">
        <f>[1]节奏总纲!R160</f>
        <v>53763.080778078205</v>
      </c>
      <c r="S160" s="13">
        <f>[1]节奏总纲!S160</f>
        <v>53763.080778078205</v>
      </c>
      <c r="T160" s="13">
        <f>[1]节奏总纲!T160</f>
        <v>53763.080778078205</v>
      </c>
      <c r="U160" s="13"/>
      <c r="V160" s="13">
        <v>157</v>
      </c>
      <c r="W160" s="13">
        <f>[1]节奏总纲!W160</f>
        <v>3564.7725961894757</v>
      </c>
      <c r="X160" s="13">
        <f>[1]节奏总纲!X160</f>
        <v>3564.7725961894757</v>
      </c>
      <c r="Y160" s="13">
        <f>[1]节奏总纲!Y160</f>
        <v>3600.4203221513744</v>
      </c>
      <c r="Z160" s="13">
        <f>[1]节奏总纲!Z160</f>
        <v>3600.4203221513744</v>
      </c>
      <c r="AA160" s="13">
        <f>[1]节奏总纲!AA160</f>
        <v>3451.4223207971372</v>
      </c>
      <c r="AC160" s="8">
        <v>157</v>
      </c>
      <c r="AD160" s="12">
        <f>[1]节奏总纲!AD160</f>
        <v>73.036560194527354</v>
      </c>
      <c r="AE160" s="12">
        <f>[1]节奏总纲!AE160</f>
        <v>75.111147990406067</v>
      </c>
      <c r="AF160" s="12">
        <f>[1]节奏总纲!AF160</f>
        <v>77.978240314723507</v>
      </c>
      <c r="AG160" s="12">
        <f>[1]节奏总纲!AG160</f>
        <v>82.574704101135836</v>
      </c>
      <c r="AH160" s="12">
        <f>[1]节奏总纲!AH160</f>
        <v>91.880809419477458</v>
      </c>
      <c r="AZ160" s="8">
        <v>157</v>
      </c>
      <c r="BA160" s="12">
        <f>[1]节奏总纲!BA160</f>
        <v>41.067363109180121</v>
      </c>
      <c r="BB160" s="12">
        <f>[1]节奏总纲!BB160</f>
        <v>42.557667230367045</v>
      </c>
      <c r="BC160" s="12">
        <f>[1]节奏总纲!BC160</f>
        <v>44.498835265809355</v>
      </c>
      <c r="BD160" s="12">
        <f>[1]节奏总纲!BD160</f>
        <v>47.244971856637939</v>
      </c>
      <c r="BE160" s="12">
        <f>[1]节奏总纲!BE160</f>
        <v>51.955146908919197</v>
      </c>
    </row>
    <row r="161" spans="14:57" x14ac:dyDescent="0.15">
      <c r="N161" s="13">
        <f>[1]节奏总纲!N161</f>
        <v>168</v>
      </c>
      <c r="O161" s="13">
        <v>158</v>
      </c>
      <c r="P161" s="13">
        <f>[1]节奏总纲!P161</f>
        <v>57051.401716174769</v>
      </c>
      <c r="Q161" s="13">
        <f>[1]节奏总纲!Q161</f>
        <v>57051.401716174769</v>
      </c>
      <c r="R161" s="13">
        <f>[1]节奏总纲!R161</f>
        <v>57621.915733336515</v>
      </c>
      <c r="S161" s="13">
        <f>[1]节奏总纲!S161</f>
        <v>57621.915733336515</v>
      </c>
      <c r="T161" s="13">
        <f>[1]节奏总纲!T161</f>
        <v>57621.915733336515</v>
      </c>
      <c r="U161" s="13"/>
      <c r="V161" s="13">
        <v>158</v>
      </c>
      <c r="W161" s="13">
        <f>[1]节奏总纲!W161</f>
        <v>3820.6286685725863</v>
      </c>
      <c r="X161" s="13">
        <f>[1]节奏总纲!X161</f>
        <v>3820.6286685725863</v>
      </c>
      <c r="Y161" s="13">
        <f>[1]节奏总纲!Y161</f>
        <v>3858.8349552583095</v>
      </c>
      <c r="Z161" s="13">
        <f>[1]节奏总纲!Z161</f>
        <v>3858.8349552583095</v>
      </c>
      <c r="AA161" s="13">
        <f>[1]节奏总纲!AA161</f>
        <v>3858.8349552583095</v>
      </c>
      <c r="AC161" s="8">
        <v>158</v>
      </c>
      <c r="AD161" s="12">
        <f>[1]节奏总纲!AD161</f>
        <v>73.124973399384572</v>
      </c>
      <c r="AE161" s="12">
        <f>[1]节奏总纲!AE161</f>
        <v>75.200260969343077</v>
      </c>
      <c r="AF161" s="12">
        <f>[1]节奏总纲!AF161</f>
        <v>78.066694029528094</v>
      </c>
      <c r="AG161" s="12">
        <f>[1]节奏总纲!AG161</f>
        <v>82.667580534727804</v>
      </c>
      <c r="AH161" s="12">
        <f>[1]节奏总纲!AH161</f>
        <v>91.977516258070779</v>
      </c>
      <c r="AZ161" s="8">
        <v>158</v>
      </c>
      <c r="BA161" s="12">
        <f>[1]节奏总纲!BA161</f>
        <v>41.107589324271871</v>
      </c>
      <c r="BB161" s="12">
        <f>[1]节奏总纲!BB161</f>
        <v>42.601058174025873</v>
      </c>
      <c r="BC161" s="12">
        <f>[1]节奏总纲!BC161</f>
        <v>44.541927676315858</v>
      </c>
      <c r="BD161" s="12">
        <f>[1]节奏总纲!BD161</f>
        <v>47.286546933283724</v>
      </c>
      <c r="BE161" s="12">
        <f>[1]节奏总纲!BE161</f>
        <v>52.001173105835825</v>
      </c>
    </row>
    <row r="162" spans="14:57" x14ac:dyDescent="0.15">
      <c r="N162" s="13">
        <f>[1]节奏总纲!N162</f>
        <v>169</v>
      </c>
      <c r="O162" s="13">
        <v>159</v>
      </c>
      <c r="P162" s="13">
        <f>[1]节奏总纲!P162</f>
        <v>61146.25013335624</v>
      </c>
      <c r="Q162" s="13">
        <f>[1]节奏总纲!Q162</f>
        <v>61146.25013335624</v>
      </c>
      <c r="R162" s="13">
        <f>[1]节奏总纲!R162</f>
        <v>61757.7126346898</v>
      </c>
      <c r="S162" s="13">
        <f>[1]节奏总纲!S162</f>
        <v>61757.7126346898</v>
      </c>
      <c r="T162" s="13">
        <f>[1]节奏总纲!T162</f>
        <v>61757.7126346898</v>
      </c>
      <c r="U162" s="13"/>
      <c r="V162" s="13">
        <v>159</v>
      </c>
      <c r="W162" s="13">
        <f>[1]节奏总纲!W162</f>
        <v>4094.8484171814707</v>
      </c>
      <c r="X162" s="13">
        <f>[1]节奏总纲!X162</f>
        <v>4094.8484171814707</v>
      </c>
      <c r="Y162" s="13">
        <f>[1]节奏总纲!Y162</f>
        <v>4135.7969013532856</v>
      </c>
      <c r="Z162" s="13">
        <f>[1]节奏总纲!Z162</f>
        <v>4135.7969013532856</v>
      </c>
      <c r="AA162" s="13">
        <f>[1]节奏总纲!AA162</f>
        <v>4135.7969013532856</v>
      </c>
      <c r="AC162" s="8">
        <v>159</v>
      </c>
      <c r="AD162" s="12">
        <f>[1]节奏总纲!AD162</f>
        <v>73.213386604241791</v>
      </c>
      <c r="AE162" s="12">
        <f>[1]节奏总纲!AE162</f>
        <v>75.289373948280101</v>
      </c>
      <c r="AF162" s="12">
        <f>[1]节奏总纲!AF162</f>
        <v>78.153631564737054</v>
      </c>
      <c r="AG162" s="12">
        <f>[1]节奏总纲!AG162</f>
        <v>82.760456968319758</v>
      </c>
      <c r="AH162" s="12">
        <f>[1]节奏总纲!AH162</f>
        <v>92.073570757788559</v>
      </c>
      <c r="AZ162" s="8">
        <v>159</v>
      </c>
      <c r="BA162" s="12">
        <f>[1]节奏总纲!BA162</f>
        <v>41.147815539363613</v>
      </c>
      <c r="BB162" s="12">
        <f>[1]节奏总纲!BB162</f>
        <v>42.644449117684701</v>
      </c>
      <c r="BC162" s="12">
        <f>[1]节奏总纲!BC162</f>
        <v>44.585020086822361</v>
      </c>
      <c r="BD162" s="12">
        <f>[1]节奏总纲!BD162</f>
        <v>47.328122009929508</v>
      </c>
      <c r="BE162" s="12">
        <f>[1]节奏总纲!BE162</f>
        <v>52.041079787427918</v>
      </c>
    </row>
    <row r="163" spans="14:57" x14ac:dyDescent="0.15">
      <c r="N163" s="13">
        <f>[1]节奏总纲!N163</f>
        <v>170</v>
      </c>
      <c r="O163" s="13">
        <v>160</v>
      </c>
      <c r="P163" s="13">
        <f>[1]节奏总纲!P163</f>
        <v>65535</v>
      </c>
      <c r="Q163" s="13">
        <f>[1]节奏总纲!Q163</f>
        <v>65535</v>
      </c>
      <c r="R163" s="13">
        <f>[1]节奏总纲!R163</f>
        <v>66190.350000000006</v>
      </c>
      <c r="S163" s="13">
        <f>[1]节奏总纲!S163</f>
        <v>66190.350000000006</v>
      </c>
      <c r="T163" s="13">
        <f>[1]节奏总纲!T163</f>
        <v>66190.350000000006</v>
      </c>
      <c r="U163" s="13"/>
      <c r="V163" s="13">
        <v>160</v>
      </c>
      <c r="W163" s="13">
        <f>[1]节奏总纲!W163</f>
        <v>4388.7498666437605</v>
      </c>
      <c r="X163" s="13">
        <f>[1]节奏总纲!X163</f>
        <v>4388.7498666437605</v>
      </c>
      <c r="Y163" s="13">
        <f>[1]节奏总纲!Y163</f>
        <v>4432.6373653102055</v>
      </c>
      <c r="Z163" s="13">
        <f>[1]节奏总纲!Z163</f>
        <v>4432.6373653102055</v>
      </c>
      <c r="AA163" s="13">
        <f>[1]节奏总纲!AA163</f>
        <v>4432.6373653102055</v>
      </c>
      <c r="AC163" s="8">
        <v>160</v>
      </c>
      <c r="AD163" s="12">
        <f>[1]节奏总纲!AD163</f>
        <v>73.301799809099009</v>
      </c>
      <c r="AE163" s="12">
        <f>[1]节奏总纲!AE163</f>
        <v>75.378486927217125</v>
      </c>
      <c r="AF163" s="12">
        <f>[1]节奏总纲!AF163</f>
        <v>78.240569099946029</v>
      </c>
      <c r="AG163" s="12">
        <f>[1]节奏总纲!AG163</f>
        <v>82.853333401911726</v>
      </c>
      <c r="AH163" s="12">
        <f>[1]节奏总纲!AH163</f>
        <v>92.169427650297976</v>
      </c>
      <c r="AZ163" s="8">
        <v>160</v>
      </c>
      <c r="BA163" s="12">
        <f>[1]节奏总纲!BA163</f>
        <v>41.188041754455355</v>
      </c>
      <c r="BB163" s="12">
        <f>[1]节奏总纲!BB163</f>
        <v>42.687840061343536</v>
      </c>
      <c r="BC163" s="12">
        <f>[1]节奏总纲!BC163</f>
        <v>44.628112497328864</v>
      </c>
      <c r="BD163" s="12">
        <f>[1]节奏总纲!BD163</f>
        <v>47.3696970865753</v>
      </c>
      <c r="BE163" s="12">
        <f>[1]节奏总纲!BE163</f>
        <v>52.080986469020011</v>
      </c>
    </row>
    <row r="164" spans="14:57" x14ac:dyDescent="0.15">
      <c r="AC164" s="8">
        <v>161</v>
      </c>
      <c r="AD164" s="12">
        <f>[1]节奏总纲!AD164</f>
        <v>73.390213013956213</v>
      </c>
      <c r="AE164" s="12">
        <f>[1]节奏总纲!AE164</f>
        <v>75.467599906154135</v>
      </c>
      <c r="AF164" s="12">
        <f>[1]节奏总纲!AF164</f>
        <v>78.32750663515499</v>
      </c>
      <c r="AG164" s="12">
        <f>[1]节奏总纲!AG164</f>
        <v>82.94620983550368</v>
      </c>
      <c r="AH164" s="12">
        <f>[1]节奏总纲!AH164</f>
        <v>92.265284542807379</v>
      </c>
      <c r="AZ164" s="8">
        <v>161</v>
      </c>
      <c r="BA164" s="12">
        <f>[1]节奏总纲!BA164</f>
        <v>41.228267969547105</v>
      </c>
      <c r="BB164" s="12">
        <f>[1]节奏总纲!BB164</f>
        <v>42.731231005002364</v>
      </c>
      <c r="BC164" s="12">
        <f>[1]节奏总纲!BC164</f>
        <v>44.671204907835367</v>
      </c>
      <c r="BD164" s="12">
        <f>[1]节奏总纲!BD164</f>
        <v>47.411272163221085</v>
      </c>
      <c r="BE164" s="12">
        <f>[1]节奏总纲!BE164</f>
        <v>52.120893150612112</v>
      </c>
    </row>
    <row r="165" spans="14:57" x14ac:dyDescent="0.15">
      <c r="AC165" s="8">
        <v>162</v>
      </c>
      <c r="AD165" s="12">
        <f>[1]节奏总纲!AD165</f>
        <v>73.478626218813432</v>
      </c>
      <c r="AE165" s="12">
        <f>[1]节奏总纲!AE165</f>
        <v>75.556712885091159</v>
      </c>
      <c r="AF165" s="12">
        <f>[1]节奏总纲!AF165</f>
        <v>78.414444170363964</v>
      </c>
      <c r="AG165" s="12">
        <f>[1]节奏总纲!AG165</f>
        <v>83.036921590135321</v>
      </c>
      <c r="AH165" s="12">
        <f>[1]节奏总纲!AH165</f>
        <v>92.361141435316796</v>
      </c>
      <c r="AZ165" s="8">
        <v>162</v>
      </c>
      <c r="BA165" s="12">
        <f>[1]节奏总纲!BA165</f>
        <v>41.268494184638847</v>
      </c>
      <c r="BB165" s="12">
        <f>[1]节奏总纲!BB165</f>
        <v>42.774621948661192</v>
      </c>
      <c r="BC165" s="12">
        <f>[1]节奏总纲!BC165</f>
        <v>44.714297318341877</v>
      </c>
      <c r="BD165" s="12">
        <f>[1]节奏总纲!BD165</f>
        <v>47.452847239866877</v>
      </c>
      <c r="BE165" s="12">
        <f>[1]节奏总纲!BE165</f>
        <v>52.160799832204205</v>
      </c>
    </row>
    <row r="166" spans="14:57" x14ac:dyDescent="0.15">
      <c r="AC166" s="8">
        <v>163</v>
      </c>
      <c r="AD166" s="12">
        <f>[1]节奏总纲!AD166</f>
        <v>73.56703942367065</v>
      </c>
      <c r="AE166" s="12">
        <f>[1]节奏总纲!AE166</f>
        <v>75.645825864028183</v>
      </c>
      <c r="AF166" s="12">
        <f>[1]节奏总纲!AF166</f>
        <v>78.501381705572925</v>
      </c>
      <c r="AG166" s="12">
        <f>[1]节奏总纲!AG166</f>
        <v>83.124654333465756</v>
      </c>
      <c r="AH166" s="12">
        <f>[1]节奏总纲!AH166</f>
        <v>92.456998327826213</v>
      </c>
      <c r="AZ166" s="8">
        <v>163</v>
      </c>
      <c r="BA166" s="12">
        <f>[1]节奏总纲!BA166</f>
        <v>41.308720399730589</v>
      </c>
      <c r="BB166" s="12">
        <f>[1]节奏总纲!BB166</f>
        <v>42.818012892320027</v>
      </c>
      <c r="BC166" s="12">
        <f>[1]节奏总纲!BC166</f>
        <v>44.757389728848381</v>
      </c>
      <c r="BD166" s="12">
        <f>[1]节奏总纲!BD166</f>
        <v>47.494422316512662</v>
      </c>
      <c r="BE166" s="12">
        <f>[1]节奏总纲!BE166</f>
        <v>52.200706513796298</v>
      </c>
    </row>
    <row r="167" spans="14:57" x14ac:dyDescent="0.15">
      <c r="AC167" s="8">
        <v>164</v>
      </c>
      <c r="AD167" s="12">
        <f>[1]节奏总纲!AD167</f>
        <v>73.655452628527868</v>
      </c>
      <c r="AE167" s="12">
        <f>[1]节奏总纲!AE167</f>
        <v>75.734938842965192</v>
      </c>
      <c r="AF167" s="12">
        <f>[1]节奏总纲!AF167</f>
        <v>78.5883192407819</v>
      </c>
      <c r="AG167" s="12">
        <f>[1]节奏总纲!AG167</f>
        <v>83.21238707679619</v>
      </c>
      <c r="AH167" s="12">
        <f>[1]节奏总纲!AH167</f>
        <v>92.55285522033563</v>
      </c>
      <c r="AZ167" s="8">
        <v>164</v>
      </c>
      <c r="BA167" s="12">
        <f>[1]节奏总纲!BA167</f>
        <v>41.348946614822331</v>
      </c>
      <c r="BB167" s="12">
        <f>[1]节奏总纲!BB167</f>
        <v>42.861403835978855</v>
      </c>
      <c r="BC167" s="12">
        <f>[1]节奏总纲!BC167</f>
        <v>44.800482139354884</v>
      </c>
      <c r="BD167" s="12">
        <f>[1]节奏总纲!BD167</f>
        <v>47.535997393158453</v>
      </c>
      <c r="BE167" s="12">
        <f>[1]节奏总纲!BE167</f>
        <v>52.240613195388391</v>
      </c>
    </row>
    <row r="168" spans="14:57" x14ac:dyDescent="0.15">
      <c r="AC168" s="8">
        <v>165</v>
      </c>
      <c r="AD168" s="12">
        <f>[1]节奏总纲!AD168</f>
        <v>73.743865833385087</v>
      </c>
      <c r="AE168" s="12">
        <f>[1]节奏总纲!AE168</f>
        <v>75.824051821902216</v>
      </c>
      <c r="AF168" s="12">
        <f>[1]节奏总纲!AF168</f>
        <v>78.67525677599086</v>
      </c>
      <c r="AG168" s="12">
        <f>[1]节奏总纲!AG168</f>
        <v>83.300119820126625</v>
      </c>
      <c r="AH168" s="12">
        <f>[1]节奏总纲!AH168</f>
        <v>92.648712112845047</v>
      </c>
      <c r="AZ168" s="8">
        <v>165</v>
      </c>
      <c r="BA168" s="12">
        <f>[1]节奏总纲!BA168</f>
        <v>41.389172829914081</v>
      </c>
      <c r="BB168" s="12">
        <f>[1]节奏总纲!BB168</f>
        <v>42.904794779637683</v>
      </c>
      <c r="BC168" s="12">
        <f>[1]节奏总纲!BC168</f>
        <v>44.843574549861387</v>
      </c>
      <c r="BD168" s="12">
        <f>[1]节奏总纲!BD168</f>
        <v>47.577572469804238</v>
      </c>
      <c r="BE168" s="12">
        <f>[1]节奏总纲!BE168</f>
        <v>52.280519876980485</v>
      </c>
    </row>
    <row r="169" spans="14:57" x14ac:dyDescent="0.15">
      <c r="AC169" s="8">
        <v>166</v>
      </c>
      <c r="AD169" s="12">
        <f>[1]节奏总纲!AD169</f>
        <v>73.832279038242305</v>
      </c>
      <c r="AE169" s="12">
        <f>[1]节奏总纲!AE169</f>
        <v>75.91316480083924</v>
      </c>
      <c r="AF169" s="12">
        <f>[1]节奏总纲!AF169</f>
        <v>78.762194311199835</v>
      </c>
      <c r="AG169" s="12">
        <f>[1]节奏总纲!AG169</f>
        <v>83.387852563457059</v>
      </c>
      <c r="AH169" s="12">
        <f>[1]节奏总纲!AH169</f>
        <v>92.744569005354464</v>
      </c>
      <c r="AZ169" s="8">
        <v>166</v>
      </c>
      <c r="BA169" s="12">
        <f>[1]节奏总纲!BA169</f>
        <v>41.429399045005823</v>
      </c>
      <c r="BB169" s="12">
        <f>[1]节奏总纲!BB169</f>
        <v>42.948185723296518</v>
      </c>
      <c r="BC169" s="12">
        <f>[1]节奏总纲!BC169</f>
        <v>44.88666696036789</v>
      </c>
      <c r="BD169" s="12">
        <f>[1]节奏总纲!BD169</f>
        <v>47.619147546450023</v>
      </c>
      <c r="BE169" s="12">
        <f>[1]节奏总纲!BE169</f>
        <v>52.320426558572585</v>
      </c>
    </row>
    <row r="170" spans="14:57" x14ac:dyDescent="0.15">
      <c r="AC170" s="8">
        <v>167</v>
      </c>
      <c r="AD170" s="12">
        <f>[1]节奏总纲!AD170</f>
        <v>73.920692243099523</v>
      </c>
      <c r="AE170" s="12">
        <f>[1]节奏总纲!AE170</f>
        <v>76.002103770254962</v>
      </c>
      <c r="AF170" s="12">
        <f>[1]节奏总纲!AF170</f>
        <v>78.849131846408795</v>
      </c>
      <c r="AG170" s="12">
        <f>[1]节奏总纲!AG170</f>
        <v>83.475585306787494</v>
      </c>
      <c r="AH170" s="12">
        <f>[1]节奏总纲!AH170</f>
        <v>92.840425897863867</v>
      </c>
      <c r="AZ170" s="8">
        <v>167</v>
      </c>
      <c r="BA170" s="12">
        <f>[1]节奏总纲!BA170</f>
        <v>41.469625260097565</v>
      </c>
      <c r="BB170" s="12">
        <f>[1]节奏总纲!BB170</f>
        <v>42.991576666955346</v>
      </c>
      <c r="BC170" s="12">
        <f>[1]节奏总纲!BC170</f>
        <v>44.9297593708744</v>
      </c>
      <c r="BD170" s="12">
        <f>[1]节奏总纲!BD170</f>
        <v>47.660722623095815</v>
      </c>
      <c r="BE170" s="12">
        <f>[1]节奏总纲!BE170</f>
        <v>52.360333240164678</v>
      </c>
    </row>
    <row r="171" spans="14:57" x14ac:dyDescent="0.15">
      <c r="AC171" s="8">
        <v>168</v>
      </c>
      <c r="AD171" s="12">
        <f>[1]节奏总纲!AD171</f>
        <v>74.008495683346354</v>
      </c>
      <c r="AE171" s="12">
        <f>[1]节奏总纲!AE171</f>
        <v>76.084409020469636</v>
      </c>
      <c r="AF171" s="12">
        <f>[1]节奏总纲!AF171</f>
        <v>78.93606938161777</v>
      </c>
      <c r="AG171" s="12">
        <f>[1]节奏总纲!AG171</f>
        <v>83.563318050117928</v>
      </c>
      <c r="AH171" s="12">
        <f>[1]节奏总纲!AH171</f>
        <v>92.936282790373284</v>
      </c>
      <c r="AZ171" s="8">
        <v>168</v>
      </c>
      <c r="BA171" s="12">
        <f>[1]节奏总纲!BA171</f>
        <v>41.509851475189308</v>
      </c>
      <c r="BB171" s="12">
        <f>[1]节奏总纲!BB171</f>
        <v>43.030177309109042</v>
      </c>
      <c r="BC171" s="12">
        <f>[1]节奏总纲!BC171</f>
        <v>44.972851781380903</v>
      </c>
      <c r="BD171" s="12">
        <f>[1]节奏总纲!BD171</f>
        <v>47.7022976997416</v>
      </c>
      <c r="BE171" s="12">
        <f>[1]节奏总纲!BE171</f>
        <v>52.400239921756771</v>
      </c>
    </row>
    <row r="172" spans="14:57" x14ac:dyDescent="0.15">
      <c r="AC172" s="8">
        <v>169</v>
      </c>
      <c r="AD172" s="12">
        <f>[1]节奏总纲!AD172</f>
        <v>74.090988120365651</v>
      </c>
      <c r="AE172" s="12">
        <f>[1]节奏总纲!AE172</f>
        <v>76.166714270684309</v>
      </c>
      <c r="AF172" s="12">
        <f>[1]节奏总纲!AF172</f>
        <v>79.022812309215297</v>
      </c>
      <c r="AG172" s="12">
        <f>[1]节奏总纲!AG172</f>
        <v>83.651050793448363</v>
      </c>
      <c r="AH172" s="12">
        <f>[1]节奏总纲!AH172</f>
        <v>93.030170797284541</v>
      </c>
      <c r="AZ172" s="8">
        <v>169</v>
      </c>
      <c r="BA172" s="12">
        <f>[1]节奏总纲!BA172</f>
        <v>41.550077690281057</v>
      </c>
      <c r="BB172" s="12">
        <f>[1]节奏总纲!BB172</f>
        <v>43.067624017543686</v>
      </c>
      <c r="BC172" s="12">
        <f>[1]节奏总纲!BC172</f>
        <v>45.013762077986961</v>
      </c>
      <c r="BD172" s="12">
        <f>[1]节奏总纲!BD172</f>
        <v>47.743872776387391</v>
      </c>
      <c r="BE172" s="12">
        <f>[1]节奏总纲!BE172</f>
        <v>52.440146603348865</v>
      </c>
    </row>
    <row r="173" spans="14:57" x14ac:dyDescent="0.15">
      <c r="AC173" s="8">
        <v>170</v>
      </c>
      <c r="AD173" s="12">
        <f>[1]节奏总纲!AD173</f>
        <v>74.173480557384934</v>
      </c>
      <c r="AE173" s="12">
        <f>[1]节奏总纲!AE173</f>
        <v>76.249019520898997</v>
      </c>
      <c r="AF173" s="12">
        <f>[1]节奏总纲!AF173</f>
        <v>79.109014469658547</v>
      </c>
      <c r="AG173" s="12">
        <f>[1]节奏总纲!AG173</f>
        <v>83.738783536778797</v>
      </c>
      <c r="AH173" s="12">
        <f>[1]节奏总纲!AH173</f>
        <v>93.1201554708354</v>
      </c>
      <c r="AZ173" s="8">
        <v>170</v>
      </c>
      <c r="BA173" s="12">
        <f>[1]节奏总纲!BA173</f>
        <v>41.590303905372799</v>
      </c>
      <c r="BB173" s="12">
        <f>[1]节奏总纲!BB173</f>
        <v>43.105070725978337</v>
      </c>
      <c r="BC173" s="12">
        <f>[1]节奏总纲!BC173</f>
        <v>45.050956883357138</v>
      </c>
      <c r="BD173" s="12">
        <f>[1]节奏总纲!BD173</f>
        <v>47.785447853033176</v>
      </c>
      <c r="BE173" s="12">
        <f>[1]节奏总纲!BE173</f>
        <v>52.480053284940965</v>
      </c>
    </row>
    <row r="174" spans="14:57" x14ac:dyDescent="0.15">
      <c r="AC174" s="8">
        <v>171</v>
      </c>
      <c r="AD174" s="12">
        <f>[1]节奏总纲!AD174</f>
        <v>74.255972994404218</v>
      </c>
      <c r="AE174" s="12">
        <f>[1]节奏总纲!AE174</f>
        <v>76.331324771113671</v>
      </c>
      <c r="AF174" s="12">
        <f>[1]节奏总纲!AF174</f>
        <v>79.195216630101797</v>
      </c>
      <c r="AG174" s="12">
        <f>[1]节奏总纲!AG174</f>
        <v>83.826516280109232</v>
      </c>
      <c r="AH174" s="12">
        <f>[1]节奏总纲!AH174</f>
        <v>93.210140144386244</v>
      </c>
      <c r="AZ174" s="8">
        <v>171</v>
      </c>
      <c r="BA174" s="12">
        <f>[1]节奏总纲!BA174</f>
        <v>41.630530120464542</v>
      </c>
      <c r="BB174" s="12">
        <f>[1]节奏总纲!BB174</f>
        <v>43.14251743441298</v>
      </c>
      <c r="BC174" s="12">
        <f>[1]节奏总纲!BC174</f>
        <v>45.088151688727308</v>
      </c>
      <c r="BD174" s="12">
        <f>[1]节奏总纲!BD174</f>
        <v>47.827022929678968</v>
      </c>
      <c r="BE174" s="12">
        <f>[1]节奏总纲!BE174</f>
        <v>52.519959966533058</v>
      </c>
    </row>
    <row r="175" spans="14:57" x14ac:dyDescent="0.15">
      <c r="AC175" s="8">
        <v>172</v>
      </c>
      <c r="AD175" s="12">
        <f>[1]节奏总纲!AD175</f>
        <v>74.338465431423501</v>
      </c>
      <c r="AE175" s="12">
        <f>[1]节奏总纲!AE175</f>
        <v>76.413630021328345</v>
      </c>
      <c r="AF175" s="12">
        <f>[1]节奏总纲!AF175</f>
        <v>79.281418790545047</v>
      </c>
      <c r="AG175" s="12">
        <f>[1]节奏总纲!AG175</f>
        <v>83.914249023439666</v>
      </c>
      <c r="AH175" s="12">
        <f>[1]节奏总纲!AH175</f>
        <v>93.300124817937103</v>
      </c>
      <c r="AZ175" s="8">
        <v>172</v>
      </c>
      <c r="BA175" s="12">
        <f>[1]节奏总纲!BA175</f>
        <v>41.670756335556291</v>
      </c>
      <c r="BB175" s="12">
        <f>[1]节奏总纲!BB175</f>
        <v>43.179964142847631</v>
      </c>
      <c r="BC175" s="12">
        <f>[1]节奏总纲!BC175</f>
        <v>45.125346494097485</v>
      </c>
      <c r="BD175" s="12">
        <f>[1]节奏总纲!BD175</f>
        <v>47.868598006324753</v>
      </c>
      <c r="BE175" s="12">
        <f>[1]节奏总纲!BE175</f>
        <v>52.559866648125151</v>
      </c>
    </row>
    <row r="176" spans="14:57" x14ac:dyDescent="0.15">
      <c r="AC176" s="8">
        <v>173</v>
      </c>
      <c r="AD176" s="12">
        <f>[1]节奏总纲!AD176</f>
        <v>74.420957868442784</v>
      </c>
      <c r="AE176" s="12">
        <f>[1]节奏总纲!AE176</f>
        <v>76.495935271543019</v>
      </c>
      <c r="AF176" s="12">
        <f>[1]节奏总纲!AF176</f>
        <v>79.367620950988297</v>
      </c>
      <c r="AG176" s="12">
        <f>[1]节奏总纲!AG176</f>
        <v>84.00179325525086</v>
      </c>
      <c r="AH176" s="12">
        <f>[1]节奏总纲!AH176</f>
        <v>93.390109491487962</v>
      </c>
      <c r="AZ176" s="8">
        <v>173</v>
      </c>
      <c r="BA176" s="12">
        <f>[1]节奏总纲!BA176</f>
        <v>41.710982550648033</v>
      </c>
      <c r="BB176" s="12">
        <f>[1]节奏总纲!BB176</f>
        <v>43.217410851282274</v>
      </c>
      <c r="BC176" s="12">
        <f>[1]节奏总纲!BC176</f>
        <v>45.162541299467655</v>
      </c>
      <c r="BD176" s="12">
        <f>[1]节奏总纲!BD176</f>
        <v>47.910173082970537</v>
      </c>
      <c r="BE176" s="12">
        <f>[1]节奏总纲!BE176</f>
        <v>52.599773329717245</v>
      </c>
    </row>
    <row r="177" spans="29:57" x14ac:dyDescent="0.15">
      <c r="AC177" s="8">
        <v>174</v>
      </c>
      <c r="AD177" s="12">
        <f>[1]节奏总纲!AD177</f>
        <v>74.503450305462081</v>
      </c>
      <c r="AE177" s="12">
        <f>[1]节奏总纲!AE177</f>
        <v>76.578240521757706</v>
      </c>
      <c r="AF177" s="12">
        <f>[1]节奏总纲!AF177</f>
        <v>79.453823111431561</v>
      </c>
      <c r="AG177" s="12">
        <f>[1]节奏总纲!AG177</f>
        <v>84.08118060043364</v>
      </c>
      <c r="AH177" s="12">
        <f>[1]节奏总纲!AH177</f>
        <v>93.480094165038807</v>
      </c>
      <c r="AZ177" s="8">
        <v>174</v>
      </c>
      <c r="BA177" s="12">
        <f>[1]节奏总纲!BA177</f>
        <v>41.751208765739776</v>
      </c>
      <c r="BB177" s="12">
        <f>[1]节奏总纲!BB177</f>
        <v>43.254857559716925</v>
      </c>
      <c r="BC177" s="12">
        <f>[1]节奏总纲!BC177</f>
        <v>45.199736104837832</v>
      </c>
      <c r="BD177" s="12">
        <f>[1]节奏总纲!BD177</f>
        <v>47.951748159616329</v>
      </c>
      <c r="BE177" s="12">
        <f>[1]节奏总纲!BE177</f>
        <v>52.639680011309345</v>
      </c>
    </row>
    <row r="178" spans="29:57" x14ac:dyDescent="0.15">
      <c r="AC178" s="8">
        <v>175</v>
      </c>
      <c r="AD178" s="12">
        <f>[1]节奏总纲!AD178</f>
        <v>74.585942742481365</v>
      </c>
      <c r="AE178" s="12">
        <f>[1]节奏总纲!AE178</f>
        <v>76.66054577197238</v>
      </c>
      <c r="AF178" s="12">
        <f>[1]节奏总纲!AF178</f>
        <v>79.540025271874811</v>
      </c>
      <c r="AG178" s="12">
        <f>[1]节奏总纲!AG178</f>
        <v>84.160567945616407</v>
      </c>
      <c r="AH178" s="12">
        <f>[1]节奏总纲!AH178</f>
        <v>93.570078838589666</v>
      </c>
      <c r="AZ178" s="8">
        <v>175</v>
      </c>
      <c r="BA178" s="12">
        <f>[1]节奏总纲!BA178</f>
        <v>41.791434980831518</v>
      </c>
      <c r="BB178" s="12">
        <f>[1]节奏总纲!BB178</f>
        <v>43.292304268151575</v>
      </c>
      <c r="BC178" s="12">
        <f>[1]节奏总纲!BC178</f>
        <v>45.236930910208002</v>
      </c>
      <c r="BD178" s="12">
        <f>[1]节奏总纲!BD178</f>
        <v>47.993323236262114</v>
      </c>
      <c r="BE178" s="12">
        <f>[1]节奏总纲!BE178</f>
        <v>52.679586692901438</v>
      </c>
    </row>
    <row r="179" spans="29:57" x14ac:dyDescent="0.15">
      <c r="AC179" s="8">
        <v>176</v>
      </c>
      <c r="AD179" s="12">
        <f>[1]节奏总纲!AD179</f>
        <v>74.668435179500648</v>
      </c>
      <c r="AE179" s="12">
        <f>[1]节奏总纲!AE179</f>
        <v>76.742851022187054</v>
      </c>
      <c r="AF179" s="12">
        <f>[1]节奏总纲!AF179</f>
        <v>79.626227432318061</v>
      </c>
      <c r="AG179" s="12">
        <f>[1]节奏总纲!AG179</f>
        <v>84.239955290799188</v>
      </c>
      <c r="AH179" s="12">
        <f>[1]节奏总纲!AH179</f>
        <v>93.660063512140525</v>
      </c>
      <c r="AZ179" s="8">
        <v>176</v>
      </c>
      <c r="BA179" s="12">
        <f>[1]节奏总纲!BA179</f>
        <v>41.831661195923267</v>
      </c>
      <c r="BB179" s="12">
        <f>[1]节奏总纲!BB179</f>
        <v>43.329750976586219</v>
      </c>
      <c r="BC179" s="12">
        <f>[1]节奏总纲!BC179</f>
        <v>45.274125715578172</v>
      </c>
      <c r="BD179" s="12">
        <f>[1]节奏总纲!BD179</f>
        <v>48.030128751164234</v>
      </c>
      <c r="BE179" s="12">
        <f>[1]节奏总纲!BE179</f>
        <v>52.719493374493531</v>
      </c>
    </row>
    <row r="180" spans="29:57" x14ac:dyDescent="0.15">
      <c r="AC180" s="8">
        <v>177</v>
      </c>
      <c r="AD180" s="12">
        <f>[1]节奏总纲!AD180</f>
        <v>74.750927616519931</v>
      </c>
      <c r="AE180" s="12">
        <f>[1]节奏总纲!AE180</f>
        <v>76.825156272401728</v>
      </c>
      <c r="AF180" s="12">
        <f>[1]节奏总纲!AF180</f>
        <v>79.71242959276131</v>
      </c>
      <c r="AG180" s="12">
        <f>[1]节奏总纲!AG180</f>
        <v>84.319342635981968</v>
      </c>
      <c r="AH180" s="12">
        <f>[1]节奏总纲!AH180</f>
        <v>93.750048185691369</v>
      </c>
      <c r="AZ180" s="8">
        <v>177</v>
      </c>
      <c r="BA180" s="12">
        <f>[1]节奏总纲!BA180</f>
        <v>41.87188741101501</v>
      </c>
      <c r="BB180" s="12">
        <f>[1]节奏总纲!BB180</f>
        <v>43.367197685020869</v>
      </c>
      <c r="BC180" s="12">
        <f>[1]节奏总纲!BC180</f>
        <v>45.31132052094835</v>
      </c>
      <c r="BD180" s="12">
        <f>[1]节奏总纲!BD180</f>
        <v>48.066021750983474</v>
      </c>
      <c r="BE180" s="12">
        <f>[1]节奏总纲!BE180</f>
        <v>52.759400056085624</v>
      </c>
    </row>
    <row r="181" spans="29:57" x14ac:dyDescent="0.15">
      <c r="AC181" s="8">
        <v>178</v>
      </c>
      <c r="AD181" s="12">
        <f>[1]节奏总纲!AD181</f>
        <v>74.833420053539214</v>
      </c>
      <c r="AE181" s="12">
        <f>[1]节奏总纲!AE181</f>
        <v>76.907461522616416</v>
      </c>
      <c r="AF181" s="12">
        <f>[1]节奏总纲!AF181</f>
        <v>79.79863175320456</v>
      </c>
      <c r="AG181" s="12">
        <f>[1]节奏总纲!AG181</f>
        <v>84.398729981164735</v>
      </c>
      <c r="AH181" s="12">
        <f>[1]节奏总纲!AH181</f>
        <v>93.840032859242228</v>
      </c>
      <c r="AZ181" s="8">
        <v>178</v>
      </c>
      <c r="BA181" s="12">
        <f>[1]节奏总纲!BA181</f>
        <v>41.912113626106752</v>
      </c>
      <c r="BB181" s="12">
        <f>[1]节奏总纲!BB181</f>
        <v>43.404644393455513</v>
      </c>
      <c r="BC181" s="12">
        <f>[1]节奏总纲!BC181</f>
        <v>45.34851532631852</v>
      </c>
      <c r="BD181" s="12">
        <f>[1]节奏总纲!BD181</f>
        <v>48.101914750802706</v>
      </c>
      <c r="BE181" s="12">
        <f>[1]节奏总纲!BE181</f>
        <v>52.799306737677718</v>
      </c>
    </row>
    <row r="182" spans="29:57" x14ac:dyDescent="0.15">
      <c r="AC182" s="8">
        <v>179</v>
      </c>
      <c r="AD182" s="12">
        <f>[1]节奏总纲!AD182</f>
        <v>74.915912490558512</v>
      </c>
      <c r="AE182" s="12">
        <f>[1]节奏总纲!AE182</f>
        <v>76.989766772831089</v>
      </c>
      <c r="AF182" s="12">
        <f>[1]节奏总纲!AF182</f>
        <v>79.88483391364781</v>
      </c>
      <c r="AG182" s="12">
        <f>[1]节奏总纲!AG182</f>
        <v>84.478117326347515</v>
      </c>
      <c r="AH182" s="12">
        <f>[1]节奏总纲!AH182</f>
        <v>93.930017532793073</v>
      </c>
      <c r="AZ182" s="8">
        <v>179</v>
      </c>
      <c r="BA182" s="12">
        <f>[1]节奏总纲!BA182</f>
        <v>41.952339841198494</v>
      </c>
      <c r="BB182" s="12">
        <f>[1]节奏总纲!BB182</f>
        <v>43.442091101890163</v>
      </c>
      <c r="BC182" s="12">
        <f>[1]节奏总纲!BC182</f>
        <v>45.385710131688697</v>
      </c>
      <c r="BD182" s="12">
        <f>[1]节奏总纲!BD182</f>
        <v>48.137807750621946</v>
      </c>
      <c r="BE182" s="12">
        <f>[1]节奏总纲!BE182</f>
        <v>52.839213419269818</v>
      </c>
    </row>
    <row r="183" spans="29:57" x14ac:dyDescent="0.15">
      <c r="AC183" s="8">
        <v>180</v>
      </c>
      <c r="AD183" s="12">
        <f>[1]节奏总纲!AD183</f>
        <v>74.998404927577795</v>
      </c>
      <c r="AE183" s="12">
        <f>[1]节奏总纲!AE183</f>
        <v>77.06778397927944</v>
      </c>
      <c r="AF183" s="12">
        <f>[1]节奏总纲!AF183</f>
        <v>79.97103607409106</v>
      </c>
      <c r="AG183" s="12">
        <f>[1]节奏总纲!AG183</f>
        <v>84.557504671530296</v>
      </c>
      <c r="AH183" s="12">
        <f>[1]节奏总纲!AH183</f>
        <v>94.01720149869783</v>
      </c>
      <c r="AZ183" s="8">
        <v>180</v>
      </c>
      <c r="BA183" s="12">
        <f>[1]节奏总纲!BA183</f>
        <v>41.992566056290244</v>
      </c>
      <c r="BB183" s="12">
        <f>[1]节奏总纲!BB183</f>
        <v>43.479537810324807</v>
      </c>
      <c r="BC183" s="12">
        <f>[1]节奏总纲!BC183</f>
        <v>45.422904937058867</v>
      </c>
      <c r="BD183" s="12">
        <f>[1]节奏总纲!BD183</f>
        <v>48.173700750441178</v>
      </c>
      <c r="BE183" s="12">
        <f>[1]节奏总纲!BE183</f>
        <v>52.879120100861911</v>
      </c>
    </row>
    <row r="184" spans="29:57" x14ac:dyDescent="0.15">
      <c r="AC184" s="8">
        <v>181</v>
      </c>
      <c r="AD184" s="12">
        <f>[1]节奏总纲!AD184</f>
        <v>75.075479910097457</v>
      </c>
      <c r="AE184" s="12">
        <f>[1]节奏总纲!AE184</f>
        <v>77.145192343015793</v>
      </c>
      <c r="AF184" s="12">
        <f>[1]节奏总纲!AF184</f>
        <v>80.053817475702374</v>
      </c>
      <c r="AG184" s="12">
        <f>[1]节奏总纲!AG184</f>
        <v>84.636892016713063</v>
      </c>
      <c r="AH184" s="12">
        <f>[1]节奏总纲!AH184</f>
        <v>94.094586524044246</v>
      </c>
      <c r="AZ184" s="8">
        <v>181</v>
      </c>
      <c r="BA184" s="12">
        <f>[1]节奏总纲!BA184</f>
        <v>42.028297717729309</v>
      </c>
      <c r="BB184" s="12">
        <f>[1]节奏总纲!BB184</f>
        <v>43.516984518759458</v>
      </c>
      <c r="BC184" s="12">
        <f>[1]节奏总纲!BC184</f>
        <v>45.460099742429037</v>
      </c>
      <c r="BD184" s="12">
        <f>[1]节奏总纲!BD184</f>
        <v>48.209593750260417</v>
      </c>
      <c r="BE184" s="12">
        <f>[1]节奏总纲!BE184</f>
        <v>52.919026782454004</v>
      </c>
    </row>
    <row r="185" spans="29:57" x14ac:dyDescent="0.15">
      <c r="AC185" s="8">
        <v>182</v>
      </c>
      <c r="AD185" s="12">
        <f>[1]节奏总纲!AD185</f>
        <v>75.152448075388719</v>
      </c>
      <c r="AE185" s="12">
        <f>[1]节奏总纲!AE185</f>
        <v>77.222600706752132</v>
      </c>
      <c r="AF185" s="12">
        <f>[1]节奏总纲!AF185</f>
        <v>80.134867890916794</v>
      </c>
      <c r="AG185" s="12">
        <f>[1]节奏总纲!AG185</f>
        <v>84.716279361895843</v>
      </c>
      <c r="AH185" s="12">
        <f>[1]节奏总纲!AH185</f>
        <v>94.171971549390676</v>
      </c>
      <c r="AZ185" s="8">
        <v>182</v>
      </c>
      <c r="BA185" s="12">
        <f>[1]节奏总纲!BA185</f>
        <v>42.063010472656373</v>
      </c>
      <c r="BB185" s="12">
        <f>[1]节奏总纲!BB185</f>
        <v>43.554431227194108</v>
      </c>
      <c r="BC185" s="12">
        <f>[1]节奏总纲!BC185</f>
        <v>45.497294547799214</v>
      </c>
      <c r="BD185" s="12">
        <f>[1]节奏总纲!BD185</f>
        <v>48.24548675007965</v>
      </c>
      <c r="BE185" s="12">
        <f>[1]节奏总纲!BE185</f>
        <v>52.958933464046098</v>
      </c>
    </row>
    <row r="186" spans="29:57" x14ac:dyDescent="0.15">
      <c r="AC186" s="8">
        <v>183</v>
      </c>
      <c r="AD186" s="12">
        <f>[1]节奏总纲!AD186</f>
        <v>75.229416240679981</v>
      </c>
      <c r="AE186" s="12">
        <f>[1]节奏总纲!AE186</f>
        <v>77.300009070488485</v>
      </c>
      <c r="AF186" s="12">
        <f>[1]节奏总纲!AF186</f>
        <v>80.215918306131215</v>
      </c>
      <c r="AG186" s="12">
        <f>[1]节奏总纲!AG186</f>
        <v>84.795666707078624</v>
      </c>
      <c r="AH186" s="12">
        <f>[1]节奏总纲!AH186</f>
        <v>94.249356574737092</v>
      </c>
      <c r="AZ186" s="8">
        <v>183</v>
      </c>
      <c r="BA186" s="12">
        <f>[1]节奏总纲!BA186</f>
        <v>42.097723227583437</v>
      </c>
      <c r="BB186" s="12">
        <f>[1]节奏总纲!BB186</f>
        <v>43.591877935628752</v>
      </c>
      <c r="BC186" s="12">
        <f>[1]节奏总纲!BC186</f>
        <v>45.534489353169384</v>
      </c>
      <c r="BD186" s="12">
        <f>[1]节奏总纲!BD186</f>
        <v>48.281379749898889</v>
      </c>
      <c r="BE186" s="12">
        <f>[1]节奏总纲!BE186</f>
        <v>52.998840145638198</v>
      </c>
    </row>
    <row r="187" spans="29:57" x14ac:dyDescent="0.15">
      <c r="AC187" s="8">
        <v>184</v>
      </c>
      <c r="AD187" s="12">
        <f>[1]节奏总纲!AD187</f>
        <v>75.306384405971258</v>
      </c>
      <c r="AE187" s="12">
        <f>[1]节奏总纲!AE187</f>
        <v>77.377417434224824</v>
      </c>
      <c r="AF187" s="12">
        <f>[1]节奏总纲!AF187</f>
        <v>80.296968721345635</v>
      </c>
      <c r="AG187" s="12">
        <f>[1]节奏总纲!AG187</f>
        <v>84.87505405226139</v>
      </c>
      <c r="AH187" s="12">
        <f>[1]节奏总纲!AH187</f>
        <v>94.326741600083523</v>
      </c>
      <c r="AZ187" s="8">
        <v>184</v>
      </c>
      <c r="BA187" s="12">
        <f>[1]节奏总纲!BA187</f>
        <v>42.132435982510501</v>
      </c>
      <c r="BB187" s="12">
        <f>[1]节奏总纲!BB187</f>
        <v>43.629324644063402</v>
      </c>
      <c r="BC187" s="12">
        <f>[1]节奏总纲!BC187</f>
        <v>45.571684158539561</v>
      </c>
      <c r="BD187" s="12">
        <f>[1]节奏总纲!BD187</f>
        <v>48.317272749718121</v>
      </c>
      <c r="BE187" s="12">
        <f>[1]节奏总纲!BE187</f>
        <v>53.033462597729766</v>
      </c>
    </row>
    <row r="188" spans="29:57" x14ac:dyDescent="0.15">
      <c r="AC188" s="8">
        <v>185</v>
      </c>
      <c r="AD188" s="12">
        <f>[1]节奏总纲!AD188</f>
        <v>75.38335257126252</v>
      </c>
      <c r="AE188" s="12">
        <f>[1]节奏总纲!AE188</f>
        <v>77.454825797961163</v>
      </c>
      <c r="AF188" s="12">
        <f>[1]节奏总纲!AF188</f>
        <v>80.378019136560056</v>
      </c>
      <c r="AG188" s="12">
        <f>[1]节奏总纲!AG188</f>
        <v>84.954441397444171</v>
      </c>
      <c r="AH188" s="12">
        <f>[1]节奏总纲!AH188</f>
        <v>94.404126625429939</v>
      </c>
      <c r="AZ188" s="8">
        <v>185</v>
      </c>
      <c r="BA188" s="12">
        <f>[1]节奏总纲!BA188</f>
        <v>42.167148737437564</v>
      </c>
      <c r="BB188" s="12">
        <f>[1]节奏总纲!BB188</f>
        <v>43.666771352498046</v>
      </c>
      <c r="BC188" s="12">
        <f>[1]节奏总纲!BC188</f>
        <v>45.608878963909731</v>
      </c>
      <c r="BD188" s="12">
        <f>[1]节奏总纲!BD188</f>
        <v>48.353165749537354</v>
      </c>
      <c r="BE188" s="12">
        <f>[1]节奏总纲!BE188</f>
        <v>53.067926870763252</v>
      </c>
    </row>
    <row r="189" spans="29:57" x14ac:dyDescent="0.15">
      <c r="AC189" s="8">
        <v>186</v>
      </c>
      <c r="AD189" s="12">
        <f>[1]节奏总纲!AD189</f>
        <v>75.460320736553783</v>
      </c>
      <c r="AE189" s="12">
        <f>[1]节奏总纲!AE189</f>
        <v>77.532234161697517</v>
      </c>
      <c r="AF189" s="12">
        <f>[1]节奏总纲!AF189</f>
        <v>80.459069551774476</v>
      </c>
      <c r="AG189" s="12">
        <f>[1]节奏总纲!AG189</f>
        <v>85.030832425973387</v>
      </c>
      <c r="AH189" s="12">
        <f>[1]节奏总纲!AH189</f>
        <v>94.481511650776355</v>
      </c>
      <c r="AZ189" s="8">
        <v>186</v>
      </c>
      <c r="BA189" s="12">
        <f>[1]节奏总纲!BA189</f>
        <v>42.201861492364635</v>
      </c>
      <c r="BB189" s="12">
        <f>[1]节奏总纲!BB189</f>
        <v>43.704218060932696</v>
      </c>
      <c r="BC189" s="12">
        <f>[1]节奏总纲!BC189</f>
        <v>45.646073769279901</v>
      </c>
      <c r="BD189" s="12">
        <f>[1]节奏总纲!BD189</f>
        <v>48.389058749356593</v>
      </c>
      <c r="BE189" s="12">
        <f>[1]节奏总纲!BE189</f>
        <v>53.102391143796744</v>
      </c>
    </row>
    <row r="190" spans="29:57" x14ac:dyDescent="0.15">
      <c r="AC190" s="8">
        <v>187</v>
      </c>
      <c r="AD190" s="12">
        <f>[1]节奏总纲!AD190</f>
        <v>75.537288901845045</v>
      </c>
      <c r="AE190" s="12">
        <f>[1]节奏总纲!AE190</f>
        <v>77.609642525433856</v>
      </c>
      <c r="AF190" s="12">
        <f>[1]节奏总纲!AF190</f>
        <v>80.540119966988897</v>
      </c>
      <c r="AG190" s="12">
        <f>[1]节奏总纲!AG190</f>
        <v>85.103188187775231</v>
      </c>
      <c r="AH190" s="12">
        <f>[1]节奏总纲!AH190</f>
        <v>94.558896676122785</v>
      </c>
      <c r="AZ190" s="8">
        <v>187</v>
      </c>
      <c r="BA190" s="12">
        <f>[1]节奏总纲!BA190</f>
        <v>42.236574247291699</v>
      </c>
      <c r="BB190" s="12">
        <f>[1]节奏总纲!BB190</f>
        <v>43.741664769367347</v>
      </c>
      <c r="BC190" s="12">
        <f>[1]节奏总纲!BC190</f>
        <v>45.683268574650079</v>
      </c>
      <c r="BD190" s="12">
        <f>[1]节奏总纲!BD190</f>
        <v>48.424951749175825</v>
      </c>
      <c r="BE190" s="12">
        <f>[1]节奏总纲!BE190</f>
        <v>53.13685541683023</v>
      </c>
    </row>
    <row r="191" spans="29:57" x14ac:dyDescent="0.15">
      <c r="AC191" s="8">
        <v>188</v>
      </c>
      <c r="AD191" s="12">
        <f>[1]节奏总纲!AD191</f>
        <v>75.614257067136322</v>
      </c>
      <c r="AE191" s="12">
        <f>[1]节奏总纲!AE191</f>
        <v>77.687050889170209</v>
      </c>
      <c r="AF191" s="12">
        <f>[1]节奏总纲!AF191</f>
        <v>80.621170382203317</v>
      </c>
      <c r="AG191" s="12">
        <f>[1]节奏总纲!AG191</f>
        <v>85.175543949577076</v>
      </c>
      <c r="AH191" s="12">
        <f>[1]节奏总纲!AH191</f>
        <v>94.636281701469201</v>
      </c>
      <c r="AZ191" s="8">
        <v>188</v>
      </c>
      <c r="BA191" s="12">
        <f>[1]节奏总纲!BA191</f>
        <v>42.271287002218763</v>
      </c>
      <c r="BB191" s="12">
        <f>[1]节奏总纲!BB191</f>
        <v>43.77911147780199</v>
      </c>
      <c r="BC191" s="12">
        <f>[1]节奏总纲!BC191</f>
        <v>45.720463380020249</v>
      </c>
      <c r="BD191" s="12">
        <f>[1]节奏总纲!BD191</f>
        <v>48.460844748995065</v>
      </c>
      <c r="BE191" s="12">
        <f>[1]节奏总纲!BE191</f>
        <v>53.171319689863722</v>
      </c>
    </row>
    <row r="192" spans="29:57" x14ac:dyDescent="0.15">
      <c r="AC192" s="8">
        <v>189</v>
      </c>
      <c r="AD192" s="12">
        <f>[1]节奏总纲!AD192</f>
        <v>75.691225232427584</v>
      </c>
      <c r="AE192" s="12">
        <f>[1]节奏总纲!AE192</f>
        <v>77.764459252906548</v>
      </c>
      <c r="AF192" s="12">
        <f>[1]节奏总纲!AF192</f>
        <v>80.702220797417738</v>
      </c>
      <c r="AG192" s="12">
        <f>[1]节奏总纲!AG192</f>
        <v>85.247899711378935</v>
      </c>
      <c r="AH192" s="12">
        <f>[1]节奏总纲!AH192</f>
        <v>94.713666726815632</v>
      </c>
      <c r="AZ192" s="8">
        <v>189</v>
      </c>
      <c r="BA192" s="12">
        <f>[1]节奏总纲!BA192</f>
        <v>42.305999757145827</v>
      </c>
      <c r="BB192" s="12">
        <f>[1]节奏总纲!BB192</f>
        <v>43.816558186236641</v>
      </c>
      <c r="BC192" s="12">
        <f>[1]节奏总纲!BC192</f>
        <v>45.757658185390426</v>
      </c>
      <c r="BD192" s="12">
        <f>[1]节奏总纲!BD192</f>
        <v>48.496737748814297</v>
      </c>
      <c r="BE192" s="12">
        <f>[1]节奏总纲!BE192</f>
        <v>53.205783962897208</v>
      </c>
    </row>
    <row r="193" spans="29:57" x14ac:dyDescent="0.15">
      <c r="AC193" s="8">
        <v>190</v>
      </c>
      <c r="AD193" s="12">
        <f>[1]节奏总纲!AD193</f>
        <v>75.768193397718846</v>
      </c>
      <c r="AE193" s="12">
        <f>[1]节奏总纲!AE193</f>
        <v>77.841867616642901</v>
      </c>
      <c r="AF193" s="12">
        <f>[1]节奏总纲!AF193</f>
        <v>80.783271212632158</v>
      </c>
      <c r="AG193" s="12">
        <f>[1]节奏总纲!AG193</f>
        <v>85.320255473180779</v>
      </c>
      <c r="AH193" s="12">
        <f>[1]节奏总纲!AH193</f>
        <v>94.791051752162048</v>
      </c>
      <c r="AZ193" s="8">
        <v>190</v>
      </c>
      <c r="BA193" s="12">
        <f>[1]节奏总纲!BA193</f>
        <v>42.340712512072891</v>
      </c>
      <c r="BB193" s="12">
        <f>[1]节奏总纲!BB193</f>
        <v>43.854004894671284</v>
      </c>
      <c r="BC193" s="12">
        <f>[1]节奏总纲!BC193</f>
        <v>45.794852990760596</v>
      </c>
      <c r="BD193" s="12">
        <f>[1]节奏总纲!BD193</f>
        <v>48.532630748633537</v>
      </c>
      <c r="BE193" s="12">
        <f>[1]节奏总纲!BE193</f>
        <v>53.240248235930693</v>
      </c>
    </row>
    <row r="194" spans="29:57" x14ac:dyDescent="0.15">
      <c r="AC194" s="8">
        <v>191</v>
      </c>
      <c r="AD194" s="12">
        <f>[1]节奏总纲!AD194</f>
        <v>75.845161563010109</v>
      </c>
      <c r="AE194" s="12">
        <f>[1]节奏总纲!AE194</f>
        <v>77.91927598037924</v>
      </c>
      <c r="AF194" s="12">
        <f>[1]节奏总纲!AF194</f>
        <v>80.864321627846579</v>
      </c>
      <c r="AG194" s="12">
        <f>[1]节奏总纲!AG194</f>
        <v>85.392611234982624</v>
      </c>
      <c r="AH194" s="12">
        <f>[1]节奏总纲!AH194</f>
        <v>94.868436777508478</v>
      </c>
      <c r="AZ194" s="8">
        <v>191</v>
      </c>
      <c r="BA194" s="12">
        <f>[1]节奏总纲!BA194</f>
        <v>42.375425266999954</v>
      </c>
      <c r="BB194" s="12">
        <f>[1]节奏总纲!BB194</f>
        <v>43.891451603105935</v>
      </c>
      <c r="BC194" s="12">
        <f>[1]节奏总纲!BC194</f>
        <v>45.832047796130773</v>
      </c>
      <c r="BD194" s="12">
        <f>[1]节奏总纲!BD194</f>
        <v>48.568523748452769</v>
      </c>
      <c r="BE194" s="12">
        <f>[1]节奏总纲!BE194</f>
        <v>53.274712508964186</v>
      </c>
    </row>
    <row r="195" spans="29:57" x14ac:dyDescent="0.15">
      <c r="AC195" s="8">
        <v>192</v>
      </c>
      <c r="AD195" s="12">
        <f>[1]节奏总纲!AD195</f>
        <v>75.922129728301385</v>
      </c>
      <c r="AE195" s="12">
        <f>[1]节奏总纲!AE195</f>
        <v>77.996684344115593</v>
      </c>
      <c r="AF195" s="12">
        <f>[1]节奏总纲!AF195</f>
        <v>80.945372043060999</v>
      </c>
      <c r="AG195" s="12">
        <f>[1]节奏总纲!AG195</f>
        <v>85.464966996784469</v>
      </c>
      <c r="AH195" s="12">
        <f>[1]节奏总纲!AH195</f>
        <v>94.945821802854894</v>
      </c>
      <c r="AZ195" s="8">
        <v>192</v>
      </c>
      <c r="BA195" s="12">
        <f>[1]节奏总纲!BA195</f>
        <v>42.410138021927018</v>
      </c>
      <c r="BB195" s="12">
        <f>[1]节奏总纲!BB195</f>
        <v>43.928898311540578</v>
      </c>
      <c r="BC195" s="12">
        <f>[1]节奏总纲!BC195</f>
        <v>45.869242601500943</v>
      </c>
      <c r="BD195" s="12">
        <f>[1]节奏总纲!BD195</f>
        <v>48.604416748272008</v>
      </c>
      <c r="BE195" s="12">
        <f>[1]节奏总纲!BE195</f>
        <v>53.309176781997671</v>
      </c>
    </row>
    <row r="196" spans="29:57" x14ac:dyDescent="0.15">
      <c r="AC196" s="8">
        <v>193</v>
      </c>
      <c r="AD196" s="12">
        <f>[1]节奏总纲!AD196</f>
        <v>75.999097893592648</v>
      </c>
      <c r="AE196" s="12">
        <f>[1]节奏总纲!AE196</f>
        <v>78.068193736526268</v>
      </c>
      <c r="AF196" s="12">
        <f>[1]节奏总纲!AF196</f>
        <v>81.02378934476593</v>
      </c>
      <c r="AG196" s="12">
        <f>[1]节奏总纲!AG196</f>
        <v>85.537322758586328</v>
      </c>
      <c r="AH196" s="12">
        <f>[1]节奏总纲!AH196</f>
        <v>95.021652736340755</v>
      </c>
      <c r="AZ196" s="8">
        <v>193</v>
      </c>
      <c r="BA196" s="12">
        <f>[1]节奏总纲!BA196</f>
        <v>42.444850776854082</v>
      </c>
      <c r="BB196" s="12">
        <f>[1]节奏总纲!BB196</f>
        <v>43.966345019975229</v>
      </c>
      <c r="BC196" s="12">
        <f>[1]节奏总纲!BC196</f>
        <v>45.906437406871113</v>
      </c>
      <c r="BD196" s="12">
        <f>[1]节奏总纲!BD196</f>
        <v>48.640309748091241</v>
      </c>
      <c r="BE196" s="12">
        <f>[1]节奏总纲!BE196</f>
        <v>53.343641055031163</v>
      </c>
    </row>
    <row r="197" spans="29:57" x14ac:dyDescent="0.15">
      <c r="AC197" s="8">
        <v>194</v>
      </c>
      <c r="AD197" s="12">
        <f>[1]节奏总纲!AD197</f>
        <v>76.070972142474872</v>
      </c>
      <c r="AE197" s="12">
        <f>[1]节奏总纲!AE197</f>
        <v>78.139439149396253</v>
      </c>
      <c r="AF197" s="12">
        <f>[1]节奏总纲!AF197</f>
        <v>81.096762731680187</v>
      </c>
      <c r="AG197" s="12">
        <f>[1]节奏总纲!AG197</f>
        <v>85.609678520388172</v>
      </c>
      <c r="AH197" s="12">
        <f>[1]节奏总纲!AH197</f>
        <v>95.093855518039874</v>
      </c>
      <c r="AZ197" s="8">
        <v>194</v>
      </c>
      <c r="BA197" s="12">
        <f>[1]节奏总纲!BA197</f>
        <v>42.479563531781146</v>
      </c>
      <c r="BB197" s="12">
        <f>[1]节奏总纲!BB197</f>
        <v>44.003272544984547</v>
      </c>
      <c r="BC197" s="12">
        <f>[1]节奏总纲!BC197</f>
        <v>45.94363221224129</v>
      </c>
      <c r="BD197" s="12">
        <f>[1]节奏总纲!BD197</f>
        <v>48.67620274791048</v>
      </c>
      <c r="BE197" s="12">
        <f>[1]节奏总纲!BE197</f>
        <v>53.378105328064649</v>
      </c>
    </row>
    <row r="198" spans="29:57" x14ac:dyDescent="0.15">
      <c r="AC198" s="8">
        <v>195</v>
      </c>
      <c r="AD198" s="12">
        <f>[1]节奏总纲!AD198</f>
        <v>76.142785979989682</v>
      </c>
      <c r="AE198" s="12">
        <f>[1]节奏总纲!AE198</f>
        <v>78.210684562266223</v>
      </c>
      <c r="AF198" s="12">
        <f>[1]节奏总纲!AF198</f>
        <v>81.169736118594443</v>
      </c>
      <c r="AG198" s="12">
        <f>[1]节奏总纲!AG198</f>
        <v>85.682034282190017</v>
      </c>
      <c r="AH198" s="12">
        <f>[1]节奏总纲!AH198</f>
        <v>95.166058299739007</v>
      </c>
      <c r="AZ198" s="8">
        <v>195</v>
      </c>
      <c r="BA198" s="12">
        <f>[1]节奏总纲!BA198</f>
        <v>42.51427628670821</v>
      </c>
      <c r="BB198" s="12">
        <f>[1]节奏总纲!BB198</f>
        <v>44.035591852864428</v>
      </c>
      <c r="BC198" s="12">
        <f>[1]节奏总纲!BC198</f>
        <v>45.98082701761146</v>
      </c>
      <c r="BD198" s="12">
        <f>[1]节奏总纲!BD198</f>
        <v>48.712095747729713</v>
      </c>
      <c r="BE198" s="12">
        <f>[1]节奏总纲!BE198</f>
        <v>53.412569601098134</v>
      </c>
    </row>
    <row r="199" spans="29:57" x14ac:dyDescent="0.15">
      <c r="AC199" s="8">
        <v>196</v>
      </c>
      <c r="AD199" s="12">
        <f>[1]节奏总纲!AD199</f>
        <v>76.214599817504492</v>
      </c>
      <c r="AE199" s="12">
        <f>[1]节奏总纲!AE199</f>
        <v>78.281929975136208</v>
      </c>
      <c r="AF199" s="12">
        <f>[1]节奏总纲!AF199</f>
        <v>81.242709505508685</v>
      </c>
      <c r="AG199" s="12">
        <f>[1]节奏总纲!AG199</f>
        <v>85.754390043991862</v>
      </c>
      <c r="AH199" s="12">
        <f>[1]节奏总纲!AH199</f>
        <v>95.238261081438125</v>
      </c>
      <c r="AZ199" s="8">
        <v>196</v>
      </c>
      <c r="BA199" s="12">
        <f>[1]节奏总纲!BA199</f>
        <v>42.548989041635274</v>
      </c>
      <c r="BB199" s="12">
        <f>[1]节奏总纲!BB199</f>
        <v>44.067911160744309</v>
      </c>
      <c r="BC199" s="12">
        <f>[1]节奏总纲!BC199</f>
        <v>46.01555652579863</v>
      </c>
      <c r="BD199" s="12">
        <f>[1]节奏总纲!BD199</f>
        <v>48.747988747548945</v>
      </c>
      <c r="BE199" s="12">
        <f>[1]节奏总纲!BE199</f>
        <v>53.447033874131627</v>
      </c>
    </row>
    <row r="200" spans="29:57" x14ac:dyDescent="0.15">
      <c r="AC200" s="8">
        <v>197</v>
      </c>
      <c r="AD200" s="12">
        <f>[1]节奏总纲!AD200</f>
        <v>76.286413655019302</v>
      </c>
      <c r="AE200" s="12">
        <f>[1]节奏总纲!AE200</f>
        <v>78.353175388006179</v>
      </c>
      <c r="AF200" s="12">
        <f>[1]节奏总纲!AF200</f>
        <v>81.315682892422942</v>
      </c>
      <c r="AG200" s="12">
        <f>[1]节奏总纲!AG200</f>
        <v>85.82674580579372</v>
      </c>
      <c r="AH200" s="12">
        <f>[1]节奏总纲!AH200</f>
        <v>95.310463863137244</v>
      </c>
      <c r="AZ200" s="8">
        <v>197</v>
      </c>
      <c r="BA200" s="12">
        <f>[1]节奏总纲!BA200</f>
        <v>42.583701796562345</v>
      </c>
      <c r="BB200" s="12">
        <f>[1]节奏总纲!BB200</f>
        <v>44.100230468624183</v>
      </c>
      <c r="BC200" s="12">
        <f>[1]节奏总纲!BC200</f>
        <v>46.047663263829847</v>
      </c>
      <c r="BD200" s="12">
        <f>[1]节奏总纲!BD200</f>
        <v>48.783881747368184</v>
      </c>
      <c r="BE200" s="12">
        <f>[1]节奏总纲!BE200</f>
        <v>53.481498147165112</v>
      </c>
    </row>
    <row r="201" spans="29:57" x14ac:dyDescent="0.15">
      <c r="AC201" s="8">
        <v>198</v>
      </c>
      <c r="AD201" s="12">
        <f>[1]节奏总纲!AD201</f>
        <v>76.358227492534112</v>
      </c>
      <c r="AE201" s="12">
        <f>[1]节奏总纲!AE201</f>
        <v>78.424420800876163</v>
      </c>
      <c r="AF201" s="12">
        <f>[1]节奏总纲!AF201</f>
        <v>81.388656279337198</v>
      </c>
      <c r="AG201" s="12">
        <f>[1]节奏总纲!AG201</f>
        <v>85.899101567595565</v>
      </c>
      <c r="AH201" s="12">
        <f>[1]节奏总纲!AH201</f>
        <v>95.382666644836377</v>
      </c>
      <c r="AZ201" s="8">
        <v>198</v>
      </c>
      <c r="BA201" s="12">
        <f>[1]节奏总纲!BA201</f>
        <v>42.618414551489408</v>
      </c>
      <c r="BB201" s="12">
        <f>[1]节奏总纲!BB201</f>
        <v>44.132549776504064</v>
      </c>
      <c r="BC201" s="12">
        <f>[1]节奏总纲!BC201</f>
        <v>46.079770001861057</v>
      </c>
      <c r="BD201" s="12">
        <f>[1]节奏总纲!BD201</f>
        <v>48.819774747187417</v>
      </c>
      <c r="BE201" s="12">
        <f>[1]节奏总纲!BE201</f>
        <v>53.515962420198605</v>
      </c>
    </row>
    <row r="202" spans="29:57" x14ac:dyDescent="0.15">
      <c r="AC202" s="8">
        <v>199</v>
      </c>
      <c r="AD202" s="12">
        <f>[1]节奏总纲!AD202</f>
        <v>76.430041330048923</v>
      </c>
      <c r="AE202" s="12">
        <f>[1]节奏总纲!AE202</f>
        <v>78.495666213746148</v>
      </c>
      <c r="AF202" s="12">
        <f>[1]节奏总纲!AF202</f>
        <v>81.461629666251454</v>
      </c>
      <c r="AG202" s="12">
        <f>[1]节奏总纲!AG202</f>
        <v>85.97145732939741</v>
      </c>
      <c r="AH202" s="12">
        <f>[1]节奏总纲!AH202</f>
        <v>95.454869426535495</v>
      </c>
      <c r="AZ202" s="8">
        <v>199</v>
      </c>
      <c r="BA202" s="12">
        <f>[1]节奏总纲!BA202</f>
        <v>42.653127306416472</v>
      </c>
      <c r="BB202" s="12">
        <f>[1]节奏总纲!BB202</f>
        <v>44.164869084383938</v>
      </c>
      <c r="BC202" s="12">
        <f>[1]节奏总纲!BC202</f>
        <v>46.111876739892267</v>
      </c>
      <c r="BD202" s="12">
        <f>[1]节奏总纲!BD202</f>
        <v>48.855667747006656</v>
      </c>
      <c r="BE202" s="12">
        <f>[1]节奏总纲!BE202</f>
        <v>53.55042669323209</v>
      </c>
    </row>
    <row r="203" spans="29:57" x14ac:dyDescent="0.15">
      <c r="AC203" s="8">
        <v>200</v>
      </c>
      <c r="AD203" s="12">
        <f>[1]节奏总纲!AD203</f>
        <v>76.501855167563733</v>
      </c>
      <c r="AE203" s="12">
        <f>[1]节奏总纲!AE203</f>
        <v>78.566911626616118</v>
      </c>
      <c r="AF203" s="12">
        <f>[1]节奏总纲!AF203</f>
        <v>81.534603053165696</v>
      </c>
      <c r="AG203" s="12">
        <f>[1]节奏总纲!AG203</f>
        <v>86.045919706798657</v>
      </c>
      <c r="AH203" s="12">
        <f>[1]节奏总纲!AH203</f>
        <v>95.527072208234628</v>
      </c>
      <c r="AZ203" s="8">
        <v>200</v>
      </c>
      <c r="BA203" s="12">
        <f>[1]节奏总纲!BA203</f>
        <v>42.687840061343536</v>
      </c>
      <c r="BB203" s="12">
        <f>[1]节奏总纲!BB203</f>
        <v>44.197188392263818</v>
      </c>
      <c r="BC203" s="12">
        <f>[1]节奏总纲!BC203</f>
        <v>46.143983477923484</v>
      </c>
      <c r="BD203" s="12">
        <f>[1]节奏总纲!BD203</f>
        <v>48.891560746825888</v>
      </c>
      <c r="BE203" s="12">
        <f>[1]节奏总纲!BE203</f>
        <v>53.584890966265583</v>
      </c>
    </row>
    <row r="204" spans="29:57" x14ac:dyDescent="0.15">
      <c r="AC204" s="8">
        <v>201</v>
      </c>
      <c r="AD204" s="12">
        <f>[1]节奏总纲!AD204</f>
        <v>76.573669005078543</v>
      </c>
      <c r="AE204" s="12">
        <f>[1]节奏总纲!AE204</f>
        <v>78.638157039486103</v>
      </c>
      <c r="AF204" s="12">
        <f>[1]节奏总纲!AF204</f>
        <v>81.607576440079953</v>
      </c>
      <c r="AG204" s="12">
        <f>[1]节奏总纲!AG204</f>
        <v>86.121754469336281</v>
      </c>
      <c r="AH204" s="12">
        <f>[1]节奏总纲!AH204</f>
        <v>95.599274989933747</v>
      </c>
      <c r="AZ204" s="8">
        <v>201</v>
      </c>
      <c r="BA204" s="12">
        <f>[1]节奏总纲!BA204</f>
        <v>42.7225528162706</v>
      </c>
      <c r="BB204" s="12">
        <f>[1]节奏总纲!BB204</f>
        <v>44.229507700143699</v>
      </c>
      <c r="BC204" s="12">
        <f>[1]节奏总纲!BC204</f>
        <v>46.176090215954694</v>
      </c>
      <c r="BD204" s="12">
        <f>[1]节奏总纲!BD204</f>
        <v>48.927453746645128</v>
      </c>
      <c r="BE204" s="12">
        <f>[1]节奏总纲!BE204</f>
        <v>53.619355239299068</v>
      </c>
    </row>
    <row r="205" spans="29:57" x14ac:dyDescent="0.15">
      <c r="AC205" s="8">
        <v>202</v>
      </c>
      <c r="AD205" s="12">
        <f>[1]节奏总纲!AD205</f>
        <v>76.645482842593353</v>
      </c>
      <c r="AE205" s="12">
        <f>[1]节奏总纲!AE205</f>
        <v>78.709402452356088</v>
      </c>
      <c r="AF205" s="12">
        <f>[1]节奏总纲!AF205</f>
        <v>81.680549826994209</v>
      </c>
      <c r="AG205" s="12">
        <f>[1]节奏总纲!AG205</f>
        <v>86.197589231873891</v>
      </c>
      <c r="AH205" s="12">
        <f>[1]节奏总纲!AH205</f>
        <v>95.671477771632865</v>
      </c>
      <c r="AZ205" s="8">
        <v>202</v>
      </c>
      <c r="BA205" s="12">
        <f>[1]节奏总纲!BA205</f>
        <v>42.757265571197664</v>
      </c>
      <c r="BB205" s="12">
        <f>[1]节奏总纲!BB205</f>
        <v>44.261827008023573</v>
      </c>
      <c r="BC205" s="12">
        <f>[1]节奏总纲!BC205</f>
        <v>46.208196953985905</v>
      </c>
      <c r="BD205" s="12">
        <f>[1]节奏总纲!BD205</f>
        <v>48.96334674646436</v>
      </c>
      <c r="BE205" s="12">
        <f>[1]节奏总纲!BE205</f>
        <v>53.653819512332554</v>
      </c>
    </row>
    <row r="206" spans="29:57" x14ac:dyDescent="0.15">
      <c r="AC206" s="8">
        <v>203</v>
      </c>
      <c r="AD206" s="12">
        <f>[1]节奏总纲!AD206</f>
        <v>76.717296680108163</v>
      </c>
      <c r="AE206" s="12">
        <f>[1]节奏总纲!AE206</f>
        <v>78.780647865226058</v>
      </c>
      <c r="AF206" s="12">
        <f>[1]节奏总纲!AF206</f>
        <v>81.753523213908451</v>
      </c>
      <c r="AG206" s="12">
        <f>[1]节奏总纲!AG206</f>
        <v>86.273423994411502</v>
      </c>
      <c r="AH206" s="12">
        <f>[1]节奏总纲!AH206</f>
        <v>95.743680553331998</v>
      </c>
      <c r="AZ206" s="8">
        <v>203</v>
      </c>
      <c r="BA206" s="12">
        <f>[1]节奏总纲!BA206</f>
        <v>42.791978326124728</v>
      </c>
      <c r="BB206" s="12">
        <f>[1]节奏总纲!BB206</f>
        <v>44.294146315903454</v>
      </c>
      <c r="BC206" s="12">
        <f>[1]节奏总纲!BC206</f>
        <v>46.240303692017122</v>
      </c>
      <c r="BD206" s="12">
        <f>[1]节奏总纲!BD206</f>
        <v>48.9992397462836</v>
      </c>
      <c r="BE206" s="12">
        <f>[1]节奏总纲!BE206</f>
        <v>53.688283785366046</v>
      </c>
    </row>
    <row r="207" spans="29:57" x14ac:dyDescent="0.15">
      <c r="AC207" s="8">
        <v>204</v>
      </c>
      <c r="AD207" s="12">
        <f>[1]节奏总纲!AD207</f>
        <v>76.789110517622973</v>
      </c>
      <c r="AE207" s="12">
        <f>[1]节奏总纲!AE207</f>
        <v>78.851893278096043</v>
      </c>
      <c r="AF207" s="12">
        <f>[1]节奏总纲!AF207</f>
        <v>81.826496600822708</v>
      </c>
      <c r="AG207" s="12">
        <f>[1]节奏总纲!AG207</f>
        <v>86.349258756949112</v>
      </c>
      <c r="AH207" s="12">
        <f>[1]节奏总纲!AH207</f>
        <v>95.815883335031117</v>
      </c>
      <c r="AZ207" s="8">
        <v>204</v>
      </c>
      <c r="BA207" s="12">
        <f>[1]节奏总纲!BA207</f>
        <v>42.826691081051791</v>
      </c>
      <c r="BB207" s="12">
        <f>[1]节奏总纲!BB207</f>
        <v>44.326465623783335</v>
      </c>
      <c r="BC207" s="12">
        <f>[1]节奏总纲!BC207</f>
        <v>46.272410430048332</v>
      </c>
      <c r="BD207" s="12">
        <f>[1]节奏总纲!BD207</f>
        <v>49.030333272797542</v>
      </c>
      <c r="BE207" s="12">
        <f>[1]节奏总纲!BE207</f>
        <v>53.722748058399532</v>
      </c>
    </row>
    <row r="208" spans="29:57" x14ac:dyDescent="0.15">
      <c r="AC208" s="8">
        <v>205</v>
      </c>
      <c r="AD208" s="12">
        <f>[1]节奏总纲!AD208</f>
        <v>76.860924355137783</v>
      </c>
      <c r="AE208" s="12">
        <f>[1]节奏总纲!AE208</f>
        <v>78.923138690966013</v>
      </c>
      <c r="AF208" s="12">
        <f>[1]节奏总纲!AF208</f>
        <v>81.899469987736964</v>
      </c>
      <c r="AG208" s="12">
        <f>[1]节奏总纲!AG208</f>
        <v>86.425093519486722</v>
      </c>
      <c r="AH208" s="12">
        <f>[1]节奏总纲!AH208</f>
        <v>95.888086116730236</v>
      </c>
      <c r="AZ208" s="8">
        <v>205</v>
      </c>
      <c r="BA208" s="12">
        <f>[1]节奏总纲!BA208</f>
        <v>42.861403835978855</v>
      </c>
      <c r="BB208" s="12">
        <f>[1]节奏总纲!BB208</f>
        <v>44.358784931663209</v>
      </c>
      <c r="BC208" s="12">
        <f>[1]节奏总纲!BC208</f>
        <v>46.304517168079542</v>
      </c>
      <c r="BD208" s="12">
        <f>[1]节奏总纲!BD208</f>
        <v>49.061322941292346</v>
      </c>
      <c r="BE208" s="12">
        <f>[1]节奏总纲!BE208</f>
        <v>53.757212331433024</v>
      </c>
    </row>
    <row r="209" spans="29:57" x14ac:dyDescent="0.15">
      <c r="AC209" s="8">
        <v>206</v>
      </c>
      <c r="AD209" s="12">
        <f>[1]节奏总纲!AD209</f>
        <v>76.932738192652593</v>
      </c>
      <c r="AE209" s="12">
        <f>[1]节奏总纲!AE209</f>
        <v>78.994384103835998</v>
      </c>
      <c r="AF209" s="12">
        <f>[1]节奏总纲!AF209</f>
        <v>81.972443374651206</v>
      </c>
      <c r="AG209" s="12">
        <f>[1]节奏总纲!AG209</f>
        <v>86.500928282024347</v>
      </c>
      <c r="AH209" s="12">
        <f>[1]节奏总纲!AH209</f>
        <v>95.960288898429368</v>
      </c>
      <c r="AZ209" s="8">
        <v>206</v>
      </c>
      <c r="BA209" s="12">
        <f>[1]节奏总纲!BA209</f>
        <v>42.896116590905919</v>
      </c>
      <c r="BB209" s="12">
        <f>[1]节奏总纲!BB209</f>
        <v>44.39110423954309</v>
      </c>
      <c r="BC209" s="12">
        <f>[1]节奏总纲!BC209</f>
        <v>46.336623906110759</v>
      </c>
      <c r="BD209" s="12">
        <f>[1]节奏总纲!BD209</f>
        <v>49.09231260978715</v>
      </c>
      <c r="BE209" s="12">
        <f>[1]节奏总纲!BE209</f>
        <v>53.79167660446651</v>
      </c>
    </row>
    <row r="210" spans="29:57" x14ac:dyDescent="0.15">
      <c r="AC210" s="8">
        <v>207</v>
      </c>
      <c r="AD210" s="12">
        <f>[1]节奏总纲!AD210</f>
        <v>77.004247194324648</v>
      </c>
      <c r="AE210" s="12">
        <f>[1]节奏总纲!AE210</f>
        <v>79.061386416569832</v>
      </c>
      <c r="AF210" s="12">
        <f>[1]节奏总纲!AF210</f>
        <v>82.041007317281839</v>
      </c>
      <c r="AG210" s="12">
        <f>[1]节奏总纲!AG210</f>
        <v>86.576763044561957</v>
      </c>
      <c r="AH210" s="12">
        <f>[1]节奏总纲!AH210</f>
        <v>96.027967953922968</v>
      </c>
      <c r="AZ210" s="8">
        <v>207</v>
      </c>
      <c r="BA210" s="12">
        <f>[1]节奏总纲!BA210</f>
        <v>42.930829345832983</v>
      </c>
      <c r="BB210" s="12">
        <f>[1]节奏总纲!BB210</f>
        <v>44.423423547422971</v>
      </c>
      <c r="BC210" s="12">
        <f>[1]节奏总纲!BC210</f>
        <v>46.368730644141969</v>
      </c>
      <c r="BD210" s="12">
        <f>[1]节奏总纲!BD210</f>
        <v>49.123302278281955</v>
      </c>
      <c r="BE210" s="12">
        <f>[1]节奏总纲!BE210</f>
        <v>53.826140877499995</v>
      </c>
    </row>
    <row r="211" spans="29:57" x14ac:dyDescent="0.15">
      <c r="AC211" s="8">
        <v>208</v>
      </c>
      <c r="AD211" s="12">
        <f>[1]节奏总纲!AD211</f>
        <v>77.07125187397483</v>
      </c>
      <c r="AE211" s="12">
        <f>[1]节奏总纲!AE211</f>
        <v>79.128025648620252</v>
      </c>
      <c r="AF211" s="12">
        <f>[1]节奏总纲!AF211</f>
        <v>82.106895829081836</v>
      </c>
      <c r="AG211" s="12">
        <f>[1]节奏总纲!AG211</f>
        <v>86.652597807099568</v>
      </c>
      <c r="AH211" s="12">
        <f>[1]节奏总纲!AH211</f>
        <v>96.09011814325406</v>
      </c>
      <c r="AZ211" s="8">
        <v>208</v>
      </c>
      <c r="BA211" s="12">
        <f>[1]节奏总纲!BA211</f>
        <v>42.965542100760054</v>
      </c>
      <c r="BB211" s="12">
        <f>[1]节奏总纲!BB211</f>
        <v>44.455742855302844</v>
      </c>
      <c r="BC211" s="12">
        <f>[1]节奏总纲!BC211</f>
        <v>46.400837382173179</v>
      </c>
      <c r="BD211" s="12">
        <f>[1]节奏总纲!BD211</f>
        <v>49.154291946776759</v>
      </c>
      <c r="BE211" s="12">
        <f>[1]节奏总纲!BE211</f>
        <v>53.860605150533488</v>
      </c>
    </row>
    <row r="212" spans="29:57" x14ac:dyDescent="0.15">
      <c r="AC212" s="8">
        <v>209</v>
      </c>
      <c r="AD212" s="12">
        <f>[1]节奏总纲!AD212</f>
        <v>77.138256553625013</v>
      </c>
      <c r="AE212" s="12">
        <f>[1]节奏总纲!AE212</f>
        <v>79.194664880670672</v>
      </c>
      <c r="AF212" s="12">
        <f>[1]节奏总纲!AF212</f>
        <v>82.172784340881819</v>
      </c>
      <c r="AG212" s="12">
        <f>[1]节奏总纲!AG212</f>
        <v>86.728432569637178</v>
      </c>
      <c r="AH212" s="12">
        <f>[1]节奏总纲!AH212</f>
        <v>96.152268332585166</v>
      </c>
      <c r="AZ212" s="8">
        <v>209</v>
      </c>
      <c r="BA212" s="12">
        <f>[1]节奏总纲!BA212</f>
        <v>43.000219942361319</v>
      </c>
      <c r="BB212" s="12">
        <f>[1]节奏总纲!BB212</f>
        <v>44.488062163182725</v>
      </c>
      <c r="BC212" s="12">
        <f>[1]节奏总纲!BC212</f>
        <v>46.432944120204397</v>
      </c>
      <c r="BD212" s="12">
        <f>[1]节奏总纲!BD212</f>
        <v>49.18528161527157</v>
      </c>
      <c r="BE212" s="12">
        <f>[1]节奏总纲!BE212</f>
        <v>53.895069423566973</v>
      </c>
    </row>
    <row r="213" spans="29:57" x14ac:dyDescent="0.15">
      <c r="AC213" s="8">
        <v>210</v>
      </c>
      <c r="AD213" s="12">
        <f>[1]节奏总纲!AD213</f>
        <v>77.205261233275195</v>
      </c>
      <c r="AE213" s="12">
        <f>[1]节奏总纲!AE213</f>
        <v>79.261304112721092</v>
      </c>
      <c r="AF213" s="12">
        <f>[1]节奏总纲!AF213</f>
        <v>82.238672852681816</v>
      </c>
      <c r="AG213" s="12">
        <f>[1]节奏总纲!AG213</f>
        <v>86.804267332174788</v>
      </c>
      <c r="AH213" s="12">
        <f>[1]节奏总纲!AH213</f>
        <v>96.214418521916258</v>
      </c>
      <c r="AZ213" s="8">
        <v>210</v>
      </c>
      <c r="BA213" s="12">
        <f>[1]节奏总纲!BA213</f>
        <v>43.030177309109042</v>
      </c>
      <c r="BB213" s="12">
        <f>[1]节奏总纲!BB213</f>
        <v>44.520381471062606</v>
      </c>
      <c r="BC213" s="12">
        <f>[1]节奏总纲!BC213</f>
        <v>46.465050858235607</v>
      </c>
      <c r="BD213" s="12">
        <f>[1]节奏总纲!BD213</f>
        <v>49.216271283766375</v>
      </c>
      <c r="BE213" s="12">
        <f>[1]节奏总纲!BE213</f>
        <v>53.929533696600465</v>
      </c>
    </row>
    <row r="214" spans="29:57" x14ac:dyDescent="0.15">
      <c r="AC214" s="8">
        <v>211</v>
      </c>
      <c r="AD214" s="12">
        <f>[1]节奏总纲!AD214</f>
        <v>77.272265912925377</v>
      </c>
      <c r="AE214" s="12">
        <f>[1]节奏总纲!AE214</f>
        <v>79.327943344771512</v>
      </c>
      <c r="AF214" s="12">
        <f>[1]节奏总纲!AF214</f>
        <v>82.304561364481813</v>
      </c>
      <c r="AG214" s="12">
        <f>[1]节奏总纲!AG214</f>
        <v>86.880102094712413</v>
      </c>
      <c r="AH214" s="12">
        <f>[1]节奏总纲!AH214</f>
        <v>96.276568711247364</v>
      </c>
      <c r="AZ214" s="8">
        <v>211</v>
      </c>
      <c r="BA214" s="12">
        <f>[1]节奏总纲!BA214</f>
        <v>43.060134675856759</v>
      </c>
      <c r="BB214" s="12">
        <f>[1]节奏总纲!BB214</f>
        <v>44.55270077894248</v>
      </c>
      <c r="BC214" s="12">
        <f>[1]节奏总纲!BC214</f>
        <v>46.497157596266817</v>
      </c>
      <c r="BD214" s="12">
        <f>[1]节奏总纲!BD214</f>
        <v>49.247260952261179</v>
      </c>
      <c r="BE214" s="12">
        <f>[1]节奏总纲!BE214</f>
        <v>53.963997969633951</v>
      </c>
    </row>
    <row r="215" spans="29:57" x14ac:dyDescent="0.15">
      <c r="AC215" s="8">
        <v>212</v>
      </c>
      <c r="AD215" s="12">
        <f>[1]节奏总纲!AD215</f>
        <v>77.339270592575559</v>
      </c>
      <c r="AE215" s="12">
        <f>[1]节奏总纲!AE215</f>
        <v>79.394582576821932</v>
      </c>
      <c r="AF215" s="12">
        <f>[1]节奏总纲!AF215</f>
        <v>82.370449876281796</v>
      </c>
      <c r="AG215" s="12">
        <f>[1]节奏总纲!AG215</f>
        <v>86.955936857250023</v>
      </c>
      <c r="AH215" s="12">
        <f>[1]节奏总纲!AH215</f>
        <v>96.338718900578456</v>
      </c>
      <c r="AZ215" s="8">
        <v>212</v>
      </c>
      <c r="BA215" s="12">
        <f>[1]节奏总纲!BA215</f>
        <v>43.090092042604475</v>
      </c>
      <c r="BB215" s="12">
        <f>[1]节奏总纲!BB215</f>
        <v>44.585020086822361</v>
      </c>
      <c r="BC215" s="12">
        <f>[1]节奏总纲!BC215</f>
        <v>46.529264334298034</v>
      </c>
      <c r="BD215" s="12">
        <f>[1]节奏总纲!BD215</f>
        <v>49.278250620755983</v>
      </c>
      <c r="BE215" s="12">
        <f>[1]节奏总纲!BE215</f>
        <v>53.998462242667436</v>
      </c>
    </row>
    <row r="216" spans="29:57" x14ac:dyDescent="0.15">
      <c r="AC216" s="8">
        <v>213</v>
      </c>
      <c r="AD216" s="12">
        <f>[1]节奏总纲!AD216</f>
        <v>77.406275272225741</v>
      </c>
      <c r="AE216" s="12">
        <f>[1]节奏总纲!AE216</f>
        <v>79.461221808872352</v>
      </c>
      <c r="AF216" s="12">
        <f>[1]节奏总纲!AF216</f>
        <v>82.436338388081793</v>
      </c>
      <c r="AG216" s="12">
        <f>[1]节奏总纲!AG216</f>
        <v>87.031203567981635</v>
      </c>
      <c r="AH216" s="12">
        <f>[1]节奏总纲!AH216</f>
        <v>96.400869089909563</v>
      </c>
      <c r="AZ216" s="8">
        <v>213</v>
      </c>
      <c r="BA216" s="12">
        <f>[1]节奏总纲!BA216</f>
        <v>43.120049409352191</v>
      </c>
      <c r="BB216" s="12">
        <f>[1]节奏总纲!BB216</f>
        <v>44.617339394702242</v>
      </c>
      <c r="BC216" s="12">
        <f>[1]节奏总纲!BC216</f>
        <v>46.561371072329244</v>
      </c>
      <c r="BD216" s="12">
        <f>[1]节奏总纲!BD216</f>
        <v>49.309240289250788</v>
      </c>
      <c r="BE216" s="12">
        <f>[1]节奏总纲!BE216</f>
        <v>54.028437871105552</v>
      </c>
    </row>
    <row r="217" spans="29:57" x14ac:dyDescent="0.15">
      <c r="AC217" s="8">
        <v>214</v>
      </c>
      <c r="AD217" s="12">
        <f>[1]节奏总纲!AD217</f>
        <v>77.473279951875909</v>
      </c>
      <c r="AE217" s="12">
        <f>[1]节奏总纲!AE217</f>
        <v>79.527861040922772</v>
      </c>
      <c r="AF217" s="12">
        <f>[1]节奏总纲!AF217</f>
        <v>82.502226899881776</v>
      </c>
      <c r="AG217" s="12">
        <f>[1]节奏总纲!AG217</f>
        <v>87.10568246405397</v>
      </c>
      <c r="AH217" s="12">
        <f>[1]节奏总纲!AH217</f>
        <v>96.463019279240655</v>
      </c>
      <c r="AZ217" s="8">
        <v>214</v>
      </c>
      <c r="BA217" s="12">
        <f>[1]节奏总纲!BA217</f>
        <v>43.150006776099914</v>
      </c>
      <c r="BB217" s="12">
        <f>[1]节奏总纲!BB217</f>
        <v>44.649658702582116</v>
      </c>
      <c r="BC217" s="12">
        <f>[1]节奏总纲!BC217</f>
        <v>46.593477810360454</v>
      </c>
      <c r="BD217" s="12">
        <f>[1]节奏总纲!BD217</f>
        <v>49.340229957745592</v>
      </c>
      <c r="BE217" s="12">
        <f>[1]节奏总纲!BE217</f>
        <v>54.058203867701586</v>
      </c>
    </row>
    <row r="218" spans="29:57" x14ac:dyDescent="0.15">
      <c r="AC218" s="8">
        <v>215</v>
      </c>
      <c r="AD218" s="12">
        <f>[1]节奏总纲!AD218</f>
        <v>77.540284631526092</v>
      </c>
      <c r="AE218" s="12">
        <f>[1]节奏总纲!AE218</f>
        <v>79.594500272973193</v>
      </c>
      <c r="AF218" s="12">
        <f>[1]节奏总纲!AF218</f>
        <v>82.568115411681774</v>
      </c>
      <c r="AG218" s="12">
        <f>[1]节奏总纲!AG218</f>
        <v>87.180161360126306</v>
      </c>
      <c r="AH218" s="12">
        <f>[1]节奏总纲!AH218</f>
        <v>96.525169468571761</v>
      </c>
      <c r="AZ218" s="8">
        <v>215</v>
      </c>
      <c r="BA218" s="12">
        <f>[1]节奏总纲!BA218</f>
        <v>43.179964142847631</v>
      </c>
      <c r="BB218" s="12">
        <f>[1]节奏总纲!BB218</f>
        <v>44.681978010461997</v>
      </c>
      <c r="BC218" s="12">
        <f>[1]节奏总纲!BC218</f>
        <v>46.625584548391664</v>
      </c>
      <c r="BD218" s="12">
        <f>[1]节奏总纲!BD218</f>
        <v>49.371219626240396</v>
      </c>
      <c r="BE218" s="12">
        <f>[1]节奏总纲!BE218</f>
        <v>54.087969864297619</v>
      </c>
    </row>
    <row r="219" spans="29:57" x14ac:dyDescent="0.15">
      <c r="AC219" s="8">
        <v>216</v>
      </c>
      <c r="AD219" s="12">
        <f>[1]节奏总纲!AD219</f>
        <v>77.607289311176274</v>
      </c>
      <c r="AE219" s="12">
        <f>[1]节奏总纲!AE219</f>
        <v>79.661139505023613</v>
      </c>
      <c r="AF219" s="12">
        <f>[1]节奏总纲!AF219</f>
        <v>82.634003923481771</v>
      </c>
      <c r="AG219" s="12">
        <f>[1]节奏总纲!AG219</f>
        <v>87.254640256198641</v>
      </c>
      <c r="AH219" s="12">
        <f>[1]节奏总纲!AH219</f>
        <v>96.587319657902853</v>
      </c>
      <c r="AZ219" s="8">
        <v>216</v>
      </c>
      <c r="BA219" s="12">
        <f>[1]节奏总纲!BA219</f>
        <v>43.209921509595347</v>
      </c>
      <c r="BB219" s="12">
        <f>[1]节奏总纲!BB219</f>
        <v>44.71429731834187</v>
      </c>
      <c r="BC219" s="12">
        <f>[1]节奏总纲!BC219</f>
        <v>46.657691286422882</v>
      </c>
      <c r="BD219" s="12">
        <f>[1]节奏总纲!BD219</f>
        <v>49.402209294735208</v>
      </c>
      <c r="BE219" s="12">
        <f>[1]节奏总纲!BE219</f>
        <v>54.117735860893646</v>
      </c>
    </row>
    <row r="220" spans="29:57" x14ac:dyDescent="0.15">
      <c r="AC220" s="8">
        <v>217</v>
      </c>
      <c r="AD220" s="12">
        <f>[1]节奏总纲!AD220</f>
        <v>77.674293990826456</v>
      </c>
      <c r="AE220" s="12">
        <f>[1]节奏总纲!AE220</f>
        <v>79.727778737074033</v>
      </c>
      <c r="AF220" s="12">
        <f>[1]节奏总纲!AF220</f>
        <v>82.699892435281754</v>
      </c>
      <c r="AG220" s="12">
        <f>[1]节奏总纲!AG220</f>
        <v>87.329119152270991</v>
      </c>
      <c r="AH220" s="12">
        <f>[1]节奏总纲!AH220</f>
        <v>96.649469847233959</v>
      </c>
      <c r="AZ220" s="8">
        <v>217</v>
      </c>
      <c r="BA220" s="12">
        <f>[1]节奏总纲!BA220</f>
        <v>43.239878876343063</v>
      </c>
      <c r="BB220" s="12">
        <f>[1]节奏总纲!BB220</f>
        <v>44.746616626221751</v>
      </c>
      <c r="BC220" s="12">
        <f>[1]节奏总纲!BC220</f>
        <v>46.689798024454092</v>
      </c>
      <c r="BD220" s="12">
        <f>[1]节奏总纲!BD220</f>
        <v>49.433198963230012</v>
      </c>
      <c r="BE220" s="12">
        <f>[1]节奏总纲!BE220</f>
        <v>54.147501857489679</v>
      </c>
    </row>
    <row r="221" spans="29:57" x14ac:dyDescent="0.15">
      <c r="AC221" s="8">
        <v>218</v>
      </c>
      <c r="AD221" s="12">
        <f>[1]节奏总纲!AD221</f>
        <v>77.741298670476638</v>
      </c>
      <c r="AE221" s="12">
        <f>[1]节奏总纲!AE221</f>
        <v>79.794417969124453</v>
      </c>
      <c r="AF221" s="12">
        <f>[1]节奏总纲!AF221</f>
        <v>82.765780947081751</v>
      </c>
      <c r="AG221" s="12">
        <f>[1]节奏总纲!AG221</f>
        <v>87.403598048343326</v>
      </c>
      <c r="AH221" s="12">
        <f>[1]节奏总纲!AH221</f>
        <v>96.711620036565051</v>
      </c>
      <c r="AZ221" s="8">
        <v>218</v>
      </c>
      <c r="BA221" s="12">
        <f>[1]节奏总纲!BA221</f>
        <v>43.269836243090786</v>
      </c>
      <c r="BB221" s="12">
        <f>[1]节奏总纲!BB221</f>
        <v>44.778935934101632</v>
      </c>
      <c r="BC221" s="12">
        <f>[1]节奏总纲!BC221</f>
        <v>46.721904762485302</v>
      </c>
      <c r="BD221" s="12">
        <f>[1]节奏总纲!BD221</f>
        <v>49.464188631724817</v>
      </c>
      <c r="BE221" s="12">
        <f>[1]节奏总纲!BE221</f>
        <v>54.177267854085706</v>
      </c>
    </row>
    <row r="222" spans="29:57" x14ac:dyDescent="0.15">
      <c r="AC222" s="8">
        <v>219</v>
      </c>
      <c r="AD222" s="12">
        <f>[1]节奏总纲!AD222</f>
        <v>77.80830335012682</v>
      </c>
      <c r="AE222" s="12">
        <f>[1]节奏总纲!AE222</f>
        <v>79.861057201174873</v>
      </c>
      <c r="AF222" s="12">
        <f>[1]节奏总纲!AF222</f>
        <v>82.831669458881734</v>
      </c>
      <c r="AG222" s="12">
        <f>[1]节奏总纲!AG222</f>
        <v>87.478076944415662</v>
      </c>
      <c r="AH222" s="12">
        <f>[1]节奏总纲!AH222</f>
        <v>96.773770225896158</v>
      </c>
      <c r="AZ222" s="8">
        <v>219</v>
      </c>
      <c r="BA222" s="12">
        <f>[1]节奏总纲!BA222</f>
        <v>43.299793609838503</v>
      </c>
      <c r="BB222" s="12">
        <f>[1]节奏总纲!BB222</f>
        <v>44.811255241981506</v>
      </c>
      <c r="BC222" s="12">
        <f>[1]节奏总纲!BC222</f>
        <v>46.754011500516519</v>
      </c>
      <c r="BD222" s="12">
        <f>[1]节奏总纲!BD222</f>
        <v>49.495178300219621</v>
      </c>
      <c r="BE222" s="12">
        <f>[1]节奏总纲!BE222</f>
        <v>54.207033850681739</v>
      </c>
    </row>
    <row r="223" spans="29:57" x14ac:dyDescent="0.15">
      <c r="AC223" s="8">
        <v>220</v>
      </c>
      <c r="AD223" s="12">
        <f>[1]节奏总纲!AD223</f>
        <v>77.875308029777003</v>
      </c>
      <c r="AE223" s="12">
        <f>[1]节奏总纲!AE223</f>
        <v>79.927696433225293</v>
      </c>
      <c r="AF223" s="12">
        <f>[1]节奏总纲!AF223</f>
        <v>82.897557970681731</v>
      </c>
      <c r="AG223" s="12">
        <f>[1]节奏总纲!AG223</f>
        <v>87.552555840488012</v>
      </c>
      <c r="AH223" s="12">
        <f>[1]节奏总纲!AH223</f>
        <v>96.83592041522725</v>
      </c>
      <c r="AZ223" s="8">
        <v>220</v>
      </c>
      <c r="BA223" s="12">
        <f>[1]节奏总纲!BA223</f>
        <v>43.329750976586219</v>
      </c>
      <c r="BB223" s="12">
        <f>[1]节奏总纲!BB223</f>
        <v>44.843574549861387</v>
      </c>
      <c r="BC223" s="12">
        <f>[1]节奏总纲!BC223</f>
        <v>46.786118238547729</v>
      </c>
      <c r="BD223" s="12">
        <f>[1]节奏总纲!BD223</f>
        <v>49.526167968714425</v>
      </c>
      <c r="BE223" s="12">
        <f>[1]节奏总纲!BE223</f>
        <v>54.236799847277773</v>
      </c>
    </row>
    <row r="224" spans="29:57" x14ac:dyDescent="0.15">
      <c r="AC224" s="8">
        <v>221</v>
      </c>
      <c r="AD224" s="12">
        <f>[1]节奏总纲!AD224</f>
        <v>77.942312709427185</v>
      </c>
      <c r="AE224" s="12">
        <f>[1]节奏总纲!AE224</f>
        <v>79.994335665275713</v>
      </c>
      <c r="AF224" s="12">
        <f>[1]节奏总纲!AF224</f>
        <v>82.963446482481729</v>
      </c>
      <c r="AG224" s="12">
        <f>[1]节奏总纲!AG224</f>
        <v>87.627034736560347</v>
      </c>
      <c r="AH224" s="12">
        <f>[1]节奏总纲!AH224</f>
        <v>96.898070604558356</v>
      </c>
      <c r="AZ224" s="8">
        <v>221</v>
      </c>
      <c r="BA224" s="12">
        <f>[1]节奏总纲!BA224</f>
        <v>43.359708343333942</v>
      </c>
      <c r="BB224" s="12">
        <f>[1]节奏总纲!BB224</f>
        <v>44.875893857741268</v>
      </c>
      <c r="BC224" s="12">
        <f>[1]节奏总纲!BC224</f>
        <v>46.818224976578939</v>
      </c>
      <c r="BD224" s="12">
        <f>[1]节奏总纲!BD224</f>
        <v>49.55715763720923</v>
      </c>
      <c r="BE224" s="12">
        <f>[1]节奏总纲!BE224</f>
        <v>54.266565843873799</v>
      </c>
    </row>
    <row r="225" spans="29:57" x14ac:dyDescent="0.15">
      <c r="AC225" s="8">
        <v>222</v>
      </c>
      <c r="AD225" s="12">
        <f>[1]节奏总纲!AD225</f>
        <v>78.008693431404168</v>
      </c>
      <c r="AE225" s="12">
        <f>[1]节奏总纲!AE225</f>
        <v>80.05990507131493</v>
      </c>
      <c r="AF225" s="12">
        <f>[1]节奏总纲!AF225</f>
        <v>83.028328094754301</v>
      </c>
      <c r="AG225" s="12">
        <f>[1]节奏总纲!AG225</f>
        <v>87.701513632632683</v>
      </c>
      <c r="AH225" s="12">
        <f>[1]节奏总纲!AH225</f>
        <v>96.960220793889448</v>
      </c>
      <c r="AZ225" s="8">
        <v>222</v>
      </c>
      <c r="BA225" s="12">
        <f>[1]节奏总纲!BA225</f>
        <v>43.389665710081658</v>
      </c>
      <c r="BB225" s="12">
        <f>[1]节奏总纲!BB225</f>
        <v>44.908213165621142</v>
      </c>
      <c r="BC225" s="12">
        <f>[1]节奏总纲!BC225</f>
        <v>46.850331714610157</v>
      </c>
      <c r="BD225" s="12">
        <f>[1]节奏总纲!BD225</f>
        <v>49.588147305704041</v>
      </c>
      <c r="BE225" s="12">
        <f>[1]节奏总纲!BE225</f>
        <v>54.296331840469833</v>
      </c>
    </row>
    <row r="226" spans="29:57" x14ac:dyDescent="0.15">
      <c r="AC226" s="8">
        <v>223</v>
      </c>
      <c r="AD226" s="12">
        <f>[1]节奏总纲!AD226</f>
        <v>78.071211008105138</v>
      </c>
      <c r="AE226" s="12">
        <f>[1]节奏总纲!AE226</f>
        <v>80.125375094609936</v>
      </c>
      <c r="AF226" s="12">
        <f>[1]节奏总纲!AF226</f>
        <v>83.091955037632331</v>
      </c>
      <c r="AG226" s="12">
        <f>[1]节奏总纲!AG226</f>
        <v>87.775992528705018</v>
      </c>
      <c r="AH226" s="12">
        <f>[1]节奏总纲!AH226</f>
        <v>97.020244939111976</v>
      </c>
      <c r="AZ226" s="8">
        <v>223</v>
      </c>
      <c r="BA226" s="12">
        <f>[1]节奏总纲!BA226</f>
        <v>43.419623076829374</v>
      </c>
      <c r="BB226" s="12">
        <f>[1]节奏总纲!BB226</f>
        <v>44.940532473501023</v>
      </c>
      <c r="BC226" s="12">
        <f>[1]节奏总纲!BC226</f>
        <v>46.882438452641367</v>
      </c>
      <c r="BD226" s="12">
        <f>[1]节奏总纲!BD226</f>
        <v>49.619136974198845</v>
      </c>
      <c r="BE226" s="12">
        <f>[1]节奏总纲!BE226</f>
        <v>54.326097837065859</v>
      </c>
    </row>
    <row r="227" spans="29:57" x14ac:dyDescent="0.15">
      <c r="AC227" s="8">
        <v>224</v>
      </c>
      <c r="AD227" s="12">
        <f>[1]节奏总纲!AD227</f>
        <v>78.133728584806107</v>
      </c>
      <c r="AE227" s="12">
        <f>[1]节奏总纲!AE227</f>
        <v>80.190845117904942</v>
      </c>
      <c r="AF227" s="12">
        <f>[1]节奏总纲!AF227</f>
        <v>83.155581980510348</v>
      </c>
      <c r="AG227" s="12">
        <f>[1]节奏总纲!AG227</f>
        <v>87.850471424777368</v>
      </c>
      <c r="AH227" s="12">
        <f>[1]节奏总纲!AH227</f>
        <v>97.076488635975949</v>
      </c>
      <c r="AZ227" s="8">
        <v>224</v>
      </c>
      <c r="BA227" s="12">
        <f>[1]节奏总纲!BA227</f>
        <v>43.449580443577091</v>
      </c>
      <c r="BB227" s="12">
        <f>[1]节奏总纲!BB227</f>
        <v>44.972851781380903</v>
      </c>
      <c r="BC227" s="12">
        <f>[1]节奏总纲!BC227</f>
        <v>46.914545190672577</v>
      </c>
      <c r="BD227" s="12">
        <f>[1]节奏总纲!BD227</f>
        <v>49.65012664269365</v>
      </c>
      <c r="BE227" s="12">
        <f>[1]节奏总纲!BE227</f>
        <v>54.355863833661893</v>
      </c>
    </row>
    <row r="228" spans="29:57" x14ac:dyDescent="0.15">
      <c r="AC228" s="8">
        <v>225</v>
      </c>
      <c r="AD228" s="12">
        <f>[1]节奏总纲!AD228</f>
        <v>78.196246161507091</v>
      </c>
      <c r="AE228" s="12">
        <f>[1]节奏总纲!AE228</f>
        <v>80.256315141199948</v>
      </c>
      <c r="AF228" s="12">
        <f>[1]节奏总纲!AF228</f>
        <v>83.219208923388379</v>
      </c>
      <c r="AG228" s="12">
        <f>[1]节奏总纲!AG228</f>
        <v>87.924950320849703</v>
      </c>
      <c r="AH228" s="12">
        <f>[1]节奏总纲!AH228</f>
        <v>97.132732332839936</v>
      </c>
      <c r="AZ228" s="8">
        <v>225</v>
      </c>
      <c r="BA228" s="12">
        <f>[1]节奏总纲!BA228</f>
        <v>43.479537810324814</v>
      </c>
      <c r="BB228" s="12">
        <f>[1]节奏总纲!BB228</f>
        <v>45.004463376644416</v>
      </c>
      <c r="BC228" s="12">
        <f>[1]节奏总纲!BC228</f>
        <v>46.946651928703794</v>
      </c>
      <c r="BD228" s="12">
        <f>[1]节奏总纲!BD228</f>
        <v>49.681116311188454</v>
      </c>
      <c r="BE228" s="12">
        <f>[1]节奏总纲!BE228</f>
        <v>54.385629830257926</v>
      </c>
    </row>
    <row r="229" spans="29:57" x14ac:dyDescent="0.15">
      <c r="AC229" s="8">
        <v>226</v>
      </c>
      <c r="AD229" s="12">
        <f>[1]节奏总纲!AD229</f>
        <v>78.25876373820806</v>
      </c>
      <c r="AE229" s="12">
        <f>[1]节奏总纲!AE229</f>
        <v>80.321785164494941</v>
      </c>
      <c r="AF229" s="12">
        <f>[1]节奏总纲!AF229</f>
        <v>83.282835866266396</v>
      </c>
      <c r="AG229" s="12">
        <f>[1]节奏总纲!AG229</f>
        <v>87.999429216922039</v>
      </c>
      <c r="AH229" s="12">
        <f>[1]节奏总纲!AH229</f>
        <v>97.188976029703909</v>
      </c>
      <c r="AZ229" s="8">
        <v>226</v>
      </c>
      <c r="BA229" s="12">
        <f>[1]节奏总纲!BA229</f>
        <v>43.50949517707253</v>
      </c>
      <c r="BB229" s="12">
        <f>[1]节奏总纲!BB229</f>
        <v>45.032359480672049</v>
      </c>
      <c r="BC229" s="12">
        <f>[1]节奏总纲!BC229</f>
        <v>46.978758666735004</v>
      </c>
      <c r="BD229" s="12">
        <f>[1]节奏总纲!BD229</f>
        <v>49.712105979683258</v>
      </c>
      <c r="BE229" s="12">
        <f>[1]节奏总纲!BE229</f>
        <v>54.415395826853953</v>
      </c>
    </row>
    <row r="230" spans="29:57" x14ac:dyDescent="0.15">
      <c r="AC230" s="8">
        <v>227</v>
      </c>
      <c r="AD230" s="12">
        <f>[1]节奏总纲!AD230</f>
        <v>78.321281314909029</v>
      </c>
      <c r="AE230" s="12">
        <f>[1]节奏总纲!AE230</f>
        <v>80.387255187789947</v>
      </c>
      <c r="AF230" s="12">
        <f>[1]节奏总纲!AF230</f>
        <v>83.346462809144427</v>
      </c>
      <c r="AG230" s="12">
        <f>[1]节奏总纲!AG230</f>
        <v>88.069378113045531</v>
      </c>
      <c r="AH230" s="12">
        <f>[1]节奏总纲!AH230</f>
        <v>97.245219726567882</v>
      </c>
      <c r="AZ230" s="8">
        <v>227</v>
      </c>
      <c r="BA230" s="12">
        <f>[1]节奏总纲!BA230</f>
        <v>43.539452543820246</v>
      </c>
      <c r="BB230" s="12">
        <f>[1]节奏总纲!BB230</f>
        <v>45.060255584699682</v>
      </c>
      <c r="BC230" s="12">
        <f>[1]节奏总纲!BC230</f>
        <v>47.009379755645142</v>
      </c>
      <c r="BD230" s="12">
        <f>[1]节奏总纲!BD230</f>
        <v>49.743095648178063</v>
      </c>
      <c r="BE230" s="12">
        <f>[1]节奏总纲!BE230</f>
        <v>54.445161823449986</v>
      </c>
    </row>
    <row r="231" spans="29:57" x14ac:dyDescent="0.15">
      <c r="AC231" s="8">
        <v>228</v>
      </c>
      <c r="AD231" s="12">
        <f>[1]节奏总纲!AD231</f>
        <v>78.383798891610013</v>
      </c>
      <c r="AE231" s="12">
        <f>[1]节奏总纲!AE231</f>
        <v>80.452725211084953</v>
      </c>
      <c r="AF231" s="12">
        <f>[1]节奏总纲!AF231</f>
        <v>83.410089752022458</v>
      </c>
      <c r="AG231" s="12">
        <f>[1]节奏总纲!AG231</f>
        <v>88.139292024548126</v>
      </c>
      <c r="AH231" s="12">
        <f>[1]节奏总纲!AH231</f>
        <v>97.301463423431869</v>
      </c>
      <c r="AZ231" s="8">
        <v>228</v>
      </c>
      <c r="BA231" s="12">
        <f>[1]节奏总纲!BA231</f>
        <v>43.569409910567963</v>
      </c>
      <c r="BB231" s="12">
        <f>[1]节奏总纲!BB231</f>
        <v>45.088151688727308</v>
      </c>
      <c r="BC231" s="12">
        <f>[1]节奏总纲!BC231</f>
        <v>47.037096473409001</v>
      </c>
      <c r="BD231" s="12">
        <f>[1]节奏总纲!BD231</f>
        <v>49.774085316672867</v>
      </c>
      <c r="BE231" s="12">
        <f>[1]节奏总纲!BE231</f>
        <v>54.47492782004602</v>
      </c>
    </row>
    <row r="232" spans="29:57" x14ac:dyDescent="0.15">
      <c r="AC232" s="8">
        <v>229</v>
      </c>
      <c r="AD232" s="12">
        <f>[1]节奏总纲!AD232</f>
        <v>78.446316468310982</v>
      </c>
      <c r="AE232" s="12">
        <f>[1]节奏总纲!AE232</f>
        <v>80.518195234379959</v>
      </c>
      <c r="AF232" s="12">
        <f>[1]节奏总纲!AF232</f>
        <v>83.473716694900475</v>
      </c>
      <c r="AG232" s="12">
        <f>[1]节奏总纲!AG232</f>
        <v>88.209205936050708</v>
      </c>
      <c r="AH232" s="12">
        <f>[1]节奏总纲!AH232</f>
        <v>97.357707120295842</v>
      </c>
      <c r="AZ232" s="8">
        <v>229</v>
      </c>
      <c r="BA232" s="12">
        <f>[1]节奏总纲!BA232</f>
        <v>43.599367277315686</v>
      </c>
      <c r="BB232" s="12">
        <f>[1]节奏总纲!BB232</f>
        <v>45.116047792754941</v>
      </c>
      <c r="BC232" s="12">
        <f>[1]节奏总纲!BC232</f>
        <v>47.06481319117286</v>
      </c>
      <c r="BD232" s="12">
        <f>[1]节奏总纲!BD232</f>
        <v>49.805074985167678</v>
      </c>
      <c r="BE232" s="12">
        <f>[1]节奏总纲!BE232</f>
        <v>54.504693816642046</v>
      </c>
    </row>
    <row r="233" spans="29:57" x14ac:dyDescent="0.15">
      <c r="AC233" s="8">
        <v>230</v>
      </c>
      <c r="AD233" s="12">
        <f>[1]节奏总纲!AD233</f>
        <v>78.508834045011952</v>
      </c>
      <c r="AE233" s="12">
        <f>[1]节奏总纲!AE233</f>
        <v>80.583665257674966</v>
      </c>
      <c r="AF233" s="12">
        <f>[1]节奏总纲!AF233</f>
        <v>83.537343637778505</v>
      </c>
      <c r="AG233" s="12">
        <f>[1]节奏总纲!AG233</f>
        <v>88.279119847553304</v>
      </c>
      <c r="AH233" s="12">
        <f>[1]节奏总纲!AH233</f>
        <v>97.413950817159815</v>
      </c>
      <c r="AZ233" s="8">
        <v>230</v>
      </c>
      <c r="BA233" s="12">
        <f>[1]节奏总纲!BA233</f>
        <v>43.629324644063402</v>
      </c>
      <c r="BB233" s="12">
        <f>[1]节奏总纲!BB233</f>
        <v>45.143943896782567</v>
      </c>
      <c r="BC233" s="12">
        <f>[1]节奏总纲!BC233</f>
        <v>47.092529908936719</v>
      </c>
      <c r="BD233" s="12">
        <f>[1]节奏总纲!BD233</f>
        <v>49.836064653662483</v>
      </c>
      <c r="BE233" s="12">
        <f>[1]节奏总纲!BE233</f>
        <v>54.53445981323808</v>
      </c>
    </row>
    <row r="234" spans="29:57" x14ac:dyDescent="0.15">
      <c r="AC234" s="8">
        <v>231</v>
      </c>
      <c r="AD234" s="12">
        <f>[1]节奏总纲!AD234</f>
        <v>78.571351621712921</v>
      </c>
      <c r="AE234" s="12">
        <f>[1]节奏总纲!AE234</f>
        <v>80.649135280969972</v>
      </c>
      <c r="AF234" s="12">
        <f>[1]节奏总纲!AF234</f>
        <v>83.600970580656536</v>
      </c>
      <c r="AG234" s="12">
        <f>[1]节奏总纲!AG234</f>
        <v>88.349033759055899</v>
      </c>
      <c r="AH234" s="12">
        <f>[1]节奏总纲!AH234</f>
        <v>97.470194514023802</v>
      </c>
      <c r="AZ234" s="8">
        <v>231</v>
      </c>
      <c r="BA234" s="12">
        <f>[1]节奏总纲!BA234</f>
        <v>43.659282010811118</v>
      </c>
      <c r="BB234" s="12">
        <f>[1]节奏总纲!BB234</f>
        <v>45.171840000810199</v>
      </c>
      <c r="BC234" s="12">
        <f>[1]节奏总纲!BC234</f>
        <v>47.120246626700578</v>
      </c>
      <c r="BD234" s="12">
        <f>[1]节奏总纲!BD234</f>
        <v>49.867054322157287</v>
      </c>
      <c r="BE234" s="12">
        <f>[1]节奏总纲!BE234</f>
        <v>54.564225809834106</v>
      </c>
    </row>
    <row r="235" spans="29:57" x14ac:dyDescent="0.15">
      <c r="AC235" s="8">
        <v>232</v>
      </c>
      <c r="AD235" s="12">
        <f>[1]节奏总纲!AD235</f>
        <v>78.633869198413905</v>
      </c>
      <c r="AE235" s="12">
        <f>[1]节奏总纲!AE235</f>
        <v>80.714605304264978</v>
      </c>
      <c r="AF235" s="12">
        <f>[1]节奏总纲!AF235</f>
        <v>83.664597523534553</v>
      </c>
      <c r="AG235" s="12">
        <f>[1]节奏总纲!AG235</f>
        <v>88.418947670558495</v>
      </c>
      <c r="AH235" s="12">
        <f>[1]节奏总纲!AH235</f>
        <v>97.526438210887775</v>
      </c>
      <c r="AZ235" s="8">
        <v>232</v>
      </c>
      <c r="BA235" s="12">
        <f>[1]节奏总纲!BA235</f>
        <v>43.689239377558835</v>
      </c>
      <c r="BB235" s="12">
        <f>[1]节奏总纲!BB235</f>
        <v>45.199736104837825</v>
      </c>
      <c r="BC235" s="12">
        <f>[1]节奏总纲!BC235</f>
        <v>47.147963344464429</v>
      </c>
      <c r="BD235" s="12">
        <f>[1]节奏总纲!BD235</f>
        <v>49.898043990652091</v>
      </c>
      <c r="BE235" s="12">
        <f>[1]节奏总纲!BE235</f>
        <v>54.593991806430139</v>
      </c>
    </row>
    <row r="236" spans="29:57" x14ac:dyDescent="0.15">
      <c r="AC236" s="8">
        <v>233</v>
      </c>
      <c r="AD236" s="12">
        <f>[1]节奏总纲!AD236</f>
        <v>78.696386775114874</v>
      </c>
      <c r="AE236" s="12">
        <f>[1]节奏总纲!AE236</f>
        <v>80.78007532755997</v>
      </c>
      <c r="AF236" s="12">
        <f>[1]节奏总纲!AF236</f>
        <v>83.728224466412584</v>
      </c>
      <c r="AG236" s="12">
        <f>[1]节奏总纲!AG236</f>
        <v>88.488861582061077</v>
      </c>
      <c r="AH236" s="12">
        <f>[1]节奏总纲!AH236</f>
        <v>97.582681907751748</v>
      </c>
      <c r="AZ236" s="8">
        <v>233</v>
      </c>
      <c r="BA236" s="12">
        <f>[1]节奏总纲!BA236</f>
        <v>43.719196744306558</v>
      </c>
      <c r="BB236" s="12">
        <f>[1]节奏总纲!BB236</f>
        <v>45.227632208865458</v>
      </c>
      <c r="BC236" s="12">
        <f>[1]节奏总纲!BC236</f>
        <v>47.175680062228288</v>
      </c>
      <c r="BD236" s="12">
        <f>[1]节奏总纲!BD236</f>
        <v>49.929033659146896</v>
      </c>
      <c r="BE236" s="12">
        <f>[1]节奏总纲!BE236</f>
        <v>54.623757803026173</v>
      </c>
    </row>
    <row r="237" spans="29:57" x14ac:dyDescent="0.15">
      <c r="AC237" s="8">
        <v>234</v>
      </c>
      <c r="AD237" s="12">
        <f>[1]节奏总纲!AD237</f>
        <v>78.758904351815843</v>
      </c>
      <c r="AE237" s="12">
        <f>[1]节奏总纲!AE237</f>
        <v>80.845545350854977</v>
      </c>
      <c r="AF237" s="12">
        <f>[1]节奏总纲!AF237</f>
        <v>83.791851409290615</v>
      </c>
      <c r="AG237" s="12">
        <f>[1]节奏总纲!AG237</f>
        <v>88.558775493563672</v>
      </c>
      <c r="AH237" s="12">
        <f>[1]节奏总纲!AH237</f>
        <v>97.638925604615736</v>
      </c>
      <c r="AZ237" s="8">
        <v>234</v>
      </c>
      <c r="BA237" s="12">
        <f>[1]节奏总纲!BA237</f>
        <v>43.749154111054274</v>
      </c>
      <c r="BB237" s="12">
        <f>[1]节奏总纲!BB237</f>
        <v>45.255528312893091</v>
      </c>
      <c r="BC237" s="12">
        <f>[1]节奏总纲!BC237</f>
        <v>47.203396779992147</v>
      </c>
      <c r="BD237" s="12">
        <f>[1]节奏总纲!BD237</f>
        <v>49.9600233276417</v>
      </c>
      <c r="BE237" s="12">
        <f>[1]节奏总纲!BE237</f>
        <v>54.653523799622199</v>
      </c>
    </row>
    <row r="238" spans="29:57" x14ac:dyDescent="0.15">
      <c r="AC238" s="8">
        <v>235</v>
      </c>
      <c r="AD238" s="12">
        <f>[1]节奏总纲!AD238</f>
        <v>78.821421928516827</v>
      </c>
      <c r="AE238" s="12">
        <f>[1]节奏总纲!AE238</f>
        <v>80.911015374149983</v>
      </c>
      <c r="AF238" s="12">
        <f>[1]节奏总纲!AF238</f>
        <v>83.855478352168632</v>
      </c>
      <c r="AG238" s="12">
        <f>[1]节奏总纲!AG238</f>
        <v>88.628689405066268</v>
      </c>
      <c r="AH238" s="12">
        <f>[1]节奏总纲!AH238</f>
        <v>97.695169301479709</v>
      </c>
      <c r="AZ238" s="8">
        <v>235</v>
      </c>
      <c r="BA238" s="12">
        <f>[1]节奏总纲!BA238</f>
        <v>43.77911147780199</v>
      </c>
      <c r="BB238" s="12">
        <f>[1]节奏总纲!BB238</f>
        <v>45.283424416920717</v>
      </c>
      <c r="BC238" s="12">
        <f>[1]节奏总纲!BC238</f>
        <v>47.231113497756006</v>
      </c>
      <c r="BD238" s="12">
        <f>[1]节奏总纲!BD238</f>
        <v>49.991012996136504</v>
      </c>
      <c r="BE238" s="12">
        <f>[1]节奏总纲!BE238</f>
        <v>54.683289796218233</v>
      </c>
    </row>
    <row r="239" spans="29:57" x14ac:dyDescent="0.15">
      <c r="AC239" s="8">
        <v>236</v>
      </c>
      <c r="AD239" s="12">
        <f>[1]节奏总纲!AD239</f>
        <v>78.883939505217796</v>
      </c>
      <c r="AE239" s="12">
        <f>[1]节奏总纲!AE239</f>
        <v>80.976485397444989</v>
      </c>
      <c r="AF239" s="12">
        <f>[1]节奏总纲!AF239</f>
        <v>83.919105295046663</v>
      </c>
      <c r="AG239" s="12">
        <f>[1]节奏总纲!AG239</f>
        <v>88.698603316568864</v>
      </c>
      <c r="AH239" s="12">
        <f>[1]节奏总纲!AH239</f>
        <v>97.751412998343696</v>
      </c>
      <c r="AZ239" s="8">
        <v>236</v>
      </c>
      <c r="BA239" s="12">
        <f>[1]节奏总纲!BA239</f>
        <v>43.809068844549707</v>
      </c>
      <c r="BB239" s="12">
        <f>[1]节奏总纲!BB239</f>
        <v>45.31132052094835</v>
      </c>
      <c r="BC239" s="12">
        <f>[1]节奏总纲!BC239</f>
        <v>47.258830215519865</v>
      </c>
      <c r="BD239" s="12">
        <f>[1]节奏总纲!BD239</f>
        <v>50.018998195299922</v>
      </c>
      <c r="BE239" s="12">
        <f>[1]节奏总纲!BE239</f>
        <v>54.713055792814259</v>
      </c>
    </row>
    <row r="240" spans="29:57" x14ac:dyDescent="0.15">
      <c r="AC240" s="8">
        <v>237</v>
      </c>
      <c r="AD240" s="12">
        <f>[1]节奏总纲!AD240</f>
        <v>78.946457081918766</v>
      </c>
      <c r="AE240" s="12">
        <f>[1]节奏总纲!AE240</f>
        <v>81.038163244467697</v>
      </c>
      <c r="AF240" s="12">
        <f>[1]节奏总纲!AF240</f>
        <v>83.982732237924694</v>
      </c>
      <c r="AG240" s="12">
        <f>[1]节奏总纲!AG240</f>
        <v>88.768517228071445</v>
      </c>
      <c r="AH240" s="12">
        <f>[1]节奏总纲!AH240</f>
        <v>97.807656695207669</v>
      </c>
      <c r="AZ240" s="8">
        <v>237</v>
      </c>
      <c r="BA240" s="12">
        <f>[1]节奏总纲!BA240</f>
        <v>43.83902621129743</v>
      </c>
      <c r="BB240" s="12">
        <f>[1]节奏总纲!BB240</f>
        <v>45.339216624975975</v>
      </c>
      <c r="BC240" s="12">
        <f>[1]节奏总纲!BC240</f>
        <v>47.286546933283724</v>
      </c>
      <c r="BD240" s="12">
        <f>[1]节奏总纲!BD240</f>
        <v>50.045756216849099</v>
      </c>
      <c r="BE240" s="12">
        <f>[1]节奏总纲!BE240</f>
        <v>54.742821789410293</v>
      </c>
    </row>
    <row r="241" spans="29:57" x14ac:dyDescent="0.15">
      <c r="AC241" s="8">
        <v>238</v>
      </c>
      <c r="AD241" s="12">
        <f>[1]节奏总纲!AD241</f>
        <v>79.008373652580005</v>
      </c>
      <c r="AE241" s="12">
        <f>[1]节奏总纲!AE241</f>
        <v>81.097715704203424</v>
      </c>
      <c r="AF241" s="12">
        <f>[1]节奏总纲!AF241</f>
        <v>84.043767921022209</v>
      </c>
      <c r="AG241" s="12">
        <f>[1]节奏总纲!AG241</f>
        <v>88.838431139574041</v>
      </c>
      <c r="AH241" s="12">
        <f>[1]节奏总纲!AH241</f>
        <v>97.863900392071642</v>
      </c>
      <c r="AZ241" s="8">
        <v>238</v>
      </c>
      <c r="BA241" s="12">
        <f>[1]节奏总纲!BA241</f>
        <v>43.868983578045146</v>
      </c>
      <c r="BB241" s="12">
        <f>[1]节奏总纲!BB241</f>
        <v>45.367112729003608</v>
      </c>
      <c r="BC241" s="12">
        <f>[1]节奏总纲!BC241</f>
        <v>47.314263651047582</v>
      </c>
      <c r="BD241" s="12">
        <f>[1]节奏总纲!BD241</f>
        <v>50.072514238398277</v>
      </c>
      <c r="BE241" s="12">
        <f>[1]节奏总纲!BE241</f>
        <v>54.772587786006326</v>
      </c>
    </row>
    <row r="242" spans="29:57" x14ac:dyDescent="0.15">
      <c r="AC242" s="8">
        <v>239</v>
      </c>
      <c r="AD242" s="12">
        <f>[1]节奏总纲!AD242</f>
        <v>79.066704614192943</v>
      </c>
      <c r="AE242" s="12">
        <f>[1]节奏总纲!AE242</f>
        <v>81.157268163939136</v>
      </c>
      <c r="AF242" s="12">
        <f>[1]节奏总纲!AF242</f>
        <v>84.103838417578672</v>
      </c>
      <c r="AG242" s="12">
        <f>[1]节奏总纲!AG242</f>
        <v>88.908345051076637</v>
      </c>
      <c r="AH242" s="12">
        <f>[1]节奏总纲!AH242</f>
        <v>97.920144088935629</v>
      </c>
      <c r="AZ242" s="8">
        <v>239</v>
      </c>
      <c r="BA242" s="12">
        <f>[1]节奏总纲!BA242</f>
        <v>43.898940944792862</v>
      </c>
      <c r="BB242" s="12">
        <f>[1]节奏总纲!BB242</f>
        <v>45.395008833031234</v>
      </c>
      <c r="BC242" s="12">
        <f>[1]节奏总纲!BC242</f>
        <v>47.341980368811441</v>
      </c>
      <c r="BD242" s="12">
        <f>[1]节奏总纲!BD242</f>
        <v>50.099272259947462</v>
      </c>
      <c r="BE242" s="12">
        <f>[1]节奏总纲!BE242</f>
        <v>54.802353782602353</v>
      </c>
    </row>
    <row r="243" spans="29:57" x14ac:dyDescent="0.15">
      <c r="AC243" s="8">
        <v>240</v>
      </c>
      <c r="AD243" s="12">
        <f>[1]节奏总纲!AD243</f>
        <v>79.125035575805882</v>
      </c>
      <c r="AE243" s="12">
        <f>[1]节奏总纲!AE243</f>
        <v>81.216820623674849</v>
      </c>
      <c r="AF243" s="12">
        <f>[1]节奏总纲!AF243</f>
        <v>84.163908914135135</v>
      </c>
      <c r="AG243" s="12">
        <f>[1]节奏总纲!AG243</f>
        <v>88.978258962579233</v>
      </c>
      <c r="AH243" s="12">
        <f>[1]节奏总纲!AH243</f>
        <v>97.976387785799602</v>
      </c>
      <c r="AZ243" s="8">
        <v>240</v>
      </c>
      <c r="BA243" s="12">
        <f>[1]节奏总纲!BA243</f>
        <v>43.928898311540586</v>
      </c>
      <c r="BB243" s="12">
        <f>[1]节奏总纲!BB243</f>
        <v>45.422904937058867</v>
      </c>
      <c r="BC243" s="12">
        <f>[1]节奏总纲!BC243</f>
        <v>47.3696970865753</v>
      </c>
      <c r="BD243" s="12">
        <f>[1]节奏总纲!BD243</f>
        <v>50.126030281496639</v>
      </c>
      <c r="BE243" s="12">
        <f>[1]节奏总纲!BE243</f>
        <v>54.832119779198386</v>
      </c>
    </row>
    <row r="244" spans="29:57" x14ac:dyDescent="0.15">
      <c r="AC244" s="8">
        <v>241</v>
      </c>
      <c r="AD244" s="12">
        <f>[1]节奏总纲!AD244</f>
        <v>79.18336653741882</v>
      </c>
      <c r="AE244" s="12">
        <f>[1]节奏总纲!AE244</f>
        <v>81.276373083410562</v>
      </c>
      <c r="AF244" s="12">
        <f>[1]节奏总纲!AF244</f>
        <v>84.223979410691598</v>
      </c>
      <c r="AG244" s="12">
        <f>[1]节奏总纲!AG244</f>
        <v>89.047272179270863</v>
      </c>
      <c r="AH244" s="12">
        <f>[1]节奏总纲!AH244</f>
        <v>98.03453879727887</v>
      </c>
      <c r="AZ244" s="8">
        <v>241</v>
      </c>
      <c r="BA244" s="12">
        <f>[1]节奏总纲!BA244</f>
        <v>43.958855678288302</v>
      </c>
      <c r="BB244" s="12">
        <f>[1]节奏总纲!BB244</f>
        <v>45.450801041086493</v>
      </c>
      <c r="BC244" s="12">
        <f>[1]节奏总纲!BC244</f>
        <v>47.397413804339159</v>
      </c>
      <c r="BD244" s="12">
        <f>[1]节奏总纲!BD244</f>
        <v>50.152788303045817</v>
      </c>
      <c r="BE244" s="12">
        <f>[1]节奏总纲!BE244</f>
        <v>54.86188577579442</v>
      </c>
    </row>
    <row r="245" spans="29:57" x14ac:dyDescent="0.15">
      <c r="AC245" s="8">
        <v>242</v>
      </c>
      <c r="AD245" s="12">
        <f>[1]节奏总纲!AD245</f>
        <v>79.241697499031773</v>
      </c>
      <c r="AE245" s="12">
        <f>[1]节奏总纲!AE245</f>
        <v>81.335925543146274</v>
      </c>
      <c r="AF245" s="12">
        <f>[1]节奏总纲!AF245</f>
        <v>84.284049907248061</v>
      </c>
      <c r="AG245" s="12">
        <f>[1]节奏总纲!AG245</f>
        <v>89.11587890081428</v>
      </c>
      <c r="AH245" s="12">
        <f>[1]节奏总纲!AH245</f>
        <v>98.09406994590077</v>
      </c>
      <c r="AZ245" s="8">
        <v>242</v>
      </c>
      <c r="BA245" s="12">
        <f>[1]节奏总纲!BA245</f>
        <v>43.988813045036018</v>
      </c>
      <c r="BB245" s="12">
        <f>[1]节奏总纲!BB245</f>
        <v>45.478697145114126</v>
      </c>
      <c r="BC245" s="12">
        <f>[1]节奏总纲!BC245</f>
        <v>47.425130522103018</v>
      </c>
      <c r="BD245" s="12">
        <f>[1]节奏总纲!BD245</f>
        <v>50.179546324595002</v>
      </c>
      <c r="BE245" s="12">
        <f>[1]节奏总纲!BE245</f>
        <v>54.891651772390446</v>
      </c>
    </row>
    <row r="246" spans="29:57" x14ac:dyDescent="0.15">
      <c r="AC246" s="8">
        <v>243</v>
      </c>
      <c r="AD246" s="12">
        <f>[1]节奏总纲!AD246</f>
        <v>79.300028460644711</v>
      </c>
      <c r="AE246" s="12">
        <f>[1]节奏总纲!AE246</f>
        <v>81.395478002882001</v>
      </c>
      <c r="AF246" s="12">
        <f>[1]节奏总纲!AF246</f>
        <v>84.344120403804524</v>
      </c>
      <c r="AG246" s="12">
        <f>[1]节奏总纲!AG246</f>
        <v>89.184485622357698</v>
      </c>
      <c r="AH246" s="12">
        <f>[1]节奏总纲!AH246</f>
        <v>98.153601094522671</v>
      </c>
      <c r="AZ246" s="8">
        <v>243</v>
      </c>
      <c r="BA246" s="12">
        <f>[1]节奏总纲!BA246</f>
        <v>44.016200268136501</v>
      </c>
      <c r="BB246" s="12">
        <f>[1]节奏总纲!BB246</f>
        <v>45.506593249141758</v>
      </c>
      <c r="BC246" s="12">
        <f>[1]节奏总纲!BC246</f>
        <v>47.452847239866877</v>
      </c>
      <c r="BD246" s="12">
        <f>[1]节奏总纲!BD246</f>
        <v>50.206304346144179</v>
      </c>
      <c r="BE246" s="12">
        <f>[1]节奏总纲!BE246</f>
        <v>54.92141776898648</v>
      </c>
    </row>
    <row r="247" spans="29:57" x14ac:dyDescent="0.15">
      <c r="AC247" s="8">
        <v>244</v>
      </c>
      <c r="AD247" s="12">
        <f>[1]节奏总纲!AD247</f>
        <v>79.358359422257649</v>
      </c>
      <c r="AE247" s="12">
        <f>[1]节奏总纲!AE247</f>
        <v>81.455030462617714</v>
      </c>
      <c r="AF247" s="12">
        <f>[1]节奏总纲!AF247</f>
        <v>84.404190900360987</v>
      </c>
      <c r="AG247" s="12">
        <f>[1]节奏总纲!AG247</f>
        <v>89.253092343901116</v>
      </c>
      <c r="AH247" s="12">
        <f>[1]节奏总纲!AH247</f>
        <v>98.213132243144585</v>
      </c>
      <c r="AZ247" s="8">
        <v>244</v>
      </c>
      <c r="BA247" s="12">
        <f>[1]节奏总纲!BA247</f>
        <v>44.042055714440401</v>
      </c>
      <c r="BB247" s="12">
        <f>[1]节奏总纲!BB247</f>
        <v>45.534489353169384</v>
      </c>
      <c r="BC247" s="12">
        <f>[1]节奏总纲!BC247</f>
        <v>47.480563957630736</v>
      </c>
      <c r="BD247" s="12">
        <f>[1]节奏总纲!BD247</f>
        <v>50.233062367693357</v>
      </c>
      <c r="BE247" s="12">
        <f>[1]节奏总纲!BE247</f>
        <v>54.951183765582506</v>
      </c>
    </row>
    <row r="248" spans="29:57" x14ac:dyDescent="0.15">
      <c r="AC248" s="8">
        <v>245</v>
      </c>
      <c r="AD248" s="12">
        <f>[1]节奏总纲!AD248</f>
        <v>79.416690383870588</v>
      </c>
      <c r="AE248" s="12">
        <f>[1]节奏总纲!AE248</f>
        <v>81.514582922353426</v>
      </c>
      <c r="AF248" s="12">
        <f>[1]节奏总纲!AF248</f>
        <v>84.46426139691745</v>
      </c>
      <c r="AG248" s="12">
        <f>[1]节奏总纲!AG248</f>
        <v>89.321699065444534</v>
      </c>
      <c r="AH248" s="12">
        <f>[1]节奏总纲!AH248</f>
        <v>98.272663391766486</v>
      </c>
      <c r="AZ248" s="8">
        <v>245</v>
      </c>
      <c r="BA248" s="12">
        <f>[1]节奏总纲!BA248</f>
        <v>44.067911160744309</v>
      </c>
      <c r="BB248" s="12">
        <f>[1]节奏总纲!BB248</f>
        <v>45.562385457197017</v>
      </c>
      <c r="BC248" s="12">
        <f>[1]节奏总纲!BC248</f>
        <v>47.508280675394595</v>
      </c>
      <c r="BD248" s="12">
        <f>[1]节奏总纲!BD248</f>
        <v>50.259820389242542</v>
      </c>
      <c r="BE248" s="12">
        <f>[1]节奏总纲!BE248</f>
        <v>54.98094976217854</v>
      </c>
    </row>
    <row r="249" spans="29:57" x14ac:dyDescent="0.15">
      <c r="AC249" s="8">
        <v>246</v>
      </c>
      <c r="AD249" s="12">
        <f>[1]节奏总纲!AD249</f>
        <v>79.475021345483526</v>
      </c>
      <c r="AE249" s="12">
        <f>[1]节奏总纲!AE249</f>
        <v>81.574135382089139</v>
      </c>
      <c r="AF249" s="12">
        <f>[1]节奏总纲!AF249</f>
        <v>84.524331893473914</v>
      </c>
      <c r="AG249" s="12">
        <f>[1]节奏总纲!AG249</f>
        <v>89.390305786987952</v>
      </c>
      <c r="AH249" s="12">
        <f>[1]节奏总纲!AH249</f>
        <v>98.3321945403884</v>
      </c>
      <c r="AZ249" s="8">
        <v>246</v>
      </c>
      <c r="BA249" s="12">
        <f>[1]节奏总纲!BA249</f>
        <v>44.093766607048209</v>
      </c>
      <c r="BB249" s="12">
        <f>[1]节奏总纲!BB249</f>
        <v>45.590281561224643</v>
      </c>
      <c r="BC249" s="12">
        <f>[1]节奏总纲!BC249</f>
        <v>47.535997393158453</v>
      </c>
      <c r="BD249" s="12">
        <f>[1]节奏总纲!BD249</f>
        <v>50.286578410791719</v>
      </c>
      <c r="BE249" s="12">
        <f>[1]节奏总纲!BE249</f>
        <v>55.009255535630842</v>
      </c>
    </row>
    <row r="250" spans="29:57" x14ac:dyDescent="0.15">
      <c r="AC250" s="8">
        <v>247</v>
      </c>
      <c r="AD250" s="12">
        <f>[1]节奏总纲!AD250</f>
        <v>79.533352307096465</v>
      </c>
      <c r="AE250" s="12">
        <f>[1]节奏总纲!AE250</f>
        <v>81.633687841824852</v>
      </c>
      <c r="AF250" s="12">
        <f>[1]节奏总纲!AF250</f>
        <v>84.584402390030377</v>
      </c>
      <c r="AG250" s="12">
        <f>[1]节奏总纲!AG250</f>
        <v>89.45891250853137</v>
      </c>
      <c r="AH250" s="12">
        <f>[1]节奏总纲!AH250</f>
        <v>98.3917256890103</v>
      </c>
      <c r="AZ250" s="8">
        <v>247</v>
      </c>
      <c r="BA250" s="12">
        <f>[1]节奏总纲!BA250</f>
        <v>44.11962205335211</v>
      </c>
      <c r="BB250" s="12">
        <f>[1]节奏总纲!BB250</f>
        <v>45.618177665252276</v>
      </c>
      <c r="BC250" s="12">
        <f>[1]节奏总纲!BC250</f>
        <v>47.563714110922312</v>
      </c>
      <c r="BD250" s="12">
        <f>[1]节奏总纲!BD250</f>
        <v>50.313336432340897</v>
      </c>
      <c r="BE250" s="12">
        <f>[1]节奏总纲!BE250</f>
        <v>55.034965356827627</v>
      </c>
    </row>
    <row r="251" spans="29:57" x14ac:dyDescent="0.15">
      <c r="AC251" s="8">
        <v>248</v>
      </c>
      <c r="AD251" s="12">
        <f>[1]节奏总纲!AD251</f>
        <v>79.591683268709417</v>
      </c>
      <c r="AE251" s="12">
        <f>[1]节奏总纲!AE251</f>
        <v>81.693240301560579</v>
      </c>
      <c r="AF251" s="12">
        <f>[1]节奏总纲!AF251</f>
        <v>84.64447288658684</v>
      </c>
      <c r="AG251" s="12">
        <f>[1]节奏总纲!AG251</f>
        <v>89.527519230074788</v>
      </c>
      <c r="AH251" s="12">
        <f>[1]节奏总纲!AH251</f>
        <v>98.451256837632201</v>
      </c>
      <c r="AZ251" s="8">
        <v>248</v>
      </c>
      <c r="BA251" s="12">
        <f>[1]节奏总纲!BA251</f>
        <v>44.145477499656018</v>
      </c>
      <c r="BB251" s="12">
        <f>[1]节奏总纲!BB251</f>
        <v>45.646073769279901</v>
      </c>
      <c r="BC251" s="12">
        <f>[1]节奏总纲!BC251</f>
        <v>47.591430828686171</v>
      </c>
      <c r="BD251" s="12">
        <f>[1]节奏总纲!BD251</f>
        <v>50.340094453890082</v>
      </c>
      <c r="BE251" s="12">
        <f>[1]节奏总纲!BE251</f>
        <v>55.060675178024418</v>
      </c>
    </row>
    <row r="252" spans="29:57" x14ac:dyDescent="0.15">
      <c r="AC252" s="8">
        <v>249</v>
      </c>
      <c r="AD252" s="12">
        <f>[1]节奏总纲!AD252</f>
        <v>79.650014230322356</v>
      </c>
      <c r="AE252" s="12">
        <f>[1]节奏总纲!AE252</f>
        <v>81.752792761296291</v>
      </c>
      <c r="AF252" s="12">
        <f>[1]节奏总纲!AF252</f>
        <v>84.704543383143317</v>
      </c>
      <c r="AG252" s="12">
        <f>[1]节奏总纲!AG252</f>
        <v>89.596125951618205</v>
      </c>
      <c r="AH252" s="12">
        <f>[1]节奏总纲!AH252</f>
        <v>98.510787986254115</v>
      </c>
      <c r="AZ252" s="8">
        <v>249</v>
      </c>
      <c r="BA252" s="12">
        <f>[1]节奏总纲!BA252</f>
        <v>44.171332945959918</v>
      </c>
      <c r="BB252" s="12">
        <f>[1]节奏总纲!BB252</f>
        <v>45.673969873307534</v>
      </c>
      <c r="BC252" s="12">
        <f>[1]节奏总纲!BC252</f>
        <v>47.61914754645003</v>
      </c>
      <c r="BD252" s="12">
        <f>[1]节奏总纲!BD252</f>
        <v>50.366852475439259</v>
      </c>
      <c r="BE252" s="12">
        <f>[1]节奏总纲!BE252</f>
        <v>55.086384999221202</v>
      </c>
    </row>
    <row r="253" spans="29:57" x14ac:dyDescent="0.15">
      <c r="AC253" s="8">
        <v>250</v>
      </c>
      <c r="AD253" s="12">
        <f>[1]节奏总纲!AD253</f>
        <v>79.708345191935294</v>
      </c>
      <c r="AE253" s="12">
        <f>[1]节奏总纲!AE253</f>
        <v>81.812345221032004</v>
      </c>
      <c r="AF253" s="12">
        <f>[1]节奏总纲!AF253</f>
        <v>84.76461387969978</v>
      </c>
      <c r="AG253" s="12">
        <f>[1]节奏总纲!AG253</f>
        <v>89.664732673161623</v>
      </c>
      <c r="AH253" s="12">
        <f>[1]节奏总纲!AH253</f>
        <v>98.570319134876016</v>
      </c>
      <c r="AZ253" s="8">
        <v>250</v>
      </c>
      <c r="BA253" s="12">
        <f>[1]节奏总纲!BA253</f>
        <v>44.197188392263818</v>
      </c>
      <c r="BB253" s="12">
        <f>[1]节奏总纲!BB253</f>
        <v>45.701865977335167</v>
      </c>
      <c r="BC253" s="12">
        <f>[1]节奏总纲!BC253</f>
        <v>47.646864264213889</v>
      </c>
      <c r="BD253" s="12">
        <f>[1]节奏总纲!BD253</f>
        <v>50.393610496988437</v>
      </c>
      <c r="BE253" s="12">
        <f>[1]节奏总纲!BE253</f>
        <v>55.112094820417994</v>
      </c>
    </row>
    <row r="254" spans="29:57" x14ac:dyDescent="0.15">
      <c r="AC254" s="8">
        <v>251</v>
      </c>
      <c r="AD254" s="12">
        <f>[1]节奏总纲!AD254</f>
        <v>79.766676153548232</v>
      </c>
      <c r="AE254" s="12">
        <f>[1]节奏总纲!AE254</f>
        <v>81.871897680767717</v>
      </c>
      <c r="AF254" s="12">
        <f>[1]节奏总纲!AF254</f>
        <v>84.824684376256243</v>
      </c>
      <c r="AG254" s="12">
        <f>[1]节奏总纲!AG254</f>
        <v>89.733339394705041</v>
      </c>
      <c r="AH254" s="12">
        <f>[1]节奏总纲!AH254</f>
        <v>98.629850283497916</v>
      </c>
      <c r="AZ254" s="8">
        <v>251</v>
      </c>
      <c r="BA254" s="12">
        <f>[1]节奏总纲!BA254</f>
        <v>44.223043838567726</v>
      </c>
      <c r="BB254" s="12">
        <f>[1]节奏总纲!BB254</f>
        <v>45.729762081362793</v>
      </c>
      <c r="BC254" s="12">
        <f>[1]节奏总纲!BC254</f>
        <v>47.674580981977748</v>
      </c>
      <c r="BD254" s="12">
        <f>[1]节奏总纲!BD254</f>
        <v>50.420368518537622</v>
      </c>
      <c r="BE254" s="12">
        <f>[1]节奏总纲!BE254</f>
        <v>55.137804641614778</v>
      </c>
    </row>
    <row r="255" spans="29:57" x14ac:dyDescent="0.15">
      <c r="AC255" s="8">
        <v>252</v>
      </c>
      <c r="AD255" s="12">
        <f>[1]节奏总纲!AD255</f>
        <v>79.825007115161171</v>
      </c>
      <c r="AE255" s="12">
        <f>[1]节奏总纲!AE255</f>
        <v>81.931450140503429</v>
      </c>
      <c r="AF255" s="12">
        <f>[1]节奏总纲!AF255</f>
        <v>84.884754872812707</v>
      </c>
      <c r="AG255" s="12">
        <f>[1]节奏总纲!AG255</f>
        <v>89.801946116248459</v>
      </c>
      <c r="AH255" s="12">
        <f>[1]节奏总纲!AH255</f>
        <v>98.689381432119831</v>
      </c>
      <c r="AZ255" s="8">
        <v>252</v>
      </c>
      <c r="BA255" s="12">
        <f>[1]节奏总纲!BA255</f>
        <v>44.248899284871626</v>
      </c>
      <c r="BB255" s="12">
        <f>[1]节奏总纲!BB255</f>
        <v>45.757658185390426</v>
      </c>
      <c r="BC255" s="12">
        <f>[1]节奏总纲!BC255</f>
        <v>47.7022976997416</v>
      </c>
      <c r="BD255" s="12">
        <f>[1]节奏总纲!BD255</f>
        <v>50.447126540086799</v>
      </c>
      <c r="BE255" s="12">
        <f>[1]节奏总纲!BE255</f>
        <v>55.163514462811563</v>
      </c>
    </row>
    <row r="256" spans="29:57" x14ac:dyDescent="0.15">
      <c r="AC256" s="8">
        <v>253</v>
      </c>
      <c r="AD256" s="12">
        <f>[1]节奏总纲!AD256</f>
        <v>79.883338076774123</v>
      </c>
      <c r="AE256" s="12">
        <f>[1]节奏总纲!AE256</f>
        <v>81.991002600239142</v>
      </c>
      <c r="AF256" s="12">
        <f>[1]节奏总纲!AF256</f>
        <v>84.94482536936917</v>
      </c>
      <c r="AG256" s="12">
        <f>[1]节奏总纲!AG256</f>
        <v>89.870552837791877</v>
      </c>
      <c r="AH256" s="12">
        <f>[1]节奏总纲!AH256</f>
        <v>98.748912580741731</v>
      </c>
      <c r="AZ256" s="8">
        <v>253</v>
      </c>
      <c r="BA256" s="12">
        <f>[1]节奏总纲!BA256</f>
        <v>44.274754731175527</v>
      </c>
      <c r="BB256" s="12">
        <f>[1]节奏总纲!BB256</f>
        <v>45.785554289418052</v>
      </c>
      <c r="BC256" s="12">
        <f>[1]节奏总纲!BC256</f>
        <v>47.730014417505458</v>
      </c>
      <c r="BD256" s="12">
        <f>[1]节奏总纲!BD256</f>
        <v>50.473884561635977</v>
      </c>
      <c r="BE256" s="12">
        <f>[1]节奏总纲!BE256</f>
        <v>55.189224284008354</v>
      </c>
    </row>
    <row r="257" spans="29:57" x14ac:dyDescent="0.15">
      <c r="AC257" s="8">
        <v>254</v>
      </c>
      <c r="AD257" s="12">
        <f>[1]节奏总纲!AD257</f>
        <v>79.941669038387062</v>
      </c>
      <c r="AE257" s="12">
        <f>[1]节奏总纲!AE257</f>
        <v>82.046165327855846</v>
      </c>
      <c r="AF257" s="12">
        <f>[1]节奏总纲!AF257</f>
        <v>85.004450307848032</v>
      </c>
      <c r="AG257" s="12">
        <f>[1]节奏总纲!AG257</f>
        <v>89.939159559335295</v>
      </c>
      <c r="AH257" s="12">
        <f>[1]节奏总纲!AH257</f>
        <v>98.808443729363646</v>
      </c>
      <c r="AZ257" s="8">
        <v>254</v>
      </c>
      <c r="BA257" s="12">
        <f>[1]节奏总纲!BA257</f>
        <v>44.300610177479435</v>
      </c>
      <c r="BB257" s="12">
        <f>[1]节奏总纲!BB257</f>
        <v>45.813450393445684</v>
      </c>
      <c r="BC257" s="12">
        <f>[1]节奏总纲!BC257</f>
        <v>47.757731135269317</v>
      </c>
      <c r="BD257" s="12">
        <f>[1]节奏总纲!BD257</f>
        <v>50.500642583185162</v>
      </c>
      <c r="BE257" s="12">
        <f>[1]节奏总纲!BE257</f>
        <v>55.214934105205138</v>
      </c>
    </row>
    <row r="258" spans="29:57" x14ac:dyDescent="0.15">
      <c r="AC258" s="8">
        <v>255</v>
      </c>
      <c r="AD258" s="12">
        <f>[1]节奏总纲!AD258</f>
        <v>80</v>
      </c>
      <c r="AE258" s="12">
        <f>[1]节奏总纲!AE258</f>
        <v>82.100546804797787</v>
      </c>
      <c r="AF258" s="12">
        <f>[1]节奏总纲!AF258</f>
        <v>85.059053968634842</v>
      </c>
      <c r="AG258" s="12">
        <f>[1]节奏总纲!AG258</f>
        <v>90.006385600230558</v>
      </c>
      <c r="AH258" s="12">
        <f>[1]节奏总纲!AH258</f>
        <v>98.867974877985546</v>
      </c>
      <c r="AZ258" s="8">
        <v>255</v>
      </c>
      <c r="BA258" s="12">
        <f>[1]节奏总纲!BA258</f>
        <v>44.326465623783335</v>
      </c>
      <c r="BB258" s="12">
        <f>[1]节奏总纲!BB258</f>
        <v>45.84134649747331</v>
      </c>
      <c r="BC258" s="12">
        <f>[1]节奏总纲!BC258</f>
        <v>47.785447853033176</v>
      </c>
      <c r="BD258" s="12">
        <f>[1]节奏总纲!BD258</f>
        <v>50.527400604734339</v>
      </c>
      <c r="BE258" s="12">
        <f>[1]节奏总纲!BE258</f>
        <v>55.24064392640193</v>
      </c>
    </row>
    <row r="259" spans="29:57" x14ac:dyDescent="0.15">
      <c r="AC259" s="8">
        <v>256</v>
      </c>
      <c r="AD259" s="12">
        <f>[1]节奏总纲!AD259</f>
        <v>80.054424711612938</v>
      </c>
      <c r="AE259" s="12">
        <f>[1]节奏总纲!AE259</f>
        <v>82.154928281739714</v>
      </c>
      <c r="AF259" s="12">
        <f>[1]节奏总纲!AF259</f>
        <v>85.113657629421638</v>
      </c>
      <c r="AG259" s="12">
        <f>[1]节奏总纲!AG259</f>
        <v>90.062795496260307</v>
      </c>
      <c r="AH259" s="12">
        <f>[1]节奏总纲!AH259</f>
        <v>98.927506026607446</v>
      </c>
      <c r="AZ259" s="8">
        <v>256</v>
      </c>
      <c r="BA259" s="12">
        <f>[1]节奏总纲!BA259</f>
        <v>44.352321070087235</v>
      </c>
      <c r="BB259" s="12">
        <f>[1]节奏总纲!BB259</f>
        <v>45.869242601500943</v>
      </c>
      <c r="BC259" s="12">
        <f>[1]节奏总纲!BC259</f>
        <v>47.813164570797035</v>
      </c>
      <c r="BD259" s="12">
        <f>[1]节奏总纲!BD259</f>
        <v>50.554158626283517</v>
      </c>
      <c r="BE259" s="12">
        <f>[1]节奏总纲!BE259</f>
        <v>55.266353747598714</v>
      </c>
    </row>
    <row r="260" spans="29:57" x14ac:dyDescent="0.15">
      <c r="AC260" s="8">
        <v>257</v>
      </c>
      <c r="AD260" s="12">
        <f>[1]节奏总纲!AD260</f>
        <v>80.108849423225877</v>
      </c>
      <c r="AE260" s="12">
        <f>[1]节奏总纲!AE260</f>
        <v>82.209309758681655</v>
      </c>
      <c r="AF260" s="12">
        <f>[1]节奏总纲!AF260</f>
        <v>85.168261290208434</v>
      </c>
      <c r="AG260" s="12">
        <f>[1]节奏总纲!AG260</f>
        <v>90.119205392290041</v>
      </c>
      <c r="AH260" s="12">
        <f>[1]节奏总纲!AH260</f>
        <v>98.987037175229361</v>
      </c>
      <c r="AZ260" s="8">
        <v>257</v>
      </c>
      <c r="BA260" s="12">
        <f>[1]节奏总纲!BA260</f>
        <v>44.378176516391136</v>
      </c>
      <c r="BB260" s="12">
        <f>[1]节奏总纲!BB260</f>
        <v>45.897138705528576</v>
      </c>
      <c r="BC260" s="12">
        <f>[1]节奏总纲!BC260</f>
        <v>47.840881288560894</v>
      </c>
      <c r="BD260" s="12">
        <f>[1]节奏总纲!BD260</f>
        <v>50.580916647832701</v>
      </c>
      <c r="BE260" s="12">
        <f>[1]节奏总纲!BE260</f>
        <v>55.292063568795498</v>
      </c>
    </row>
    <row r="261" spans="29:57" x14ac:dyDescent="0.15">
      <c r="AC261" s="8">
        <v>258</v>
      </c>
      <c r="AD261" s="12">
        <f>[1]节奏总纲!AD261</f>
        <v>80.163274134838829</v>
      </c>
      <c r="AE261" s="12">
        <f>[1]节奏总纲!AE261</f>
        <v>82.263691235623583</v>
      </c>
      <c r="AF261" s="12">
        <f>[1]节奏总纲!AF261</f>
        <v>85.222864950995231</v>
      </c>
      <c r="AG261" s="12">
        <f>[1]节奏总纲!AG261</f>
        <v>90.175615288319776</v>
      </c>
      <c r="AH261" s="12">
        <f>[1]节奏总纲!AH261</f>
        <v>99.046160733338311</v>
      </c>
      <c r="AZ261" s="8">
        <v>258</v>
      </c>
      <c r="BA261" s="12">
        <f>[1]节奏总纲!BA261</f>
        <v>44.404031962695043</v>
      </c>
      <c r="BB261" s="12">
        <f>[1]节奏总纲!BB261</f>
        <v>45.925034809556202</v>
      </c>
      <c r="BC261" s="12">
        <f>[1]节奏总纲!BC261</f>
        <v>47.868598006324753</v>
      </c>
      <c r="BD261" s="12">
        <f>[1]节奏总纲!BD261</f>
        <v>50.607674669381879</v>
      </c>
      <c r="BE261" s="12">
        <f>[1]节奏总纲!BE261</f>
        <v>55.31777338999229</v>
      </c>
    </row>
    <row r="262" spans="29:57" x14ac:dyDescent="0.15">
      <c r="AC262" s="8">
        <v>259</v>
      </c>
      <c r="AD262" s="12">
        <f>[1]节奏总纲!AD262</f>
        <v>80.217698846451768</v>
      </c>
      <c r="AE262" s="12">
        <f>[1]节奏总纲!AE262</f>
        <v>82.318072712565524</v>
      </c>
      <c r="AF262" s="12">
        <f>[1]节奏总纲!AF262</f>
        <v>85.277468611782027</v>
      </c>
      <c r="AG262" s="12">
        <f>[1]节奏总纲!AG262</f>
        <v>90.23202518434951</v>
      </c>
      <c r="AH262" s="12">
        <f>[1]节奏总纲!AH262</f>
        <v>99.105170833973162</v>
      </c>
      <c r="AZ262" s="8">
        <v>259</v>
      </c>
      <c r="BA262" s="12">
        <f>[1]节奏总纲!BA262</f>
        <v>44.429887408998944</v>
      </c>
      <c r="BB262" s="12">
        <f>[1]节奏总纲!BB262</f>
        <v>45.952930913583835</v>
      </c>
      <c r="BC262" s="12">
        <f>[1]节奏总纲!BC262</f>
        <v>47.896314724088612</v>
      </c>
      <c r="BD262" s="12">
        <f>[1]节奏总纲!BD262</f>
        <v>50.634432690931064</v>
      </c>
      <c r="BE262" s="12">
        <f>[1]节奏总纲!BE262</f>
        <v>55.343483211189074</v>
      </c>
    </row>
    <row r="263" spans="29:57" x14ac:dyDescent="0.15">
      <c r="AC263" s="8">
        <v>260</v>
      </c>
      <c r="AD263" s="12">
        <f>[1]节奏总纲!AD263</f>
        <v>80.272123558064706</v>
      </c>
      <c r="AE263" s="12">
        <f>[1]节奏总纲!AE263</f>
        <v>82.372454189507465</v>
      </c>
      <c r="AF263" s="12">
        <f>[1]节奏总纲!AF263</f>
        <v>85.332072272568837</v>
      </c>
      <c r="AG263" s="12">
        <f>[1]节奏总纲!AG263</f>
        <v>90.288435080379244</v>
      </c>
      <c r="AH263" s="12">
        <f>[1]节奏总纲!AH263</f>
        <v>99.164180934608012</v>
      </c>
      <c r="AZ263" s="8">
        <v>260</v>
      </c>
      <c r="BA263" s="12">
        <f>[1]节奏总纲!BA263</f>
        <v>44.455742855302844</v>
      </c>
      <c r="BB263" s="12">
        <f>[1]节奏总纲!BB263</f>
        <v>45.98082701761146</v>
      </c>
      <c r="BC263" s="12">
        <f>[1]节奏总纲!BC263</f>
        <v>47.92403144185247</v>
      </c>
      <c r="BD263" s="12">
        <f>[1]节奏总纲!BD263</f>
        <v>50.661190712480241</v>
      </c>
      <c r="BE263" s="12">
        <f>[1]节奏总纲!BE263</f>
        <v>55.369193032385866</v>
      </c>
    </row>
    <row r="264" spans="29:57" x14ac:dyDescent="0.15">
      <c r="AC264" s="8">
        <v>261</v>
      </c>
      <c r="AD264" s="12">
        <f>[1]节奏总纲!AD264</f>
        <v>80.326548269677644</v>
      </c>
      <c r="AE264" s="12">
        <f>[1]节奏总纲!AE264</f>
        <v>82.426835666449392</v>
      </c>
      <c r="AF264" s="12">
        <f>[1]节奏总纲!AF264</f>
        <v>85.386675933355633</v>
      </c>
      <c r="AG264" s="12">
        <f>[1]节奏总纲!AG264</f>
        <v>90.344844976408993</v>
      </c>
      <c r="AH264" s="12">
        <f>[1]节奏总纲!AH264</f>
        <v>99.223191035242863</v>
      </c>
      <c r="AZ264" s="8">
        <v>261</v>
      </c>
      <c r="BA264" s="12">
        <f>[1]节奏总纲!BA264</f>
        <v>44.481598301606752</v>
      </c>
      <c r="BB264" s="12">
        <f>[1]节奏总纲!BB264</f>
        <v>46.007529841290832</v>
      </c>
      <c r="BC264" s="12">
        <f>[1]节奏总纲!BC264</f>
        <v>47.951748159616329</v>
      </c>
      <c r="BD264" s="12">
        <f>[1]节奏总纲!BD264</f>
        <v>50.687948734029419</v>
      </c>
      <c r="BE264" s="12">
        <f>[1]节奏总纲!BE264</f>
        <v>55.39490285358265</v>
      </c>
    </row>
    <row r="265" spans="29:57" x14ac:dyDescent="0.15">
      <c r="AC265" s="8">
        <v>262</v>
      </c>
      <c r="AD265" s="12">
        <f>[1]节奏总纲!AD265</f>
        <v>80.380972981290597</v>
      </c>
      <c r="AE265" s="12">
        <f>[1]节奏总纲!AE265</f>
        <v>82.481217143391333</v>
      </c>
      <c r="AF265" s="12">
        <f>[1]节奏总纲!AF265</f>
        <v>85.441279594142429</v>
      </c>
      <c r="AG265" s="12">
        <f>[1]节奏总纲!AG265</f>
        <v>90.401254872438727</v>
      </c>
      <c r="AH265" s="12">
        <f>[1]节奏总纲!AH265</f>
        <v>99.282201135877699</v>
      </c>
      <c r="AZ265" s="8">
        <v>262</v>
      </c>
      <c r="BA265" s="12">
        <f>[1]节奏总纲!BA265</f>
        <v>44.507453747910652</v>
      </c>
      <c r="BB265" s="12">
        <f>[1]节奏总纲!BB265</f>
        <v>46.031609894814238</v>
      </c>
      <c r="BC265" s="12">
        <f>[1]节奏总纲!BC265</f>
        <v>47.979464877380188</v>
      </c>
      <c r="BD265" s="12">
        <f>[1]节奏总纲!BD265</f>
        <v>50.714706755578604</v>
      </c>
      <c r="BE265" s="12">
        <f>[1]节奏总纲!BE265</f>
        <v>55.420612674779434</v>
      </c>
    </row>
    <row r="266" spans="29:57" x14ac:dyDescent="0.15">
      <c r="AC266" s="8">
        <v>263</v>
      </c>
      <c r="AD266" s="12">
        <f>[1]节奏总纲!AD266</f>
        <v>80.435397692903535</v>
      </c>
      <c r="AE266" s="12">
        <f>[1]节奏总纲!AE266</f>
        <v>82.535598620333275</v>
      </c>
      <c r="AF266" s="12">
        <f>[1]节奏总纲!AF266</f>
        <v>85.495883254929225</v>
      </c>
      <c r="AG266" s="12">
        <f>[1]节奏总纲!AG266</f>
        <v>90.457664768468462</v>
      </c>
      <c r="AH266" s="12">
        <f>[1]节奏总纲!AH266</f>
        <v>99.341211236512549</v>
      </c>
      <c r="AZ266" s="8">
        <v>263</v>
      </c>
      <c r="BA266" s="12">
        <f>[1]节奏总纲!BA266</f>
        <v>44.533309194214553</v>
      </c>
      <c r="BB266" s="12">
        <f>[1]节奏总纲!BB266</f>
        <v>46.055689948337651</v>
      </c>
      <c r="BC266" s="12">
        <f>[1]节奏总纲!BC266</f>
        <v>48.006200084618079</v>
      </c>
      <c r="BD266" s="12">
        <f>[1]节奏总纲!BD266</f>
        <v>50.741464777127781</v>
      </c>
      <c r="BE266" s="12">
        <f>[1]节奏总纲!BE266</f>
        <v>55.446322495976226</v>
      </c>
    </row>
    <row r="267" spans="29:57" x14ac:dyDescent="0.15">
      <c r="AC267" s="8">
        <v>264</v>
      </c>
      <c r="AD267" s="12">
        <f>[1]节奏总纲!AD267</f>
        <v>80.489822404516474</v>
      </c>
      <c r="AE267" s="12">
        <f>[1]节奏总纲!AE267</f>
        <v>82.589980097275202</v>
      </c>
      <c r="AF267" s="12">
        <f>[1]节奏总纲!AF267</f>
        <v>85.550486915716021</v>
      </c>
      <c r="AG267" s="12">
        <f>[1]节奏总纲!AG267</f>
        <v>90.514074664498196</v>
      </c>
      <c r="AH267" s="12">
        <f>[1]节奏总纲!AH267</f>
        <v>99.4002213371474</v>
      </c>
      <c r="AZ267" s="8">
        <v>264</v>
      </c>
      <c r="BA267" s="12">
        <f>[1]节奏总纲!BA267</f>
        <v>44.55916464051846</v>
      </c>
      <c r="BB267" s="12">
        <f>[1]节奏总纲!BB267</f>
        <v>46.079770001861057</v>
      </c>
      <c r="BC267" s="12">
        <f>[1]节奏总纲!BC267</f>
        <v>48.030128751164241</v>
      </c>
      <c r="BD267" s="12">
        <f>[1]节奏总纲!BD267</f>
        <v>50.768222798676959</v>
      </c>
      <c r="BE267" s="12">
        <f>[1]节奏总纲!BE267</f>
        <v>55.47203231717301</v>
      </c>
    </row>
    <row r="268" spans="29:57" x14ac:dyDescent="0.15">
      <c r="AC268" s="8">
        <v>265</v>
      </c>
      <c r="AD268" s="12">
        <f>[1]节奏总纲!AD268</f>
        <v>80.544247116129412</v>
      </c>
      <c r="AE268" s="12">
        <f>[1]节奏总纲!AE268</f>
        <v>82.644361574217143</v>
      </c>
      <c r="AF268" s="12">
        <f>[1]节奏总纲!AF268</f>
        <v>85.605090576502832</v>
      </c>
      <c r="AG268" s="12">
        <f>[1]节奏总纲!AG268</f>
        <v>90.57048456052793</v>
      </c>
      <c r="AH268" s="12">
        <f>[1]节奏总纲!AH268</f>
        <v>99.45923143778225</v>
      </c>
      <c r="AZ268" s="8">
        <v>265</v>
      </c>
      <c r="BA268" s="12">
        <f>[1]节奏总纲!BA268</f>
        <v>44.585020086822361</v>
      </c>
      <c r="BB268" s="12">
        <f>[1]节奏总纲!BB268</f>
        <v>46.10385005538447</v>
      </c>
      <c r="BC268" s="12">
        <f>[1]节奏总纲!BC268</f>
        <v>48.054057417710396</v>
      </c>
      <c r="BD268" s="12">
        <f>[1]节奏总纲!BD268</f>
        <v>50.794980820226144</v>
      </c>
      <c r="BE268" s="12">
        <f>[1]节奏总纲!BE268</f>
        <v>55.497742138369794</v>
      </c>
    </row>
    <row r="269" spans="29:57" x14ac:dyDescent="0.15">
      <c r="AC269" s="8">
        <v>266</v>
      </c>
      <c r="AD269" s="12">
        <f>[1]节奏总纲!AD269</f>
        <v>80.598671827742351</v>
      </c>
      <c r="AE269" s="12">
        <f>[1]节奏总纲!AE269</f>
        <v>82.698743051159084</v>
      </c>
      <c r="AF269" s="12">
        <f>[1]节奏总纲!AF269</f>
        <v>85.659694237289628</v>
      </c>
      <c r="AG269" s="12">
        <f>[1]节奏总纲!AG269</f>
        <v>90.626894456557665</v>
      </c>
      <c r="AH269" s="12">
        <f>[1]节奏总纲!AH269</f>
        <v>99.518241538417101</v>
      </c>
      <c r="AZ269" s="8">
        <v>266</v>
      </c>
      <c r="BA269" s="12">
        <f>[1]节奏总纲!BA269</f>
        <v>44.610875533126261</v>
      </c>
      <c r="BB269" s="12">
        <f>[1]节奏总纲!BB269</f>
        <v>46.127930108907876</v>
      </c>
      <c r="BC269" s="12">
        <f>[1]节奏总纲!BC269</f>
        <v>48.077986084256551</v>
      </c>
      <c r="BD269" s="12">
        <f>[1]节奏总纲!BD269</f>
        <v>50.821738841775321</v>
      </c>
      <c r="BE269" s="12">
        <f>[1]节奏总纲!BE269</f>
        <v>55.523451959566586</v>
      </c>
    </row>
    <row r="270" spans="29:57" x14ac:dyDescent="0.15">
      <c r="AC270" s="8">
        <v>267</v>
      </c>
      <c r="AD270" s="12">
        <f>[1]节奏总纲!AD270</f>
        <v>80.653096539355303</v>
      </c>
      <c r="AE270" s="12">
        <f>[1]节奏总纲!AE270</f>
        <v>82.753124528101011</v>
      </c>
      <c r="AF270" s="12">
        <f>[1]节奏总纲!AF270</f>
        <v>85.714297898076424</v>
      </c>
      <c r="AG270" s="12">
        <f>[1]节奏总纲!AG270</f>
        <v>90.683304352587413</v>
      </c>
      <c r="AH270" s="12">
        <f>[1]节奏总纲!AH270</f>
        <v>99.577251639051951</v>
      </c>
      <c r="AZ270" s="8">
        <v>267</v>
      </c>
      <c r="BA270" s="12">
        <f>[1]节奏总纲!BA270</f>
        <v>44.636730979430169</v>
      </c>
      <c r="BB270" s="12">
        <f>[1]节奏总纲!BB270</f>
        <v>46.152010162431289</v>
      </c>
      <c r="BC270" s="12">
        <f>[1]节奏总纲!BC270</f>
        <v>48.101914750802706</v>
      </c>
      <c r="BD270" s="12">
        <f>[1]节奏总纲!BD270</f>
        <v>50.848496863324499</v>
      </c>
      <c r="BE270" s="12">
        <f>[1]节奏总纲!BE270</f>
        <v>55.54916178076337</v>
      </c>
    </row>
    <row r="271" spans="29:57" x14ac:dyDescent="0.15">
      <c r="AC271" s="8">
        <v>268</v>
      </c>
      <c r="AD271" s="12">
        <f>[1]节奏总纲!AD271</f>
        <v>80.707521250968242</v>
      </c>
      <c r="AE271" s="12">
        <f>[1]节奏总纲!AE271</f>
        <v>82.807506005042953</v>
      </c>
      <c r="AF271" s="12">
        <f>[1]节奏总纲!AF271</f>
        <v>85.76890155886322</v>
      </c>
      <c r="AG271" s="12">
        <f>[1]节奏总纲!AG271</f>
        <v>90.739714248617148</v>
      </c>
      <c r="AH271" s="12">
        <f>[1]节奏总纲!AH271</f>
        <v>99.636261739686788</v>
      </c>
      <c r="AZ271" s="8">
        <v>268</v>
      </c>
      <c r="BA271" s="12">
        <f>[1]节奏总纲!BA271</f>
        <v>44.662586425734069</v>
      </c>
      <c r="BB271" s="12">
        <f>[1]节奏总纲!BB271</f>
        <v>46.176090215954694</v>
      </c>
      <c r="BC271" s="12">
        <f>[1]节奏总纲!BC271</f>
        <v>48.125843417348868</v>
      </c>
      <c r="BD271" s="12">
        <f>[1]节奏总纲!BD271</f>
        <v>50.875254884873684</v>
      </c>
      <c r="BE271" s="12">
        <f>[1]节奏总纲!BE271</f>
        <v>55.574871601960162</v>
      </c>
    </row>
    <row r="272" spans="29:57" x14ac:dyDescent="0.15">
      <c r="AC272" s="8">
        <v>269</v>
      </c>
      <c r="AD272" s="12">
        <f>[1]节奏总纲!AD272</f>
        <v>80.76194596258118</v>
      </c>
      <c r="AE272" s="12">
        <f>[1]节奏总纲!AE272</f>
        <v>82.861887481984894</v>
      </c>
      <c r="AF272" s="12">
        <f>[1]节奏总纲!AF272</f>
        <v>85.823505219650016</v>
      </c>
      <c r="AG272" s="12">
        <f>[1]节奏总纲!AG272</f>
        <v>90.796124144646882</v>
      </c>
      <c r="AH272" s="12">
        <f>[1]节奏总纲!AH272</f>
        <v>99.695271840321638</v>
      </c>
      <c r="AZ272" s="8">
        <v>269</v>
      </c>
      <c r="BA272" s="12">
        <f>[1]节奏总纲!BA272</f>
        <v>44.68844187203797</v>
      </c>
      <c r="BB272" s="12">
        <f>[1]节奏总纲!BB272</f>
        <v>46.200170269478107</v>
      </c>
      <c r="BC272" s="12">
        <f>[1]节奏总纲!BC272</f>
        <v>48.149772083895023</v>
      </c>
      <c r="BD272" s="12">
        <f>[1]节奏总纲!BD272</f>
        <v>50.902012906422861</v>
      </c>
      <c r="BE272" s="12">
        <f>[1]节奏总纲!BE272</f>
        <v>55.600581423156946</v>
      </c>
    </row>
    <row r="273" spans="29:57" x14ac:dyDescent="0.15">
      <c r="AC273" s="8">
        <v>270</v>
      </c>
      <c r="AD273" s="12">
        <f>[1]节奏总纲!AD273</f>
        <v>80.816370674194118</v>
      </c>
      <c r="AE273" s="12">
        <f>[1]节奏总纲!AE273</f>
        <v>82.916268958926821</v>
      </c>
      <c r="AF273" s="12">
        <f>[1]节奏总纲!AF273</f>
        <v>85.878108880436827</v>
      </c>
      <c r="AG273" s="12">
        <f>[1]节奏总纲!AG273</f>
        <v>90.852534040676616</v>
      </c>
      <c r="AH273" s="12">
        <f>[1]节奏总纲!AH273</f>
        <v>99.754281940956488</v>
      </c>
      <c r="AZ273" s="8">
        <v>270</v>
      </c>
      <c r="BA273" s="12">
        <f>[1]节奏总纲!BA273</f>
        <v>44.714297318341877</v>
      </c>
      <c r="BB273" s="12">
        <f>[1]节奏总纲!BB273</f>
        <v>46.224250323001513</v>
      </c>
      <c r="BC273" s="12">
        <f>[1]节奏总纲!BC273</f>
        <v>48.173700750441178</v>
      </c>
      <c r="BD273" s="12">
        <f>[1]节奏总纲!BD273</f>
        <v>50.928770927972039</v>
      </c>
      <c r="BE273" s="12">
        <f>[1]节奏总纲!BE273</f>
        <v>55.62629124435373</v>
      </c>
    </row>
    <row r="274" spans="29:57" x14ac:dyDescent="0.15">
      <c r="AC274" s="8">
        <v>271</v>
      </c>
      <c r="AD274" s="12">
        <f>[1]节奏总纲!AD274</f>
        <v>80.870795385807057</v>
      </c>
      <c r="AE274" s="12">
        <f>[1]节奏总纲!AE274</f>
        <v>82.970650435868762</v>
      </c>
      <c r="AF274" s="12">
        <f>[1]节奏总纲!AF274</f>
        <v>85.932712541223623</v>
      </c>
      <c r="AG274" s="12">
        <f>[1]节奏总纲!AG274</f>
        <v>90.908943936706351</v>
      </c>
      <c r="AH274" s="12">
        <f>[1]节奏总纲!AH274</f>
        <v>99.813292041591339</v>
      </c>
      <c r="AZ274" s="8">
        <v>271</v>
      </c>
      <c r="BA274" s="12">
        <f>[1]节奏总纲!BA274</f>
        <v>44.740152764645778</v>
      </c>
      <c r="BB274" s="12">
        <f>[1]节奏总纲!BB274</f>
        <v>46.248330376524919</v>
      </c>
      <c r="BC274" s="12">
        <f>[1]节奏总纲!BC274</f>
        <v>48.19762941698734</v>
      </c>
      <c r="BD274" s="12">
        <f>[1]节奏总纲!BD274</f>
        <v>50.955528949521224</v>
      </c>
      <c r="BE274" s="12">
        <f>[1]节奏总纲!BE274</f>
        <v>55.652001065550522</v>
      </c>
    </row>
    <row r="275" spans="29:57" x14ac:dyDescent="0.15">
      <c r="AC275" s="8">
        <v>272</v>
      </c>
      <c r="AD275" s="12">
        <f>[1]节奏总纲!AD275</f>
        <v>80.925220097420009</v>
      </c>
      <c r="AE275" s="12">
        <f>[1]节奏总纲!AE275</f>
        <v>83.023342162088809</v>
      </c>
      <c r="AF275" s="12">
        <f>[1]节奏总纲!AF275</f>
        <v>85.987316202010419</v>
      </c>
      <c r="AG275" s="12">
        <f>[1]节奏总纲!AG275</f>
        <v>90.965353832736099</v>
      </c>
      <c r="AH275" s="12">
        <f>[1]节奏总纲!AH275</f>
        <v>99.872302142226189</v>
      </c>
      <c r="AZ275" s="8">
        <v>272</v>
      </c>
      <c r="BA275" s="12">
        <f>[1]节奏总纲!BA275</f>
        <v>44.766008210949678</v>
      </c>
      <c r="BB275" s="12">
        <f>[1]节奏总纲!BB275</f>
        <v>46.272410430048332</v>
      </c>
      <c r="BC275" s="12">
        <f>[1]节奏总纲!BC275</f>
        <v>48.221558083533495</v>
      </c>
      <c r="BD275" s="12">
        <f>[1]节奏总纲!BD275</f>
        <v>50.982286971070401</v>
      </c>
      <c r="BE275" s="12">
        <f>[1]节奏总纲!BE275</f>
        <v>55.677710886747306</v>
      </c>
    </row>
    <row r="276" spans="29:57" x14ac:dyDescent="0.15">
      <c r="AC276" s="8">
        <v>273</v>
      </c>
      <c r="AD276" s="12">
        <f>[1]节奏总纲!AD276</f>
        <v>80.979644809032948</v>
      </c>
      <c r="AE276" s="12">
        <f>[1]节奏总纲!AE276</f>
        <v>83.07405267945947</v>
      </c>
      <c r="AF276" s="12">
        <f>[1]节奏总纲!AF276</f>
        <v>86.038061368689995</v>
      </c>
      <c r="AG276" s="12">
        <f>[1]节奏总纲!AG276</f>
        <v>91.020352770869948</v>
      </c>
      <c r="AH276" s="12">
        <f>[1]节奏总纲!AH276</f>
        <v>99.93131224286104</v>
      </c>
      <c r="AZ276" s="8">
        <v>273</v>
      </c>
      <c r="BA276" s="12">
        <f>[1]节奏总纲!BA276</f>
        <v>44.791863657253586</v>
      </c>
      <c r="BB276" s="12">
        <f>[1]节奏总纲!BB276</f>
        <v>46.296490483571738</v>
      </c>
      <c r="BC276" s="12">
        <f>[1]节奏总纲!BC276</f>
        <v>48.24548675007965</v>
      </c>
      <c r="BD276" s="12">
        <f>[1]节奏总纲!BD276</f>
        <v>51.007810424246486</v>
      </c>
      <c r="BE276" s="12">
        <f>[1]节奏总纲!BE276</f>
        <v>55.703420707944098</v>
      </c>
    </row>
    <row r="277" spans="29:57" x14ac:dyDescent="0.15">
      <c r="AC277" s="8">
        <v>274</v>
      </c>
      <c r="AD277" s="12">
        <f>[1]节奏总纲!AD277</f>
        <v>81.031787986768464</v>
      </c>
      <c r="AE277" s="12">
        <f>[1]节奏总纲!AE277</f>
        <v>83.124763196830131</v>
      </c>
      <c r="AF277" s="12">
        <f>[1]节奏总纲!AF277</f>
        <v>86.087639061133402</v>
      </c>
      <c r="AG277" s="12">
        <f>[1]节奏总纲!AG277</f>
        <v>91.073105573528181</v>
      </c>
      <c r="AH277" s="12">
        <f>[1]节奏总纲!AH277</f>
        <v>99.990322343495876</v>
      </c>
      <c r="AZ277" s="8">
        <v>274</v>
      </c>
      <c r="BA277" s="12">
        <f>[1]节奏总纲!BA277</f>
        <v>44.817719103557486</v>
      </c>
      <c r="BB277" s="12">
        <f>[1]节奏总纲!BB277</f>
        <v>46.320570537095151</v>
      </c>
      <c r="BC277" s="12">
        <f>[1]节奏总纲!BC277</f>
        <v>48.269415416625804</v>
      </c>
      <c r="BD277" s="12">
        <f>[1]节奏总纲!BD277</f>
        <v>51.030916192165336</v>
      </c>
      <c r="BE277" s="12">
        <f>[1]节奏总纲!BE277</f>
        <v>55.729130529140882</v>
      </c>
    </row>
    <row r="278" spans="29:57" x14ac:dyDescent="0.15">
      <c r="AC278" s="8">
        <v>275</v>
      </c>
      <c r="AD278" s="12">
        <f>[1]节奏总纲!AD278</f>
        <v>81.082568038258216</v>
      </c>
      <c r="AE278" s="12">
        <f>[1]节奏总纲!AE278</f>
        <v>83.175473714200777</v>
      </c>
      <c r="AF278" s="12">
        <f>[1]节奏总纲!AF278</f>
        <v>86.137216753576809</v>
      </c>
      <c r="AG278" s="12">
        <f>[1]节奏总纲!AG278</f>
        <v>91.125858376186414</v>
      </c>
      <c r="AH278" s="12">
        <f>[1]节奏总纲!AH278</f>
        <v>100.04494517613057</v>
      </c>
      <c r="AZ278" s="8">
        <v>275</v>
      </c>
      <c r="BA278" s="12">
        <f>[1]节奏总纲!BA278</f>
        <v>44.843574549861387</v>
      </c>
      <c r="BB278" s="12">
        <f>[1]节奏总纲!BB278</f>
        <v>46.344650590618556</v>
      </c>
      <c r="BC278" s="12">
        <f>[1]节奏总纲!BC278</f>
        <v>48.293344083171966</v>
      </c>
      <c r="BD278" s="12">
        <f>[1]节奏总纲!BD278</f>
        <v>51.054021960084178</v>
      </c>
      <c r="BE278" s="12">
        <f>[1]节奏总纲!BE278</f>
        <v>55.754840350337666</v>
      </c>
    </row>
    <row r="279" spans="29:57" x14ac:dyDescent="0.15">
      <c r="AC279" s="8">
        <v>276</v>
      </c>
      <c r="AD279" s="12">
        <f>[1]节奏总纲!AD279</f>
        <v>81.133348089747955</v>
      </c>
      <c r="AE279" s="12">
        <f>[1]节奏总纲!AE279</f>
        <v>83.226184231571438</v>
      </c>
      <c r="AF279" s="12">
        <f>[1]节奏总纲!AF279</f>
        <v>86.186794446020215</v>
      </c>
      <c r="AG279" s="12">
        <f>[1]节奏总纲!AG279</f>
        <v>91.178611178844633</v>
      </c>
      <c r="AH279" s="12">
        <f>[1]节奏总纲!AH279</f>
        <v>100.09870734853557</v>
      </c>
      <c r="AZ279" s="8">
        <v>276</v>
      </c>
      <c r="BA279" s="12">
        <f>[1]节奏总纲!BA279</f>
        <v>44.869429996165294</v>
      </c>
      <c r="BB279" s="12">
        <f>[1]节奏总纲!BB279</f>
        <v>46.368730644141969</v>
      </c>
      <c r="BC279" s="12">
        <f>[1]节奏总纲!BC279</f>
        <v>48.317272749718121</v>
      </c>
      <c r="BD279" s="12">
        <f>[1]节奏总纲!BD279</f>
        <v>51.077127728003028</v>
      </c>
      <c r="BE279" s="12">
        <f>[1]节奏总纲!BE279</f>
        <v>55.780550171534458</v>
      </c>
    </row>
    <row r="280" spans="29:57" x14ac:dyDescent="0.15">
      <c r="AC280" s="8">
        <v>277</v>
      </c>
      <c r="AD280" s="12">
        <f>[1]节奏总纲!AD280</f>
        <v>81.184128141237707</v>
      </c>
      <c r="AE280" s="12">
        <f>[1]节奏总纲!AE280</f>
        <v>83.276894748942098</v>
      </c>
      <c r="AF280" s="12">
        <f>[1]节奏总纲!AF280</f>
        <v>86.236372138463622</v>
      </c>
      <c r="AG280" s="12">
        <f>[1]节奏总纲!AG280</f>
        <v>91.231363981502867</v>
      </c>
      <c r="AH280" s="12">
        <f>[1]节奏总纲!AH280</f>
        <v>100.15246952094056</v>
      </c>
      <c r="AZ280" s="8">
        <v>277</v>
      </c>
      <c r="BA280" s="12">
        <f>[1]节奏总纲!BA280</f>
        <v>44.895285442469195</v>
      </c>
      <c r="BB280" s="12">
        <f>[1]节奏总纲!BB280</f>
        <v>46.392810697665375</v>
      </c>
      <c r="BC280" s="12">
        <f>[1]节奏总纲!BC280</f>
        <v>48.341201416264276</v>
      </c>
      <c r="BD280" s="12">
        <f>[1]节奏总纲!BD280</f>
        <v>51.10023349592187</v>
      </c>
      <c r="BE280" s="12">
        <f>[1]节奏总纲!BE280</f>
        <v>55.806259992731242</v>
      </c>
    </row>
    <row r="281" spans="29:57" x14ac:dyDescent="0.15">
      <c r="AC281" s="8">
        <v>278</v>
      </c>
      <c r="AD281" s="12">
        <f>[1]节奏总纲!AD281</f>
        <v>81.23490819272746</v>
      </c>
      <c r="AE281" s="12">
        <f>[1]节奏总纲!AE281</f>
        <v>83.327605266312744</v>
      </c>
      <c r="AF281" s="12">
        <f>[1]节奏总纲!AF281</f>
        <v>86.285949830907029</v>
      </c>
      <c r="AG281" s="12">
        <f>[1]节奏总纲!AG281</f>
        <v>91.2841167841611</v>
      </c>
      <c r="AH281" s="12">
        <f>[1]节奏总纲!AH281</f>
        <v>100.20623169334554</v>
      </c>
      <c r="AZ281" s="8">
        <v>278</v>
      </c>
      <c r="BA281" s="12">
        <f>[1]节奏总纲!BA281</f>
        <v>44.921140888773095</v>
      </c>
      <c r="BB281" s="12">
        <f>[1]节奏总纲!BB281</f>
        <v>46.416890751188788</v>
      </c>
      <c r="BC281" s="12">
        <f>[1]节奏总纲!BC281</f>
        <v>48.365130082810438</v>
      </c>
      <c r="BD281" s="12">
        <f>[1]节奏总纲!BD281</f>
        <v>51.12333926384072</v>
      </c>
      <c r="BE281" s="12">
        <f>[1]节奏总纲!BE281</f>
        <v>55.831969813928033</v>
      </c>
    </row>
    <row r="282" spans="29:57" x14ac:dyDescent="0.15">
      <c r="AC282" s="8">
        <v>279</v>
      </c>
      <c r="AD282" s="12">
        <f>[1]节奏总纲!AD282</f>
        <v>81.285688244217212</v>
      </c>
      <c r="AE282" s="12">
        <f>[1]节奏总纲!AE282</f>
        <v>83.378315783683405</v>
      </c>
      <c r="AF282" s="12">
        <f>[1]节奏总纲!AF282</f>
        <v>86.335527523350422</v>
      </c>
      <c r="AG282" s="12">
        <f>[1]节奏总纲!AG282</f>
        <v>91.336869586819319</v>
      </c>
      <c r="AH282" s="12">
        <f>[1]节奏总纲!AH282</f>
        <v>100.25999386575054</v>
      </c>
      <c r="AZ282" s="8">
        <v>279</v>
      </c>
      <c r="BA282" s="12">
        <f>[1]节奏总纲!BA282</f>
        <v>44.946996335076996</v>
      </c>
      <c r="BB282" s="12">
        <f>[1]节奏总纲!BB282</f>
        <v>46.440970804712194</v>
      </c>
      <c r="BC282" s="12">
        <f>[1]节奏总纲!BC282</f>
        <v>48.389058749356593</v>
      </c>
      <c r="BD282" s="12">
        <f>[1]节奏总纲!BD282</f>
        <v>51.146445031759569</v>
      </c>
      <c r="BE282" s="12">
        <f>[1]节奏总纲!BE282</f>
        <v>55.857679635124818</v>
      </c>
    </row>
    <row r="283" spans="29:57" x14ac:dyDescent="0.15">
      <c r="AC283" s="8">
        <v>280</v>
      </c>
      <c r="AD283" s="12">
        <f>[1]节奏总纲!AD283</f>
        <v>81.336468295706965</v>
      </c>
      <c r="AE283" s="12">
        <f>[1]节奏总纲!AE283</f>
        <v>83.429026301054066</v>
      </c>
      <c r="AF283" s="12">
        <f>[1]节奏总纲!AF283</f>
        <v>86.385105215793828</v>
      </c>
      <c r="AG283" s="12">
        <f>[1]节奏总纲!AG283</f>
        <v>91.389622389477552</v>
      </c>
      <c r="AH283" s="12">
        <f>[1]节奏总纲!AH283</f>
        <v>100.31375603815553</v>
      </c>
      <c r="AZ283" s="8">
        <v>280</v>
      </c>
      <c r="BA283" s="12">
        <f>[1]节奏总纲!BA283</f>
        <v>44.972851781380903</v>
      </c>
      <c r="BB283" s="12">
        <f>[1]节奏总纲!BB283</f>
        <v>46.465050858235607</v>
      </c>
      <c r="BC283" s="12">
        <f>[1]节奏总纲!BC283</f>
        <v>48.412987415902748</v>
      </c>
      <c r="BD283" s="12">
        <f>[1]节奏总纲!BD283</f>
        <v>51.169550799678412</v>
      </c>
      <c r="BE283" s="12">
        <f>[1]节奏总纲!BE283</f>
        <v>55.883389456321602</v>
      </c>
    </row>
    <row r="284" spans="29:57" x14ac:dyDescent="0.15">
      <c r="AC284" s="8">
        <v>281</v>
      </c>
      <c r="AD284" s="12">
        <f>[1]节奏总纲!AD284</f>
        <v>81.387248347196717</v>
      </c>
      <c r="AE284" s="12">
        <f>[1]节奏总纲!AE284</f>
        <v>83.479736818424712</v>
      </c>
      <c r="AF284" s="12">
        <f>[1]节奏总纲!AF284</f>
        <v>86.434682908237235</v>
      </c>
      <c r="AG284" s="12">
        <f>[1]节奏总纲!AG284</f>
        <v>91.442375192135771</v>
      </c>
      <c r="AH284" s="12">
        <f>[1]节奏总纲!AH284</f>
        <v>100.36751821056053</v>
      </c>
      <c r="AZ284" s="8">
        <v>281</v>
      </c>
      <c r="BA284" s="12">
        <f>[1]节奏总纲!BA284</f>
        <v>44.998707227684804</v>
      </c>
      <c r="BB284" s="12">
        <f>[1]节奏总纲!BB284</f>
        <v>46.489130911759013</v>
      </c>
      <c r="BC284" s="12">
        <f>[1]节奏总纲!BC284</f>
        <v>48.43691608244891</v>
      </c>
      <c r="BD284" s="12">
        <f>[1]节奏总纲!BD284</f>
        <v>51.192656567597261</v>
      </c>
      <c r="BE284" s="12">
        <f>[1]节奏总纲!BE284</f>
        <v>55.909099277518393</v>
      </c>
    </row>
    <row r="285" spans="29:57" x14ac:dyDescent="0.15">
      <c r="AC285" s="8">
        <v>282</v>
      </c>
      <c r="AD285" s="12">
        <f>[1]节奏总纲!AD285</f>
        <v>81.43802839868647</v>
      </c>
      <c r="AE285" s="12">
        <f>[1]节奏总纲!AE285</f>
        <v>83.530447335795373</v>
      </c>
      <c r="AF285" s="12">
        <f>[1]节奏总纲!AF285</f>
        <v>86.484260600680642</v>
      </c>
      <c r="AG285" s="12">
        <f>[1]节奏总纲!AG285</f>
        <v>91.495127994794004</v>
      </c>
      <c r="AH285" s="12">
        <f>[1]节奏总纲!AH285</f>
        <v>100.42128038296552</v>
      </c>
      <c r="AZ285" s="8">
        <v>282</v>
      </c>
      <c r="BA285" s="12">
        <f>[1]节奏总纲!BA285</f>
        <v>45.021201039060998</v>
      </c>
      <c r="BB285" s="12">
        <f>[1]节奏总纲!BB285</f>
        <v>46.513210965282425</v>
      </c>
      <c r="BC285" s="12">
        <f>[1]节奏总纲!BC285</f>
        <v>48.460844748995065</v>
      </c>
      <c r="BD285" s="12">
        <f>[1]节奏总纲!BD285</f>
        <v>51.215762335516104</v>
      </c>
      <c r="BE285" s="12">
        <f>[1]节奏总纲!BE285</f>
        <v>55.934809098715178</v>
      </c>
    </row>
    <row r="286" spans="29:57" x14ac:dyDescent="0.15">
      <c r="AC286" s="8">
        <v>283</v>
      </c>
      <c r="AD286" s="12">
        <f>[1]节奏总纲!AD286</f>
        <v>81.488808450176222</v>
      </c>
      <c r="AE286" s="12">
        <f>[1]节奏总纲!AE286</f>
        <v>83.581157853166033</v>
      </c>
      <c r="AF286" s="12">
        <f>[1]节奏总纲!AF286</f>
        <v>86.533838293124049</v>
      </c>
      <c r="AG286" s="12">
        <f>[1]节奏总纲!AG286</f>
        <v>91.547880797452237</v>
      </c>
      <c r="AH286" s="12">
        <f>[1]节奏总纲!AH286</f>
        <v>100.47504255537051</v>
      </c>
      <c r="AZ286" s="8">
        <v>283</v>
      </c>
      <c r="BA286" s="12">
        <f>[1]节奏总纲!BA286</f>
        <v>45.043517922283101</v>
      </c>
      <c r="BB286" s="12">
        <f>[1]节奏总纲!BB286</f>
        <v>46.537291018805831</v>
      </c>
      <c r="BC286" s="12">
        <f>[1]节奏总纲!BC286</f>
        <v>48.48477341554122</v>
      </c>
      <c r="BD286" s="12">
        <f>[1]节奏总纲!BD286</f>
        <v>51.238868103434953</v>
      </c>
      <c r="BE286" s="12">
        <f>[1]节奏总纲!BE286</f>
        <v>55.960518919911962</v>
      </c>
    </row>
    <row r="287" spans="29:57" x14ac:dyDescent="0.15">
      <c r="AC287" s="8">
        <v>284</v>
      </c>
      <c r="AD287" s="12">
        <f>[1]节奏总纲!AD287</f>
        <v>81.539588501665975</v>
      </c>
      <c r="AE287" s="12">
        <f>[1]节奏总纲!AE287</f>
        <v>83.631868370536679</v>
      </c>
      <c r="AF287" s="12">
        <f>[1]节奏总纲!AF287</f>
        <v>86.583415985567456</v>
      </c>
      <c r="AG287" s="12">
        <f>[1]节奏总纲!AG287</f>
        <v>91.600633600110456</v>
      </c>
      <c r="AH287" s="12">
        <f>[1]节奏总纲!AH287</f>
        <v>100.52880472777551</v>
      </c>
      <c r="AZ287" s="8">
        <v>284</v>
      </c>
      <c r="BA287" s="12">
        <f>[1]节奏总纲!BA287</f>
        <v>45.065834805505204</v>
      </c>
      <c r="BB287" s="12">
        <f>[1]节奏总纲!BB287</f>
        <v>46.561371072329244</v>
      </c>
      <c r="BC287" s="12">
        <f>[1]节奏总纲!BC287</f>
        <v>48.508702082087382</v>
      </c>
      <c r="BD287" s="12">
        <f>[1]节奏总纲!BD287</f>
        <v>51.261973871353796</v>
      </c>
      <c r="BE287" s="12">
        <f>[1]节奏总纲!BE287</f>
        <v>55.986228741108754</v>
      </c>
    </row>
    <row r="288" spans="29:57" x14ac:dyDescent="0.15">
      <c r="AC288" s="8">
        <v>285</v>
      </c>
      <c r="AD288" s="12">
        <f>[1]节奏总纲!AD288</f>
        <v>81.590368553155727</v>
      </c>
      <c r="AE288" s="12">
        <f>[1]节奏总纲!AE288</f>
        <v>83.68257888790734</v>
      </c>
      <c r="AF288" s="12">
        <f>[1]节奏总纲!AF288</f>
        <v>86.632993678010848</v>
      </c>
      <c r="AG288" s="12">
        <f>[1]节奏总纲!AG288</f>
        <v>91.653386402768689</v>
      </c>
      <c r="AH288" s="12">
        <f>[1]节奏总纲!AH288</f>
        <v>100.5825669001805</v>
      </c>
      <c r="AZ288" s="8">
        <v>285</v>
      </c>
      <c r="BA288" s="12">
        <f>[1]节奏总纲!BA288</f>
        <v>45.088151688727308</v>
      </c>
      <c r="BB288" s="12">
        <f>[1]节奏总纲!BB288</f>
        <v>46.58545112585265</v>
      </c>
      <c r="BC288" s="12">
        <f>[1]节奏总纲!BC288</f>
        <v>48.532630748633537</v>
      </c>
      <c r="BD288" s="12">
        <f>[1]节奏总纲!BD288</f>
        <v>51.285079639272645</v>
      </c>
      <c r="BE288" s="12">
        <f>[1]节奏总纲!BE288</f>
        <v>56.010312347085055</v>
      </c>
    </row>
    <row r="289" spans="29:57" x14ac:dyDescent="0.15">
      <c r="AC289" s="8">
        <v>286</v>
      </c>
      <c r="AD289" s="12">
        <f>[1]节奏总纲!AD289</f>
        <v>81.64114860464548</v>
      </c>
      <c r="AE289" s="12">
        <f>[1]节奏总纲!AE289</f>
        <v>83.733289405278001</v>
      </c>
      <c r="AF289" s="12">
        <f>[1]节奏总纲!AF289</f>
        <v>86.682571370454255</v>
      </c>
      <c r="AG289" s="12">
        <f>[1]节奏总纲!AG289</f>
        <v>91.706139205426922</v>
      </c>
      <c r="AH289" s="12">
        <f>[1]节奏总纲!AH289</f>
        <v>100.6363290725855</v>
      </c>
      <c r="AZ289" s="8">
        <v>286</v>
      </c>
      <c r="BA289" s="12">
        <f>[1]节奏总纲!BA289</f>
        <v>45.110468571949411</v>
      </c>
      <c r="BB289" s="12">
        <f>[1]节奏总纲!BB289</f>
        <v>46.609531179376063</v>
      </c>
      <c r="BC289" s="12">
        <f>[1]节奏总纲!BC289</f>
        <v>48.556559415179692</v>
      </c>
      <c r="BD289" s="12">
        <f>[1]节奏总纲!BD289</f>
        <v>51.308185407191495</v>
      </c>
      <c r="BE289" s="12">
        <f>[1]节奏总纲!BE289</f>
        <v>56.032520096468168</v>
      </c>
    </row>
    <row r="290" spans="29:57" x14ac:dyDescent="0.15">
      <c r="AC290" s="8">
        <v>287</v>
      </c>
      <c r="AD290" s="12">
        <f>[1]节奏总纲!AD290</f>
        <v>81.691928656135218</v>
      </c>
      <c r="AE290" s="12">
        <f>[1]节奏总纲!AE290</f>
        <v>83.783999922648647</v>
      </c>
      <c r="AF290" s="12">
        <f>[1]节奏总纲!AF290</f>
        <v>86.732149062897662</v>
      </c>
      <c r="AG290" s="12">
        <f>[1]节奏总纲!AG290</f>
        <v>91.758892008085141</v>
      </c>
      <c r="AH290" s="12">
        <f>[1]节奏总纲!AH290</f>
        <v>100.69009124499048</v>
      </c>
      <c r="AZ290" s="8">
        <v>287</v>
      </c>
      <c r="BA290" s="12">
        <f>[1]节奏总纲!BA290</f>
        <v>45.132785455171515</v>
      </c>
      <c r="BB290" s="12">
        <f>[1]节奏总纲!BB290</f>
        <v>46.633611232899469</v>
      </c>
      <c r="BC290" s="12">
        <f>[1]节奏总纲!BC290</f>
        <v>48.580488081725846</v>
      </c>
      <c r="BD290" s="12">
        <f>[1]节奏总纲!BD290</f>
        <v>51.331291175110337</v>
      </c>
      <c r="BE290" s="12">
        <f>[1]节奏总纲!BE290</f>
        <v>56.054727845851275</v>
      </c>
    </row>
    <row r="291" spans="29:57" x14ac:dyDescent="0.15">
      <c r="AC291" s="8">
        <v>288</v>
      </c>
      <c r="AD291" s="12">
        <f>[1]节奏总纲!AD291</f>
        <v>81.742708707624971</v>
      </c>
      <c r="AE291" s="12">
        <f>[1]节奏总纲!AE291</f>
        <v>83.834710440019307</v>
      </c>
      <c r="AF291" s="12">
        <f>[1]节奏总纲!AF291</f>
        <v>86.781726755341069</v>
      </c>
      <c r="AG291" s="12">
        <f>[1]节奏总纲!AG291</f>
        <v>91.811644810743374</v>
      </c>
      <c r="AH291" s="12">
        <f>[1]节奏总纲!AH291</f>
        <v>100.74385341739547</v>
      </c>
      <c r="AZ291" s="8">
        <v>288</v>
      </c>
      <c r="BA291" s="12">
        <f>[1]节奏总纲!BA291</f>
        <v>45.155102338393618</v>
      </c>
      <c r="BB291" s="12">
        <f>[1]节奏总纲!BB291</f>
        <v>46.657691286422882</v>
      </c>
      <c r="BC291" s="12">
        <f>[1]节奏总纲!BC291</f>
        <v>48.604416748272008</v>
      </c>
      <c r="BD291" s="12">
        <f>[1]节奏总纲!BD291</f>
        <v>51.354396943029187</v>
      </c>
      <c r="BE291" s="12">
        <f>[1]节奏总纲!BE291</f>
        <v>56.076935595234382</v>
      </c>
    </row>
    <row r="292" spans="29:57" x14ac:dyDescent="0.15">
      <c r="AC292" s="8">
        <v>289</v>
      </c>
      <c r="AD292" s="12">
        <f>[1]节奏总纲!AD292</f>
        <v>81.793488759114723</v>
      </c>
      <c r="AE292" s="12">
        <f>[1]节奏总纲!AE292</f>
        <v>83.885420957389968</v>
      </c>
      <c r="AF292" s="12">
        <f>[1]节奏总纲!AF292</f>
        <v>86.831304447784476</v>
      </c>
      <c r="AG292" s="12">
        <f>[1]节奏总纲!AG292</f>
        <v>91.864397613401607</v>
      </c>
      <c r="AH292" s="12">
        <f>[1]节奏总纲!AH292</f>
        <v>100.79761558980047</v>
      </c>
      <c r="AZ292" s="8">
        <v>289</v>
      </c>
      <c r="BA292" s="12">
        <f>[1]节奏总纲!BA292</f>
        <v>45.177419221615722</v>
      </c>
      <c r="BB292" s="12">
        <f>[1]节奏总纲!BB292</f>
        <v>46.681771339946287</v>
      </c>
      <c r="BC292" s="12">
        <f>[1]节奏总纲!BC292</f>
        <v>48.628345414818163</v>
      </c>
      <c r="BD292" s="12">
        <f>[1]节奏总纲!BD292</f>
        <v>51.377502710948029</v>
      </c>
      <c r="BE292" s="12">
        <f>[1]节奏总纲!BE292</f>
        <v>56.099143344617488</v>
      </c>
    </row>
    <row r="293" spans="29:57" x14ac:dyDescent="0.15">
      <c r="AC293" s="8">
        <v>290</v>
      </c>
      <c r="AD293" s="12">
        <f>[1]节奏总纲!AD293</f>
        <v>81.844268810604476</v>
      </c>
      <c r="AE293" s="12">
        <f>[1]节奏总纲!AE293</f>
        <v>83.936131474760614</v>
      </c>
      <c r="AF293" s="12">
        <f>[1]节奏总纲!AF293</f>
        <v>86.880882140227882</v>
      </c>
      <c r="AG293" s="12">
        <f>[1]节奏总纲!AG293</f>
        <v>91.917150416059826</v>
      </c>
      <c r="AH293" s="12">
        <f>[1]节奏总纲!AH293</f>
        <v>100.85137776220546</v>
      </c>
      <c r="AZ293" s="8">
        <v>290</v>
      </c>
      <c r="BA293" s="12">
        <f>[1]节奏总纲!BA293</f>
        <v>45.199736104837825</v>
      </c>
      <c r="BB293" s="12">
        <f>[1]节奏总纲!BB293</f>
        <v>46.7058513934697</v>
      </c>
      <c r="BC293" s="12">
        <f>[1]节奏总纲!BC293</f>
        <v>48.652274081364318</v>
      </c>
      <c r="BD293" s="12">
        <f>[1]节奏总纲!BD293</f>
        <v>51.400608478866879</v>
      </c>
      <c r="BE293" s="12">
        <f>[1]节奏总纲!BE293</f>
        <v>56.121351094000602</v>
      </c>
    </row>
    <row r="294" spans="29:57" x14ac:dyDescent="0.15">
      <c r="AC294" s="8">
        <v>291</v>
      </c>
      <c r="AD294" s="12">
        <f>[1]节奏总纲!AD294</f>
        <v>81.895048862094228</v>
      </c>
      <c r="AE294" s="12">
        <f>[1]节奏总纲!AE294</f>
        <v>83.986841992131275</v>
      </c>
      <c r="AF294" s="12">
        <f>[1]节奏总纲!AF294</f>
        <v>86.930459832671289</v>
      </c>
      <c r="AG294" s="12">
        <f>[1]节奏总纲!AG294</f>
        <v>91.969903218718059</v>
      </c>
      <c r="AH294" s="12">
        <f>[1]节奏总纲!AH294</f>
        <v>100.90513993461046</v>
      </c>
      <c r="AZ294" s="8">
        <v>291</v>
      </c>
      <c r="BA294" s="12">
        <f>[1]节奏总纲!BA294</f>
        <v>45.222052988059936</v>
      </c>
      <c r="BB294" s="12">
        <f>[1]节奏总纲!BB294</f>
        <v>46.729931446993106</v>
      </c>
      <c r="BC294" s="12">
        <f>[1]节奏总纲!BC294</f>
        <v>48.67620274791048</v>
      </c>
      <c r="BD294" s="12">
        <f>[1]节奏总纲!BD294</f>
        <v>51.423714246785721</v>
      </c>
      <c r="BE294" s="12">
        <f>[1]节奏总纲!BE294</f>
        <v>56.143558843383708</v>
      </c>
    </row>
    <row r="295" spans="29:57" x14ac:dyDescent="0.15">
      <c r="AC295" s="8">
        <v>292</v>
      </c>
      <c r="AD295" s="12">
        <f>[1]节奏总纲!AD295</f>
        <v>81.945828913583981</v>
      </c>
      <c r="AE295" s="12">
        <f>[1]节奏总纲!AE295</f>
        <v>84.036191564035917</v>
      </c>
      <c r="AF295" s="12">
        <f>[1]节奏总纲!AF295</f>
        <v>86.980037525114682</v>
      </c>
      <c r="AG295" s="12">
        <f>[1]节奏总纲!AG295</f>
        <v>92.020673823381642</v>
      </c>
      <c r="AH295" s="12">
        <f>[1]节奏总纲!AH295</f>
        <v>100.95890210701545</v>
      </c>
      <c r="AZ295" s="8">
        <v>292</v>
      </c>
      <c r="BA295" s="12">
        <f>[1]节奏总纲!BA295</f>
        <v>45.244369871282039</v>
      </c>
      <c r="BB295" s="12">
        <f>[1]节奏总纲!BB295</f>
        <v>46.754011500516519</v>
      </c>
      <c r="BC295" s="12">
        <f>[1]节奏总纲!BC295</f>
        <v>48.700131414456635</v>
      </c>
      <c r="BD295" s="12">
        <f>[1]节奏总纲!BD295</f>
        <v>51.446820014704571</v>
      </c>
      <c r="BE295" s="12">
        <f>[1]节奏总纲!BE295</f>
        <v>56.165766592766815</v>
      </c>
    </row>
    <row r="296" spans="29:57" x14ac:dyDescent="0.15">
      <c r="AC296" s="8">
        <v>293</v>
      </c>
      <c r="AD296" s="12">
        <f>[1]节奏总纲!AD296</f>
        <v>81.996608965073733</v>
      </c>
      <c r="AE296" s="12">
        <f>[1]节奏总纲!AE296</f>
        <v>84.085064274836242</v>
      </c>
      <c r="AF296" s="12">
        <f>[1]节奏总纲!AF296</f>
        <v>87.029133791498197</v>
      </c>
      <c r="AG296" s="12">
        <f>[1]节奏总纲!AG296</f>
        <v>92.068811230516317</v>
      </c>
      <c r="AH296" s="12">
        <f>[1]节奏总纲!AH296</f>
        <v>101.01186310799378</v>
      </c>
      <c r="AZ296" s="8">
        <v>293</v>
      </c>
      <c r="BA296" s="12">
        <f>[1]节奏总纲!BA296</f>
        <v>45.266686754504143</v>
      </c>
      <c r="BB296" s="12">
        <f>[1]节奏总纲!BB296</f>
        <v>46.778091554039925</v>
      </c>
      <c r="BC296" s="12">
        <f>[1]节奏总纲!BC296</f>
        <v>48.72406008100279</v>
      </c>
      <c r="BD296" s="12">
        <f>[1]节奏总纲!BD296</f>
        <v>51.46992578262342</v>
      </c>
      <c r="BE296" s="12">
        <f>[1]节奏总纲!BE296</f>
        <v>56.187974342149921</v>
      </c>
    </row>
    <row r="297" spans="29:57" x14ac:dyDescent="0.15">
      <c r="AC297" s="8">
        <v>294</v>
      </c>
      <c r="AD297" s="12">
        <f>[1]节奏总纲!AD297</f>
        <v>82.044215515890215</v>
      </c>
      <c r="AE297" s="12">
        <f>[1]节奏总纲!AE297</f>
        <v>84.133936985636566</v>
      </c>
      <c r="AF297" s="12">
        <f>[1]节奏总纲!AF297</f>
        <v>87.077905547159801</v>
      </c>
      <c r="AG297" s="12">
        <f>[1]节奏总纲!AG297</f>
        <v>92.116948637651006</v>
      </c>
      <c r="AH297" s="12">
        <f>[1]节奏总纲!AH297</f>
        <v>101.06222416179293</v>
      </c>
      <c r="AZ297" s="8">
        <v>294</v>
      </c>
      <c r="BA297" s="12">
        <f>[1]节奏总纲!BA297</f>
        <v>45.289003637726246</v>
      </c>
      <c r="BB297" s="12">
        <f>[1]节奏总纲!BB297</f>
        <v>46.802171607563338</v>
      </c>
      <c r="BC297" s="12">
        <f>[1]节奏总纲!BC297</f>
        <v>48.747988747548945</v>
      </c>
      <c r="BD297" s="12">
        <f>[1]节奏总纲!BD297</f>
        <v>51.493031550542263</v>
      </c>
      <c r="BE297" s="12">
        <f>[1]节奏总纲!BE297</f>
        <v>56.210182091533035</v>
      </c>
    </row>
    <row r="298" spans="29:57" x14ac:dyDescent="0.15">
      <c r="AC298" s="8">
        <v>295</v>
      </c>
      <c r="AD298" s="12">
        <f>[1]节奏总纲!AD298</f>
        <v>82.091594979242089</v>
      </c>
      <c r="AE298" s="12">
        <f>[1]节奏总纲!AE298</f>
        <v>84.182809696436891</v>
      </c>
      <c r="AF298" s="12">
        <f>[1]节奏总纲!AF298</f>
        <v>87.126677302821392</v>
      </c>
      <c r="AG298" s="12">
        <f>[1]节奏总纲!AG298</f>
        <v>92.165086044785696</v>
      </c>
      <c r="AH298" s="12">
        <f>[1]节奏总纲!AH298</f>
        <v>101.11258521559208</v>
      </c>
      <c r="AZ298" s="8">
        <v>295</v>
      </c>
      <c r="BA298" s="12">
        <f>[1]节奏总纲!BA298</f>
        <v>45.31132052094835</v>
      </c>
      <c r="BB298" s="12">
        <f>[1]节奏总纲!BB298</f>
        <v>46.826251661086744</v>
      </c>
      <c r="BC298" s="12">
        <f>[1]节奏总纲!BC298</f>
        <v>48.771917414095107</v>
      </c>
      <c r="BD298" s="12">
        <f>[1]节奏总纲!BD298</f>
        <v>51.516137318461112</v>
      </c>
      <c r="BE298" s="12">
        <f>[1]节奏总纲!BE298</f>
        <v>56.232389840916142</v>
      </c>
    </row>
    <row r="299" spans="29:57" x14ac:dyDescent="0.15">
      <c r="AC299" s="8">
        <v>296</v>
      </c>
      <c r="AD299" s="12">
        <f>[1]节奏总纲!AD299</f>
        <v>82.138974442593963</v>
      </c>
      <c r="AE299" s="12">
        <f>[1]节奏总纲!AE299</f>
        <v>84.23168240723723</v>
      </c>
      <c r="AF299" s="12">
        <f>[1]节奏总纲!AF299</f>
        <v>87.175449058482982</v>
      </c>
      <c r="AG299" s="12">
        <f>[1]节奏总纲!AG299</f>
        <v>92.213223451920371</v>
      </c>
      <c r="AH299" s="12">
        <f>[1]节奏总纲!AH299</f>
        <v>101.16294626939123</v>
      </c>
      <c r="AZ299" s="8">
        <v>296</v>
      </c>
      <c r="BA299" s="12">
        <f>[1]节奏总纲!BA299</f>
        <v>45.333637404170453</v>
      </c>
      <c r="BB299" s="12">
        <f>[1]节奏总纲!BB299</f>
        <v>46.850331714610157</v>
      </c>
      <c r="BC299" s="12">
        <f>[1]节奏总纲!BC299</f>
        <v>48.795846080641262</v>
      </c>
      <c r="BD299" s="12">
        <f>[1]节奏总纲!BD299</f>
        <v>51.539243086379955</v>
      </c>
      <c r="BE299" s="12">
        <f>[1]节奏总纲!BE299</f>
        <v>56.254597590299248</v>
      </c>
    </row>
    <row r="300" spans="29:57" x14ac:dyDescent="0.15">
      <c r="AC300" s="8">
        <v>297</v>
      </c>
      <c r="AD300" s="12">
        <f>[1]节奏总纲!AD300</f>
        <v>82.186353905945836</v>
      </c>
      <c r="AE300" s="12">
        <f>[1]节奏总纲!AE300</f>
        <v>84.280555118037555</v>
      </c>
      <c r="AF300" s="12">
        <f>[1]节奏总纲!AF300</f>
        <v>87.224220814144587</v>
      </c>
      <c r="AG300" s="12">
        <f>[1]节奏总纲!AG300</f>
        <v>92.26136085905506</v>
      </c>
      <c r="AH300" s="12">
        <f>[1]节奏总纲!AH300</f>
        <v>101.21330732319038</v>
      </c>
      <c r="AZ300" s="8">
        <v>297</v>
      </c>
      <c r="BA300" s="12">
        <f>[1]节奏总纲!BA300</f>
        <v>45.355954287392557</v>
      </c>
      <c r="BB300" s="12">
        <f>[1]节奏总纲!BB300</f>
        <v>46.874411768133562</v>
      </c>
      <c r="BC300" s="12">
        <f>[1]节奏总纲!BC300</f>
        <v>48.819774747187417</v>
      </c>
      <c r="BD300" s="12">
        <f>[1]节奏总纲!BD300</f>
        <v>51.562348854298804</v>
      </c>
      <c r="BE300" s="12">
        <f>[1]节奏总纲!BE300</f>
        <v>56.276805339682355</v>
      </c>
    </row>
    <row r="301" spans="29:57" x14ac:dyDescent="0.15">
      <c r="AC301" s="8">
        <v>298</v>
      </c>
      <c r="AD301" s="12">
        <f>[1]节奏总纲!AD301</f>
        <v>82.23373336929771</v>
      </c>
      <c r="AE301" s="12">
        <f>[1]节奏总纲!AE301</f>
        <v>84.329427828837879</v>
      </c>
      <c r="AF301" s="12">
        <f>[1]节奏总纲!AF301</f>
        <v>87.272992569806178</v>
      </c>
      <c r="AG301" s="12">
        <f>[1]节奏总纲!AG301</f>
        <v>92.309498266189749</v>
      </c>
      <c r="AH301" s="12">
        <f>[1]节奏总纲!AH301</f>
        <v>101.26366837698953</v>
      </c>
      <c r="AZ301" s="8">
        <v>298</v>
      </c>
      <c r="BA301" s="12">
        <f>[1]节奏总纲!BA301</f>
        <v>45.37827117061466</v>
      </c>
      <c r="BB301" s="12">
        <f>[1]节奏总纲!BB301</f>
        <v>46.898491821656968</v>
      </c>
      <c r="BC301" s="12">
        <f>[1]节奏总纲!BC301</f>
        <v>48.843703413733579</v>
      </c>
      <c r="BD301" s="12">
        <f>[1]节奏总纲!BD301</f>
        <v>51.585454622217647</v>
      </c>
      <c r="BE301" s="12">
        <f>[1]节奏总纲!BE301</f>
        <v>56.299013089065468</v>
      </c>
    </row>
    <row r="302" spans="29:57" x14ac:dyDescent="0.15">
      <c r="AC302" s="8">
        <v>299</v>
      </c>
      <c r="AD302" s="12">
        <f>[1]节奏总纲!AD302</f>
        <v>82.281112832649583</v>
      </c>
      <c r="AE302" s="12">
        <f>[1]节奏总纲!AE302</f>
        <v>84.378300539638204</v>
      </c>
      <c r="AF302" s="12">
        <f>[1]节奏总纲!AF302</f>
        <v>87.321764325467768</v>
      </c>
      <c r="AG302" s="12">
        <f>[1]节奏总纲!AG302</f>
        <v>92.357635673324438</v>
      </c>
      <c r="AH302" s="12">
        <f>[1]节奏总纲!AH302</f>
        <v>101.31402943078868</v>
      </c>
      <c r="AZ302" s="8">
        <v>299</v>
      </c>
      <c r="BA302" s="12">
        <f>[1]节奏总纲!BA302</f>
        <v>45.400588053836763</v>
      </c>
      <c r="BB302" s="12">
        <f>[1]节奏总纲!BB302</f>
        <v>46.922571875180381</v>
      </c>
      <c r="BC302" s="12">
        <f>[1]节奏总纲!BC302</f>
        <v>48.867632080279733</v>
      </c>
      <c r="BD302" s="12">
        <f>[1]节奏总纲!BD302</f>
        <v>51.608560390136496</v>
      </c>
      <c r="BE302" s="12">
        <f>[1]节奏总纲!BE302</f>
        <v>56.321220838448575</v>
      </c>
    </row>
    <row r="303" spans="29:57" x14ac:dyDescent="0.15">
      <c r="AC303" s="8">
        <v>300</v>
      </c>
      <c r="AD303" s="12">
        <f>[1]节奏总纲!AD303</f>
        <v>82.328492296001457</v>
      </c>
      <c r="AE303" s="12">
        <f>[1]节奏总纲!AE303</f>
        <v>84.427173250438543</v>
      </c>
      <c r="AF303" s="12">
        <f>[1]节奏总纲!AF303</f>
        <v>87.370536081129359</v>
      </c>
      <c r="AG303" s="12">
        <f>[1]节奏总纲!AG303</f>
        <v>92.405773080459113</v>
      </c>
      <c r="AH303" s="12">
        <f>[1]节奏总纲!AH303</f>
        <v>101.36439048458783</v>
      </c>
      <c r="AZ303" s="8">
        <v>300</v>
      </c>
      <c r="BA303" s="12">
        <f>[1]节奏总纲!BA303</f>
        <v>45.422904937058867</v>
      </c>
      <c r="BB303" s="12">
        <f>[1]节奏总纲!BB303</f>
        <v>46.946651928703787</v>
      </c>
      <c r="BC303" s="12">
        <f>[1]节奏总纲!BC303</f>
        <v>48.891560746825888</v>
      </c>
      <c r="BD303" s="12">
        <f>[1]节奏总纲!BD303</f>
        <v>51.631666158055346</v>
      </c>
      <c r="BE303" s="12">
        <f>[1]节奏总纲!BE303</f>
        <v>56.343428587831681</v>
      </c>
    </row>
    <row r="304" spans="29:57" x14ac:dyDescent="0.15">
      <c r="AC304" s="8">
        <v>301</v>
      </c>
      <c r="AD304" s="12">
        <f>[1]节奏总纲!AD304</f>
        <v>82.375871759353331</v>
      </c>
      <c r="AE304" s="12">
        <f>[1]节奏总纲!AE304</f>
        <v>84.476045961238867</v>
      </c>
      <c r="AF304" s="12">
        <f>[1]节奏总纲!AF304</f>
        <v>87.419307836790964</v>
      </c>
      <c r="AG304" s="12">
        <f>[1]节奏总纲!AG304</f>
        <v>92.453910487593802</v>
      </c>
      <c r="AH304" s="12">
        <f>[1]节奏总纲!AH304</f>
        <v>101.41475153838698</v>
      </c>
      <c r="AZ304" s="8">
        <v>301</v>
      </c>
      <c r="BA304" s="12">
        <f>[1]节奏总纲!BA304</f>
        <v>45.44522182028097</v>
      </c>
      <c r="BB304" s="12">
        <f>[1]节奏总纲!BB304</f>
        <v>46.9707319822272</v>
      </c>
      <c r="BC304" s="12">
        <f>[1]节奏总纲!BC304</f>
        <v>48.91548941337205</v>
      </c>
      <c r="BD304" s="12">
        <f>[1]节奏总纲!BD304</f>
        <v>51.654771925974188</v>
      </c>
      <c r="BE304" s="12">
        <f>[1]节奏总纲!BE304</f>
        <v>56.365636337214795</v>
      </c>
    </row>
    <row r="305" spans="29:57" x14ac:dyDescent="0.15">
      <c r="AC305" s="8">
        <v>302</v>
      </c>
      <c r="AD305" s="12">
        <f>[1]节奏总纲!AD305</f>
        <v>82.423251222705204</v>
      </c>
      <c r="AE305" s="12">
        <f>[1]节奏总纲!AE305</f>
        <v>84.524918672039192</v>
      </c>
      <c r="AF305" s="12">
        <f>[1]节奏总纲!AF305</f>
        <v>87.468079592452554</v>
      </c>
      <c r="AG305" s="12">
        <f>[1]节奏总纲!AG305</f>
        <v>92.502047894728491</v>
      </c>
      <c r="AH305" s="12">
        <f>[1]节奏总纲!AH305</f>
        <v>101.46511259218613</v>
      </c>
      <c r="AZ305" s="8">
        <v>302</v>
      </c>
      <c r="BA305" s="12">
        <f>[1]节奏总纲!BA305</f>
        <v>45.467538703503074</v>
      </c>
      <c r="BB305" s="12">
        <f>[1]节奏总纲!BB305</f>
        <v>46.994812035750606</v>
      </c>
      <c r="BC305" s="12">
        <f>[1]节奏总纲!BC305</f>
        <v>48.939418079918205</v>
      </c>
      <c r="BD305" s="12">
        <f>[1]节奏总纲!BD305</f>
        <v>51.677877693893038</v>
      </c>
      <c r="BE305" s="12">
        <f>[1]节奏总纲!BE305</f>
        <v>56.387844086597902</v>
      </c>
    </row>
    <row r="306" spans="29:57" x14ac:dyDescent="0.15">
      <c r="AC306" s="8">
        <v>303</v>
      </c>
      <c r="AD306" s="12">
        <f>[1]节奏总纲!AD306</f>
        <v>82.470630686057078</v>
      </c>
      <c r="AE306" s="12">
        <f>[1]节奏总纲!AE306</f>
        <v>84.573791382839516</v>
      </c>
      <c r="AF306" s="12">
        <f>[1]节奏总纲!AF306</f>
        <v>87.516851348114145</v>
      </c>
      <c r="AG306" s="12">
        <f>[1]节奏总纲!AG306</f>
        <v>92.550185301863166</v>
      </c>
      <c r="AH306" s="12">
        <f>[1]节奏总纲!AH306</f>
        <v>101.51547364598528</v>
      </c>
      <c r="AZ306" s="8">
        <v>303</v>
      </c>
      <c r="BA306" s="12">
        <f>[1]节奏总纲!BA306</f>
        <v>45.489855586725177</v>
      </c>
      <c r="BB306" s="12">
        <f>[1]节奏总纲!BB306</f>
        <v>47.016308935086101</v>
      </c>
      <c r="BC306" s="12">
        <f>[1]节奏总纲!BC306</f>
        <v>48.96334674646436</v>
      </c>
      <c r="BD306" s="12">
        <f>[1]节奏总纲!BD306</f>
        <v>51.70098346181188</v>
      </c>
      <c r="BE306" s="12">
        <f>[1]节奏总纲!BE306</f>
        <v>56.410051835981008</v>
      </c>
    </row>
    <row r="307" spans="29:57" x14ac:dyDescent="0.15">
      <c r="AC307" s="8">
        <v>304</v>
      </c>
      <c r="AD307" s="12">
        <f>[1]节奏总纲!AD307</f>
        <v>82.518010149408951</v>
      </c>
      <c r="AE307" s="12">
        <f>[1]节奏总纲!AE307</f>
        <v>84.622664093639855</v>
      </c>
      <c r="AF307" s="12">
        <f>[1]节奏总纲!AF307</f>
        <v>87.565623103775735</v>
      </c>
      <c r="AG307" s="12">
        <f>[1]节奏总纲!AG307</f>
        <v>92.598322708997856</v>
      </c>
      <c r="AH307" s="12">
        <f>[1]节奏总纲!AH307</f>
        <v>101.56583469978445</v>
      </c>
      <c r="AZ307" s="8">
        <v>304</v>
      </c>
      <c r="BA307" s="12">
        <f>[1]节奏总纲!BA307</f>
        <v>45.512172469947281</v>
      </c>
      <c r="BB307" s="12">
        <f>[1]节奏总纲!BB307</f>
        <v>47.037096473408994</v>
      </c>
      <c r="BC307" s="12">
        <f>[1]节奏总纲!BC307</f>
        <v>48.987275413010522</v>
      </c>
      <c r="BD307" s="12">
        <f>[1]节奏总纲!BD307</f>
        <v>51.72408922973073</v>
      </c>
      <c r="BE307" s="12">
        <f>[1]节奏总纲!BE307</f>
        <v>56.432259585364115</v>
      </c>
    </row>
    <row r="308" spans="29:57" x14ac:dyDescent="0.15">
      <c r="AC308" s="8">
        <v>305</v>
      </c>
      <c r="AD308" s="12">
        <f>[1]节奏总纲!AD308</f>
        <v>82.565389612760825</v>
      </c>
      <c r="AE308" s="12">
        <f>[1]节奏总纲!AE308</f>
        <v>84.67153680444018</v>
      </c>
      <c r="AF308" s="12">
        <f>[1]节奏总纲!AF308</f>
        <v>87.61439485943734</v>
      </c>
      <c r="AG308" s="12">
        <f>[1]节奏总纲!AG308</f>
        <v>92.646460116132545</v>
      </c>
      <c r="AH308" s="12">
        <f>[1]节奏总纲!AH308</f>
        <v>101.6161957535836</v>
      </c>
      <c r="AZ308" s="8">
        <v>305</v>
      </c>
      <c r="BA308" s="12">
        <f>[1]节奏总纲!BA308</f>
        <v>45.534489353169384</v>
      </c>
      <c r="BB308" s="12">
        <f>[1]节奏总纲!BB308</f>
        <v>47.057884011731893</v>
      </c>
      <c r="BC308" s="12">
        <f>[1]节奏总纲!BC308</f>
        <v>49.009673493801003</v>
      </c>
      <c r="BD308" s="12">
        <f>[1]节奏总纲!BD308</f>
        <v>51.747194997649579</v>
      </c>
      <c r="BE308" s="12">
        <f>[1]节奏总纲!BE308</f>
        <v>56.454467334747228</v>
      </c>
    </row>
    <row r="309" spans="29:57" x14ac:dyDescent="0.15">
      <c r="AC309" s="8">
        <v>306</v>
      </c>
      <c r="AD309" s="12">
        <f>[1]节奏总纲!AD309</f>
        <v>82.612769076112698</v>
      </c>
      <c r="AE309" s="12">
        <f>[1]节奏总纲!AE309</f>
        <v>84.720409515240505</v>
      </c>
      <c r="AF309" s="12">
        <f>[1]节奏总纲!AF309</f>
        <v>87.66316661509893</v>
      </c>
      <c r="AG309" s="12">
        <f>[1]节奏总纲!AG309</f>
        <v>92.69459752326722</v>
      </c>
      <c r="AH309" s="12">
        <f>[1]节奏总纲!AH309</f>
        <v>101.66655680738275</v>
      </c>
      <c r="AZ309" s="8">
        <v>306</v>
      </c>
      <c r="BA309" s="12">
        <f>[1]节奏总纲!BA309</f>
        <v>45.556806236391488</v>
      </c>
      <c r="BB309" s="12">
        <f>[1]节奏总纲!BB309</f>
        <v>47.078671550054786</v>
      </c>
      <c r="BC309" s="12">
        <f>[1]节奏总纲!BC309</f>
        <v>49.030333272797542</v>
      </c>
      <c r="BD309" s="12">
        <f>[1]节奏总纲!BD309</f>
        <v>51.770300765568422</v>
      </c>
      <c r="BE309" s="12">
        <f>[1]节奏总纲!BE309</f>
        <v>56.476675084130335</v>
      </c>
    </row>
    <row r="310" spans="29:57" x14ac:dyDescent="0.15">
      <c r="AC310" s="8">
        <v>307</v>
      </c>
      <c r="AD310" s="12">
        <f>[1]节奏总纲!AD310</f>
        <v>82.660148539464572</v>
      </c>
      <c r="AE310" s="12">
        <f>[1]节奏总纲!AE310</f>
        <v>84.769282226040829</v>
      </c>
      <c r="AF310" s="12">
        <f>[1]节奏总纲!AF310</f>
        <v>87.711938370760521</v>
      </c>
      <c r="AG310" s="12">
        <f>[1]节奏总纲!AG310</f>
        <v>92.742734930401909</v>
      </c>
      <c r="AH310" s="12">
        <f>[1]节奏总纲!AH310</f>
        <v>101.7169178611819</v>
      </c>
      <c r="AZ310" s="8">
        <v>307</v>
      </c>
      <c r="BA310" s="12">
        <f>[1]节奏总纲!BA310</f>
        <v>45.579123119613591</v>
      </c>
      <c r="BB310" s="12">
        <f>[1]节奏总纲!BB310</f>
        <v>47.099459088377678</v>
      </c>
      <c r="BC310" s="12">
        <f>[1]节奏总纲!BC310</f>
        <v>49.05099305179408</v>
      </c>
      <c r="BD310" s="12">
        <f>[1]节奏总纲!BD310</f>
        <v>51.793406533487271</v>
      </c>
      <c r="BE310" s="12">
        <f>[1]节奏总纲!BE310</f>
        <v>56.498882833513441</v>
      </c>
    </row>
    <row r="311" spans="29:57" x14ac:dyDescent="0.15">
      <c r="AC311" s="8">
        <v>308</v>
      </c>
      <c r="AD311" s="12">
        <f>[1]节奏总纲!AD311</f>
        <v>82.707528002816446</v>
      </c>
      <c r="AE311" s="12">
        <f>[1]节奏总纲!AE311</f>
        <v>84.818154936841154</v>
      </c>
      <c r="AF311" s="12">
        <f>[1]节奏总纲!AF311</f>
        <v>87.760710126422126</v>
      </c>
      <c r="AG311" s="12">
        <f>[1]节奏总纲!AG311</f>
        <v>92.790872337536598</v>
      </c>
      <c r="AH311" s="12">
        <f>[1]节奏总纲!AH311</f>
        <v>101.76727891498105</v>
      </c>
      <c r="AZ311" s="8">
        <v>308</v>
      </c>
      <c r="BA311" s="12">
        <f>[1]节奏总纲!BA311</f>
        <v>45.601440002835695</v>
      </c>
      <c r="BB311" s="12">
        <f>[1]节奏总纲!BB311</f>
        <v>47.12024662670057</v>
      </c>
      <c r="BC311" s="12">
        <f>[1]节奏总纲!BC311</f>
        <v>49.071652830790612</v>
      </c>
      <c r="BD311" s="12">
        <f>[1]节奏总纲!BD311</f>
        <v>51.816512301406114</v>
      </c>
      <c r="BE311" s="12">
        <f>[1]节奏总纲!BE311</f>
        <v>56.521090582896548</v>
      </c>
    </row>
    <row r="312" spans="29:57" x14ac:dyDescent="0.15">
      <c r="AC312" s="8">
        <v>309</v>
      </c>
      <c r="AD312" s="12">
        <f>[1]节奏总纲!AD312</f>
        <v>82.754907466168319</v>
      </c>
      <c r="AE312" s="12">
        <f>[1]节奏总纲!AE312</f>
        <v>84.867027647641493</v>
      </c>
      <c r="AF312" s="12">
        <f>[1]节奏总纲!AF312</f>
        <v>87.809481882083716</v>
      </c>
      <c r="AG312" s="12">
        <f>[1]节奏总纲!AG312</f>
        <v>92.839009744671287</v>
      </c>
      <c r="AH312" s="12">
        <f>[1]节奏总纲!AH312</f>
        <v>101.8176399687802</v>
      </c>
      <c r="AZ312" s="8">
        <v>309</v>
      </c>
      <c r="BA312" s="12">
        <f>[1]节奏总纲!BA312</f>
        <v>45.623756886057798</v>
      </c>
      <c r="BB312" s="12">
        <f>[1]节奏总纲!BB312</f>
        <v>47.14103416502347</v>
      </c>
      <c r="BC312" s="12">
        <f>[1]节奏总纲!BC312</f>
        <v>49.09231260978715</v>
      </c>
      <c r="BD312" s="12">
        <f>[1]节奏总纲!BD312</f>
        <v>51.839618069324963</v>
      </c>
      <c r="BE312" s="12">
        <f>[1]节奏总纲!BE312</f>
        <v>56.543298332279662</v>
      </c>
    </row>
    <row r="313" spans="29:57" x14ac:dyDescent="0.15">
      <c r="AC313" s="8">
        <v>310</v>
      </c>
      <c r="AD313" s="12">
        <f>[1]节奏总纲!AD313</f>
        <v>82.802286929520193</v>
      </c>
      <c r="AE313" s="12">
        <f>[1]节奏总纲!AE313</f>
        <v>84.915900358441817</v>
      </c>
      <c r="AF313" s="12">
        <f>[1]节奏总纲!AF313</f>
        <v>87.858253637745307</v>
      </c>
      <c r="AG313" s="12">
        <f>[1]节奏总纲!AG313</f>
        <v>92.887147151805962</v>
      </c>
      <c r="AH313" s="12">
        <f>[1]节奏总纲!AH313</f>
        <v>101.86800102257935</v>
      </c>
      <c r="AZ313" s="8">
        <v>310</v>
      </c>
      <c r="BA313" s="12">
        <f>[1]节奏总纲!BA313</f>
        <v>45.646073769279901</v>
      </c>
      <c r="BB313" s="12">
        <f>[1]节奏总纲!BB313</f>
        <v>47.161821703346362</v>
      </c>
      <c r="BC313" s="12">
        <f>[1]节奏总纲!BC313</f>
        <v>49.112972388783689</v>
      </c>
      <c r="BD313" s="12">
        <f>[1]节奏总纲!BD313</f>
        <v>51.862723837243806</v>
      </c>
      <c r="BE313" s="12">
        <f>[1]节奏总纲!BE313</f>
        <v>56.565506081662768</v>
      </c>
    </row>
    <row r="314" spans="29:57" x14ac:dyDescent="0.15">
      <c r="AC314" s="8">
        <v>311</v>
      </c>
      <c r="AD314" s="12">
        <f>[1]节奏总纲!AD314</f>
        <v>82.849666392872066</v>
      </c>
      <c r="AE314" s="12">
        <f>[1]节奏总纲!AE314</f>
        <v>84.964773069242142</v>
      </c>
      <c r="AF314" s="12">
        <f>[1]节奏总纲!AF314</f>
        <v>87.907025393406897</v>
      </c>
      <c r="AG314" s="12">
        <f>[1]节奏总纲!AG314</f>
        <v>92.935284558940651</v>
      </c>
      <c r="AH314" s="12">
        <f>[1]节奏总纲!AH314</f>
        <v>101.9183620763785</v>
      </c>
      <c r="AZ314" s="8">
        <v>311</v>
      </c>
      <c r="BA314" s="12">
        <f>[1]节奏总纲!BA314</f>
        <v>45.668390652502012</v>
      </c>
      <c r="BB314" s="12">
        <f>[1]节奏总纲!BB314</f>
        <v>47.182609241669255</v>
      </c>
      <c r="BC314" s="12">
        <f>[1]节奏总纲!BC314</f>
        <v>49.133632167780227</v>
      </c>
      <c r="BD314" s="12">
        <f>[1]节奏总纲!BD314</f>
        <v>51.885829605162655</v>
      </c>
      <c r="BE314" s="12">
        <f>[1]节奏总纲!BE314</f>
        <v>56.587713831045875</v>
      </c>
    </row>
    <row r="315" spans="29:57" x14ac:dyDescent="0.15">
      <c r="AC315" s="8">
        <v>312</v>
      </c>
      <c r="AD315" s="12">
        <f>[1]节奏总纲!AD315</f>
        <v>82.89704585622394</v>
      </c>
      <c r="AE315" s="12">
        <f>[1]节奏总纲!AE315</f>
        <v>85.012531647506819</v>
      </c>
      <c r="AF315" s="12">
        <f>[1]节奏总纲!AF315</f>
        <v>87.955797149068502</v>
      </c>
      <c r="AG315" s="12">
        <f>[1]节奏总纲!AG315</f>
        <v>92.98342196607534</v>
      </c>
      <c r="AH315" s="12">
        <f>[1]节奏总纲!AH315</f>
        <v>101.96872313017765</v>
      </c>
      <c r="AZ315" s="8">
        <v>312</v>
      </c>
      <c r="BA315" s="12">
        <f>[1]节奏总纲!BA315</f>
        <v>45.690707535724115</v>
      </c>
      <c r="BB315" s="12">
        <f>[1]节奏总纲!BB315</f>
        <v>47.203396779992147</v>
      </c>
      <c r="BC315" s="12">
        <f>[1]节奏总纲!BC315</f>
        <v>49.154291946776759</v>
      </c>
      <c r="BD315" s="12">
        <f>[1]节奏总纲!BD315</f>
        <v>51.908935373081505</v>
      </c>
      <c r="BE315" s="12">
        <f>[1]节奏总纲!BE315</f>
        <v>56.609921580428981</v>
      </c>
    </row>
    <row r="316" spans="29:57" x14ac:dyDescent="0.15">
      <c r="AC316" s="8">
        <v>313</v>
      </c>
      <c r="AD316" s="12">
        <f>[1]节奏总纲!AD316</f>
        <v>82.944425319575814</v>
      </c>
      <c r="AE316" s="12">
        <f>[1]节奏总纲!AE316</f>
        <v>85.057414064088832</v>
      </c>
      <c r="AF316" s="12">
        <f>[1]节奏总纲!AF316</f>
        <v>88.004756197276762</v>
      </c>
      <c r="AG316" s="12">
        <f>[1]节奏总纲!AG316</f>
        <v>93.031775955978986</v>
      </c>
      <c r="AH316" s="12">
        <f>[1]节奏总纲!AH316</f>
        <v>102.01687435940708</v>
      </c>
      <c r="AZ316" s="8">
        <v>313</v>
      </c>
      <c r="BA316" s="12">
        <f>[1]节奏总纲!BA316</f>
        <v>45.713024418946219</v>
      </c>
      <c r="BB316" s="12">
        <f>[1]节奏总纲!BB316</f>
        <v>47.224184318315039</v>
      </c>
      <c r="BC316" s="12">
        <f>[1]节奏总纲!BC316</f>
        <v>49.174951725773298</v>
      </c>
      <c r="BD316" s="12">
        <f>[1]节奏总纲!BD316</f>
        <v>51.932041141000347</v>
      </c>
      <c r="BE316" s="12">
        <f>[1]节奏总纲!BE316</f>
        <v>56.632129329812095</v>
      </c>
    </row>
    <row r="317" spans="29:57" x14ac:dyDescent="0.15">
      <c r="AC317" s="8">
        <v>314</v>
      </c>
      <c r="AD317" s="12">
        <f>[1]节奏总纲!AD317</f>
        <v>82.991804782927687</v>
      </c>
      <c r="AE317" s="12">
        <f>[1]节奏总纲!AE317</f>
        <v>85.10229648067083</v>
      </c>
      <c r="AF317" s="12">
        <f>[1]节奏总纲!AF317</f>
        <v>88.05552724748766</v>
      </c>
      <c r="AG317" s="12">
        <f>[1]节奏总纲!AG317</f>
        <v>93.080243716091815</v>
      </c>
      <c r="AH317" s="12">
        <f>[1]节奏总纲!AH317</f>
        <v>102.0614039302265</v>
      </c>
      <c r="AZ317" s="8">
        <v>314</v>
      </c>
      <c r="BA317" s="12">
        <f>[1]节奏总纲!BA317</f>
        <v>45.735341302168322</v>
      </c>
      <c r="BB317" s="12">
        <f>[1]节奏总纲!BB317</f>
        <v>47.244971856637939</v>
      </c>
      <c r="BC317" s="12">
        <f>[1]节奏总纲!BC317</f>
        <v>49.195611504769836</v>
      </c>
      <c r="BD317" s="12">
        <f>[1]节奏总纲!BD317</f>
        <v>51.955146908919197</v>
      </c>
      <c r="BE317" s="12">
        <f>[1]节奏总纲!BE317</f>
        <v>56.654337079195201</v>
      </c>
    </row>
    <row r="318" spans="29:57" x14ac:dyDescent="0.15">
      <c r="AC318" s="8">
        <v>315</v>
      </c>
      <c r="AD318" s="12">
        <f>[1]节奏总纲!AD318</f>
        <v>83.03656019452734</v>
      </c>
      <c r="AE318" s="12">
        <f>[1]节奏总纲!AE318</f>
        <v>85.147178897252829</v>
      </c>
      <c r="AF318" s="12">
        <f>[1]节奏总纲!AF318</f>
        <v>88.106298297698572</v>
      </c>
      <c r="AG318" s="12">
        <f>[1]节奏总纲!AG318</f>
        <v>93.128711476204643</v>
      </c>
      <c r="AH318" s="12">
        <f>[1]节奏总纲!AH318</f>
        <v>102.10593350104594</v>
      </c>
      <c r="AZ318" s="8">
        <v>315</v>
      </c>
      <c r="BA318" s="12">
        <f>[1]节奏总纲!BA318</f>
        <v>45.757658185390426</v>
      </c>
      <c r="BB318" s="12">
        <f>[1]节奏总纲!BB318</f>
        <v>47.265759394960831</v>
      </c>
      <c r="BC318" s="12">
        <f>[1]节奏总纲!BC318</f>
        <v>49.216271283766375</v>
      </c>
      <c r="BD318" s="12">
        <f>[1]节奏总纲!BD318</f>
        <v>51.978252676838039</v>
      </c>
      <c r="BE318" s="12">
        <f>[1]节奏总纲!BE318</f>
        <v>56.676544828578308</v>
      </c>
    </row>
    <row r="319" spans="29:57" x14ac:dyDescent="0.15">
      <c r="AC319" s="8">
        <v>316</v>
      </c>
      <c r="AD319" s="12">
        <f>[1]节奏总纲!AD319</f>
        <v>83.080766796955942</v>
      </c>
      <c r="AE319" s="12">
        <f>[1]节奏总纲!AE319</f>
        <v>85.192061313834827</v>
      </c>
      <c r="AF319" s="12">
        <f>[1]节奏总纲!AF319</f>
        <v>88.15706934790947</v>
      </c>
      <c r="AG319" s="12">
        <f>[1]节奏总纲!AG319</f>
        <v>93.177179236317471</v>
      </c>
      <c r="AH319" s="12">
        <f>[1]节奏总纲!AH319</f>
        <v>102.15046307186537</v>
      </c>
      <c r="AZ319" s="8">
        <v>316</v>
      </c>
      <c r="BA319" s="12">
        <f>[1]节奏总纲!BA319</f>
        <v>45.779975068612529</v>
      </c>
      <c r="BB319" s="12">
        <f>[1]节奏总纲!BB319</f>
        <v>47.286546933283724</v>
      </c>
      <c r="BC319" s="12">
        <f>[1]节奏总纲!BC319</f>
        <v>49.236931062762913</v>
      </c>
      <c r="BD319" s="12">
        <f>[1]节奏总纲!BD319</f>
        <v>52.001173105835825</v>
      </c>
      <c r="BE319" s="12">
        <f>[1]节奏总纲!BE319</f>
        <v>56.698752577961415</v>
      </c>
    </row>
    <row r="320" spans="29:57" x14ac:dyDescent="0.15">
      <c r="AC320" s="8">
        <v>317</v>
      </c>
      <c r="AD320" s="12">
        <f>[1]节奏总纲!AD320</f>
        <v>83.124973399384558</v>
      </c>
      <c r="AE320" s="12">
        <f>[1]节奏总纲!AE320</f>
        <v>85.236943730416826</v>
      </c>
      <c r="AF320" s="12">
        <f>[1]节奏总纲!AF320</f>
        <v>88.207840398120382</v>
      </c>
      <c r="AG320" s="12">
        <f>[1]节奏总纲!AG320</f>
        <v>93.225646996430299</v>
      </c>
      <c r="AH320" s="12">
        <f>[1]节奏总纲!AH320</f>
        <v>102.19499264268481</v>
      </c>
      <c r="AZ320" s="8">
        <v>317</v>
      </c>
      <c r="BA320" s="12">
        <f>[1]节奏总纲!BA320</f>
        <v>45.802291951834633</v>
      </c>
      <c r="BB320" s="12">
        <f>[1]节奏总纲!BB320</f>
        <v>47.307334471606616</v>
      </c>
      <c r="BC320" s="12">
        <f>[1]节奏总纲!BC320</f>
        <v>49.257590841759445</v>
      </c>
      <c r="BD320" s="12">
        <f>[1]节奏总纲!BD320</f>
        <v>52.021126446631868</v>
      </c>
      <c r="BE320" s="12">
        <f>[1]节奏总纲!BE320</f>
        <v>56.720960327344528</v>
      </c>
    </row>
    <row r="321" spans="29:57" x14ac:dyDescent="0.15">
      <c r="AC321" s="8">
        <v>318</v>
      </c>
      <c r="AD321" s="12">
        <f>[1]节奏总纲!AD321</f>
        <v>83.16918000181316</v>
      </c>
      <c r="AE321" s="12">
        <f>[1]节奏总纲!AE321</f>
        <v>85.281826146998839</v>
      </c>
      <c r="AF321" s="12">
        <f>[1]节奏总纲!AF321</f>
        <v>88.258611448331294</v>
      </c>
      <c r="AG321" s="12">
        <f>[1]节奏总纲!AG321</f>
        <v>93.274114756543128</v>
      </c>
      <c r="AH321" s="12">
        <f>[1]节奏总纲!AH321</f>
        <v>102.23952221350423</v>
      </c>
      <c r="AZ321" s="8">
        <v>318</v>
      </c>
      <c r="BA321" s="12">
        <f>[1]节奏总纲!BA321</f>
        <v>45.824608835056736</v>
      </c>
      <c r="BB321" s="12">
        <f>[1]节奏总纲!BB321</f>
        <v>47.328122009929508</v>
      </c>
      <c r="BC321" s="12">
        <f>[1]节奏总纲!BC321</f>
        <v>49.278250620755983</v>
      </c>
      <c r="BD321" s="12">
        <f>[1]节奏总纲!BD321</f>
        <v>52.041079787427918</v>
      </c>
      <c r="BE321" s="12">
        <f>[1]节奏总纲!BE321</f>
        <v>56.743168076727635</v>
      </c>
    </row>
    <row r="322" spans="29:57" x14ac:dyDescent="0.15">
      <c r="AC322" s="8">
        <v>319</v>
      </c>
      <c r="AD322" s="12">
        <f>[1]节奏总纲!AD322</f>
        <v>83.213386604241776</v>
      </c>
      <c r="AE322" s="12">
        <f>[1]节奏总纲!AE322</f>
        <v>85.326708563580837</v>
      </c>
      <c r="AF322" s="12">
        <f>[1]节奏总纲!AF322</f>
        <v>88.309382498542192</v>
      </c>
      <c r="AG322" s="12">
        <f>[1]节奏总纲!AG322</f>
        <v>93.322582516655956</v>
      </c>
      <c r="AH322" s="12">
        <f>[1]节奏总纲!AH322</f>
        <v>102.28405178432367</v>
      </c>
      <c r="AZ322" s="8">
        <v>319</v>
      </c>
      <c r="BA322" s="12">
        <f>[1]节奏总纲!BA322</f>
        <v>45.84692571827884</v>
      </c>
      <c r="BB322" s="12">
        <f>[1]节奏总纲!BB322</f>
        <v>47.348909548252408</v>
      </c>
      <c r="BC322" s="12">
        <f>[1]节奏总纲!BC322</f>
        <v>49.298910399752522</v>
      </c>
      <c r="BD322" s="12">
        <f>[1]节奏总纲!BD322</f>
        <v>52.061033128223968</v>
      </c>
      <c r="BE322" s="12">
        <f>[1]节奏总纲!BE322</f>
        <v>56.765375826110741</v>
      </c>
    </row>
    <row r="323" spans="29:57" x14ac:dyDescent="0.15">
      <c r="AC323" s="8">
        <v>320</v>
      </c>
      <c r="AD323" s="12">
        <f>[1]节奏总纲!AD323</f>
        <v>83.257593206670379</v>
      </c>
      <c r="AE323" s="12">
        <f>[1]节奏总纲!AE323</f>
        <v>85.371590980162836</v>
      </c>
      <c r="AF323" s="12">
        <f>[1]节奏总纲!AF323</f>
        <v>88.360153548753104</v>
      </c>
      <c r="AG323" s="12">
        <f>[1]节奏总纲!AG323</f>
        <v>93.37105027676877</v>
      </c>
      <c r="AH323" s="12">
        <f>[1]节奏总纲!AH323</f>
        <v>102.3285813551431</v>
      </c>
      <c r="AZ323" s="8">
        <v>320</v>
      </c>
      <c r="BA323" s="12">
        <f>[1]节奏总纲!BA323</f>
        <v>45.869242601500943</v>
      </c>
      <c r="BB323" s="12">
        <f>[1]节奏总纲!BB323</f>
        <v>47.3696970865753</v>
      </c>
      <c r="BC323" s="12">
        <f>[1]节奏总纲!BC323</f>
        <v>49.319570178749061</v>
      </c>
      <c r="BD323" s="12">
        <f>[1]节奏总纲!BD323</f>
        <v>52.080986469020011</v>
      </c>
      <c r="BE323" s="12">
        <f>[1]节奏总纲!BE323</f>
        <v>56.787583575493848</v>
      </c>
    </row>
    <row r="324" spans="29:57" x14ac:dyDescent="0.15">
      <c r="AC324" s="8">
        <v>321</v>
      </c>
      <c r="AD324" s="12">
        <f>[1]节奏总纲!AD324</f>
        <v>83.301799809098995</v>
      </c>
      <c r="AE324" s="12">
        <f>[1]节奏总纲!AE324</f>
        <v>85.416473396744834</v>
      </c>
      <c r="AF324" s="12">
        <f>[1]节奏总纲!AF324</f>
        <v>88.410924598964016</v>
      </c>
      <c r="AG324" s="12">
        <f>[1]节奏总纲!AG324</f>
        <v>93.419518036881598</v>
      </c>
      <c r="AH324" s="12">
        <f>[1]节奏总纲!AH324</f>
        <v>102.37311092596252</v>
      </c>
      <c r="AZ324" s="8">
        <v>321</v>
      </c>
      <c r="BA324" s="12">
        <f>[1]节奏总纲!BA324</f>
        <v>45.891559484723047</v>
      </c>
      <c r="BB324" s="12">
        <f>[1]节奏总纲!BB324</f>
        <v>47.390484624898193</v>
      </c>
      <c r="BC324" s="12">
        <f>[1]节奏总纲!BC324</f>
        <v>49.340229957745592</v>
      </c>
      <c r="BD324" s="12">
        <f>[1]节奏总纲!BD324</f>
        <v>52.100939809816062</v>
      </c>
      <c r="BE324" s="12">
        <f>[1]节奏总纲!BE324</f>
        <v>56.809791324876961</v>
      </c>
    </row>
    <row r="325" spans="29:57" x14ac:dyDescent="0.15">
      <c r="AC325" s="8">
        <v>322</v>
      </c>
      <c r="AD325" s="12">
        <f>[1]节奏总纲!AD325</f>
        <v>83.346006411527597</v>
      </c>
      <c r="AE325" s="12">
        <f>[1]节奏总纲!AE325</f>
        <v>85.461355813326847</v>
      </c>
      <c r="AF325" s="12">
        <f>[1]节奏总纲!AF325</f>
        <v>88.461695649174914</v>
      </c>
      <c r="AG325" s="12">
        <f>[1]节奏总纲!AG325</f>
        <v>93.467985796994427</v>
      </c>
      <c r="AH325" s="12">
        <f>[1]节奏总纲!AH325</f>
        <v>102.41764049678196</v>
      </c>
      <c r="AZ325" s="8">
        <v>322</v>
      </c>
      <c r="BA325" s="12">
        <f>[1]节奏总纲!BA325</f>
        <v>45.91387636794515</v>
      </c>
      <c r="BB325" s="12">
        <f>[1]节奏总纲!BB325</f>
        <v>47.411272163221085</v>
      </c>
      <c r="BC325" s="12">
        <f>[1]节奏总纲!BC325</f>
        <v>49.360889736742131</v>
      </c>
      <c r="BD325" s="12">
        <f>[1]节奏总纲!BD325</f>
        <v>52.120893150612112</v>
      </c>
      <c r="BE325" s="12">
        <f>[1]节奏总纲!BE325</f>
        <v>56.831999074260068</v>
      </c>
    </row>
    <row r="326" spans="29:57" x14ac:dyDescent="0.15">
      <c r="AC326" s="8">
        <v>323</v>
      </c>
      <c r="AD326" s="12">
        <f>[1]节奏总纲!AD326</f>
        <v>83.390213013956213</v>
      </c>
      <c r="AE326" s="12">
        <f>[1]节奏总纲!AE326</f>
        <v>85.506238229908845</v>
      </c>
      <c r="AF326" s="12">
        <f>[1]节奏总纲!AF326</f>
        <v>88.512466699385826</v>
      </c>
      <c r="AG326" s="12">
        <f>[1]节奏总纲!AG326</f>
        <v>93.516453557107255</v>
      </c>
      <c r="AH326" s="12">
        <f>[1]节奏总纲!AH326</f>
        <v>102.46217006760139</v>
      </c>
      <c r="AZ326" s="8">
        <v>323</v>
      </c>
      <c r="BA326" s="12">
        <f>[1]节奏总纲!BA326</f>
        <v>45.936193251167253</v>
      </c>
      <c r="BB326" s="12">
        <f>[1]节奏总纲!BB326</f>
        <v>47.432059701543984</v>
      </c>
      <c r="BC326" s="12">
        <f>[1]节奏总纲!BC326</f>
        <v>49.381549515738669</v>
      </c>
      <c r="BD326" s="12">
        <f>[1]节奏总纲!BD326</f>
        <v>52.140846491408155</v>
      </c>
      <c r="BE326" s="12">
        <f>[1]节奏总纲!BE326</f>
        <v>56.854206823643175</v>
      </c>
    </row>
    <row r="327" spans="29:57" x14ac:dyDescent="0.15">
      <c r="AC327" s="8">
        <v>324</v>
      </c>
      <c r="AD327" s="12">
        <f>[1]节奏总纲!AD327</f>
        <v>83.434419616384815</v>
      </c>
      <c r="AE327" s="12">
        <f>[1]节奏总纲!AE327</f>
        <v>85.551120646490844</v>
      </c>
      <c r="AF327" s="12">
        <f>[1]节奏总纲!AF327</f>
        <v>88.563237749596723</v>
      </c>
      <c r="AG327" s="12">
        <f>[1]节奏总纲!AG327</f>
        <v>93.564921317220083</v>
      </c>
      <c r="AH327" s="12">
        <f>[1]节奏总纲!AH327</f>
        <v>102.50669963842083</v>
      </c>
      <c r="AZ327" s="8">
        <v>324</v>
      </c>
      <c r="BA327" s="12">
        <f>[1]节奏总纲!BA327</f>
        <v>45.958510134389357</v>
      </c>
      <c r="BB327" s="12">
        <f>[1]节奏总纲!BB327</f>
        <v>47.452847239866877</v>
      </c>
      <c r="BC327" s="12">
        <f>[1]节奏总纲!BC327</f>
        <v>49.402209294735208</v>
      </c>
      <c r="BD327" s="12">
        <f>[1]节奏总纲!BD327</f>
        <v>52.160799832204205</v>
      </c>
      <c r="BE327" s="12">
        <f>[1]节奏总纲!BE327</f>
        <v>56.876414573026281</v>
      </c>
    </row>
    <row r="328" spans="29:57" x14ac:dyDescent="0.15">
      <c r="AC328" s="8">
        <v>325</v>
      </c>
      <c r="AD328" s="12">
        <f>[1]节奏总纲!AD328</f>
        <v>83.478626218813432</v>
      </c>
      <c r="AE328" s="12">
        <f>[1]节奏总纲!AE328</f>
        <v>85.596003063072843</v>
      </c>
      <c r="AF328" s="12">
        <f>[1]节奏总纲!AF328</f>
        <v>88.614008799807635</v>
      </c>
      <c r="AG328" s="12">
        <f>[1]节奏总纲!AG328</f>
        <v>93.613389077332911</v>
      </c>
      <c r="AH328" s="12">
        <f>[1]节奏总纲!AH328</f>
        <v>102.55122920924025</v>
      </c>
      <c r="AZ328" s="8">
        <v>325</v>
      </c>
      <c r="BA328" s="12">
        <f>[1]节奏总纲!BA328</f>
        <v>45.98082701761146</v>
      </c>
      <c r="BB328" s="12">
        <f>[1]节奏总纲!BB328</f>
        <v>47.473634778189769</v>
      </c>
      <c r="BC328" s="12">
        <f>[1]节奏总纲!BC328</f>
        <v>49.422869073731739</v>
      </c>
      <c r="BD328" s="12">
        <f>[1]节奏总纲!BD328</f>
        <v>52.180753173000248</v>
      </c>
      <c r="BE328" s="12">
        <f>[1]节奏总纲!BE328</f>
        <v>56.898622322409395</v>
      </c>
    </row>
    <row r="329" spans="29:57" x14ac:dyDescent="0.15">
      <c r="AC329" s="8">
        <v>326</v>
      </c>
      <c r="AD329" s="12">
        <f>[1]节奏总纲!AD329</f>
        <v>83.522832821242034</v>
      </c>
      <c r="AE329" s="12">
        <f>[1]节奏总纲!AE329</f>
        <v>85.640885479654855</v>
      </c>
      <c r="AF329" s="12">
        <f>[1]节奏总纲!AF329</f>
        <v>88.664779850018547</v>
      </c>
      <c r="AG329" s="12">
        <f>[1]节奏总纲!AG329</f>
        <v>93.66185683744574</v>
      </c>
      <c r="AH329" s="12">
        <f>[1]节奏总纲!AH329</f>
        <v>102.59575878005968</v>
      </c>
      <c r="AZ329" s="8">
        <v>326</v>
      </c>
      <c r="BA329" s="12">
        <f>[1]节奏总纲!BA329</f>
        <v>46.002713830586146</v>
      </c>
      <c r="BB329" s="12">
        <f>[1]节奏总纲!BB329</f>
        <v>47.494422316512662</v>
      </c>
      <c r="BC329" s="12">
        <f>[1]节奏总纲!BC329</f>
        <v>49.443528852728278</v>
      </c>
      <c r="BD329" s="12">
        <f>[1]节奏总纲!BD329</f>
        <v>52.200706513796298</v>
      </c>
      <c r="BE329" s="12">
        <f>[1]节奏总纲!BE329</f>
        <v>56.920830071792501</v>
      </c>
    </row>
    <row r="330" spans="29:57" x14ac:dyDescent="0.15">
      <c r="AC330" s="8">
        <v>327</v>
      </c>
      <c r="AD330" s="12">
        <f>[1]节奏总纲!AD330</f>
        <v>83.56703942367065</v>
      </c>
      <c r="AE330" s="12">
        <f>[1]节奏总纲!AE330</f>
        <v>85.685767896236854</v>
      </c>
      <c r="AF330" s="12">
        <f>[1]节奏总纲!AF330</f>
        <v>88.715550900229445</v>
      </c>
      <c r="AG330" s="12">
        <f>[1]节奏总纲!AG330</f>
        <v>93.710324597558554</v>
      </c>
      <c r="AH330" s="12">
        <f>[1]节奏总纲!AH330</f>
        <v>102.64028835087912</v>
      </c>
      <c r="AZ330" s="8">
        <v>327</v>
      </c>
      <c r="BA330" s="12">
        <f>[1]节奏总纲!BA330</f>
        <v>46.021977873404879</v>
      </c>
      <c r="BB330" s="12">
        <f>[1]节奏总纲!BB330</f>
        <v>47.515209854835554</v>
      </c>
      <c r="BC330" s="12">
        <f>[1]节奏总纲!BC330</f>
        <v>49.464188631724817</v>
      </c>
      <c r="BD330" s="12">
        <f>[1]节奏总纲!BD330</f>
        <v>52.220659854592348</v>
      </c>
      <c r="BE330" s="12">
        <f>[1]节奏总纲!BE330</f>
        <v>56.943037821175608</v>
      </c>
    </row>
    <row r="331" spans="29:57" x14ac:dyDescent="0.15">
      <c r="AC331" s="8">
        <v>328</v>
      </c>
      <c r="AD331" s="12">
        <f>[1]节奏总纲!AD331</f>
        <v>83.611246026099252</v>
      </c>
      <c r="AE331" s="12">
        <f>[1]节奏总纲!AE331</f>
        <v>85.730650312818852</v>
      </c>
      <c r="AF331" s="12">
        <f>[1]节奏总纲!AF331</f>
        <v>88.766321950440357</v>
      </c>
      <c r="AG331" s="12">
        <f>[1]节奏总纲!AG331</f>
        <v>93.758792357671382</v>
      </c>
      <c r="AH331" s="12">
        <f>[1]节奏总纲!AH331</f>
        <v>102.68481792169854</v>
      </c>
      <c r="AZ331" s="8">
        <v>328</v>
      </c>
      <c r="BA331" s="12">
        <f>[1]节奏总纲!BA331</f>
        <v>46.041241916223605</v>
      </c>
      <c r="BB331" s="12">
        <f>[1]节奏总纲!BB331</f>
        <v>47.535997393158453</v>
      </c>
      <c r="BC331" s="12">
        <f>[1]节奏总纲!BC331</f>
        <v>49.484848410721355</v>
      </c>
      <c r="BD331" s="12">
        <f>[1]节奏总纲!BD331</f>
        <v>52.240613195388391</v>
      </c>
      <c r="BE331" s="12">
        <f>[1]节奏总纲!BE331</f>
        <v>56.965245570558714</v>
      </c>
    </row>
    <row r="332" spans="29:57" x14ac:dyDescent="0.15">
      <c r="AC332" s="8">
        <v>329</v>
      </c>
      <c r="AD332" s="12">
        <f>[1]节奏总纲!AD332</f>
        <v>83.655452628527868</v>
      </c>
      <c r="AE332" s="12">
        <f>[1]节奏总纲!AE332</f>
        <v>85.775532729400851</v>
      </c>
      <c r="AF332" s="12">
        <f>[1]节奏总纲!AF332</f>
        <v>88.817093000651269</v>
      </c>
      <c r="AG332" s="12">
        <f>[1]节奏总纲!AG332</f>
        <v>93.80726011778421</v>
      </c>
      <c r="AH332" s="12">
        <f>[1]节奏总纲!AH332</f>
        <v>102.72934749251797</v>
      </c>
      <c r="AZ332" s="8">
        <v>329</v>
      </c>
      <c r="BA332" s="12">
        <f>[1]节奏总纲!BA332</f>
        <v>46.060505959042331</v>
      </c>
      <c r="BB332" s="12">
        <f>[1]节奏总纲!BB332</f>
        <v>47.556784931481346</v>
      </c>
      <c r="BC332" s="12">
        <f>[1]节奏总纲!BC332</f>
        <v>49.505508189717887</v>
      </c>
      <c r="BD332" s="12">
        <f>[1]节奏总纲!BD332</f>
        <v>52.260566536184442</v>
      </c>
      <c r="BE332" s="12">
        <f>[1]节奏总纲!BE332</f>
        <v>56.987453319941828</v>
      </c>
    </row>
    <row r="333" spans="29:57" x14ac:dyDescent="0.15">
      <c r="AC333" s="8">
        <v>330</v>
      </c>
      <c r="AD333" s="12">
        <f>[1]节奏总纲!AD333</f>
        <v>83.69965923095647</v>
      </c>
      <c r="AE333" s="12">
        <f>[1]节奏总纲!AE333</f>
        <v>85.820415145982849</v>
      </c>
      <c r="AF333" s="12">
        <f>[1]节奏总纲!AF333</f>
        <v>88.867864050862167</v>
      </c>
      <c r="AG333" s="12">
        <f>[1]节奏总纲!AG333</f>
        <v>93.855727877897039</v>
      </c>
      <c r="AH333" s="12">
        <f>[1]节奏总纲!AH333</f>
        <v>102.77387706333741</v>
      </c>
      <c r="AZ333" s="8">
        <v>330</v>
      </c>
      <c r="BA333" s="12">
        <f>[1]节奏总纲!BA333</f>
        <v>46.079770001861057</v>
      </c>
      <c r="BB333" s="12">
        <f>[1]节奏总纲!BB333</f>
        <v>47.577572469804238</v>
      </c>
      <c r="BC333" s="12">
        <f>[1]节奏总纲!BC333</f>
        <v>49.526167968714425</v>
      </c>
      <c r="BD333" s="12">
        <f>[1]节奏总纲!BD333</f>
        <v>52.280519876980485</v>
      </c>
      <c r="BE333" s="12">
        <f>[1]节奏总纲!BE333</f>
        <v>57.008345591208631</v>
      </c>
    </row>
    <row r="334" spans="29:57" x14ac:dyDescent="0.15">
      <c r="AC334" s="8">
        <v>331</v>
      </c>
      <c r="AD334" s="12">
        <f>[1]节奏总纲!AD334</f>
        <v>83.743865833385087</v>
      </c>
      <c r="AE334" s="12">
        <f>[1]节奏总纲!AE334</f>
        <v>85.865297562564862</v>
      </c>
      <c r="AF334" s="12">
        <f>[1]节奏总纲!AF334</f>
        <v>88.918635101073079</v>
      </c>
      <c r="AG334" s="12">
        <f>[1]节奏总纲!AG334</f>
        <v>93.904195638009867</v>
      </c>
      <c r="AH334" s="12">
        <f>[1]节奏总纲!AH334</f>
        <v>102.81840663415684</v>
      </c>
      <c r="AZ334" s="8">
        <v>331</v>
      </c>
      <c r="BA334" s="12">
        <f>[1]节奏总纲!BA334</f>
        <v>46.099034044679783</v>
      </c>
      <c r="BB334" s="12">
        <f>[1]节奏总纲!BB334</f>
        <v>47.598360008127131</v>
      </c>
      <c r="BC334" s="12">
        <f>[1]节奏总纲!BC334</f>
        <v>49.546827747710964</v>
      </c>
      <c r="BD334" s="12">
        <f>[1]节奏总纲!BD334</f>
        <v>52.300473217776535</v>
      </c>
      <c r="BE334" s="12">
        <f>[1]节奏总纲!BE334</f>
        <v>57.027529471561998</v>
      </c>
    </row>
    <row r="335" spans="29:57" x14ac:dyDescent="0.15">
      <c r="AC335" s="8">
        <v>332</v>
      </c>
      <c r="AD335" s="12">
        <f>[1]节奏总纲!AD335</f>
        <v>83.788072435813689</v>
      </c>
      <c r="AE335" s="12">
        <f>[1]节奏总纲!AE335</f>
        <v>85.910179979146861</v>
      </c>
      <c r="AF335" s="12">
        <f>[1]节奏总纲!AF335</f>
        <v>88.969406151283977</v>
      </c>
      <c r="AG335" s="12">
        <f>[1]节奏总纲!AG335</f>
        <v>93.952663398122695</v>
      </c>
      <c r="AH335" s="12">
        <f>[1]节奏总纲!AH335</f>
        <v>102.86293620497626</v>
      </c>
      <c r="AZ335" s="8">
        <v>332</v>
      </c>
      <c r="BA335" s="12">
        <f>[1]节奏总纲!BA335</f>
        <v>46.118298087498509</v>
      </c>
      <c r="BB335" s="12">
        <f>[1]节奏总纲!BB335</f>
        <v>47.619147546450023</v>
      </c>
      <c r="BC335" s="12">
        <f>[1]节奏总纲!BC335</f>
        <v>49.567487526707502</v>
      </c>
      <c r="BD335" s="12">
        <f>[1]节奏总纲!BD335</f>
        <v>52.320426558572585</v>
      </c>
      <c r="BE335" s="12">
        <f>[1]节奏总纲!BE335</f>
        <v>57.046713351915365</v>
      </c>
    </row>
    <row r="336" spans="29:57" x14ac:dyDescent="0.15">
      <c r="AC336" s="8">
        <v>333</v>
      </c>
      <c r="AD336" s="12">
        <f>[1]节奏总纲!AD336</f>
        <v>83.832279038242305</v>
      </c>
      <c r="AE336" s="12">
        <f>[1]节奏总纲!AE336</f>
        <v>85.955062395728859</v>
      </c>
      <c r="AF336" s="12">
        <f>[1]节奏总纲!AF336</f>
        <v>89.018779040163423</v>
      </c>
      <c r="AG336" s="12">
        <f>[1]节奏总纲!AG336</f>
        <v>94.001027891564647</v>
      </c>
      <c r="AH336" s="12">
        <f>[1]节奏总纲!AH336</f>
        <v>102.9074657757957</v>
      </c>
      <c r="AZ336" s="8">
        <v>333</v>
      </c>
      <c r="BA336" s="12">
        <f>[1]节奏总纲!BA336</f>
        <v>46.137562130317242</v>
      </c>
      <c r="BB336" s="12">
        <f>[1]节奏总纲!BB336</f>
        <v>47.639935084772922</v>
      </c>
      <c r="BC336" s="12">
        <f>[1]节奏总纲!BC336</f>
        <v>49.588147305704041</v>
      </c>
      <c r="BD336" s="12">
        <f>[1]节奏总纲!BD336</f>
        <v>52.340379899368628</v>
      </c>
      <c r="BE336" s="12">
        <f>[1]节奏总纲!BE336</f>
        <v>57.065897232268732</v>
      </c>
    </row>
    <row r="337" spans="29:57" x14ac:dyDescent="0.15">
      <c r="AC337" s="8">
        <v>334</v>
      </c>
      <c r="AD337" s="12">
        <f>[1]节奏总纲!AD337</f>
        <v>83.876485640670907</v>
      </c>
      <c r="AE337" s="12">
        <f>[1]节奏总纲!AE337</f>
        <v>85.999944812310858</v>
      </c>
      <c r="AF337" s="12">
        <f>[1]节奏总纲!AF337</f>
        <v>89.066031955355442</v>
      </c>
      <c r="AG337" s="12">
        <f>[1]节奏总纲!AG337</f>
        <v>94.045070891220206</v>
      </c>
      <c r="AH337" s="12">
        <f>[1]节奏总纲!AH337</f>
        <v>102.95199534661513</v>
      </c>
      <c r="AZ337" s="8">
        <v>334</v>
      </c>
      <c r="BA337" s="12">
        <f>[1]节奏总纲!BA337</f>
        <v>46.156826173135968</v>
      </c>
      <c r="BB337" s="12">
        <f>[1]节奏总纲!BB337</f>
        <v>47.660722623095815</v>
      </c>
      <c r="BC337" s="12">
        <f>[1]节奏总纲!BC337</f>
        <v>49.608807084700572</v>
      </c>
      <c r="BD337" s="12">
        <f>[1]节奏总纲!BD337</f>
        <v>52.360333240164678</v>
      </c>
      <c r="BE337" s="12">
        <f>[1]节奏总纲!BE337</f>
        <v>57.085081112622099</v>
      </c>
    </row>
    <row r="338" spans="29:57" x14ac:dyDescent="0.15">
      <c r="AC338" s="8">
        <v>335</v>
      </c>
      <c r="AD338" s="12">
        <f>[1]节奏总纲!AD338</f>
        <v>83.920692243099523</v>
      </c>
      <c r="AE338" s="12">
        <f>[1]节奏总纲!AE338</f>
        <v>86.041129946887025</v>
      </c>
      <c r="AF338" s="12">
        <f>[1]节奏总纲!AF338</f>
        <v>89.113284870547446</v>
      </c>
      <c r="AG338" s="12">
        <f>[1]节奏总纲!AG338</f>
        <v>94.089113890875765</v>
      </c>
      <c r="AH338" s="12">
        <f>[1]节奏总纲!AH338</f>
        <v>102.99652491743456</v>
      </c>
      <c r="AZ338" s="8">
        <v>335</v>
      </c>
      <c r="BA338" s="12">
        <f>[1]节奏总纲!BA338</f>
        <v>46.176090215954694</v>
      </c>
      <c r="BB338" s="12">
        <f>[1]节奏总纲!BB338</f>
        <v>47.681510161418707</v>
      </c>
      <c r="BC338" s="12">
        <f>[1]节奏总纲!BC338</f>
        <v>49.629466863697111</v>
      </c>
      <c r="BD338" s="12">
        <f>[1]节奏总纲!BD338</f>
        <v>52.380286580960728</v>
      </c>
      <c r="BE338" s="12">
        <f>[1]节奏总纲!BE338</f>
        <v>57.104264992975466</v>
      </c>
    </row>
    <row r="339" spans="29:57" x14ac:dyDescent="0.15">
      <c r="AC339" s="8">
        <v>336</v>
      </c>
      <c r="AD339" s="12">
        <f>[1]节奏总纲!AD339</f>
        <v>83.964898845528126</v>
      </c>
      <c r="AE339" s="12">
        <f>[1]节奏总纲!AE339</f>
        <v>86.082310529666103</v>
      </c>
      <c r="AF339" s="12">
        <f>[1]节奏总纲!AF339</f>
        <v>89.16053778573945</v>
      </c>
      <c r="AG339" s="12">
        <f>[1]节奏总纲!AG339</f>
        <v>94.133156890531339</v>
      </c>
      <c r="AH339" s="12">
        <f>[1]节奏总纲!AH339</f>
        <v>103.03627054084417</v>
      </c>
      <c r="AZ339" s="8">
        <v>336</v>
      </c>
      <c r="BA339" s="12">
        <f>[1]节奏总纲!BA339</f>
        <v>46.19535425877342</v>
      </c>
      <c r="BB339" s="12">
        <f>[1]节奏总纲!BB339</f>
        <v>47.7022976997416</v>
      </c>
      <c r="BC339" s="12">
        <f>[1]节奏总纲!BC339</f>
        <v>49.65012664269365</v>
      </c>
      <c r="BD339" s="12">
        <f>[1]节奏总纲!BD339</f>
        <v>52.400239921756771</v>
      </c>
      <c r="BE339" s="12">
        <f>[1]节奏总纲!BE339</f>
        <v>57.123448873328833</v>
      </c>
    </row>
    <row r="340" spans="29:57" x14ac:dyDescent="0.15">
      <c r="AC340" s="8">
        <v>337</v>
      </c>
      <c r="AD340" s="12">
        <f>[1]节奏总纲!AD340</f>
        <v>84.008495683346354</v>
      </c>
      <c r="AE340" s="12">
        <f>[1]节奏总纲!AE340</f>
        <v>86.12349111244518</v>
      </c>
      <c r="AF340" s="12">
        <f>[1]节奏总纲!AF340</f>
        <v>89.207790700931454</v>
      </c>
      <c r="AG340" s="12">
        <f>[1]节奏总纲!AG340</f>
        <v>94.177199890186898</v>
      </c>
      <c r="AH340" s="12">
        <f>[1]节奏总纲!AH340</f>
        <v>103.07561122406466</v>
      </c>
      <c r="AZ340" s="8">
        <v>337</v>
      </c>
      <c r="BA340" s="12">
        <f>[1]节奏总纲!BA340</f>
        <v>46.214618301592147</v>
      </c>
      <c r="BB340" s="12">
        <f>[1]节奏总纲!BB340</f>
        <v>47.723085238064499</v>
      </c>
      <c r="BC340" s="12">
        <f>[1]节奏总纲!BC340</f>
        <v>49.670786421690188</v>
      </c>
      <c r="BD340" s="12">
        <f>[1]节奏总纲!BD340</f>
        <v>52.420193262552822</v>
      </c>
      <c r="BE340" s="12">
        <f>[1]节奏总纲!BE340</f>
        <v>57.1426327536822</v>
      </c>
    </row>
    <row r="341" spans="29:57" x14ac:dyDescent="0.15">
      <c r="AC341" s="8">
        <v>338</v>
      </c>
      <c r="AD341" s="12">
        <f>[1]节奏总纲!AD341</f>
        <v>84.049741901856009</v>
      </c>
      <c r="AE341" s="12">
        <f>[1]节奏总纲!AE341</f>
        <v>86.164671695224243</v>
      </c>
      <c r="AF341" s="12">
        <f>[1]节奏总纲!AF341</f>
        <v>89.255043616123459</v>
      </c>
      <c r="AG341" s="12">
        <f>[1]节奏总纲!AG341</f>
        <v>94.221242889842458</v>
      </c>
      <c r="AH341" s="12">
        <f>[1]节奏总纲!AH341</f>
        <v>103.11495190728516</v>
      </c>
      <c r="AZ341" s="8">
        <v>338</v>
      </c>
      <c r="BA341" s="12">
        <f>[1]节奏总纲!BA341</f>
        <v>46.23388234441088</v>
      </c>
      <c r="BB341" s="12">
        <f>[1]节奏总纲!BB341</f>
        <v>47.743872776387391</v>
      </c>
      <c r="BC341" s="12">
        <f>[1]节奏总纲!BC341</f>
        <v>49.69144620068672</v>
      </c>
      <c r="BD341" s="12">
        <f>[1]节奏总纲!BD341</f>
        <v>52.440146603348865</v>
      </c>
      <c r="BE341" s="12">
        <f>[1]节奏总纲!BE341</f>
        <v>57.161816634035567</v>
      </c>
    </row>
    <row r="342" spans="29:57" x14ac:dyDescent="0.15">
      <c r="AC342" s="8">
        <v>339</v>
      </c>
      <c r="AD342" s="12">
        <f>[1]节奏总纲!AD342</f>
        <v>84.090988120365651</v>
      </c>
      <c r="AE342" s="12">
        <f>[1]节奏总纲!AE342</f>
        <v>86.20585227800332</v>
      </c>
      <c r="AF342" s="12">
        <f>[1]节奏总纲!AF342</f>
        <v>89.302296531315463</v>
      </c>
      <c r="AG342" s="12">
        <f>[1]节奏总纲!AG342</f>
        <v>94.265285889498017</v>
      </c>
      <c r="AH342" s="12">
        <f>[1]节奏总纲!AH342</f>
        <v>103.15429259050565</v>
      </c>
      <c r="AZ342" s="8">
        <v>339</v>
      </c>
      <c r="BA342" s="12">
        <f>[1]节奏总纲!BA342</f>
        <v>46.253146387229606</v>
      </c>
      <c r="BB342" s="12">
        <f>[1]节奏总纲!BB342</f>
        <v>47.764660314710284</v>
      </c>
      <c r="BC342" s="12">
        <f>[1]节奏总纲!BC342</f>
        <v>49.712105979683258</v>
      </c>
      <c r="BD342" s="12">
        <f>[1]节奏总纲!BD342</f>
        <v>52.460099944144915</v>
      </c>
      <c r="BE342" s="12">
        <f>[1]节奏总纲!BE342</f>
        <v>57.181000514388934</v>
      </c>
    </row>
    <row r="343" spans="29:57" x14ac:dyDescent="0.15">
      <c r="AC343" s="8">
        <v>340</v>
      </c>
      <c r="AD343" s="12">
        <f>[1]节奏总纲!AD343</f>
        <v>84.132234338875293</v>
      </c>
      <c r="AE343" s="12">
        <f>[1]节奏总纲!AE343</f>
        <v>86.247032860782397</v>
      </c>
      <c r="AF343" s="12">
        <f>[1]节奏总纲!AF343</f>
        <v>89.349549446507467</v>
      </c>
      <c r="AG343" s="12">
        <f>[1]节奏总纲!AG343</f>
        <v>94.309328889153576</v>
      </c>
      <c r="AH343" s="12">
        <f>[1]节奏总纲!AH343</f>
        <v>103.19363327372614</v>
      </c>
      <c r="AZ343" s="8">
        <v>340</v>
      </c>
      <c r="BA343" s="12">
        <f>[1]节奏总纲!BA343</f>
        <v>46.272410430048332</v>
      </c>
      <c r="BB343" s="12">
        <f>[1]节奏总纲!BB343</f>
        <v>47.785447853033176</v>
      </c>
      <c r="BC343" s="12">
        <f>[1]节奏总纲!BC343</f>
        <v>49.732765758679797</v>
      </c>
      <c r="BD343" s="12">
        <f>[1]节奏总纲!BD343</f>
        <v>52.480053284940965</v>
      </c>
      <c r="BE343" s="12">
        <f>[1]节奏总纲!BE343</f>
        <v>57.200184394742301</v>
      </c>
    </row>
    <row r="344" spans="29:57" x14ac:dyDescent="0.15">
      <c r="AC344" s="8">
        <v>341</v>
      </c>
      <c r="AD344" s="12">
        <f>[1]节奏总纲!AD344</f>
        <v>84.173480557384934</v>
      </c>
      <c r="AE344" s="12">
        <f>[1]节奏总纲!AE344</f>
        <v>86.288213443561474</v>
      </c>
      <c r="AF344" s="12">
        <f>[1]节奏总纲!AF344</f>
        <v>89.396802361699486</v>
      </c>
      <c r="AG344" s="12">
        <f>[1]节奏总纲!AG344</f>
        <v>94.35337188880915</v>
      </c>
      <c r="AH344" s="12">
        <f>[1]节奏总纲!AH344</f>
        <v>103.23297395694664</v>
      </c>
      <c r="AZ344" s="8">
        <v>341</v>
      </c>
      <c r="BA344" s="12">
        <f>[1]节奏总纲!BA344</f>
        <v>46.291674472867058</v>
      </c>
      <c r="BB344" s="12">
        <f>[1]节奏总纲!BB344</f>
        <v>47.806235391356068</v>
      </c>
      <c r="BC344" s="12">
        <f>[1]节奏总纲!BC344</f>
        <v>49.753425537676335</v>
      </c>
      <c r="BD344" s="12">
        <f>[1]节奏总纲!BD344</f>
        <v>52.500006625737008</v>
      </c>
      <c r="BE344" s="12">
        <f>[1]节奏总纲!BE344</f>
        <v>57.219368275095675</v>
      </c>
    </row>
    <row r="345" spans="29:57" x14ac:dyDescent="0.15">
      <c r="AC345" s="8">
        <v>342</v>
      </c>
      <c r="AD345" s="12">
        <f>[1]节奏总纲!AD345</f>
        <v>84.214726775894576</v>
      </c>
      <c r="AE345" s="12">
        <f>[1]节奏总纲!AE345</f>
        <v>86.329394026340537</v>
      </c>
      <c r="AF345" s="12">
        <f>[1]节奏总纲!AF345</f>
        <v>89.44405527689149</v>
      </c>
      <c r="AG345" s="12">
        <f>[1]节奏总纲!AG345</f>
        <v>94.397414888464709</v>
      </c>
      <c r="AH345" s="12">
        <f>[1]节奏总纲!AH345</f>
        <v>103.27231464016712</v>
      </c>
      <c r="AZ345" s="8">
        <v>342</v>
      </c>
      <c r="BA345" s="12">
        <f>[1]节奏总纲!BA345</f>
        <v>46.310938515685784</v>
      </c>
      <c r="BB345" s="12">
        <f>[1]节奏总纲!BB345</f>
        <v>47.827022929678968</v>
      </c>
      <c r="BC345" s="12">
        <f>[1]节奏总纲!BC345</f>
        <v>49.774085316672867</v>
      </c>
      <c r="BD345" s="12">
        <f>[1]节奏总纲!BD345</f>
        <v>52.519959966533058</v>
      </c>
      <c r="BE345" s="12">
        <f>[1]节奏总纲!BE345</f>
        <v>57.238552155449042</v>
      </c>
    </row>
    <row r="346" spans="29:57" x14ac:dyDescent="0.15">
      <c r="AC346" s="8">
        <v>343</v>
      </c>
      <c r="AD346" s="12">
        <f>[1]节奏总纲!AD346</f>
        <v>84.255972994404218</v>
      </c>
      <c r="AE346" s="12">
        <f>[1]节奏总纲!AE346</f>
        <v>86.370574609119615</v>
      </c>
      <c r="AF346" s="12">
        <f>[1]节奏总纲!AF346</f>
        <v>89.491308192083494</v>
      </c>
      <c r="AG346" s="12">
        <f>[1]节奏总纲!AG346</f>
        <v>94.441457888120269</v>
      </c>
      <c r="AH346" s="12">
        <f>[1]节奏总纲!AH346</f>
        <v>103.31165532338761</v>
      </c>
      <c r="AZ346" s="8">
        <v>343</v>
      </c>
      <c r="BA346" s="12">
        <f>[1]节奏总纲!BA346</f>
        <v>46.330202558504517</v>
      </c>
      <c r="BB346" s="12">
        <f>[1]节奏总纲!BB346</f>
        <v>47.84781046800186</v>
      </c>
      <c r="BC346" s="12">
        <f>[1]节奏总纲!BC346</f>
        <v>49.794745095669406</v>
      </c>
      <c r="BD346" s="12">
        <f>[1]节奏总纲!BD346</f>
        <v>52.539913307329101</v>
      </c>
      <c r="BE346" s="12">
        <f>[1]节奏总纲!BE346</f>
        <v>57.257736035802409</v>
      </c>
    </row>
    <row r="347" spans="29:57" x14ac:dyDescent="0.15">
      <c r="AC347" s="8">
        <v>344</v>
      </c>
      <c r="AD347" s="12">
        <f>[1]节奏总纲!AD347</f>
        <v>84.297219212913859</v>
      </c>
      <c r="AE347" s="12">
        <f>[1]节奏总纲!AE347</f>
        <v>86.411755191898692</v>
      </c>
      <c r="AF347" s="12">
        <f>[1]节奏总纲!AF347</f>
        <v>89.538561107275498</v>
      </c>
      <c r="AG347" s="12">
        <f>[1]节奏总纲!AG347</f>
        <v>94.485500887775828</v>
      </c>
      <c r="AH347" s="12">
        <f>[1]节奏总纲!AH347</f>
        <v>103.35099600660811</v>
      </c>
      <c r="AZ347" s="8">
        <v>344</v>
      </c>
      <c r="BA347" s="12">
        <f>[1]节奏总纲!BA347</f>
        <v>46.349466601323243</v>
      </c>
      <c r="BB347" s="12">
        <f>[1]节奏总纲!BB347</f>
        <v>47.868598006324753</v>
      </c>
      <c r="BC347" s="12">
        <f>[1]节奏总纲!BC347</f>
        <v>49.815404874665944</v>
      </c>
      <c r="BD347" s="12">
        <f>[1]节奏总纲!BD347</f>
        <v>52.559866648125151</v>
      </c>
      <c r="BE347" s="12">
        <f>[1]节奏总纲!BE347</f>
        <v>57.276919916155776</v>
      </c>
    </row>
    <row r="348" spans="29:57" x14ac:dyDescent="0.15">
      <c r="AC348" s="8">
        <v>345</v>
      </c>
      <c r="AD348" s="12">
        <f>[1]节奏总纲!AD348</f>
        <v>84.338465431423501</v>
      </c>
      <c r="AE348" s="12">
        <f>[1]节奏总纲!AE348</f>
        <v>86.452935774677769</v>
      </c>
      <c r="AF348" s="12">
        <f>[1]节奏总纲!AF348</f>
        <v>89.585814022467503</v>
      </c>
      <c r="AG348" s="12">
        <f>[1]节奏总纲!AG348</f>
        <v>94.529543887431387</v>
      </c>
      <c r="AH348" s="12">
        <f>[1]节奏总纲!AH348</f>
        <v>103.3903366898286</v>
      </c>
      <c r="AZ348" s="8">
        <v>345</v>
      </c>
      <c r="BA348" s="12">
        <f>[1]节奏总纲!BA348</f>
        <v>46.368730644141969</v>
      </c>
      <c r="BB348" s="12">
        <f>[1]节奏总纲!BB348</f>
        <v>47.889385544647645</v>
      </c>
      <c r="BC348" s="12">
        <f>[1]节奏总纲!BC348</f>
        <v>49.836064653662483</v>
      </c>
      <c r="BD348" s="12">
        <f>[1]节奏总纲!BD348</f>
        <v>52.579819988921201</v>
      </c>
      <c r="BE348" s="12">
        <f>[1]节奏总纲!BE348</f>
        <v>57.296103796509144</v>
      </c>
    </row>
    <row r="349" spans="29:57" x14ac:dyDescent="0.15">
      <c r="AC349" s="8">
        <v>346</v>
      </c>
      <c r="AD349" s="12">
        <f>[1]节奏总纲!AD349</f>
        <v>84.379711649933142</v>
      </c>
      <c r="AE349" s="12">
        <f>[1]节奏总纲!AE349</f>
        <v>86.494116357456846</v>
      </c>
      <c r="AF349" s="12">
        <f>[1]节奏总纲!AF349</f>
        <v>89.633066937659507</v>
      </c>
      <c r="AG349" s="12">
        <f>[1]节奏总纲!AG349</f>
        <v>94.573586887086947</v>
      </c>
      <c r="AH349" s="12">
        <f>[1]节奏总纲!AH349</f>
        <v>103.42967737304909</v>
      </c>
      <c r="AZ349" s="8">
        <v>346</v>
      </c>
      <c r="BA349" s="12">
        <f>[1]节奏总纲!BA349</f>
        <v>46.387994686960695</v>
      </c>
      <c r="BB349" s="12">
        <f>[1]节奏总纲!BB349</f>
        <v>47.910173082970537</v>
      </c>
      <c r="BC349" s="12">
        <f>[1]节奏总纲!BC349</f>
        <v>49.856724432659014</v>
      </c>
      <c r="BD349" s="12">
        <f>[1]节奏总纲!BD349</f>
        <v>52.599773329717245</v>
      </c>
      <c r="BE349" s="12">
        <f>[1]节奏总纲!BE349</f>
        <v>57.315287676862511</v>
      </c>
    </row>
    <row r="350" spans="29:57" x14ac:dyDescent="0.15">
      <c r="AC350" s="8">
        <v>347</v>
      </c>
      <c r="AD350" s="12">
        <f>[1]节奏总纲!AD350</f>
        <v>84.420957868442784</v>
      </c>
      <c r="AE350" s="12">
        <f>[1]节奏总纲!AE350</f>
        <v>86.535296940235909</v>
      </c>
      <c r="AF350" s="12">
        <f>[1]节奏总纲!AF350</f>
        <v>89.680319852851511</v>
      </c>
      <c r="AG350" s="12">
        <f>[1]节奏总纲!AG350</f>
        <v>94.61762988674252</v>
      </c>
      <c r="AH350" s="12">
        <f>[1]节奏总纲!AH350</f>
        <v>103.46901805626959</v>
      </c>
      <c r="AZ350" s="8">
        <v>347</v>
      </c>
      <c r="BA350" s="12">
        <f>[1]节奏总纲!BA350</f>
        <v>46.407258729779421</v>
      </c>
      <c r="BB350" s="12">
        <f>[1]节奏总纲!BB350</f>
        <v>47.930960621293437</v>
      </c>
      <c r="BC350" s="12">
        <f>[1]节奏总纲!BC350</f>
        <v>49.877384211655553</v>
      </c>
      <c r="BD350" s="12">
        <f>[1]节奏总纲!BD350</f>
        <v>52.619726670513295</v>
      </c>
      <c r="BE350" s="12">
        <f>[1]节奏总纲!BE350</f>
        <v>57.334471557215878</v>
      </c>
    </row>
    <row r="351" spans="29:57" x14ac:dyDescent="0.15">
      <c r="AC351" s="8">
        <v>348</v>
      </c>
      <c r="AD351" s="12">
        <f>[1]节奏总纲!AD351</f>
        <v>84.462204086952426</v>
      </c>
      <c r="AE351" s="12">
        <f>[1]节奏总纲!AE351</f>
        <v>86.576477523014987</v>
      </c>
      <c r="AF351" s="12">
        <f>[1]节奏总纲!AF351</f>
        <v>89.72757276804353</v>
      </c>
      <c r="AG351" s="12">
        <f>[1]节奏总纲!AG351</f>
        <v>94.66167288639808</v>
      </c>
      <c r="AH351" s="12">
        <f>[1]节奏总纲!AH351</f>
        <v>103.50835873949008</v>
      </c>
      <c r="AZ351" s="8">
        <v>348</v>
      </c>
      <c r="BA351" s="12">
        <f>[1]节奏总纲!BA351</f>
        <v>46.426522772598148</v>
      </c>
      <c r="BB351" s="12">
        <f>[1]节奏总纲!BB351</f>
        <v>47.951748159616329</v>
      </c>
      <c r="BC351" s="12">
        <f>[1]节奏总纲!BC351</f>
        <v>49.898043990652091</v>
      </c>
      <c r="BD351" s="12">
        <f>[1]节奏总纲!BD351</f>
        <v>52.639680011309345</v>
      </c>
      <c r="BE351" s="12">
        <f>[1]节奏总纲!BE351</f>
        <v>57.353655437569245</v>
      </c>
    </row>
    <row r="352" spans="29:57" x14ac:dyDescent="0.15">
      <c r="AC352" s="8">
        <v>349</v>
      </c>
      <c r="AD352" s="12">
        <f>[1]节奏总纲!AD352</f>
        <v>84.503450305462081</v>
      </c>
      <c r="AE352" s="12">
        <f>[1]节奏总纲!AE352</f>
        <v>86.617658105794064</v>
      </c>
      <c r="AF352" s="12">
        <f>[1]节奏总纲!AF352</f>
        <v>89.774825683235534</v>
      </c>
      <c r="AG352" s="12">
        <f>[1]节奏总纲!AG352</f>
        <v>94.705715886053639</v>
      </c>
      <c r="AH352" s="12">
        <f>[1]节奏总纲!AH352</f>
        <v>103.54769942271056</v>
      </c>
      <c r="AZ352" s="8">
        <v>349</v>
      </c>
      <c r="BA352" s="12">
        <f>[1]节奏总纲!BA352</f>
        <v>46.445786815416881</v>
      </c>
      <c r="BB352" s="12">
        <f>[1]节奏总纲!BB352</f>
        <v>47.972535697939222</v>
      </c>
      <c r="BC352" s="12">
        <f>[1]节奏总纲!BC352</f>
        <v>49.91870376964863</v>
      </c>
      <c r="BD352" s="12">
        <f>[1]节奏总纲!BD352</f>
        <v>52.659633352105388</v>
      </c>
      <c r="BE352" s="12">
        <f>[1]节奏总纲!BE352</f>
        <v>57.372839317922612</v>
      </c>
    </row>
    <row r="353" spans="29:57" x14ac:dyDescent="0.15">
      <c r="AC353" s="8">
        <v>350</v>
      </c>
      <c r="AD353" s="12">
        <f>[1]节奏总纲!AD353</f>
        <v>84.544696523971723</v>
      </c>
      <c r="AE353" s="12">
        <f>[1]节奏总纲!AE353</f>
        <v>86.658838688573141</v>
      </c>
      <c r="AF353" s="12">
        <f>[1]节奏总纲!AF353</f>
        <v>89.822078598427538</v>
      </c>
      <c r="AG353" s="12">
        <f>[1]节奏总纲!AG353</f>
        <v>94.749758885709198</v>
      </c>
      <c r="AH353" s="12">
        <f>[1]节奏总纲!AH353</f>
        <v>103.58704010593105</v>
      </c>
      <c r="AZ353" s="8">
        <v>350</v>
      </c>
      <c r="BA353" s="12">
        <f>[1]节奏总纲!BA353</f>
        <v>46.465050858235607</v>
      </c>
      <c r="BB353" s="12">
        <f>[1]节奏总纲!BB353</f>
        <v>47.993323236262114</v>
      </c>
      <c r="BC353" s="12">
        <f>[1]节奏总纲!BC353</f>
        <v>49.939363548645169</v>
      </c>
      <c r="BD353" s="12">
        <f>[1]节奏总纲!BD353</f>
        <v>52.679586692901438</v>
      </c>
      <c r="BE353" s="12">
        <f>[1]节奏总纲!BE353</f>
        <v>57.392023198275979</v>
      </c>
    </row>
    <row r="354" spans="29:57" x14ac:dyDescent="0.15">
      <c r="AC354" s="8">
        <v>351</v>
      </c>
      <c r="AD354" s="12">
        <f>[1]节奏总纲!AD354</f>
        <v>84.585942742481365</v>
      </c>
      <c r="AE354" s="12">
        <f>[1]节奏总纲!AE354</f>
        <v>86.700019271352204</v>
      </c>
      <c r="AF354" s="12">
        <f>[1]节奏总纲!AF354</f>
        <v>89.869331513619542</v>
      </c>
      <c r="AG354" s="12">
        <f>[1]节奏总纲!AG354</f>
        <v>94.793801885364758</v>
      </c>
      <c r="AH354" s="12">
        <f>[1]节奏总纲!AH354</f>
        <v>103.62638078915155</v>
      </c>
      <c r="AZ354" s="8">
        <v>351</v>
      </c>
      <c r="BA354" s="12">
        <f>[1]节奏总纲!BA354</f>
        <v>46.484314901054333</v>
      </c>
      <c r="BB354" s="12">
        <f>[1]节奏总纲!BB354</f>
        <v>48.012182251254622</v>
      </c>
      <c r="BC354" s="12">
        <f>[1]节奏总纲!BC354</f>
        <v>49.9600233276417</v>
      </c>
      <c r="BD354" s="12">
        <f>[1]节奏总纲!BD354</f>
        <v>52.699540033697481</v>
      </c>
      <c r="BE354" s="12">
        <f>[1]节奏总纲!BE354</f>
        <v>57.411207078629346</v>
      </c>
    </row>
    <row r="355" spans="29:57" x14ac:dyDescent="0.15">
      <c r="AC355" s="8">
        <v>352</v>
      </c>
      <c r="AD355" s="12">
        <f>[1]节奏总纲!AD355</f>
        <v>84.627188960991006</v>
      </c>
      <c r="AE355" s="12">
        <f>[1]节奏总纲!AE355</f>
        <v>86.741199854131281</v>
      </c>
      <c r="AF355" s="12">
        <f>[1]节奏总纲!AF355</f>
        <v>89.916584428811547</v>
      </c>
      <c r="AG355" s="12">
        <f>[1]节奏总纲!AG355</f>
        <v>94.837844885020331</v>
      </c>
      <c r="AH355" s="12">
        <f>[1]节奏总纲!AH355</f>
        <v>103.66572147237204</v>
      </c>
      <c r="AZ355" s="8">
        <v>352</v>
      </c>
      <c r="BA355" s="12">
        <f>[1]节奏总纲!BA355</f>
        <v>46.503578943873059</v>
      </c>
      <c r="BB355" s="12">
        <f>[1]节奏总纲!BB355</f>
        <v>48.030128751164234</v>
      </c>
      <c r="BC355" s="12">
        <f>[1]节奏总纲!BC355</f>
        <v>49.980683106638239</v>
      </c>
      <c r="BD355" s="12">
        <f>[1]节奏总纲!BD355</f>
        <v>52.719493374493531</v>
      </c>
      <c r="BE355" s="12">
        <f>[1]节奏总纲!BE355</f>
        <v>57.430390958982713</v>
      </c>
    </row>
    <row r="356" spans="29:57" x14ac:dyDescent="0.15">
      <c r="AC356" s="8">
        <v>353</v>
      </c>
      <c r="AD356" s="12">
        <f>[1]节奏总纲!AD356</f>
        <v>84.668435179500648</v>
      </c>
      <c r="AE356" s="12">
        <f>[1]节奏总纲!AE356</f>
        <v>86.782380436910358</v>
      </c>
      <c r="AF356" s="12">
        <f>[1]节奏总纲!AF356</f>
        <v>89.963837344003551</v>
      </c>
      <c r="AG356" s="12">
        <f>[1]节奏总纲!AG356</f>
        <v>94.881887884675891</v>
      </c>
      <c r="AH356" s="12">
        <f>[1]节奏总纲!AH356</f>
        <v>103.70506215559253</v>
      </c>
      <c r="AZ356" s="8">
        <v>353</v>
      </c>
      <c r="BA356" s="12">
        <f>[1]节奏总纲!BA356</f>
        <v>46.522842986691785</v>
      </c>
      <c r="BB356" s="12">
        <f>[1]节奏总纲!BB356</f>
        <v>48.048075251073854</v>
      </c>
      <c r="BC356" s="12">
        <f>[1]节奏总纲!BC356</f>
        <v>50.00115951426713</v>
      </c>
      <c r="BD356" s="12">
        <f>[1]节奏总纲!BD356</f>
        <v>52.739446715289581</v>
      </c>
      <c r="BE356" s="12">
        <f>[1]节奏总纲!BE356</f>
        <v>57.44957483933608</v>
      </c>
    </row>
    <row r="357" spans="29:57" x14ac:dyDescent="0.15">
      <c r="AC357" s="8">
        <v>354</v>
      </c>
      <c r="AD357" s="12">
        <f>[1]节奏总纲!AD357</f>
        <v>84.709681398010289</v>
      </c>
      <c r="AE357" s="12">
        <f>[1]节奏总纲!AE357</f>
        <v>86.823561019689436</v>
      </c>
      <c r="AF357" s="12">
        <f>[1]节奏总纲!AF357</f>
        <v>90.009512113271555</v>
      </c>
      <c r="AG357" s="12">
        <f>[1]节奏总纲!AG357</f>
        <v>94.92593088433145</v>
      </c>
      <c r="AH357" s="12">
        <f>[1]节奏总纲!AH357</f>
        <v>103.74440283881303</v>
      </c>
      <c r="AZ357" s="8">
        <v>354</v>
      </c>
      <c r="BA357" s="12">
        <f>[1]节奏总纲!BA357</f>
        <v>46.542107029510518</v>
      </c>
      <c r="BB357" s="12">
        <f>[1]节奏总纲!BB357</f>
        <v>48.066021750983474</v>
      </c>
      <c r="BC357" s="12">
        <f>[1]节奏总纲!BC357</f>
        <v>50.018998195299922</v>
      </c>
      <c r="BD357" s="12">
        <f>[1]节奏总纲!BD357</f>
        <v>52.759400056085624</v>
      </c>
      <c r="BE357" s="12">
        <f>[1]节奏总纲!BE357</f>
        <v>57.468758719689447</v>
      </c>
    </row>
    <row r="358" spans="29:57" x14ac:dyDescent="0.15">
      <c r="AC358" s="8">
        <v>355</v>
      </c>
      <c r="AD358" s="12">
        <f>[1]节奏总纲!AD358</f>
        <v>84.750927616519931</v>
      </c>
      <c r="AE358" s="12">
        <f>[1]节奏总纲!AE358</f>
        <v>86.864741602468499</v>
      </c>
      <c r="AF358" s="12">
        <f>[1]节奏总纲!AF358</f>
        <v>90.050040929937737</v>
      </c>
      <c r="AG358" s="12">
        <f>[1]节奏总纲!AG358</f>
        <v>94.969973883987009</v>
      </c>
      <c r="AH358" s="12">
        <f>[1]节奏总纲!AH358</f>
        <v>103.78374352203352</v>
      </c>
      <c r="AZ358" s="8">
        <v>355</v>
      </c>
      <c r="BA358" s="12">
        <f>[1]节奏总纲!BA358</f>
        <v>46.561371072329244</v>
      </c>
      <c r="BB358" s="12">
        <f>[1]节奏总纲!BB358</f>
        <v>48.083968250893093</v>
      </c>
      <c r="BC358" s="12">
        <f>[1]节奏总纲!BC358</f>
        <v>50.036836876332707</v>
      </c>
      <c r="BD358" s="12">
        <f>[1]节奏总纲!BD358</f>
        <v>52.779353396881675</v>
      </c>
      <c r="BE358" s="12">
        <f>[1]节奏总纲!BE358</f>
        <v>57.487942600042821</v>
      </c>
    </row>
    <row r="359" spans="29:57" x14ac:dyDescent="0.15">
      <c r="AC359" s="8">
        <v>356</v>
      </c>
      <c r="AD359" s="12">
        <f>[1]节奏总纲!AD359</f>
        <v>84.792173835029573</v>
      </c>
      <c r="AE359" s="12">
        <f>[1]节奏总纲!AE359</f>
        <v>86.905922185247576</v>
      </c>
      <c r="AF359" s="12">
        <f>[1]节奏总纲!AF359</f>
        <v>90.090569746603933</v>
      </c>
      <c r="AG359" s="12">
        <f>[1]节奏总纲!AG359</f>
        <v>95.012878924987305</v>
      </c>
      <c r="AH359" s="12">
        <f>[1]节奏总纲!AH359</f>
        <v>103.82308420525401</v>
      </c>
      <c r="AZ359" s="8">
        <v>356</v>
      </c>
      <c r="BA359" s="12">
        <f>[1]节奏总纲!BA359</f>
        <v>46.58063511514797</v>
      </c>
      <c r="BB359" s="12">
        <f>[1]节奏总纲!BB359</f>
        <v>48.101914750802706</v>
      </c>
      <c r="BC359" s="12">
        <f>[1]节奏总纲!BC359</f>
        <v>50.054675557365492</v>
      </c>
      <c r="BD359" s="12">
        <f>[1]节奏总纲!BD359</f>
        <v>52.799306737677718</v>
      </c>
      <c r="BE359" s="12">
        <f>[1]节奏总纲!BE359</f>
        <v>57.507126480396188</v>
      </c>
    </row>
    <row r="360" spans="29:57" x14ac:dyDescent="0.15">
      <c r="AC360" s="8">
        <v>357</v>
      </c>
      <c r="AD360" s="12">
        <f>[1]节奏总纲!AD360</f>
        <v>84.833420053539214</v>
      </c>
      <c r="AE360" s="12">
        <f>[1]节奏总纲!AE360</f>
        <v>86.947102768026653</v>
      </c>
      <c r="AF360" s="12">
        <f>[1]节奏总纲!AF360</f>
        <v>90.131098563270129</v>
      </c>
      <c r="AG360" s="12">
        <f>[1]节奏总纲!AG360</f>
        <v>95.053346300136027</v>
      </c>
      <c r="AH360" s="12">
        <f>[1]节奏总纲!AH360</f>
        <v>103.86242488847451</v>
      </c>
      <c r="AZ360" s="8">
        <v>357</v>
      </c>
      <c r="BA360" s="12">
        <f>[1]节奏总纲!BA360</f>
        <v>46.599899157966696</v>
      </c>
      <c r="BB360" s="12">
        <f>[1]节奏总纲!BB360</f>
        <v>48.119861250712326</v>
      </c>
      <c r="BC360" s="12">
        <f>[1]节奏总纲!BC360</f>
        <v>50.072514238398277</v>
      </c>
      <c r="BD360" s="12">
        <f>[1]节奏总纲!BD360</f>
        <v>52.819260078473768</v>
      </c>
      <c r="BE360" s="12">
        <f>[1]节奏总纲!BE360</f>
        <v>57.526310360749555</v>
      </c>
    </row>
    <row r="361" spans="29:57" x14ac:dyDescent="0.15">
      <c r="AC361" s="8">
        <v>358</v>
      </c>
      <c r="AD361" s="12">
        <f>[1]节奏总纲!AD361</f>
        <v>84.874666272048856</v>
      </c>
      <c r="AE361" s="12">
        <f>[1]节奏总纲!AE361</f>
        <v>86.98828335080573</v>
      </c>
      <c r="AF361" s="12">
        <f>[1]节奏总纲!AF361</f>
        <v>90.171627379936311</v>
      </c>
      <c r="AG361" s="12">
        <f>[1]节奏总纲!AG361</f>
        <v>95.09381367528475</v>
      </c>
      <c r="AH361" s="12">
        <f>[1]节奏总纲!AH361</f>
        <v>103.90176557169499</v>
      </c>
      <c r="AZ361" s="8">
        <v>358</v>
      </c>
      <c r="BA361" s="12">
        <f>[1]节奏总纲!BA361</f>
        <v>46.619163200785422</v>
      </c>
      <c r="BB361" s="12">
        <f>[1]节奏总纲!BB361</f>
        <v>48.137807750621946</v>
      </c>
      <c r="BC361" s="12">
        <f>[1]节奏总纲!BC361</f>
        <v>50.090352919431069</v>
      </c>
      <c r="BD361" s="12">
        <f>[1]节奏总纲!BD361</f>
        <v>52.839213419269818</v>
      </c>
      <c r="BE361" s="12">
        <f>[1]节奏总纲!BE361</f>
        <v>57.545494241102922</v>
      </c>
    </row>
    <row r="362" spans="29:57" x14ac:dyDescent="0.15">
      <c r="AC362" s="8">
        <v>359</v>
      </c>
      <c r="AD362" s="12">
        <f>[1]节奏总纲!AD362</f>
        <v>84.915912490558497</v>
      </c>
      <c r="AE362" s="12">
        <f>[1]节奏总纲!AE362</f>
        <v>87.027010646912942</v>
      </c>
      <c r="AF362" s="12">
        <f>[1]节奏总纲!AF362</f>
        <v>90.212156196602507</v>
      </c>
      <c r="AG362" s="12">
        <f>[1]节奏总纲!AG362</f>
        <v>95.134281050433472</v>
      </c>
      <c r="AH362" s="12">
        <f>[1]节奏总纲!AH362</f>
        <v>103.94110625491548</v>
      </c>
      <c r="AZ362" s="8">
        <v>359</v>
      </c>
      <c r="BA362" s="12">
        <f>[1]节奏总纲!BA362</f>
        <v>46.638427243604156</v>
      </c>
      <c r="BB362" s="12">
        <f>[1]节奏总纲!BB362</f>
        <v>48.155754250531558</v>
      </c>
      <c r="BC362" s="12">
        <f>[1]节奏总纲!BC362</f>
        <v>50.108191600463854</v>
      </c>
      <c r="BD362" s="12">
        <f>[1]节奏总纲!BD362</f>
        <v>52.859166760065861</v>
      </c>
      <c r="BE362" s="12">
        <f>[1]节奏总纲!BE362</f>
        <v>57.564678121456289</v>
      </c>
    </row>
    <row r="363" spans="29:57" x14ac:dyDescent="0.15">
      <c r="AC363" s="8">
        <v>360</v>
      </c>
      <c r="AD363" s="12">
        <f>[1]节奏总纲!AD363</f>
        <v>84.957158709068153</v>
      </c>
      <c r="AE363" s="12">
        <f>[1]节奏总纲!AE363</f>
        <v>87.064762367263285</v>
      </c>
      <c r="AF363" s="12">
        <f>[1]节奏总纲!AF363</f>
        <v>90.252685013268689</v>
      </c>
      <c r="AG363" s="12">
        <f>[1]节奏总纲!AG363</f>
        <v>95.174748425582194</v>
      </c>
      <c r="AH363" s="12">
        <f>[1]节奏总纲!AH363</f>
        <v>103.98044693813598</v>
      </c>
      <c r="AZ363" s="8">
        <v>360</v>
      </c>
      <c r="BA363" s="12">
        <f>[1]节奏总纲!BA363</f>
        <v>46.657691286422882</v>
      </c>
      <c r="BB363" s="12">
        <f>[1]节奏总纲!BB363</f>
        <v>48.173700750441178</v>
      </c>
      <c r="BC363" s="12">
        <f>[1]节奏总纲!BC363</f>
        <v>50.126030281496639</v>
      </c>
      <c r="BD363" s="12">
        <f>[1]节奏总纲!BD363</f>
        <v>52.879120100861911</v>
      </c>
      <c r="BE363" s="12">
        <f>[1]节奏总纲!BE363</f>
        <v>57.583862001809656</v>
      </c>
    </row>
  </sheetData>
  <mergeCells count="14">
    <mergeCell ref="BJ2:BN2"/>
    <mergeCell ref="B22:D22"/>
    <mergeCell ref="W2:AA2"/>
    <mergeCell ref="AD2:AH2"/>
    <mergeCell ref="AM2:AQ2"/>
    <mergeCell ref="AT2:AX2"/>
    <mergeCell ref="BA2:BE2"/>
    <mergeCell ref="B6:D6"/>
    <mergeCell ref="F1:F2"/>
    <mergeCell ref="G1:G2"/>
    <mergeCell ref="I1:I2"/>
    <mergeCell ref="J1:J2"/>
    <mergeCell ref="K1:K2"/>
    <mergeCell ref="P2:T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E4D11-369C-42C7-B0B9-17BD8A2EDB7C}">
  <sheetPr codeName="Sheet3"/>
  <dimension ref="B3:R31"/>
  <sheetViews>
    <sheetView workbookViewId="0">
      <selection activeCell="P26" sqref="P26"/>
    </sheetView>
  </sheetViews>
  <sheetFormatPr defaultColWidth="6.625" defaultRowHeight="11.25" x14ac:dyDescent="0.15"/>
  <cols>
    <col min="1" max="1" width="6.625" style="16"/>
    <col min="2" max="8" width="6.625" style="26"/>
    <col min="9" max="10" width="6.625" style="16"/>
    <col min="11" max="11" width="6.625" style="26"/>
    <col min="12" max="16384" width="6.625" style="16"/>
  </cols>
  <sheetData>
    <row r="3" spans="4:18" x14ac:dyDescent="0.15">
      <c r="R3" s="34"/>
    </row>
    <row r="4" spans="4:18" x14ac:dyDescent="0.15">
      <c r="D4" s="35" t="s">
        <v>137</v>
      </c>
      <c r="E4" s="22"/>
      <c r="F4" s="4"/>
      <c r="G4" s="4"/>
      <c r="H4" s="4"/>
      <c r="L4" s="35" t="s">
        <v>102</v>
      </c>
      <c r="M4" s="22"/>
      <c r="R4" s="34"/>
    </row>
    <row r="5" spans="4:18" x14ac:dyDescent="0.15">
      <c r="D5" s="4"/>
      <c r="E5" s="4"/>
      <c r="F5" s="4"/>
      <c r="G5" s="4"/>
      <c r="H5" s="4"/>
      <c r="I5" s="4"/>
      <c r="R5" s="34"/>
    </row>
    <row r="6" spans="4:18" x14ac:dyDescent="0.15">
      <c r="D6" s="4"/>
      <c r="E6" s="4"/>
      <c r="F6" s="4"/>
      <c r="G6" s="4"/>
      <c r="H6" s="4"/>
      <c r="I6" s="4"/>
      <c r="R6" s="34"/>
    </row>
    <row r="7" spans="4:18" x14ac:dyDescent="0.15">
      <c r="D7" s="29" t="s">
        <v>136</v>
      </c>
      <c r="E7" s="29" t="s">
        <v>138</v>
      </c>
      <c r="F7" s="29" t="s">
        <v>105</v>
      </c>
      <c r="G7" s="29" t="s">
        <v>125</v>
      </c>
      <c r="H7" s="44" t="s">
        <v>126</v>
      </c>
      <c r="I7" s="45"/>
      <c r="L7" s="20" t="s">
        <v>96</v>
      </c>
      <c r="M7" s="20" t="s">
        <v>97</v>
      </c>
      <c r="R7" s="34"/>
    </row>
    <row r="8" spans="4:18" x14ac:dyDescent="0.15">
      <c r="D8" s="29">
        <f>2/F8</f>
        <v>5.6338028169014088E-3</v>
      </c>
      <c r="E8" s="29">
        <f>F8*$D$8</f>
        <v>2</v>
      </c>
      <c r="F8" s="29">
        <v>355</v>
      </c>
      <c r="G8" s="29">
        <v>3</v>
      </c>
      <c r="H8" s="29">
        <v>-322</v>
      </c>
      <c r="I8" s="29">
        <v>330</v>
      </c>
      <c r="L8" s="23" t="s">
        <v>121</v>
      </c>
      <c r="M8" s="20">
        <v>10</v>
      </c>
      <c r="R8" s="34"/>
    </row>
    <row r="9" spans="4:18" x14ac:dyDescent="0.15">
      <c r="D9" s="29"/>
      <c r="E9" s="29">
        <f t="shared" ref="E9:E10" si="0">F9*$D$8</f>
        <v>1.4084507042253522</v>
      </c>
      <c r="F9" s="29">
        <v>250</v>
      </c>
      <c r="G9" s="29">
        <v>2</v>
      </c>
      <c r="H9" s="29">
        <v>-421</v>
      </c>
      <c r="I9" s="29">
        <v>421</v>
      </c>
      <c r="L9" s="23" t="s">
        <v>122</v>
      </c>
      <c r="M9" s="20">
        <v>50</v>
      </c>
      <c r="R9" s="34"/>
    </row>
    <row r="10" spans="4:18" x14ac:dyDescent="0.15">
      <c r="D10" s="29"/>
      <c r="E10" s="29">
        <f t="shared" si="0"/>
        <v>0.61971830985915499</v>
      </c>
      <c r="F10" s="29">
        <v>110</v>
      </c>
      <c r="G10" s="29">
        <v>1</v>
      </c>
      <c r="H10" s="29">
        <v>-530</v>
      </c>
      <c r="I10" s="29">
        <v>530</v>
      </c>
      <c r="L10" s="23" t="s">
        <v>98</v>
      </c>
      <c r="M10" s="20">
        <v>100</v>
      </c>
      <c r="R10" s="34"/>
    </row>
    <row r="11" spans="4:18" x14ac:dyDescent="0.15">
      <c r="D11" s="29"/>
      <c r="E11" s="29"/>
      <c r="F11" s="29"/>
      <c r="G11" s="29"/>
      <c r="H11" s="29"/>
      <c r="I11" s="29"/>
      <c r="L11" s="23" t="s">
        <v>123</v>
      </c>
      <c r="M11" s="20">
        <v>200</v>
      </c>
      <c r="R11" s="34"/>
    </row>
    <row r="12" spans="4:18" x14ac:dyDescent="0.15">
      <c r="D12" s="29"/>
      <c r="E12" s="29"/>
      <c r="F12" s="29"/>
      <c r="G12" s="29"/>
      <c r="H12" s="29"/>
      <c r="I12" s="29"/>
      <c r="L12" s="23" t="s">
        <v>124</v>
      </c>
      <c r="M12" s="20">
        <v>500</v>
      </c>
      <c r="R12" s="34"/>
    </row>
    <row r="13" spans="4:18" x14ac:dyDescent="0.15">
      <c r="D13" s="29"/>
      <c r="E13" s="29"/>
      <c r="F13" s="29"/>
      <c r="G13" s="29"/>
      <c r="H13" s="29"/>
      <c r="I13" s="29"/>
      <c r="L13" s="21"/>
      <c r="M13" s="21"/>
    </row>
    <row r="14" spans="4:18" x14ac:dyDescent="0.15">
      <c r="D14" s="29"/>
      <c r="E14" s="29"/>
      <c r="F14" s="29"/>
      <c r="G14" s="29"/>
      <c r="H14" s="29"/>
      <c r="I14" s="29"/>
      <c r="L14" s="21"/>
      <c r="M14" s="21"/>
    </row>
    <row r="15" spans="4:18" x14ac:dyDescent="0.15">
      <c r="D15" s="29"/>
      <c r="E15" s="29"/>
      <c r="F15" s="29"/>
      <c r="G15" s="29"/>
      <c r="H15" s="29"/>
      <c r="I15" s="29"/>
      <c r="L15" s="21"/>
      <c r="M15" s="21"/>
    </row>
    <row r="16" spans="4:18" x14ac:dyDescent="0.15">
      <c r="D16" s="29"/>
      <c r="E16" s="29"/>
      <c r="F16" s="29"/>
      <c r="G16" s="29"/>
      <c r="H16" s="29"/>
      <c r="I16" s="29"/>
      <c r="L16" s="21"/>
      <c r="M16" s="21"/>
    </row>
    <row r="17" spans="4:13" x14ac:dyDescent="0.15">
      <c r="D17" s="29"/>
      <c r="E17" s="29"/>
      <c r="F17" s="29"/>
      <c r="G17" s="29"/>
      <c r="H17" s="29"/>
      <c r="I17" s="29"/>
      <c r="L17" s="21"/>
      <c r="M17" s="21"/>
    </row>
    <row r="18" spans="4:13" x14ac:dyDescent="0.15">
      <c r="D18" s="29"/>
      <c r="E18" s="29"/>
      <c r="F18" s="29"/>
      <c r="G18" s="29"/>
      <c r="H18" s="29"/>
      <c r="I18" s="29"/>
      <c r="L18" s="21"/>
      <c r="M18" s="21"/>
    </row>
    <row r="19" spans="4:13" x14ac:dyDescent="0.15">
      <c r="D19" s="29"/>
      <c r="E19" s="29"/>
      <c r="F19" s="29"/>
      <c r="G19" s="29"/>
      <c r="H19" s="29"/>
      <c r="I19" s="29"/>
      <c r="L19" s="21"/>
      <c r="M19" s="21"/>
    </row>
    <row r="20" spans="4:13" x14ac:dyDescent="0.15">
      <c r="D20" s="29"/>
      <c r="E20" s="29"/>
      <c r="F20" s="29"/>
      <c r="G20" s="29"/>
      <c r="H20" s="29"/>
      <c r="I20" s="29"/>
    </row>
    <row r="21" spans="4:13" x14ac:dyDescent="0.15">
      <c r="D21" s="29"/>
      <c r="E21" s="29"/>
      <c r="F21" s="29"/>
      <c r="G21" s="29"/>
      <c r="H21" s="29"/>
      <c r="I21" s="29"/>
    </row>
    <row r="24" spans="4:13" x14ac:dyDescent="0.15">
      <c r="D24" s="34"/>
      <c r="E24" s="34"/>
      <c r="F24" s="34"/>
    </row>
    <row r="25" spans="4:13" x14ac:dyDescent="0.15">
      <c r="D25" s="34"/>
      <c r="E25" s="34"/>
      <c r="F25" s="34"/>
    </row>
    <row r="26" spans="4:13" x14ac:dyDescent="0.15">
      <c r="D26" s="34"/>
      <c r="E26" s="34"/>
      <c r="F26" s="34"/>
    </row>
    <row r="27" spans="4:13" x14ac:dyDescent="0.15">
      <c r="D27" s="34"/>
      <c r="E27" s="34"/>
      <c r="F27" s="34"/>
    </row>
    <row r="28" spans="4:13" x14ac:dyDescent="0.15">
      <c r="D28" s="34"/>
      <c r="E28" s="34"/>
      <c r="F28" s="34"/>
      <c r="L28" s="24"/>
    </row>
    <row r="29" spans="4:13" x14ac:dyDescent="0.15">
      <c r="D29" s="34"/>
      <c r="E29" s="34"/>
      <c r="F29" s="34"/>
    </row>
    <row r="30" spans="4:13" x14ac:dyDescent="0.15">
      <c r="D30" s="34"/>
      <c r="E30" s="34"/>
      <c r="F30" s="34"/>
    </row>
    <row r="31" spans="4:13" x14ac:dyDescent="0.15">
      <c r="D31" s="34"/>
      <c r="E31" s="34"/>
      <c r="F31" s="34"/>
    </row>
  </sheetData>
  <mergeCells count="1">
    <mergeCell ref="H7:I7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263ED-68BA-4AC2-A27F-792429816E64}">
  <dimension ref="E4:AM27"/>
  <sheetViews>
    <sheetView workbookViewId="0">
      <selection activeCell="L27" sqref="L27"/>
    </sheetView>
  </sheetViews>
  <sheetFormatPr defaultColWidth="6.625" defaultRowHeight="11.25" x14ac:dyDescent="0.15"/>
  <cols>
    <col min="1" max="13" width="6.625" style="25"/>
    <col min="14" max="14" width="6.625" style="32"/>
    <col min="15" max="15" width="6.625" style="38"/>
    <col min="16" max="22" width="6.625" style="25"/>
    <col min="23" max="23" width="6.625" style="32"/>
    <col min="24" max="24" width="6.625" style="38"/>
    <col min="25" max="31" width="6.625" style="25"/>
    <col min="32" max="32" width="6.625" style="32"/>
    <col min="33" max="33" width="6.625" style="38"/>
    <col min="34" max="16384" width="6.625" style="25"/>
  </cols>
  <sheetData>
    <row r="4" spans="5:39" x14ac:dyDescent="0.15">
      <c r="E4" s="25" t="s">
        <v>134</v>
      </c>
      <c r="AJ4" s="25" t="s">
        <v>135</v>
      </c>
    </row>
    <row r="6" spans="5:39" x14ac:dyDescent="0.15">
      <c r="E6" s="29"/>
      <c r="F6" s="29"/>
      <c r="G6" s="47" t="s">
        <v>106</v>
      </c>
      <c r="H6" s="47"/>
      <c r="I6" s="47"/>
      <c r="J6" s="47"/>
      <c r="K6" s="47"/>
      <c r="L6" s="47"/>
      <c r="M6" s="47"/>
      <c r="N6" s="33"/>
      <c r="O6" s="39"/>
      <c r="P6" s="47" t="s">
        <v>131</v>
      </c>
      <c r="Q6" s="47"/>
      <c r="R6" s="47"/>
      <c r="S6" s="47"/>
      <c r="T6" s="47"/>
      <c r="U6" s="47"/>
      <c r="V6" s="47"/>
      <c r="W6" s="33"/>
      <c r="X6" s="39"/>
      <c r="Y6" s="47" t="s">
        <v>132</v>
      </c>
      <c r="Z6" s="47"/>
      <c r="AA6" s="47"/>
      <c r="AB6" s="47"/>
      <c r="AC6" s="47"/>
      <c r="AD6" s="47"/>
      <c r="AE6" s="47"/>
      <c r="AF6" s="33"/>
      <c r="AG6" s="39"/>
      <c r="AJ6" s="29" t="s">
        <v>133</v>
      </c>
      <c r="AK6" s="29" t="s">
        <v>106</v>
      </c>
      <c r="AL6" s="29" t="s">
        <v>119</v>
      </c>
      <c r="AM6" s="29" t="s">
        <v>120</v>
      </c>
    </row>
    <row r="7" spans="5:39" x14ac:dyDescent="0.15">
      <c r="E7" s="29"/>
      <c r="F7" s="29" t="s">
        <v>103</v>
      </c>
      <c r="G7" s="29">
        <v>1</v>
      </c>
      <c r="H7" s="29">
        <v>2</v>
      </c>
      <c r="I7" s="29">
        <v>3</v>
      </c>
      <c r="J7" s="29">
        <v>4</v>
      </c>
      <c r="K7" s="29">
        <v>5</v>
      </c>
      <c r="L7" s="29">
        <v>6</v>
      </c>
      <c r="M7" s="29">
        <v>7</v>
      </c>
      <c r="N7" s="33" t="s">
        <v>148</v>
      </c>
      <c r="O7" s="39" t="s">
        <v>149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33" t="s">
        <v>148</v>
      </c>
      <c r="X7" s="39" t="s">
        <v>149</v>
      </c>
      <c r="Y7" s="29">
        <v>1</v>
      </c>
      <c r="Z7" s="29">
        <v>2</v>
      </c>
      <c r="AA7" s="29">
        <v>3</v>
      </c>
      <c r="AB7" s="29">
        <v>4</v>
      </c>
      <c r="AC7" s="29">
        <v>5</v>
      </c>
      <c r="AD7" s="29">
        <v>6</v>
      </c>
      <c r="AE7" s="29">
        <v>7</v>
      </c>
      <c r="AF7" s="33" t="s">
        <v>148</v>
      </c>
      <c r="AG7" s="39" t="s">
        <v>149</v>
      </c>
      <c r="AJ7" s="29">
        <v>1</v>
      </c>
      <c r="AK7" s="29">
        <v>150</v>
      </c>
      <c r="AL7" s="29">
        <v>150</v>
      </c>
      <c r="AM7" s="29">
        <v>300</v>
      </c>
    </row>
    <row r="8" spans="5:39" x14ac:dyDescent="0.15">
      <c r="E8" s="48" t="s">
        <v>128</v>
      </c>
      <c r="F8" s="29">
        <v>3</v>
      </c>
      <c r="G8" s="36" t="str">
        <f>IF(初级难度关卡验证!E9="","",初级难度关卡验证!E9)</f>
        <v>青铜鼎</v>
      </c>
      <c r="H8" s="36" t="str">
        <f>IF(初级难度关卡验证!F9="","",初级难度关卡验证!F9)</f>
        <v>锦绣</v>
      </c>
      <c r="I8" s="36" t="str">
        <f>IF(初级难度关卡验证!G9="","",初级难度关卡验证!G9)</f>
        <v>锦绣</v>
      </c>
      <c r="J8" s="36" t="str">
        <f>IF(初级难度关卡验证!H9="","",初级难度关卡验证!H9)</f>
        <v>铁块</v>
      </c>
      <c r="K8" s="30"/>
      <c r="L8" s="30"/>
      <c r="M8" s="30"/>
      <c r="N8" s="46">
        <f>关卡设定!AK7/初级难度关卡验证!$Y8</f>
        <v>0.7142857142857143</v>
      </c>
      <c r="O8" s="57">
        <v>0.75</v>
      </c>
      <c r="P8" s="36" t="str">
        <f>IF(中级难度关卡验证!E9="","",中级难度关卡验证!E9)</f>
        <v>锦绣</v>
      </c>
      <c r="Q8" s="36" t="str">
        <f>IF(中级难度关卡验证!F9="","",中级难度关卡验证!F9)</f>
        <v>锦绣</v>
      </c>
      <c r="R8" s="36" t="str">
        <f>IF(中级难度关卡验证!G9="","",中级难度关卡验证!G9)</f>
        <v>锦绣</v>
      </c>
      <c r="S8" s="36" t="str">
        <f>IF(中级难度关卡验证!H9="","",中级难度关卡验证!H9)</f>
        <v>铁块</v>
      </c>
      <c r="T8" s="30"/>
      <c r="U8" s="30"/>
      <c r="V8" s="30"/>
      <c r="W8" s="46">
        <f>关卡设定!AL7/中级难度关卡验证!$Y8</f>
        <v>0.75</v>
      </c>
      <c r="X8" s="57">
        <v>0.85</v>
      </c>
      <c r="Y8" s="36" t="str">
        <f>IF(高级难度关卡验证!E9="","",高级难度关卡验证!E9)</f>
        <v>乱世珍宝</v>
      </c>
      <c r="Z8" s="36" t="str">
        <f>IF(高级难度关卡验证!F9="","",高级难度关卡验证!F9)</f>
        <v>铁块</v>
      </c>
      <c r="AA8" s="36" t="str">
        <f>IF(高级难度关卡验证!G9="","",高级难度关卡验证!G9)</f>
        <v>锦绣</v>
      </c>
      <c r="AB8" s="36" t="str">
        <f>IF(高级难度关卡验证!H9="","",高级难度关卡验证!H9)</f>
        <v>青铜鼎</v>
      </c>
      <c r="AC8" s="30"/>
      <c r="AD8" s="30"/>
      <c r="AE8" s="30"/>
      <c r="AF8" s="46">
        <f>关卡设定!AM7/高级难度关卡验证!$Y8</f>
        <v>0.81081081081081086</v>
      </c>
      <c r="AG8" s="57">
        <v>0.9</v>
      </c>
      <c r="AJ8" s="29">
        <v>2</v>
      </c>
      <c r="AK8" s="29">
        <v>350</v>
      </c>
      <c r="AL8" s="29">
        <v>500</v>
      </c>
      <c r="AM8" s="29">
        <v>1200</v>
      </c>
    </row>
    <row r="9" spans="5:39" x14ac:dyDescent="0.15">
      <c r="E9" s="48"/>
      <c r="F9" s="29">
        <v>2</v>
      </c>
      <c r="G9" s="36" t="str">
        <f>IF(初级难度关卡验证!E10="","",初级难度关卡验证!E10)</f>
        <v>铁块</v>
      </c>
      <c r="H9" s="36" t="str">
        <f>IF(初级难度关卡验证!F10="","",初级难度关卡验证!F10)</f>
        <v>锦绣</v>
      </c>
      <c r="I9" s="36" t="str">
        <f>IF(初级难度关卡验证!G10="","",初级难度关卡验证!G10)</f>
        <v>铁块</v>
      </c>
      <c r="J9" s="36" t="str">
        <f>IF(初级难度关卡验证!H10="","",初级难度关卡验证!H10)</f>
        <v/>
      </c>
      <c r="K9" s="36" t="str">
        <f>IF(初级难度关卡验证!I10="","",初级难度关卡验证!I10)</f>
        <v/>
      </c>
      <c r="L9" s="30"/>
      <c r="M9" s="30"/>
      <c r="N9" s="46"/>
      <c r="O9" s="58"/>
      <c r="P9" s="36" t="str">
        <f>IF(中级难度关卡验证!E10="","",中级难度关卡验证!E10)</f>
        <v>铁块</v>
      </c>
      <c r="Q9" s="36" t="str">
        <f>IF(中级难度关卡验证!F10="","",中级难度关卡验证!F10)</f>
        <v>锦绣</v>
      </c>
      <c r="R9" s="36" t="str">
        <f>IF(中级难度关卡验证!G10="","",中级难度关卡验证!G10)</f>
        <v>铁块</v>
      </c>
      <c r="S9" s="36" t="str">
        <f>IF(中级难度关卡验证!H10="","",中级难度关卡验证!H10)</f>
        <v/>
      </c>
      <c r="T9" s="36" t="str">
        <f>IF(中级难度关卡验证!I10="","",中级难度关卡验证!I10)</f>
        <v/>
      </c>
      <c r="U9" s="30"/>
      <c r="V9" s="30"/>
      <c r="W9" s="46"/>
      <c r="X9" s="58"/>
      <c r="Y9" s="36" t="str">
        <f>IF(高级难度关卡验证!E10="","",高级难度关卡验证!E10)</f>
        <v>铁块</v>
      </c>
      <c r="Z9" s="36" t="str">
        <f>IF(高级难度关卡验证!F10="","",高级难度关卡验证!F10)</f>
        <v>锦绣</v>
      </c>
      <c r="AA9" s="36" t="str">
        <f>IF(高级难度关卡验证!G10="","",高级难度关卡验证!G10)</f>
        <v>铁块</v>
      </c>
      <c r="AB9" s="36" t="str">
        <f>IF(高级难度关卡验证!H10="","",高级难度关卡验证!H10)</f>
        <v>锦绣</v>
      </c>
      <c r="AC9" s="36" t="str">
        <f>IF(高级难度关卡验证!I10="","",高级难度关卡验证!I10)</f>
        <v/>
      </c>
      <c r="AD9" s="30"/>
      <c r="AE9" s="30"/>
      <c r="AF9" s="46"/>
      <c r="AG9" s="58"/>
      <c r="AJ9" s="29">
        <v>3</v>
      </c>
      <c r="AK9" s="29">
        <v>800</v>
      </c>
      <c r="AL9" s="29">
        <v>1400</v>
      </c>
      <c r="AM9" s="29">
        <v>2500</v>
      </c>
    </row>
    <row r="10" spans="5:39" x14ac:dyDescent="0.15">
      <c r="E10" s="48"/>
      <c r="F10" s="29">
        <v>1</v>
      </c>
      <c r="G10" s="36" t="str">
        <f>IF(初级难度关卡验证!E11="","",初级难度关卡验证!E11)</f>
        <v>铁块</v>
      </c>
      <c r="H10" s="36" t="str">
        <f>IF(初级难度关卡验证!F11="","",初级难度关卡验证!F11)</f>
        <v>铁块</v>
      </c>
      <c r="I10" s="36" t="str">
        <f>IF(初级难度关卡验证!G11="","",初级难度关卡验证!G11)</f>
        <v>铁块</v>
      </c>
      <c r="J10" s="36" t="str">
        <f>IF(初级难度关卡验证!H11="","",初级难度关卡验证!H11)</f>
        <v/>
      </c>
      <c r="K10" s="36" t="str">
        <f>IF(初级难度关卡验证!I11="","",初级难度关卡验证!I11)</f>
        <v/>
      </c>
      <c r="L10" s="36" t="str">
        <f>IF(初级难度关卡验证!J11="","",初级难度关卡验证!J11)</f>
        <v/>
      </c>
      <c r="M10" s="30"/>
      <c r="N10" s="46"/>
      <c r="O10" s="58"/>
      <c r="P10" s="36" t="str">
        <f>IF(中级难度关卡验证!E11="","",中级难度关卡验证!E11)</f>
        <v>铁块</v>
      </c>
      <c r="Q10" s="36" t="str">
        <f>IF(中级难度关卡验证!F11="","",中级难度关卡验证!F11)</f>
        <v>铁块</v>
      </c>
      <c r="R10" s="36" t="str">
        <f>IF(中级难度关卡验证!G11="","",中级难度关卡验证!G11)</f>
        <v>锦绣</v>
      </c>
      <c r="S10" s="36" t="str">
        <f>IF(中级难度关卡验证!H11="","",中级难度关卡验证!H11)</f>
        <v/>
      </c>
      <c r="T10" s="36" t="str">
        <f>IF(中级难度关卡验证!I11="","",中级难度关卡验证!I11)</f>
        <v/>
      </c>
      <c r="U10" s="36" t="str">
        <f>IF(中级难度关卡验证!J11="","",中级难度关卡验证!J11)</f>
        <v/>
      </c>
      <c r="V10" s="30"/>
      <c r="W10" s="46"/>
      <c r="X10" s="58"/>
      <c r="Y10" s="36" t="str">
        <f>IF(高级难度关卡验证!E11="","",高级难度关卡验证!E11)</f>
        <v>铁块</v>
      </c>
      <c r="Z10" s="36" t="str">
        <f>IF(高级难度关卡验证!F11="","",高级难度关卡验证!F11)</f>
        <v>铁块</v>
      </c>
      <c r="AA10" s="36" t="str">
        <f>IF(高级难度关卡验证!G11="","",高级难度关卡验证!G11)</f>
        <v>铁块</v>
      </c>
      <c r="AB10" s="36" t="str">
        <f>IF(高级难度关卡验证!H11="","",高级难度关卡验证!H11)</f>
        <v>铁块</v>
      </c>
      <c r="AC10" s="36" t="str">
        <f>IF(高级难度关卡验证!I11="","",高级难度关卡验证!I11)</f>
        <v>铁块</v>
      </c>
      <c r="AD10" s="36" t="str">
        <f>IF(高级难度关卡验证!J11="","",高级难度关卡验证!J11)</f>
        <v/>
      </c>
      <c r="AE10" s="30"/>
      <c r="AF10" s="46"/>
      <c r="AG10" s="58"/>
      <c r="AJ10" s="29"/>
      <c r="AK10" s="29"/>
      <c r="AL10" s="29"/>
      <c r="AM10" s="29"/>
    </row>
    <row r="11" spans="5:39" x14ac:dyDescent="0.15">
      <c r="E11" s="48" t="s">
        <v>129</v>
      </c>
      <c r="F11" s="29">
        <v>3</v>
      </c>
      <c r="G11" s="36" t="str">
        <f>IF(初级难度关卡验证!E14="","",初级难度关卡验证!E14)</f>
        <v>青铜鼎</v>
      </c>
      <c r="H11" s="36" t="str">
        <f>IF(初级难度关卡验证!F14="","",初级难度关卡验证!F14)</f>
        <v>锦绣</v>
      </c>
      <c r="I11" s="36" t="str">
        <f>IF(初级难度关卡验证!G14="","",初级难度关卡验证!G14)</f>
        <v>青铜鼎</v>
      </c>
      <c r="J11" s="36" t="str">
        <f>IF(初级难度关卡验证!H14="","",初级难度关卡验证!H14)</f>
        <v>铁块</v>
      </c>
      <c r="K11" s="30"/>
      <c r="L11" s="30"/>
      <c r="M11" s="30"/>
      <c r="N11" s="46">
        <f>关卡设定!AK8/初级难度关卡验证!$Y13</f>
        <v>0.74468085106382975</v>
      </c>
      <c r="O11" s="58"/>
      <c r="P11" s="36" t="str">
        <f>IF(中级难度关卡验证!E14="","",中级难度关卡验证!E14)</f>
        <v>乱世珍宝</v>
      </c>
      <c r="Q11" s="36" t="str">
        <f>IF(中级难度关卡验证!F14="","",中级难度关卡验证!F14)</f>
        <v>锦绣</v>
      </c>
      <c r="R11" s="36" t="str">
        <f>IF(中级难度关卡验证!G14="","",中级难度关卡验证!G14)</f>
        <v>青铜鼎</v>
      </c>
      <c r="S11" s="36" t="str">
        <f>IF(中级难度关卡验证!H14="","",中级难度关卡验证!H14)</f>
        <v>铁块</v>
      </c>
      <c r="T11" s="30"/>
      <c r="U11" s="30"/>
      <c r="V11" s="30"/>
      <c r="W11" s="46">
        <f>关卡设定!AL8/中级难度关卡验证!$Y13</f>
        <v>0.8771929824561403</v>
      </c>
      <c r="X11" s="58"/>
      <c r="Y11" s="36" t="str">
        <f>IF(高级难度关卡验证!E14="","",高级难度关卡验证!E14)</f>
        <v>和氏璧</v>
      </c>
      <c r="Z11" s="36" t="str">
        <f>IF(高级难度关卡验证!F14="","",高级难度关卡验证!F14)</f>
        <v>锦绣</v>
      </c>
      <c r="AA11" s="36" t="str">
        <f>IF(高级难度关卡验证!G14="","",高级难度关卡验证!G14)</f>
        <v>锦绣</v>
      </c>
      <c r="AB11" s="36" t="str">
        <f>IF(高级难度关卡验证!H14="","",高级难度关卡验证!H14)</f>
        <v>铁块</v>
      </c>
      <c r="AC11" s="30"/>
      <c r="AD11" s="30"/>
      <c r="AE11" s="30"/>
      <c r="AF11" s="46">
        <f>关卡设定!AM8/高级难度关卡验证!$Y13</f>
        <v>0.98360655737704916</v>
      </c>
      <c r="AG11" s="58"/>
      <c r="AJ11" s="29"/>
      <c r="AK11" s="29"/>
      <c r="AL11" s="29"/>
      <c r="AM11" s="29"/>
    </row>
    <row r="12" spans="5:39" x14ac:dyDescent="0.15">
      <c r="E12" s="48"/>
      <c r="F12" s="29">
        <v>2</v>
      </c>
      <c r="G12" s="36" t="str">
        <f>IF(初级难度关卡验证!E15="","",初级难度关卡验证!E15)</f>
        <v>铁块</v>
      </c>
      <c r="H12" s="36" t="str">
        <f>IF(初级难度关卡验证!F15="","",初级难度关卡验证!F15)</f>
        <v>锦绣</v>
      </c>
      <c r="I12" s="36" t="str">
        <f>IF(初级难度关卡验证!G15="","",初级难度关卡验证!G15)</f>
        <v>铁块</v>
      </c>
      <c r="J12" s="36" t="str">
        <f>IF(初级难度关卡验证!H15="","",初级难度关卡验证!H15)</f>
        <v/>
      </c>
      <c r="K12" s="36" t="str">
        <f>IF(初级难度关卡验证!I15="","",初级难度关卡验证!I15)</f>
        <v/>
      </c>
      <c r="L12" s="30"/>
      <c r="M12" s="30"/>
      <c r="N12" s="46"/>
      <c r="O12" s="58"/>
      <c r="P12" s="36" t="str">
        <f>IF(中级难度关卡验证!E15="","",中级难度关卡验证!E15)</f>
        <v>铁块</v>
      </c>
      <c r="Q12" s="36" t="str">
        <f>IF(中级难度关卡验证!F15="","",中级难度关卡验证!F15)</f>
        <v>锦绣</v>
      </c>
      <c r="R12" s="36" t="str">
        <f>IF(中级难度关卡验证!G15="","",中级难度关卡验证!G15)</f>
        <v>铁块</v>
      </c>
      <c r="S12" s="36" t="str">
        <f>IF(中级难度关卡验证!H15="","",中级难度关卡验证!H15)</f>
        <v/>
      </c>
      <c r="T12" s="36" t="str">
        <f>IF(中级难度关卡验证!I15="","",中级难度关卡验证!I15)</f>
        <v/>
      </c>
      <c r="U12" s="30"/>
      <c r="V12" s="30"/>
      <c r="W12" s="46"/>
      <c r="X12" s="58"/>
      <c r="Y12" s="36" t="str">
        <f>IF(高级难度关卡验证!E15="","",高级难度关卡验证!E15)</f>
        <v>铁块</v>
      </c>
      <c r="Z12" s="36" t="str">
        <f>IF(高级难度关卡验证!F15="","",高级难度关卡验证!F15)</f>
        <v>乱世珍宝</v>
      </c>
      <c r="AA12" s="36" t="str">
        <f>IF(高级难度关卡验证!G15="","",高级难度关卡验证!G15)</f>
        <v>铁块</v>
      </c>
      <c r="AB12" s="36" t="str">
        <f>IF(高级难度关卡验证!H15="","",高级难度关卡验证!H15)</f>
        <v>锦绣</v>
      </c>
      <c r="AC12" s="36" t="str">
        <f>IF(高级难度关卡验证!I15="","",高级难度关卡验证!I15)</f>
        <v/>
      </c>
      <c r="AD12" s="30"/>
      <c r="AE12" s="30"/>
      <c r="AF12" s="46"/>
      <c r="AG12" s="58"/>
      <c r="AJ12" s="29"/>
      <c r="AK12" s="29"/>
      <c r="AL12" s="29"/>
      <c r="AM12" s="29"/>
    </row>
    <row r="13" spans="5:39" x14ac:dyDescent="0.15">
      <c r="E13" s="48"/>
      <c r="F13" s="29">
        <v>1</v>
      </c>
      <c r="G13" s="36" t="str">
        <f>IF(初级难度关卡验证!E16="","",初级难度关卡验证!E16)</f>
        <v>铁块</v>
      </c>
      <c r="H13" s="36" t="str">
        <f>IF(初级难度关卡验证!F16="","",初级难度关卡验证!F16)</f>
        <v>铁块</v>
      </c>
      <c r="I13" s="36" t="str">
        <f>IF(初级难度关卡验证!G16="","",初级难度关卡验证!G16)</f>
        <v>锦绣</v>
      </c>
      <c r="J13" s="36" t="str">
        <f>IF(初级难度关卡验证!H16="","",初级难度关卡验证!H16)</f>
        <v/>
      </c>
      <c r="K13" s="36" t="str">
        <f>IF(初级难度关卡验证!I16="","",初级难度关卡验证!I16)</f>
        <v/>
      </c>
      <c r="L13" s="36" t="str">
        <f>IF(初级难度关卡验证!J16="","",初级难度关卡验证!J16)</f>
        <v/>
      </c>
      <c r="M13" s="30"/>
      <c r="N13" s="46"/>
      <c r="O13" s="58"/>
      <c r="P13" s="36" t="str">
        <f>IF(中级难度关卡验证!E16="","",中级难度关卡验证!E16)</f>
        <v>铁块</v>
      </c>
      <c r="Q13" s="36" t="str">
        <f>IF(中级难度关卡验证!F16="","",中级难度关卡验证!F16)</f>
        <v>铁块</v>
      </c>
      <c r="R13" s="36" t="str">
        <f>IF(中级难度关卡验证!G16="","",中级难度关卡验证!G16)</f>
        <v>锦绣</v>
      </c>
      <c r="S13" s="36" t="str">
        <f>IF(中级难度关卡验证!H16="","",中级难度关卡验证!H16)</f>
        <v/>
      </c>
      <c r="T13" s="36" t="str">
        <f>IF(中级难度关卡验证!I16="","",中级难度关卡验证!I16)</f>
        <v/>
      </c>
      <c r="U13" s="36" t="str">
        <f>IF(中级难度关卡验证!J16="","",中级难度关卡验证!J16)</f>
        <v/>
      </c>
      <c r="V13" s="30"/>
      <c r="W13" s="46"/>
      <c r="X13" s="58"/>
      <c r="Y13" s="36" t="str">
        <f>IF(高级难度关卡验证!E16="","",高级难度关卡验证!E16)</f>
        <v>铁块</v>
      </c>
      <c r="Z13" s="36" t="str">
        <f>IF(高级难度关卡验证!F16="","",高级难度关卡验证!F16)</f>
        <v>铁块</v>
      </c>
      <c r="AA13" s="36" t="str">
        <f>IF(高级难度关卡验证!G16="","",高级难度关卡验证!G16)</f>
        <v>铁块</v>
      </c>
      <c r="AB13" s="36" t="str">
        <f>IF(高级难度关卡验证!H16="","",高级难度关卡验证!H16)</f>
        <v>铁块</v>
      </c>
      <c r="AC13" s="36" t="str">
        <f>IF(高级难度关卡验证!I16="","",高级难度关卡验证!I16)</f>
        <v>铁块</v>
      </c>
      <c r="AD13" s="36" t="str">
        <f>IF(高级难度关卡验证!J16="","",高级难度关卡验证!J16)</f>
        <v/>
      </c>
      <c r="AE13" s="30"/>
      <c r="AF13" s="46"/>
      <c r="AG13" s="58"/>
      <c r="AJ13" s="29"/>
      <c r="AK13" s="29"/>
      <c r="AL13" s="29"/>
      <c r="AM13" s="29"/>
    </row>
    <row r="14" spans="5:39" x14ac:dyDescent="0.15">
      <c r="E14" s="48" t="s">
        <v>130</v>
      </c>
      <c r="F14" s="29">
        <v>3</v>
      </c>
      <c r="G14" s="36" t="str">
        <f>IF(初级难度关卡验证!E19="","",初级难度关卡验证!E19)</f>
        <v>青铜鼎</v>
      </c>
      <c r="H14" s="36" t="str">
        <f>IF(初级难度关卡验证!F19="","",初级难度关卡验证!F19)</f>
        <v>锦绣</v>
      </c>
      <c r="I14" s="36" t="str">
        <f>IF(初级难度关卡验证!G19="","",初级难度关卡验证!G19)</f>
        <v>青铜鼎</v>
      </c>
      <c r="J14" s="36" t="str">
        <f>IF(初级难度关卡验证!H19="","",初级难度关卡验证!H19)</f>
        <v>铁块</v>
      </c>
      <c r="K14" s="30"/>
      <c r="L14" s="30"/>
      <c r="M14" s="30"/>
      <c r="N14" s="46">
        <f>关卡设定!AK9/初级难度关卡验证!$Y18</f>
        <v>0.86956521739130432</v>
      </c>
      <c r="O14" s="58"/>
      <c r="P14" s="36" t="str">
        <f>IF(中级难度关卡验证!E19="","",中级难度关卡验证!E19)</f>
        <v>乱世珍宝</v>
      </c>
      <c r="Q14" s="36" t="str">
        <f>IF(中级难度关卡验证!F19="","",中级难度关卡验证!F19)</f>
        <v>青铜鼎</v>
      </c>
      <c r="R14" s="36" t="str">
        <f>IF(中级难度关卡验证!G19="","",中级难度关卡验证!G19)</f>
        <v>和氏璧</v>
      </c>
      <c r="S14" s="36" t="str">
        <f>IF(中级难度关卡验证!H19="","",中级难度关卡验证!H19)</f>
        <v/>
      </c>
      <c r="T14" s="30"/>
      <c r="U14" s="30"/>
      <c r="V14" s="30"/>
      <c r="W14" s="46">
        <f>关卡设定!AL9/中级难度关卡验证!$Y18</f>
        <v>0.91503267973856206</v>
      </c>
      <c r="X14" s="58"/>
      <c r="Y14" s="36" t="str">
        <f>IF(高级难度关卡验证!E19="","",高级难度关卡验证!E19)</f>
        <v>和氏璧</v>
      </c>
      <c r="Z14" s="36" t="str">
        <f>IF(高级难度关卡验证!F19="","",高级难度关卡验证!F19)</f>
        <v>铁块</v>
      </c>
      <c r="AA14" s="36" t="str">
        <f>IF(高级难度关卡验证!G19="","",高级难度关卡验证!G19)</f>
        <v>青铜鼎</v>
      </c>
      <c r="AB14" s="36" t="str">
        <f>IF(高级难度关卡验证!H19="","",高级难度关卡验证!H19)</f>
        <v>和氏璧</v>
      </c>
      <c r="AC14" s="30"/>
      <c r="AD14" s="30"/>
      <c r="AE14" s="30"/>
      <c r="AF14" s="46">
        <f>关卡设定!AM9/高级难度关卡验证!$Y18</f>
        <v>0.97276264591439687</v>
      </c>
      <c r="AG14" s="58"/>
      <c r="AJ14" s="29"/>
      <c r="AK14" s="29"/>
      <c r="AL14" s="29"/>
      <c r="AM14" s="29"/>
    </row>
    <row r="15" spans="5:39" x14ac:dyDescent="0.15">
      <c r="E15" s="48"/>
      <c r="F15" s="29">
        <v>2</v>
      </c>
      <c r="G15" s="36" t="str">
        <f>IF(初级难度关卡验证!E20="","",初级难度关卡验证!E20)</f>
        <v>铁块</v>
      </c>
      <c r="H15" s="36" t="str">
        <f>IF(初级难度关卡验证!F20="","",初级难度关卡验证!F20)</f>
        <v>乱世珍宝</v>
      </c>
      <c r="I15" s="36" t="str">
        <f>IF(初级难度关卡验证!G20="","",初级难度关卡验证!G20)</f>
        <v>铁块</v>
      </c>
      <c r="J15" s="36" t="str">
        <f>IF(初级难度关卡验证!H20="","",初级难度关卡验证!H20)</f>
        <v/>
      </c>
      <c r="K15" s="36" t="str">
        <f>IF(初级难度关卡验证!I20="","",初级难度关卡验证!I20)</f>
        <v/>
      </c>
      <c r="L15" s="30"/>
      <c r="M15" s="30"/>
      <c r="N15" s="46"/>
      <c r="O15" s="58"/>
      <c r="P15" s="36" t="str">
        <f>IF(中级难度关卡验证!E20="","",中级难度关卡验证!E20)</f>
        <v>铁块</v>
      </c>
      <c r="Q15" s="36" t="str">
        <f>IF(中级难度关卡验证!F20="","",中级难度关卡验证!F20)</f>
        <v>乱世珍宝</v>
      </c>
      <c r="R15" s="36" t="str">
        <f>IF(中级难度关卡验证!G20="","",中级难度关卡验证!G20)</f>
        <v>锦绣</v>
      </c>
      <c r="S15" s="36" t="str">
        <f>IF(中级难度关卡验证!H20="","",中级难度关卡验证!H20)</f>
        <v>铁块</v>
      </c>
      <c r="T15" s="36" t="str">
        <f>IF(中级难度关卡验证!I20="","",中级难度关卡验证!I20)</f>
        <v>铁块</v>
      </c>
      <c r="U15" s="30"/>
      <c r="V15" s="30"/>
      <c r="W15" s="46"/>
      <c r="X15" s="58"/>
      <c r="Y15" s="36" t="str">
        <f>IF(高级难度关卡验证!E20="","",高级难度关卡验证!E20)</f>
        <v>铁块</v>
      </c>
      <c r="Z15" s="36" t="str">
        <f>IF(高级难度关卡验证!F20="","",高级难度关卡验证!F20)</f>
        <v>乱世珍宝</v>
      </c>
      <c r="AA15" s="36" t="str">
        <f>IF(高级难度关卡验证!G20="","",高级难度关卡验证!G20)</f>
        <v>乱世珍宝</v>
      </c>
      <c r="AB15" s="36" t="str">
        <f>IF(高级难度关卡验证!H20="","",高级难度关卡验证!H20)</f>
        <v>锦绣</v>
      </c>
      <c r="AC15" s="36" t="str">
        <f>IF(高级难度关卡验证!I20="","",高级难度关卡验证!I20)</f>
        <v/>
      </c>
      <c r="AD15" s="30"/>
      <c r="AE15" s="30"/>
      <c r="AF15" s="46"/>
      <c r="AG15" s="58"/>
      <c r="AJ15" s="29"/>
      <c r="AK15" s="29"/>
      <c r="AL15" s="29"/>
      <c r="AM15" s="29"/>
    </row>
    <row r="16" spans="5:39" x14ac:dyDescent="0.15">
      <c r="E16" s="48"/>
      <c r="F16" s="29">
        <v>1</v>
      </c>
      <c r="G16" s="36" t="str">
        <f>IF(初级难度关卡验证!E21="","",初级难度关卡验证!E21)</f>
        <v>铁块</v>
      </c>
      <c r="H16" s="36" t="str">
        <f>IF(初级难度关卡验证!F21="","",初级难度关卡验证!F21)</f>
        <v>锦绣</v>
      </c>
      <c r="I16" s="36" t="str">
        <f>IF(初级难度关卡验证!G21="","",初级难度关卡验证!G21)</f>
        <v>铁块</v>
      </c>
      <c r="J16" s="36" t="str">
        <f>IF(初级难度关卡验证!H21="","",初级难度关卡验证!H21)</f>
        <v/>
      </c>
      <c r="K16" s="36" t="str">
        <f>IF(初级难度关卡验证!I21="","",初级难度关卡验证!I21)</f>
        <v/>
      </c>
      <c r="L16" s="36" t="str">
        <f>IF(初级难度关卡验证!J21="","",初级难度关卡验证!J21)</f>
        <v/>
      </c>
      <c r="M16" s="30"/>
      <c r="N16" s="46"/>
      <c r="O16" s="59"/>
      <c r="P16" s="36" t="str">
        <f>IF(中级难度关卡验证!E21="","",中级难度关卡验证!E21)</f>
        <v>铁块</v>
      </c>
      <c r="Q16" s="36" t="str">
        <f>IF(中级难度关卡验证!F21="","",中级难度关卡验证!F21)</f>
        <v>锦绣</v>
      </c>
      <c r="R16" s="36" t="str">
        <f>IF(中级难度关卡验证!G21="","",中级难度关卡验证!G21)</f>
        <v>铁块</v>
      </c>
      <c r="S16" s="36" t="str">
        <f>IF(中级难度关卡验证!H21="","",中级难度关卡验证!H21)</f>
        <v>铁块</v>
      </c>
      <c r="T16" s="36" t="str">
        <f>IF(中级难度关卡验证!I21="","",中级难度关卡验证!I21)</f>
        <v>铁块</v>
      </c>
      <c r="U16" s="36" t="str">
        <f>IF(中级难度关卡验证!J21="","",中级难度关卡验证!J21)</f>
        <v/>
      </c>
      <c r="V16" s="30"/>
      <c r="W16" s="46"/>
      <c r="X16" s="59"/>
      <c r="Y16" s="36" t="str">
        <f>IF(高级难度关卡验证!E21="","",高级难度关卡验证!E21)</f>
        <v>青铜鼎</v>
      </c>
      <c r="Z16" s="36" t="str">
        <f>IF(高级难度关卡验证!F21="","",高级难度关卡验证!F21)</f>
        <v>青铜鼎</v>
      </c>
      <c r="AA16" s="36" t="str">
        <f>IF(高级难度关卡验证!G21="","",高级难度关卡验证!G21)</f>
        <v>青铜鼎</v>
      </c>
      <c r="AB16" s="36" t="str">
        <f>IF(高级难度关卡验证!H21="","",高级难度关卡验证!H21)</f>
        <v>铁块</v>
      </c>
      <c r="AC16" s="36" t="str">
        <f>IF(高级难度关卡验证!I21="","",高级难度关卡验证!I21)</f>
        <v>铁块</v>
      </c>
      <c r="AD16" s="36" t="str">
        <f>IF(高级难度关卡验证!J21="","",高级难度关卡验证!J21)</f>
        <v/>
      </c>
      <c r="AE16" s="30"/>
      <c r="AF16" s="46"/>
      <c r="AG16" s="59"/>
      <c r="AJ16" s="29"/>
      <c r="AK16" s="29"/>
      <c r="AL16" s="29"/>
      <c r="AM16" s="29"/>
    </row>
    <row r="22" spans="7:25" x14ac:dyDescent="0.15">
      <c r="G22" s="37"/>
      <c r="H22" s="37"/>
      <c r="I22" s="37"/>
      <c r="J22" s="37"/>
      <c r="K22" s="37"/>
      <c r="L22" s="37"/>
      <c r="M22" s="37"/>
      <c r="N22" s="37"/>
      <c r="P22" s="37"/>
      <c r="Q22" s="37"/>
      <c r="R22" s="37"/>
      <c r="S22" s="37"/>
      <c r="T22" s="37"/>
      <c r="U22" s="37"/>
      <c r="V22" s="37"/>
      <c r="W22" s="37"/>
      <c r="Y22" s="37"/>
    </row>
    <row r="23" spans="7:25" x14ac:dyDescent="0.15">
      <c r="G23" s="37"/>
      <c r="H23" s="37"/>
      <c r="I23" s="37"/>
      <c r="J23" s="37"/>
      <c r="K23" s="37"/>
      <c r="L23" s="37"/>
      <c r="M23" s="37"/>
      <c r="N23" s="37"/>
      <c r="P23" s="37"/>
      <c r="Q23" s="37"/>
      <c r="R23" s="37"/>
      <c r="S23" s="37"/>
      <c r="T23" s="37"/>
      <c r="U23" s="37"/>
      <c r="V23" s="37"/>
      <c r="W23" s="37"/>
      <c r="Y23" s="37"/>
    </row>
    <row r="24" spans="7:25" x14ac:dyDescent="0.15">
      <c r="G24" s="37"/>
      <c r="H24" s="37"/>
      <c r="I24" s="37"/>
      <c r="J24" s="37"/>
      <c r="K24" s="37"/>
      <c r="L24" s="37"/>
      <c r="M24" s="37"/>
      <c r="N24" s="37"/>
      <c r="P24" s="37"/>
      <c r="Q24" s="37"/>
      <c r="R24" s="37"/>
      <c r="S24" s="37"/>
      <c r="T24" s="37"/>
      <c r="U24" s="37"/>
      <c r="V24" s="37"/>
      <c r="W24" s="37"/>
      <c r="Y24" s="37"/>
    </row>
    <row r="25" spans="7:25" x14ac:dyDescent="0.15">
      <c r="G25" s="37"/>
      <c r="H25" s="37"/>
      <c r="I25" s="37"/>
      <c r="J25" s="37"/>
      <c r="K25" s="37"/>
      <c r="L25" s="37"/>
      <c r="M25" s="37"/>
      <c r="N25" s="37"/>
      <c r="P25" s="37"/>
      <c r="Q25" s="37"/>
      <c r="R25" s="37"/>
      <c r="S25" s="37"/>
      <c r="T25" s="37"/>
      <c r="U25" s="37"/>
      <c r="V25" s="37"/>
      <c r="W25" s="37"/>
      <c r="Y25" s="37"/>
    </row>
    <row r="26" spans="7:25" x14ac:dyDescent="0.15">
      <c r="G26" s="37"/>
      <c r="H26" s="37"/>
      <c r="I26" s="37"/>
      <c r="J26" s="37"/>
      <c r="K26" s="37"/>
      <c r="L26" s="37"/>
      <c r="M26" s="37"/>
      <c r="N26" s="37"/>
      <c r="P26" s="37"/>
      <c r="Q26" s="37"/>
      <c r="R26" s="37"/>
      <c r="S26" s="37"/>
      <c r="T26" s="37"/>
      <c r="U26" s="37"/>
      <c r="V26" s="37"/>
      <c r="W26" s="37"/>
      <c r="Y26" s="37"/>
    </row>
    <row r="27" spans="7:25" x14ac:dyDescent="0.15">
      <c r="G27" s="37"/>
      <c r="H27" s="37"/>
      <c r="I27" s="37"/>
      <c r="J27" s="37"/>
      <c r="K27" s="37"/>
      <c r="L27" s="37"/>
      <c r="M27" s="37"/>
      <c r="N27" s="37"/>
      <c r="P27" s="37"/>
      <c r="Q27" s="37"/>
      <c r="R27" s="37"/>
      <c r="S27" s="37"/>
      <c r="T27" s="37"/>
      <c r="U27" s="37"/>
      <c r="V27" s="37"/>
      <c r="W27" s="37"/>
      <c r="Y27" s="37"/>
    </row>
  </sheetData>
  <mergeCells count="18">
    <mergeCell ref="X8:X16"/>
    <mergeCell ref="AG8:AG16"/>
    <mergeCell ref="AF8:AF10"/>
    <mergeCell ref="AF11:AF13"/>
    <mergeCell ref="AF14:AF16"/>
    <mergeCell ref="Y6:AE6"/>
    <mergeCell ref="E8:E10"/>
    <mergeCell ref="E11:E13"/>
    <mergeCell ref="E14:E16"/>
    <mergeCell ref="G6:M6"/>
    <mergeCell ref="P6:V6"/>
    <mergeCell ref="N8:N10"/>
    <mergeCell ref="N11:N13"/>
    <mergeCell ref="N14:N16"/>
    <mergeCell ref="W8:W10"/>
    <mergeCell ref="W11:W13"/>
    <mergeCell ref="W14:W16"/>
    <mergeCell ref="O8:O1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EEA82-867E-4AA9-B6E2-1AD2828C93D0}">
  <sheetPr codeName="Sheet4"/>
  <dimension ref="D3:AZ23"/>
  <sheetViews>
    <sheetView zoomScaleNormal="100" workbookViewId="0">
      <selection activeCell="M24" sqref="L24:M24"/>
    </sheetView>
  </sheetViews>
  <sheetFormatPr defaultColWidth="6.625" defaultRowHeight="11.25" x14ac:dyDescent="0.15"/>
  <cols>
    <col min="1" max="6" width="6.625" style="38"/>
    <col min="7" max="7" width="7.5" style="38" bestFit="1" customWidth="1"/>
    <col min="8" max="23" width="6.625" style="38"/>
    <col min="24" max="24" width="13" style="50" bestFit="1" customWidth="1"/>
    <col min="25" max="25" width="13" style="51" bestFit="1" customWidth="1"/>
    <col min="26" max="16384" width="6.625" style="38"/>
  </cols>
  <sheetData>
    <row r="3" spans="4:52" x14ac:dyDescent="0.15">
      <c r="D3" s="11"/>
      <c r="E3" s="11"/>
      <c r="F3" s="11"/>
      <c r="G3" s="11"/>
      <c r="H3" s="11"/>
    </row>
    <row r="4" spans="4:52" x14ac:dyDescent="0.15">
      <c r="F4" s="11"/>
      <c r="G4" s="11"/>
      <c r="H4" s="11"/>
    </row>
    <row r="6" spans="4:52" x14ac:dyDescent="0.15">
      <c r="D6" s="38" t="s">
        <v>107</v>
      </c>
      <c r="N6" s="38" t="s">
        <v>113</v>
      </c>
      <c r="AE6" s="38" t="s">
        <v>112</v>
      </c>
    </row>
    <row r="7" spans="4:52" x14ac:dyDescent="0.15">
      <c r="X7" s="52" t="s">
        <v>114</v>
      </c>
      <c r="Y7" s="53" t="s">
        <v>115</v>
      </c>
    </row>
    <row r="8" spans="4:52" x14ac:dyDescent="0.15">
      <c r="D8" s="38" t="s">
        <v>103</v>
      </c>
      <c r="E8" s="38">
        <v>1</v>
      </c>
      <c r="F8" s="38">
        <v>2</v>
      </c>
      <c r="G8" s="38">
        <v>3</v>
      </c>
      <c r="H8" s="38">
        <v>4</v>
      </c>
      <c r="I8" s="38">
        <v>5</v>
      </c>
      <c r="J8" s="38">
        <v>6</v>
      </c>
      <c r="K8" s="38">
        <v>7</v>
      </c>
      <c r="V8" s="38" t="s">
        <v>127</v>
      </c>
      <c r="X8" s="50">
        <f>IF(D8="层数",((V9*基础数据设定!$E$8+初级难度关卡验证!V10*基础数据设定!$E$9+初级难度关卡验证!V11*基础数据设定!$E$10)+SUM(V9:V12)*4),"")</f>
        <v>22.816901408450704</v>
      </c>
      <c r="Y8" s="51">
        <f>SUMPRODUCT(O9:U11,AE9:AK11)</f>
        <v>210</v>
      </c>
      <c r="Z8" s="38">
        <v>150</v>
      </c>
      <c r="AW8" s="20" t="s">
        <v>108</v>
      </c>
      <c r="AX8" s="20" t="s">
        <v>109</v>
      </c>
      <c r="AY8" s="20" t="s">
        <v>110</v>
      </c>
      <c r="AZ8" s="20" t="s">
        <v>111</v>
      </c>
    </row>
    <row r="9" spans="4:52" x14ac:dyDescent="0.15">
      <c r="D9" s="38">
        <v>3</v>
      </c>
      <c r="E9" s="54" t="s">
        <v>98</v>
      </c>
      <c r="F9" s="54" t="s">
        <v>122</v>
      </c>
      <c r="G9" s="54" t="s">
        <v>122</v>
      </c>
      <c r="H9" s="54" t="s">
        <v>121</v>
      </c>
      <c r="N9" s="38">
        <v>3</v>
      </c>
      <c r="O9" s="54">
        <v>1</v>
      </c>
      <c r="P9" s="54">
        <v>1</v>
      </c>
      <c r="Q9" s="54"/>
      <c r="R9" s="54"/>
      <c r="V9" s="38">
        <f>SUM(O9:U9)</f>
        <v>2</v>
      </c>
      <c r="X9" s="50" t="str">
        <f>IF(D9="层数",((V10*基础数据设定!$E$8+初级难度关卡验证!V11*基础数据设定!$E$9+初级难度关卡验证!V12*基础数据设定!$E$10)+SUM(V10:V12)*4),"")</f>
        <v/>
      </c>
      <c r="Z9" s="38" t="str">
        <f>IF(Y9="","",ROUND($E$4*Y9,-1))</f>
        <v/>
      </c>
      <c r="AD9" s="38">
        <v>3</v>
      </c>
      <c r="AE9" s="38">
        <f>IF(E9="","",INDEX(基础数据设定!$M$8:$M$19,MATCH(初级难度关卡验证!E9,基础数据设定!$L$8:$L$19,0)))</f>
        <v>100</v>
      </c>
      <c r="AF9" s="55">
        <f>IF(F9="","",INDEX(基础数据设定!$M$8:$M$19,MATCH(初级难度关卡验证!F9,基础数据设定!$L$8:$L$19,0)))</f>
        <v>50</v>
      </c>
      <c r="AG9" s="38">
        <f>IF(G9="","",INDEX(基础数据设定!$M$8:$M$19,MATCH(初级难度关卡验证!G9,基础数据设定!$L$8:$L$19,0)))</f>
        <v>50</v>
      </c>
      <c r="AH9" s="55">
        <f>IF(H9="","",INDEX(基础数据设定!$M$8:$M$19,MATCH(初级难度关卡验证!H9,基础数据设定!$L$8:$L$19,0)))</f>
        <v>10</v>
      </c>
      <c r="AI9" s="38" t="str">
        <f>IF(I9="","",INDEX(基础数据设定!$M$8:$M$19,MATCH(初级难度关卡验证!I9,基础数据设定!$L$8:$L$19,0)))</f>
        <v/>
      </c>
      <c r="AJ9" s="55" t="str">
        <f>IF(J9="","",INDEX(基础数据设定!$M$8:$M$19,MATCH(初级难度关卡验证!J9,基础数据设定!$L$8:$L$19,0)))</f>
        <v/>
      </c>
      <c r="AK9" s="38" t="str">
        <f>IF(K9="","",INDEX(基础数据设定!$M$8:$M$19,MATCH(初级难度关卡验证!K9,基础数据设定!$L$8:$L$19,0)))</f>
        <v/>
      </c>
      <c r="AW9" s="20" t="s">
        <v>99</v>
      </c>
      <c r="AX9" s="20">
        <f>基础数据设定!M10</f>
        <v>100</v>
      </c>
      <c r="AY9" s="20"/>
      <c r="AZ9" s="20"/>
    </row>
    <row r="10" spans="4:52" x14ac:dyDescent="0.15">
      <c r="D10" s="38">
        <v>2</v>
      </c>
      <c r="E10" s="54" t="s">
        <v>121</v>
      </c>
      <c r="F10" s="54" t="s">
        <v>122</v>
      </c>
      <c r="G10" s="54" t="s">
        <v>121</v>
      </c>
      <c r="H10" s="54"/>
      <c r="I10" s="54"/>
      <c r="N10" s="38">
        <v>2</v>
      </c>
      <c r="O10" s="54">
        <v>1</v>
      </c>
      <c r="P10" s="54">
        <v>1</v>
      </c>
      <c r="Q10" s="54"/>
      <c r="R10" s="54"/>
      <c r="S10" s="54"/>
      <c r="V10" s="38">
        <f t="shared" ref="V10:V11" si="0">SUM(O10:U10)</f>
        <v>2</v>
      </c>
      <c r="X10" s="50" t="str">
        <f>IF(D10="层数",((V11*基础数据设定!$E$8+初级难度关卡验证!V12*基础数据设定!$E$9+初级难度关卡验证!#REF!*基础数据设定!$E$10)+SUM(V11:V12)*4),"")</f>
        <v/>
      </c>
      <c r="Z10" s="38" t="str">
        <f>IF(Y10="","",ROUND($E$4*Y10,-1))</f>
        <v/>
      </c>
      <c r="AD10" s="38">
        <v>2</v>
      </c>
      <c r="AE10" s="55">
        <f>IF(E10="","",INDEX(基础数据设定!$M$8:$M$19,MATCH(初级难度关卡验证!E10,基础数据设定!$L$8:$L$19,0)))</f>
        <v>10</v>
      </c>
      <c r="AF10" s="38">
        <f>IF(F10="","",INDEX(基础数据设定!$M$8:$M$19,MATCH(初级难度关卡验证!F10,基础数据设定!$L$8:$L$19,0)))</f>
        <v>50</v>
      </c>
      <c r="AG10" s="55">
        <f>IF(G10="","",INDEX(基础数据设定!$M$8:$M$19,MATCH(初级难度关卡验证!G10,基础数据设定!$L$8:$L$19,0)))</f>
        <v>10</v>
      </c>
      <c r="AH10" s="38" t="str">
        <f>IF(H10="","",INDEX(基础数据设定!$M$8:$M$19,MATCH(初级难度关卡验证!H10,基础数据设定!$L$8:$L$19,0)))</f>
        <v/>
      </c>
      <c r="AI10" s="55" t="str">
        <f>IF(I10="","",INDEX(基础数据设定!$M$8:$M$19,MATCH(初级难度关卡验证!I10,基础数据设定!$L$8:$L$19,0)))</f>
        <v/>
      </c>
      <c r="AJ10" s="38" t="str">
        <f>IF(J10="","",INDEX(基础数据设定!$M$8:$M$19,MATCH(初级难度关卡验证!J10,基础数据设定!$L$8:$L$19,0)))</f>
        <v/>
      </c>
      <c r="AK10" s="55" t="str">
        <f>IF(K10="","",INDEX(基础数据设定!$M$8:$M$19,MATCH(初级难度关卡验证!K10,基础数据设定!$L$8:$L$19,0)))</f>
        <v/>
      </c>
      <c r="AW10" s="20" t="s">
        <v>86</v>
      </c>
      <c r="AX10" s="20">
        <f>基础数据设定!M11</f>
        <v>200</v>
      </c>
      <c r="AY10" s="20"/>
      <c r="AZ10" s="20"/>
    </row>
    <row r="11" spans="4:52" x14ac:dyDescent="0.15">
      <c r="D11" s="38">
        <v>1</v>
      </c>
      <c r="E11" s="54" t="s">
        <v>121</v>
      </c>
      <c r="F11" s="54" t="s">
        <v>121</v>
      </c>
      <c r="G11" s="54" t="s">
        <v>121</v>
      </c>
      <c r="H11" s="54"/>
      <c r="I11" s="54"/>
      <c r="J11" s="54"/>
      <c r="N11" s="38">
        <v>1</v>
      </c>
      <c r="O11" s="54"/>
      <c r="P11" s="54"/>
      <c r="Q11" s="54"/>
      <c r="R11" s="54"/>
      <c r="S11" s="54"/>
      <c r="T11" s="54"/>
      <c r="V11" s="38">
        <f t="shared" si="0"/>
        <v>0</v>
      </c>
      <c r="X11" s="50" t="str">
        <f>IF(D11="层数",((V12*基础数据设定!$E$8+初级难度关卡验证!#REF!*基础数据设定!$E$9+初级难度关卡验证!#REF!*基础数据设定!$E$10)+SUM(V12:V12)*4),"")</f>
        <v/>
      </c>
      <c r="Z11" s="38" t="str">
        <f>IF(Y11="","",ROUND($E$4*Y11,-1))</f>
        <v/>
      </c>
      <c r="AD11" s="38">
        <v>1</v>
      </c>
      <c r="AE11" s="38">
        <f>IF(E11="","",INDEX(基础数据设定!$M$8:$M$19,MATCH(初级难度关卡验证!E11,基础数据设定!$L$8:$L$19,0)))</f>
        <v>10</v>
      </c>
      <c r="AF11" s="55">
        <f>IF(F11="","",INDEX(基础数据设定!$M$8:$M$19,MATCH(初级难度关卡验证!F11,基础数据设定!$L$8:$L$19,0)))</f>
        <v>10</v>
      </c>
      <c r="AG11" s="38">
        <f>IF(G11="","",INDEX(基础数据设定!$M$8:$M$19,MATCH(初级难度关卡验证!G11,基础数据设定!$L$8:$L$19,0)))</f>
        <v>10</v>
      </c>
      <c r="AH11" s="55" t="str">
        <f>IF(H11="","",INDEX(基础数据设定!$M$8:$M$19,MATCH(初级难度关卡验证!H11,基础数据设定!$L$8:$L$19,0)))</f>
        <v/>
      </c>
      <c r="AI11" s="38" t="str">
        <f>IF(I11="","",INDEX(基础数据设定!$M$8:$M$19,MATCH(初级难度关卡验证!I11,基础数据设定!$L$8:$L$19,0)))</f>
        <v/>
      </c>
      <c r="AJ11" s="55" t="str">
        <f>IF(J11="","",INDEX(基础数据设定!$M$8:$M$19,MATCH(初级难度关卡验证!J11,基础数据设定!$L$8:$L$19,0)))</f>
        <v/>
      </c>
      <c r="AK11" s="38" t="str">
        <f>IF(K11="","",INDEX(基础数据设定!$M$8:$M$19,MATCH(初级难度关卡验证!K11,基础数据设定!$L$8:$L$19,0)))</f>
        <v/>
      </c>
      <c r="AW11" s="20" t="s">
        <v>100</v>
      </c>
      <c r="AX11" s="20">
        <f>基础数据设定!M12</f>
        <v>500</v>
      </c>
      <c r="AY11" s="20"/>
      <c r="AZ11" s="20"/>
    </row>
    <row r="12" spans="4:52" x14ac:dyDescent="0.15">
      <c r="X12" s="50" t="str">
        <f>IF(D12="层数",((#REF!*基础数据设定!$E$8+初级难度关卡验证!#REF!*基础数据设定!$E$9+初级难度关卡验证!#REF!*基础数据设定!$E$10)+SUM(#REF!)*4),"")</f>
        <v/>
      </c>
      <c r="Z12" s="38" t="str">
        <f>IF(Y12="","",ROUND($E$4*Y12,-1))</f>
        <v/>
      </c>
      <c r="AW12" s="20" t="s">
        <v>101</v>
      </c>
      <c r="AX12" s="56" t="e">
        <f>基础数据设定!#REF!</f>
        <v>#REF!</v>
      </c>
      <c r="AY12" s="20"/>
      <c r="AZ12" s="20"/>
    </row>
    <row r="13" spans="4:52" x14ac:dyDescent="0.15">
      <c r="D13" s="38" t="s">
        <v>103</v>
      </c>
      <c r="E13" s="38">
        <v>1</v>
      </c>
      <c r="F13" s="38">
        <v>2</v>
      </c>
      <c r="G13" s="38">
        <v>3</v>
      </c>
      <c r="H13" s="38">
        <v>4</v>
      </c>
      <c r="I13" s="38">
        <v>5</v>
      </c>
      <c r="J13" s="38">
        <v>6</v>
      </c>
      <c r="K13" s="38">
        <v>7</v>
      </c>
      <c r="X13" s="50">
        <f>IF(D13="层数",((V14*基础数据设定!$E$8+初级难度关卡验证!V15*基础数据设定!$E$9+初级难度关卡验证!V16*基础数据设定!$E$10)+SUM(V14:V17)*4),"")</f>
        <v>23.408450704225352</v>
      </c>
      <c r="Y13" s="51">
        <f>IF(D13="层数",SUMPRODUCT(O14:U16,AE14:AK16)+Y8,"")</f>
        <v>470</v>
      </c>
      <c r="Z13" s="38">
        <v>350</v>
      </c>
      <c r="AW13" s="20" t="s">
        <v>108</v>
      </c>
      <c r="AX13" s="20" t="s">
        <v>109</v>
      </c>
      <c r="AY13" s="20" t="s">
        <v>110</v>
      </c>
      <c r="AZ13" s="20" t="s">
        <v>111</v>
      </c>
    </row>
    <row r="14" spans="4:52" x14ac:dyDescent="0.15">
      <c r="D14" s="38">
        <v>3</v>
      </c>
      <c r="E14" s="54" t="s">
        <v>98</v>
      </c>
      <c r="F14" s="54" t="s">
        <v>122</v>
      </c>
      <c r="G14" s="54" t="s">
        <v>98</v>
      </c>
      <c r="H14" s="54" t="s">
        <v>121</v>
      </c>
      <c r="N14" s="38">
        <v>3</v>
      </c>
      <c r="O14" s="54">
        <v>1</v>
      </c>
      <c r="P14" s="54">
        <v>1</v>
      </c>
      <c r="Q14" s="54">
        <v>1</v>
      </c>
      <c r="R14" s="54"/>
      <c r="V14" s="38">
        <f>SUM(O14:U14)</f>
        <v>3</v>
      </c>
      <c r="X14" s="50" t="str">
        <f>IF(D14="层数",((V15*基础数据设定!$E$8+初级难度关卡验证!V16*基础数据设定!$E$9+初级难度关卡验证!V17*基础数据设定!$E$10)+SUM(V15:V17)*4),"")</f>
        <v/>
      </c>
      <c r="Z14" s="38" t="str">
        <f t="shared" ref="Z14:Z16" si="1">IF(Y14="","",ROUND($E$4*Y14,-1))</f>
        <v/>
      </c>
      <c r="AD14" s="38">
        <v>3</v>
      </c>
      <c r="AE14" s="38">
        <f>IF(E14="","",INDEX(基础数据设定!$M$8:$M$19,MATCH(初级难度关卡验证!E14,基础数据设定!$L$8:$L$19,0)))</f>
        <v>100</v>
      </c>
      <c r="AF14" s="55">
        <f>IF(F14="","",INDEX(基础数据设定!$M$8:$M$19,MATCH(初级难度关卡验证!F14,基础数据设定!$L$8:$L$19,0)))</f>
        <v>50</v>
      </c>
      <c r="AG14" s="38">
        <f>IF(G14="","",INDEX(基础数据设定!$M$8:$M$19,MATCH(初级难度关卡验证!G14,基础数据设定!$L$8:$L$19,0)))</f>
        <v>100</v>
      </c>
      <c r="AH14" s="55">
        <f>IF(H14="","",INDEX(基础数据设定!$M$8:$M$19,MATCH(初级难度关卡验证!H14,基础数据设定!$L$8:$L$19,0)))</f>
        <v>10</v>
      </c>
      <c r="AI14" s="38" t="str">
        <f>IF(I14="","",INDEX(基础数据设定!$M$8:$M$19,MATCH(初级难度关卡验证!I14,基础数据设定!$L$8:$L$19,0)))</f>
        <v/>
      </c>
      <c r="AJ14" s="55" t="str">
        <f>IF(J14="","",INDEX(基础数据设定!$M$8:$M$19,MATCH(初级难度关卡验证!J14,基础数据设定!$L$8:$L$19,0)))</f>
        <v/>
      </c>
      <c r="AK14" s="38" t="str">
        <f>IF(K14="","",INDEX(基础数据设定!$M$8:$M$19,MATCH(初级难度关卡验证!K14,基础数据设定!$L$8:$L$19,0)))</f>
        <v/>
      </c>
      <c r="AW14" s="20" t="s">
        <v>99</v>
      </c>
      <c r="AX14" s="20">
        <f>基础数据设定!M21</f>
        <v>0</v>
      </c>
      <c r="AY14" s="20"/>
      <c r="AZ14" s="20"/>
    </row>
    <row r="15" spans="4:52" x14ac:dyDescent="0.15">
      <c r="D15" s="38">
        <v>2</v>
      </c>
      <c r="E15" s="54" t="s">
        <v>121</v>
      </c>
      <c r="F15" s="54" t="s">
        <v>122</v>
      </c>
      <c r="G15" s="54" t="s">
        <v>121</v>
      </c>
      <c r="H15" s="54"/>
      <c r="I15" s="54"/>
      <c r="N15" s="38">
        <v>2</v>
      </c>
      <c r="O15" s="54">
        <v>1</v>
      </c>
      <c r="P15" s="54"/>
      <c r="Q15" s="54"/>
      <c r="R15" s="54"/>
      <c r="S15" s="54"/>
      <c r="V15" s="38">
        <f t="shared" ref="V15:V16" si="2">SUM(O15:U15)</f>
        <v>1</v>
      </c>
      <c r="X15" s="50" t="str">
        <f>IF(D15="层数",((V16*基础数据设定!$E$8+初级难度关卡验证!V17*基础数据设定!$E$9+初级难度关卡验证!#REF!*基础数据设定!$E$10)+SUM(V16:V17)*4),"")</f>
        <v/>
      </c>
      <c r="Z15" s="38" t="str">
        <f t="shared" si="1"/>
        <v/>
      </c>
      <c r="AD15" s="38">
        <v>2</v>
      </c>
      <c r="AE15" s="55">
        <f>IF(E15="","",INDEX(基础数据设定!$M$8:$M$19,MATCH(初级难度关卡验证!E15,基础数据设定!$L$8:$L$19,0)))</f>
        <v>10</v>
      </c>
      <c r="AF15" s="38">
        <f>IF(F15="","",INDEX(基础数据设定!$M$8:$M$19,MATCH(初级难度关卡验证!F15,基础数据设定!$L$8:$L$19,0)))</f>
        <v>50</v>
      </c>
      <c r="AG15" s="55">
        <f>IF(G15="","",INDEX(基础数据设定!$M$8:$M$19,MATCH(初级难度关卡验证!G15,基础数据设定!$L$8:$L$19,0)))</f>
        <v>10</v>
      </c>
      <c r="AH15" s="38" t="str">
        <f>IF(H15="","",INDEX(基础数据设定!$M$8:$M$19,MATCH(初级难度关卡验证!H15,基础数据设定!$L$8:$L$19,0)))</f>
        <v/>
      </c>
      <c r="AI15" s="55" t="str">
        <f>IF(I15="","",INDEX(基础数据设定!$M$8:$M$19,MATCH(初级难度关卡验证!I15,基础数据设定!$L$8:$L$19,0)))</f>
        <v/>
      </c>
      <c r="AJ15" s="38" t="str">
        <f>IF(J15="","",INDEX(基础数据设定!$M$8:$M$19,MATCH(初级难度关卡验证!J15,基础数据设定!$L$8:$L$19,0)))</f>
        <v/>
      </c>
      <c r="AK15" s="55" t="str">
        <f>IF(K15="","",INDEX(基础数据设定!$M$8:$M$19,MATCH(初级难度关卡验证!K15,基础数据设定!$L$8:$L$19,0)))</f>
        <v/>
      </c>
      <c r="AW15" s="20" t="s">
        <v>86</v>
      </c>
      <c r="AX15" s="20">
        <f>基础数据设定!M22</f>
        <v>0</v>
      </c>
      <c r="AY15" s="20"/>
      <c r="AZ15" s="20"/>
    </row>
    <row r="16" spans="4:52" x14ac:dyDescent="0.15">
      <c r="D16" s="38">
        <v>1</v>
      </c>
      <c r="E16" s="54" t="s">
        <v>121</v>
      </c>
      <c r="F16" s="54" t="s">
        <v>121</v>
      </c>
      <c r="G16" s="54" t="s">
        <v>122</v>
      </c>
      <c r="H16" s="54"/>
      <c r="I16" s="54"/>
      <c r="J16" s="54"/>
      <c r="N16" s="38">
        <v>1</v>
      </c>
      <c r="O16" s="54"/>
      <c r="P16" s="54"/>
      <c r="Q16" s="54"/>
      <c r="R16" s="54"/>
      <c r="S16" s="54"/>
      <c r="T16" s="54"/>
      <c r="V16" s="38">
        <f t="shared" si="2"/>
        <v>0</v>
      </c>
      <c r="X16" s="50" t="str">
        <f>IF(D16="层数",((V17*基础数据设定!$E$8+初级难度关卡验证!#REF!*基础数据设定!$E$9+初级难度关卡验证!#REF!*基础数据设定!$E$10)+SUM(V17:V17)*4),"")</f>
        <v/>
      </c>
      <c r="Z16" s="38" t="str">
        <f t="shared" si="1"/>
        <v/>
      </c>
      <c r="AD16" s="38">
        <v>1</v>
      </c>
      <c r="AE16" s="38">
        <f>IF(E16="","",INDEX(基础数据设定!$M$8:$M$19,MATCH(初级难度关卡验证!E16,基础数据设定!$L$8:$L$19,0)))</f>
        <v>10</v>
      </c>
      <c r="AF16" s="55">
        <f>IF(F16="","",INDEX(基础数据设定!$M$8:$M$19,MATCH(初级难度关卡验证!F16,基础数据设定!$L$8:$L$19,0)))</f>
        <v>10</v>
      </c>
      <c r="AG16" s="38">
        <f>IF(G16="","",INDEX(基础数据设定!$M$8:$M$19,MATCH(初级难度关卡验证!G16,基础数据设定!$L$8:$L$19,0)))</f>
        <v>50</v>
      </c>
      <c r="AH16" s="55" t="str">
        <f>IF(H16="","",INDEX(基础数据设定!$M$8:$M$19,MATCH(初级难度关卡验证!H16,基础数据设定!$L$8:$L$19,0)))</f>
        <v/>
      </c>
      <c r="AI16" s="38" t="str">
        <f>IF(I16="","",INDEX(基础数据设定!$M$8:$M$19,MATCH(初级难度关卡验证!I16,基础数据设定!$L$8:$L$19,0)))</f>
        <v/>
      </c>
      <c r="AJ16" s="55" t="str">
        <f>IF(J16="","",INDEX(基础数据设定!$M$8:$M$19,MATCH(初级难度关卡验证!J16,基础数据设定!$L$8:$L$19,0)))</f>
        <v/>
      </c>
      <c r="AK16" s="38" t="str">
        <f>IF(K16="","",INDEX(基础数据设定!$M$8:$M$19,MATCH(初级难度关卡验证!K16,基础数据设定!$L$8:$L$19,0)))</f>
        <v/>
      </c>
      <c r="AW16" s="20" t="s">
        <v>100</v>
      </c>
      <c r="AX16" s="20">
        <f>基础数据设定!M23</f>
        <v>0</v>
      </c>
      <c r="AY16" s="20"/>
      <c r="AZ16" s="20"/>
    </row>
    <row r="17" spans="4:52" x14ac:dyDescent="0.15">
      <c r="X17" s="50" t="str">
        <f>IF(D17="层数",((#REF!*基础数据设定!$E$8+初级难度关卡验证!#REF!*基础数据设定!$E$9+初级难度关卡验证!#REF!*基础数据设定!$E$10)+SUM(#REF!)*4),"")</f>
        <v/>
      </c>
      <c r="Y17" s="51" t="str">
        <f>IF(D17="层数",SUMPRODUCT(#REF!,#REF!)+Y12,"")</f>
        <v/>
      </c>
      <c r="Z17" s="38" t="str">
        <f>IF(Y17="","",ROUND($E$4*Y17,-1))</f>
        <v/>
      </c>
      <c r="AW17" s="20" t="s">
        <v>101</v>
      </c>
      <c r="AX17" s="56" t="e">
        <f>基础数据设定!#REF!</f>
        <v>#REF!</v>
      </c>
      <c r="AY17" s="20"/>
      <c r="AZ17" s="20"/>
    </row>
    <row r="18" spans="4:52" x14ac:dyDescent="0.15">
      <c r="D18" s="38" t="s">
        <v>103</v>
      </c>
      <c r="E18" s="38">
        <v>1</v>
      </c>
      <c r="F18" s="38">
        <v>2</v>
      </c>
      <c r="G18" s="38">
        <v>3</v>
      </c>
      <c r="H18" s="38">
        <v>4</v>
      </c>
      <c r="I18" s="38">
        <v>5</v>
      </c>
      <c r="J18" s="38">
        <v>6</v>
      </c>
      <c r="K18" s="38">
        <v>7</v>
      </c>
      <c r="X18" s="50">
        <f>IF(D18="层数",((V19*基础数据设定!$E$8+初级难度关卡验证!V20*基础数据设定!$E$9+初级难度关卡验证!V21*基础数据设定!$E$10)+SUM(V19:V23)*4),"")</f>
        <v>23.408450704225352</v>
      </c>
      <c r="Y18" s="51">
        <f>IF(D18="层数",SUMPRODUCT(O19:U21,AE19:AK21)+Y13,"")</f>
        <v>920</v>
      </c>
      <c r="Z18" s="38">
        <v>800</v>
      </c>
      <c r="AW18" s="20" t="s">
        <v>108</v>
      </c>
      <c r="AX18" s="20" t="s">
        <v>109</v>
      </c>
      <c r="AY18" s="20" t="s">
        <v>110</v>
      </c>
      <c r="AZ18" s="20" t="s">
        <v>111</v>
      </c>
    </row>
    <row r="19" spans="4:52" x14ac:dyDescent="0.15">
      <c r="D19" s="38">
        <v>3</v>
      </c>
      <c r="E19" s="54" t="s">
        <v>98</v>
      </c>
      <c r="F19" s="54" t="s">
        <v>122</v>
      </c>
      <c r="G19" s="54" t="s">
        <v>98</v>
      </c>
      <c r="H19" s="54" t="s">
        <v>121</v>
      </c>
      <c r="N19" s="38">
        <v>3</v>
      </c>
      <c r="O19" s="54">
        <v>1</v>
      </c>
      <c r="P19" s="54">
        <v>1</v>
      </c>
      <c r="Q19" s="54">
        <v>1</v>
      </c>
      <c r="R19" s="54"/>
      <c r="V19" s="38">
        <f>SUM(O19:U19)</f>
        <v>3</v>
      </c>
      <c r="X19" s="50" t="str">
        <f>IF(D19="层数",((V20*基础数据设定!$E$8+初级难度关卡验证!V21*基础数据设定!$E$9+初级难度关卡验证!V22*基础数据设定!$E$10)+SUM(V20:V23)*4),"")</f>
        <v/>
      </c>
      <c r="Z19" s="38" t="str">
        <f>IF(Y19="","",ROUND($E$4*Y19,-1))</f>
        <v/>
      </c>
      <c r="AD19" s="38">
        <v>3</v>
      </c>
      <c r="AE19" s="38">
        <f>IF(E19="","",INDEX(基础数据设定!$M$8:$M$19,MATCH(初级难度关卡验证!E19,基础数据设定!$L$8:$L$19,0)))</f>
        <v>100</v>
      </c>
      <c r="AF19" s="55">
        <f>IF(F19="","",INDEX(基础数据设定!$M$8:$M$19,MATCH(初级难度关卡验证!F19,基础数据设定!$L$8:$L$19,0)))</f>
        <v>50</v>
      </c>
      <c r="AG19" s="38">
        <f>IF(G19="","",INDEX(基础数据设定!$M$8:$M$19,MATCH(初级难度关卡验证!G19,基础数据设定!$L$8:$L$19,0)))</f>
        <v>100</v>
      </c>
      <c r="AH19" s="55">
        <f>IF(H19="","",INDEX(基础数据设定!$M$8:$M$19,MATCH(初级难度关卡验证!H19,基础数据设定!$L$8:$L$19,0)))</f>
        <v>10</v>
      </c>
      <c r="AI19" s="38" t="str">
        <f>IF(I19="","",INDEX(基础数据设定!$M$8:$M$19,MATCH(初级难度关卡验证!I19,基础数据设定!$L$8:$L$19,0)))</f>
        <v/>
      </c>
      <c r="AJ19" s="55" t="str">
        <f>IF(J19="","",INDEX(基础数据设定!$M$8:$M$19,MATCH(初级难度关卡验证!J19,基础数据设定!$L$8:$L$19,0)))</f>
        <v/>
      </c>
      <c r="AK19" s="38" t="str">
        <f>IF(K19="","",INDEX(基础数据设定!$M$8:$M$19,MATCH(初级难度关卡验证!K19,基础数据设定!$L$8:$L$19,0)))</f>
        <v/>
      </c>
      <c r="AW19" s="20" t="s">
        <v>99</v>
      </c>
      <c r="AX19" s="20">
        <f>基础数据设定!M33</f>
        <v>0</v>
      </c>
      <c r="AY19" s="20"/>
      <c r="AZ19" s="20"/>
    </row>
    <row r="20" spans="4:52" x14ac:dyDescent="0.15">
      <c r="D20" s="38">
        <v>2</v>
      </c>
      <c r="E20" s="54" t="s">
        <v>121</v>
      </c>
      <c r="F20" s="54" t="s">
        <v>123</v>
      </c>
      <c r="G20" s="54" t="s">
        <v>121</v>
      </c>
      <c r="H20" s="54"/>
      <c r="I20" s="54"/>
      <c r="N20" s="38">
        <v>2</v>
      </c>
      <c r="O20" s="54"/>
      <c r="P20" s="54">
        <v>1</v>
      </c>
      <c r="Q20" s="54"/>
      <c r="R20" s="54"/>
      <c r="S20" s="54"/>
      <c r="V20" s="38">
        <f t="shared" ref="V20:V21" si="3">SUM(O20:U20)</f>
        <v>1</v>
      </c>
      <c r="X20" s="50" t="str">
        <f>IF(D20="层数",((V21*基础数据设定!$E$8+初级难度关卡验证!V22*基础数据设定!$E$9+初级难度关卡验证!V23*基础数据设定!$E$10)+SUM(V21:V23)*4),"")</f>
        <v/>
      </c>
      <c r="Z20" s="38" t="str">
        <f>IF(Y20="","",ROUND($E$4*Y20,-1))</f>
        <v/>
      </c>
      <c r="AD20" s="38">
        <v>2</v>
      </c>
      <c r="AE20" s="55">
        <f>IF(E20="","",INDEX(基础数据设定!$M$8:$M$19,MATCH(初级难度关卡验证!E20,基础数据设定!$L$8:$L$19,0)))</f>
        <v>10</v>
      </c>
      <c r="AF20" s="38">
        <f>IF(F20="","",INDEX(基础数据设定!$M$8:$M$19,MATCH(初级难度关卡验证!F20,基础数据设定!$L$8:$L$19,0)))</f>
        <v>200</v>
      </c>
      <c r="AG20" s="55">
        <f>IF(G20="","",INDEX(基础数据设定!$M$8:$M$19,MATCH(初级难度关卡验证!G20,基础数据设定!$L$8:$L$19,0)))</f>
        <v>10</v>
      </c>
      <c r="AH20" s="38" t="str">
        <f>IF(H20="","",INDEX(基础数据设定!$M$8:$M$19,MATCH(初级难度关卡验证!H20,基础数据设定!$L$8:$L$19,0)))</f>
        <v/>
      </c>
      <c r="AI20" s="55" t="str">
        <f>IF(I20="","",INDEX(基础数据设定!$M$8:$M$19,MATCH(初级难度关卡验证!I20,基础数据设定!$L$8:$L$19,0)))</f>
        <v/>
      </c>
      <c r="AJ20" s="38" t="str">
        <f>IF(J20="","",INDEX(基础数据设定!$M$8:$M$19,MATCH(初级难度关卡验证!J20,基础数据设定!$L$8:$L$19,0)))</f>
        <v/>
      </c>
      <c r="AK20" s="55" t="str">
        <f>IF(K20="","",INDEX(基础数据设定!$M$8:$M$19,MATCH(初级难度关卡验证!K20,基础数据设定!$L$8:$L$19,0)))</f>
        <v/>
      </c>
      <c r="AW20" s="20" t="s">
        <v>86</v>
      </c>
      <c r="AX20" s="20">
        <f>基础数据设定!M34</f>
        <v>0</v>
      </c>
      <c r="AY20" s="20"/>
      <c r="AZ20" s="20"/>
    </row>
    <row r="21" spans="4:52" x14ac:dyDescent="0.15">
      <c r="D21" s="38">
        <v>1</v>
      </c>
      <c r="E21" s="54" t="s">
        <v>121</v>
      </c>
      <c r="F21" s="54" t="s">
        <v>122</v>
      </c>
      <c r="G21" s="54" t="s">
        <v>121</v>
      </c>
      <c r="H21" s="54"/>
      <c r="I21" s="54"/>
      <c r="J21" s="54"/>
      <c r="N21" s="38">
        <v>1</v>
      </c>
      <c r="O21" s="54"/>
      <c r="P21" s="54"/>
      <c r="Q21" s="54"/>
      <c r="R21" s="54"/>
      <c r="S21" s="54"/>
      <c r="T21" s="54"/>
      <c r="V21" s="38">
        <f t="shared" si="3"/>
        <v>0</v>
      </c>
      <c r="X21" s="50" t="str">
        <f>IF(D21="层数",((V22*基础数据设定!$E$8+初级难度关卡验证!V23*基础数据设定!$E$9+初级难度关卡验证!#REF!*基础数据设定!$E$10)+SUM(V22:V23)*4),"")</f>
        <v/>
      </c>
      <c r="Z21" s="38" t="str">
        <f>IF(Y21="","",ROUND($E$4*Y21,-1))</f>
        <v/>
      </c>
      <c r="AD21" s="38">
        <v>1</v>
      </c>
      <c r="AE21" s="38">
        <f>IF(E21="","",INDEX(基础数据设定!$M$8:$M$19,MATCH(初级难度关卡验证!E21,基础数据设定!$L$8:$L$19,0)))</f>
        <v>10</v>
      </c>
      <c r="AF21" s="55">
        <f>IF(F21="","",INDEX(基础数据设定!$M$8:$M$19,MATCH(初级难度关卡验证!F21,基础数据设定!$L$8:$L$19,0)))</f>
        <v>50</v>
      </c>
      <c r="AG21" s="38">
        <f>IF(G21="","",INDEX(基础数据设定!$M$8:$M$19,MATCH(初级难度关卡验证!G21,基础数据设定!$L$8:$L$19,0)))</f>
        <v>10</v>
      </c>
      <c r="AH21" s="55" t="str">
        <f>IF(H21="","",INDEX(基础数据设定!$M$8:$M$19,MATCH(初级难度关卡验证!H21,基础数据设定!$L$8:$L$19,0)))</f>
        <v/>
      </c>
      <c r="AI21" s="38" t="str">
        <f>IF(I21="","",INDEX(基础数据设定!$M$8:$M$19,MATCH(初级难度关卡验证!I21,基础数据设定!$L$8:$L$19,0)))</f>
        <v/>
      </c>
      <c r="AJ21" s="55" t="str">
        <f>IF(J21="","",INDEX(基础数据设定!$M$8:$M$19,MATCH(初级难度关卡验证!J21,基础数据设定!$L$8:$L$19,0)))</f>
        <v/>
      </c>
      <c r="AK21" s="38" t="str">
        <f>IF(K21="","",INDEX(基础数据设定!$M$8:$M$19,MATCH(初级难度关卡验证!K21,基础数据设定!$L$8:$L$19,0)))</f>
        <v/>
      </c>
      <c r="AW21" s="20" t="s">
        <v>100</v>
      </c>
      <c r="AX21" s="20">
        <f>基础数据设定!M35</f>
        <v>0</v>
      </c>
      <c r="AY21" s="20"/>
      <c r="AZ21" s="20"/>
    </row>
    <row r="22" spans="4:52" x14ac:dyDescent="0.15">
      <c r="X22" s="50" t="str">
        <f>IF(D22="层数",((V23*基础数据设定!$E$8+初级难度关卡验证!#REF!*基础数据设定!$E$9+初级难度关卡验证!#REF!*基础数据设定!$E$10)+SUM(V23:V23)*4),"")</f>
        <v/>
      </c>
      <c r="Y22" s="51" t="str">
        <f>IF(D22="层数",SUMPRODUCT(O23:U23,AE23:AK23)+Y17,"")</f>
        <v/>
      </c>
      <c r="Z22" s="38" t="str">
        <f>IF(Y22="","",ROUND($E$4*Y22,-1))</f>
        <v/>
      </c>
      <c r="AW22" s="20" t="s">
        <v>101</v>
      </c>
      <c r="AX22" s="56" t="e">
        <f>基础数据设定!#REF!</f>
        <v>#REF!</v>
      </c>
      <c r="AY22" s="20"/>
      <c r="AZ22" s="20"/>
    </row>
    <row r="23" spans="4:52" x14ac:dyDescent="0.15">
      <c r="X23" s="50" t="str">
        <f>IF(D23="层数",((#REF!*基础数据设定!$E$8+初级难度关卡验证!#REF!*基础数据设定!$E$9+初级难度关卡验证!#REF!*基础数据设定!$E$10)+SUM(#REF!)*4),"")</f>
        <v/>
      </c>
      <c r="Y23" s="51" t="str">
        <f>IF(D23="层数",SUMPRODUCT(#REF!,#REF!)+#REF!,"")</f>
        <v/>
      </c>
      <c r="Z23" s="38" t="str">
        <f>IF(Y23="","",ROUND($E$4*Y23,-1))</f>
        <v/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A980-635F-4464-9F96-F2C11A05AFA5}">
  <sheetPr codeName="Sheet5"/>
  <dimension ref="D4:AK69"/>
  <sheetViews>
    <sheetView topLeftCell="A4" zoomScaleNormal="100" workbookViewId="0">
      <selection activeCell="N34" sqref="N34"/>
    </sheetView>
  </sheetViews>
  <sheetFormatPr defaultColWidth="6.625" defaultRowHeight="11.25" x14ac:dyDescent="0.15"/>
  <cols>
    <col min="1" max="23" width="6.625" style="40"/>
    <col min="24" max="24" width="13" style="50" bestFit="1" customWidth="1"/>
    <col min="25" max="25" width="13" style="51" bestFit="1" customWidth="1"/>
    <col min="26" max="16384" width="6.625" style="40"/>
  </cols>
  <sheetData>
    <row r="4" spans="4:37" x14ac:dyDescent="0.15">
      <c r="D4" s="40" t="s">
        <v>104</v>
      </c>
      <c r="E4" s="40">
        <v>0.85</v>
      </c>
    </row>
    <row r="6" spans="4:37" x14ac:dyDescent="0.15">
      <c r="D6" s="40" t="s">
        <v>107</v>
      </c>
      <c r="N6" s="40" t="s">
        <v>113</v>
      </c>
      <c r="AE6" s="40" t="s">
        <v>112</v>
      </c>
    </row>
    <row r="7" spans="4:37" x14ac:dyDescent="0.15">
      <c r="X7" s="52" t="s">
        <v>114</v>
      </c>
      <c r="Y7" s="53" t="s">
        <v>115</v>
      </c>
    </row>
    <row r="8" spans="4:37" x14ac:dyDescent="0.15">
      <c r="D8" s="40" t="s">
        <v>103</v>
      </c>
      <c r="E8" s="40">
        <v>1</v>
      </c>
      <c r="F8" s="40">
        <v>2</v>
      </c>
      <c r="G8" s="40">
        <v>3</v>
      </c>
      <c r="H8" s="40">
        <v>4</v>
      </c>
      <c r="I8" s="40">
        <v>5</v>
      </c>
      <c r="J8" s="40">
        <v>6</v>
      </c>
      <c r="K8" s="40">
        <v>7</v>
      </c>
      <c r="V8" s="40" t="s">
        <v>127</v>
      </c>
      <c r="X8" s="50">
        <f>IF(D8="层数",((V9*基础数据设定!$E$8+初级难度关卡验证!V10*基础数据设定!$E$9+初级难度关卡验证!V11*基础数据设定!$E$10)+SUM(V9:V11)*4),"")</f>
        <v>22.816901408450704</v>
      </c>
      <c r="Y8" s="51">
        <f>SUMPRODUCT(O9:U11,AE9:AK11)</f>
        <v>200</v>
      </c>
      <c r="Z8" s="40">
        <v>150</v>
      </c>
    </row>
    <row r="9" spans="4:37" x14ac:dyDescent="0.15">
      <c r="D9" s="40">
        <v>3</v>
      </c>
      <c r="E9" s="54" t="s">
        <v>122</v>
      </c>
      <c r="F9" s="54" t="s">
        <v>122</v>
      </c>
      <c r="G9" s="54" t="s">
        <v>122</v>
      </c>
      <c r="H9" s="54" t="s">
        <v>121</v>
      </c>
      <c r="N9" s="40">
        <v>3</v>
      </c>
      <c r="O9" s="54"/>
      <c r="P9" s="54">
        <v>1</v>
      </c>
      <c r="Q9" s="54">
        <v>1</v>
      </c>
      <c r="R9" s="54"/>
      <c r="V9" s="40">
        <f>SUM(O9:U9)</f>
        <v>2</v>
      </c>
      <c r="X9" s="50" t="str">
        <f>IF(D9="层数",((V10*基础数据设定!$E$8+初级难度关卡验证!V11*基础数据设定!$E$9+初级难度关卡验证!V12*基础数据设定!$E$10)+SUM(V10:V11)*4),"")</f>
        <v/>
      </c>
      <c r="Z9" s="40" t="str">
        <f t="shared" ref="Z9:Z47" si="0">IF(Y9="","",ROUND($E$4*Y9,-1))</f>
        <v/>
      </c>
      <c r="AD9" s="40">
        <v>3</v>
      </c>
      <c r="AE9" s="40">
        <f>IF(E9="","",INDEX(基础数据设定!$M$8:$M$19,MATCH(中级难度关卡验证!E9,基础数据设定!$L$8:$L$19,0)))</f>
        <v>50</v>
      </c>
      <c r="AF9" s="55">
        <f>IF(F9="","",INDEX(基础数据设定!$M$8:$M$19,MATCH(中级难度关卡验证!F9,基础数据设定!$L$8:$L$19,0)))</f>
        <v>50</v>
      </c>
      <c r="AG9" s="40">
        <f>IF(G9="","",INDEX(基础数据设定!$M$8:$M$19,MATCH(中级难度关卡验证!G9,基础数据设定!$L$8:$L$19,0)))</f>
        <v>50</v>
      </c>
      <c r="AH9" s="55">
        <f>IF(H9="","",INDEX(基础数据设定!$M$8:$M$19,MATCH(中级难度关卡验证!H9,基础数据设定!$L$8:$L$19,0)))</f>
        <v>10</v>
      </c>
      <c r="AI9" s="40" t="str">
        <f>IF(I9="","",INDEX(基础数据设定!$M$8:$M$19,MATCH(中级难度关卡验证!I9,基础数据设定!$L$8:$L$19,0)))</f>
        <v/>
      </c>
      <c r="AJ9" s="55" t="str">
        <f>IF(J9="","",INDEX(基础数据设定!$M$8:$M$19,MATCH(中级难度关卡验证!J9,基础数据设定!$L$8:$L$19,0)))</f>
        <v/>
      </c>
      <c r="AK9" s="40" t="str">
        <f>IF(K9="","",INDEX(基础数据设定!$M$8:$M$19,MATCH(中级难度关卡验证!K9,基础数据设定!$L$8:$L$19,0)))</f>
        <v/>
      </c>
    </row>
    <row r="10" spans="4:37" x14ac:dyDescent="0.15">
      <c r="D10" s="40">
        <v>2</v>
      </c>
      <c r="E10" s="54" t="s">
        <v>121</v>
      </c>
      <c r="F10" s="54" t="s">
        <v>122</v>
      </c>
      <c r="G10" s="54" t="s">
        <v>121</v>
      </c>
      <c r="H10" s="54"/>
      <c r="I10" s="54"/>
      <c r="N10" s="40">
        <v>2</v>
      </c>
      <c r="O10" s="54"/>
      <c r="P10" s="54">
        <v>1</v>
      </c>
      <c r="Q10" s="54"/>
      <c r="R10" s="54"/>
      <c r="S10" s="54"/>
      <c r="V10" s="40">
        <f t="shared" ref="V10:V11" si="1">SUM(O10:U10)</f>
        <v>1</v>
      </c>
      <c r="X10" s="50" t="str">
        <f>IF(D10="层数",((V11*基础数据设定!$E$8+初级难度关卡验证!V12*基础数据设定!$E$9+初级难度关卡验证!#REF!*基础数据设定!$E$10)+SUM(V11:V11)*4),"")</f>
        <v/>
      </c>
      <c r="Z10" s="40" t="str">
        <f t="shared" si="0"/>
        <v/>
      </c>
      <c r="AD10" s="40">
        <v>2</v>
      </c>
      <c r="AE10" s="55">
        <f>IF(E10="","",INDEX(基础数据设定!$M$8:$M$19,MATCH(中级难度关卡验证!E10,基础数据设定!$L$8:$L$19,0)))</f>
        <v>10</v>
      </c>
      <c r="AF10" s="40">
        <f>IF(F10="","",INDEX(基础数据设定!$M$8:$M$19,MATCH(中级难度关卡验证!F10,基础数据设定!$L$8:$L$19,0)))</f>
        <v>50</v>
      </c>
      <c r="AG10" s="55">
        <f>IF(G10="","",INDEX(基础数据设定!$M$8:$M$19,MATCH(中级难度关卡验证!G10,基础数据设定!$L$8:$L$19,0)))</f>
        <v>10</v>
      </c>
      <c r="AH10" s="40" t="str">
        <f>IF(H10="","",INDEX(基础数据设定!$M$8:$M$19,MATCH(中级难度关卡验证!H10,基础数据设定!$L$8:$L$19,0)))</f>
        <v/>
      </c>
      <c r="AI10" s="55" t="str">
        <f>IF(I10="","",INDEX(基础数据设定!$M$8:$M$19,MATCH(中级难度关卡验证!I10,基础数据设定!$L$8:$L$19,0)))</f>
        <v/>
      </c>
      <c r="AJ10" s="40" t="str">
        <f>IF(J10="","",INDEX(基础数据设定!$M$8:$M$19,MATCH(中级难度关卡验证!J10,基础数据设定!$L$8:$L$19,0)))</f>
        <v/>
      </c>
      <c r="AK10" s="55" t="str">
        <f>IF(K10="","",INDEX(基础数据设定!$M$8:$M$19,MATCH(中级难度关卡验证!K10,基础数据设定!$L$8:$L$19,0)))</f>
        <v/>
      </c>
    </row>
    <row r="11" spans="4:37" x14ac:dyDescent="0.15">
      <c r="D11" s="40">
        <v>1</v>
      </c>
      <c r="E11" s="54" t="s">
        <v>121</v>
      </c>
      <c r="F11" s="54" t="s">
        <v>121</v>
      </c>
      <c r="G11" s="54" t="s">
        <v>122</v>
      </c>
      <c r="H11" s="54"/>
      <c r="I11" s="54"/>
      <c r="J11" s="54"/>
      <c r="N11" s="40">
        <v>1</v>
      </c>
      <c r="O11" s="54"/>
      <c r="P11" s="54"/>
      <c r="Q11" s="54">
        <v>1</v>
      </c>
      <c r="R11" s="54"/>
      <c r="S11" s="54"/>
      <c r="T11" s="54"/>
      <c r="V11" s="40">
        <f t="shared" si="1"/>
        <v>1</v>
      </c>
      <c r="X11" s="50" t="str">
        <f>IF(D11="层数",((#REF!*基础数据设定!$E$8+初级难度关卡验证!#REF!*基础数据设定!$E$9+初级难度关卡验证!#REF!*基础数据设定!$E$10)+SUM(#REF!)*4),"")</f>
        <v/>
      </c>
      <c r="Z11" s="40" t="str">
        <f t="shared" si="0"/>
        <v/>
      </c>
      <c r="AD11" s="40">
        <v>1</v>
      </c>
      <c r="AE11" s="40">
        <f>IF(E11="","",INDEX(基础数据设定!$M$8:$M$19,MATCH(中级难度关卡验证!E11,基础数据设定!$L$8:$L$19,0)))</f>
        <v>10</v>
      </c>
      <c r="AF11" s="55">
        <f>IF(F11="","",INDEX(基础数据设定!$M$8:$M$19,MATCH(中级难度关卡验证!F11,基础数据设定!$L$8:$L$19,0)))</f>
        <v>10</v>
      </c>
      <c r="AG11" s="40">
        <f>IF(G11="","",INDEX(基础数据设定!$M$8:$M$19,MATCH(中级难度关卡验证!G11,基础数据设定!$L$8:$L$19,0)))</f>
        <v>50</v>
      </c>
      <c r="AH11" s="55" t="str">
        <f>IF(H11="","",INDEX(基础数据设定!$M$8:$M$19,MATCH(中级难度关卡验证!H11,基础数据设定!$L$8:$L$19,0)))</f>
        <v/>
      </c>
      <c r="AI11" s="40" t="str">
        <f>IF(I11="","",INDEX(基础数据设定!$M$8:$M$19,MATCH(中级难度关卡验证!I11,基础数据设定!$L$8:$L$19,0)))</f>
        <v/>
      </c>
      <c r="AJ11" s="55" t="str">
        <f>IF(J11="","",INDEX(基础数据设定!$M$8:$M$19,MATCH(中级难度关卡验证!J11,基础数据设定!$L$8:$L$19,0)))</f>
        <v/>
      </c>
      <c r="AK11" s="40" t="str">
        <f>IF(K11="","",INDEX(基础数据设定!$M$8:$M$19,MATCH(中级难度关卡验证!K11,基础数据设定!$L$8:$L$19,0)))</f>
        <v/>
      </c>
    </row>
    <row r="12" spans="4:37" x14ac:dyDescent="0.15">
      <c r="X12" s="50" t="str">
        <f>IF(D12="层数",((V13*基础数据设定!$E$8+初级难度关卡验证!V14*基础数据设定!$E$9+初级难度关卡验证!V15*基础数据设定!$E$10)+SUM(V13:V17)*4),"")</f>
        <v/>
      </c>
      <c r="Z12" s="40" t="str">
        <f t="shared" si="0"/>
        <v/>
      </c>
    </row>
    <row r="13" spans="4:37" x14ac:dyDescent="0.15">
      <c r="D13" s="40" t="s">
        <v>103</v>
      </c>
      <c r="E13" s="40">
        <v>1</v>
      </c>
      <c r="F13" s="40">
        <v>2</v>
      </c>
      <c r="G13" s="40">
        <v>3</v>
      </c>
      <c r="H13" s="40">
        <v>4</v>
      </c>
      <c r="I13" s="40">
        <v>5</v>
      </c>
      <c r="J13" s="40">
        <v>6</v>
      </c>
      <c r="K13" s="40">
        <v>7</v>
      </c>
      <c r="X13" s="50">
        <f>IF(D13="层数",((V14*基础数据设定!$E$8+初级难度关卡验证!V15*基础数据设定!$E$9+初级难度关卡验证!V16*基础数据设定!$E$10)+SUM(V14:V17)*4),"")</f>
        <v>25.408450704225352</v>
      </c>
      <c r="Y13" s="51">
        <f>IF(D13="层数",SUMPRODUCT(O14:U16,AE14:AK16)+Y8,"")</f>
        <v>570</v>
      </c>
      <c r="Z13" s="40">
        <v>500</v>
      </c>
    </row>
    <row r="14" spans="4:37" x14ac:dyDescent="0.15">
      <c r="D14" s="40">
        <v>3</v>
      </c>
      <c r="E14" s="54" t="s">
        <v>123</v>
      </c>
      <c r="F14" s="54" t="s">
        <v>122</v>
      </c>
      <c r="G14" s="54" t="s">
        <v>98</v>
      </c>
      <c r="H14" s="54" t="s">
        <v>121</v>
      </c>
      <c r="N14" s="40">
        <v>3</v>
      </c>
      <c r="O14" s="54">
        <v>1</v>
      </c>
      <c r="P14" s="54"/>
      <c r="Q14" s="54">
        <v>1</v>
      </c>
      <c r="R14" s="54"/>
      <c r="V14" s="40">
        <f>SUM(O14:U14)</f>
        <v>2</v>
      </c>
      <c r="X14" s="50" t="str">
        <f>IF(D14="层数",((V15*基础数据设定!$E$8+初级难度关卡验证!V16*基础数据设定!$E$9+初级难度关卡验证!V17*基础数据设定!$E$10)+SUM(V15:V17)*4),"")</f>
        <v/>
      </c>
      <c r="Z14" s="40" t="str">
        <f t="shared" ref="Z14:Z16" si="2">IF(Y14="","",ROUND($E$4*Y14,-1))</f>
        <v/>
      </c>
      <c r="AD14" s="40">
        <v>3</v>
      </c>
      <c r="AE14" s="40">
        <f>IF(E14="","",INDEX(基础数据设定!$M$8:$M$19,MATCH(中级难度关卡验证!E14,基础数据设定!$L$8:$L$19,0)))</f>
        <v>200</v>
      </c>
      <c r="AF14" s="55">
        <f>IF(F14="","",INDEX(基础数据设定!$M$8:$M$19,MATCH(中级难度关卡验证!F14,基础数据设定!$L$8:$L$19,0)))</f>
        <v>50</v>
      </c>
      <c r="AG14" s="40">
        <f>IF(G14="","",INDEX(基础数据设定!$M$8:$M$19,MATCH(中级难度关卡验证!G14,基础数据设定!$L$8:$L$19,0)))</f>
        <v>100</v>
      </c>
      <c r="AH14" s="55">
        <f>IF(H14="","",INDEX(基础数据设定!$M$8:$M$19,MATCH(中级难度关卡验证!H14,基础数据设定!$L$8:$L$19,0)))</f>
        <v>10</v>
      </c>
      <c r="AI14" s="40" t="str">
        <f>IF(I14="","",INDEX(基础数据设定!$M$8:$M$19,MATCH(中级难度关卡验证!I14,基础数据设定!$L$8:$L$19,0)))</f>
        <v/>
      </c>
      <c r="AJ14" s="55" t="str">
        <f>IF(J14="","",INDEX(基础数据设定!$M$8:$M$19,MATCH(中级难度关卡验证!J14,基础数据设定!$L$8:$L$19,0)))</f>
        <v/>
      </c>
      <c r="AK14" s="40" t="str">
        <f>IF(K14="","",INDEX(基础数据设定!$M$8:$M$19,MATCH(中级难度关卡验证!K14,基础数据设定!$L$8:$L$19,0)))</f>
        <v/>
      </c>
    </row>
    <row r="15" spans="4:37" x14ac:dyDescent="0.15">
      <c r="D15" s="40">
        <v>2</v>
      </c>
      <c r="E15" s="54" t="s">
        <v>121</v>
      </c>
      <c r="F15" s="54" t="s">
        <v>122</v>
      </c>
      <c r="G15" s="54" t="s">
        <v>121</v>
      </c>
      <c r="H15" s="54"/>
      <c r="I15" s="54"/>
      <c r="N15" s="40">
        <v>2</v>
      </c>
      <c r="O15" s="54">
        <v>1</v>
      </c>
      <c r="P15" s="54">
        <v>1</v>
      </c>
      <c r="Q15" s="54"/>
      <c r="R15" s="54"/>
      <c r="S15" s="54"/>
      <c r="V15" s="40">
        <f t="shared" ref="V15:V16" si="3">SUM(O15:U15)</f>
        <v>2</v>
      </c>
      <c r="X15" s="50" t="str">
        <f>IF(D15="层数",((V16*基础数据设定!$E$8+初级难度关卡验证!V17*基础数据设定!$E$9+初级难度关卡验证!#REF!*基础数据设定!$E$10)+SUM(V16:V17)*4),"")</f>
        <v/>
      </c>
      <c r="Z15" s="40" t="str">
        <f t="shared" si="2"/>
        <v/>
      </c>
      <c r="AD15" s="40">
        <v>2</v>
      </c>
      <c r="AE15" s="55">
        <f>IF(E15="","",INDEX(基础数据设定!$M$8:$M$19,MATCH(中级难度关卡验证!E15,基础数据设定!$L$8:$L$19,0)))</f>
        <v>10</v>
      </c>
      <c r="AF15" s="40">
        <f>IF(F15="","",INDEX(基础数据设定!$M$8:$M$19,MATCH(中级难度关卡验证!F15,基础数据设定!$L$8:$L$19,0)))</f>
        <v>50</v>
      </c>
      <c r="AG15" s="55">
        <f>IF(G15="","",INDEX(基础数据设定!$M$8:$M$19,MATCH(中级难度关卡验证!G15,基础数据设定!$L$8:$L$19,0)))</f>
        <v>10</v>
      </c>
      <c r="AH15" s="40" t="str">
        <f>IF(H15="","",INDEX(基础数据设定!$M$8:$M$19,MATCH(中级难度关卡验证!H15,基础数据设定!$L$8:$L$19,0)))</f>
        <v/>
      </c>
      <c r="AI15" s="55" t="str">
        <f>IF(I15="","",INDEX(基础数据设定!$M$8:$M$19,MATCH(中级难度关卡验证!I15,基础数据设定!$L$8:$L$19,0)))</f>
        <v/>
      </c>
      <c r="AJ15" s="40" t="str">
        <f>IF(J15="","",INDEX(基础数据设定!$M$8:$M$19,MATCH(中级难度关卡验证!J15,基础数据设定!$L$8:$L$19,0)))</f>
        <v/>
      </c>
      <c r="AK15" s="55" t="str">
        <f>IF(K15="","",INDEX(基础数据设定!$M$8:$M$19,MATCH(中级难度关卡验证!K15,基础数据设定!$L$8:$L$19,0)))</f>
        <v/>
      </c>
    </row>
    <row r="16" spans="4:37" x14ac:dyDescent="0.15">
      <c r="D16" s="40">
        <v>1</v>
      </c>
      <c r="E16" s="54" t="s">
        <v>121</v>
      </c>
      <c r="F16" s="54" t="s">
        <v>121</v>
      </c>
      <c r="G16" s="54" t="s">
        <v>122</v>
      </c>
      <c r="H16" s="54"/>
      <c r="I16" s="54"/>
      <c r="J16" s="54"/>
      <c r="N16" s="40">
        <v>1</v>
      </c>
      <c r="O16" s="54"/>
      <c r="P16" s="54">
        <v>1</v>
      </c>
      <c r="Q16" s="54"/>
      <c r="R16" s="54"/>
      <c r="S16" s="54"/>
      <c r="T16" s="54"/>
      <c r="V16" s="40">
        <f t="shared" si="3"/>
        <v>1</v>
      </c>
      <c r="X16" s="50" t="str">
        <f>IF(D16="层数",((V17*基础数据设定!$E$8+初级难度关卡验证!#REF!*基础数据设定!$E$9+初级难度关卡验证!#REF!*基础数据设定!$E$10)+SUM(V17:V17)*4),"")</f>
        <v/>
      </c>
      <c r="Z16" s="40" t="str">
        <f t="shared" si="2"/>
        <v/>
      </c>
      <c r="AD16" s="40">
        <v>1</v>
      </c>
      <c r="AE16" s="40">
        <f>IF(E16="","",INDEX(基础数据设定!$M$8:$M$19,MATCH(中级难度关卡验证!E16,基础数据设定!$L$8:$L$19,0)))</f>
        <v>10</v>
      </c>
      <c r="AF16" s="55">
        <f>IF(F16="","",INDEX(基础数据设定!$M$8:$M$19,MATCH(中级难度关卡验证!F16,基础数据设定!$L$8:$L$19,0)))</f>
        <v>10</v>
      </c>
      <c r="AG16" s="40">
        <f>IF(G16="","",INDEX(基础数据设定!$M$8:$M$19,MATCH(中级难度关卡验证!G16,基础数据设定!$L$8:$L$19,0)))</f>
        <v>50</v>
      </c>
      <c r="AH16" s="55" t="str">
        <f>IF(H16="","",INDEX(基础数据设定!$M$8:$M$19,MATCH(中级难度关卡验证!H16,基础数据设定!$L$8:$L$19,0)))</f>
        <v/>
      </c>
      <c r="AI16" s="40" t="str">
        <f>IF(I16="","",INDEX(基础数据设定!$M$8:$M$19,MATCH(中级难度关卡验证!I16,基础数据设定!$L$8:$L$19,0)))</f>
        <v/>
      </c>
      <c r="AJ16" s="55" t="str">
        <f>IF(J16="","",INDEX(基础数据设定!$M$8:$M$19,MATCH(中级难度关卡验证!J16,基础数据设定!$L$8:$L$19,0)))</f>
        <v/>
      </c>
      <c r="AK16" s="40" t="str">
        <f>IF(K16="","",INDEX(基础数据设定!$M$8:$M$19,MATCH(中级难度关卡验证!K16,基础数据设定!$L$8:$L$19,0)))</f>
        <v/>
      </c>
    </row>
    <row r="17" spans="4:37" x14ac:dyDescent="0.15">
      <c r="X17" s="50" t="str">
        <f>IF(D17="层数",((#REF!*基础数据设定!$E$8+初级难度关卡验证!#REF!*基础数据设定!$E$9+初级难度关卡验证!#REF!*基础数据设定!$E$10)+SUM(#REF!)*4),"")</f>
        <v/>
      </c>
      <c r="Y17" s="51" t="str">
        <f>IF(D17="层数",SUMPRODUCT(#REF!,#REF!)+#REF!,"")</f>
        <v/>
      </c>
      <c r="Z17" s="40" t="str">
        <f t="shared" si="0"/>
        <v/>
      </c>
    </row>
    <row r="18" spans="4:37" x14ac:dyDescent="0.15">
      <c r="D18" s="40" t="s">
        <v>103</v>
      </c>
      <c r="E18" s="40">
        <v>1</v>
      </c>
      <c r="F18" s="40">
        <v>2</v>
      </c>
      <c r="G18" s="40">
        <v>3</v>
      </c>
      <c r="H18" s="40">
        <v>4</v>
      </c>
      <c r="I18" s="40">
        <v>5</v>
      </c>
      <c r="J18" s="40">
        <v>6</v>
      </c>
      <c r="K18" s="40">
        <v>7</v>
      </c>
      <c r="X18" s="50">
        <f>IF(D18="层数",((V19*基础数据设定!$E$8+初级难度关卡验证!V20*基础数据设定!$E$9+初级难度关卡验证!V21*基础数据设定!$E$10)+SUM(V19:V22)*4),"")</f>
        <v>25.408450704225352</v>
      </c>
      <c r="Y18" s="51">
        <f>IF(D18="层数",SUMPRODUCT(O19:U21,AE19:AK21)+Y13,"")</f>
        <v>1530</v>
      </c>
      <c r="Z18" s="40">
        <v>1000</v>
      </c>
    </row>
    <row r="19" spans="4:37" x14ac:dyDescent="0.15">
      <c r="D19" s="40">
        <v>3</v>
      </c>
      <c r="E19" s="54" t="s">
        <v>123</v>
      </c>
      <c r="F19" s="54" t="s">
        <v>98</v>
      </c>
      <c r="G19" s="54" t="s">
        <v>124</v>
      </c>
      <c r="H19" s="54"/>
      <c r="N19" s="40">
        <v>3</v>
      </c>
      <c r="O19" s="54">
        <v>1</v>
      </c>
      <c r="P19" s="54"/>
      <c r="Q19" s="54">
        <v>1</v>
      </c>
      <c r="R19" s="54"/>
      <c r="V19" s="40">
        <f>SUM(O19:U19)</f>
        <v>2</v>
      </c>
      <c r="X19" s="50" t="str">
        <f>IF(D19="层数",((V20*基础数据设定!$E$8+初级难度关卡验证!V21*基础数据设定!$E$9+初级难度关卡验证!V22*基础数据设定!$E$10)+SUM(V20:V22)*4),"")</f>
        <v/>
      </c>
      <c r="Z19" s="40" t="str">
        <f t="shared" ref="Z19:Z22" si="4">IF(Y19="","",ROUND($E$4*Y19,-1))</f>
        <v/>
      </c>
      <c r="AD19" s="40">
        <v>3</v>
      </c>
      <c r="AE19" s="40">
        <f>IF(E19="","",INDEX(基础数据设定!$M$8:$M$19,MATCH(中级难度关卡验证!E19,基础数据设定!$L$8:$L$19,0)))</f>
        <v>200</v>
      </c>
      <c r="AF19" s="55">
        <f>IF(F19="","",INDEX(基础数据设定!$M$8:$M$19,MATCH(中级难度关卡验证!F19,基础数据设定!$L$8:$L$19,0)))</f>
        <v>100</v>
      </c>
      <c r="AG19" s="40">
        <f>IF(G19="","",INDEX(基础数据设定!$M$8:$M$19,MATCH(中级难度关卡验证!G19,基础数据设定!$L$8:$L$19,0)))</f>
        <v>500</v>
      </c>
      <c r="AH19" s="55" t="str">
        <f>IF(H19="","",INDEX(基础数据设定!$M$8:$M$19,MATCH(中级难度关卡验证!H19,基础数据设定!$L$8:$L$19,0)))</f>
        <v/>
      </c>
      <c r="AI19" s="40" t="str">
        <f>IF(I19="","",INDEX(基础数据设定!$M$8:$M$19,MATCH(中级难度关卡验证!I19,基础数据设定!$L$8:$L$19,0)))</f>
        <v/>
      </c>
      <c r="AJ19" s="55" t="str">
        <f>IF(J19="","",INDEX(基础数据设定!$M$8:$M$19,MATCH(中级难度关卡验证!J19,基础数据设定!$L$8:$L$19,0)))</f>
        <v/>
      </c>
      <c r="AK19" s="40" t="str">
        <f>IF(K19="","",INDEX(基础数据设定!$M$8:$M$19,MATCH(中级难度关卡验证!K19,基础数据设定!$L$8:$L$19,0)))</f>
        <v/>
      </c>
    </row>
    <row r="20" spans="4:37" x14ac:dyDescent="0.15">
      <c r="D20" s="40">
        <v>2</v>
      </c>
      <c r="E20" s="54" t="s">
        <v>121</v>
      </c>
      <c r="F20" s="54" t="s">
        <v>123</v>
      </c>
      <c r="G20" s="54" t="s">
        <v>122</v>
      </c>
      <c r="H20" s="54" t="s">
        <v>121</v>
      </c>
      <c r="I20" s="54" t="s">
        <v>121</v>
      </c>
      <c r="N20" s="40">
        <v>2</v>
      </c>
      <c r="O20" s="54"/>
      <c r="P20" s="54">
        <v>1</v>
      </c>
      <c r="Q20" s="54"/>
      <c r="R20" s="54"/>
      <c r="S20" s="54"/>
      <c r="V20" s="40">
        <f t="shared" ref="V20:V21" si="5">SUM(O20:U20)</f>
        <v>1</v>
      </c>
      <c r="X20" s="50" t="str">
        <f>IF(D20="层数",((V21*基础数据设定!$E$8+初级难度关卡验证!V22*基础数据设定!$E$9+初级难度关卡验证!V23*基础数据设定!$E$10)+SUM(V21:V22)*4),"")</f>
        <v/>
      </c>
      <c r="Z20" s="40" t="str">
        <f t="shared" si="4"/>
        <v/>
      </c>
      <c r="AD20" s="40">
        <v>2</v>
      </c>
      <c r="AE20" s="55">
        <f>IF(E20="","",INDEX(基础数据设定!$M$8:$M$19,MATCH(中级难度关卡验证!E20,基础数据设定!$L$8:$L$19,0)))</f>
        <v>10</v>
      </c>
      <c r="AF20" s="40">
        <f>IF(F20="","",INDEX(基础数据设定!$M$8:$M$19,MATCH(中级难度关卡验证!F20,基础数据设定!$L$8:$L$19,0)))</f>
        <v>200</v>
      </c>
      <c r="AG20" s="55">
        <f>IF(G20="","",INDEX(基础数据设定!$M$8:$M$19,MATCH(中级难度关卡验证!G20,基础数据设定!$L$8:$L$19,0)))</f>
        <v>50</v>
      </c>
      <c r="AH20" s="40">
        <f>IF(H20="","",INDEX(基础数据设定!$M$8:$M$19,MATCH(中级难度关卡验证!H20,基础数据设定!$L$8:$L$19,0)))</f>
        <v>10</v>
      </c>
      <c r="AI20" s="55">
        <f>IF(I20="","",INDEX(基础数据设定!$M$8:$M$19,MATCH(中级难度关卡验证!I20,基础数据设定!$L$8:$L$19,0)))</f>
        <v>10</v>
      </c>
      <c r="AJ20" s="40" t="str">
        <f>IF(J20="","",INDEX(基础数据设定!$M$8:$M$19,MATCH(中级难度关卡验证!J20,基础数据设定!$L$8:$L$19,0)))</f>
        <v/>
      </c>
      <c r="AK20" s="55" t="str">
        <f>IF(K20="","",INDEX(基础数据设定!$M$8:$M$19,MATCH(中级难度关卡验证!K20,基础数据设定!$L$8:$L$19,0)))</f>
        <v/>
      </c>
    </row>
    <row r="21" spans="4:37" x14ac:dyDescent="0.15">
      <c r="D21" s="40">
        <v>1</v>
      </c>
      <c r="E21" s="54" t="s">
        <v>121</v>
      </c>
      <c r="F21" s="54" t="s">
        <v>122</v>
      </c>
      <c r="G21" s="54" t="s">
        <v>121</v>
      </c>
      <c r="H21" s="54" t="s">
        <v>121</v>
      </c>
      <c r="I21" s="54" t="s">
        <v>121</v>
      </c>
      <c r="J21" s="54"/>
      <c r="N21" s="40">
        <v>1</v>
      </c>
      <c r="O21" s="54"/>
      <c r="P21" s="54">
        <v>1</v>
      </c>
      <c r="Q21" s="54">
        <v>1</v>
      </c>
      <c r="R21" s="54"/>
      <c r="S21" s="54"/>
      <c r="T21" s="54"/>
      <c r="V21" s="40">
        <f t="shared" si="5"/>
        <v>2</v>
      </c>
      <c r="X21" s="50" t="str">
        <f>IF(D21="层数",((V22*基础数据设定!$E$8+初级难度关卡验证!V23*基础数据设定!$E$9+初级难度关卡验证!#REF!*基础数据设定!$E$10)+SUM(V22:V22)*4),"")</f>
        <v/>
      </c>
      <c r="Z21" s="40" t="str">
        <f t="shared" si="4"/>
        <v/>
      </c>
      <c r="AD21" s="40">
        <v>1</v>
      </c>
      <c r="AE21" s="40">
        <f>IF(E21="","",INDEX(基础数据设定!$M$8:$M$19,MATCH(中级难度关卡验证!E21,基础数据设定!$L$8:$L$19,0)))</f>
        <v>10</v>
      </c>
      <c r="AF21" s="55">
        <f>IF(F21="","",INDEX(基础数据设定!$M$8:$M$19,MATCH(中级难度关卡验证!F21,基础数据设定!$L$8:$L$19,0)))</f>
        <v>50</v>
      </c>
      <c r="AG21" s="40">
        <f>IF(G21="","",INDEX(基础数据设定!$M$8:$M$19,MATCH(中级难度关卡验证!G21,基础数据设定!$L$8:$L$19,0)))</f>
        <v>10</v>
      </c>
      <c r="AH21" s="55">
        <f>IF(H21="","",INDEX(基础数据设定!$M$8:$M$19,MATCH(中级难度关卡验证!H21,基础数据设定!$L$8:$L$19,0)))</f>
        <v>10</v>
      </c>
      <c r="AI21" s="40">
        <f>IF(I21="","",INDEX(基础数据设定!$M$8:$M$19,MATCH(中级难度关卡验证!I21,基础数据设定!$L$8:$L$19,0)))</f>
        <v>10</v>
      </c>
      <c r="AJ21" s="55" t="str">
        <f>IF(J21="","",INDEX(基础数据设定!$M$8:$M$19,MATCH(中级难度关卡验证!J21,基础数据设定!$L$8:$L$19,0)))</f>
        <v/>
      </c>
      <c r="AK21" s="40" t="str">
        <f>IF(K21="","",INDEX(基础数据设定!$M$8:$M$19,MATCH(中级难度关卡验证!K21,基础数据设定!$L$8:$L$19,0)))</f>
        <v/>
      </c>
    </row>
    <row r="22" spans="4:37" x14ac:dyDescent="0.15">
      <c r="X22" s="50" t="str">
        <f>IF(D22="层数",((#REF!*基础数据设定!$E$8+初级难度关卡验证!#REF!*基础数据设定!$E$9+初级难度关卡验证!#REF!*基础数据设定!$E$10)+SUM(#REF!)*4),"")</f>
        <v/>
      </c>
      <c r="Y22" s="51" t="str">
        <f>IF(D22="层数",SUMPRODUCT(#REF!,#REF!)+Y17,"")</f>
        <v/>
      </c>
      <c r="Z22" s="40" t="str">
        <f t="shared" si="4"/>
        <v/>
      </c>
    </row>
    <row r="23" spans="4:37" x14ac:dyDescent="0.15">
      <c r="X23" s="50" t="str">
        <f>IF(D23="层数",((V24*基础数据设定!$E$8+初级难度关卡验证!#REF!*基础数据设定!$E$9+初级难度关卡验证!#REF!*基础数据设定!$E$10)+SUM(V24:V28)*4),"")</f>
        <v/>
      </c>
      <c r="Y23" s="51" t="str">
        <f>IF(D23="层数",SUMPRODUCT(O24:U28,AE24:AK28)+Y20,"")</f>
        <v/>
      </c>
      <c r="Z23" s="40" t="str">
        <f t="shared" si="0"/>
        <v/>
      </c>
    </row>
    <row r="24" spans="4:37" x14ac:dyDescent="0.15">
      <c r="X24" s="50" t="str">
        <f>IF(D24="层数",((V25*基础数据设定!$E$8+初级难度关卡验证!#REF!*基础数据设定!$E$9+初级难度关卡验证!#REF!*基础数据设定!$E$10)+SUM(V25:V29)*4),"")</f>
        <v/>
      </c>
      <c r="Y24" s="51" t="str">
        <f>IF(D24="层数",SUMPRODUCT(O25:U29,AE25:AK29)+Y21,"")</f>
        <v/>
      </c>
      <c r="Z24" s="40" t="str">
        <f t="shared" si="0"/>
        <v/>
      </c>
    </row>
    <row r="25" spans="4:37" x14ac:dyDescent="0.15">
      <c r="X25" s="50" t="str">
        <f>IF(D25="层数",((V26*基础数据设定!$E$8+初级难度关卡验证!#REF!*基础数据设定!$E$9+初级难度关卡验证!#REF!*基础数据设定!$E$10)+SUM(V26:V30)*4),"")</f>
        <v/>
      </c>
      <c r="Y25" s="51" t="str">
        <f>IF(D25="层数",SUMPRODUCT(O26:U30,AE26:AK30)+Y22,"")</f>
        <v/>
      </c>
      <c r="Z25" s="40" t="str">
        <f t="shared" si="0"/>
        <v/>
      </c>
    </row>
    <row r="26" spans="4:37" x14ac:dyDescent="0.15">
      <c r="X26" s="50" t="str">
        <f>IF(D26="层数",((V27*基础数据设定!$E$8+初级难度关卡验证!#REF!*基础数据设定!$E$9+初级难度关卡验证!#REF!*基础数据设定!$E$10)+SUM(V27:V31)*4),"")</f>
        <v/>
      </c>
      <c r="Y26" s="51" t="str">
        <f>IF(D26="层数",SUMPRODUCT(O27:U31,AE27:AK31)+#REF!,"")</f>
        <v/>
      </c>
      <c r="Z26" s="40" t="str">
        <f t="shared" si="0"/>
        <v/>
      </c>
    </row>
    <row r="27" spans="4:37" x14ac:dyDescent="0.15">
      <c r="X27" s="50" t="str">
        <f>IF(D27="层数",((V28*基础数据设定!$E$8+初级难度关卡验证!#REF!*基础数据设定!$E$9+初级难度关卡验证!#REF!*基础数据设定!$E$10)+SUM(V28:V32)*4),"")</f>
        <v/>
      </c>
      <c r="Y27" s="51" t="str">
        <f>IF(D27="层数",SUMPRODUCT(O28:U32,AE28:AK32)+#REF!,"")</f>
        <v/>
      </c>
      <c r="Z27" s="40" t="str">
        <f t="shared" si="0"/>
        <v/>
      </c>
    </row>
    <row r="28" spans="4:37" x14ac:dyDescent="0.15">
      <c r="X28" s="50" t="str">
        <f>IF(D28="层数",((V29*基础数据设定!$E$8+初级难度关卡验证!#REF!*基础数据设定!$E$9+初级难度关卡验证!#REF!*基础数据设定!$E$10)+SUM(V29:V33)*4),"")</f>
        <v/>
      </c>
      <c r="Y28" s="51" t="str">
        <f>IF(D28="层数",SUMPRODUCT(O29:U33,AE29:AK33)+#REF!,"")</f>
        <v/>
      </c>
      <c r="Z28" s="40" t="str">
        <f t="shared" si="0"/>
        <v/>
      </c>
    </row>
    <row r="29" spans="4:37" x14ac:dyDescent="0.15">
      <c r="X29" s="50" t="str">
        <f>IF(D29="层数",((V30*基础数据设定!$E$8+初级难度关卡验证!#REF!*基础数据设定!$E$9+初级难度关卡验证!#REF!*基础数据设定!$E$10)+SUM(V30:V34)*4),"")</f>
        <v/>
      </c>
      <c r="Y29" s="51" t="str">
        <f>IF(D29="层数",SUMPRODUCT(O30:U34,AE30:AK34)+#REF!,"")</f>
        <v/>
      </c>
      <c r="Z29" s="40" t="str">
        <f t="shared" si="0"/>
        <v/>
      </c>
    </row>
    <row r="30" spans="4:37" x14ac:dyDescent="0.15">
      <c r="X30" s="50" t="str">
        <f>IF(D30="层数",((V31*基础数据设定!$E$8+初级难度关卡验证!#REF!*基础数据设定!$E$9+初级难度关卡验证!#REF!*基础数据设定!$E$10)+SUM(V31:V35)*4),"")</f>
        <v/>
      </c>
      <c r="Y30" s="51" t="str">
        <f>IF(D30="层数",SUMPRODUCT(O31:U35,AE31:AK35)+#REF!,"")</f>
        <v/>
      </c>
      <c r="Z30" s="40" t="str">
        <f t="shared" si="0"/>
        <v/>
      </c>
    </row>
    <row r="31" spans="4:37" x14ac:dyDescent="0.15">
      <c r="X31" s="50" t="str">
        <f>IF(D31="层数",((V32*基础数据设定!$E$8+初级难度关卡验证!#REF!*基础数据设定!$E$9+初级难度关卡验证!#REF!*基础数据设定!$E$10)+SUM(V32:V36)*4),"")</f>
        <v/>
      </c>
      <c r="Y31" s="51" t="str">
        <f>IF(D31="层数",SUMPRODUCT(O32:U36,AE32:AK36)+#REF!,"")</f>
        <v/>
      </c>
      <c r="Z31" s="40" t="str">
        <f t="shared" si="0"/>
        <v/>
      </c>
    </row>
    <row r="32" spans="4:37" x14ac:dyDescent="0.15">
      <c r="X32" s="50" t="str">
        <f>IF(D32="层数",((V33*基础数据设定!$E$8+初级难度关卡验证!#REF!*基础数据设定!$E$9+初级难度关卡验证!#REF!*基础数据设定!$E$10)+SUM(V33:V37)*4),"")</f>
        <v/>
      </c>
      <c r="Y32" s="51" t="str">
        <f>IF(D32="层数",SUMPRODUCT(O33:U37,AE33:AK37)+#REF!,"")</f>
        <v/>
      </c>
      <c r="Z32" s="40" t="str">
        <f t="shared" si="0"/>
        <v/>
      </c>
    </row>
    <row r="33" spans="24:26" x14ac:dyDescent="0.15">
      <c r="X33" s="50" t="str">
        <f>IF(D33="层数",((V34*基础数据设定!$E$8+初级难度关卡验证!#REF!*基础数据设定!$E$9+初级难度关卡验证!#REF!*基础数据设定!$E$10)+SUM(V34:V38)*4),"")</f>
        <v/>
      </c>
      <c r="Y33" s="51" t="str">
        <f>IF(D33="层数",SUMPRODUCT(O34:U38,AE34:AK38)+#REF!,"")</f>
        <v/>
      </c>
      <c r="Z33" s="40" t="str">
        <f t="shared" si="0"/>
        <v/>
      </c>
    </row>
    <row r="34" spans="24:26" x14ac:dyDescent="0.15">
      <c r="X34" s="50" t="str">
        <f>IF(D34="层数",((V35*基础数据设定!$E$8+初级难度关卡验证!#REF!*基础数据设定!$E$9+初级难度关卡验证!#REF!*基础数据设定!$E$10)+SUM(V35:V39)*4),"")</f>
        <v/>
      </c>
      <c r="Y34" s="51" t="str">
        <f>IF(D34="层数",SUMPRODUCT(O35:U39,AE35:AK39)+#REF!,"")</f>
        <v/>
      </c>
      <c r="Z34" s="40" t="str">
        <f t="shared" si="0"/>
        <v/>
      </c>
    </row>
    <row r="35" spans="24:26" x14ac:dyDescent="0.15">
      <c r="X35" s="50" t="str">
        <f>IF(D35="层数",((V36*基础数据设定!$E$8+初级难度关卡验证!#REF!*基础数据设定!$E$9+初级难度关卡验证!#REF!*基础数据设定!$E$10)+SUM(V36:V40)*4),"")</f>
        <v/>
      </c>
      <c r="Y35" s="51" t="str">
        <f>IF(D35="层数",SUMPRODUCT(O36:U40,AE36:AK40)+#REF!,"")</f>
        <v/>
      </c>
      <c r="Z35" s="40" t="str">
        <f t="shared" si="0"/>
        <v/>
      </c>
    </row>
    <row r="36" spans="24:26" x14ac:dyDescent="0.15">
      <c r="X36" s="50" t="str">
        <f>IF(D36="层数",((V37*基础数据设定!$E$8+初级难度关卡验证!#REF!*基础数据设定!$E$9+初级难度关卡验证!#REF!*基础数据设定!$E$10)+SUM(V37:V41)*4),"")</f>
        <v/>
      </c>
      <c r="Y36" s="51" t="str">
        <f>IF(D36="层数",SUMPRODUCT(O37:U41,AE37:AK41)+#REF!,"")</f>
        <v/>
      </c>
      <c r="Z36" s="40" t="str">
        <f t="shared" si="0"/>
        <v/>
      </c>
    </row>
    <row r="37" spans="24:26" x14ac:dyDescent="0.15">
      <c r="X37" s="50" t="str">
        <f>IF(D37="层数",((V38*基础数据设定!$E$8+初级难度关卡验证!#REF!*基础数据设定!$E$9+初级难度关卡验证!#REF!*基础数据设定!$E$10)+SUM(V38:V42)*4),"")</f>
        <v/>
      </c>
      <c r="Y37" s="51" t="str">
        <f t="shared" ref="Y37:Y47" si="6">IF(D37="层数",SUMPRODUCT(O38:U42,AE38:AK42)+Y23,"")</f>
        <v/>
      </c>
      <c r="Z37" s="40" t="str">
        <f t="shared" si="0"/>
        <v/>
      </c>
    </row>
    <row r="38" spans="24:26" x14ac:dyDescent="0.15">
      <c r="X38" s="50" t="str">
        <f>IF(D38="层数",((V39*基础数据设定!$E$8+初级难度关卡验证!#REF!*基础数据设定!$E$9+初级难度关卡验证!#REF!*基础数据设定!$E$10)+SUM(V39:V43)*4),"")</f>
        <v/>
      </c>
      <c r="Y38" s="51" t="str">
        <f t="shared" si="6"/>
        <v/>
      </c>
      <c r="Z38" s="40" t="str">
        <f t="shared" si="0"/>
        <v/>
      </c>
    </row>
    <row r="39" spans="24:26" x14ac:dyDescent="0.15">
      <c r="X39" s="50" t="str">
        <f>IF(D39="层数",((V40*基础数据设定!$E$8+初级难度关卡验证!#REF!*基础数据设定!$E$9+初级难度关卡验证!#REF!*基础数据设定!$E$10)+SUM(V40:V44)*4),"")</f>
        <v/>
      </c>
      <c r="Y39" s="51" t="str">
        <f t="shared" si="6"/>
        <v/>
      </c>
      <c r="Z39" s="40" t="str">
        <f t="shared" si="0"/>
        <v/>
      </c>
    </row>
    <row r="40" spans="24:26" x14ac:dyDescent="0.15">
      <c r="X40" s="50" t="str">
        <f>IF(D40="层数",((V41*基础数据设定!$E$8+初级难度关卡验证!#REF!*基础数据设定!$E$9+初级难度关卡验证!#REF!*基础数据设定!$E$10)+SUM(V41:V45)*4),"")</f>
        <v/>
      </c>
      <c r="Y40" s="51" t="str">
        <f t="shared" si="6"/>
        <v/>
      </c>
      <c r="Z40" s="40" t="str">
        <f t="shared" si="0"/>
        <v/>
      </c>
    </row>
    <row r="41" spans="24:26" x14ac:dyDescent="0.15">
      <c r="X41" s="50" t="str">
        <f>IF(D41="层数",((V42*基础数据设定!$E$8+初级难度关卡验证!#REF!*基础数据设定!$E$9+初级难度关卡验证!#REF!*基础数据设定!$E$10)+SUM(V42:V46)*4),"")</f>
        <v/>
      </c>
      <c r="Y41" s="51" t="str">
        <f t="shared" si="6"/>
        <v/>
      </c>
      <c r="Z41" s="40" t="str">
        <f t="shared" si="0"/>
        <v/>
      </c>
    </row>
    <row r="42" spans="24:26" x14ac:dyDescent="0.15">
      <c r="X42" s="50" t="str">
        <f>IF(D42="层数",((V43*基础数据设定!$E$8+初级难度关卡验证!#REF!*基础数据设定!$E$9+初级难度关卡验证!#REF!*基础数据设定!$E$10)+SUM(V43:V47)*4),"")</f>
        <v/>
      </c>
      <c r="Y42" s="51" t="str">
        <f t="shared" si="6"/>
        <v/>
      </c>
      <c r="Z42" s="40" t="str">
        <f t="shared" si="0"/>
        <v/>
      </c>
    </row>
    <row r="43" spans="24:26" x14ac:dyDescent="0.15">
      <c r="X43" s="50" t="str">
        <f>IF(D43="层数",((V44*基础数据设定!$E$8+初级难度关卡验证!#REF!*基础数据设定!$E$9+初级难度关卡验证!#REF!*基础数据设定!$E$10)+SUM(V44:V48)*4),"")</f>
        <v/>
      </c>
      <c r="Y43" s="51" t="str">
        <f t="shared" si="6"/>
        <v/>
      </c>
      <c r="Z43" s="40" t="str">
        <f t="shared" si="0"/>
        <v/>
      </c>
    </row>
    <row r="44" spans="24:26" x14ac:dyDescent="0.15">
      <c r="X44" s="50" t="str">
        <f>IF(D44="层数",((V45*基础数据设定!$E$8+初级难度关卡验证!#REF!*基础数据设定!$E$9+初级难度关卡验证!#REF!*基础数据设定!$E$10)+SUM(V45:V49)*4),"")</f>
        <v/>
      </c>
      <c r="Y44" s="51" t="str">
        <f t="shared" si="6"/>
        <v/>
      </c>
      <c r="Z44" s="40" t="str">
        <f t="shared" si="0"/>
        <v/>
      </c>
    </row>
    <row r="45" spans="24:26" x14ac:dyDescent="0.15">
      <c r="X45" s="50" t="str">
        <f>IF(D45="层数",((V46*基础数据设定!$E$8+初级难度关卡验证!#REF!*基础数据设定!$E$9+初级难度关卡验证!#REF!*基础数据设定!$E$10)+SUM(V46:V50)*4),"")</f>
        <v/>
      </c>
      <c r="Y45" s="51" t="str">
        <f t="shared" si="6"/>
        <v/>
      </c>
      <c r="Z45" s="40" t="str">
        <f t="shared" si="0"/>
        <v/>
      </c>
    </row>
    <row r="46" spans="24:26" x14ac:dyDescent="0.15">
      <c r="X46" s="50" t="str">
        <f>IF(D46="层数",((V47*基础数据设定!$E$8+初级难度关卡验证!#REF!*基础数据设定!$E$9+初级难度关卡验证!#REF!*基础数据设定!$E$10)+SUM(V47:V51)*4),"")</f>
        <v/>
      </c>
      <c r="Y46" s="51" t="str">
        <f t="shared" si="6"/>
        <v/>
      </c>
      <c r="Z46" s="40" t="str">
        <f t="shared" si="0"/>
        <v/>
      </c>
    </row>
    <row r="47" spans="24:26" x14ac:dyDescent="0.15">
      <c r="X47" s="50" t="str">
        <f>IF(D47="层数",((V48*基础数据设定!$E$8+初级难度关卡验证!#REF!*基础数据设定!$E$9+初级难度关卡验证!#REF!*基础数据设定!$E$10)+SUM(V48:V52)*4),"")</f>
        <v/>
      </c>
      <c r="Y47" s="51" t="str">
        <f t="shared" si="6"/>
        <v/>
      </c>
      <c r="Z47" s="40" t="str">
        <f t="shared" si="0"/>
        <v/>
      </c>
    </row>
    <row r="48" spans="24:26" x14ac:dyDescent="0.15">
      <c r="X48" s="50" t="str">
        <f>IF(D48="层数",((V49*基础数据设定!$E$8+初级难度关卡验证!#REF!*基础数据设定!$E$9+初级难度关卡验证!#REF!*基础数据设定!$E$10)+SUM(V49:V53)*4),"")</f>
        <v/>
      </c>
      <c r="Y48" s="51" t="str">
        <f t="shared" ref="Y48:Y68" si="7">IF(D48="层数",SUMPRODUCT(O49:U53,AE49:AK53)+Y34,"")</f>
        <v/>
      </c>
      <c r="Z48" s="40" t="str">
        <f t="shared" ref="Z48:Z55" si="8">IF(Y48="","",ROUND($E$4*Y48,-1))</f>
        <v/>
      </c>
    </row>
    <row r="49" spans="24:26" x14ac:dyDescent="0.15">
      <c r="X49" s="50" t="str">
        <f>IF(D49="层数",((V50*基础数据设定!$E$8+初级难度关卡验证!#REF!*基础数据设定!$E$9+初级难度关卡验证!#REF!*基础数据设定!$E$10)+SUM(V50:V54)*4),"")</f>
        <v/>
      </c>
      <c r="Y49" s="51" t="str">
        <f t="shared" si="7"/>
        <v/>
      </c>
      <c r="Z49" s="40" t="str">
        <f t="shared" si="8"/>
        <v/>
      </c>
    </row>
    <row r="50" spans="24:26" x14ac:dyDescent="0.15">
      <c r="X50" s="50" t="str">
        <f>IF(D50="层数",((V51*基础数据设定!$E$8+初级难度关卡验证!#REF!*基础数据设定!$E$9+初级难度关卡验证!#REF!*基础数据设定!$E$10)+SUM(V51:V55)*4),"")</f>
        <v/>
      </c>
      <c r="Y50" s="51" t="str">
        <f t="shared" si="7"/>
        <v/>
      </c>
      <c r="Z50" s="40" t="str">
        <f t="shared" si="8"/>
        <v/>
      </c>
    </row>
    <row r="51" spans="24:26" x14ac:dyDescent="0.15">
      <c r="X51" s="50" t="str">
        <f>IF(D51="层数",((V52*基础数据设定!$E$8+初级难度关卡验证!#REF!*基础数据设定!$E$9+初级难度关卡验证!#REF!*基础数据设定!$E$10)+SUM(V52:V56)*4),"")</f>
        <v/>
      </c>
      <c r="Y51" s="51" t="str">
        <f t="shared" si="7"/>
        <v/>
      </c>
      <c r="Z51" s="40" t="str">
        <f t="shared" si="8"/>
        <v/>
      </c>
    </row>
    <row r="52" spans="24:26" x14ac:dyDescent="0.15">
      <c r="X52" s="50" t="str">
        <f>IF(D52="层数",((V53*基础数据设定!$E$8+初级难度关卡验证!#REF!*基础数据设定!$E$9+初级难度关卡验证!#REF!*基础数据设定!$E$10)+SUM(V53:V57)*4),"")</f>
        <v/>
      </c>
      <c r="Y52" s="51" t="str">
        <f t="shared" si="7"/>
        <v/>
      </c>
      <c r="Z52" s="40" t="str">
        <f t="shared" si="8"/>
        <v/>
      </c>
    </row>
    <row r="53" spans="24:26" x14ac:dyDescent="0.15">
      <c r="X53" s="50" t="str">
        <f>IF(D53="层数",((V54*基础数据设定!$E$8+初级难度关卡验证!#REF!*基础数据设定!$E$9+初级难度关卡验证!#REF!*基础数据设定!$E$10)+SUM(V54:V58)*4),"")</f>
        <v/>
      </c>
      <c r="Y53" s="51" t="str">
        <f t="shared" si="7"/>
        <v/>
      </c>
      <c r="Z53" s="40" t="str">
        <f t="shared" si="8"/>
        <v/>
      </c>
    </row>
    <row r="54" spans="24:26" x14ac:dyDescent="0.15">
      <c r="X54" s="50" t="str">
        <f>IF(D54="层数",((V55*基础数据设定!$E$8+初级难度关卡验证!#REF!*基础数据设定!$E$9+初级难度关卡验证!#REF!*基础数据设定!$E$10)+SUM(V55:V59)*4),"")</f>
        <v/>
      </c>
      <c r="Y54" s="51" t="str">
        <f t="shared" si="7"/>
        <v/>
      </c>
      <c r="Z54" s="40" t="str">
        <f t="shared" si="8"/>
        <v/>
      </c>
    </row>
    <row r="55" spans="24:26" x14ac:dyDescent="0.15">
      <c r="X55" s="50" t="str">
        <f>IF(D55="层数",((V56*基础数据设定!$E$8+初级难度关卡验证!#REF!*基础数据设定!$E$9+初级难度关卡验证!#REF!*基础数据设定!$E$10)+SUM(V56:V60)*4),"")</f>
        <v/>
      </c>
      <c r="Y55" s="51" t="str">
        <f t="shared" si="7"/>
        <v/>
      </c>
      <c r="Z55" s="40" t="str">
        <f t="shared" si="8"/>
        <v/>
      </c>
    </row>
    <row r="56" spans="24:26" x14ac:dyDescent="0.15">
      <c r="X56" s="50" t="str">
        <f>IF(D56="层数",((V57*基础数据设定!$E$8+初级难度关卡验证!#REF!*基础数据设定!$E$9+初级难度关卡验证!#REF!*基础数据设定!$E$10)+SUM(V57:V61)*4),"")</f>
        <v/>
      </c>
      <c r="Y56" s="51" t="str">
        <f t="shared" si="7"/>
        <v/>
      </c>
    </row>
    <row r="57" spans="24:26" x14ac:dyDescent="0.15">
      <c r="X57" s="50" t="str">
        <f>IF(D57="层数",((V58*基础数据设定!$E$8+初级难度关卡验证!#REF!*基础数据设定!$E$9+初级难度关卡验证!#REF!*基础数据设定!$E$10)+SUM(V58:V62)*4),"")</f>
        <v/>
      </c>
      <c r="Y57" s="51" t="str">
        <f t="shared" si="7"/>
        <v/>
      </c>
    </row>
    <row r="58" spans="24:26" x14ac:dyDescent="0.15">
      <c r="X58" s="50" t="str">
        <f>IF(D58="层数",((V59*基础数据设定!$E$8+初级难度关卡验证!#REF!*基础数据设定!$E$9+初级难度关卡验证!#REF!*基础数据设定!$E$10)+SUM(V59:V63)*4),"")</f>
        <v/>
      </c>
      <c r="Y58" s="51" t="str">
        <f t="shared" si="7"/>
        <v/>
      </c>
    </row>
    <row r="59" spans="24:26" x14ac:dyDescent="0.15">
      <c r="X59" s="50" t="str">
        <f>IF(D59="层数",((V60*基础数据设定!$E$8+初级难度关卡验证!#REF!*基础数据设定!$E$9+初级难度关卡验证!#REF!*基础数据设定!$E$10)+SUM(V60:V64)*4),"")</f>
        <v/>
      </c>
      <c r="Y59" s="51" t="str">
        <f t="shared" si="7"/>
        <v/>
      </c>
    </row>
    <row r="60" spans="24:26" x14ac:dyDescent="0.15">
      <c r="X60" s="50" t="str">
        <f>IF(D60="层数",((V61*基础数据设定!$E$8+初级难度关卡验证!#REF!*基础数据设定!$E$9+初级难度关卡验证!#REF!*基础数据设定!$E$10)+SUM(V61:V65)*4),"")</f>
        <v/>
      </c>
      <c r="Y60" s="51" t="str">
        <f t="shared" si="7"/>
        <v/>
      </c>
    </row>
    <row r="61" spans="24:26" x14ac:dyDescent="0.15">
      <c r="X61" s="50" t="str">
        <f>IF(D61="层数",((V62*基础数据设定!$E$8+初级难度关卡验证!#REF!*基础数据设定!$E$9+初级难度关卡验证!#REF!*基础数据设定!$E$10)+SUM(V62:V66)*4),"")</f>
        <v/>
      </c>
      <c r="Y61" s="51" t="str">
        <f t="shared" si="7"/>
        <v/>
      </c>
    </row>
    <row r="62" spans="24:26" x14ac:dyDescent="0.15">
      <c r="X62" s="50" t="str">
        <f>IF(D62="层数",((V63*基础数据设定!$E$8+初级难度关卡验证!#REF!*基础数据设定!$E$9+初级难度关卡验证!#REF!*基础数据设定!$E$10)+SUM(V63:V67)*4),"")</f>
        <v/>
      </c>
      <c r="Y62" s="51" t="str">
        <f t="shared" si="7"/>
        <v/>
      </c>
    </row>
    <row r="63" spans="24:26" x14ac:dyDescent="0.15">
      <c r="X63" s="50" t="str">
        <f>IF(D63="层数",((V64*基础数据设定!$E$8+初级难度关卡验证!#REF!*基础数据设定!$E$9+初级难度关卡验证!#REF!*基础数据设定!$E$10)+SUM(V64:V68)*4),"")</f>
        <v/>
      </c>
      <c r="Y63" s="51" t="str">
        <f t="shared" si="7"/>
        <v/>
      </c>
    </row>
    <row r="64" spans="24:26" x14ac:dyDescent="0.15">
      <c r="X64" s="50" t="str">
        <f>IF(D64="层数",((V65*基础数据设定!$E$8+初级难度关卡验证!#REF!*基础数据设定!$E$9+初级难度关卡验证!#REF!*基础数据设定!$E$10)+SUM(V65:V69)*4),"")</f>
        <v/>
      </c>
      <c r="Y64" s="51" t="str">
        <f t="shared" si="7"/>
        <v/>
      </c>
    </row>
    <row r="65" spans="24:25" x14ac:dyDescent="0.15">
      <c r="X65" s="50" t="str">
        <f>IF(D65="层数",((V66*基础数据设定!$E$8+初级难度关卡验证!#REF!*基础数据设定!$E$9+初级难度关卡验证!#REF!*基础数据设定!$E$10)+SUM(V66:V70)*4),"")</f>
        <v/>
      </c>
      <c r="Y65" s="51" t="str">
        <f t="shared" si="7"/>
        <v/>
      </c>
    </row>
    <row r="66" spans="24:25" x14ac:dyDescent="0.15">
      <c r="X66" s="50" t="str">
        <f>IF(D66="层数",((V67*基础数据设定!$E$8+初级难度关卡验证!#REF!*基础数据设定!$E$9+初级难度关卡验证!#REF!*基础数据设定!$E$10)+SUM(V67:V71)*4),"")</f>
        <v/>
      </c>
      <c r="Y66" s="51" t="str">
        <f t="shared" si="7"/>
        <v/>
      </c>
    </row>
    <row r="67" spans="24:25" x14ac:dyDescent="0.15">
      <c r="X67" s="50" t="str">
        <f>IF(D67="层数",((V68*基础数据设定!$E$8+初级难度关卡验证!#REF!*基础数据设定!$E$9+初级难度关卡验证!#REF!*基础数据设定!$E$10)+SUM(V68:V72)*4),"")</f>
        <v/>
      </c>
      <c r="Y67" s="51" t="str">
        <f t="shared" si="7"/>
        <v/>
      </c>
    </row>
    <row r="68" spans="24:25" x14ac:dyDescent="0.15">
      <c r="X68" s="50" t="str">
        <f>IF(D68="层数",((V69*基础数据设定!$E$8+初级难度关卡验证!#REF!*基础数据设定!$E$9+初级难度关卡验证!#REF!*基础数据设定!$E$10)+SUM(V69:V73)*4),"")</f>
        <v/>
      </c>
      <c r="Y68" s="51" t="str">
        <f t="shared" si="7"/>
        <v/>
      </c>
    </row>
    <row r="69" spans="24:25" x14ac:dyDescent="0.15">
      <c r="X69" s="50" t="str">
        <f>IF(D69="层数",((V70*基础数据设定!$E$8+初级难度关卡验证!#REF!*基础数据设定!$E$9+初级难度关卡验证!#REF!*基础数据设定!$E$10)+SUM(V70:V74)*4),"")</f>
        <v/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2D8A-1D4E-4995-8857-757600D9544A}">
  <dimension ref="D4:AK22"/>
  <sheetViews>
    <sheetView workbookViewId="0">
      <selection activeCell="S28" sqref="S28"/>
    </sheetView>
  </sheetViews>
  <sheetFormatPr defaultColWidth="6.625" defaultRowHeight="11.25" x14ac:dyDescent="0.15"/>
  <cols>
    <col min="1" max="23" width="6.625" style="38"/>
    <col min="24" max="24" width="13" style="50" bestFit="1" customWidth="1"/>
    <col min="25" max="25" width="13" style="51" bestFit="1" customWidth="1"/>
    <col min="26" max="16384" width="6.625" style="38"/>
  </cols>
  <sheetData>
    <row r="4" spans="4:37" x14ac:dyDescent="0.15">
      <c r="D4" s="38" t="s">
        <v>104</v>
      </c>
      <c r="E4" s="38">
        <v>0.85</v>
      </c>
    </row>
    <row r="6" spans="4:37" x14ac:dyDescent="0.15">
      <c r="D6" s="38" t="s">
        <v>107</v>
      </c>
      <c r="N6" s="38" t="s">
        <v>113</v>
      </c>
      <c r="AE6" s="38" t="s">
        <v>112</v>
      </c>
    </row>
    <row r="7" spans="4:37" x14ac:dyDescent="0.15">
      <c r="X7" s="52" t="s">
        <v>114</v>
      </c>
      <c r="Y7" s="53" t="s">
        <v>115</v>
      </c>
    </row>
    <row r="8" spans="4:37" x14ac:dyDescent="0.15">
      <c r="D8" s="38" t="s">
        <v>103</v>
      </c>
      <c r="E8" s="38">
        <v>1</v>
      </c>
      <c r="F8" s="38">
        <v>2</v>
      </c>
      <c r="G8" s="38">
        <v>3</v>
      </c>
      <c r="H8" s="38">
        <v>4</v>
      </c>
      <c r="I8" s="38">
        <v>5</v>
      </c>
      <c r="J8" s="38">
        <v>6</v>
      </c>
      <c r="K8" s="38">
        <v>7</v>
      </c>
      <c r="V8" s="38" t="s">
        <v>127</v>
      </c>
      <c r="X8" s="50">
        <f>IF(D8="层数",((V9*基础数据设定!$E$8+初级难度关卡验证!V10*基础数据设定!$E$9+初级难度关卡验证!V11*基础数据设定!$E$10)+SUM(V9:V12)*4),"")</f>
        <v>26.816901408450704</v>
      </c>
      <c r="Y8" s="51">
        <f>SUMPRODUCT(O9:U11,AE9:AK11)</f>
        <v>370</v>
      </c>
      <c r="Z8" s="38">
        <v>200</v>
      </c>
    </row>
    <row r="9" spans="4:37" x14ac:dyDescent="0.15">
      <c r="D9" s="38">
        <v>3</v>
      </c>
      <c r="E9" s="54" t="s">
        <v>123</v>
      </c>
      <c r="F9" s="54" t="s">
        <v>121</v>
      </c>
      <c r="G9" s="54" t="s">
        <v>122</v>
      </c>
      <c r="H9" s="54" t="s">
        <v>98</v>
      </c>
      <c r="N9" s="38">
        <v>3</v>
      </c>
      <c r="O9" s="54">
        <v>1</v>
      </c>
      <c r="P9" s="54"/>
      <c r="Q9" s="54"/>
      <c r="R9" s="54">
        <v>1</v>
      </c>
      <c r="V9" s="38">
        <f>SUM(O9:U9)</f>
        <v>2</v>
      </c>
      <c r="X9" s="50" t="str">
        <f>IF(D9="层数",((V10*基础数据设定!$E$8+初级难度关卡验证!V11*基础数据设定!$E$9+初级难度关卡验证!V12*基础数据设定!$E$10)+SUM(V10:V12)*4),"")</f>
        <v/>
      </c>
      <c r="Z9" s="38" t="str">
        <f t="shared" ref="Z9:Z17" si="0">IF(Y9="","",ROUND($E$4*Y9,-1))</f>
        <v/>
      </c>
      <c r="AD9" s="38">
        <v>3</v>
      </c>
      <c r="AE9" s="38">
        <f>IF(E9="","",INDEX(基础数据设定!$M$8:$M$19,MATCH(高级难度关卡验证!E9,基础数据设定!$L$8:$L$19,0)))</f>
        <v>200</v>
      </c>
      <c r="AF9" s="55">
        <f>IF(F9="","",INDEX(基础数据设定!$M$8:$M$19,MATCH(高级难度关卡验证!F9,基础数据设定!$L$8:$L$19,0)))</f>
        <v>10</v>
      </c>
      <c r="AG9" s="38">
        <f>IF(G9="","",INDEX(基础数据设定!$M$8:$M$19,MATCH(高级难度关卡验证!G9,基础数据设定!$L$8:$L$19,0)))</f>
        <v>50</v>
      </c>
      <c r="AH9" s="55">
        <f>IF(H9="","",INDEX(基础数据设定!$M$8:$M$19,MATCH(高级难度关卡验证!H9,基础数据设定!$L$8:$L$19,0)))</f>
        <v>100</v>
      </c>
      <c r="AI9" s="38" t="str">
        <f>IF(I9="","",INDEX(基础数据设定!$M$8:$M$19,MATCH(高级难度关卡验证!I9,基础数据设定!$L$8:$L$19,0)))</f>
        <v/>
      </c>
      <c r="AJ9" s="55" t="str">
        <f>IF(J9="","",INDEX(基础数据设定!$M$8:$M$19,MATCH(高级难度关卡验证!J9,基础数据设定!$L$8:$L$19,0)))</f>
        <v/>
      </c>
      <c r="AK9" s="38" t="str">
        <f>IF(K9="","",INDEX(基础数据设定!$M$8:$M$19,MATCH(高级难度关卡验证!K9,基础数据设定!$L$8:$L$19,0)))</f>
        <v/>
      </c>
    </row>
    <row r="10" spans="4:37" x14ac:dyDescent="0.15">
      <c r="D10" s="38">
        <v>2</v>
      </c>
      <c r="E10" s="54" t="s">
        <v>121</v>
      </c>
      <c r="F10" s="54" t="s">
        <v>122</v>
      </c>
      <c r="G10" s="54" t="s">
        <v>121</v>
      </c>
      <c r="H10" s="54" t="s">
        <v>122</v>
      </c>
      <c r="I10" s="54"/>
      <c r="N10" s="38">
        <v>2</v>
      </c>
      <c r="O10" s="54">
        <v>1</v>
      </c>
      <c r="P10" s="54"/>
      <c r="Q10" s="54"/>
      <c r="R10" s="54">
        <v>1</v>
      </c>
      <c r="S10" s="54"/>
      <c r="V10" s="38">
        <f t="shared" ref="V10:V11" si="1">SUM(O10:U10)</f>
        <v>2</v>
      </c>
      <c r="X10" s="50" t="str">
        <f>IF(D10="层数",((V11*基础数据设定!$E$8+初级难度关卡验证!V12*基础数据设定!$E$9+初级难度关卡验证!#REF!*基础数据设定!$E$10)+SUM(V11:V12)*4),"")</f>
        <v/>
      </c>
      <c r="Z10" s="38" t="str">
        <f t="shared" si="0"/>
        <v/>
      </c>
      <c r="AD10" s="38">
        <v>2</v>
      </c>
      <c r="AE10" s="55">
        <f>IF(E10="","",INDEX(基础数据设定!$M$8:$M$19,MATCH(高级难度关卡验证!E10,基础数据设定!$L$8:$L$19,0)))</f>
        <v>10</v>
      </c>
      <c r="AF10" s="38">
        <f>IF(F10="","",INDEX(基础数据设定!$M$8:$M$19,MATCH(高级难度关卡验证!F10,基础数据设定!$L$8:$L$19,0)))</f>
        <v>50</v>
      </c>
      <c r="AG10" s="55">
        <f>IF(G10="","",INDEX(基础数据设定!$M$8:$M$19,MATCH(高级难度关卡验证!G10,基础数据设定!$L$8:$L$19,0)))</f>
        <v>10</v>
      </c>
      <c r="AH10" s="38">
        <f>IF(H10="","",INDEX(基础数据设定!$M$8:$M$19,MATCH(高级难度关卡验证!H10,基础数据设定!$L$8:$L$19,0)))</f>
        <v>50</v>
      </c>
      <c r="AI10" s="55" t="str">
        <f>IF(I10="","",INDEX(基础数据设定!$M$8:$M$19,MATCH(高级难度关卡验证!I10,基础数据设定!$L$8:$L$19,0)))</f>
        <v/>
      </c>
      <c r="AJ10" s="38" t="str">
        <f>IF(J10="","",INDEX(基础数据设定!$M$8:$M$19,MATCH(高级难度关卡验证!J10,基础数据设定!$L$8:$L$19,0)))</f>
        <v/>
      </c>
      <c r="AK10" s="55" t="str">
        <f>IF(K10="","",INDEX(基础数据设定!$M$8:$M$19,MATCH(高级难度关卡验证!K10,基础数据设定!$L$8:$L$19,0)))</f>
        <v/>
      </c>
    </row>
    <row r="11" spans="4:37" x14ac:dyDescent="0.15">
      <c r="D11" s="38">
        <v>1</v>
      </c>
      <c r="E11" s="54" t="s">
        <v>121</v>
      </c>
      <c r="F11" s="54" t="s">
        <v>121</v>
      </c>
      <c r="G11" s="54" t="s">
        <v>121</v>
      </c>
      <c r="H11" s="54" t="s">
        <v>121</v>
      </c>
      <c r="I11" s="54" t="s">
        <v>121</v>
      </c>
      <c r="J11" s="54"/>
      <c r="N11" s="38">
        <v>1</v>
      </c>
      <c r="O11" s="54">
        <v>1</v>
      </c>
      <c r="P11" s="54"/>
      <c r="Q11" s="54"/>
      <c r="R11" s="54"/>
      <c r="S11" s="54"/>
      <c r="T11" s="54"/>
      <c r="V11" s="38">
        <f t="shared" si="1"/>
        <v>1</v>
      </c>
      <c r="X11" s="50" t="str">
        <f>IF(D11="层数",((V12*基础数据设定!$E$8+初级难度关卡验证!#REF!*基础数据设定!$E$9+初级难度关卡验证!#REF!*基础数据设定!$E$10)+SUM(V12:V12)*4),"")</f>
        <v/>
      </c>
      <c r="Z11" s="38" t="str">
        <f t="shared" si="0"/>
        <v/>
      </c>
      <c r="AD11" s="38">
        <v>1</v>
      </c>
      <c r="AE11" s="38">
        <f>IF(E11="","",INDEX(基础数据设定!$M$8:$M$19,MATCH(高级难度关卡验证!E11,基础数据设定!$L$8:$L$19,0)))</f>
        <v>10</v>
      </c>
      <c r="AF11" s="55">
        <f>IF(F11="","",INDEX(基础数据设定!$M$8:$M$19,MATCH(高级难度关卡验证!F11,基础数据设定!$L$8:$L$19,0)))</f>
        <v>10</v>
      </c>
      <c r="AG11" s="38">
        <f>IF(G11="","",INDEX(基础数据设定!$M$8:$M$19,MATCH(高级难度关卡验证!G11,基础数据设定!$L$8:$L$19,0)))</f>
        <v>10</v>
      </c>
      <c r="AH11" s="55">
        <f>IF(H11="","",INDEX(基础数据设定!$M$8:$M$19,MATCH(高级难度关卡验证!H11,基础数据设定!$L$8:$L$19,0)))</f>
        <v>10</v>
      </c>
      <c r="AI11" s="38">
        <f>IF(I11="","",INDEX(基础数据设定!$M$8:$M$19,MATCH(高级难度关卡验证!I11,基础数据设定!$L$8:$L$19,0)))</f>
        <v>10</v>
      </c>
      <c r="AJ11" s="55" t="str">
        <f>IF(J11="","",INDEX(基础数据设定!$M$8:$M$19,MATCH(高级难度关卡验证!J11,基础数据设定!$L$8:$L$19,0)))</f>
        <v/>
      </c>
      <c r="AK11" s="38" t="str">
        <f>IF(K11="","",INDEX(基础数据设定!$M$8:$M$19,MATCH(高级难度关卡验证!K11,基础数据设定!$L$8:$L$19,0)))</f>
        <v/>
      </c>
    </row>
    <row r="12" spans="4:37" x14ac:dyDescent="0.15">
      <c r="X12" s="50" t="str">
        <f>IF(D12="层数",((#REF!*基础数据设定!$E$8+初级难度关卡验证!#REF!*基础数据设定!$E$9+初级难度关卡验证!#REF!*基础数据设定!$E$10)+SUM(#REF!)*4),"")</f>
        <v/>
      </c>
      <c r="Z12" s="38" t="str">
        <f t="shared" si="0"/>
        <v/>
      </c>
    </row>
    <row r="13" spans="4:37" x14ac:dyDescent="0.15">
      <c r="D13" s="38" t="s">
        <v>103</v>
      </c>
      <c r="E13" s="38">
        <v>1</v>
      </c>
      <c r="F13" s="38">
        <v>2</v>
      </c>
      <c r="G13" s="38">
        <v>3</v>
      </c>
      <c r="H13" s="38">
        <v>4</v>
      </c>
      <c r="I13" s="38">
        <v>5</v>
      </c>
      <c r="J13" s="38">
        <v>6</v>
      </c>
      <c r="K13" s="38">
        <v>7</v>
      </c>
      <c r="X13" s="50">
        <f>IF(D13="层数",((V14*基础数据设定!$E$8+初级难度关卡验证!V15*基础数据设定!$E$9+初级难度关卡验证!V16*基础数据设定!$E$10)+SUM(V14:V17)*4),"")</f>
        <v>27.408450704225352</v>
      </c>
      <c r="Y13" s="51">
        <f>IF(D13="层数",SUMPRODUCT(O14:U16,AE14:AK16)+Y8,"")</f>
        <v>1220</v>
      </c>
      <c r="Z13" s="38">
        <v>600</v>
      </c>
    </row>
    <row r="14" spans="4:37" x14ac:dyDescent="0.15">
      <c r="D14" s="38">
        <v>3</v>
      </c>
      <c r="E14" s="54" t="s">
        <v>124</v>
      </c>
      <c r="F14" s="54" t="s">
        <v>122</v>
      </c>
      <c r="G14" s="54" t="s">
        <v>122</v>
      </c>
      <c r="H14" s="54" t="s">
        <v>121</v>
      </c>
      <c r="N14" s="38">
        <v>3</v>
      </c>
      <c r="O14" s="54">
        <v>1</v>
      </c>
      <c r="P14" s="54">
        <v>1</v>
      </c>
      <c r="Q14" s="54">
        <v>1</v>
      </c>
      <c r="R14" s="54"/>
      <c r="V14" s="38">
        <f>SUM(O14:U14)</f>
        <v>3</v>
      </c>
      <c r="X14" s="50" t="str">
        <f>IF(D14="层数",((V15*基础数据设定!$E$8+初级难度关卡验证!V16*基础数据设定!$E$9+初级难度关卡验证!V17*基础数据设定!$E$10)+SUM(V15:V17)*4),"")</f>
        <v/>
      </c>
      <c r="Z14" s="38" t="str">
        <f t="shared" ref="Z14:Z16" si="2">IF(Y14="","",ROUND($E$4*Y14,-1))</f>
        <v/>
      </c>
      <c r="AD14" s="38">
        <v>3</v>
      </c>
      <c r="AE14" s="38">
        <f>IF(E14="","",INDEX(基础数据设定!$M$8:$M$19,MATCH(高级难度关卡验证!E14,基础数据设定!$L$8:$L$19,0)))</f>
        <v>500</v>
      </c>
      <c r="AF14" s="55">
        <f>IF(F14="","",INDEX(基础数据设定!$M$8:$M$19,MATCH(高级难度关卡验证!F14,基础数据设定!$L$8:$L$19,0)))</f>
        <v>50</v>
      </c>
      <c r="AG14" s="38">
        <f>IF(G14="","",INDEX(基础数据设定!$M$8:$M$19,MATCH(高级难度关卡验证!G14,基础数据设定!$L$8:$L$19,0)))</f>
        <v>50</v>
      </c>
      <c r="AH14" s="55">
        <f>IF(H14="","",INDEX(基础数据设定!$M$8:$M$19,MATCH(高级难度关卡验证!H14,基础数据设定!$L$8:$L$19,0)))</f>
        <v>10</v>
      </c>
      <c r="AI14" s="38" t="str">
        <f>IF(I14="","",INDEX(基础数据设定!$M$8:$M$19,MATCH(高级难度关卡验证!I14,基础数据设定!$L$8:$L$19,0)))</f>
        <v/>
      </c>
      <c r="AJ14" s="55" t="str">
        <f>IF(J14="","",INDEX(基础数据设定!$M$8:$M$19,MATCH(高级难度关卡验证!J14,基础数据设定!$L$8:$L$19,0)))</f>
        <v/>
      </c>
      <c r="AK14" s="38" t="str">
        <f>IF(K14="","",INDEX(基础数据设定!$M$8:$M$19,MATCH(高级难度关卡验证!K14,基础数据设定!$L$8:$L$19,0)))</f>
        <v/>
      </c>
    </row>
    <row r="15" spans="4:37" x14ac:dyDescent="0.15">
      <c r="D15" s="38">
        <v>2</v>
      </c>
      <c r="E15" s="54" t="s">
        <v>121</v>
      </c>
      <c r="F15" s="54" t="s">
        <v>123</v>
      </c>
      <c r="G15" s="54" t="s">
        <v>121</v>
      </c>
      <c r="H15" s="54" t="s">
        <v>122</v>
      </c>
      <c r="I15" s="54"/>
      <c r="N15" s="38">
        <v>2</v>
      </c>
      <c r="O15" s="54"/>
      <c r="P15" s="54">
        <v>1</v>
      </c>
      <c r="Q15" s="54"/>
      <c r="R15" s="54">
        <v>1</v>
      </c>
      <c r="S15" s="54"/>
      <c r="V15" s="38">
        <f t="shared" ref="V15:V16" si="3">SUM(O15:U15)</f>
        <v>2</v>
      </c>
      <c r="X15" s="50" t="str">
        <f>IF(D15="层数",((V16*基础数据设定!$E$8+初级难度关卡验证!V17*基础数据设定!$E$9+初级难度关卡验证!#REF!*基础数据设定!$E$10)+SUM(V16:V17)*4),"")</f>
        <v/>
      </c>
      <c r="Z15" s="38" t="str">
        <f t="shared" si="2"/>
        <v/>
      </c>
      <c r="AD15" s="38">
        <v>2</v>
      </c>
      <c r="AE15" s="55">
        <f>IF(E15="","",INDEX(基础数据设定!$M$8:$M$19,MATCH(高级难度关卡验证!E15,基础数据设定!$L$8:$L$19,0)))</f>
        <v>10</v>
      </c>
      <c r="AF15" s="38">
        <f>IF(F15="","",INDEX(基础数据设定!$M$8:$M$19,MATCH(高级难度关卡验证!F15,基础数据设定!$L$8:$L$19,0)))</f>
        <v>200</v>
      </c>
      <c r="AG15" s="55">
        <f>IF(G15="","",INDEX(基础数据设定!$M$8:$M$19,MATCH(高级难度关卡验证!G15,基础数据设定!$L$8:$L$19,0)))</f>
        <v>10</v>
      </c>
      <c r="AH15" s="38">
        <f>IF(H15="","",INDEX(基础数据设定!$M$8:$M$19,MATCH(高级难度关卡验证!H15,基础数据设定!$L$8:$L$19,0)))</f>
        <v>50</v>
      </c>
      <c r="AI15" s="55" t="str">
        <f>IF(I15="","",INDEX(基础数据设定!$M$8:$M$19,MATCH(高级难度关卡验证!I15,基础数据设定!$L$8:$L$19,0)))</f>
        <v/>
      </c>
      <c r="AJ15" s="38" t="str">
        <f>IF(J15="","",INDEX(基础数据设定!$M$8:$M$19,MATCH(高级难度关卡验证!J15,基础数据设定!$L$8:$L$19,0)))</f>
        <v/>
      </c>
      <c r="AK15" s="55" t="str">
        <f>IF(K15="","",INDEX(基础数据设定!$M$8:$M$19,MATCH(高级难度关卡验证!K15,基础数据设定!$L$8:$L$19,0)))</f>
        <v/>
      </c>
    </row>
    <row r="16" spans="4:37" x14ac:dyDescent="0.15">
      <c r="D16" s="38">
        <v>1</v>
      </c>
      <c r="E16" s="54" t="s">
        <v>121</v>
      </c>
      <c r="F16" s="54" t="s">
        <v>121</v>
      </c>
      <c r="G16" s="54" t="s">
        <v>121</v>
      </c>
      <c r="H16" s="54" t="s">
        <v>121</v>
      </c>
      <c r="I16" s="54" t="s">
        <v>121</v>
      </c>
      <c r="J16" s="54"/>
      <c r="N16" s="38">
        <v>1</v>
      </c>
      <c r="O16" s="54"/>
      <c r="P16" s="54"/>
      <c r="Q16" s="54"/>
      <c r="R16" s="54"/>
      <c r="S16" s="54"/>
      <c r="T16" s="54"/>
      <c r="V16" s="38">
        <f t="shared" si="3"/>
        <v>0</v>
      </c>
      <c r="X16" s="50" t="str">
        <f>IF(D16="层数",((V17*基础数据设定!$E$8+初级难度关卡验证!#REF!*基础数据设定!$E$9+初级难度关卡验证!#REF!*基础数据设定!$E$10)+SUM(V17:V17)*4),"")</f>
        <v/>
      </c>
      <c r="Z16" s="38" t="str">
        <f t="shared" si="2"/>
        <v/>
      </c>
      <c r="AD16" s="38">
        <v>1</v>
      </c>
      <c r="AE16" s="38">
        <f>IF(E16="","",INDEX(基础数据设定!$M$8:$M$19,MATCH(高级难度关卡验证!E16,基础数据设定!$L$8:$L$19,0)))</f>
        <v>10</v>
      </c>
      <c r="AF16" s="55">
        <f>IF(F16="","",INDEX(基础数据设定!$M$8:$M$19,MATCH(高级难度关卡验证!F16,基础数据设定!$L$8:$L$19,0)))</f>
        <v>10</v>
      </c>
      <c r="AG16" s="38">
        <f>IF(G16="","",INDEX(基础数据设定!$M$8:$M$19,MATCH(高级难度关卡验证!G16,基础数据设定!$L$8:$L$19,0)))</f>
        <v>10</v>
      </c>
      <c r="AH16" s="55">
        <f>IF(H16="","",INDEX(基础数据设定!$M$8:$M$19,MATCH(高级难度关卡验证!H16,基础数据设定!$L$8:$L$19,0)))</f>
        <v>10</v>
      </c>
      <c r="AI16" s="38">
        <f>IF(I16="","",INDEX(基础数据设定!$M$8:$M$19,MATCH(高级难度关卡验证!I16,基础数据设定!$L$8:$L$19,0)))</f>
        <v>10</v>
      </c>
      <c r="AJ16" s="55" t="str">
        <f>IF(J16="","",INDEX(基础数据设定!$M$8:$M$19,MATCH(高级难度关卡验证!J16,基础数据设定!$L$8:$L$19,0)))</f>
        <v/>
      </c>
      <c r="AK16" s="38" t="str">
        <f>IF(K16="","",INDEX(基础数据设定!$M$8:$M$19,MATCH(高级难度关卡验证!K16,基础数据设定!$L$8:$L$19,0)))</f>
        <v/>
      </c>
    </row>
    <row r="17" spans="4:37" x14ac:dyDescent="0.15">
      <c r="X17" s="50" t="str">
        <f>IF(D17="层数",((#REF!*基础数据设定!$E$8+初级难度关卡验证!#REF!*基础数据设定!$E$9+初级难度关卡验证!#REF!*基础数据设定!$E$10)+SUM(#REF!)*4),"")</f>
        <v/>
      </c>
      <c r="Y17" s="51" t="str">
        <f>IF(D17="层数",SUMPRODUCT(#REF!,#REF!)+Y12,"")</f>
        <v/>
      </c>
      <c r="Z17" s="38" t="str">
        <f t="shared" si="0"/>
        <v/>
      </c>
    </row>
    <row r="18" spans="4:37" x14ac:dyDescent="0.15">
      <c r="D18" s="38" t="s">
        <v>103</v>
      </c>
      <c r="E18" s="38">
        <v>1</v>
      </c>
      <c r="F18" s="38">
        <v>2</v>
      </c>
      <c r="G18" s="38">
        <v>3</v>
      </c>
      <c r="H18" s="38">
        <v>4</v>
      </c>
      <c r="I18" s="38">
        <v>5</v>
      </c>
      <c r="J18" s="38">
        <v>6</v>
      </c>
      <c r="K18" s="38">
        <v>7</v>
      </c>
      <c r="X18" s="50">
        <f>IF(D18="层数",((V19*基础数据设定!$E$8+初级难度关卡验证!V20*基础数据设定!$E$9+初级难度关卡验证!V21*基础数据设定!$E$10)+SUM(V19:V22)*4),"")</f>
        <v>25.408450704225352</v>
      </c>
      <c r="Y18" s="51">
        <f>IF(D18="层数",SUMPRODUCT(O19:U21,AE19:AK21)+Y13,"")</f>
        <v>2570</v>
      </c>
      <c r="Z18" s="38">
        <v>1400</v>
      </c>
    </row>
    <row r="19" spans="4:37" x14ac:dyDescent="0.15">
      <c r="D19" s="38">
        <v>3</v>
      </c>
      <c r="E19" s="54" t="s">
        <v>124</v>
      </c>
      <c r="F19" s="54" t="s">
        <v>121</v>
      </c>
      <c r="G19" s="54" t="s">
        <v>98</v>
      </c>
      <c r="H19" s="54" t="s">
        <v>124</v>
      </c>
      <c r="N19" s="38">
        <v>3</v>
      </c>
      <c r="O19" s="54">
        <v>1</v>
      </c>
      <c r="P19" s="54"/>
      <c r="Q19" s="54"/>
      <c r="R19" s="54">
        <v>1</v>
      </c>
      <c r="V19" s="38">
        <f>SUM(O19:U19)</f>
        <v>2</v>
      </c>
      <c r="X19" s="50" t="str">
        <f>IF(D19="层数",((V20*基础数据设定!$E$8+初级难度关卡验证!V21*基础数据设定!$E$9+初级难度关卡验证!V22*基础数据设定!$E$10)+SUM(V20:V22)*4),"")</f>
        <v/>
      </c>
      <c r="Z19" s="38" t="str">
        <f t="shared" ref="Z19:Z22" si="4">IF(Y19="","",ROUND($E$4*Y19,-1))</f>
        <v/>
      </c>
      <c r="AD19" s="38">
        <v>3</v>
      </c>
      <c r="AE19" s="38">
        <f>IF(E19="","",INDEX(基础数据设定!$M$8:$M$19,MATCH(高级难度关卡验证!E19,基础数据设定!$L$8:$L$19,0)))</f>
        <v>500</v>
      </c>
      <c r="AF19" s="55">
        <f>IF(F19="","",INDEX(基础数据设定!$M$8:$M$19,MATCH(高级难度关卡验证!F19,基础数据设定!$L$8:$L$19,0)))</f>
        <v>10</v>
      </c>
      <c r="AG19" s="38">
        <f>IF(G19="","",INDEX(基础数据设定!$M$8:$M$19,MATCH(高级难度关卡验证!G19,基础数据设定!$L$8:$L$19,0)))</f>
        <v>100</v>
      </c>
      <c r="AH19" s="55">
        <f>IF(H19="","",INDEX(基础数据设定!$M$8:$M$19,MATCH(高级难度关卡验证!H19,基础数据设定!$L$8:$L$19,0)))</f>
        <v>500</v>
      </c>
      <c r="AI19" s="38" t="str">
        <f>IF(I19="","",INDEX(基础数据设定!$M$8:$M$19,MATCH(高级难度关卡验证!I19,基础数据设定!$L$8:$L$19,0)))</f>
        <v/>
      </c>
      <c r="AJ19" s="55" t="str">
        <f>IF(J19="","",INDEX(基础数据设定!$M$8:$M$19,MATCH(高级难度关卡验证!J19,基础数据设定!$L$8:$L$19,0)))</f>
        <v/>
      </c>
      <c r="AK19" s="38" t="str">
        <f>IF(K19="","",INDEX(基础数据设定!$M$8:$M$19,MATCH(高级难度关卡验证!K19,基础数据设定!$L$8:$L$19,0)))</f>
        <v/>
      </c>
    </row>
    <row r="20" spans="4:37" x14ac:dyDescent="0.15">
      <c r="D20" s="38">
        <v>2</v>
      </c>
      <c r="E20" s="54" t="s">
        <v>121</v>
      </c>
      <c r="F20" s="54" t="s">
        <v>123</v>
      </c>
      <c r="G20" s="54" t="s">
        <v>123</v>
      </c>
      <c r="H20" s="54" t="s">
        <v>122</v>
      </c>
      <c r="I20" s="54"/>
      <c r="N20" s="38">
        <v>2</v>
      </c>
      <c r="O20" s="54"/>
      <c r="P20" s="54">
        <v>1</v>
      </c>
      <c r="Q20" s="54"/>
      <c r="R20" s="54">
        <v>1</v>
      </c>
      <c r="S20" s="54"/>
      <c r="V20" s="38">
        <f t="shared" ref="V20:V21" si="5">SUM(O20:U20)</f>
        <v>2</v>
      </c>
      <c r="X20" s="50" t="str">
        <f>IF(D20="层数",((V21*基础数据设定!$E$8+初级难度关卡验证!V22*基础数据设定!$E$9+初级难度关卡验证!V23*基础数据设定!$E$10)+SUM(V21:V22)*4),"")</f>
        <v/>
      </c>
      <c r="Z20" s="38" t="str">
        <f t="shared" si="4"/>
        <v/>
      </c>
      <c r="AD20" s="38">
        <v>2</v>
      </c>
      <c r="AE20" s="55">
        <f>IF(E20="","",INDEX(基础数据设定!$M$8:$M$19,MATCH(高级难度关卡验证!E20,基础数据设定!$L$8:$L$19,0)))</f>
        <v>10</v>
      </c>
      <c r="AF20" s="38">
        <f>IF(F20="","",INDEX(基础数据设定!$M$8:$M$19,MATCH(高级难度关卡验证!F20,基础数据设定!$L$8:$L$19,0)))</f>
        <v>200</v>
      </c>
      <c r="AG20" s="55">
        <f>IF(G20="","",INDEX(基础数据设定!$M$8:$M$19,MATCH(高级难度关卡验证!G20,基础数据设定!$L$8:$L$19,0)))</f>
        <v>200</v>
      </c>
      <c r="AH20" s="38">
        <f>IF(H20="","",INDEX(基础数据设定!$M$8:$M$19,MATCH(高级难度关卡验证!H20,基础数据设定!$L$8:$L$19,0)))</f>
        <v>50</v>
      </c>
      <c r="AI20" s="55" t="str">
        <f>IF(I20="","",INDEX(基础数据设定!$M$8:$M$19,MATCH(高级难度关卡验证!I20,基础数据设定!$L$8:$L$19,0)))</f>
        <v/>
      </c>
      <c r="AJ20" s="38" t="str">
        <f>IF(J20="","",INDEX(基础数据设定!$M$8:$M$19,MATCH(高级难度关卡验证!J20,基础数据设定!$L$8:$L$19,0)))</f>
        <v/>
      </c>
      <c r="AK20" s="55" t="str">
        <f>IF(K20="","",INDEX(基础数据设定!$M$8:$M$19,MATCH(高级难度关卡验证!K20,基础数据设定!$L$8:$L$19,0)))</f>
        <v/>
      </c>
    </row>
    <row r="21" spans="4:37" x14ac:dyDescent="0.15">
      <c r="D21" s="38">
        <v>1</v>
      </c>
      <c r="E21" s="54" t="s">
        <v>98</v>
      </c>
      <c r="F21" s="54" t="s">
        <v>98</v>
      </c>
      <c r="G21" s="54" t="s">
        <v>98</v>
      </c>
      <c r="H21" s="54" t="s">
        <v>121</v>
      </c>
      <c r="I21" s="54" t="s">
        <v>121</v>
      </c>
      <c r="J21" s="54"/>
      <c r="N21" s="38">
        <v>1</v>
      </c>
      <c r="O21" s="54"/>
      <c r="P21" s="54">
        <v>1</v>
      </c>
      <c r="Q21" s="54"/>
      <c r="R21" s="54"/>
      <c r="S21" s="54"/>
      <c r="T21" s="54"/>
      <c r="V21" s="38">
        <f t="shared" si="5"/>
        <v>1</v>
      </c>
      <c r="X21" s="50" t="str">
        <f>IF(D21="层数",((V22*基础数据设定!$E$8+初级难度关卡验证!V23*基础数据设定!$E$9+初级难度关卡验证!#REF!*基础数据设定!$E$10)+SUM(V22:V22)*4),"")</f>
        <v/>
      </c>
      <c r="Z21" s="38" t="str">
        <f t="shared" si="4"/>
        <v/>
      </c>
      <c r="AD21" s="38">
        <v>1</v>
      </c>
      <c r="AE21" s="38">
        <f>IF(E21="","",INDEX(基础数据设定!$M$8:$M$19,MATCH(高级难度关卡验证!E21,基础数据设定!$L$8:$L$19,0)))</f>
        <v>100</v>
      </c>
      <c r="AF21" s="55">
        <f>IF(F21="","",INDEX(基础数据设定!$M$8:$M$19,MATCH(高级难度关卡验证!F21,基础数据设定!$L$8:$L$19,0)))</f>
        <v>100</v>
      </c>
      <c r="AG21" s="38">
        <f>IF(G21="","",INDEX(基础数据设定!$M$8:$M$19,MATCH(高级难度关卡验证!G21,基础数据设定!$L$8:$L$19,0)))</f>
        <v>100</v>
      </c>
      <c r="AH21" s="55">
        <f>IF(H21="","",INDEX(基础数据设定!$M$8:$M$19,MATCH(高级难度关卡验证!H21,基础数据设定!$L$8:$L$19,0)))</f>
        <v>10</v>
      </c>
      <c r="AI21" s="38">
        <f>IF(I21="","",INDEX(基础数据设定!$M$8:$M$19,MATCH(高级难度关卡验证!I21,基础数据设定!$L$8:$L$19,0)))</f>
        <v>10</v>
      </c>
      <c r="AJ21" s="55" t="str">
        <f>IF(J21="","",INDEX(基础数据设定!$M$8:$M$19,MATCH(高级难度关卡验证!J21,基础数据设定!$L$8:$L$19,0)))</f>
        <v/>
      </c>
      <c r="AK21" s="38" t="str">
        <f>IF(K21="","",INDEX(基础数据设定!$M$8:$M$19,MATCH(高级难度关卡验证!K21,基础数据设定!$L$8:$L$19,0)))</f>
        <v/>
      </c>
    </row>
    <row r="22" spans="4:37" x14ac:dyDescent="0.15">
      <c r="X22" s="50" t="str">
        <f>IF(D22="层数",((#REF!*基础数据设定!$E$8+初级难度关卡验证!#REF!*基础数据设定!$E$9+初级难度关卡验证!#REF!*基础数据设定!$E$10)+SUM(#REF!)*4),"")</f>
        <v/>
      </c>
      <c r="Y22" s="51" t="str">
        <f>IF(D22="层数",SUMPRODUCT(#REF!,#REF!)+Y17,"")</f>
        <v/>
      </c>
      <c r="Z22" s="38" t="str">
        <f t="shared" si="4"/>
        <v/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DD66C-6E6F-409B-9464-72B731DDC74B}">
  <sheetPr codeName="Sheet9"/>
  <dimension ref="A1:AE372"/>
  <sheetViews>
    <sheetView topLeftCell="A197" workbookViewId="0">
      <selection activeCell="V325" sqref="V325"/>
    </sheetView>
  </sheetViews>
  <sheetFormatPr defaultColWidth="6.625" defaultRowHeight="11.25" x14ac:dyDescent="0.15"/>
  <cols>
    <col min="1" max="2" width="6.625" style="27"/>
    <col min="3" max="3" width="6.625" style="19"/>
    <col min="4" max="7" width="6.625" style="27"/>
    <col min="8" max="8" width="6.625" style="17"/>
    <col min="9" max="21" width="6.625" style="27"/>
    <col min="22" max="24" width="6.625" style="19"/>
    <col min="25" max="16384" width="6.625" style="27"/>
  </cols>
  <sheetData>
    <row r="1" spans="1:31" x14ac:dyDescent="0.15">
      <c r="A1" s="18" t="s">
        <v>139</v>
      </c>
      <c r="C1" s="27"/>
      <c r="D1" s="31">
        <v>0</v>
      </c>
      <c r="E1" s="27" t="s">
        <v>140</v>
      </c>
    </row>
    <row r="2" spans="1:31" x14ac:dyDescent="0.15">
      <c r="A2" s="18" t="s">
        <v>141</v>
      </c>
      <c r="C2" s="27"/>
      <c r="D2" s="31">
        <v>1</v>
      </c>
      <c r="E2" s="27" t="s">
        <v>142</v>
      </c>
    </row>
    <row r="3" spans="1:31" x14ac:dyDescent="0.15">
      <c r="A3" s="18" t="s">
        <v>144</v>
      </c>
      <c r="C3" s="27"/>
      <c r="D3" s="31">
        <v>2400</v>
      </c>
      <c r="E3" s="27" t="s">
        <v>143</v>
      </c>
    </row>
    <row r="4" spans="1:31" x14ac:dyDescent="0.15">
      <c r="C4" s="27"/>
    </row>
    <row r="5" spans="1:31" x14ac:dyDescent="0.15">
      <c r="C5" s="27"/>
    </row>
    <row r="6" spans="1:31" x14ac:dyDescent="0.15">
      <c r="C6" s="27"/>
      <c r="L6" s="27" t="s">
        <v>118</v>
      </c>
      <c r="T6" s="27" t="s">
        <v>117</v>
      </c>
    </row>
    <row r="7" spans="1:31" x14ac:dyDescent="0.15">
      <c r="B7" s="28" t="s">
        <v>145</v>
      </c>
      <c r="C7" s="28" t="s">
        <v>147</v>
      </c>
      <c r="D7" s="28" t="s">
        <v>146</v>
      </c>
      <c r="K7" s="27" t="s">
        <v>66</v>
      </c>
      <c r="L7" s="27" t="s">
        <v>51</v>
      </c>
      <c r="M7" s="27" t="s">
        <v>30</v>
      </c>
      <c r="N7" s="27" t="s">
        <v>52</v>
      </c>
      <c r="O7" s="27" t="s">
        <v>53</v>
      </c>
      <c r="P7" s="27" t="s">
        <v>54</v>
      </c>
      <c r="S7" s="27" t="s">
        <v>116</v>
      </c>
      <c r="T7" s="27" t="s">
        <v>51</v>
      </c>
      <c r="U7" s="27" t="s">
        <v>30</v>
      </c>
      <c r="V7" s="27" t="s">
        <v>52</v>
      </c>
      <c r="W7" s="27" t="s">
        <v>53</v>
      </c>
      <c r="X7" s="27" t="s">
        <v>54</v>
      </c>
      <c r="AA7" s="32"/>
      <c r="AB7" s="32"/>
      <c r="AC7" s="32"/>
      <c r="AD7" s="32"/>
      <c r="AE7" s="32"/>
    </row>
    <row r="8" spans="1:31" x14ac:dyDescent="0.15">
      <c r="B8" s="28" t="s">
        <v>106</v>
      </c>
      <c r="C8" s="28">
        <v>0.2</v>
      </c>
      <c r="D8" s="28">
        <f>$D$3*C8/240</f>
        <v>2</v>
      </c>
      <c r="K8" s="27">
        <v>1</v>
      </c>
      <c r="L8" s="27">
        <f t="shared" ref="L8:P17" si="0">IFERROR(MAX($K8-$D$1,0)*$D$3/30,0)</f>
        <v>80</v>
      </c>
      <c r="M8" s="27">
        <f t="shared" si="0"/>
        <v>80</v>
      </c>
      <c r="N8" s="27">
        <f t="shared" si="0"/>
        <v>80</v>
      </c>
      <c r="O8" s="27">
        <f t="shared" si="0"/>
        <v>80</v>
      </c>
      <c r="P8" s="27">
        <f t="shared" si="0"/>
        <v>80</v>
      </c>
      <c r="S8" s="27">
        <v>1</v>
      </c>
      <c r="T8" s="27">
        <f>IFERROR(求节点(节奏总纲!AD$4:AD$363,L$8:L$367,$S8),0)</f>
        <v>8</v>
      </c>
      <c r="U8" s="27">
        <f>IFERROR(求节点(节奏总纲!AE$4:AE$363,M$8:M$367,$S8),0)</f>
        <v>7.1758875468714081</v>
      </c>
      <c r="V8" s="27">
        <f>IFERROR(求节点(节奏总纲!AF$4:AF$363,N$8:N$367,$S8),0)</f>
        <v>6.2687387029407518</v>
      </c>
      <c r="W8" s="27">
        <f>IFERROR(求节点(节奏总纲!AG$4:AG$363,O$8:O$367,$S8),0)</f>
        <v>5.1772456131550513</v>
      </c>
      <c r="X8" s="27">
        <f>IFERROR(求节点(节奏总纲!AH$4:AH$363,P$8:P$367,$S8),0)</f>
        <v>3.7572952685123084</v>
      </c>
      <c r="AA8" s="32"/>
      <c r="AB8" s="32"/>
      <c r="AC8" s="32"/>
      <c r="AD8" s="32"/>
      <c r="AE8" s="32"/>
    </row>
    <row r="9" spans="1:31" x14ac:dyDescent="0.15">
      <c r="B9" s="28" t="s">
        <v>119</v>
      </c>
      <c r="C9" s="28">
        <v>0.3</v>
      </c>
      <c r="D9" s="28">
        <f t="shared" ref="D9:D10" si="1">$D$3*C9/240</f>
        <v>3</v>
      </c>
      <c r="K9" s="27">
        <v>2</v>
      </c>
      <c r="L9" s="27">
        <f t="shared" si="0"/>
        <v>160</v>
      </c>
      <c r="M9" s="27">
        <f t="shared" si="0"/>
        <v>160</v>
      </c>
      <c r="N9" s="27">
        <f t="shared" si="0"/>
        <v>160</v>
      </c>
      <c r="O9" s="27">
        <f t="shared" si="0"/>
        <v>160</v>
      </c>
      <c r="P9" s="27">
        <f t="shared" si="0"/>
        <v>160</v>
      </c>
      <c r="S9" s="27">
        <v>2</v>
      </c>
      <c r="T9" s="27">
        <f>IFERROR(求节点(节奏总纲!AD$4:AD$363,L$8:L$367,$S9),0)</f>
        <v>16</v>
      </c>
      <c r="U9" s="27">
        <f>IFERROR(求节点(节奏总纲!AE$4:AE$363,M$8:M$367,$S9),0)</f>
        <v>14.351775093742816</v>
      </c>
      <c r="V9" s="27">
        <f>IFERROR(求节点(节奏总纲!AF$4:AF$363,N$8:N$367,$S9),0)</f>
        <v>12.537477405881504</v>
      </c>
      <c r="W9" s="27">
        <f>IFERROR(求节点(节奏总纲!AG$4:AG$363,O$8:O$367,$S9),0)</f>
        <v>10.354491226310088</v>
      </c>
      <c r="X9" s="27">
        <f>IFERROR(求节点(节奏总纲!AH$4:AH$363,P$8:P$367,$S9),0)</f>
        <v>7.5145905370246169</v>
      </c>
      <c r="AA9" s="32"/>
      <c r="AB9" s="32"/>
      <c r="AC9" s="32"/>
      <c r="AD9" s="32"/>
      <c r="AE9" s="32"/>
    </row>
    <row r="10" spans="1:31" x14ac:dyDescent="0.15">
      <c r="B10" s="28" t="s">
        <v>120</v>
      </c>
      <c r="C10" s="28">
        <v>0.5</v>
      </c>
      <c r="D10" s="28">
        <f t="shared" si="1"/>
        <v>5</v>
      </c>
      <c r="K10" s="27">
        <v>3</v>
      </c>
      <c r="L10" s="27">
        <f t="shared" si="0"/>
        <v>240</v>
      </c>
      <c r="M10" s="27">
        <f t="shared" si="0"/>
        <v>240</v>
      </c>
      <c r="N10" s="27">
        <f t="shared" si="0"/>
        <v>240</v>
      </c>
      <c r="O10" s="27">
        <f t="shared" si="0"/>
        <v>240</v>
      </c>
      <c r="P10" s="27">
        <f t="shared" si="0"/>
        <v>240</v>
      </c>
      <c r="S10" s="27">
        <v>3</v>
      </c>
      <c r="T10" s="27">
        <f>IFERROR(求节点(节奏总纲!AD$4:AD$363,L$8:L$367,$S10),0)</f>
        <v>24</v>
      </c>
      <c r="U10" s="27">
        <f>IFERROR(求节点(节奏总纲!AE$4:AE$363,M$8:M$367,$S10),0)</f>
        <v>21.527662640614224</v>
      </c>
      <c r="V10" s="27">
        <f>IFERROR(求节点(节奏总纲!AF$4:AF$363,N$8:N$367,$S10),0)</f>
        <v>18.806216108822255</v>
      </c>
      <c r="W10" s="27">
        <f>IFERROR(求节点(节奏总纲!AG$4:AG$363,O$8:O$367,$S10),0)</f>
        <v>15.53173683946514</v>
      </c>
      <c r="X10" s="27">
        <f>IFERROR(求节点(节奏总纲!AH$4:AH$363,P$8:P$367,$S10),0)</f>
        <v>11.271885805536925</v>
      </c>
      <c r="AA10" s="32"/>
      <c r="AB10" s="32"/>
      <c r="AC10" s="32"/>
      <c r="AD10" s="32"/>
      <c r="AE10" s="32"/>
    </row>
    <row r="11" spans="1:31" x14ac:dyDescent="0.15">
      <c r="B11" s="28"/>
      <c r="C11" s="28"/>
      <c r="D11" s="28"/>
      <c r="K11" s="27">
        <v>4</v>
      </c>
      <c r="L11" s="27">
        <f t="shared" si="0"/>
        <v>320</v>
      </c>
      <c r="M11" s="27">
        <f t="shared" si="0"/>
        <v>320</v>
      </c>
      <c r="N11" s="27">
        <f t="shared" si="0"/>
        <v>320</v>
      </c>
      <c r="O11" s="27">
        <f t="shared" si="0"/>
        <v>320</v>
      </c>
      <c r="P11" s="27">
        <f t="shared" si="0"/>
        <v>320</v>
      </c>
      <c r="S11" s="27">
        <v>4</v>
      </c>
      <c r="T11" s="27">
        <f>IFERROR(求节点(节奏总纲!AD$4:AD$363,L$8:L$367,$S11),0)</f>
        <v>32</v>
      </c>
      <c r="U11" s="27">
        <f>IFERROR(求节点(节奏总纲!AE$4:AE$363,M$8:M$367,$S11),0)</f>
        <v>28.703550187485632</v>
      </c>
      <c r="V11" s="27">
        <f>IFERROR(求节点(节奏总纲!AF$4:AF$363,N$8:N$367,$S11),0)</f>
        <v>25.074954811763007</v>
      </c>
      <c r="W11" s="27">
        <f>IFERROR(求节点(节奏总纲!AG$4:AG$363,O$8:O$367,$S11),0)</f>
        <v>20.708982452620184</v>
      </c>
      <c r="X11" s="27">
        <f>IFERROR(求节点(节奏总纲!AH$4:AH$363,P$8:P$367,$S11),0)</f>
        <v>15.029181074049234</v>
      </c>
      <c r="AA11" s="32"/>
      <c r="AB11" s="32"/>
      <c r="AC11" s="32"/>
      <c r="AD11" s="32"/>
      <c r="AE11" s="32"/>
    </row>
    <row r="12" spans="1:31" x14ac:dyDescent="0.15">
      <c r="B12" s="28"/>
      <c r="C12" s="28"/>
      <c r="D12" s="28"/>
      <c r="K12" s="27">
        <v>5</v>
      </c>
      <c r="L12" s="27">
        <f t="shared" si="0"/>
        <v>400</v>
      </c>
      <c r="M12" s="27">
        <f t="shared" si="0"/>
        <v>400</v>
      </c>
      <c r="N12" s="27">
        <f t="shared" si="0"/>
        <v>400</v>
      </c>
      <c r="O12" s="27">
        <f t="shared" si="0"/>
        <v>400</v>
      </c>
      <c r="P12" s="27">
        <f t="shared" si="0"/>
        <v>400</v>
      </c>
      <c r="S12" s="27">
        <v>5</v>
      </c>
      <c r="T12" s="27">
        <f>IFERROR(求节点(节奏总纲!AD$4:AD$363,L$8:L$367,$S12),0)</f>
        <v>40</v>
      </c>
      <c r="U12" s="27">
        <f>IFERROR(求节点(节奏总纲!AE$4:AE$363,M$8:M$367,$S12),0)</f>
        <v>35.87943773435704</v>
      </c>
      <c r="V12" s="27">
        <f>IFERROR(求节点(节奏总纲!AF$4:AF$363,N$8:N$367,$S12),0)</f>
        <v>31.343693514703759</v>
      </c>
      <c r="W12" s="27">
        <f>IFERROR(求节点(节奏总纲!AG$4:AG$363,O$8:O$367,$S12),0)</f>
        <v>25.886228065775235</v>
      </c>
      <c r="X12" s="27">
        <f>IFERROR(求节点(节奏总纲!AH$4:AH$363,P$8:P$367,$S12),0)</f>
        <v>18.786476342561542</v>
      </c>
      <c r="AA12" s="32"/>
      <c r="AB12" s="32"/>
      <c r="AC12" s="32"/>
      <c r="AD12" s="32"/>
      <c r="AE12" s="32"/>
    </row>
    <row r="13" spans="1:31" x14ac:dyDescent="0.15">
      <c r="B13" s="28"/>
      <c r="C13" s="28"/>
      <c r="D13" s="28"/>
      <c r="K13" s="27">
        <v>6</v>
      </c>
      <c r="L13" s="27">
        <f t="shared" si="0"/>
        <v>480</v>
      </c>
      <c r="M13" s="27">
        <f t="shared" si="0"/>
        <v>480</v>
      </c>
      <c r="N13" s="27">
        <f t="shared" si="0"/>
        <v>480</v>
      </c>
      <c r="O13" s="27">
        <f t="shared" si="0"/>
        <v>480</v>
      </c>
      <c r="P13" s="27">
        <f t="shared" si="0"/>
        <v>480</v>
      </c>
      <c r="S13" s="27">
        <v>6</v>
      </c>
      <c r="T13" s="27">
        <f>IFERROR(求节点(节奏总纲!AD$4:AD$363,L$8:L$367,$S13),0)</f>
        <v>48</v>
      </c>
      <c r="U13" s="27">
        <f>IFERROR(求节点(节奏总纲!AE$4:AE$363,M$8:M$367,$S13),0)</f>
        <v>43.055325281228455</v>
      </c>
      <c r="V13" s="27">
        <f>IFERROR(求节点(节奏总纲!AF$4:AF$363,N$8:N$367,$S13),0)</f>
        <v>37.612432217644511</v>
      </c>
      <c r="W13" s="27">
        <f>IFERROR(求节点(节奏总纲!AG$4:AG$363,O$8:O$367,$S13),0)</f>
        <v>31.063473678930279</v>
      </c>
      <c r="X13" s="27">
        <f>IFERROR(求节点(节奏总纲!AH$4:AH$363,P$8:P$367,$S13),0)</f>
        <v>22.543771611073851</v>
      </c>
      <c r="AA13" s="32"/>
      <c r="AB13" s="32"/>
      <c r="AC13" s="32"/>
      <c r="AD13" s="32"/>
      <c r="AE13" s="32"/>
    </row>
    <row r="14" spans="1:31" x14ac:dyDescent="0.15">
      <c r="B14" s="28"/>
      <c r="C14" s="28"/>
      <c r="D14" s="28"/>
      <c r="K14" s="27">
        <v>7</v>
      </c>
      <c r="L14" s="27">
        <f t="shared" si="0"/>
        <v>560</v>
      </c>
      <c r="M14" s="27">
        <f t="shared" si="0"/>
        <v>560</v>
      </c>
      <c r="N14" s="27">
        <f t="shared" si="0"/>
        <v>560</v>
      </c>
      <c r="O14" s="27">
        <f t="shared" si="0"/>
        <v>560</v>
      </c>
      <c r="P14" s="27">
        <f t="shared" si="0"/>
        <v>560</v>
      </c>
      <c r="S14" s="27">
        <v>7</v>
      </c>
      <c r="T14" s="27">
        <f>IFERROR(求节点(节奏总纲!AD$4:AD$363,L$8:L$367,$S14),0)</f>
        <v>56</v>
      </c>
      <c r="U14" s="27">
        <f>IFERROR(求节点(节奏总纲!AE$4:AE$363,M$8:M$367,$S14),0)</f>
        <v>50.231212828099856</v>
      </c>
      <c r="V14" s="27">
        <f>IFERROR(求节点(节奏总纲!AF$4:AF$363,N$8:N$367,$S14),0)</f>
        <v>43.881170920585262</v>
      </c>
      <c r="W14" s="27">
        <f>IFERROR(求节点(节奏总纲!AG$4:AG$363,O$8:O$367,$S14),0)</f>
        <v>36.240719292085323</v>
      </c>
      <c r="X14" s="27">
        <f>IFERROR(求节点(节奏总纲!AH$4:AH$363,P$8:P$367,$S14),0)</f>
        <v>26.301066879586159</v>
      </c>
      <c r="AA14" s="32"/>
      <c r="AB14" s="32"/>
      <c r="AC14" s="32"/>
      <c r="AD14" s="32"/>
      <c r="AE14" s="32"/>
    </row>
    <row r="15" spans="1:31" x14ac:dyDescent="0.15">
      <c r="B15" s="28"/>
      <c r="C15" s="28"/>
      <c r="D15" s="28"/>
      <c r="K15" s="27">
        <v>8</v>
      </c>
      <c r="L15" s="27">
        <f t="shared" si="0"/>
        <v>640</v>
      </c>
      <c r="M15" s="27">
        <f t="shared" si="0"/>
        <v>640</v>
      </c>
      <c r="N15" s="27">
        <f t="shared" si="0"/>
        <v>640</v>
      </c>
      <c r="O15" s="27">
        <f t="shared" si="0"/>
        <v>640</v>
      </c>
      <c r="P15" s="27">
        <f t="shared" si="0"/>
        <v>640</v>
      </c>
      <c r="S15" s="27">
        <v>8</v>
      </c>
      <c r="T15" s="27">
        <f>IFERROR(求节点(节奏总纲!AD$4:AD$363,L$8:L$367,$S15),0)</f>
        <v>64</v>
      </c>
      <c r="U15" s="27">
        <f>IFERROR(求节点(节奏总纲!AE$4:AE$363,M$8:M$367,$S15),0)</f>
        <v>57.407100374971272</v>
      </c>
      <c r="V15" s="27">
        <f>IFERROR(求节点(节奏总纲!AF$4:AF$363,N$8:N$367,$S15),0)</f>
        <v>50.149909623526014</v>
      </c>
      <c r="W15" s="27">
        <f>IFERROR(求节点(节奏总纲!AG$4:AG$363,O$8:O$367,$S15),0)</f>
        <v>41.417964905240375</v>
      </c>
      <c r="X15" s="27">
        <f>IFERROR(求节点(节奏总纲!AH$4:AH$363,P$8:P$367,$S15),0)</f>
        <v>30.058362148098468</v>
      </c>
    </row>
    <row r="16" spans="1:31" x14ac:dyDescent="0.15">
      <c r="B16" s="28"/>
      <c r="C16" s="28"/>
      <c r="D16" s="28"/>
      <c r="K16" s="27">
        <v>9</v>
      </c>
      <c r="L16" s="27">
        <f t="shared" si="0"/>
        <v>720</v>
      </c>
      <c r="M16" s="27">
        <f t="shared" si="0"/>
        <v>720</v>
      </c>
      <c r="N16" s="27">
        <f t="shared" si="0"/>
        <v>720</v>
      </c>
      <c r="O16" s="27">
        <f t="shared" si="0"/>
        <v>720</v>
      </c>
      <c r="P16" s="27">
        <f t="shared" si="0"/>
        <v>720</v>
      </c>
      <c r="S16" s="27">
        <v>9</v>
      </c>
      <c r="T16" s="27">
        <f>IFERROR(求节点(节奏总纲!AD$4:AD$363,L$8:L$367,$S16),0)</f>
        <v>72</v>
      </c>
      <c r="U16" s="27">
        <f>IFERROR(求节点(节奏总纲!AE$4:AE$363,M$8:M$367,$S16),0)</f>
        <v>64.582987921842687</v>
      </c>
      <c r="V16" s="27">
        <f>IFERROR(求节点(节奏总纲!AF$4:AF$363,N$8:N$367,$S16),0)</f>
        <v>56.418648326466766</v>
      </c>
      <c r="W16" s="27">
        <f>IFERROR(求节点(节奏总纲!AG$4:AG$363,O$8:O$367,$S16),0)</f>
        <v>46.595210518395419</v>
      </c>
      <c r="X16" s="27">
        <f>IFERROR(求节点(节奏总纲!AH$4:AH$363,P$8:P$367,$S16),0)</f>
        <v>33.815657416610776</v>
      </c>
    </row>
    <row r="17" spans="2:24" x14ac:dyDescent="0.15">
      <c r="B17" s="28"/>
      <c r="C17" s="28"/>
      <c r="D17" s="28"/>
      <c r="K17" s="27">
        <v>10</v>
      </c>
      <c r="L17" s="27">
        <f t="shared" si="0"/>
        <v>800</v>
      </c>
      <c r="M17" s="27">
        <f t="shared" si="0"/>
        <v>800</v>
      </c>
      <c r="N17" s="27">
        <f t="shared" si="0"/>
        <v>800</v>
      </c>
      <c r="O17" s="27">
        <f t="shared" si="0"/>
        <v>800</v>
      </c>
      <c r="P17" s="27">
        <f t="shared" si="0"/>
        <v>800</v>
      </c>
      <c r="S17" s="27">
        <v>10</v>
      </c>
      <c r="T17" s="27">
        <f>IFERROR(求节点(节奏总纲!AD$4:AD$363,L$8:L$367,$S17),0)</f>
        <v>80</v>
      </c>
      <c r="U17" s="27">
        <f>IFERROR(求节点(节奏总纲!AE$4:AE$363,M$8:M$367,$S17),0)</f>
        <v>71.758875468714081</v>
      </c>
      <c r="V17" s="27">
        <f>IFERROR(求节点(节奏总纲!AF$4:AF$363,N$8:N$367,$S17),0)</f>
        <v>62.68738702940751</v>
      </c>
      <c r="W17" s="27">
        <f>IFERROR(求节点(节奏总纲!AG$4:AG$363,O$8:O$367,$S17),0)</f>
        <v>51.77245613155047</v>
      </c>
      <c r="X17" s="27">
        <f>IFERROR(求节点(节奏总纲!AH$4:AH$363,P$8:P$367,$S17),0)</f>
        <v>37.572952685123084</v>
      </c>
    </row>
    <row r="18" spans="2:24" x14ac:dyDescent="0.15">
      <c r="B18" s="28"/>
      <c r="C18" s="28"/>
      <c r="D18" s="28"/>
      <c r="K18" s="27">
        <v>11</v>
      </c>
      <c r="L18" s="27">
        <f t="shared" ref="L18:P27" si="2">IFERROR(MAX($K18-$D$1,0)*$D$3/30,0)</f>
        <v>880</v>
      </c>
      <c r="M18" s="27">
        <f t="shared" si="2"/>
        <v>880</v>
      </c>
      <c r="N18" s="27">
        <f t="shared" si="2"/>
        <v>880</v>
      </c>
      <c r="O18" s="27">
        <f t="shared" si="2"/>
        <v>880</v>
      </c>
      <c r="P18" s="27">
        <f t="shared" si="2"/>
        <v>880</v>
      </c>
      <c r="S18" s="27">
        <v>11</v>
      </c>
      <c r="T18" s="27">
        <f>IFERROR(求节点(节奏总纲!AD$4:AD$363,L$8:L$367,$S18),0)</f>
        <v>93.686533577833558</v>
      </c>
      <c r="U18" s="27">
        <f>IFERROR(求节点(节奏总纲!AE$4:AE$363,M$8:M$367,$S18),0)</f>
        <v>78.934763015585503</v>
      </c>
      <c r="V18" s="27">
        <f>IFERROR(求节点(节奏总纲!AF$4:AF$363,N$8:N$367,$S18),0)</f>
        <v>68.956125732348255</v>
      </c>
      <c r="W18" s="27">
        <f>IFERROR(求节点(节奏总纲!AG$4:AG$363,O$8:O$367,$S18),0)</f>
        <v>56.949701744705514</v>
      </c>
      <c r="X18" s="27">
        <f>IFERROR(求节点(节奏总纲!AH$4:AH$363,P$8:P$367,$S18),0)</f>
        <v>41.330247953635393</v>
      </c>
    </row>
    <row r="19" spans="2:24" x14ac:dyDescent="0.15">
      <c r="C19" s="27"/>
      <c r="K19" s="27">
        <v>12</v>
      </c>
      <c r="L19" s="27">
        <f t="shared" si="2"/>
        <v>960</v>
      </c>
      <c r="M19" s="27">
        <f t="shared" si="2"/>
        <v>960</v>
      </c>
      <c r="N19" s="27">
        <f t="shared" si="2"/>
        <v>960</v>
      </c>
      <c r="O19" s="27">
        <f t="shared" si="2"/>
        <v>960</v>
      </c>
      <c r="P19" s="27">
        <f t="shared" si="2"/>
        <v>960</v>
      </c>
      <c r="S19" s="27">
        <v>12</v>
      </c>
      <c r="T19" s="27">
        <f>IFERROR(求节点(节奏总纲!AD$4:AD$363,L$8:L$367,$S19),0)</f>
        <v>107.37306715566712</v>
      </c>
      <c r="U19" s="27">
        <f>IFERROR(求节点(节奏总纲!AE$4:AE$363,M$8:M$367,$S19),0)</f>
        <v>91.124961450048517</v>
      </c>
      <c r="V19" s="27">
        <f>IFERROR(求节点(节奏总纲!AF$4:AF$363,N$8:N$367,$S19),0)</f>
        <v>75.224864435289021</v>
      </c>
      <c r="W19" s="27">
        <f>IFERROR(求节点(节奏总纲!AG$4:AG$363,O$8:O$367,$S19),0)</f>
        <v>62.126947357860558</v>
      </c>
      <c r="X19" s="27">
        <f>IFERROR(求节点(节奏总纲!AH$4:AH$363,P$8:P$367,$S19),0)</f>
        <v>45.087543222147701</v>
      </c>
    </row>
    <row r="20" spans="2:24" x14ac:dyDescent="0.15">
      <c r="C20" s="27"/>
      <c r="K20" s="27">
        <v>13</v>
      </c>
      <c r="L20" s="27">
        <f t="shared" si="2"/>
        <v>1040</v>
      </c>
      <c r="M20" s="27">
        <f t="shared" si="2"/>
        <v>1040</v>
      </c>
      <c r="N20" s="27">
        <f t="shared" si="2"/>
        <v>1040</v>
      </c>
      <c r="O20" s="27">
        <f t="shared" si="2"/>
        <v>1040</v>
      </c>
      <c r="P20" s="27">
        <f t="shared" si="2"/>
        <v>1040</v>
      </c>
      <c r="S20" s="27">
        <v>13</v>
      </c>
      <c r="T20" s="27">
        <f>IFERROR(求节点(节奏总纲!AD$4:AD$363,L$8:L$367,$S20),0)</f>
        <v>121.05960073350067</v>
      </c>
      <c r="U20" s="27">
        <f>IFERROR(求节点(节奏总纲!AE$4:AE$363,M$8:M$367,$S20),0)</f>
        <v>104.18927784531131</v>
      </c>
      <c r="V20" s="27">
        <f>IFERROR(求节点(节奏总纲!AF$4:AF$363,N$8:N$367,$S20),0)</f>
        <v>82.931844228402099</v>
      </c>
      <c r="W20" s="27">
        <f>IFERROR(求节点(节奏总纲!AG$4:AG$363,O$8:O$367,$S20),0)</f>
        <v>67.30419297101561</v>
      </c>
      <c r="X20" s="27">
        <f>IFERROR(求节点(节奏总纲!AH$4:AH$363,P$8:P$367,$S20),0)</f>
        <v>48.84483849066001</v>
      </c>
    </row>
    <row r="21" spans="2:24" x14ac:dyDescent="0.15">
      <c r="C21" s="27"/>
      <c r="K21" s="27">
        <v>14</v>
      </c>
      <c r="L21" s="27">
        <f t="shared" si="2"/>
        <v>1120</v>
      </c>
      <c r="M21" s="27">
        <f t="shared" si="2"/>
        <v>1120</v>
      </c>
      <c r="N21" s="27">
        <f t="shared" si="2"/>
        <v>1120</v>
      </c>
      <c r="O21" s="27">
        <f t="shared" si="2"/>
        <v>1120</v>
      </c>
      <c r="P21" s="27">
        <f t="shared" si="2"/>
        <v>1120</v>
      </c>
      <c r="S21" s="27">
        <v>14</v>
      </c>
      <c r="T21" s="27">
        <f>IFERROR(求节点(节奏总纲!AD$4:AD$363,L$8:L$367,$S21),0)</f>
        <v>134.74613431133423</v>
      </c>
      <c r="U21" s="27">
        <f>IFERROR(求节点(节奏总纲!AE$4:AE$363,M$8:M$367,$S21),0)</f>
        <v>117.2535942405741</v>
      </c>
      <c r="V21" s="27">
        <f>IFERROR(求节点(节奏总纲!AF$4:AF$363,N$8:N$367,$S21),0)</f>
        <v>95.236963918603479</v>
      </c>
      <c r="W21" s="27">
        <f>IFERROR(求节点(节奏总纲!AG$4:AG$363,O$8:O$367,$S21),0)</f>
        <v>72.481438584170661</v>
      </c>
      <c r="X21" s="27">
        <f>IFERROR(求节点(节奏总纲!AH$4:AH$363,P$8:P$367,$S21),0)</f>
        <v>52.602133759172318</v>
      </c>
    </row>
    <row r="22" spans="2:24" x14ac:dyDescent="0.15">
      <c r="C22" s="27"/>
      <c r="K22" s="27">
        <v>15</v>
      </c>
      <c r="L22" s="27">
        <f t="shared" si="2"/>
        <v>1200</v>
      </c>
      <c r="M22" s="27">
        <f t="shared" si="2"/>
        <v>1200</v>
      </c>
      <c r="N22" s="27">
        <f t="shared" si="2"/>
        <v>1200</v>
      </c>
      <c r="O22" s="27">
        <f t="shared" si="2"/>
        <v>1200</v>
      </c>
      <c r="P22" s="27">
        <f t="shared" si="2"/>
        <v>1200</v>
      </c>
      <c r="S22" s="27">
        <v>15</v>
      </c>
      <c r="T22" s="27">
        <f>IFERROR(求节点(节奏总纲!AD$4:AD$363,L$8:L$367,$S22),0)</f>
        <v>148.43266788916776</v>
      </c>
      <c r="U22" s="27">
        <f>IFERROR(求节点(节奏总纲!AE$4:AE$363,M$8:M$367,$S22),0)</f>
        <v>130.31791063583688</v>
      </c>
      <c r="V22" s="27">
        <f>IFERROR(求节点(节奏总纲!AF$4:AF$363,N$8:N$367,$S22),0)</f>
        <v>107.54208360880486</v>
      </c>
      <c r="W22" s="27">
        <f>IFERROR(求节点(节奏总纲!AG$4:AG$363,O$8:O$367,$S22),0)</f>
        <v>77.658684197325698</v>
      </c>
      <c r="X22" s="27">
        <f>IFERROR(求节点(节奏总纲!AH$4:AH$363,P$8:P$367,$S22),0)</f>
        <v>56.359429027684627</v>
      </c>
    </row>
    <row r="23" spans="2:24" x14ac:dyDescent="0.15">
      <c r="C23" s="27"/>
      <c r="K23" s="27">
        <v>16</v>
      </c>
      <c r="L23" s="27">
        <f t="shared" si="2"/>
        <v>1280</v>
      </c>
      <c r="M23" s="27">
        <f t="shared" si="2"/>
        <v>1280</v>
      </c>
      <c r="N23" s="27">
        <f t="shared" si="2"/>
        <v>1280</v>
      </c>
      <c r="O23" s="27">
        <f t="shared" si="2"/>
        <v>1280</v>
      </c>
      <c r="P23" s="27">
        <f t="shared" si="2"/>
        <v>1280</v>
      </c>
      <c r="S23" s="27">
        <v>16</v>
      </c>
      <c r="T23" s="27">
        <f>IFERROR(求节点(节奏总纲!AD$4:AD$363,L$8:L$367,$S23),0)</f>
        <v>162.98136140479269</v>
      </c>
      <c r="U23" s="27">
        <f>IFERROR(求节点(节奏总纲!AE$4:AE$363,M$8:M$367,$S23),0)</f>
        <v>143.38222703109969</v>
      </c>
      <c r="V23" s="27">
        <f>IFERROR(求节点(节奏总纲!AF$4:AF$363,N$8:N$367,$S23),0)</f>
        <v>119.84720329900625</v>
      </c>
      <c r="W23" s="27">
        <f>IFERROR(求节点(节奏总纲!AG$4:AG$363,O$8:O$367,$S23),0)</f>
        <v>86.185582123028993</v>
      </c>
      <c r="X23" s="27">
        <f>IFERROR(求节点(节奏总纲!AH$4:AH$363,P$8:P$367,$S23),0)</f>
        <v>60.116724296196935</v>
      </c>
    </row>
    <row r="24" spans="2:24" x14ac:dyDescent="0.15">
      <c r="C24" s="27"/>
      <c r="K24" s="27">
        <v>17</v>
      </c>
      <c r="L24" s="27">
        <f t="shared" si="2"/>
        <v>1360</v>
      </c>
      <c r="M24" s="27">
        <f t="shared" si="2"/>
        <v>1360</v>
      </c>
      <c r="N24" s="27">
        <f t="shared" si="2"/>
        <v>1360</v>
      </c>
      <c r="O24" s="27">
        <f t="shared" si="2"/>
        <v>1360</v>
      </c>
      <c r="P24" s="27">
        <f t="shared" si="2"/>
        <v>1360</v>
      </c>
      <c r="S24" s="27">
        <v>17</v>
      </c>
      <c r="T24" s="27">
        <f>IFERROR(求节点(节奏总纲!AD$4:AD$363,L$8:L$367,$S24),0)</f>
        <v>182.23602105359453</v>
      </c>
      <c r="U24" s="27">
        <f>IFERROR(求节点(节奏总纲!AE$4:AE$363,M$8:M$367,$S24),0)</f>
        <v>156.4465434263625</v>
      </c>
      <c r="V24" s="27">
        <f>IFERROR(求节点(节奏总纲!AF$4:AF$363,N$8:N$367,$S24),0)</f>
        <v>132.15232298920765</v>
      </c>
      <c r="W24" s="27">
        <f>IFERROR(求节点(节奏总纲!AG$4:AG$363,O$8:O$367,$S24),0)</f>
        <v>97.477920104353473</v>
      </c>
      <c r="X24" s="27">
        <f>IFERROR(求节点(节奏总纲!AH$4:AH$363,P$8:P$367,$S24),0)</f>
        <v>63.874019564709236</v>
      </c>
    </row>
    <row r="25" spans="2:24" x14ac:dyDescent="0.15">
      <c r="C25" s="27"/>
      <c r="K25" s="27">
        <v>18</v>
      </c>
      <c r="L25" s="27">
        <f t="shared" si="2"/>
        <v>1440</v>
      </c>
      <c r="M25" s="27">
        <f t="shared" si="2"/>
        <v>1440</v>
      </c>
      <c r="N25" s="27">
        <f t="shared" si="2"/>
        <v>1440</v>
      </c>
      <c r="O25" s="27">
        <f t="shared" si="2"/>
        <v>1440</v>
      </c>
      <c r="P25" s="27">
        <f t="shared" si="2"/>
        <v>1440</v>
      </c>
      <c r="S25" s="27">
        <v>18</v>
      </c>
      <c r="T25" s="27">
        <f>IFERROR(求节点(节奏总纲!AD$4:AD$363,L$8:L$367,$S25),0)</f>
        <v>201.49068070239636</v>
      </c>
      <c r="U25" s="27">
        <f>IFERROR(求节点(节奏总纲!AE$4:AE$363,M$8:M$367,$S25),0)</f>
        <v>173.63349898823205</v>
      </c>
      <c r="V25" s="27">
        <f>IFERROR(求节点(节奏总纲!AF$4:AF$363,N$8:N$367,$S25),0)</f>
        <v>144.45744267940904</v>
      </c>
      <c r="W25" s="27">
        <f>IFERROR(求节点(节奏总纲!AG$4:AG$363,O$8:O$367,$S25),0)</f>
        <v>108.77025808567797</v>
      </c>
      <c r="X25" s="27">
        <f>IFERROR(求节点(节奏总纲!AH$4:AH$363,P$8:P$367,$S25),0)</f>
        <v>67.631314833221552</v>
      </c>
    </row>
    <row r="26" spans="2:24" x14ac:dyDescent="0.15">
      <c r="C26" s="27"/>
      <c r="K26" s="27">
        <v>19</v>
      </c>
      <c r="L26" s="27">
        <f t="shared" si="2"/>
        <v>1520</v>
      </c>
      <c r="M26" s="27">
        <f t="shared" si="2"/>
        <v>1520</v>
      </c>
      <c r="N26" s="27">
        <f t="shared" si="2"/>
        <v>1520</v>
      </c>
      <c r="O26" s="27">
        <f t="shared" si="2"/>
        <v>1520</v>
      </c>
      <c r="P26" s="27">
        <f t="shared" si="2"/>
        <v>1520</v>
      </c>
      <c r="S26" s="27">
        <v>19</v>
      </c>
      <c r="T26" s="27">
        <f>IFERROR(求节点(节奏总纲!AD$4:AD$363,L$8:L$367,$S26),0)</f>
        <v>220.74534035119819</v>
      </c>
      <c r="U26" s="27">
        <f>IFERROR(求节点(节奏总纲!AE$4:AE$363,M$8:M$367,$S26),0)</f>
        <v>192.36075895181349</v>
      </c>
      <c r="V26" s="27">
        <f>IFERROR(求节点(节奏总纲!AF$4:AF$363,N$8:N$367,$S26),0)</f>
        <v>156.76256236961041</v>
      </c>
      <c r="W26" s="27">
        <f>IFERROR(求节点(节奏总纲!AG$4:AG$363,O$8:O$367,$S26),0)</f>
        <v>120.06259606700246</v>
      </c>
      <c r="X26" s="27">
        <f>IFERROR(求节点(节奏总纲!AH$4:AH$363,P$8:P$367,$S26),0)</f>
        <v>71.38861010173386</v>
      </c>
    </row>
    <row r="27" spans="2:24" x14ac:dyDescent="0.15">
      <c r="C27" s="27"/>
      <c r="K27" s="27">
        <v>20</v>
      </c>
      <c r="L27" s="27">
        <f t="shared" si="2"/>
        <v>1600</v>
      </c>
      <c r="M27" s="27">
        <f t="shared" si="2"/>
        <v>1600</v>
      </c>
      <c r="N27" s="27">
        <f t="shared" si="2"/>
        <v>1600</v>
      </c>
      <c r="O27" s="27">
        <f t="shared" si="2"/>
        <v>1600</v>
      </c>
      <c r="P27" s="27">
        <f t="shared" si="2"/>
        <v>1600</v>
      </c>
      <c r="S27" s="27">
        <v>20</v>
      </c>
      <c r="T27" s="27">
        <f>IFERROR(求节点(节奏总纲!AD$4:AD$363,L$8:L$367,$S27),0)</f>
        <v>240</v>
      </c>
      <c r="U27" s="27">
        <f>IFERROR(求节点(节奏总纲!AE$4:AE$363,M$8:M$367,$S27),0)</f>
        <v>211.08801891539491</v>
      </c>
      <c r="V27" s="27">
        <f>IFERROR(求节点(节奏总纲!AF$4:AF$363,N$8:N$367,$S27),0)</f>
        <v>173.18394432235695</v>
      </c>
      <c r="W27" s="27">
        <f>IFERROR(求节点(节奏总纲!AG$4:AG$363,O$8:O$367,$S27),0)</f>
        <v>131.35493404832695</v>
      </c>
      <c r="X27" s="27">
        <f>IFERROR(求节点(节奏总纲!AH$4:AH$363,P$8:P$367,$S27),0)</f>
        <v>75.145905370246169</v>
      </c>
    </row>
    <row r="28" spans="2:24" x14ac:dyDescent="0.15">
      <c r="C28" s="27"/>
      <c r="K28" s="27">
        <v>21</v>
      </c>
      <c r="L28" s="27">
        <f t="shared" ref="L28:P37" si="3">IFERROR(MAX($K28-$D$1,0)*$D$3/30,0)</f>
        <v>1680</v>
      </c>
      <c r="M28" s="27">
        <f t="shared" si="3"/>
        <v>1680</v>
      </c>
      <c r="N28" s="27">
        <f t="shared" si="3"/>
        <v>1680</v>
      </c>
      <c r="O28" s="27">
        <f t="shared" si="3"/>
        <v>1680</v>
      </c>
      <c r="P28" s="27">
        <f t="shared" si="3"/>
        <v>1680</v>
      </c>
      <c r="S28" s="27">
        <v>21</v>
      </c>
      <c r="T28" s="27">
        <f>IFERROR(求节点(节奏总纲!AD$4:AD$363,L$8:L$367,$S28),0)</f>
        <v>264.89585283463782</v>
      </c>
      <c r="U28" s="27">
        <f>IFERROR(求节点(节奏总纲!AE$4:AE$363,M$8:M$367,$S28),0)</f>
        <v>229.81527887897636</v>
      </c>
      <c r="V28" s="27">
        <f>IFERROR(求节点(节奏总纲!AF$4:AF$363,N$8:N$367,$S28),0)</f>
        <v>191.07495680001765</v>
      </c>
      <c r="W28" s="27">
        <f>IFERROR(求节点(节奏总纲!AG$4:AG$363,O$8:O$367,$S28),0)</f>
        <v>142.64727202965145</v>
      </c>
      <c r="X28" s="27">
        <f>IFERROR(求节点(节奏总纲!AH$4:AH$363,P$8:P$367,$S28),0)</f>
        <v>78.903200638758463</v>
      </c>
    </row>
    <row r="29" spans="2:24" x14ac:dyDescent="0.15">
      <c r="C29" s="27"/>
      <c r="K29" s="27">
        <v>22</v>
      </c>
      <c r="L29" s="27">
        <f t="shared" si="3"/>
        <v>1760</v>
      </c>
      <c r="M29" s="27">
        <f t="shared" si="3"/>
        <v>1760</v>
      </c>
      <c r="N29" s="27">
        <f t="shared" si="3"/>
        <v>1760</v>
      </c>
      <c r="O29" s="27">
        <f t="shared" si="3"/>
        <v>1760</v>
      </c>
      <c r="P29" s="27">
        <f t="shared" si="3"/>
        <v>1760</v>
      </c>
      <c r="S29" s="27">
        <v>22</v>
      </c>
      <c r="T29" s="27">
        <f>IFERROR(求节点(节奏总纲!AD$4:AD$363,L$8:L$367,$S29),0)</f>
        <v>289.79170566927564</v>
      </c>
      <c r="U29" s="27">
        <f>IFERROR(求节点(节奏总纲!AE$4:AE$363,M$8:M$367,$S29),0)</f>
        <v>251.08140882973038</v>
      </c>
      <c r="V29" s="27">
        <f>IFERROR(求节点(节奏总纲!AF$4:AF$363,N$8:N$367,$S29),0)</f>
        <v>208.96596927767837</v>
      </c>
      <c r="W29" s="27">
        <f>IFERROR(求节点(节奏总纲!AG$4:AG$363,O$8:O$367,$S29),0)</f>
        <v>153.93961001097591</v>
      </c>
      <c r="X29" s="27">
        <f>IFERROR(求节点(节奏总纲!AH$4:AH$363,P$8:P$367,$S29),0)</f>
        <v>86.99857030052641</v>
      </c>
    </row>
    <row r="30" spans="2:24" x14ac:dyDescent="0.15">
      <c r="C30" s="27"/>
      <c r="K30" s="27">
        <v>23</v>
      </c>
      <c r="L30" s="27">
        <f t="shared" si="3"/>
        <v>1840</v>
      </c>
      <c r="M30" s="27">
        <f t="shared" si="3"/>
        <v>1840</v>
      </c>
      <c r="N30" s="27">
        <f t="shared" si="3"/>
        <v>1840</v>
      </c>
      <c r="O30" s="27">
        <f t="shared" si="3"/>
        <v>1840</v>
      </c>
      <c r="P30" s="27">
        <f t="shared" si="3"/>
        <v>1840</v>
      </c>
      <c r="S30" s="27">
        <v>23</v>
      </c>
      <c r="T30" s="27">
        <f>IFERROR(求节点(节奏总纲!AD$4:AD$363,L$8:L$367,$S30),0)</f>
        <v>314.68755850391346</v>
      </c>
      <c r="U30" s="27">
        <f>IFERROR(求节点(节奏总纲!AE$4:AE$363,M$8:M$367,$S30),0)</f>
        <v>275.37447061637727</v>
      </c>
      <c r="V30" s="27">
        <f>IFERROR(求节点(节奏总纲!AF$4:AF$363,N$8:N$367,$S30),0)</f>
        <v>226.85698175533909</v>
      </c>
      <c r="W30" s="27">
        <f>IFERROR(求节点(节奏总纲!AG$4:AG$363,O$8:O$367,$S30),0)</f>
        <v>167.74144162620277</v>
      </c>
      <c r="X30" s="27">
        <f>IFERROR(求节点(节奏总纲!AH$4:AH$363,P$8:P$367,$S30),0)</f>
        <v>96.882327311637027</v>
      </c>
    </row>
    <row r="31" spans="2:24" x14ac:dyDescent="0.15">
      <c r="C31" s="27"/>
      <c r="K31" s="27">
        <v>24</v>
      </c>
      <c r="L31" s="27">
        <f t="shared" si="3"/>
        <v>1920</v>
      </c>
      <c r="M31" s="27">
        <f t="shared" si="3"/>
        <v>1920</v>
      </c>
      <c r="N31" s="27">
        <f t="shared" si="3"/>
        <v>1920</v>
      </c>
      <c r="O31" s="27">
        <f t="shared" si="3"/>
        <v>1920</v>
      </c>
      <c r="P31" s="27">
        <f t="shared" si="3"/>
        <v>1920</v>
      </c>
      <c r="S31" s="27">
        <v>24</v>
      </c>
      <c r="T31" s="27">
        <f>IFERROR(求节点(节奏总纲!AD$4:AD$363,L$8:L$367,$S31),0)</f>
        <v>343.91126621635919</v>
      </c>
      <c r="U31" s="27">
        <f>IFERROR(求节点(节奏总纲!AE$4:AE$363,M$8:M$367,$S31),0)</f>
        <v>299.6675324030241</v>
      </c>
      <c r="V31" s="27">
        <f>IFERROR(求节点(节奏总纲!AF$4:AF$363,N$8:N$367,$S31),0)</f>
        <v>246.20582166529607</v>
      </c>
      <c r="W31" s="27">
        <f>IFERROR(求节点(节奏总纲!AG$4:AG$363,O$8:O$367,$S31),0)</f>
        <v>184.45012746069995</v>
      </c>
      <c r="X31" s="27">
        <f>IFERROR(求节点(节奏总纲!AH$4:AH$363,P$8:P$367,$S31),0)</f>
        <v>106.76608432274763</v>
      </c>
    </row>
    <row r="32" spans="2:24" x14ac:dyDescent="0.15">
      <c r="C32" s="27"/>
      <c r="K32" s="27">
        <v>25</v>
      </c>
      <c r="L32" s="27">
        <f t="shared" si="3"/>
        <v>2000</v>
      </c>
      <c r="M32" s="27">
        <f t="shared" si="3"/>
        <v>2000</v>
      </c>
      <c r="N32" s="27">
        <f t="shared" si="3"/>
        <v>2000</v>
      </c>
      <c r="O32" s="27">
        <f t="shared" si="3"/>
        <v>2000</v>
      </c>
      <c r="P32" s="27">
        <f t="shared" si="3"/>
        <v>2000</v>
      </c>
      <c r="S32" s="27">
        <v>25</v>
      </c>
      <c r="T32" s="27">
        <f>IFERROR(求节点(节奏总纲!AD$4:AD$363,L$8:L$367,$S32),0)</f>
        <v>374.30900206131156</v>
      </c>
      <c r="U32" s="27">
        <f>IFERROR(求节点(节奏总纲!AE$4:AE$363,M$8:M$367,$S32),0)</f>
        <v>324.85169733966643</v>
      </c>
      <c r="V32" s="27">
        <f>IFERROR(求节点(节奏总纲!AF$4:AF$363,N$8:N$367,$S32),0)</f>
        <v>269.59010298482082</v>
      </c>
      <c r="W32" s="27">
        <f>IFERROR(求节点(节奏总纲!AG$4:AG$363,O$8:O$367,$S32),0)</f>
        <v>201.15881329519715</v>
      </c>
      <c r="X32" s="27">
        <f>IFERROR(求节点(节奏总纲!AH$4:AH$363,P$8:P$367,$S32),0)</f>
        <v>116.64984133385825</v>
      </c>
    </row>
    <row r="33" spans="3:24" x14ac:dyDescent="0.15">
      <c r="C33" s="27"/>
      <c r="K33" s="27">
        <v>26</v>
      </c>
      <c r="L33" s="27">
        <f t="shared" si="3"/>
        <v>2080</v>
      </c>
      <c r="M33" s="27">
        <f t="shared" si="3"/>
        <v>2080</v>
      </c>
      <c r="N33" s="27">
        <f t="shared" si="3"/>
        <v>2080</v>
      </c>
      <c r="O33" s="27">
        <f t="shared" si="3"/>
        <v>2080</v>
      </c>
      <c r="P33" s="27">
        <f t="shared" si="3"/>
        <v>2080</v>
      </c>
      <c r="S33" s="27">
        <v>26</v>
      </c>
      <c r="T33" s="27">
        <f>IFERROR(求节点(节奏总纲!AD$4:AD$363,L$8:L$367,$S33),0)</f>
        <v>405.56460009748895</v>
      </c>
      <c r="U33" s="27">
        <f>IFERROR(求节点(节奏总纲!AE$4:AE$363,M$8:M$367,$S33),0)</f>
        <v>354.61051068893778</v>
      </c>
      <c r="V33" s="27">
        <f>IFERROR(求节点(节奏总纲!AF$4:AF$363,N$8:N$367,$S33),0)</f>
        <v>292.97438430434556</v>
      </c>
      <c r="W33" s="27">
        <f>IFERROR(求节点(节奏总纲!AG$4:AG$363,O$8:O$367,$S33),0)</f>
        <v>217.86749912969432</v>
      </c>
      <c r="X33" s="27">
        <f>IFERROR(求节点(节奏总纲!AH$4:AH$363,P$8:P$367,$S33),0)</f>
        <v>126.53359834496885</v>
      </c>
    </row>
    <row r="34" spans="3:24" x14ac:dyDescent="0.15">
      <c r="C34" s="27"/>
      <c r="K34" s="27">
        <v>27</v>
      </c>
      <c r="L34" s="27">
        <f t="shared" si="3"/>
        <v>2160</v>
      </c>
      <c r="M34" s="27">
        <f t="shared" si="3"/>
        <v>2160</v>
      </c>
      <c r="N34" s="27">
        <f t="shared" si="3"/>
        <v>2160</v>
      </c>
      <c r="O34" s="27">
        <f t="shared" si="3"/>
        <v>2160</v>
      </c>
      <c r="P34" s="27">
        <f t="shared" si="3"/>
        <v>2160</v>
      </c>
      <c r="S34" s="27">
        <v>27</v>
      </c>
      <c r="T34" s="27">
        <f>IFERROR(求节点(节奏总纲!AD$4:AD$363,L$8:L$367,$S34),0)</f>
        <v>441.5027056846202</v>
      </c>
      <c r="U34" s="27">
        <f>IFERROR(求节点(节奏总纲!AE$4:AE$363,M$8:M$367,$S34),0)</f>
        <v>384.36932403820919</v>
      </c>
      <c r="V34" s="27">
        <f>IFERROR(求节点(节奏总纲!AF$4:AF$363,N$8:N$367,$S34),0)</f>
        <v>316.35866562387031</v>
      </c>
      <c r="W34" s="27">
        <f>IFERROR(求节点(节奏总纲!AG$4:AG$363,O$8:O$367,$S34),0)</f>
        <v>234.57618496419153</v>
      </c>
      <c r="X34" s="27">
        <f>IFERROR(求节点(节奏总纲!AH$4:AH$363,P$8:P$367,$S34),0)</f>
        <v>136.41735535607947</v>
      </c>
    </row>
    <row r="35" spans="3:24" x14ac:dyDescent="0.15">
      <c r="C35" s="27"/>
      <c r="K35" s="27">
        <v>28</v>
      </c>
      <c r="L35" s="27">
        <f t="shared" si="3"/>
        <v>2240</v>
      </c>
      <c r="M35" s="27">
        <f t="shared" si="3"/>
        <v>2240</v>
      </c>
      <c r="N35" s="27">
        <f t="shared" si="3"/>
        <v>2240</v>
      </c>
      <c r="O35" s="27">
        <f t="shared" si="3"/>
        <v>2240</v>
      </c>
      <c r="P35" s="27">
        <f t="shared" si="3"/>
        <v>2240</v>
      </c>
      <c r="S35" s="27">
        <v>28</v>
      </c>
      <c r="T35" s="27">
        <f>IFERROR(求节点(节奏总纲!AD$4:AD$363,L$8:L$367,$S35),0)</f>
        <v>477.4408112717515</v>
      </c>
      <c r="U35" s="27">
        <f>IFERROR(求节点(节奏总纲!AE$4:AE$363,M$8:M$367,$S35),0)</f>
        <v>416.83087240505444</v>
      </c>
      <c r="V35" s="27">
        <f>IFERROR(求节点(节奏总纲!AF$4:AF$363,N$8:N$367,$S35),0)</f>
        <v>344.68097351567894</v>
      </c>
      <c r="W35" s="27">
        <f>IFERROR(求节点(节奏总纲!AG$4:AG$363,O$8:O$367,$S35),0)</f>
        <v>255.40821143005201</v>
      </c>
      <c r="X35" s="27">
        <f>IFERROR(求节点(节奏总纲!AH$4:AH$363,P$8:P$367,$S35),0)</f>
        <v>146.30111236719009</v>
      </c>
    </row>
    <row r="36" spans="3:24" x14ac:dyDescent="0.15">
      <c r="C36" s="27"/>
      <c r="K36" s="27">
        <v>29</v>
      </c>
      <c r="L36" s="27">
        <f t="shared" si="3"/>
        <v>2320</v>
      </c>
      <c r="M36" s="27">
        <f t="shared" si="3"/>
        <v>2320</v>
      </c>
      <c r="N36" s="27">
        <f t="shared" si="3"/>
        <v>2320</v>
      </c>
      <c r="O36" s="27">
        <f t="shared" si="3"/>
        <v>2320</v>
      </c>
      <c r="P36" s="27">
        <f t="shared" si="3"/>
        <v>2320</v>
      </c>
      <c r="S36" s="27">
        <v>29</v>
      </c>
      <c r="T36" s="27">
        <f>IFERROR(求节点(节奏总纲!AD$4:AD$363,L$8:L$367,$S36),0)</f>
        <v>518.52319754199391</v>
      </c>
      <c r="U36" s="27">
        <f>IFERROR(求节点(节奏总纲!AE$4:AE$363,M$8:M$367,$S36),0)</f>
        <v>452.28259379412123</v>
      </c>
      <c r="V36" s="27">
        <f>IFERROR(求节点(节奏总纲!AF$4:AF$363,N$8:N$367,$S36),0)</f>
        <v>373.91403733260108</v>
      </c>
      <c r="W36" s="27">
        <f>IFERROR(求节点(节奏总纲!AG$4:AG$363,O$8:O$367,$S36),0)</f>
        <v>278.22202725913206</v>
      </c>
      <c r="X36" s="27">
        <f>IFERROR(求节点(节奏总纲!AH$4:AH$363,P$8:P$367,$S36),0)</f>
        <v>156.18486937830068</v>
      </c>
    </row>
    <row r="37" spans="3:24" x14ac:dyDescent="0.15">
      <c r="C37" s="27"/>
      <c r="K37" s="27">
        <v>30</v>
      </c>
      <c r="L37" s="27">
        <f t="shared" si="3"/>
        <v>2400</v>
      </c>
      <c r="M37" s="27">
        <f t="shared" si="3"/>
        <v>2400</v>
      </c>
      <c r="N37" s="27">
        <f t="shared" si="3"/>
        <v>2400</v>
      </c>
      <c r="O37" s="27">
        <f t="shared" si="3"/>
        <v>2400</v>
      </c>
      <c r="P37" s="27">
        <f t="shared" si="3"/>
        <v>2400</v>
      </c>
      <c r="S37" s="27">
        <v>30</v>
      </c>
      <c r="T37" s="27">
        <f>IFERROR(求节点(节奏总纲!AD$4:AD$363,L$8:L$367,$S37),0)</f>
        <v>560</v>
      </c>
      <c r="U37" s="27">
        <f>IFERROR(求节点(节奏总纲!AE$4:AE$363,M$8:M$367,$S37),0)</f>
        <v>489.01049073696134</v>
      </c>
      <c r="V37" s="27">
        <f>IFERROR(求节点(节奏总纲!AF$4:AF$363,N$8:N$367,$S37),0)</f>
        <v>403.72859012592016</v>
      </c>
      <c r="W37" s="27">
        <f>IFERROR(求节点(节奏总纲!AG$4:AG$363,O$8:O$367,$S37),0)</f>
        <v>301.03584308821206</v>
      </c>
      <c r="X37" s="27">
        <f>IFERROR(求节点(节奏总纲!AH$4:AH$363,P$8:P$367,$S37),0)</f>
        <v>169.57143114909005</v>
      </c>
    </row>
    <row r="38" spans="3:24" x14ac:dyDescent="0.15">
      <c r="C38" s="27"/>
      <c r="K38" s="27">
        <v>31</v>
      </c>
      <c r="L38" s="27">
        <f t="shared" ref="L38:P47" si="4">IFERROR(MAX($K38-$D$1,0)*$D$3/30,0)</f>
        <v>2480</v>
      </c>
      <c r="M38" s="27">
        <f t="shared" si="4"/>
        <v>2480</v>
      </c>
      <c r="N38" s="27">
        <f t="shared" si="4"/>
        <v>2480</v>
      </c>
      <c r="O38" s="27">
        <f t="shared" si="4"/>
        <v>2480</v>
      </c>
      <c r="P38" s="27">
        <f t="shared" si="4"/>
        <v>2480</v>
      </c>
      <c r="S38" s="27">
        <v>31</v>
      </c>
      <c r="T38" s="27">
        <f>IFERROR(求节点(节奏总纲!AD$4:AD$363,L$8:L$367,$S38),0)</f>
        <v>607.28331759729156</v>
      </c>
      <c r="U38" s="27">
        <f>IFERROR(求节点(节奏总纲!AE$4:AE$363,M$8:M$367,$S38),0)</f>
        <v>530.31180825759702</v>
      </c>
      <c r="V38" s="27">
        <f>IFERROR(求节点(节奏总纲!AF$4:AF$363,N$8:N$367,$S38),0)</f>
        <v>438.36303875642648</v>
      </c>
      <c r="W38" s="27">
        <f>IFERROR(求节点(节奏总纲!AG$4:AG$363,O$8:O$367,$S38),0)</f>
        <v>324.75182300911104</v>
      </c>
      <c r="X38" s="27">
        <f>IFERROR(求节点(节奏总纲!AH$4:AH$363,P$8:P$367,$S38),0)</f>
        <v>185.16008229611811</v>
      </c>
    </row>
    <row r="39" spans="3:24" x14ac:dyDescent="0.15">
      <c r="C39" s="27"/>
      <c r="K39" s="27">
        <v>32</v>
      </c>
      <c r="L39" s="27">
        <f t="shared" si="4"/>
        <v>2560</v>
      </c>
      <c r="M39" s="27">
        <f t="shared" si="4"/>
        <v>2560</v>
      </c>
      <c r="N39" s="27">
        <f t="shared" si="4"/>
        <v>2560</v>
      </c>
      <c r="O39" s="27">
        <f t="shared" si="4"/>
        <v>2560</v>
      </c>
      <c r="P39" s="27">
        <f t="shared" si="4"/>
        <v>2560</v>
      </c>
      <c r="S39" s="27">
        <v>32</v>
      </c>
      <c r="T39" s="27">
        <f>IFERROR(求节点(节奏总纲!AD$4:AD$363,L$8:L$367,$S39),0)</f>
        <v>656.19874380350382</v>
      </c>
      <c r="U39" s="27">
        <f>IFERROR(求节点(节奏总纲!AE$4:AE$363,M$8:M$367,$S39),0)</f>
        <v>572.88023055103804</v>
      </c>
      <c r="V39" s="27">
        <f>IFERROR(求节点(节奏总纲!AF$4:AF$363,N$8:N$367,$S39),0)</f>
        <v>472.99748738693279</v>
      </c>
      <c r="W39" s="27">
        <f>IFERROR(求节点(节奏总纲!AG$4:AG$363,O$8:O$367,$S39),0)</f>
        <v>352.91203598156267</v>
      </c>
      <c r="X39" s="27">
        <f>IFERROR(求节点(节奏总纲!AH$4:AH$363,P$8:P$367,$S39),0)</f>
        <v>200.74873344314616</v>
      </c>
    </row>
    <row r="40" spans="3:24" x14ac:dyDescent="0.15">
      <c r="C40" s="27"/>
      <c r="K40" s="27">
        <v>33</v>
      </c>
      <c r="L40" s="27">
        <f t="shared" si="4"/>
        <v>2640</v>
      </c>
      <c r="M40" s="27">
        <f t="shared" si="4"/>
        <v>2640</v>
      </c>
      <c r="N40" s="27">
        <f t="shared" si="4"/>
        <v>2640</v>
      </c>
      <c r="O40" s="27">
        <f t="shared" si="4"/>
        <v>2640</v>
      </c>
      <c r="P40" s="27">
        <f t="shared" si="4"/>
        <v>2640</v>
      </c>
      <c r="S40" s="27">
        <v>33</v>
      </c>
      <c r="T40" s="27">
        <f>IFERROR(求节点(节奏总纲!AD$4:AD$363,L$8:L$367,$S40),0)</f>
        <v>708.77988815886283</v>
      </c>
      <c r="U40" s="27">
        <f>IFERROR(求节点(节奏总纲!AE$4:AE$363,M$8:M$367,$S40),0)</f>
        <v>618.68792280255252</v>
      </c>
      <c r="V40" s="27">
        <f>IFERROR(求节点(节奏总纲!AF$4:AF$363,N$8:N$367,$S40),0)</f>
        <v>512.07348262607945</v>
      </c>
      <c r="W40" s="27">
        <f>IFERROR(求节点(节奏总纲!AG$4:AG$363,O$8:O$367,$S40),0)</f>
        <v>381.0722489540143</v>
      </c>
      <c r="X40" s="27">
        <f>IFERROR(求节点(节奏总纲!AH$4:AH$363,P$8:P$367,$S40),0)</f>
        <v>216.33738459017422</v>
      </c>
    </row>
    <row r="41" spans="3:24" x14ac:dyDescent="0.15">
      <c r="C41" s="27"/>
      <c r="K41" s="27">
        <v>34</v>
      </c>
      <c r="L41" s="27">
        <f t="shared" si="4"/>
        <v>2720</v>
      </c>
      <c r="M41" s="27">
        <f t="shared" si="4"/>
        <v>2720</v>
      </c>
      <c r="N41" s="27">
        <f t="shared" si="4"/>
        <v>2720</v>
      </c>
      <c r="O41" s="27">
        <f t="shared" si="4"/>
        <v>2720</v>
      </c>
      <c r="P41" s="27">
        <f t="shared" si="4"/>
        <v>2720</v>
      </c>
      <c r="S41" s="27">
        <v>34</v>
      </c>
      <c r="T41" s="27">
        <f>IFERROR(求节点(节奏总纲!AD$4:AD$363,L$8:L$367,$S41),0)</f>
        <v>765.8480858505136</v>
      </c>
      <c r="U41" s="27">
        <f>IFERROR(求节点(节奏总纲!AE$4:AE$363,M$8:M$367,$S41),0)</f>
        <v>668.00686300302129</v>
      </c>
      <c r="V41" s="27">
        <f>IFERROR(求节点(节奏总纲!AF$4:AF$363,N$8:N$367,$S41),0)</f>
        <v>552.27505900904839</v>
      </c>
      <c r="W41" s="27">
        <f>IFERROR(求节点(节奏总纲!AG$4:AG$363,O$8:O$367,$S41),0)</f>
        <v>410.95188273586803</v>
      </c>
      <c r="X41" s="27">
        <f>IFERROR(求节点(节奏总纲!AH$4:AH$363,P$8:P$367,$S41),0)</f>
        <v>231.92603573720226</v>
      </c>
    </row>
    <row r="42" spans="3:24" x14ac:dyDescent="0.15">
      <c r="C42" s="27"/>
      <c r="K42" s="27">
        <v>35</v>
      </c>
      <c r="L42" s="27">
        <f t="shared" si="4"/>
        <v>2800</v>
      </c>
      <c r="M42" s="27">
        <f t="shared" si="4"/>
        <v>2800</v>
      </c>
      <c r="N42" s="27">
        <f t="shared" si="4"/>
        <v>2800</v>
      </c>
      <c r="O42" s="27">
        <f t="shared" si="4"/>
        <v>2800</v>
      </c>
      <c r="P42" s="27">
        <f t="shared" si="4"/>
        <v>2800</v>
      </c>
      <c r="S42" s="27">
        <v>35</v>
      </c>
      <c r="T42" s="27">
        <f>IFERROR(求节点(节奏总纲!AD$4:AD$363,L$8:L$367,$S42),0)</f>
        <v>826.30565876356741</v>
      </c>
      <c r="U42" s="27">
        <f>IFERROR(求节点(节奏总纲!AE$4:AE$363,M$8:M$367,$S42),0)</f>
        <v>720.42480045014042</v>
      </c>
      <c r="V42" s="27">
        <f>IFERROR(求节点(节奏总纲!AF$4:AF$363,N$8:N$367,$S42),0)</f>
        <v>597.17227274665993</v>
      </c>
      <c r="W42" s="27">
        <f>IFERROR(求节点(节奏总纲!AG$4:AG$363,O$8:O$367,$S42),0)</f>
        <v>444.35655342368028</v>
      </c>
      <c r="X42" s="27">
        <f>IFERROR(求节点(节奏总纲!AH$4:AH$363,P$8:P$367,$S42),0)</f>
        <v>249.85451126613307</v>
      </c>
    </row>
    <row r="43" spans="3:24" x14ac:dyDescent="0.15">
      <c r="C43" s="27"/>
      <c r="K43" s="27">
        <v>36</v>
      </c>
      <c r="L43" s="27">
        <f t="shared" si="4"/>
        <v>2880</v>
      </c>
      <c r="M43" s="27">
        <f t="shared" si="4"/>
        <v>2880</v>
      </c>
      <c r="N43" s="27">
        <f t="shared" si="4"/>
        <v>2880</v>
      </c>
      <c r="O43" s="27">
        <f t="shared" si="4"/>
        <v>2880</v>
      </c>
      <c r="P43" s="27">
        <f t="shared" si="4"/>
        <v>2880</v>
      </c>
      <c r="S43" s="27">
        <v>36</v>
      </c>
      <c r="T43" s="27">
        <f>IFERROR(求节点(节奏总纲!AD$4:AD$363,L$8:L$367,$S43),0)</f>
        <v>890.68693686172469</v>
      </c>
      <c r="U43" s="27">
        <f>IFERROR(求节点(节奏总纲!AE$4:AE$363,M$8:M$367,$S43),0)</f>
        <v>778.86308578654791</v>
      </c>
      <c r="V43" s="27">
        <f>IFERROR(求节点(节奏总纲!AF$4:AF$363,N$8:N$367,$S43),0)</f>
        <v>643.50665327103718</v>
      </c>
      <c r="W43" s="27">
        <f>IFERROR(求节点(节奏总纲!AG$4:AG$363,O$8:O$367,$S43),0)</f>
        <v>477.76122411149248</v>
      </c>
      <c r="X43" s="27">
        <f>IFERROR(求节点(节奏总纲!AH$4:AH$363,P$8:P$367,$S43),0)</f>
        <v>270.29695161246036</v>
      </c>
    </row>
    <row r="44" spans="3:24" x14ac:dyDescent="0.15">
      <c r="C44" s="27"/>
      <c r="K44" s="27">
        <v>37</v>
      </c>
      <c r="L44" s="27">
        <f t="shared" si="4"/>
        <v>2960</v>
      </c>
      <c r="M44" s="27">
        <f t="shared" si="4"/>
        <v>2960</v>
      </c>
      <c r="N44" s="27">
        <f t="shared" si="4"/>
        <v>2960</v>
      </c>
      <c r="O44" s="27">
        <f t="shared" si="4"/>
        <v>2960</v>
      </c>
      <c r="P44" s="27">
        <f t="shared" si="4"/>
        <v>2960</v>
      </c>
      <c r="S44" s="27">
        <v>37</v>
      </c>
      <c r="T44" s="27">
        <f>IFERROR(求节点(节奏总纲!AD$4:AD$363,L$8:L$367,$S44),0)</f>
        <v>959.70685897849796</v>
      </c>
      <c r="U44" s="27">
        <f>IFERROR(求节点(节奏总纲!AE$4:AE$363,M$8:M$367,$S44),0)</f>
        <v>839.9815572587629</v>
      </c>
      <c r="V44" s="27">
        <f>IFERROR(求节点(节奏总纲!AF$4:AF$363,N$8:N$367,$S44),0)</f>
        <v>694.14552273608149</v>
      </c>
      <c r="W44" s="27">
        <f>IFERROR(求节点(节奏总纲!AG$4:AG$363,O$8:O$367,$S44),0)</f>
        <v>515.0216152586778</v>
      </c>
      <c r="X44" s="27">
        <f>IFERROR(求节点(节奏总纲!AH$4:AH$363,P$8:P$367,$S44),0)</f>
        <v>290.73939195878762</v>
      </c>
    </row>
    <row r="45" spans="3:24" x14ac:dyDescent="0.15">
      <c r="C45" s="27"/>
      <c r="K45" s="27">
        <v>38</v>
      </c>
      <c r="L45" s="27">
        <f t="shared" si="4"/>
        <v>3040</v>
      </c>
      <c r="M45" s="27">
        <f t="shared" si="4"/>
        <v>3040</v>
      </c>
      <c r="N45" s="27">
        <f t="shared" si="4"/>
        <v>3040</v>
      </c>
      <c r="O45" s="27">
        <f t="shared" si="4"/>
        <v>3040</v>
      </c>
      <c r="P45" s="27">
        <f t="shared" si="4"/>
        <v>3040</v>
      </c>
      <c r="S45" s="27">
        <v>38</v>
      </c>
      <c r="T45" s="27">
        <f>IFERROR(求节点(节奏总纲!AD$4:AD$363,L$8:L$367,$S45),0)</f>
        <v>1034.6606618004919</v>
      </c>
      <c r="U45" s="27">
        <f>IFERROR(求节点(节奏总纲!AE$4:AE$363,M$8:M$367,$S45),0)</f>
        <v>904.29437782852528</v>
      </c>
      <c r="V45" s="27">
        <f>IFERROR(求节点(节奏总纲!AF$4:AF$363,N$8:N$367,$S45),0)</f>
        <v>746.69999475578948</v>
      </c>
      <c r="W45" s="27">
        <f>IFERROR(求节点(节奏总纲!AG$4:AG$363,O$8:O$367,$S45),0)</f>
        <v>552.55897884810679</v>
      </c>
      <c r="X45" s="27">
        <f>IFERROR(求节点(节奏总纲!AH$4:AH$363,P$8:P$367,$S45),0)</f>
        <v>311.18183230511488</v>
      </c>
    </row>
    <row r="46" spans="3:24" x14ac:dyDescent="0.15">
      <c r="C46" s="27"/>
      <c r="K46" s="27">
        <v>39</v>
      </c>
      <c r="L46" s="27">
        <f t="shared" si="4"/>
        <v>3120</v>
      </c>
      <c r="M46" s="27">
        <f t="shared" si="4"/>
        <v>3120</v>
      </c>
      <c r="N46" s="27">
        <f t="shared" si="4"/>
        <v>3120</v>
      </c>
      <c r="O46" s="27">
        <f t="shared" si="4"/>
        <v>3120</v>
      </c>
      <c r="P46" s="27">
        <f t="shared" si="4"/>
        <v>3120</v>
      </c>
      <c r="S46" s="27">
        <v>39</v>
      </c>
      <c r="T46" s="27">
        <f>IFERROR(求节点(节奏总纲!AD$4:AD$363,L$8:L$367,$S46),0)</f>
        <v>1114.6394742238408</v>
      </c>
      <c r="U46" s="27">
        <f>IFERROR(求节点(节奏总纲!AE$4:AE$363,M$8:M$367,$S46),0)</f>
        <v>972.42667134155886</v>
      </c>
      <c r="V46" s="27">
        <f>IFERROR(求节点(节奏总纲!AF$4:AF$363,N$8:N$367,$S46),0)</f>
        <v>801.43249109377916</v>
      </c>
      <c r="W46" s="27">
        <f>IFERROR(求节点(节奏总纲!AG$4:AG$363,O$8:O$367,$S46),0)</f>
        <v>595.63324641487873</v>
      </c>
      <c r="X46" s="27">
        <f>IFERROR(求节点(节奏总纲!AH$4:AH$363,P$8:P$367,$S46),0)</f>
        <v>335.53701419416228</v>
      </c>
    </row>
    <row r="47" spans="3:24" x14ac:dyDescent="0.15">
      <c r="C47" s="27"/>
      <c r="K47" s="27">
        <v>40</v>
      </c>
      <c r="L47" s="27">
        <f t="shared" si="4"/>
        <v>3200</v>
      </c>
      <c r="M47" s="27">
        <f t="shared" si="4"/>
        <v>3200</v>
      </c>
      <c r="N47" s="27">
        <f t="shared" si="4"/>
        <v>3200</v>
      </c>
      <c r="O47" s="27">
        <f t="shared" si="4"/>
        <v>3200</v>
      </c>
      <c r="P47" s="27">
        <f t="shared" si="4"/>
        <v>3200</v>
      </c>
      <c r="S47" s="27">
        <v>40</v>
      </c>
      <c r="T47" s="27">
        <f>IFERROR(求节点(节奏总纲!AD$4:AD$363,L$8:L$367,$S47),0)</f>
        <v>1200</v>
      </c>
      <c r="U47" s="27">
        <f>IFERROR(求节点(节奏总纲!AE$4:AE$363,M$8:M$367,$S47),0)</f>
        <v>1045.1765188368511</v>
      </c>
      <c r="V47" s="27">
        <f>IFERROR(求节点(节奏总纲!AF$4:AF$363,N$8:N$367,$S47),0)</f>
        <v>863.81101397262296</v>
      </c>
      <c r="W47" s="27">
        <f>IFERROR(求节点(节奏总纲!AG$4:AG$363,O$8:O$367,$S47),0)</f>
        <v>640.08957511100573</v>
      </c>
      <c r="X47" s="27">
        <f>IFERROR(求节点(节奏总纲!AH$4:AH$363,P$8:P$367,$S47),0)</f>
        <v>362.86039995325314</v>
      </c>
    </row>
    <row r="48" spans="3:24" x14ac:dyDescent="0.15">
      <c r="C48" s="27"/>
      <c r="K48" s="27">
        <v>41</v>
      </c>
      <c r="L48" s="27">
        <f t="shared" ref="L48:P57" si="5">IFERROR(MAX($K48-$D$1,0)*$D$3/30,0)</f>
        <v>3280</v>
      </c>
      <c r="M48" s="27">
        <f t="shared" si="5"/>
        <v>3280</v>
      </c>
      <c r="N48" s="27">
        <f t="shared" si="5"/>
        <v>3280</v>
      </c>
      <c r="O48" s="27">
        <f t="shared" si="5"/>
        <v>3280</v>
      </c>
      <c r="P48" s="27">
        <f t="shared" si="5"/>
        <v>3280</v>
      </c>
      <c r="S48" s="27">
        <v>41</v>
      </c>
      <c r="T48" s="27">
        <f>IFERROR(求节点(节奏总纲!AD$4:AD$363,L$8:L$367,$S48),0)</f>
        <v>1292.5879312274171</v>
      </c>
      <c r="U48" s="27">
        <f>IFERROR(求节点(节奏总纲!AE$4:AE$363,M$8:M$367,$S48),0)</f>
        <v>1125.7529806825564</v>
      </c>
      <c r="V48" s="27">
        <f>IFERROR(求节点(节奏总纲!AF$4:AF$363,N$8:N$367,$S48),0)</f>
        <v>931.56522231284657</v>
      </c>
      <c r="W48" s="27">
        <f>IFERROR(求节点(节奏总纲!AG$4:AG$363,O$8:O$367,$S48),0)</f>
        <v>692.15718711095894</v>
      </c>
      <c r="X48" s="27">
        <f>IFERROR(求节点(节奏总纲!AH$4:AH$363,P$8:P$367,$S48),0)</f>
        <v>390.18378571234399</v>
      </c>
    </row>
    <row r="49" spans="3:24" x14ac:dyDescent="0.15">
      <c r="C49" s="27"/>
      <c r="K49" s="27">
        <v>42</v>
      </c>
      <c r="L49" s="27">
        <f t="shared" si="5"/>
        <v>3360</v>
      </c>
      <c r="M49" s="27">
        <f t="shared" si="5"/>
        <v>3360</v>
      </c>
      <c r="N49" s="27">
        <f t="shared" si="5"/>
        <v>3360</v>
      </c>
      <c r="O49" s="27">
        <f t="shared" si="5"/>
        <v>3360</v>
      </c>
      <c r="P49" s="27">
        <f t="shared" si="5"/>
        <v>3360</v>
      </c>
      <c r="S49" s="27">
        <v>42</v>
      </c>
      <c r="T49" s="27">
        <f>IFERROR(求节点(节奏总纲!AD$4:AD$363,L$8:L$367,$S49),0)</f>
        <v>1391.6497280887475</v>
      </c>
      <c r="U49" s="27">
        <f>IFERROR(求节点(节奏总纲!AE$4:AE$363,M$8:M$367,$S49),0)</f>
        <v>1215.0088322573727</v>
      </c>
      <c r="V49" s="27">
        <f>IFERROR(求节点(节奏总纲!AF$4:AF$363,N$8:N$367,$S49),0)</f>
        <v>1004.5753888708645</v>
      </c>
      <c r="W49" s="27">
        <f>IFERROR(求节点(节奏总纲!AG$4:AG$363,O$8:O$367,$S49),0)</f>
        <v>745.91950039420419</v>
      </c>
      <c r="X49" s="27">
        <f>IFERROR(求节点(节奏总纲!AH$4:AH$363,P$8:P$367,$S49),0)</f>
        <v>420.41372216035404</v>
      </c>
    </row>
    <row r="50" spans="3:24" x14ac:dyDescent="0.15">
      <c r="C50" s="27"/>
      <c r="K50" s="27">
        <v>43</v>
      </c>
      <c r="L50" s="27">
        <f t="shared" si="5"/>
        <v>3440</v>
      </c>
      <c r="M50" s="27">
        <f t="shared" si="5"/>
        <v>3440</v>
      </c>
      <c r="N50" s="27">
        <f t="shared" si="5"/>
        <v>3440</v>
      </c>
      <c r="O50" s="27">
        <f t="shared" si="5"/>
        <v>3440</v>
      </c>
      <c r="P50" s="27">
        <f t="shared" si="5"/>
        <v>3440</v>
      </c>
      <c r="S50" s="27">
        <v>43</v>
      </c>
      <c r="T50" s="27">
        <f>IFERROR(求节点(节奏总纲!AD$4:AD$363,L$8:L$367,$S50),0)</f>
        <v>1497.0167723724585</v>
      </c>
      <c r="U50" s="27">
        <f>IFERROR(求节点(节奏总纲!AE$4:AE$363,M$8:M$367,$S50),0)</f>
        <v>1308.2869822531477</v>
      </c>
      <c r="V50" s="27">
        <f>IFERROR(求节点(节奏总纲!AF$4:AF$363,N$8:N$367,$S50),0)</f>
        <v>1081.7681979546207</v>
      </c>
      <c r="W50" s="27">
        <f>IFERROR(求节点(节奏总纲!AG$4:AG$363,O$8:O$367,$S50),0)</f>
        <v>801.77622428467964</v>
      </c>
      <c r="X50" s="27">
        <f>IFERROR(求节点(节奏总纲!AH$4:AH$363,P$8:P$367,$S50),0)</f>
        <v>452.2733521569146</v>
      </c>
    </row>
    <row r="51" spans="3:24" x14ac:dyDescent="0.15">
      <c r="C51" s="27"/>
      <c r="K51" s="27">
        <v>44</v>
      </c>
      <c r="L51" s="27">
        <f t="shared" si="5"/>
        <v>3520</v>
      </c>
      <c r="M51" s="27">
        <f t="shared" si="5"/>
        <v>3520</v>
      </c>
      <c r="N51" s="27">
        <f t="shared" si="5"/>
        <v>3520</v>
      </c>
      <c r="O51" s="27">
        <f t="shared" si="5"/>
        <v>3520</v>
      </c>
      <c r="P51" s="27">
        <f t="shared" si="5"/>
        <v>3520</v>
      </c>
      <c r="S51" s="27">
        <v>44</v>
      </c>
      <c r="T51" s="27">
        <f>IFERROR(求节点(节奏总纲!AD$4:AD$363,L$8:L$367,$S51),0)</f>
        <v>1609.537190213211</v>
      </c>
      <c r="U51" s="27">
        <f>IFERROR(求节点(节奏总纲!AE$4:AE$363,M$8:M$367,$S51),0)</f>
        <v>1407.2981496943646</v>
      </c>
      <c r="V51" s="27">
        <f>IFERROR(求节点(节奏总纲!AF$4:AF$363,N$8:N$367,$S51),0)</f>
        <v>1163.0431700480849</v>
      </c>
      <c r="W51" s="27">
        <f>IFERROR(求节点(节奏总纲!AG$4:AG$363,O$8:O$367,$S51),0)</f>
        <v>862.49810113247952</v>
      </c>
      <c r="X51" s="27">
        <f>IFERROR(求节点(节奏总纲!AH$4:AH$363,P$8:P$367,$S51),0)</f>
        <v>484.66864331976194</v>
      </c>
    </row>
    <row r="52" spans="3:24" x14ac:dyDescent="0.15">
      <c r="C52" s="27"/>
      <c r="K52" s="27">
        <v>45</v>
      </c>
      <c r="L52" s="27">
        <f t="shared" si="5"/>
        <v>3600</v>
      </c>
      <c r="M52" s="27">
        <f t="shared" si="5"/>
        <v>3600</v>
      </c>
      <c r="N52" s="27">
        <f t="shared" si="5"/>
        <v>3600</v>
      </c>
      <c r="O52" s="27">
        <f t="shared" si="5"/>
        <v>3600</v>
      </c>
      <c r="P52" s="27">
        <f t="shared" si="5"/>
        <v>3600</v>
      </c>
      <c r="S52" s="27">
        <v>45</v>
      </c>
      <c r="T52" s="27">
        <f>IFERROR(求节点(节奏总纲!AD$4:AD$363,L$8:L$367,$S52),0)</f>
        <v>1731.477769782628</v>
      </c>
      <c r="U52" s="27">
        <f>IFERROR(求节点(节奏总纲!AE$4:AE$363,M$8:M$367,$S52),0)</f>
        <v>1512.4453414093589</v>
      </c>
      <c r="V52" s="27">
        <f>IFERROR(求节点(节奏总纲!AF$4:AF$363,N$8:N$367,$S52),0)</f>
        <v>1249.5231263255735</v>
      </c>
      <c r="W52" s="27">
        <f>IFERROR(求节点(节奏总纲!AG$4:AG$363,O$8:O$367,$S52),0)</f>
        <v>926.95438216240473</v>
      </c>
      <c r="X52" s="27">
        <f>IFERROR(求节点(节奏总纲!AH$4:AH$363,P$8:P$367,$S52),0)</f>
        <v>520.65748702392864</v>
      </c>
    </row>
    <row r="53" spans="3:24" x14ac:dyDescent="0.15">
      <c r="C53" s="27"/>
      <c r="K53" s="27">
        <v>46</v>
      </c>
      <c r="L53" s="27">
        <f t="shared" si="5"/>
        <v>3680</v>
      </c>
      <c r="M53" s="27">
        <f t="shared" si="5"/>
        <v>3680</v>
      </c>
      <c r="N53" s="27">
        <f t="shared" si="5"/>
        <v>3680</v>
      </c>
      <c r="O53" s="27">
        <f t="shared" si="5"/>
        <v>3680</v>
      </c>
      <c r="P53" s="27">
        <f t="shared" si="5"/>
        <v>3680</v>
      </c>
      <c r="S53" s="27">
        <v>46</v>
      </c>
      <c r="T53" s="27">
        <f>IFERROR(求节点(节奏总纲!AD$4:AD$363,L$8:L$367,$S53),0)</f>
        <v>1861.1788399210755</v>
      </c>
      <c r="U53" s="27">
        <f>IFERROR(求节点(节奏总纲!AE$4:AE$363,M$8:M$367,$S53),0)</f>
        <v>1626.0347546540656</v>
      </c>
      <c r="V53" s="27">
        <f>IFERROR(求节点(节奏总纲!AF$4:AF$363,N$8:N$367,$S53),0)</f>
        <v>1341.6279229130794</v>
      </c>
      <c r="W53" s="27">
        <f>IFERROR(求节点(节奏总纲!AG$4:AG$363,O$8:O$367,$S53),0)</f>
        <v>995.32718626969256</v>
      </c>
      <c r="X53" s="27">
        <f>IFERROR(求节点(节奏总纲!AH$4:AH$363,P$8:P$367,$S53),0)</f>
        <v>556.64633072809522</v>
      </c>
    </row>
    <row r="54" spans="3:24" x14ac:dyDescent="0.15">
      <c r="C54" s="27"/>
      <c r="K54" s="27">
        <v>47</v>
      </c>
      <c r="L54" s="27">
        <f t="shared" si="5"/>
        <v>3760</v>
      </c>
      <c r="M54" s="27">
        <f t="shared" si="5"/>
        <v>3760</v>
      </c>
      <c r="N54" s="27">
        <f t="shared" si="5"/>
        <v>3760</v>
      </c>
      <c r="O54" s="27">
        <f t="shared" si="5"/>
        <v>3760</v>
      </c>
      <c r="P54" s="27">
        <f t="shared" si="5"/>
        <v>3760</v>
      </c>
      <c r="S54" s="27">
        <v>47</v>
      </c>
      <c r="T54" s="27">
        <f>IFERROR(求节点(节奏总纲!AD$4:AD$363,L$8:L$367,$S54),0)</f>
        <v>1999.4082687636769</v>
      </c>
      <c r="U54" s="27">
        <f>IFERROR(求节点(节奏总纲!AE$4:AE$363,M$8:M$367,$S54),0)</f>
        <v>1746.5016024583219</v>
      </c>
      <c r="V54" s="27">
        <f>IFERROR(求节点(节奏总纲!AF$4:AF$363,N$8:N$367,$S54),0)</f>
        <v>1439.761429305717</v>
      </c>
      <c r="W54" s="27">
        <f>IFERROR(求节点(节奏总纲!AG$4:AG$363,O$8:O$367,$S54),0)</f>
        <v>1067.3183074991621</v>
      </c>
      <c r="X54" s="27">
        <f>IFERROR(求节点(节奏总纲!AH$4:AH$363,P$8:P$367,$S54),0)</f>
        <v>596.75115923520832</v>
      </c>
    </row>
    <row r="55" spans="3:24" x14ac:dyDescent="0.15">
      <c r="C55" s="27"/>
      <c r="K55" s="27">
        <v>48</v>
      </c>
      <c r="L55" s="27">
        <f t="shared" si="5"/>
        <v>3840</v>
      </c>
      <c r="M55" s="27">
        <f t="shared" si="5"/>
        <v>3840</v>
      </c>
      <c r="N55" s="27">
        <f t="shared" si="5"/>
        <v>3840</v>
      </c>
      <c r="O55" s="27">
        <f t="shared" si="5"/>
        <v>3840</v>
      </c>
      <c r="P55" s="27">
        <f t="shared" si="5"/>
        <v>3840</v>
      </c>
      <c r="S55" s="27">
        <v>48</v>
      </c>
      <c r="T55" s="27">
        <f>IFERROR(求节点(节奏总纲!AD$4:AD$363,L$8:L$367,$S55),0)</f>
        <v>2149.2699234776805</v>
      </c>
      <c r="U55" s="27">
        <f>IFERROR(求节点(节奏总纲!AE$4:AE$363,M$8:M$367,$S55),0)</f>
        <v>1875.6519287531298</v>
      </c>
      <c r="V55" s="27">
        <f>IFERROR(求节点(节奏总纲!AF$4:AF$363,N$8:N$367,$S55),0)</f>
        <v>1547.1035382418868</v>
      </c>
      <c r="W55" s="27">
        <f>IFERROR(求节点(节奏总纲!AG$4:AG$363,O$8:O$367,$S55),0)</f>
        <v>1142.6345261924455</v>
      </c>
      <c r="X55" s="27">
        <f>IFERROR(求节点(节奏总纲!AH$4:AH$363,P$8:P$367,$S55),0)</f>
        <v>637.27895627236308</v>
      </c>
    </row>
    <row r="56" spans="3:24" x14ac:dyDescent="0.15">
      <c r="C56" s="27"/>
      <c r="K56" s="27">
        <v>49</v>
      </c>
      <c r="L56" s="27">
        <f t="shared" si="5"/>
        <v>3920</v>
      </c>
      <c r="M56" s="27">
        <f t="shared" si="5"/>
        <v>3920</v>
      </c>
      <c r="N56" s="27">
        <f t="shared" si="5"/>
        <v>3920</v>
      </c>
      <c r="O56" s="27">
        <f t="shared" si="5"/>
        <v>3920</v>
      </c>
      <c r="P56" s="27">
        <f t="shared" si="5"/>
        <v>3920</v>
      </c>
      <c r="S56" s="27">
        <v>49</v>
      </c>
      <c r="T56" s="27">
        <f>IFERROR(求节点(节奏总纲!AD$4:AD$363,L$8:L$367,$S56),0)</f>
        <v>2309.2271385931917</v>
      </c>
      <c r="U56" s="27">
        <f>IFERROR(求节点(节奏总纲!AE$4:AE$363,M$8:M$367,$S56),0)</f>
        <v>2014.1034207709763</v>
      </c>
      <c r="V56" s="27">
        <f>IFERROR(求节点(节奏总纲!AF$4:AF$363,N$8:N$367,$S56),0)</f>
        <v>1658.6119015750648</v>
      </c>
      <c r="W56" s="27">
        <f>IFERROR(求节点(节奏总纲!AG$4:AG$363,O$8:O$367,$S56),0)</f>
        <v>1223.2821203219685</v>
      </c>
      <c r="X56" s="27">
        <f>IFERROR(求节点(节奏总纲!AH$4:AH$363,P$8:P$367,$S56),0)</f>
        <v>685.5354383822696</v>
      </c>
    </row>
    <row r="57" spans="3:24" x14ac:dyDescent="0.15">
      <c r="C57" s="27"/>
      <c r="K57" s="27">
        <v>50</v>
      </c>
      <c r="L57" s="27">
        <f t="shared" si="5"/>
        <v>4000</v>
      </c>
      <c r="M57" s="27">
        <f t="shared" si="5"/>
        <v>4000</v>
      </c>
      <c r="N57" s="27">
        <f t="shared" si="5"/>
        <v>4000</v>
      </c>
      <c r="O57" s="27">
        <f t="shared" si="5"/>
        <v>4000</v>
      </c>
      <c r="P57" s="27">
        <f t="shared" si="5"/>
        <v>4000</v>
      </c>
      <c r="S57" s="27">
        <v>50</v>
      </c>
      <c r="T57" s="27">
        <f>IFERROR(求节点(节奏总纲!AD$4:AD$363,L$8:L$367,$S57),0)</f>
        <v>2480</v>
      </c>
      <c r="U57" s="27">
        <f>IFERROR(求节点(节奏总纲!AE$4:AE$363,M$8:M$367,$S57),0)</f>
        <v>2162.8431489894374</v>
      </c>
      <c r="V57" s="27">
        <f>IFERROR(求节点(节奏总纲!AF$4:AF$363,N$8:N$367,$S57),0)</f>
        <v>1777.2274061161968</v>
      </c>
      <c r="W57" s="27">
        <f>IFERROR(求节点(节奏总纲!AG$4:AG$363,O$8:O$367,$S57),0)</f>
        <v>1312.2873002644599</v>
      </c>
      <c r="X57" s="27">
        <f>IFERROR(求节点(节奏总纲!AH$4:AH$363,P$8:P$367,$S57),0)</f>
        <v>735.60658516249202</v>
      </c>
    </row>
    <row r="58" spans="3:24" x14ac:dyDescent="0.15">
      <c r="C58" s="27"/>
      <c r="K58" s="27">
        <v>51</v>
      </c>
      <c r="L58" s="27">
        <f t="shared" ref="L58:P67" si="6">IFERROR(MAX($K58-$D$1,0)*$D$3/30,0)</f>
        <v>4080</v>
      </c>
      <c r="M58" s="27">
        <f t="shared" si="6"/>
        <v>4080</v>
      </c>
      <c r="N58" s="27">
        <f t="shared" si="6"/>
        <v>4080</v>
      </c>
      <c r="O58" s="27">
        <f t="shared" si="6"/>
        <v>4080</v>
      </c>
      <c r="P58" s="27">
        <f t="shared" si="6"/>
        <v>4080</v>
      </c>
      <c r="S58" s="27">
        <v>51</v>
      </c>
      <c r="T58" s="27">
        <f>IFERROR(求节点(节奏总纲!AD$4:AD$363,L$8:L$367,$S58),0)</f>
        <v>2664.9133455201986</v>
      </c>
      <c r="U58" s="27">
        <f>IFERROR(求节点(节奏总纲!AE$4:AE$363,M$8:M$367,$S58),0)</f>
        <v>2314.9062746240566</v>
      </c>
      <c r="V58" s="27">
        <f>IFERROR(求节点(节奏总纲!AF$4:AF$363,N$8:N$367,$S58),0)</f>
        <v>1904.5788724574722</v>
      </c>
      <c r="W58" s="27">
        <f>IFERROR(求节点(节奏总纲!AG$4:AG$363,O$8:O$367,$S58),0)</f>
        <v>1409.1369851649285</v>
      </c>
      <c r="X58" s="27">
        <f>IFERROR(求节点(节奏总纲!AH$4:AH$363,P$8:P$367,$S58),0)</f>
        <v>788.70046067063151</v>
      </c>
    </row>
    <row r="59" spans="3:24" x14ac:dyDescent="0.15">
      <c r="C59" s="27"/>
      <c r="K59" s="27">
        <v>52</v>
      </c>
      <c r="L59" s="27">
        <f t="shared" si="6"/>
        <v>4160</v>
      </c>
      <c r="M59" s="27">
        <f t="shared" si="6"/>
        <v>4160</v>
      </c>
      <c r="N59" s="27">
        <f t="shared" si="6"/>
        <v>4160</v>
      </c>
      <c r="O59" s="27">
        <f t="shared" si="6"/>
        <v>4160</v>
      </c>
      <c r="P59" s="27">
        <f t="shared" si="6"/>
        <v>4160</v>
      </c>
      <c r="S59" s="27">
        <v>52</v>
      </c>
      <c r="T59" s="27">
        <f>IFERROR(求节点(节奏总纲!AD$4:AD$363,L$8:L$367,$S59),0)</f>
        <v>2861.6657098291298</v>
      </c>
      <c r="U59" s="27">
        <f>IFERROR(求节点(节奏总纲!AE$4:AE$363,M$8:M$367,$S59),0)</f>
        <v>2487.0261034191071</v>
      </c>
      <c r="V59" s="27">
        <f>IFERROR(求节点(节奏总纲!AF$4:AF$363,N$8:N$367,$S59),0)</f>
        <v>2050.0307218825146</v>
      </c>
      <c r="W59" s="27">
        <f>IFERROR(求节点(节奏总纲!AG$4:AG$363,O$8:O$367,$S59),0)</f>
        <v>1514.6089423837122</v>
      </c>
      <c r="X59" s="27">
        <f>IFERROR(求节点(节奏总纲!AH$4:AH$363,P$8:P$367,$S59),0)</f>
        <v>846.76545940451933</v>
      </c>
    </row>
    <row r="60" spans="3:24" x14ac:dyDescent="0.15">
      <c r="C60" s="27"/>
      <c r="K60" s="27">
        <v>53</v>
      </c>
      <c r="L60" s="27">
        <f t="shared" si="6"/>
        <v>4240</v>
      </c>
      <c r="M60" s="27">
        <f t="shared" si="6"/>
        <v>4240</v>
      </c>
      <c r="N60" s="27">
        <f t="shared" si="6"/>
        <v>4240</v>
      </c>
      <c r="O60" s="27">
        <f t="shared" si="6"/>
        <v>4240</v>
      </c>
      <c r="P60" s="27">
        <f t="shared" si="6"/>
        <v>4240</v>
      </c>
      <c r="S60" s="27">
        <v>53</v>
      </c>
      <c r="T60" s="27">
        <f>IFERROR(求节点(节奏总纲!AD$4:AD$363,L$8:L$367,$S60),0)</f>
        <v>3073.0657692211912</v>
      </c>
      <c r="U60" s="27">
        <f>IFERROR(求节点(节奏总纲!AE$4:AE$363,M$8:M$367,$S60),0)</f>
        <v>2675.6436165701725</v>
      </c>
      <c r="V60" s="27">
        <f>IFERROR(求节点(节奏总纲!AF$4:AF$363,N$8:N$367,$S60),0)</f>
        <v>2206.4198244923491</v>
      </c>
      <c r="W60" s="27">
        <f>IFERROR(求节点(节奏总纲!AG$4:AG$363,O$8:O$367,$S60),0)</f>
        <v>1626.2244194703735</v>
      </c>
      <c r="X60" s="27">
        <f>IFERROR(求节点(节奏总纲!AH$4:AH$363,P$8:P$367,$S60),0)</f>
        <v>907.19365312972047</v>
      </c>
    </row>
    <row r="61" spans="3:24" x14ac:dyDescent="0.15">
      <c r="C61" s="27"/>
      <c r="K61" s="27">
        <v>54</v>
      </c>
      <c r="L61" s="27">
        <f t="shared" si="6"/>
        <v>4320</v>
      </c>
      <c r="M61" s="27">
        <f t="shared" si="6"/>
        <v>4320</v>
      </c>
      <c r="N61" s="27">
        <f t="shared" si="6"/>
        <v>4320</v>
      </c>
      <c r="O61" s="27">
        <f t="shared" si="6"/>
        <v>4320</v>
      </c>
      <c r="P61" s="27">
        <f t="shared" si="6"/>
        <v>4320</v>
      </c>
      <c r="S61" s="27">
        <v>54</v>
      </c>
      <c r="T61" s="27">
        <f>IFERROR(求节点(节奏总纲!AD$4:AD$363,L$8:L$367,$S61),0)</f>
        <v>3298.923306892355</v>
      </c>
      <c r="U61" s="27">
        <f>IFERROR(求节点(节奏总纲!AE$4:AE$363,M$8:M$367,$S61),0)</f>
        <v>2875.9050594222958</v>
      </c>
      <c r="V61" s="27">
        <f>IFERROR(求节点(节奏总纲!AF$4:AF$363,N$8:N$367,$S61),0)</f>
        <v>2365.41099751193</v>
      </c>
      <c r="W61" s="27">
        <f>IFERROR(求节点(节奏总纲!AG$4:AG$363,O$8:O$367,$S61),0)</f>
        <v>1741.7297319089023</v>
      </c>
      <c r="X61" s="27">
        <f>IFERROR(求节点(节奏总纲!AH$4:AH$363,P$8:P$367,$S61),0)</f>
        <v>969.57786700900135</v>
      </c>
    </row>
    <row r="62" spans="3:24" x14ac:dyDescent="0.15">
      <c r="C62" s="27"/>
      <c r="K62" s="27">
        <v>55</v>
      </c>
      <c r="L62" s="27">
        <f t="shared" si="6"/>
        <v>4400</v>
      </c>
      <c r="M62" s="27">
        <f t="shared" si="6"/>
        <v>4400</v>
      </c>
      <c r="N62" s="27">
        <f t="shared" si="6"/>
        <v>4400</v>
      </c>
      <c r="O62" s="27">
        <f t="shared" si="6"/>
        <v>4400</v>
      </c>
      <c r="P62" s="27">
        <f t="shared" si="6"/>
        <v>4400</v>
      </c>
      <c r="S62" s="27">
        <v>55</v>
      </c>
      <c r="T62" s="27">
        <f>IFERROR(求节点(节奏总纲!AD$4:AD$363,L$8:L$367,$S62),0)</f>
        <v>3541.4574809797746</v>
      </c>
      <c r="U62" s="27">
        <f>IFERROR(求节点(节奏总纲!AE$4:AE$363,M$8:M$367,$S62),0)</f>
        <v>3083.7897090106399</v>
      </c>
      <c r="V62" s="27">
        <f>IFERROR(求节点(节奏总纲!AF$4:AF$363,N$8:N$367,$S62),0)</f>
        <v>2532.7014611957916</v>
      </c>
      <c r="W62" s="27">
        <f>IFERROR(求节点(节奏总纲!AG$4:AG$363,O$8:O$367,$S62),0)</f>
        <v>1863.7255318388918</v>
      </c>
      <c r="X62" s="27">
        <f>IFERROR(求节点(节奏总纲!AH$4:AH$363,P$8:P$367,$S62),0)</f>
        <v>1035.8823613904228</v>
      </c>
    </row>
    <row r="63" spans="3:24" x14ac:dyDescent="0.15">
      <c r="C63" s="27"/>
      <c r="K63" s="27">
        <v>56</v>
      </c>
      <c r="L63" s="27">
        <f t="shared" si="6"/>
        <v>4480</v>
      </c>
      <c r="M63" s="27">
        <f t="shared" si="6"/>
        <v>4480</v>
      </c>
      <c r="N63" s="27">
        <f t="shared" si="6"/>
        <v>4480</v>
      </c>
      <c r="O63" s="27">
        <f t="shared" si="6"/>
        <v>4480</v>
      </c>
      <c r="P63" s="27">
        <f t="shared" si="6"/>
        <v>4480</v>
      </c>
      <c r="S63" s="27">
        <v>56</v>
      </c>
      <c r="T63" s="27">
        <f>IFERROR(求节点(节奏总纲!AD$4:AD$363,L$8:L$367,$S63),0)</f>
        <v>3801.6198209975532</v>
      </c>
      <c r="U63" s="27">
        <f>IFERROR(求节点(节奏总纲!AE$4:AE$363,M$8:M$367,$S63),0)</f>
        <v>3303.6768916938136</v>
      </c>
      <c r="V63" s="27">
        <f>IFERROR(求节点(节奏总纲!AF$4:AF$363,N$8:N$367,$S63),0)</f>
        <v>2711.6828390519549</v>
      </c>
      <c r="W63" s="27">
        <f>IFERROR(求节点(节奏总纲!AG$4:AG$363,O$8:O$367,$S63),0)</f>
        <v>1993.3144469626568</v>
      </c>
      <c r="X63" s="27">
        <f>IFERROR(求节点(节奏总纲!AH$4:AH$363,P$8:P$367,$S63),0)</f>
        <v>1107.9709433403195</v>
      </c>
    </row>
    <row r="64" spans="3:24" x14ac:dyDescent="0.15">
      <c r="C64" s="27"/>
      <c r="K64" s="27">
        <v>57</v>
      </c>
      <c r="L64" s="27">
        <f t="shared" si="6"/>
        <v>4560</v>
      </c>
      <c r="M64" s="27">
        <f t="shared" si="6"/>
        <v>4560</v>
      </c>
      <c r="N64" s="27">
        <f t="shared" si="6"/>
        <v>4560</v>
      </c>
      <c r="O64" s="27">
        <f t="shared" si="6"/>
        <v>4560</v>
      </c>
      <c r="P64" s="27">
        <f t="shared" si="6"/>
        <v>4560</v>
      </c>
      <c r="S64" s="27">
        <v>57</v>
      </c>
      <c r="T64" s="27">
        <f>IFERROR(求节点(节奏总纲!AD$4:AD$363,L$8:L$367,$S64),0)</f>
        <v>4078.8159089141218</v>
      </c>
      <c r="U64" s="27">
        <f>IFERROR(求节点(节奏总纲!AE$4:AE$363,M$8:M$367,$S64),0)</f>
        <v>3545.4654369897244</v>
      </c>
      <c r="V64" s="27">
        <f>IFERROR(求节点(节奏总纲!AF$4:AF$363,N$8:N$367,$S64),0)</f>
        <v>2906.4660616602264</v>
      </c>
      <c r="W64" s="27">
        <f>IFERROR(求节点(节奏总纲!AG$4:AG$363,O$8:O$367,$S64),0)</f>
        <v>2134.6505710829551</v>
      </c>
      <c r="X64" s="27">
        <f>IFERROR(求节点(节奏总纲!AH$4:AH$363,P$8:P$367,$S64),0)</f>
        <v>1186.0043388358445</v>
      </c>
    </row>
    <row r="65" spans="3:24" x14ac:dyDescent="0.15">
      <c r="C65" s="27"/>
      <c r="K65" s="27">
        <v>58</v>
      </c>
      <c r="L65" s="27">
        <f t="shared" si="6"/>
        <v>4640</v>
      </c>
      <c r="M65" s="27">
        <f t="shared" si="6"/>
        <v>4640</v>
      </c>
      <c r="N65" s="27">
        <f t="shared" si="6"/>
        <v>4640</v>
      </c>
      <c r="O65" s="27">
        <f t="shared" si="6"/>
        <v>4640</v>
      </c>
      <c r="P65" s="27">
        <f t="shared" si="6"/>
        <v>4640</v>
      </c>
      <c r="S65" s="27">
        <v>58</v>
      </c>
      <c r="T65" s="27">
        <f>IFERROR(求节点(节奏总纲!AD$4:AD$363,L$8:L$367,$S65),0)</f>
        <v>4378.3312487273352</v>
      </c>
      <c r="U65" s="27">
        <f>IFERROR(求节点(节奏总纲!AE$4:AE$363,M$8:M$367,$S65),0)</f>
        <v>3798.7899897316292</v>
      </c>
      <c r="V65" s="27">
        <f>IFERROR(求节点(节奏总纲!AF$4:AF$363,N$8:N$367,$S65),0)</f>
        <v>3113.5692375292729</v>
      </c>
      <c r="W65" s="27">
        <f>IFERROR(求节点(节奏总纲!AG$4:AG$363,O$8:O$367,$S65),0)</f>
        <v>2287.0470261709711</v>
      </c>
      <c r="X65" s="27">
        <f>IFERROR(求节点(节奏总纲!AH$4:AH$363,P$8:P$367,$S65),0)</f>
        <v>1269.4446841556235</v>
      </c>
    </row>
    <row r="66" spans="3:24" x14ac:dyDescent="0.15">
      <c r="C66" s="27"/>
      <c r="K66" s="27">
        <v>59</v>
      </c>
      <c r="L66" s="27">
        <f t="shared" si="6"/>
        <v>4720</v>
      </c>
      <c r="M66" s="27">
        <f t="shared" si="6"/>
        <v>4720</v>
      </c>
      <c r="N66" s="27">
        <f t="shared" si="6"/>
        <v>4720</v>
      </c>
      <c r="O66" s="27">
        <f t="shared" si="6"/>
        <v>4720</v>
      </c>
      <c r="P66" s="27">
        <f t="shared" si="6"/>
        <v>4720</v>
      </c>
      <c r="S66" s="27">
        <v>59</v>
      </c>
      <c r="T66" s="27">
        <f>IFERROR(求节点(节奏总纲!AD$4:AD$363,L$8:L$367,$S66),0)</f>
        <v>4698.2440039714784</v>
      </c>
      <c r="U66" s="27">
        <f>IFERROR(求节点(节奏总纲!AE$4:AE$363,M$8:M$367,$S66),0)</f>
        <v>4075.437115509033</v>
      </c>
      <c r="V66" s="27">
        <f>IFERROR(求节点(节奏总纲!AF$4:AF$363,N$8:N$367,$S66),0)</f>
        <v>3339.1896694393827</v>
      </c>
      <c r="W66" s="27">
        <f>IFERROR(求节点(节奏总纲!AG$4:AG$363,O$8:O$367,$S66),0)</f>
        <v>2450.1069682250345</v>
      </c>
      <c r="X66" s="27">
        <f>IFERROR(求节点(节奏总纲!AH$4:AH$363,P$8:P$367,$S66),0)</f>
        <v>1360.3199901640778</v>
      </c>
    </row>
    <row r="67" spans="3:24" x14ac:dyDescent="0.15">
      <c r="C67" s="27"/>
      <c r="K67" s="27">
        <v>60</v>
      </c>
      <c r="L67" s="27">
        <f t="shared" si="6"/>
        <v>4800</v>
      </c>
      <c r="M67" s="27">
        <f t="shared" si="6"/>
        <v>4800</v>
      </c>
      <c r="N67" s="27">
        <f t="shared" si="6"/>
        <v>4800</v>
      </c>
      <c r="O67" s="27">
        <f t="shared" si="6"/>
        <v>4800</v>
      </c>
      <c r="P67" s="27">
        <f t="shared" si="6"/>
        <v>4800</v>
      </c>
      <c r="S67" s="27">
        <v>60</v>
      </c>
      <c r="T67" s="27">
        <f>IFERROR(求节点(节奏总纲!AD$4:AD$363,L$8:L$367,$S67),0)</f>
        <v>5040</v>
      </c>
      <c r="U67" s="27">
        <f>IFERROR(求节点(节奏总纲!AE$4:AE$363,M$8:M$367,$S67),0)</f>
        <v>4368.9562101988813</v>
      </c>
      <c r="V67" s="27">
        <f>IFERROR(求节点(节奏总纲!AF$4:AF$363,N$8:N$367,$S67),0)</f>
        <v>3578.7734704938375</v>
      </c>
      <c r="W67" s="27">
        <f>IFERROR(求节点(节奏总纲!AG$4:AG$363,O$8:O$367,$S67),0)</f>
        <v>2625.9515010036471</v>
      </c>
      <c r="X67" s="27">
        <f>IFERROR(求节点(节奏总纲!AH$4:AH$363,P$8:P$367,$S67),0)</f>
        <v>1462.7640872127727</v>
      </c>
    </row>
    <row r="68" spans="3:24" x14ac:dyDescent="0.15">
      <c r="C68" s="27"/>
      <c r="K68" s="27">
        <v>61</v>
      </c>
      <c r="L68" s="27">
        <f t="shared" ref="L68:P77" si="7">IFERROR(MAX($K68-$D$1,0)*$D$3/30,0)</f>
        <v>4880</v>
      </c>
      <c r="M68" s="27">
        <f t="shared" si="7"/>
        <v>4880</v>
      </c>
      <c r="N68" s="27">
        <f t="shared" si="7"/>
        <v>4880</v>
      </c>
      <c r="O68" s="27">
        <f t="shared" si="7"/>
        <v>4880</v>
      </c>
      <c r="P68" s="27">
        <f t="shared" si="7"/>
        <v>4880</v>
      </c>
      <c r="S68" s="27">
        <v>61</v>
      </c>
      <c r="T68" s="27">
        <f>IFERROR(求节点(节奏总纲!AD$4:AD$363,L$8:L$367,$S68),0)</f>
        <v>5408.8088004555711</v>
      </c>
      <c r="U68" s="27">
        <f>IFERROR(求节点(节奏总纲!AE$4:AE$363,M$8:M$367,$S68),0)</f>
        <v>4688.8525173778207</v>
      </c>
      <c r="V68" s="27">
        <f>IFERROR(求节点(节奏总纲!AF$4:AF$363,N$8:N$367,$S68),0)</f>
        <v>3838.3621575191105</v>
      </c>
      <c r="W68" s="27">
        <f>IFERROR(求节点(节奏总纲!AG$4:AG$363,O$8:O$367,$S68),0)</f>
        <v>2819.512436979589</v>
      </c>
      <c r="X68" s="27">
        <f>IFERROR(求节点(节奏总纲!AH$4:AH$363,P$8:P$367,$S68),0)</f>
        <v>1570.7732158750548</v>
      </c>
    </row>
    <row r="69" spans="3:24" x14ac:dyDescent="0.15">
      <c r="C69" s="27"/>
      <c r="K69" s="27">
        <v>62</v>
      </c>
      <c r="L69" s="27">
        <f t="shared" si="7"/>
        <v>4960</v>
      </c>
      <c r="M69" s="27">
        <f t="shared" si="7"/>
        <v>4960</v>
      </c>
      <c r="N69" s="27">
        <f t="shared" si="7"/>
        <v>4960</v>
      </c>
      <c r="O69" s="27">
        <f t="shared" si="7"/>
        <v>4960</v>
      </c>
      <c r="P69" s="27">
        <f t="shared" si="7"/>
        <v>4960</v>
      </c>
      <c r="S69" s="27">
        <v>62</v>
      </c>
      <c r="T69" s="27">
        <f>IFERROR(求节点(节奏总纲!AD$4:AD$363,L$8:L$367,$S69),0)</f>
        <v>5802.7181729881049</v>
      </c>
      <c r="U69" s="27">
        <f>IFERROR(求节点(节奏总纲!AE$4:AE$363,M$8:M$367,$S69),0)</f>
        <v>5028.3206946337032</v>
      </c>
      <c r="V69" s="27">
        <f>IFERROR(求节点(节奏总纲!AF$4:AF$363,N$8:N$367,$S69),0)</f>
        <v>4122.0051278700976</v>
      </c>
      <c r="W69" s="27">
        <f>IFERROR(求节点(节奏总纲!AG$4:AG$363,O$8:O$367,$S69),0)</f>
        <v>3028.5153801642036</v>
      </c>
      <c r="X69" s="27">
        <f>IFERROR(求节点(节奏总纲!AH$4:AH$363,P$8:P$367,$S69),0)</f>
        <v>1690.2360160997034</v>
      </c>
    </row>
    <row r="70" spans="3:24" x14ac:dyDescent="0.15">
      <c r="C70" s="27"/>
      <c r="K70" s="27">
        <v>63</v>
      </c>
      <c r="L70" s="27">
        <f t="shared" si="7"/>
        <v>5040</v>
      </c>
      <c r="M70" s="27">
        <f t="shared" si="7"/>
        <v>5040</v>
      </c>
      <c r="N70" s="27">
        <f t="shared" si="7"/>
        <v>5040</v>
      </c>
      <c r="O70" s="27">
        <f t="shared" si="7"/>
        <v>5040</v>
      </c>
      <c r="P70" s="27">
        <f t="shared" si="7"/>
        <v>5040</v>
      </c>
      <c r="S70" s="27">
        <v>63</v>
      </c>
      <c r="T70" s="27">
        <f>IFERROR(求节点(节奏总纲!AD$4:AD$363,L$8:L$367,$S70),0)</f>
        <v>6224.35038756618</v>
      </c>
      <c r="U70" s="27">
        <f>IFERROR(求节点(节奏总纲!AE$4:AE$363,M$8:M$367,$S70),0)</f>
        <v>5398.8712649040317</v>
      </c>
      <c r="V70" s="27">
        <f>IFERROR(求节点(节奏总纲!AF$4:AF$363,N$8:N$367,$S70),0)</f>
        <v>4423.702640782667</v>
      </c>
      <c r="W70" s="27">
        <f>IFERROR(求节点(节奏总纲!AG$4:AG$363,O$8:O$367,$S70),0)</f>
        <v>3255.4741913553798</v>
      </c>
      <c r="X70" s="27">
        <f>IFERROR(求节点(节奏总纲!AH$4:AH$363,P$8:P$367,$S70),0)</f>
        <v>1816.6879523041259</v>
      </c>
    </row>
    <row r="71" spans="3:24" x14ac:dyDescent="0.15">
      <c r="C71" s="27"/>
      <c r="K71" s="27">
        <v>64</v>
      </c>
      <c r="L71" s="27">
        <f t="shared" si="7"/>
        <v>5120</v>
      </c>
      <c r="M71" s="27">
        <f t="shared" si="7"/>
        <v>5120</v>
      </c>
      <c r="N71" s="27">
        <f t="shared" si="7"/>
        <v>5120</v>
      </c>
      <c r="O71" s="27">
        <f t="shared" si="7"/>
        <v>5120</v>
      </c>
      <c r="P71" s="27">
        <f t="shared" si="7"/>
        <v>5120</v>
      </c>
      <c r="S71" s="27">
        <v>64</v>
      </c>
      <c r="T71" s="27">
        <f>IFERROR(求节点(节奏总纲!AD$4:AD$363,L$8:L$367,$S71),0)</f>
        <v>6677.2564542013142</v>
      </c>
      <c r="U71" s="27">
        <f>IFERROR(求节点(节奏总纲!AE$4:AE$363,M$8:M$367,$S71),0)</f>
        <v>5793.2081118998385</v>
      </c>
      <c r="V71" s="27">
        <f>IFERROR(求节点(节奏总纲!AF$4:AF$363,N$8:N$367,$S71),0)</f>
        <v>4750.7700133039471</v>
      </c>
      <c r="W71" s="27">
        <f>IFERROR(求节点(节奏总纲!AG$4:AG$363,O$8:O$367,$S71),0)</f>
        <v>3498.3664350809313</v>
      </c>
      <c r="X71" s="27">
        <f>IFERROR(求节点(节奏总纲!AH$4:AH$363,P$8:P$367,$S71),0)</f>
        <v>1947.4617569099553</v>
      </c>
    </row>
    <row r="72" spans="3:24" x14ac:dyDescent="0.15">
      <c r="C72" s="27"/>
      <c r="K72" s="27">
        <v>65</v>
      </c>
      <c r="L72" s="27">
        <f t="shared" si="7"/>
        <v>5200</v>
      </c>
      <c r="M72" s="27">
        <f t="shared" si="7"/>
        <v>5200</v>
      </c>
      <c r="N72" s="27">
        <f t="shared" si="7"/>
        <v>5200</v>
      </c>
      <c r="O72" s="27">
        <f t="shared" si="7"/>
        <v>5200</v>
      </c>
      <c r="P72" s="27">
        <f t="shared" si="7"/>
        <v>5200</v>
      </c>
      <c r="S72" s="27">
        <v>65</v>
      </c>
      <c r="T72" s="27">
        <f>IFERROR(求节点(节奏总纲!AD$4:AD$363,L$8:L$367,$S72),0)</f>
        <v>7162.15773354458</v>
      </c>
      <c r="U72" s="27">
        <f>IFERROR(求节点(节奏总纲!AE$4:AE$363,M$8:M$367,$S72),0)</f>
        <v>6213.4585983539537</v>
      </c>
      <c r="V72" s="27">
        <f>IFERROR(求节点(节奏总纲!AF$4:AF$363,N$8:N$367,$S72),0)</f>
        <v>5104.8850733392428</v>
      </c>
      <c r="W72" s="27">
        <f>IFERROR(求节点(节奏总纲!AG$4:AG$363,O$8:O$367,$S72),0)</f>
        <v>3754.4288401494941</v>
      </c>
      <c r="X72" s="27">
        <f>IFERROR(求节点(节奏总纲!AH$4:AH$363,P$8:P$367,$S72),0)</f>
        <v>2079.5449966611454</v>
      </c>
    </row>
    <row r="73" spans="3:24" x14ac:dyDescent="0.15">
      <c r="C73" s="27"/>
      <c r="K73" s="27">
        <v>66</v>
      </c>
      <c r="L73" s="27">
        <f t="shared" si="7"/>
        <v>5280</v>
      </c>
      <c r="M73" s="27">
        <f t="shared" si="7"/>
        <v>5280</v>
      </c>
      <c r="N73" s="27">
        <f t="shared" si="7"/>
        <v>5280</v>
      </c>
      <c r="O73" s="27">
        <f t="shared" si="7"/>
        <v>5280</v>
      </c>
      <c r="P73" s="27">
        <f t="shared" si="7"/>
        <v>5280</v>
      </c>
      <c r="S73" s="27">
        <v>66</v>
      </c>
      <c r="T73" s="27">
        <f>IFERROR(求节点(节奏总纲!AD$4:AD$363,L$8:L$367,$S73),0)</f>
        <v>7680.5022581509556</v>
      </c>
      <c r="U73" s="27">
        <f>IFERROR(求节点(节奏总纲!AE$4:AE$363,M$8:M$367,$S73),0)</f>
        <v>6669.4758965033498</v>
      </c>
      <c r="V73" s="27">
        <f>IFERROR(求节点(节奏总纲!AF$4:AF$363,N$8:N$367,$S73),0)</f>
        <v>5479.727602253497</v>
      </c>
      <c r="W73" s="27">
        <f>IFERROR(求节点(节奏总纲!AG$4:AG$363,O$8:O$367,$S73),0)</f>
        <v>4013.8117010230603</v>
      </c>
      <c r="X73" s="27">
        <f>IFERROR(求节点(节奏总纲!AH$4:AH$363,P$8:P$367,$S73),0)</f>
        <v>2228.5753772541343</v>
      </c>
    </row>
    <row r="74" spans="3:24" x14ac:dyDescent="0.15">
      <c r="C74" s="27"/>
      <c r="K74" s="27">
        <v>67</v>
      </c>
      <c r="L74" s="27">
        <f t="shared" si="7"/>
        <v>5360</v>
      </c>
      <c r="M74" s="27">
        <f t="shared" si="7"/>
        <v>5360</v>
      </c>
      <c r="N74" s="27">
        <f t="shared" si="7"/>
        <v>5360</v>
      </c>
      <c r="O74" s="27">
        <f t="shared" si="7"/>
        <v>5360</v>
      </c>
      <c r="P74" s="27">
        <f t="shared" si="7"/>
        <v>5360</v>
      </c>
      <c r="S74" s="27">
        <v>67</v>
      </c>
      <c r="T74" s="27">
        <f>IFERROR(求节点(节奏总纲!AD$4:AD$363,L$8:L$367,$S74),0)</f>
        <v>8237.629299364291</v>
      </c>
      <c r="U74" s="27">
        <f>IFERROR(求节点(节奏总纲!AE$4:AE$363,M$8:M$367,$S74),0)</f>
        <v>7158.3178912438361</v>
      </c>
      <c r="V74" s="27">
        <f>IFERROR(求节点(节奏总纲!AF$4:AF$363,N$8:N$367,$S74),0)</f>
        <v>5863.9601241265918</v>
      </c>
      <c r="W74" s="27">
        <f>IFERROR(求节点(节奏总纲!AG$4:AG$363,O$8:O$367,$S74),0)</f>
        <v>4291.7276034048054</v>
      </c>
      <c r="X74" s="27">
        <f>IFERROR(求节点(节奏总纲!AH$4:AH$363,P$8:P$367,$S74),0)</f>
        <v>2384.631126918182</v>
      </c>
    </row>
    <row r="75" spans="3:24" x14ac:dyDescent="0.15">
      <c r="C75" s="27"/>
      <c r="K75" s="27">
        <v>68</v>
      </c>
      <c r="L75" s="27">
        <f t="shared" si="7"/>
        <v>5440</v>
      </c>
      <c r="M75" s="27">
        <f t="shared" si="7"/>
        <v>5440</v>
      </c>
      <c r="N75" s="27">
        <f t="shared" si="7"/>
        <v>5440</v>
      </c>
      <c r="O75" s="27">
        <f t="shared" si="7"/>
        <v>5440</v>
      </c>
      <c r="P75" s="27">
        <f t="shared" si="7"/>
        <v>5440</v>
      </c>
      <c r="S75" s="27">
        <v>68</v>
      </c>
      <c r="T75" s="27">
        <f>IFERROR(求节点(节奏总纲!AD$4:AD$363,L$8:L$367,$S75),0)</f>
        <v>8835.8032906032022</v>
      </c>
      <c r="U75" s="27">
        <f>IFERROR(求节点(节奏总纲!AE$4:AE$363,M$8:M$367,$S75),0)</f>
        <v>7667.0619924156172</v>
      </c>
      <c r="V75" s="27">
        <f>IFERROR(求节点(节奏总纲!AF$4:AF$363,N$8:N$367,$S75),0)</f>
        <v>6262.0919032658267</v>
      </c>
      <c r="W75" s="27">
        <f>IFERROR(求节点(节奏总纲!AG$4:AG$363,O$8:O$367,$S75),0)</f>
        <v>4594.6820330416094</v>
      </c>
      <c r="X75" s="27">
        <f>IFERROR(求节点(节奏总纲!AH$4:AH$363,P$8:P$367,$S75),0)</f>
        <v>2549.359251227168</v>
      </c>
    </row>
    <row r="76" spans="3:24" x14ac:dyDescent="0.15">
      <c r="C76" s="27"/>
      <c r="K76" s="27">
        <v>69</v>
      </c>
      <c r="L76" s="27">
        <f t="shared" si="7"/>
        <v>5520</v>
      </c>
      <c r="M76" s="27">
        <f t="shared" si="7"/>
        <v>5520</v>
      </c>
      <c r="N76" s="27">
        <f t="shared" si="7"/>
        <v>5520</v>
      </c>
      <c r="O76" s="27">
        <f t="shared" si="7"/>
        <v>5520</v>
      </c>
      <c r="P76" s="27">
        <f t="shared" si="7"/>
        <v>5520</v>
      </c>
      <c r="S76" s="27">
        <v>69</v>
      </c>
      <c r="T76" s="27">
        <f>IFERROR(求节点(节奏总纲!AD$4:AD$363,L$8:L$367,$S76),0)</f>
        <v>9475.6217991794801</v>
      </c>
      <c r="U76" s="27">
        <f>IFERROR(求节点(节奏总纲!AE$4:AE$363,M$8:M$367,$S76),0)</f>
        <v>8203.1146356435074</v>
      </c>
      <c r="V76" s="27">
        <f>IFERROR(求节点(节奏总纲!AF$4:AF$363,N$8:N$367,$S76),0)</f>
        <v>6712.2614969224596</v>
      </c>
      <c r="W76" s="27">
        <f>IFERROR(求节点(节奏总纲!AG$4:AG$363,O$8:O$367,$S76),0)</f>
        <v>4924.0740813962793</v>
      </c>
      <c r="X76" s="27">
        <f>IFERROR(求节点(节奏总纲!AH$4:AH$363,P$8:P$367,$S76),0)</f>
        <v>2725.2832089290509</v>
      </c>
    </row>
    <row r="77" spans="3:24" x14ac:dyDescent="0.15">
      <c r="C77" s="27"/>
      <c r="K77" s="27">
        <v>70</v>
      </c>
      <c r="L77" s="27">
        <f t="shared" si="7"/>
        <v>5600</v>
      </c>
      <c r="M77" s="27">
        <f t="shared" si="7"/>
        <v>5600</v>
      </c>
      <c r="N77" s="27">
        <f t="shared" si="7"/>
        <v>5600</v>
      </c>
      <c r="O77" s="27">
        <f t="shared" si="7"/>
        <v>5600</v>
      </c>
      <c r="P77" s="27">
        <f t="shared" si="7"/>
        <v>5600</v>
      </c>
      <c r="S77" s="27">
        <v>70</v>
      </c>
      <c r="T77" s="27">
        <f>IFERROR(求节点(节奏总纲!AD$4:AD$363,L$8:L$367,$S77),0)</f>
        <v>10160</v>
      </c>
      <c r="U77" s="27">
        <f>IFERROR(求节点(节奏总纲!AE$4:AE$363,M$8:M$367,$S77),0)</f>
        <v>8797.7233566786035</v>
      </c>
      <c r="V77" s="27">
        <f>IFERROR(求节点(节奏总纲!AF$4:AF$363,N$8:N$367,$S77),0)</f>
        <v>7208.8437399406512</v>
      </c>
      <c r="W77" s="27">
        <f>IFERROR(求节点(节奏总纲!AG$4:AG$363,O$8:O$367,$S77),0)</f>
        <v>5274.4061374579251</v>
      </c>
      <c r="X77" s="27">
        <f>IFERROR(求节点(节奏总纲!AH$4:AH$363,P$8:P$367,$S77),0)</f>
        <v>2921.4594415063607</v>
      </c>
    </row>
    <row r="78" spans="3:24" x14ac:dyDescent="0.15">
      <c r="C78" s="27"/>
      <c r="K78" s="27">
        <v>71</v>
      </c>
      <c r="L78" s="27">
        <f t="shared" ref="L78:P87" si="8">IFERROR(MAX($K78-$D$1,0)*$D$3/30,0)</f>
        <v>5680</v>
      </c>
      <c r="M78" s="27">
        <f t="shared" si="8"/>
        <v>5680</v>
      </c>
      <c r="N78" s="27">
        <f t="shared" si="8"/>
        <v>5680</v>
      </c>
      <c r="O78" s="27">
        <f t="shared" si="8"/>
        <v>5680</v>
      </c>
      <c r="P78" s="27">
        <f t="shared" si="8"/>
        <v>5680</v>
      </c>
      <c r="S78" s="27">
        <v>71</v>
      </c>
      <c r="T78" s="27">
        <f>IFERROR(求节点(节奏总纲!AD$4:AD$363,L$8:L$367,$S78),0)</f>
        <v>10895.8216496861</v>
      </c>
      <c r="U78" s="27">
        <f>IFERROR(求节点(节奏总纲!AE$4:AE$363,M$8:M$367,$S78),0)</f>
        <v>9442.816362149033</v>
      </c>
      <c r="V78" s="27">
        <f>IFERROR(求节点(节奏总纲!AF$4:AF$363,N$8:N$367,$S78),0)</f>
        <v>7727.4609578285736</v>
      </c>
      <c r="W78" s="27">
        <f>IFERROR(求节点(节奏总纲!AG$4:AG$363,O$8:O$367,$S78),0)</f>
        <v>5650.1556681513166</v>
      </c>
      <c r="X78" s="27">
        <f>IFERROR(求节点(节奏总纲!AH$4:AH$363,P$8:P$367,$S78),0)</f>
        <v>3130.6025316979258</v>
      </c>
    </row>
    <row r="79" spans="3:24" x14ac:dyDescent="0.15">
      <c r="C79" s="27"/>
      <c r="K79" s="27">
        <v>72</v>
      </c>
      <c r="L79" s="27">
        <f t="shared" si="8"/>
        <v>5760</v>
      </c>
      <c r="M79" s="27">
        <f t="shared" si="8"/>
        <v>5760</v>
      </c>
      <c r="N79" s="27">
        <f t="shared" si="8"/>
        <v>5760</v>
      </c>
      <c r="O79" s="27">
        <f t="shared" si="8"/>
        <v>5760</v>
      </c>
      <c r="P79" s="27">
        <f t="shared" si="8"/>
        <v>5760</v>
      </c>
      <c r="S79" s="27">
        <v>72</v>
      </c>
      <c r="T79" s="27">
        <f>IFERROR(求节点(节奏总纲!AD$4:AD$363,L$8:L$367,$S79),0)</f>
        <v>11682.856028821481</v>
      </c>
      <c r="U79" s="27">
        <f>IFERROR(求节点(节奏总纲!AE$4:AE$363,M$8:M$367,$S79),0)</f>
        <v>10127.177692870368</v>
      </c>
      <c r="V79" s="27">
        <f>IFERROR(求节点(节奏总纲!AF$4:AF$363,N$8:N$367,$S79),0)</f>
        <v>8266.8181853057267</v>
      </c>
      <c r="W79" s="27">
        <f>IFERROR(求节点(节奏总纲!AG$4:AG$363,O$8:O$367,$S79),0)</f>
        <v>6048.4202205503752</v>
      </c>
      <c r="X79" s="27">
        <f>IFERROR(求节点(节奏总纲!AH$4:AH$363,P$8:P$367,$S79),0)</f>
        <v>3352.2836313401167</v>
      </c>
    </row>
    <row r="80" spans="3:24" x14ac:dyDescent="0.15">
      <c r="C80" s="27"/>
      <c r="K80" s="27">
        <v>73</v>
      </c>
      <c r="L80" s="27">
        <f t="shared" si="8"/>
        <v>5840</v>
      </c>
      <c r="M80" s="27">
        <f t="shared" si="8"/>
        <v>5840</v>
      </c>
      <c r="N80" s="27">
        <f t="shared" si="8"/>
        <v>5840</v>
      </c>
      <c r="O80" s="27">
        <f t="shared" si="8"/>
        <v>5840</v>
      </c>
      <c r="P80" s="27">
        <f t="shared" si="8"/>
        <v>5840</v>
      </c>
      <c r="S80" s="27">
        <v>73</v>
      </c>
      <c r="T80" s="27">
        <f>IFERROR(求节点(节奏总纲!AD$4:AD$363,L$8:L$367,$S80),0)</f>
        <v>12528.255065590232</v>
      </c>
      <c r="U80" s="27">
        <f>IFERROR(求节点(节奏总纲!AE$4:AE$363,M$8:M$367,$S80),0)</f>
        <v>10835.206225238941</v>
      </c>
      <c r="V80" s="27">
        <f>IFERROR(求节点(节奏总纲!AF$4:AF$363,N$8:N$367,$S80),0)</f>
        <v>8848.6648684892771</v>
      </c>
      <c r="W80" s="27">
        <f>IFERROR(求节点(节奏总纲!AG$4:AG$363,O$8:O$367,$S80),0)</f>
        <v>6476.7344842079265</v>
      </c>
      <c r="X80" s="27">
        <f>IFERROR(求节点(节奏总纲!AH$4:AH$363,P$8:P$367,$S80),0)</f>
        <v>3591.0364536486809</v>
      </c>
    </row>
    <row r="81" spans="3:24" x14ac:dyDescent="0.15">
      <c r="C81" s="27"/>
      <c r="K81" s="27">
        <v>74</v>
      </c>
      <c r="L81" s="27">
        <f t="shared" si="8"/>
        <v>5920</v>
      </c>
      <c r="M81" s="27">
        <f t="shared" si="8"/>
        <v>5920</v>
      </c>
      <c r="N81" s="27">
        <f t="shared" si="8"/>
        <v>5920</v>
      </c>
      <c r="O81" s="27">
        <f t="shared" si="8"/>
        <v>5920</v>
      </c>
      <c r="P81" s="27">
        <f t="shared" si="8"/>
        <v>5920</v>
      </c>
      <c r="S81" s="27">
        <v>74</v>
      </c>
      <c r="T81" s="27">
        <f>IFERROR(求节点(节奏总纲!AD$4:AD$363,L$8:L$367,$S81),0)</f>
        <v>13432.259361753962</v>
      </c>
      <c r="U81" s="27">
        <f>IFERROR(求节点(节奏总纲!AE$4:AE$363,M$8:M$367,$S81),0)</f>
        <v>11614.032802747814</v>
      </c>
      <c r="V81" s="27">
        <f>IFERROR(求节点(节奏总纲!AF$4:AF$363,N$8:N$367,$S81),0)</f>
        <v>9497.3468590032262</v>
      </c>
      <c r="W81" s="27">
        <f>IFERROR(求节点(节奏总纲!AG$4:AG$363,O$8:O$367,$S81),0)</f>
        <v>6950.2113392057663</v>
      </c>
      <c r="X81" s="27">
        <f>IFERROR(求节点(节奏总纲!AH$4:AH$363,P$8:P$367,$S81),0)</f>
        <v>3854.5634857996142</v>
      </c>
    </row>
    <row r="82" spans="3:24" x14ac:dyDescent="0.15">
      <c r="C82" s="27"/>
      <c r="K82" s="27">
        <v>75</v>
      </c>
      <c r="L82" s="27">
        <f t="shared" si="8"/>
        <v>6000</v>
      </c>
      <c r="M82" s="27">
        <f t="shared" si="8"/>
        <v>6000</v>
      </c>
      <c r="N82" s="27">
        <f t="shared" si="8"/>
        <v>6000</v>
      </c>
      <c r="O82" s="27">
        <f t="shared" si="8"/>
        <v>6000</v>
      </c>
      <c r="P82" s="27">
        <f t="shared" si="8"/>
        <v>6000</v>
      </c>
      <c r="S82" s="27">
        <v>75</v>
      </c>
      <c r="T82" s="27">
        <f>IFERROR(求节点(节奏总纲!AD$4:AD$363,L$8:L$367,$S82),0)</f>
        <v>14401.655605873721</v>
      </c>
      <c r="U82" s="27">
        <f>IFERROR(求节点(节奏总纲!AE$4:AE$363,M$8:M$367,$S82),0)</f>
        <v>12461.069817949594</v>
      </c>
      <c r="V82" s="27">
        <f>IFERROR(求节点(节奏总纲!AF$4:AF$363,N$8:N$367,$S82),0)</f>
        <v>10191.509214741021</v>
      </c>
      <c r="W82" s="27">
        <f>IFERROR(求节点(节奏总纲!AG$4:AG$363,O$8:O$367,$S82),0)</f>
        <v>7458.1226312917561</v>
      </c>
      <c r="X82" s="27">
        <f>IFERROR(求节点(节奏总纲!AH$4:AH$363,P$8:P$367,$S82),0)</f>
        <v>4141.6912100560248</v>
      </c>
    </row>
    <row r="83" spans="3:24" x14ac:dyDescent="0.15">
      <c r="C83" s="27"/>
      <c r="K83" s="27">
        <v>76</v>
      </c>
      <c r="L83" s="27">
        <f t="shared" si="8"/>
        <v>6080</v>
      </c>
      <c r="M83" s="27">
        <f t="shared" si="8"/>
        <v>6080</v>
      </c>
      <c r="N83" s="27">
        <f t="shared" si="8"/>
        <v>6080</v>
      </c>
      <c r="O83" s="27">
        <f t="shared" si="8"/>
        <v>6080</v>
      </c>
      <c r="P83" s="27">
        <f t="shared" si="8"/>
        <v>6080</v>
      </c>
      <c r="S83" s="27">
        <v>76</v>
      </c>
      <c r="T83" s="27">
        <f>IFERROR(求节点(节奏总纲!AD$4:AD$363,L$8:L$367,$S83),0)</f>
        <v>15441.004094146519</v>
      </c>
      <c r="U83" s="27">
        <f>IFERROR(求节点(节奏总纲!AE$4:AE$363,M$8:M$367,$S83),0)</f>
        <v>13358.107672918828</v>
      </c>
      <c r="V83" s="27">
        <f>IFERROR(求节点(节奏总纲!AF$4:AF$363,N$8:N$367,$S83),0)</f>
        <v>10923.206398585044</v>
      </c>
      <c r="W83" s="27">
        <f>IFERROR(求节点(节奏总纲!AG$4:AG$363,O$8:O$367,$S83),0)</f>
        <v>8003.2765890925448</v>
      </c>
      <c r="X83" s="27">
        <f>IFERROR(求节点(节奏总纲!AH$4:AH$363,P$8:P$367,$S83),0)</f>
        <v>4452.9922196941434</v>
      </c>
    </row>
    <row r="84" spans="3:24" x14ac:dyDescent="0.15">
      <c r="C84" s="27"/>
      <c r="K84" s="27">
        <v>77</v>
      </c>
      <c r="L84" s="27">
        <f t="shared" si="8"/>
        <v>6160</v>
      </c>
      <c r="M84" s="27">
        <f t="shared" si="8"/>
        <v>6160</v>
      </c>
      <c r="N84" s="27">
        <f t="shared" si="8"/>
        <v>6160</v>
      </c>
      <c r="O84" s="27">
        <f t="shared" si="8"/>
        <v>6160</v>
      </c>
      <c r="P84" s="27">
        <f t="shared" si="8"/>
        <v>6160</v>
      </c>
      <c r="S84" s="27">
        <v>77</v>
      </c>
      <c r="T84" s="27">
        <f>IFERROR(求节点(节奏总纲!AD$4:AD$363,L$8:L$367,$S84),0)</f>
        <v>16555.248492664879</v>
      </c>
      <c r="U84" s="27">
        <f>IFERROR(求节点(节奏总纲!AE$4:AE$363,M$8:M$367,$S84),0)</f>
        <v>14330.493302833842</v>
      </c>
      <c r="V84" s="27">
        <f>IFERROR(求节点(节奏总纲!AF$4:AF$363,N$8:N$367,$S84),0)</f>
        <v>11723.86252740917</v>
      </c>
      <c r="W84" s="27">
        <f>IFERROR(求节点(节奏总纲!AG$4:AG$363,O$8:O$367,$S84),0)</f>
        <v>8594.6064850372059</v>
      </c>
      <c r="X84" s="27">
        <f>IFERROR(求节点(节奏总纲!AH$4:AH$363,P$8:P$367,$S84),0)</f>
        <v>4764.0719147483396</v>
      </c>
    </row>
    <row r="85" spans="3:24" x14ac:dyDescent="0.15">
      <c r="C85" s="27"/>
      <c r="K85" s="27">
        <v>78</v>
      </c>
      <c r="L85" s="27">
        <f t="shared" si="8"/>
        <v>6240</v>
      </c>
      <c r="M85" s="27">
        <f t="shared" si="8"/>
        <v>6240</v>
      </c>
      <c r="N85" s="27">
        <f t="shared" si="8"/>
        <v>6240</v>
      </c>
      <c r="O85" s="27">
        <f t="shared" si="8"/>
        <v>6240</v>
      </c>
      <c r="P85" s="27">
        <f t="shared" si="8"/>
        <v>6240</v>
      </c>
      <c r="S85" s="27">
        <v>78</v>
      </c>
      <c r="T85" s="27">
        <f>IFERROR(求节点(节奏总纲!AD$4:AD$363,L$8:L$367,$S85),0)</f>
        <v>17749.522944438981</v>
      </c>
      <c r="U85" s="27">
        <f>IFERROR(求节点(节奏总纲!AE$4:AE$363,M$8:M$367,$S85),0)</f>
        <v>15363.709337498341</v>
      </c>
      <c r="V85" s="27">
        <f>IFERROR(求节点(节奏总纲!AF$4:AF$363,N$8:N$367,$S85),0)</f>
        <v>12579.680064607406</v>
      </c>
      <c r="W85" s="27">
        <f>IFERROR(求节点(节奏总纲!AG$4:AG$363,O$8:O$367,$S85),0)</f>
        <v>9213.7276807994913</v>
      </c>
      <c r="X85" s="27">
        <f>IFERROR(求节点(节奏总纲!AH$4:AH$363,P$8:P$367,$S85),0)</f>
        <v>5093.6305277463516</v>
      </c>
    </row>
    <row r="86" spans="3:24" x14ac:dyDescent="0.15">
      <c r="C86" s="27"/>
      <c r="K86" s="27">
        <v>79</v>
      </c>
      <c r="L86" s="27">
        <f t="shared" si="8"/>
        <v>6320</v>
      </c>
      <c r="M86" s="27">
        <f t="shared" si="8"/>
        <v>6320</v>
      </c>
      <c r="N86" s="27">
        <f t="shared" si="8"/>
        <v>6320</v>
      </c>
      <c r="O86" s="27">
        <f t="shared" si="8"/>
        <v>6320</v>
      </c>
      <c r="P86" s="27">
        <f t="shared" si="8"/>
        <v>6320</v>
      </c>
      <c r="S86" s="27">
        <v>79</v>
      </c>
      <c r="T86" s="27">
        <f>IFERROR(求节点(节奏总纲!AD$4:AD$363,L$8:L$367,$S86),0)</f>
        <v>19029.180728208197</v>
      </c>
      <c r="U86" s="27">
        <f>IFERROR(求节点(节奏总纲!AE$4:AE$363,M$8:M$367,$S86),0)</f>
        <v>16486.70531620162</v>
      </c>
      <c r="V86" s="27">
        <f>IFERROR(求节点(节奏总纲!AF$4:AF$363,N$8:N$367,$S86),0)</f>
        <v>13498.960996731728</v>
      </c>
      <c r="W86" s="27">
        <f>IFERROR(求节点(节奏总纲!AG$4:AG$363,O$8:O$367,$S86),0)</f>
        <v>9849.6855428240542</v>
      </c>
      <c r="X86" s="27">
        <f>IFERROR(求节点(节奏总纲!AH$4:AH$363,P$8:P$367,$S86),0)</f>
        <v>5450.1194535295135</v>
      </c>
    </row>
    <row r="87" spans="3:24" x14ac:dyDescent="0.15">
      <c r="C87" s="27"/>
      <c r="K87" s="27">
        <v>80</v>
      </c>
      <c r="L87" s="27">
        <f t="shared" si="8"/>
        <v>6400</v>
      </c>
      <c r="M87" s="27">
        <f t="shared" si="8"/>
        <v>6400</v>
      </c>
      <c r="N87" s="27">
        <f t="shared" si="8"/>
        <v>6400</v>
      </c>
      <c r="O87" s="27">
        <f t="shared" si="8"/>
        <v>6400</v>
      </c>
      <c r="P87" s="27">
        <f t="shared" si="8"/>
        <v>6400</v>
      </c>
      <c r="S87" s="27">
        <v>80</v>
      </c>
      <c r="T87" s="27">
        <f>IFERROR(求节点(节奏总纲!AD$4:AD$363,L$8:L$367,$S87),0)</f>
        <v>20400</v>
      </c>
      <c r="U87" s="27">
        <f>IFERROR(求节点(节奏总纲!AE$4:AE$363,M$8:M$367,$S87),0)</f>
        <v>17686.910948341851</v>
      </c>
      <c r="V87" s="27">
        <f>IFERROR(求节点(节奏总纲!AF$4:AF$363,N$8:N$367,$S87),0)</f>
        <v>14427.99075671121</v>
      </c>
      <c r="W87" s="27">
        <f>IFERROR(求节点(节奏总纲!AG$4:AG$363,O$8:O$367,$S87),0)</f>
        <v>10527.968622706916</v>
      </c>
      <c r="X87" s="27">
        <f>IFERROR(求节点(节奏总纲!AH$4:AH$363,P$8:P$367,$S87),0)</f>
        <v>5823.3417633135632</v>
      </c>
    </row>
    <row r="88" spans="3:24" x14ac:dyDescent="0.15">
      <c r="C88" s="27"/>
      <c r="K88" s="27">
        <v>81</v>
      </c>
      <c r="L88" s="27">
        <f t="shared" ref="L88:P97" si="9">IFERROR(MAX($K88-$D$1,0)*$D$3/30,0)</f>
        <v>6480</v>
      </c>
      <c r="M88" s="27">
        <f t="shared" si="9"/>
        <v>6480</v>
      </c>
      <c r="N88" s="27">
        <f t="shared" si="9"/>
        <v>6480</v>
      </c>
      <c r="O88" s="27">
        <f t="shared" si="9"/>
        <v>6480</v>
      </c>
      <c r="P88" s="27">
        <f t="shared" si="9"/>
        <v>6480</v>
      </c>
      <c r="S88" s="27">
        <v>81</v>
      </c>
      <c r="T88" s="27">
        <f>IFERROR(求节点(节奏总纲!AD$4:AD$363,L$8:L$367,$S88),0)</f>
        <v>21871.229690020504</v>
      </c>
      <c r="U88" s="27">
        <f>IFERROR(求节点(节奏总纲!AE$4:AE$363,M$8:M$367,$S88),0)</f>
        <v>18910.499900615992</v>
      </c>
      <c r="V88" s="27">
        <f>IFERROR(求节点(节奏总纲!AF$4:AF$363,N$8:N$367,$S88),0)</f>
        <v>15415.730514313849</v>
      </c>
      <c r="W88" s="27">
        <f>IFERROR(求节点(节奏总纲!AG$4:AG$363,O$8:O$367,$S88),0)</f>
        <v>11262.11320651918</v>
      </c>
      <c r="X88" s="27">
        <f>IFERROR(求节点(节奏总纲!AH$4:AH$363,P$8:P$367,$S88),0)</f>
        <v>6229.0944534062592</v>
      </c>
    </row>
    <row r="89" spans="3:24" x14ac:dyDescent="0.15">
      <c r="C89" s="27"/>
      <c r="K89" s="27">
        <v>82</v>
      </c>
      <c r="L89" s="27">
        <f t="shared" si="9"/>
        <v>6560</v>
      </c>
      <c r="M89" s="27">
        <f t="shared" si="9"/>
        <v>6560</v>
      </c>
      <c r="N89" s="27">
        <f t="shared" si="9"/>
        <v>6560</v>
      </c>
      <c r="O89" s="27">
        <f t="shared" si="9"/>
        <v>6560</v>
      </c>
      <c r="P89" s="27">
        <f t="shared" si="9"/>
        <v>6560</v>
      </c>
      <c r="S89" s="27">
        <v>82</v>
      </c>
      <c r="T89" s="27">
        <f>IFERROR(求节点(节奏总纲!AD$4:AD$363,L$8:L$367,$S89),0)</f>
        <v>23445.698434132461</v>
      </c>
      <c r="U89" s="27">
        <f>IFERROR(求节点(节奏总纲!AE$4:AE$363,M$8:M$367,$S89),0)</f>
        <v>20253.048520476907</v>
      </c>
      <c r="V89" s="27">
        <f>IFERROR(求节点(节奏总纲!AF$4:AF$363,N$8:N$367,$S89),0)</f>
        <v>16512.152906372081</v>
      </c>
      <c r="W89" s="27">
        <f>IFERROR(求节点(节奏总纲!AG$4:AG$363,O$8:O$367,$S89),0)</f>
        <v>12065.793956982912</v>
      </c>
      <c r="X89" s="27">
        <f>IFERROR(求节点(节奏总纲!AH$4:AH$363,P$8:P$367,$S89),0)</f>
        <v>6659.9953790654799</v>
      </c>
    </row>
    <row r="90" spans="3:24" x14ac:dyDescent="0.15">
      <c r="C90" s="27"/>
      <c r="K90" s="27">
        <v>83</v>
      </c>
      <c r="L90" s="27">
        <f t="shared" si="9"/>
        <v>6640</v>
      </c>
      <c r="M90" s="27">
        <f t="shared" si="9"/>
        <v>6640</v>
      </c>
      <c r="N90" s="27">
        <f t="shared" si="9"/>
        <v>6640</v>
      </c>
      <c r="O90" s="27">
        <f t="shared" si="9"/>
        <v>6640</v>
      </c>
      <c r="P90" s="27">
        <f t="shared" si="9"/>
        <v>6640</v>
      </c>
      <c r="S90" s="27">
        <v>83</v>
      </c>
      <c r="T90" s="27">
        <f>IFERROR(求节点(节奏总纲!AD$4:AD$363,L$8:L$367,$S90),0)</f>
        <v>25134.648895906703</v>
      </c>
      <c r="U90" s="27">
        <f>IFERROR(求节点(节奏总纲!AE$4:AE$363,M$8:M$367,$S90),0)</f>
        <v>21724.560413919513</v>
      </c>
      <c r="V90" s="27">
        <f>IFERROR(求节点(节奏总纲!AF$4:AF$363,N$8:N$367,$S90),0)</f>
        <v>17725.071034751367</v>
      </c>
      <c r="W90" s="27">
        <f>IFERROR(求节点(节奏总纲!AG$4:AG$363,O$8:O$367,$S90),0)</f>
        <v>12927.438319070994</v>
      </c>
      <c r="X90" s="27">
        <f>IFERROR(求节点(节奏总纲!AH$4:AH$363,P$8:P$367,$S90),0)</f>
        <v>7136.513385019728</v>
      </c>
    </row>
    <row r="91" spans="3:24" x14ac:dyDescent="0.15">
      <c r="C91" s="27"/>
      <c r="K91" s="27">
        <v>84</v>
      </c>
      <c r="L91" s="27">
        <f t="shared" si="9"/>
        <v>6720</v>
      </c>
      <c r="M91" s="27">
        <f t="shared" si="9"/>
        <v>6720</v>
      </c>
      <c r="N91" s="27">
        <f t="shared" si="9"/>
        <v>6720</v>
      </c>
      <c r="O91" s="27">
        <f t="shared" si="9"/>
        <v>6720</v>
      </c>
      <c r="P91" s="27">
        <f t="shared" si="9"/>
        <v>6720</v>
      </c>
      <c r="S91" s="27">
        <v>84</v>
      </c>
      <c r="T91" s="27">
        <f>IFERROR(求节点(节奏总纲!AD$4:AD$363,L$8:L$367,$S91),0)</f>
        <v>26944.410459525941</v>
      </c>
      <c r="U91" s="27">
        <f>IFERROR(求节点(节奏总纲!AE$4:AE$363,M$8:M$367,$S91),0)</f>
        <v>23301.330288974583</v>
      </c>
      <c r="V91" s="27">
        <f>IFERROR(求节点(节奏总纲!AF$4:AF$363,N$8:N$367,$S91),0)</f>
        <v>18982.633005742191</v>
      </c>
      <c r="W91" s="27">
        <f>IFERROR(求节点(节奏总纲!AG$4:AG$363,O$8:O$367,$S91),0)</f>
        <v>13838.361280725174</v>
      </c>
      <c r="X91" s="27">
        <f>IFERROR(求节点(节奏总纲!AH$4:AH$363,P$8:P$367,$S91),0)</f>
        <v>7653.122164379035</v>
      </c>
    </row>
    <row r="92" spans="3:24" x14ac:dyDescent="0.15">
      <c r="C92" s="27"/>
      <c r="K92" s="27">
        <v>85</v>
      </c>
      <c r="L92" s="27">
        <f t="shared" si="9"/>
        <v>6800</v>
      </c>
      <c r="M92" s="27">
        <f t="shared" si="9"/>
        <v>6800</v>
      </c>
      <c r="N92" s="27">
        <f t="shared" si="9"/>
        <v>6800</v>
      </c>
      <c r="O92" s="27">
        <f t="shared" si="9"/>
        <v>6800</v>
      </c>
      <c r="P92" s="27">
        <f t="shared" si="9"/>
        <v>6800</v>
      </c>
      <c r="S92" s="27">
        <v>85</v>
      </c>
      <c r="T92" s="27">
        <f>IFERROR(求节点(节奏总纲!AD$4:AD$363,L$8:L$367,$S92),0)</f>
        <v>28800</v>
      </c>
      <c r="U92" s="27">
        <f>IFERROR(求节点(节奏总纲!AE$4:AE$363,M$8:M$367,$S92),0)</f>
        <v>24939.00834076363</v>
      </c>
      <c r="V92" s="27">
        <f>IFERROR(求节点(节奏总纲!AF$4:AF$363,N$8:N$367,$S92),0)</f>
        <v>20314.02893089829</v>
      </c>
      <c r="W92" s="27">
        <f>IFERROR(求节点(节奏总纲!AG$4:AG$363,O$8:O$367,$S92),0)</f>
        <v>14847.710945573568</v>
      </c>
      <c r="X92" s="27">
        <f>IFERROR(求节点(节奏总纲!AH$4:AH$363,P$8:P$367,$S92),0)</f>
        <v>8201.3781513445756</v>
      </c>
    </row>
    <row r="93" spans="3:24" x14ac:dyDescent="0.15">
      <c r="C93" s="27"/>
      <c r="K93" s="27">
        <v>86</v>
      </c>
      <c r="L93" s="27">
        <f t="shared" si="9"/>
        <v>6880</v>
      </c>
      <c r="M93" s="27">
        <f t="shared" si="9"/>
        <v>6880</v>
      </c>
      <c r="N93" s="27">
        <f t="shared" si="9"/>
        <v>6880</v>
      </c>
      <c r="O93" s="27">
        <f t="shared" si="9"/>
        <v>6880</v>
      </c>
      <c r="P93" s="27">
        <f t="shared" si="9"/>
        <v>6880</v>
      </c>
      <c r="S93" s="27">
        <v>86</v>
      </c>
      <c r="T93" s="27">
        <f>IFERROR(求节点(节奏总纲!AD$4:AD$363,L$8:L$367,$S93),0)</f>
        <v>28800</v>
      </c>
      <c r="U93" s="27">
        <f>IFERROR(求节点(节奏总纲!AE$4:AE$363,M$8:M$367,$S93),0)</f>
        <v>26720.107199240134</v>
      </c>
      <c r="V93" s="27">
        <f>IFERROR(求节点(节奏总纲!AF$4:AF$363,N$8:N$367,$S93),0)</f>
        <v>21779.996068700959</v>
      </c>
      <c r="W93" s="27">
        <f>IFERROR(求节点(节奏总纲!AG$4:AG$363,O$8:O$367,$S93),0)</f>
        <v>15950.665333661089</v>
      </c>
      <c r="X93" s="27">
        <f>IFERROR(求节点(节奏总纲!AH$4:AH$363,P$8:P$367,$S93),0)</f>
        <v>8715.998635397229</v>
      </c>
    </row>
    <row r="94" spans="3:24" x14ac:dyDescent="0.15">
      <c r="C94" s="27"/>
      <c r="K94" s="27">
        <v>87</v>
      </c>
      <c r="L94" s="27">
        <f t="shared" si="9"/>
        <v>6960</v>
      </c>
      <c r="M94" s="27">
        <f t="shared" si="9"/>
        <v>6960</v>
      </c>
      <c r="N94" s="27">
        <f t="shared" si="9"/>
        <v>6960</v>
      </c>
      <c r="O94" s="27">
        <f t="shared" si="9"/>
        <v>6960</v>
      </c>
      <c r="P94" s="27">
        <f t="shared" si="9"/>
        <v>6960</v>
      </c>
      <c r="S94" s="27">
        <v>87</v>
      </c>
      <c r="T94" s="27">
        <f>IFERROR(求节点(节奏总纲!AD$4:AD$363,L$8:L$367,$S94),0)</f>
        <v>28800</v>
      </c>
      <c r="U94" s="27">
        <f>IFERROR(求节点(节奏总纲!AE$4:AE$363,M$8:M$367,$S94),0)</f>
        <v>28664.203392174521</v>
      </c>
      <c r="V94" s="27">
        <f>IFERROR(求节点(节奏总纲!AF$4:AF$363,N$8:N$367,$S94),0)</f>
        <v>23392.527890784007</v>
      </c>
      <c r="W94" s="27">
        <f>IFERROR(求节点(节奏总纲!AG$4:AG$363,O$8:O$367,$S94),0)</f>
        <v>17006.834136708429</v>
      </c>
      <c r="X94" s="27">
        <f>IFERROR(求节点(节奏总纲!AH$4:AH$363,P$8:P$367,$S94),0)</f>
        <v>9261.281899025289</v>
      </c>
    </row>
    <row r="95" spans="3:24" x14ac:dyDescent="0.15">
      <c r="C95" s="27"/>
      <c r="K95" s="27">
        <v>88</v>
      </c>
      <c r="L95" s="27">
        <f t="shared" si="9"/>
        <v>7040</v>
      </c>
      <c r="M95" s="27">
        <f t="shared" si="9"/>
        <v>7040</v>
      </c>
      <c r="N95" s="27">
        <f t="shared" si="9"/>
        <v>7040</v>
      </c>
      <c r="O95" s="27">
        <f t="shared" si="9"/>
        <v>7040</v>
      </c>
      <c r="P95" s="27">
        <f t="shared" si="9"/>
        <v>7040</v>
      </c>
      <c r="S95" s="27">
        <v>88</v>
      </c>
      <c r="T95" s="27">
        <f>IFERROR(求节点(节奏总纲!AD$4:AD$363,L$8:L$367,$S95),0)</f>
        <v>28800</v>
      </c>
      <c r="U95" s="27">
        <f>IFERROR(求节点(节奏总纲!AE$4:AE$363,M$8:M$367,$S95),0)</f>
        <v>28800</v>
      </c>
      <c r="V95" s="27">
        <f>IFERROR(求节点(节奏总纲!AF$4:AF$363,N$8:N$367,$S95),0)</f>
        <v>25032.228284738656</v>
      </c>
      <c r="W95" s="27">
        <f>IFERROR(求节点(节奏总纲!AG$4:AG$363,O$8:O$367,$S95),0)</f>
        <v>18080.652800097894</v>
      </c>
      <c r="X95" s="27">
        <f>IFERROR(求节点(节奏总纲!AH$4:AH$363,P$8:P$367,$S95),0)</f>
        <v>9855.0256138646255</v>
      </c>
    </row>
    <row r="96" spans="3:24" x14ac:dyDescent="0.15">
      <c r="C96" s="27"/>
      <c r="K96" s="27">
        <v>89</v>
      </c>
      <c r="L96" s="27">
        <f t="shared" si="9"/>
        <v>7120</v>
      </c>
      <c r="M96" s="27">
        <f t="shared" si="9"/>
        <v>7120</v>
      </c>
      <c r="N96" s="27">
        <f t="shared" si="9"/>
        <v>7120</v>
      </c>
      <c r="O96" s="27">
        <f t="shared" si="9"/>
        <v>7120</v>
      </c>
      <c r="P96" s="27">
        <f t="shared" si="9"/>
        <v>7120</v>
      </c>
      <c r="S96" s="27">
        <v>89</v>
      </c>
      <c r="T96" s="27">
        <f>IFERROR(求节点(节奏总纲!AD$4:AD$363,L$8:L$367,$S96),0)</f>
        <v>28800</v>
      </c>
      <c r="U96" s="27">
        <f>IFERROR(求节点(节奏总纲!AE$4:AE$363,M$8:M$367,$S96),0)</f>
        <v>28800</v>
      </c>
      <c r="V96" s="27">
        <f>IFERROR(求节点(节奏总纲!AF$4:AF$363,N$8:N$367,$S96),0)</f>
        <v>26609.571899737482</v>
      </c>
      <c r="W96" s="27">
        <f>IFERROR(求节点(节奏总纲!AG$4:AG$363,O$8:O$367,$S96),0)</f>
        <v>19225.202172526358</v>
      </c>
      <c r="X96" s="27">
        <f>IFERROR(求节点(节奏总纲!AH$4:AH$363,P$8:P$367,$S96),0)</f>
        <v>10450.600872998572</v>
      </c>
    </row>
    <row r="97" spans="3:24" x14ac:dyDescent="0.15">
      <c r="C97" s="27"/>
      <c r="K97" s="27">
        <v>90</v>
      </c>
      <c r="L97" s="27">
        <f t="shared" si="9"/>
        <v>7200</v>
      </c>
      <c r="M97" s="27">
        <f t="shared" si="9"/>
        <v>7200</v>
      </c>
      <c r="N97" s="27">
        <f t="shared" si="9"/>
        <v>7200</v>
      </c>
      <c r="O97" s="27">
        <f t="shared" si="9"/>
        <v>7200</v>
      </c>
      <c r="P97" s="27">
        <f t="shared" si="9"/>
        <v>7200</v>
      </c>
      <c r="S97" s="27">
        <v>90</v>
      </c>
      <c r="T97" s="27">
        <f>IFERROR(求节点(节奏总纲!AD$4:AD$363,L$8:L$367,$S97),0)</f>
        <v>28800</v>
      </c>
      <c r="U97" s="27">
        <f>IFERROR(求节点(节奏总纲!AE$4:AE$363,M$8:M$367,$S97),0)</f>
        <v>28800</v>
      </c>
      <c r="V97" s="27">
        <f>IFERROR(求节点(节奏总纲!AF$4:AF$363,N$8:N$367,$S97),0)</f>
        <v>28303.339399981218</v>
      </c>
      <c r="W97" s="27">
        <f>IFERROR(求节点(节奏总纲!AG$4:AG$363,O$8:O$367,$S97),0)</f>
        <v>20392.401039661989</v>
      </c>
      <c r="X97" s="27">
        <f>IFERROR(求节点(节奏总纲!AH$4:AH$363,P$8:P$367,$S97),0)</f>
        <v>11082.074935174969</v>
      </c>
    </row>
    <row r="98" spans="3:24" x14ac:dyDescent="0.15">
      <c r="C98" s="27"/>
      <c r="K98" s="27">
        <v>91</v>
      </c>
      <c r="L98" s="27">
        <f t="shared" ref="L98:P107" si="10">IFERROR(MAX($K98-$D$1,0)*$D$3/30,0)</f>
        <v>7280</v>
      </c>
      <c r="M98" s="27">
        <f t="shared" si="10"/>
        <v>7280</v>
      </c>
      <c r="N98" s="27">
        <f t="shared" si="10"/>
        <v>7280</v>
      </c>
      <c r="O98" s="27">
        <f t="shared" si="10"/>
        <v>7280</v>
      </c>
      <c r="P98" s="27">
        <f t="shared" si="10"/>
        <v>7280</v>
      </c>
      <c r="S98" s="27">
        <v>91</v>
      </c>
      <c r="T98" s="27">
        <f>IFERROR(求节点(节奏总纲!AD$4:AD$363,L$8:L$367,$S98),0)</f>
        <v>28800</v>
      </c>
      <c r="U98" s="27">
        <f>IFERROR(求节点(节奏总纲!AE$4:AE$363,M$8:M$367,$S98),0)</f>
        <v>28800</v>
      </c>
      <c r="V98" s="27">
        <f>IFERROR(求节点(节奏总纲!AF$4:AF$363,N$8:N$367,$S98),0)</f>
        <v>28800</v>
      </c>
      <c r="W98" s="27">
        <f>IFERROR(求节点(节奏总纲!AG$4:AG$363,O$8:O$367,$S98),0)</f>
        <v>21810.39539807781</v>
      </c>
      <c r="X98" s="27">
        <f>IFERROR(求节点(节奏总纲!AH$4:AH$363,P$8:P$367,$S98),0)</f>
        <v>11832.056893142997</v>
      </c>
    </row>
    <row r="99" spans="3:24" x14ac:dyDescent="0.15">
      <c r="C99" s="27"/>
      <c r="K99" s="27">
        <v>92</v>
      </c>
      <c r="L99" s="27">
        <f t="shared" si="10"/>
        <v>7360</v>
      </c>
      <c r="M99" s="27">
        <f t="shared" si="10"/>
        <v>7360</v>
      </c>
      <c r="N99" s="27">
        <f t="shared" si="10"/>
        <v>7360</v>
      </c>
      <c r="O99" s="27">
        <f t="shared" si="10"/>
        <v>7360</v>
      </c>
      <c r="P99" s="27">
        <f t="shared" si="10"/>
        <v>7360</v>
      </c>
      <c r="S99" s="27">
        <v>92</v>
      </c>
      <c r="T99" s="27">
        <f>IFERROR(求节点(节奏总纲!AD$4:AD$363,L$8:L$367,$S99),0)</f>
        <v>28800</v>
      </c>
      <c r="U99" s="27">
        <f>IFERROR(求节点(节奏总纲!AE$4:AE$363,M$8:M$367,$S99),0)</f>
        <v>28800</v>
      </c>
      <c r="V99" s="27">
        <f>IFERROR(求节点(节奏总纲!AF$4:AF$363,N$8:N$367,$S99),0)</f>
        <v>28800</v>
      </c>
      <c r="W99" s="27">
        <f>IFERROR(求节点(节奏总纲!AG$4:AG$363,O$8:O$367,$S99),0)</f>
        <v>23327.423947745148</v>
      </c>
      <c r="X99" s="27">
        <f>IFERROR(求节点(节奏总纲!AH$4:AH$363,P$8:P$367,$S99),0)</f>
        <v>12658.725820858184</v>
      </c>
    </row>
    <row r="100" spans="3:24" x14ac:dyDescent="0.15">
      <c r="C100" s="27"/>
      <c r="K100" s="27">
        <v>93</v>
      </c>
      <c r="L100" s="27">
        <f t="shared" si="10"/>
        <v>7440</v>
      </c>
      <c r="M100" s="27">
        <f t="shared" si="10"/>
        <v>7440</v>
      </c>
      <c r="N100" s="27">
        <f t="shared" si="10"/>
        <v>7440</v>
      </c>
      <c r="O100" s="27">
        <f t="shared" si="10"/>
        <v>7440</v>
      </c>
      <c r="P100" s="27">
        <f t="shared" si="10"/>
        <v>7440</v>
      </c>
      <c r="S100" s="27">
        <v>93</v>
      </c>
      <c r="T100" s="27">
        <f>IFERROR(求节点(节奏总纲!AD$4:AD$363,L$8:L$367,$S100),0)</f>
        <v>28800</v>
      </c>
      <c r="U100" s="27">
        <f>IFERROR(求节点(节奏总纲!AE$4:AE$363,M$8:M$367,$S100),0)</f>
        <v>28800</v>
      </c>
      <c r="V100" s="27">
        <f>IFERROR(求节点(节奏总纲!AF$4:AF$363,N$8:N$367,$S100),0)</f>
        <v>28800</v>
      </c>
      <c r="W100" s="27">
        <f>IFERROR(求节点(节奏总纲!AG$4:AG$363,O$8:O$367,$S100),0)</f>
        <v>24987.427782414969</v>
      </c>
      <c r="X100" s="27">
        <f>IFERROR(求节点(节奏总纲!AH$4:AH$363,P$8:P$367,$S100),0)</f>
        <v>13494.292096912392</v>
      </c>
    </row>
    <row r="101" spans="3:24" x14ac:dyDescent="0.15">
      <c r="C101" s="27"/>
      <c r="K101" s="27">
        <v>94</v>
      </c>
      <c r="L101" s="27">
        <f t="shared" si="10"/>
        <v>7520</v>
      </c>
      <c r="M101" s="27">
        <f t="shared" si="10"/>
        <v>7520</v>
      </c>
      <c r="N101" s="27">
        <f t="shared" si="10"/>
        <v>7520</v>
      </c>
      <c r="O101" s="27">
        <f t="shared" si="10"/>
        <v>7520</v>
      </c>
      <c r="P101" s="27">
        <f t="shared" si="10"/>
        <v>7520</v>
      </c>
      <c r="S101" s="27">
        <v>94</v>
      </c>
      <c r="T101" s="27">
        <f>IFERROR(求节点(节奏总纲!AD$4:AD$363,L$8:L$367,$S101),0)</f>
        <v>28800</v>
      </c>
      <c r="U101" s="27">
        <f>IFERROR(求节点(节奏总纲!AE$4:AE$363,M$8:M$367,$S101),0)</f>
        <v>28800</v>
      </c>
      <c r="V101" s="27">
        <f>IFERROR(求节点(节奏总纲!AF$4:AF$363,N$8:N$367,$S101),0)</f>
        <v>28800</v>
      </c>
      <c r="W101" s="27">
        <f>IFERROR(求节点(节奏总纲!AG$4:AG$363,O$8:O$367,$S101),0)</f>
        <v>26638.299758369838</v>
      </c>
      <c r="X101" s="27">
        <f>IFERROR(求节点(节奏总纲!AH$4:AH$363,P$8:P$367,$S101),0)</f>
        <v>14384.215906198513</v>
      </c>
    </row>
    <row r="102" spans="3:24" x14ac:dyDescent="0.15">
      <c r="C102" s="27"/>
      <c r="K102" s="27">
        <v>95</v>
      </c>
      <c r="L102" s="27">
        <f t="shared" si="10"/>
        <v>7600</v>
      </c>
      <c r="M102" s="27">
        <f t="shared" si="10"/>
        <v>7600</v>
      </c>
      <c r="N102" s="27">
        <f t="shared" si="10"/>
        <v>7600</v>
      </c>
      <c r="O102" s="27">
        <f t="shared" si="10"/>
        <v>7600</v>
      </c>
      <c r="P102" s="27">
        <f t="shared" si="10"/>
        <v>7600</v>
      </c>
      <c r="S102" s="27">
        <v>95</v>
      </c>
      <c r="T102" s="27">
        <f>IFERROR(求节点(节奏总纲!AD$4:AD$363,L$8:L$367,$S102),0)</f>
        <v>28800</v>
      </c>
      <c r="U102" s="27">
        <f>IFERROR(求节点(节奏总纲!AE$4:AE$363,M$8:M$367,$S102),0)</f>
        <v>28800</v>
      </c>
      <c r="V102" s="27">
        <f>IFERROR(求节点(节奏总纲!AF$4:AF$363,N$8:N$367,$S102),0)</f>
        <v>28800</v>
      </c>
      <c r="W102" s="27">
        <f>IFERROR(求节点(节奏总纲!AG$4:AG$363,O$8:O$367,$S102),0)</f>
        <v>28455.986178431172</v>
      </c>
      <c r="X102" s="27">
        <f>IFERROR(求节点(节奏总纲!AH$4:AH$363,P$8:P$367,$S102),0)</f>
        <v>15417.156829968559</v>
      </c>
    </row>
    <row r="103" spans="3:24" x14ac:dyDescent="0.15">
      <c r="C103" s="27"/>
      <c r="K103" s="27">
        <v>96</v>
      </c>
      <c r="L103" s="27">
        <f t="shared" si="10"/>
        <v>7680</v>
      </c>
      <c r="M103" s="27">
        <f t="shared" si="10"/>
        <v>7680</v>
      </c>
      <c r="N103" s="27">
        <f t="shared" si="10"/>
        <v>7680</v>
      </c>
      <c r="O103" s="27">
        <f t="shared" si="10"/>
        <v>7680</v>
      </c>
      <c r="P103" s="27">
        <f t="shared" si="10"/>
        <v>7680</v>
      </c>
      <c r="S103" s="27">
        <v>96</v>
      </c>
      <c r="T103" s="27">
        <f>IFERROR(求节点(节奏总纲!AD$4:AD$363,L$8:L$367,$S103),0)</f>
        <v>28800</v>
      </c>
      <c r="U103" s="27">
        <f>IFERROR(求节点(节奏总纲!AE$4:AE$363,M$8:M$367,$S103),0)</f>
        <v>28800</v>
      </c>
      <c r="V103" s="27">
        <f>IFERROR(求节点(节奏总纲!AF$4:AF$363,N$8:N$367,$S103),0)</f>
        <v>28800</v>
      </c>
      <c r="W103" s="27">
        <f>IFERROR(求节点(节奏总纲!AG$4:AG$363,O$8:O$367,$S103),0)</f>
        <v>28800</v>
      </c>
      <c r="X103" s="27">
        <f>IFERROR(求节点(节奏总纲!AH$4:AH$363,P$8:P$367,$S103),0)</f>
        <v>16526.940491448659</v>
      </c>
    </row>
    <row r="104" spans="3:24" x14ac:dyDescent="0.15">
      <c r="C104" s="27"/>
      <c r="K104" s="27">
        <v>97</v>
      </c>
      <c r="L104" s="27">
        <f t="shared" si="10"/>
        <v>7760</v>
      </c>
      <c r="M104" s="27">
        <f t="shared" si="10"/>
        <v>7760</v>
      </c>
      <c r="N104" s="27">
        <f t="shared" si="10"/>
        <v>7760</v>
      </c>
      <c r="O104" s="27">
        <f t="shared" si="10"/>
        <v>7760</v>
      </c>
      <c r="P104" s="27">
        <f t="shared" si="10"/>
        <v>7760</v>
      </c>
      <c r="S104" s="27">
        <v>97</v>
      </c>
      <c r="T104" s="27">
        <f>IFERROR(求节点(节奏总纲!AD$4:AD$363,L$8:L$367,$S104),0)</f>
        <v>28800</v>
      </c>
      <c r="U104" s="27">
        <f>IFERROR(求节点(节奏总纲!AE$4:AE$363,M$8:M$367,$S104),0)</f>
        <v>28800</v>
      </c>
      <c r="V104" s="27">
        <f>IFERROR(求节点(节奏总纲!AF$4:AF$363,N$8:N$367,$S104),0)</f>
        <v>28800</v>
      </c>
      <c r="W104" s="27">
        <f>IFERROR(求节点(节奏总纲!AG$4:AG$363,O$8:O$367,$S104),0)</f>
        <v>28800</v>
      </c>
      <c r="X104" s="27">
        <f>IFERROR(求节点(节奏总纲!AH$4:AH$363,P$8:P$367,$S104),0)</f>
        <v>17813.017606115776</v>
      </c>
    </row>
    <row r="105" spans="3:24" x14ac:dyDescent="0.15">
      <c r="C105" s="27"/>
      <c r="K105" s="27">
        <v>98</v>
      </c>
      <c r="L105" s="27">
        <f t="shared" si="10"/>
        <v>7840</v>
      </c>
      <c r="M105" s="27">
        <f t="shared" si="10"/>
        <v>7840</v>
      </c>
      <c r="N105" s="27">
        <f t="shared" si="10"/>
        <v>7840</v>
      </c>
      <c r="O105" s="27">
        <f t="shared" si="10"/>
        <v>7840</v>
      </c>
      <c r="P105" s="27">
        <f t="shared" si="10"/>
        <v>7840</v>
      </c>
      <c r="S105" s="27">
        <v>98</v>
      </c>
      <c r="T105" s="27">
        <f>IFERROR(求节点(节奏总纲!AD$4:AD$363,L$8:L$367,$S105),0)</f>
        <v>28800</v>
      </c>
      <c r="U105" s="27">
        <f>IFERROR(求节点(节奏总纲!AE$4:AE$363,M$8:M$367,$S105),0)</f>
        <v>28800</v>
      </c>
      <c r="V105" s="27">
        <f>IFERROR(求节点(节奏总纲!AF$4:AF$363,N$8:N$367,$S105),0)</f>
        <v>28800</v>
      </c>
      <c r="W105" s="27">
        <f>IFERROR(求节点(节奏总纲!AG$4:AG$363,O$8:O$367,$S105),0)</f>
        <v>28800</v>
      </c>
      <c r="X105" s="27">
        <f>IFERROR(求节点(节奏总纲!AH$4:AH$363,P$8:P$367,$S105),0)</f>
        <v>19232.483994482285</v>
      </c>
    </row>
    <row r="106" spans="3:24" x14ac:dyDescent="0.15">
      <c r="C106" s="27"/>
      <c r="K106" s="27">
        <v>99</v>
      </c>
      <c r="L106" s="27">
        <f t="shared" si="10"/>
        <v>7920</v>
      </c>
      <c r="M106" s="27">
        <f t="shared" si="10"/>
        <v>7920</v>
      </c>
      <c r="N106" s="27">
        <f t="shared" si="10"/>
        <v>7920</v>
      </c>
      <c r="O106" s="27">
        <f t="shared" si="10"/>
        <v>7920</v>
      </c>
      <c r="P106" s="27">
        <f t="shared" si="10"/>
        <v>7920</v>
      </c>
      <c r="S106" s="27">
        <v>99</v>
      </c>
      <c r="T106" s="27">
        <f>IFERROR(求节点(节奏总纲!AD$4:AD$363,L$8:L$367,$S106),0)</f>
        <v>28800</v>
      </c>
      <c r="U106" s="27">
        <f>IFERROR(求节点(节奏总纲!AE$4:AE$363,M$8:M$367,$S106),0)</f>
        <v>28800</v>
      </c>
      <c r="V106" s="27">
        <f>IFERROR(求节点(节奏总纲!AF$4:AF$363,N$8:N$367,$S106),0)</f>
        <v>28800</v>
      </c>
      <c r="W106" s="27">
        <f>IFERROR(求节点(节奏总纲!AG$4:AG$363,O$8:O$367,$S106),0)</f>
        <v>28800</v>
      </c>
      <c r="X106" s="27">
        <f>IFERROR(求节点(节奏总纲!AH$4:AH$363,P$8:P$367,$S106),0)</f>
        <v>20577.539979237044</v>
      </c>
    </row>
    <row r="107" spans="3:24" x14ac:dyDescent="0.15">
      <c r="C107" s="27"/>
      <c r="K107" s="27">
        <v>100</v>
      </c>
      <c r="L107" s="27">
        <f t="shared" si="10"/>
        <v>8000</v>
      </c>
      <c r="M107" s="27">
        <f t="shared" si="10"/>
        <v>8000</v>
      </c>
      <c r="N107" s="27">
        <f t="shared" si="10"/>
        <v>8000</v>
      </c>
      <c r="O107" s="27">
        <f t="shared" si="10"/>
        <v>8000</v>
      </c>
      <c r="P107" s="27">
        <f t="shared" si="10"/>
        <v>8000</v>
      </c>
      <c r="S107" s="27">
        <v>100</v>
      </c>
      <c r="T107" s="27">
        <f>IFERROR(求节点(节奏总纲!AD$4:AD$363,L$8:L$367,$S107),0)</f>
        <v>28800</v>
      </c>
      <c r="U107" s="27">
        <f>IFERROR(求节点(节奏总纲!AE$4:AE$363,M$8:M$367,$S107),0)</f>
        <v>28800</v>
      </c>
      <c r="V107" s="27">
        <f>IFERROR(求节点(节奏总纲!AF$4:AF$363,N$8:N$367,$S107),0)</f>
        <v>28800</v>
      </c>
      <c r="W107" s="27">
        <f>IFERROR(求节点(节奏总纲!AG$4:AG$363,O$8:O$367,$S107),0)</f>
        <v>28800</v>
      </c>
      <c r="X107" s="27">
        <f>IFERROR(求节点(节奏总纲!AH$4:AH$363,P$8:P$367,$S107),0)</f>
        <v>21934.173789292614</v>
      </c>
    </row>
    <row r="108" spans="3:24" x14ac:dyDescent="0.15">
      <c r="C108" s="27"/>
      <c r="K108" s="27">
        <v>101</v>
      </c>
      <c r="L108" s="27">
        <f t="shared" ref="L108:P117" si="11">IFERROR(MAX($K108-$D$1,0)*$D$3/30,0)</f>
        <v>8080</v>
      </c>
      <c r="M108" s="27">
        <f t="shared" si="11"/>
        <v>8080</v>
      </c>
      <c r="N108" s="27">
        <f t="shared" si="11"/>
        <v>8080</v>
      </c>
      <c r="O108" s="27">
        <f t="shared" si="11"/>
        <v>8080</v>
      </c>
      <c r="P108" s="27">
        <f t="shared" si="11"/>
        <v>8080</v>
      </c>
      <c r="S108" s="38">
        <v>101</v>
      </c>
      <c r="T108" s="38">
        <f>IFERROR(求节点(节奏总纲!AD$4:AD$363,L$8:L$367,$S108),0)</f>
        <v>28800</v>
      </c>
      <c r="U108" s="38">
        <f>IFERROR(求节点(节奏总纲!AE$4:AE$363,M$8:M$367,$S108),0)</f>
        <v>28800</v>
      </c>
      <c r="V108" s="38">
        <f>IFERROR(求节点(节奏总纲!AF$4:AF$363,N$8:N$367,$S108),0)</f>
        <v>28800</v>
      </c>
      <c r="W108" s="38">
        <f>IFERROR(求节点(节奏总纲!AG$4:AG$363,O$8:O$367,$S108),0)</f>
        <v>28800</v>
      </c>
      <c r="X108" s="38">
        <f>IFERROR(求节点(节奏总纲!AH$4:AH$363,P$8:P$367,$S108),0)</f>
        <v>23422.080235985526</v>
      </c>
    </row>
    <row r="109" spans="3:24" x14ac:dyDescent="0.15">
      <c r="C109" s="27"/>
      <c r="K109" s="27">
        <v>102</v>
      </c>
      <c r="L109" s="27">
        <f t="shared" si="11"/>
        <v>8160</v>
      </c>
      <c r="M109" s="27">
        <f t="shared" si="11"/>
        <v>8160</v>
      </c>
      <c r="N109" s="27">
        <f t="shared" si="11"/>
        <v>8160</v>
      </c>
      <c r="O109" s="27">
        <f t="shared" si="11"/>
        <v>8160</v>
      </c>
      <c r="P109" s="27">
        <f t="shared" si="11"/>
        <v>8160</v>
      </c>
      <c r="S109" s="38">
        <v>102</v>
      </c>
      <c r="T109" s="38">
        <f>IFERROR(求节点(节奏总纲!AD$4:AD$363,L$8:L$367,$S109),0)</f>
        <v>28800</v>
      </c>
      <c r="U109" s="38">
        <f>IFERROR(求节点(节奏总纲!AE$4:AE$363,M$8:M$367,$S109),0)</f>
        <v>28800</v>
      </c>
      <c r="V109" s="38">
        <f>IFERROR(求节点(节奏总纲!AF$4:AF$363,N$8:N$367,$S109),0)</f>
        <v>28800</v>
      </c>
      <c r="W109" s="38">
        <f>IFERROR(求节点(节奏总纲!AG$4:AG$363,O$8:O$367,$S109),0)</f>
        <v>28800</v>
      </c>
      <c r="X109" s="38">
        <f>IFERROR(求节点(节奏总纲!AH$4:AH$363,P$8:P$367,$S109),0)</f>
        <v>25011.964396876883</v>
      </c>
    </row>
    <row r="110" spans="3:24" x14ac:dyDescent="0.15">
      <c r="C110" s="27"/>
      <c r="K110" s="27">
        <v>103</v>
      </c>
      <c r="L110" s="27">
        <f t="shared" si="11"/>
        <v>8240</v>
      </c>
      <c r="M110" s="27">
        <f t="shared" si="11"/>
        <v>8240</v>
      </c>
      <c r="N110" s="27">
        <f t="shared" si="11"/>
        <v>8240</v>
      </c>
      <c r="O110" s="27">
        <f t="shared" si="11"/>
        <v>8240</v>
      </c>
      <c r="P110" s="27">
        <f t="shared" si="11"/>
        <v>8240</v>
      </c>
      <c r="S110" s="38">
        <v>103</v>
      </c>
      <c r="T110" s="38">
        <f>IFERROR(求节点(节奏总纲!AD$4:AD$363,L$8:L$367,$S110),0)</f>
        <v>28800</v>
      </c>
      <c r="U110" s="38">
        <f>IFERROR(求节点(节奏总纲!AE$4:AE$363,M$8:M$367,$S110),0)</f>
        <v>28800</v>
      </c>
      <c r="V110" s="38">
        <f>IFERROR(求节点(节奏总纲!AF$4:AF$363,N$8:N$367,$S110),0)</f>
        <v>28800</v>
      </c>
      <c r="W110" s="38">
        <f>IFERROR(求节点(节奏总纲!AG$4:AG$363,O$8:O$367,$S110),0)</f>
        <v>28800</v>
      </c>
      <c r="X110" s="38">
        <f>IFERROR(求节点(节奏总纲!AH$4:AH$363,P$8:P$367,$S110),0)</f>
        <v>26806.994646992211</v>
      </c>
    </row>
    <row r="111" spans="3:24" x14ac:dyDescent="0.15">
      <c r="C111" s="27"/>
      <c r="K111" s="27">
        <v>104</v>
      </c>
      <c r="L111" s="27">
        <f t="shared" si="11"/>
        <v>8320</v>
      </c>
      <c r="M111" s="27">
        <f t="shared" si="11"/>
        <v>8320</v>
      </c>
      <c r="N111" s="27">
        <f t="shared" si="11"/>
        <v>8320</v>
      </c>
      <c r="O111" s="27">
        <f t="shared" si="11"/>
        <v>8320</v>
      </c>
      <c r="P111" s="27">
        <f t="shared" si="11"/>
        <v>8320</v>
      </c>
      <c r="S111" s="38">
        <v>104</v>
      </c>
      <c r="T111" s="38">
        <f>IFERROR(求节点(节奏总纲!AD$4:AD$363,L$8:L$367,$S111),0)</f>
        <v>28800</v>
      </c>
      <c r="U111" s="38">
        <f>IFERROR(求节点(节奏总纲!AE$4:AE$363,M$8:M$367,$S111),0)</f>
        <v>28800</v>
      </c>
      <c r="V111" s="38">
        <f>IFERROR(求节点(节奏总纲!AF$4:AF$363,N$8:N$367,$S111),0)</f>
        <v>28800</v>
      </c>
      <c r="W111" s="38">
        <f>IFERROR(求节点(节奏总纲!AG$4:AG$363,O$8:O$367,$S111),0)</f>
        <v>28800</v>
      </c>
      <c r="X111" s="38">
        <f>IFERROR(求节点(节奏总纲!AH$4:AH$363,P$8:P$367,$S111),0)</f>
        <v>28800</v>
      </c>
    </row>
    <row r="112" spans="3:24" x14ac:dyDescent="0.15">
      <c r="C112" s="27"/>
      <c r="K112" s="27">
        <v>105</v>
      </c>
      <c r="L112" s="27">
        <f t="shared" si="11"/>
        <v>8400</v>
      </c>
      <c r="M112" s="27">
        <f t="shared" si="11"/>
        <v>8400</v>
      </c>
      <c r="N112" s="27">
        <f t="shared" si="11"/>
        <v>8400</v>
      </c>
      <c r="O112" s="27">
        <f t="shared" si="11"/>
        <v>8400</v>
      </c>
      <c r="P112" s="27">
        <f t="shared" si="11"/>
        <v>8400</v>
      </c>
      <c r="S112" s="38">
        <v>105</v>
      </c>
      <c r="T112" s="38">
        <f>IFERROR(求节点(节奏总纲!AD$4:AD$363,L$8:L$367,$S112),0)</f>
        <v>28800</v>
      </c>
      <c r="U112" s="38">
        <f>IFERROR(求节点(节奏总纲!AE$4:AE$363,M$8:M$367,$S112),0)</f>
        <v>28800</v>
      </c>
      <c r="V112" s="38">
        <f>IFERROR(求节点(节奏总纲!AF$4:AF$363,N$8:N$367,$S112),0)</f>
        <v>28800</v>
      </c>
      <c r="W112" s="38">
        <f>IFERROR(求节点(节奏总纲!AG$4:AG$363,O$8:O$367,$S112),0)</f>
        <v>28800</v>
      </c>
      <c r="X112" s="38">
        <f>IFERROR(求节点(节奏总纲!AH$4:AH$363,P$8:P$367,$S112),0)</f>
        <v>28800</v>
      </c>
    </row>
    <row r="113" spans="3:24" x14ac:dyDescent="0.15">
      <c r="C113" s="27"/>
      <c r="K113" s="27">
        <v>106</v>
      </c>
      <c r="L113" s="27">
        <f t="shared" si="11"/>
        <v>8480</v>
      </c>
      <c r="M113" s="27">
        <f t="shared" si="11"/>
        <v>8480</v>
      </c>
      <c r="N113" s="27">
        <f t="shared" si="11"/>
        <v>8480</v>
      </c>
      <c r="O113" s="27">
        <f t="shared" si="11"/>
        <v>8480</v>
      </c>
      <c r="P113" s="27">
        <f t="shared" si="11"/>
        <v>8480</v>
      </c>
      <c r="S113" s="38">
        <v>106</v>
      </c>
      <c r="T113" s="38">
        <f>IFERROR(求节点(节奏总纲!AD$4:AD$363,L$8:L$367,$S113),0)</f>
        <v>28800</v>
      </c>
      <c r="U113" s="38">
        <f>IFERROR(求节点(节奏总纲!AE$4:AE$363,M$8:M$367,$S113),0)</f>
        <v>28800</v>
      </c>
      <c r="V113" s="38">
        <f>IFERROR(求节点(节奏总纲!AF$4:AF$363,N$8:N$367,$S113),0)</f>
        <v>28800</v>
      </c>
      <c r="W113" s="38">
        <f>IFERROR(求节点(节奏总纲!AG$4:AG$363,O$8:O$367,$S113),0)</f>
        <v>28800</v>
      </c>
      <c r="X113" s="38">
        <f>IFERROR(求节点(节奏总纲!AH$4:AH$363,P$8:P$367,$S113),0)</f>
        <v>28800</v>
      </c>
    </row>
    <row r="114" spans="3:24" x14ac:dyDescent="0.15">
      <c r="C114" s="27"/>
      <c r="K114" s="27">
        <v>107</v>
      </c>
      <c r="L114" s="27">
        <f t="shared" si="11"/>
        <v>8560</v>
      </c>
      <c r="M114" s="27">
        <f t="shared" si="11"/>
        <v>8560</v>
      </c>
      <c r="N114" s="27">
        <f t="shared" si="11"/>
        <v>8560</v>
      </c>
      <c r="O114" s="27">
        <f t="shared" si="11"/>
        <v>8560</v>
      </c>
      <c r="P114" s="27">
        <f t="shared" si="11"/>
        <v>8560</v>
      </c>
      <c r="S114" s="38">
        <v>107</v>
      </c>
      <c r="T114" s="38">
        <f>IFERROR(求节点(节奏总纲!AD$4:AD$363,L$8:L$367,$S114),0)</f>
        <v>28800</v>
      </c>
      <c r="U114" s="38">
        <f>IFERROR(求节点(节奏总纲!AE$4:AE$363,M$8:M$367,$S114),0)</f>
        <v>28800</v>
      </c>
      <c r="V114" s="38">
        <f>IFERROR(求节点(节奏总纲!AF$4:AF$363,N$8:N$367,$S114),0)</f>
        <v>28800</v>
      </c>
      <c r="W114" s="38">
        <f>IFERROR(求节点(节奏总纲!AG$4:AG$363,O$8:O$367,$S114),0)</f>
        <v>28800</v>
      </c>
      <c r="X114" s="38">
        <f>IFERROR(求节点(节奏总纲!AH$4:AH$363,P$8:P$367,$S114),0)</f>
        <v>28800</v>
      </c>
    </row>
    <row r="115" spans="3:24" x14ac:dyDescent="0.15">
      <c r="C115" s="27"/>
      <c r="K115" s="27">
        <v>108</v>
      </c>
      <c r="L115" s="27">
        <f t="shared" si="11"/>
        <v>8640</v>
      </c>
      <c r="M115" s="27">
        <f t="shared" si="11"/>
        <v>8640</v>
      </c>
      <c r="N115" s="27">
        <f t="shared" si="11"/>
        <v>8640</v>
      </c>
      <c r="O115" s="27">
        <f t="shared" si="11"/>
        <v>8640</v>
      </c>
      <c r="P115" s="27">
        <f t="shared" si="11"/>
        <v>8640</v>
      </c>
      <c r="S115" s="38">
        <v>108</v>
      </c>
      <c r="T115" s="38">
        <f>IFERROR(求节点(节奏总纲!AD$4:AD$363,L$8:L$367,$S115),0)</f>
        <v>28800</v>
      </c>
      <c r="U115" s="38">
        <f>IFERROR(求节点(节奏总纲!AE$4:AE$363,M$8:M$367,$S115),0)</f>
        <v>28800</v>
      </c>
      <c r="V115" s="38">
        <f>IFERROR(求节点(节奏总纲!AF$4:AF$363,N$8:N$367,$S115),0)</f>
        <v>28800</v>
      </c>
      <c r="W115" s="38">
        <f>IFERROR(求节点(节奏总纲!AG$4:AG$363,O$8:O$367,$S115),0)</f>
        <v>28800</v>
      </c>
      <c r="X115" s="38">
        <f>IFERROR(求节点(节奏总纲!AH$4:AH$363,P$8:P$367,$S115),0)</f>
        <v>28800</v>
      </c>
    </row>
    <row r="116" spans="3:24" x14ac:dyDescent="0.15">
      <c r="C116" s="27"/>
      <c r="K116" s="27">
        <v>109</v>
      </c>
      <c r="L116" s="27">
        <f t="shared" si="11"/>
        <v>8720</v>
      </c>
      <c r="M116" s="27">
        <f t="shared" si="11"/>
        <v>8720</v>
      </c>
      <c r="N116" s="27">
        <f t="shared" si="11"/>
        <v>8720</v>
      </c>
      <c r="O116" s="27">
        <f t="shared" si="11"/>
        <v>8720</v>
      </c>
      <c r="P116" s="27">
        <f t="shared" si="11"/>
        <v>8720</v>
      </c>
      <c r="S116" s="38">
        <v>109</v>
      </c>
      <c r="T116" s="38">
        <f>IFERROR(求节点(节奏总纲!AD$4:AD$363,L$8:L$367,$S116),0)</f>
        <v>28800</v>
      </c>
      <c r="U116" s="38">
        <f>IFERROR(求节点(节奏总纲!AE$4:AE$363,M$8:M$367,$S116),0)</f>
        <v>28800</v>
      </c>
      <c r="V116" s="38">
        <f>IFERROR(求节点(节奏总纲!AF$4:AF$363,N$8:N$367,$S116),0)</f>
        <v>28800</v>
      </c>
      <c r="W116" s="38">
        <f>IFERROR(求节点(节奏总纲!AG$4:AG$363,O$8:O$367,$S116),0)</f>
        <v>28800</v>
      </c>
      <c r="X116" s="38">
        <f>IFERROR(求节点(节奏总纲!AH$4:AH$363,P$8:P$367,$S116),0)</f>
        <v>28800</v>
      </c>
    </row>
    <row r="117" spans="3:24" x14ac:dyDescent="0.15">
      <c r="C117" s="27"/>
      <c r="K117" s="27">
        <v>110</v>
      </c>
      <c r="L117" s="27">
        <f t="shared" si="11"/>
        <v>8800</v>
      </c>
      <c r="M117" s="27">
        <f t="shared" si="11"/>
        <v>8800</v>
      </c>
      <c r="N117" s="27">
        <f t="shared" si="11"/>
        <v>8800</v>
      </c>
      <c r="O117" s="27">
        <f t="shared" si="11"/>
        <v>8800</v>
      </c>
      <c r="P117" s="27">
        <f t="shared" si="11"/>
        <v>8800</v>
      </c>
      <c r="S117" s="38">
        <v>110</v>
      </c>
      <c r="T117" s="38">
        <f>IFERROR(求节点(节奏总纲!AD$4:AD$363,L$8:L$367,$S117),0)</f>
        <v>28800</v>
      </c>
      <c r="U117" s="38">
        <f>IFERROR(求节点(节奏总纲!AE$4:AE$363,M$8:M$367,$S117),0)</f>
        <v>28800</v>
      </c>
      <c r="V117" s="38">
        <f>IFERROR(求节点(节奏总纲!AF$4:AF$363,N$8:N$367,$S117),0)</f>
        <v>28800</v>
      </c>
      <c r="W117" s="38">
        <f>IFERROR(求节点(节奏总纲!AG$4:AG$363,O$8:O$367,$S117),0)</f>
        <v>28800</v>
      </c>
      <c r="X117" s="38">
        <f>IFERROR(求节点(节奏总纲!AH$4:AH$363,P$8:P$367,$S117),0)</f>
        <v>28800</v>
      </c>
    </row>
    <row r="118" spans="3:24" x14ac:dyDescent="0.15">
      <c r="C118" s="27"/>
      <c r="K118" s="27">
        <v>111</v>
      </c>
      <c r="L118" s="27">
        <f t="shared" ref="L118:P127" si="12">IFERROR(MAX($K118-$D$1,0)*$D$3/30,0)</f>
        <v>8880</v>
      </c>
      <c r="M118" s="27">
        <f t="shared" si="12"/>
        <v>8880</v>
      </c>
      <c r="N118" s="27">
        <f t="shared" si="12"/>
        <v>8880</v>
      </c>
      <c r="O118" s="27">
        <f t="shared" si="12"/>
        <v>8880</v>
      </c>
      <c r="P118" s="27">
        <f t="shared" si="12"/>
        <v>8880</v>
      </c>
      <c r="S118" s="38">
        <v>111</v>
      </c>
      <c r="T118" s="38">
        <f>IFERROR(求节点(节奏总纲!AD$4:AD$363,L$8:L$367,$S118),0)</f>
        <v>28800</v>
      </c>
      <c r="U118" s="38">
        <f>IFERROR(求节点(节奏总纲!AE$4:AE$363,M$8:M$367,$S118),0)</f>
        <v>28800</v>
      </c>
      <c r="V118" s="38">
        <f>IFERROR(求节点(节奏总纲!AF$4:AF$363,N$8:N$367,$S118),0)</f>
        <v>28800</v>
      </c>
      <c r="W118" s="38">
        <f>IFERROR(求节点(节奏总纲!AG$4:AG$363,O$8:O$367,$S118),0)</f>
        <v>28800</v>
      </c>
      <c r="X118" s="38">
        <f>IFERROR(求节点(节奏总纲!AH$4:AH$363,P$8:P$367,$S118),0)</f>
        <v>28800</v>
      </c>
    </row>
    <row r="119" spans="3:24" x14ac:dyDescent="0.15">
      <c r="C119" s="27"/>
      <c r="K119" s="27">
        <v>112</v>
      </c>
      <c r="L119" s="27">
        <f t="shared" si="12"/>
        <v>8960</v>
      </c>
      <c r="M119" s="27">
        <f t="shared" si="12"/>
        <v>8960</v>
      </c>
      <c r="N119" s="27">
        <f t="shared" si="12"/>
        <v>8960</v>
      </c>
      <c r="O119" s="27">
        <f t="shared" si="12"/>
        <v>8960</v>
      </c>
      <c r="P119" s="27">
        <f t="shared" si="12"/>
        <v>8960</v>
      </c>
      <c r="S119" s="38">
        <v>112</v>
      </c>
      <c r="T119" s="38">
        <f>IFERROR(求节点(节奏总纲!AD$4:AD$363,L$8:L$367,$S119),0)</f>
        <v>28800</v>
      </c>
      <c r="U119" s="38">
        <f>IFERROR(求节点(节奏总纲!AE$4:AE$363,M$8:M$367,$S119),0)</f>
        <v>28800</v>
      </c>
      <c r="V119" s="38">
        <f>IFERROR(求节点(节奏总纲!AF$4:AF$363,N$8:N$367,$S119),0)</f>
        <v>28800</v>
      </c>
      <c r="W119" s="38">
        <f>IFERROR(求节点(节奏总纲!AG$4:AG$363,O$8:O$367,$S119),0)</f>
        <v>28800</v>
      </c>
      <c r="X119" s="38">
        <f>IFERROR(求节点(节奏总纲!AH$4:AH$363,P$8:P$367,$S119),0)</f>
        <v>28800</v>
      </c>
    </row>
    <row r="120" spans="3:24" x14ac:dyDescent="0.15">
      <c r="C120" s="27"/>
      <c r="K120" s="27">
        <v>113</v>
      </c>
      <c r="L120" s="27">
        <f t="shared" si="12"/>
        <v>9040</v>
      </c>
      <c r="M120" s="27">
        <f t="shared" si="12"/>
        <v>9040</v>
      </c>
      <c r="N120" s="27">
        <f t="shared" si="12"/>
        <v>9040</v>
      </c>
      <c r="O120" s="27">
        <f t="shared" si="12"/>
        <v>9040</v>
      </c>
      <c r="P120" s="27">
        <f t="shared" si="12"/>
        <v>9040</v>
      </c>
      <c r="S120" s="38">
        <v>113</v>
      </c>
      <c r="T120" s="38">
        <f>IFERROR(求节点(节奏总纲!AD$4:AD$363,L$8:L$367,$S120),0)</f>
        <v>28800</v>
      </c>
      <c r="U120" s="38">
        <f>IFERROR(求节点(节奏总纲!AE$4:AE$363,M$8:M$367,$S120),0)</f>
        <v>28800</v>
      </c>
      <c r="V120" s="38">
        <f>IFERROR(求节点(节奏总纲!AF$4:AF$363,N$8:N$367,$S120),0)</f>
        <v>28800</v>
      </c>
      <c r="W120" s="38">
        <f>IFERROR(求节点(节奏总纲!AG$4:AG$363,O$8:O$367,$S120),0)</f>
        <v>28800</v>
      </c>
      <c r="X120" s="38">
        <f>IFERROR(求节点(节奏总纲!AH$4:AH$363,P$8:P$367,$S120),0)</f>
        <v>28800</v>
      </c>
    </row>
    <row r="121" spans="3:24" x14ac:dyDescent="0.15">
      <c r="C121" s="27"/>
      <c r="K121" s="27">
        <v>114</v>
      </c>
      <c r="L121" s="27">
        <f t="shared" si="12"/>
        <v>9120</v>
      </c>
      <c r="M121" s="27">
        <f t="shared" si="12"/>
        <v>9120</v>
      </c>
      <c r="N121" s="27">
        <f t="shared" si="12"/>
        <v>9120</v>
      </c>
      <c r="O121" s="27">
        <f t="shared" si="12"/>
        <v>9120</v>
      </c>
      <c r="P121" s="27">
        <f t="shared" si="12"/>
        <v>9120</v>
      </c>
      <c r="S121" s="38">
        <v>114</v>
      </c>
      <c r="T121" s="38">
        <f>IFERROR(求节点(节奏总纲!AD$4:AD$363,L$8:L$367,$S121),0)</f>
        <v>28800</v>
      </c>
      <c r="U121" s="38">
        <f>IFERROR(求节点(节奏总纲!AE$4:AE$363,M$8:M$367,$S121),0)</f>
        <v>28800</v>
      </c>
      <c r="V121" s="38">
        <f>IFERROR(求节点(节奏总纲!AF$4:AF$363,N$8:N$367,$S121),0)</f>
        <v>28800</v>
      </c>
      <c r="W121" s="38">
        <f>IFERROR(求节点(节奏总纲!AG$4:AG$363,O$8:O$367,$S121),0)</f>
        <v>28800</v>
      </c>
      <c r="X121" s="38">
        <f>IFERROR(求节点(节奏总纲!AH$4:AH$363,P$8:P$367,$S121),0)</f>
        <v>28800</v>
      </c>
    </row>
    <row r="122" spans="3:24" x14ac:dyDescent="0.15">
      <c r="C122" s="27"/>
      <c r="K122" s="27">
        <v>115</v>
      </c>
      <c r="L122" s="27">
        <f t="shared" si="12"/>
        <v>9200</v>
      </c>
      <c r="M122" s="27">
        <f t="shared" si="12"/>
        <v>9200</v>
      </c>
      <c r="N122" s="27">
        <f t="shared" si="12"/>
        <v>9200</v>
      </c>
      <c r="O122" s="27">
        <f t="shared" si="12"/>
        <v>9200</v>
      </c>
      <c r="P122" s="27">
        <f t="shared" si="12"/>
        <v>9200</v>
      </c>
      <c r="S122" s="38">
        <v>115</v>
      </c>
      <c r="T122" s="38">
        <f>IFERROR(求节点(节奏总纲!AD$4:AD$363,L$8:L$367,$S122),0)</f>
        <v>28800</v>
      </c>
      <c r="U122" s="38">
        <f>IFERROR(求节点(节奏总纲!AE$4:AE$363,M$8:M$367,$S122),0)</f>
        <v>28800</v>
      </c>
      <c r="V122" s="38">
        <f>IFERROR(求节点(节奏总纲!AF$4:AF$363,N$8:N$367,$S122),0)</f>
        <v>28800</v>
      </c>
      <c r="W122" s="38">
        <f>IFERROR(求节点(节奏总纲!AG$4:AG$363,O$8:O$367,$S122),0)</f>
        <v>28800</v>
      </c>
      <c r="X122" s="38">
        <f>IFERROR(求节点(节奏总纲!AH$4:AH$363,P$8:P$367,$S122),0)</f>
        <v>28800</v>
      </c>
    </row>
    <row r="123" spans="3:24" x14ac:dyDescent="0.15">
      <c r="C123" s="27"/>
      <c r="K123" s="27">
        <v>116</v>
      </c>
      <c r="L123" s="27">
        <f t="shared" si="12"/>
        <v>9280</v>
      </c>
      <c r="M123" s="27">
        <f t="shared" si="12"/>
        <v>9280</v>
      </c>
      <c r="N123" s="27">
        <f t="shared" si="12"/>
        <v>9280</v>
      </c>
      <c r="O123" s="27">
        <f t="shared" si="12"/>
        <v>9280</v>
      </c>
      <c r="P123" s="27">
        <f t="shared" si="12"/>
        <v>9280</v>
      </c>
      <c r="S123" s="38">
        <v>116</v>
      </c>
      <c r="T123" s="38">
        <f>IFERROR(求节点(节奏总纲!AD$4:AD$363,L$8:L$367,$S123),0)</f>
        <v>28800</v>
      </c>
      <c r="U123" s="38">
        <f>IFERROR(求节点(节奏总纲!AE$4:AE$363,M$8:M$367,$S123),0)</f>
        <v>28800</v>
      </c>
      <c r="V123" s="38">
        <f>IFERROR(求节点(节奏总纲!AF$4:AF$363,N$8:N$367,$S123),0)</f>
        <v>28800</v>
      </c>
      <c r="W123" s="38">
        <f>IFERROR(求节点(节奏总纲!AG$4:AG$363,O$8:O$367,$S123),0)</f>
        <v>28800</v>
      </c>
      <c r="X123" s="38">
        <f>IFERROR(求节点(节奏总纲!AH$4:AH$363,P$8:P$367,$S123),0)</f>
        <v>28800</v>
      </c>
    </row>
    <row r="124" spans="3:24" x14ac:dyDescent="0.15">
      <c r="C124" s="27"/>
      <c r="K124" s="27">
        <v>117</v>
      </c>
      <c r="L124" s="27">
        <f t="shared" si="12"/>
        <v>9360</v>
      </c>
      <c r="M124" s="27">
        <f t="shared" si="12"/>
        <v>9360</v>
      </c>
      <c r="N124" s="27">
        <f t="shared" si="12"/>
        <v>9360</v>
      </c>
      <c r="O124" s="27">
        <f t="shared" si="12"/>
        <v>9360</v>
      </c>
      <c r="P124" s="27">
        <f t="shared" si="12"/>
        <v>9360</v>
      </c>
      <c r="S124" s="38">
        <v>117</v>
      </c>
      <c r="T124" s="38">
        <f>IFERROR(求节点(节奏总纲!AD$4:AD$363,L$8:L$367,$S124),0)</f>
        <v>28800</v>
      </c>
      <c r="U124" s="38">
        <f>IFERROR(求节点(节奏总纲!AE$4:AE$363,M$8:M$367,$S124),0)</f>
        <v>28800</v>
      </c>
      <c r="V124" s="38">
        <f>IFERROR(求节点(节奏总纲!AF$4:AF$363,N$8:N$367,$S124),0)</f>
        <v>28800</v>
      </c>
      <c r="W124" s="38">
        <f>IFERROR(求节点(节奏总纲!AG$4:AG$363,O$8:O$367,$S124),0)</f>
        <v>28800</v>
      </c>
      <c r="X124" s="38">
        <f>IFERROR(求节点(节奏总纲!AH$4:AH$363,P$8:P$367,$S124),0)</f>
        <v>28800</v>
      </c>
    </row>
    <row r="125" spans="3:24" x14ac:dyDescent="0.15">
      <c r="C125" s="27"/>
      <c r="K125" s="27">
        <v>118</v>
      </c>
      <c r="L125" s="27">
        <f t="shared" si="12"/>
        <v>9440</v>
      </c>
      <c r="M125" s="27">
        <f t="shared" si="12"/>
        <v>9440</v>
      </c>
      <c r="N125" s="27">
        <f t="shared" si="12"/>
        <v>9440</v>
      </c>
      <c r="O125" s="27">
        <f t="shared" si="12"/>
        <v>9440</v>
      </c>
      <c r="P125" s="27">
        <f t="shared" si="12"/>
        <v>9440</v>
      </c>
      <c r="S125" s="38">
        <v>118</v>
      </c>
      <c r="T125" s="38">
        <f>IFERROR(求节点(节奏总纲!AD$4:AD$363,L$8:L$367,$S125),0)</f>
        <v>28800</v>
      </c>
      <c r="U125" s="38">
        <f>IFERROR(求节点(节奏总纲!AE$4:AE$363,M$8:M$367,$S125),0)</f>
        <v>28800</v>
      </c>
      <c r="V125" s="38">
        <f>IFERROR(求节点(节奏总纲!AF$4:AF$363,N$8:N$367,$S125),0)</f>
        <v>28800</v>
      </c>
      <c r="W125" s="38">
        <f>IFERROR(求节点(节奏总纲!AG$4:AG$363,O$8:O$367,$S125),0)</f>
        <v>28800</v>
      </c>
      <c r="X125" s="38">
        <f>IFERROR(求节点(节奏总纲!AH$4:AH$363,P$8:P$367,$S125),0)</f>
        <v>28800</v>
      </c>
    </row>
    <row r="126" spans="3:24" x14ac:dyDescent="0.15">
      <c r="C126" s="27"/>
      <c r="K126" s="27">
        <v>119</v>
      </c>
      <c r="L126" s="27">
        <f t="shared" si="12"/>
        <v>9520</v>
      </c>
      <c r="M126" s="27">
        <f t="shared" si="12"/>
        <v>9520</v>
      </c>
      <c r="N126" s="27">
        <f t="shared" si="12"/>
        <v>9520</v>
      </c>
      <c r="O126" s="27">
        <f t="shared" si="12"/>
        <v>9520</v>
      </c>
      <c r="P126" s="27">
        <f t="shared" si="12"/>
        <v>9520</v>
      </c>
      <c r="S126" s="38">
        <v>119</v>
      </c>
      <c r="T126" s="38">
        <f>IFERROR(求节点(节奏总纲!AD$4:AD$363,L$8:L$367,$S126),0)</f>
        <v>28800</v>
      </c>
      <c r="U126" s="38">
        <f>IFERROR(求节点(节奏总纲!AE$4:AE$363,M$8:M$367,$S126),0)</f>
        <v>28800</v>
      </c>
      <c r="V126" s="38">
        <f>IFERROR(求节点(节奏总纲!AF$4:AF$363,N$8:N$367,$S126),0)</f>
        <v>28800</v>
      </c>
      <c r="W126" s="38">
        <f>IFERROR(求节点(节奏总纲!AG$4:AG$363,O$8:O$367,$S126),0)</f>
        <v>28800</v>
      </c>
      <c r="X126" s="38">
        <f>IFERROR(求节点(节奏总纲!AH$4:AH$363,P$8:P$367,$S126),0)</f>
        <v>28800</v>
      </c>
    </row>
    <row r="127" spans="3:24" x14ac:dyDescent="0.15">
      <c r="C127" s="27"/>
      <c r="K127" s="27">
        <v>120</v>
      </c>
      <c r="L127" s="27">
        <f t="shared" si="12"/>
        <v>9600</v>
      </c>
      <c r="M127" s="27">
        <f t="shared" si="12"/>
        <v>9600</v>
      </c>
      <c r="N127" s="27">
        <f t="shared" si="12"/>
        <v>9600</v>
      </c>
      <c r="O127" s="27">
        <f t="shared" si="12"/>
        <v>9600</v>
      </c>
      <c r="P127" s="27">
        <f t="shared" si="12"/>
        <v>9600</v>
      </c>
      <c r="S127" s="38">
        <v>120</v>
      </c>
      <c r="T127" s="38">
        <f>IFERROR(求节点(节奏总纲!AD$4:AD$363,L$8:L$367,$S127),0)</f>
        <v>28800</v>
      </c>
      <c r="U127" s="38">
        <f>IFERROR(求节点(节奏总纲!AE$4:AE$363,M$8:M$367,$S127),0)</f>
        <v>28800</v>
      </c>
      <c r="V127" s="38">
        <f>IFERROR(求节点(节奏总纲!AF$4:AF$363,N$8:N$367,$S127),0)</f>
        <v>28800</v>
      </c>
      <c r="W127" s="38">
        <f>IFERROR(求节点(节奏总纲!AG$4:AG$363,O$8:O$367,$S127),0)</f>
        <v>28800</v>
      </c>
      <c r="X127" s="38">
        <f>IFERROR(求节点(节奏总纲!AH$4:AH$363,P$8:P$367,$S127),0)</f>
        <v>28800</v>
      </c>
    </row>
    <row r="128" spans="3:24" x14ac:dyDescent="0.15">
      <c r="C128" s="27"/>
      <c r="K128" s="27">
        <v>121</v>
      </c>
      <c r="L128" s="27">
        <f t="shared" ref="L128:P137" si="13">IFERROR(MAX($K128-$D$1,0)*$D$3/30,0)</f>
        <v>9680</v>
      </c>
      <c r="M128" s="27">
        <f t="shared" si="13"/>
        <v>9680</v>
      </c>
      <c r="N128" s="27">
        <f t="shared" si="13"/>
        <v>9680</v>
      </c>
      <c r="O128" s="27">
        <f t="shared" si="13"/>
        <v>9680</v>
      </c>
      <c r="P128" s="27">
        <f t="shared" si="13"/>
        <v>9680</v>
      </c>
      <c r="S128" s="38">
        <v>121</v>
      </c>
      <c r="T128" s="38">
        <f>IFERROR(求节点(节奏总纲!AD$4:AD$363,L$8:L$367,$S128),0)</f>
        <v>28800</v>
      </c>
      <c r="U128" s="38">
        <f>IFERROR(求节点(节奏总纲!AE$4:AE$363,M$8:M$367,$S128),0)</f>
        <v>28800</v>
      </c>
      <c r="V128" s="38">
        <f>IFERROR(求节点(节奏总纲!AF$4:AF$363,N$8:N$367,$S128),0)</f>
        <v>28800</v>
      </c>
      <c r="W128" s="38">
        <f>IFERROR(求节点(节奏总纲!AG$4:AG$363,O$8:O$367,$S128),0)</f>
        <v>28800</v>
      </c>
      <c r="X128" s="38">
        <f>IFERROR(求节点(节奏总纲!AH$4:AH$363,P$8:P$367,$S128),0)</f>
        <v>28800</v>
      </c>
    </row>
    <row r="129" spans="3:24" x14ac:dyDescent="0.15">
      <c r="C129" s="27"/>
      <c r="K129" s="27">
        <v>122</v>
      </c>
      <c r="L129" s="27">
        <f t="shared" si="13"/>
        <v>9760</v>
      </c>
      <c r="M129" s="27">
        <f t="shared" si="13"/>
        <v>9760</v>
      </c>
      <c r="N129" s="27">
        <f t="shared" si="13"/>
        <v>9760</v>
      </c>
      <c r="O129" s="27">
        <f t="shared" si="13"/>
        <v>9760</v>
      </c>
      <c r="P129" s="27">
        <f t="shared" si="13"/>
        <v>9760</v>
      </c>
      <c r="S129" s="38">
        <v>122</v>
      </c>
      <c r="T129" s="38">
        <f>IFERROR(求节点(节奏总纲!AD$4:AD$363,L$8:L$367,$S129),0)</f>
        <v>28800</v>
      </c>
      <c r="U129" s="38">
        <f>IFERROR(求节点(节奏总纲!AE$4:AE$363,M$8:M$367,$S129),0)</f>
        <v>28800</v>
      </c>
      <c r="V129" s="38">
        <f>IFERROR(求节点(节奏总纲!AF$4:AF$363,N$8:N$367,$S129),0)</f>
        <v>28800</v>
      </c>
      <c r="W129" s="38">
        <f>IFERROR(求节点(节奏总纲!AG$4:AG$363,O$8:O$367,$S129),0)</f>
        <v>28800</v>
      </c>
      <c r="X129" s="38">
        <f>IFERROR(求节点(节奏总纲!AH$4:AH$363,P$8:P$367,$S129),0)</f>
        <v>28800</v>
      </c>
    </row>
    <row r="130" spans="3:24" x14ac:dyDescent="0.15">
      <c r="C130" s="27"/>
      <c r="K130" s="27">
        <v>123</v>
      </c>
      <c r="L130" s="27">
        <f t="shared" si="13"/>
        <v>9840</v>
      </c>
      <c r="M130" s="27">
        <f t="shared" si="13"/>
        <v>9840</v>
      </c>
      <c r="N130" s="27">
        <f t="shared" si="13"/>
        <v>9840</v>
      </c>
      <c r="O130" s="27">
        <f t="shared" si="13"/>
        <v>9840</v>
      </c>
      <c r="P130" s="27">
        <f t="shared" si="13"/>
        <v>9840</v>
      </c>
      <c r="S130" s="38">
        <v>123</v>
      </c>
      <c r="T130" s="38">
        <f>IFERROR(求节点(节奏总纲!AD$4:AD$363,L$8:L$367,$S130),0)</f>
        <v>28800</v>
      </c>
      <c r="U130" s="38">
        <f>IFERROR(求节点(节奏总纲!AE$4:AE$363,M$8:M$367,$S130),0)</f>
        <v>28800</v>
      </c>
      <c r="V130" s="38">
        <f>IFERROR(求节点(节奏总纲!AF$4:AF$363,N$8:N$367,$S130),0)</f>
        <v>28800</v>
      </c>
      <c r="W130" s="38">
        <f>IFERROR(求节点(节奏总纲!AG$4:AG$363,O$8:O$367,$S130),0)</f>
        <v>28800</v>
      </c>
      <c r="X130" s="38">
        <f>IFERROR(求节点(节奏总纲!AH$4:AH$363,P$8:P$367,$S130),0)</f>
        <v>28800</v>
      </c>
    </row>
    <row r="131" spans="3:24" x14ac:dyDescent="0.15">
      <c r="C131" s="27"/>
      <c r="K131" s="27">
        <v>124</v>
      </c>
      <c r="L131" s="27">
        <f t="shared" si="13"/>
        <v>9920</v>
      </c>
      <c r="M131" s="27">
        <f t="shared" si="13"/>
        <v>9920</v>
      </c>
      <c r="N131" s="27">
        <f t="shared" si="13"/>
        <v>9920</v>
      </c>
      <c r="O131" s="27">
        <f t="shared" si="13"/>
        <v>9920</v>
      </c>
      <c r="P131" s="27">
        <f t="shared" si="13"/>
        <v>9920</v>
      </c>
      <c r="S131" s="38">
        <v>124</v>
      </c>
      <c r="T131" s="38">
        <f>IFERROR(求节点(节奏总纲!AD$4:AD$363,L$8:L$367,$S131),0)</f>
        <v>28800</v>
      </c>
      <c r="U131" s="38">
        <f>IFERROR(求节点(节奏总纲!AE$4:AE$363,M$8:M$367,$S131),0)</f>
        <v>28800</v>
      </c>
      <c r="V131" s="38">
        <f>IFERROR(求节点(节奏总纲!AF$4:AF$363,N$8:N$367,$S131),0)</f>
        <v>28800</v>
      </c>
      <c r="W131" s="38">
        <f>IFERROR(求节点(节奏总纲!AG$4:AG$363,O$8:O$367,$S131),0)</f>
        <v>28800</v>
      </c>
      <c r="X131" s="38">
        <f>IFERROR(求节点(节奏总纲!AH$4:AH$363,P$8:P$367,$S131),0)</f>
        <v>28800</v>
      </c>
    </row>
    <row r="132" spans="3:24" x14ac:dyDescent="0.15">
      <c r="C132" s="27"/>
      <c r="K132" s="27">
        <v>125</v>
      </c>
      <c r="L132" s="27">
        <f t="shared" si="13"/>
        <v>10000</v>
      </c>
      <c r="M132" s="27">
        <f t="shared" si="13"/>
        <v>10000</v>
      </c>
      <c r="N132" s="27">
        <f t="shared" si="13"/>
        <v>10000</v>
      </c>
      <c r="O132" s="27">
        <f t="shared" si="13"/>
        <v>10000</v>
      </c>
      <c r="P132" s="27">
        <f t="shared" si="13"/>
        <v>10000</v>
      </c>
      <c r="S132" s="38">
        <v>125</v>
      </c>
      <c r="T132" s="38">
        <f>IFERROR(求节点(节奏总纲!AD$4:AD$363,L$8:L$367,$S132),0)</f>
        <v>28800</v>
      </c>
      <c r="U132" s="38">
        <f>IFERROR(求节点(节奏总纲!AE$4:AE$363,M$8:M$367,$S132),0)</f>
        <v>28800</v>
      </c>
      <c r="V132" s="38">
        <f>IFERROR(求节点(节奏总纲!AF$4:AF$363,N$8:N$367,$S132),0)</f>
        <v>28800</v>
      </c>
      <c r="W132" s="38">
        <f>IFERROR(求节点(节奏总纲!AG$4:AG$363,O$8:O$367,$S132),0)</f>
        <v>28800</v>
      </c>
      <c r="X132" s="38">
        <f>IFERROR(求节点(节奏总纲!AH$4:AH$363,P$8:P$367,$S132),0)</f>
        <v>28800</v>
      </c>
    </row>
    <row r="133" spans="3:24" x14ac:dyDescent="0.15">
      <c r="C133" s="27"/>
      <c r="K133" s="27">
        <v>126</v>
      </c>
      <c r="L133" s="27">
        <f t="shared" si="13"/>
        <v>10080</v>
      </c>
      <c r="M133" s="27">
        <f t="shared" si="13"/>
        <v>10080</v>
      </c>
      <c r="N133" s="27">
        <f t="shared" si="13"/>
        <v>10080</v>
      </c>
      <c r="O133" s="27">
        <f t="shared" si="13"/>
        <v>10080</v>
      </c>
      <c r="P133" s="27">
        <f t="shared" si="13"/>
        <v>10080</v>
      </c>
      <c r="S133" s="38">
        <v>126</v>
      </c>
      <c r="T133" s="38">
        <f>IFERROR(求节点(节奏总纲!AD$4:AD$363,L$8:L$367,$S133),0)</f>
        <v>28800</v>
      </c>
      <c r="U133" s="38">
        <f>IFERROR(求节点(节奏总纲!AE$4:AE$363,M$8:M$367,$S133),0)</f>
        <v>28800</v>
      </c>
      <c r="V133" s="38">
        <f>IFERROR(求节点(节奏总纲!AF$4:AF$363,N$8:N$367,$S133),0)</f>
        <v>28800</v>
      </c>
      <c r="W133" s="38">
        <f>IFERROR(求节点(节奏总纲!AG$4:AG$363,O$8:O$367,$S133),0)</f>
        <v>28800</v>
      </c>
      <c r="X133" s="38">
        <f>IFERROR(求节点(节奏总纲!AH$4:AH$363,P$8:P$367,$S133),0)</f>
        <v>28800</v>
      </c>
    </row>
    <row r="134" spans="3:24" x14ac:dyDescent="0.15">
      <c r="C134" s="27"/>
      <c r="K134" s="27">
        <v>127</v>
      </c>
      <c r="L134" s="27">
        <f t="shared" si="13"/>
        <v>10160</v>
      </c>
      <c r="M134" s="27">
        <f t="shared" si="13"/>
        <v>10160</v>
      </c>
      <c r="N134" s="27">
        <f t="shared" si="13"/>
        <v>10160</v>
      </c>
      <c r="O134" s="27">
        <f t="shared" si="13"/>
        <v>10160</v>
      </c>
      <c r="P134" s="27">
        <f t="shared" si="13"/>
        <v>10160</v>
      </c>
      <c r="S134" s="38">
        <v>127</v>
      </c>
      <c r="T134" s="38">
        <f>IFERROR(求节点(节奏总纲!AD$4:AD$363,L$8:L$367,$S134),0)</f>
        <v>28800</v>
      </c>
      <c r="U134" s="38">
        <f>IFERROR(求节点(节奏总纲!AE$4:AE$363,M$8:M$367,$S134),0)</f>
        <v>28800</v>
      </c>
      <c r="V134" s="38">
        <f>IFERROR(求节点(节奏总纲!AF$4:AF$363,N$8:N$367,$S134),0)</f>
        <v>28800</v>
      </c>
      <c r="W134" s="38">
        <f>IFERROR(求节点(节奏总纲!AG$4:AG$363,O$8:O$367,$S134),0)</f>
        <v>28800</v>
      </c>
      <c r="X134" s="38">
        <f>IFERROR(求节点(节奏总纲!AH$4:AH$363,P$8:P$367,$S134),0)</f>
        <v>28800</v>
      </c>
    </row>
    <row r="135" spans="3:24" x14ac:dyDescent="0.15">
      <c r="C135" s="27"/>
      <c r="K135" s="27">
        <v>128</v>
      </c>
      <c r="L135" s="27">
        <f t="shared" si="13"/>
        <v>10240</v>
      </c>
      <c r="M135" s="27">
        <f t="shared" si="13"/>
        <v>10240</v>
      </c>
      <c r="N135" s="27">
        <f t="shared" si="13"/>
        <v>10240</v>
      </c>
      <c r="O135" s="27">
        <f t="shared" si="13"/>
        <v>10240</v>
      </c>
      <c r="P135" s="27">
        <f t="shared" si="13"/>
        <v>10240</v>
      </c>
      <c r="S135" s="38">
        <v>128</v>
      </c>
      <c r="T135" s="38">
        <f>IFERROR(求节点(节奏总纲!AD$4:AD$363,L$8:L$367,$S135),0)</f>
        <v>28800</v>
      </c>
      <c r="U135" s="38">
        <f>IFERROR(求节点(节奏总纲!AE$4:AE$363,M$8:M$367,$S135),0)</f>
        <v>28800</v>
      </c>
      <c r="V135" s="38">
        <f>IFERROR(求节点(节奏总纲!AF$4:AF$363,N$8:N$367,$S135),0)</f>
        <v>28800</v>
      </c>
      <c r="W135" s="38">
        <f>IFERROR(求节点(节奏总纲!AG$4:AG$363,O$8:O$367,$S135),0)</f>
        <v>28800</v>
      </c>
      <c r="X135" s="38">
        <f>IFERROR(求节点(节奏总纲!AH$4:AH$363,P$8:P$367,$S135),0)</f>
        <v>28800</v>
      </c>
    </row>
    <row r="136" spans="3:24" x14ac:dyDescent="0.15">
      <c r="C136" s="27"/>
      <c r="K136" s="27">
        <v>129</v>
      </c>
      <c r="L136" s="27">
        <f t="shared" si="13"/>
        <v>10320</v>
      </c>
      <c r="M136" s="27">
        <f t="shared" si="13"/>
        <v>10320</v>
      </c>
      <c r="N136" s="27">
        <f t="shared" si="13"/>
        <v>10320</v>
      </c>
      <c r="O136" s="27">
        <f t="shared" si="13"/>
        <v>10320</v>
      </c>
      <c r="P136" s="27">
        <f t="shared" si="13"/>
        <v>10320</v>
      </c>
      <c r="S136" s="38">
        <v>129</v>
      </c>
      <c r="T136" s="38">
        <f>IFERROR(求节点(节奏总纲!AD$4:AD$363,L$8:L$367,$S136),0)</f>
        <v>28800</v>
      </c>
      <c r="U136" s="38">
        <f>IFERROR(求节点(节奏总纲!AE$4:AE$363,M$8:M$367,$S136),0)</f>
        <v>28800</v>
      </c>
      <c r="V136" s="38">
        <f>IFERROR(求节点(节奏总纲!AF$4:AF$363,N$8:N$367,$S136),0)</f>
        <v>28800</v>
      </c>
      <c r="W136" s="38">
        <f>IFERROR(求节点(节奏总纲!AG$4:AG$363,O$8:O$367,$S136),0)</f>
        <v>28800</v>
      </c>
      <c r="X136" s="38">
        <f>IFERROR(求节点(节奏总纲!AH$4:AH$363,P$8:P$367,$S136),0)</f>
        <v>28800</v>
      </c>
    </row>
    <row r="137" spans="3:24" x14ac:dyDescent="0.15">
      <c r="C137" s="27"/>
      <c r="K137" s="27">
        <v>130</v>
      </c>
      <c r="L137" s="27">
        <f t="shared" si="13"/>
        <v>10400</v>
      </c>
      <c r="M137" s="27">
        <f t="shared" si="13"/>
        <v>10400</v>
      </c>
      <c r="N137" s="27">
        <f t="shared" si="13"/>
        <v>10400</v>
      </c>
      <c r="O137" s="27">
        <f t="shared" si="13"/>
        <v>10400</v>
      </c>
      <c r="P137" s="27">
        <f t="shared" si="13"/>
        <v>10400</v>
      </c>
      <c r="S137" s="38">
        <v>130</v>
      </c>
      <c r="T137" s="38">
        <f>IFERROR(求节点(节奏总纲!AD$4:AD$363,L$8:L$367,$S137),0)</f>
        <v>28800</v>
      </c>
      <c r="U137" s="38">
        <f>IFERROR(求节点(节奏总纲!AE$4:AE$363,M$8:M$367,$S137),0)</f>
        <v>28800</v>
      </c>
      <c r="V137" s="38">
        <f>IFERROR(求节点(节奏总纲!AF$4:AF$363,N$8:N$367,$S137),0)</f>
        <v>28800</v>
      </c>
      <c r="W137" s="38">
        <f>IFERROR(求节点(节奏总纲!AG$4:AG$363,O$8:O$367,$S137),0)</f>
        <v>28800</v>
      </c>
      <c r="X137" s="38">
        <f>IFERROR(求节点(节奏总纲!AH$4:AH$363,P$8:P$367,$S137),0)</f>
        <v>28800</v>
      </c>
    </row>
    <row r="138" spans="3:24" x14ac:dyDescent="0.15">
      <c r="C138" s="27"/>
      <c r="K138" s="27">
        <v>131</v>
      </c>
      <c r="L138" s="27">
        <f t="shared" ref="L138:P147" si="14">IFERROR(MAX($K138-$D$1,0)*$D$3/30,0)</f>
        <v>10480</v>
      </c>
      <c r="M138" s="27">
        <f t="shared" si="14"/>
        <v>10480</v>
      </c>
      <c r="N138" s="27">
        <f t="shared" si="14"/>
        <v>10480</v>
      </c>
      <c r="O138" s="27">
        <f t="shared" si="14"/>
        <v>10480</v>
      </c>
      <c r="P138" s="27">
        <f t="shared" si="14"/>
        <v>10480</v>
      </c>
      <c r="S138" s="38">
        <v>131</v>
      </c>
      <c r="T138" s="38">
        <f>IFERROR(求节点(节奏总纲!AD$4:AD$363,L$8:L$367,$S138),0)</f>
        <v>28800</v>
      </c>
      <c r="U138" s="38">
        <f>IFERROR(求节点(节奏总纲!AE$4:AE$363,M$8:M$367,$S138),0)</f>
        <v>28800</v>
      </c>
      <c r="V138" s="38">
        <f>IFERROR(求节点(节奏总纲!AF$4:AF$363,N$8:N$367,$S138),0)</f>
        <v>28800</v>
      </c>
      <c r="W138" s="38">
        <f>IFERROR(求节点(节奏总纲!AG$4:AG$363,O$8:O$367,$S138),0)</f>
        <v>28800</v>
      </c>
      <c r="X138" s="38">
        <f>IFERROR(求节点(节奏总纲!AH$4:AH$363,P$8:P$367,$S138),0)</f>
        <v>28800</v>
      </c>
    </row>
    <row r="139" spans="3:24" x14ac:dyDescent="0.15">
      <c r="C139" s="27"/>
      <c r="K139" s="27">
        <v>132</v>
      </c>
      <c r="L139" s="27">
        <f t="shared" si="14"/>
        <v>10560</v>
      </c>
      <c r="M139" s="27">
        <f t="shared" si="14"/>
        <v>10560</v>
      </c>
      <c r="N139" s="27">
        <f t="shared" si="14"/>
        <v>10560</v>
      </c>
      <c r="O139" s="27">
        <f t="shared" si="14"/>
        <v>10560</v>
      </c>
      <c r="P139" s="27">
        <f t="shared" si="14"/>
        <v>10560</v>
      </c>
      <c r="S139" s="38">
        <v>132</v>
      </c>
      <c r="T139" s="38">
        <f>IFERROR(求节点(节奏总纲!AD$4:AD$363,L$8:L$367,$S139),0)</f>
        <v>28800</v>
      </c>
      <c r="U139" s="38">
        <f>IFERROR(求节点(节奏总纲!AE$4:AE$363,M$8:M$367,$S139),0)</f>
        <v>28800</v>
      </c>
      <c r="V139" s="38">
        <f>IFERROR(求节点(节奏总纲!AF$4:AF$363,N$8:N$367,$S139),0)</f>
        <v>28800</v>
      </c>
      <c r="W139" s="38">
        <f>IFERROR(求节点(节奏总纲!AG$4:AG$363,O$8:O$367,$S139),0)</f>
        <v>28800</v>
      </c>
      <c r="X139" s="38">
        <f>IFERROR(求节点(节奏总纲!AH$4:AH$363,P$8:P$367,$S139),0)</f>
        <v>28800</v>
      </c>
    </row>
    <row r="140" spans="3:24" x14ac:dyDescent="0.15">
      <c r="C140" s="27"/>
      <c r="K140" s="27">
        <v>133</v>
      </c>
      <c r="L140" s="27">
        <f t="shared" si="14"/>
        <v>10640</v>
      </c>
      <c r="M140" s="27">
        <f t="shared" si="14"/>
        <v>10640</v>
      </c>
      <c r="N140" s="27">
        <f t="shared" si="14"/>
        <v>10640</v>
      </c>
      <c r="O140" s="27">
        <f t="shared" si="14"/>
        <v>10640</v>
      </c>
      <c r="P140" s="27">
        <f t="shared" si="14"/>
        <v>10640</v>
      </c>
      <c r="S140" s="38">
        <v>133</v>
      </c>
      <c r="T140" s="38">
        <f>IFERROR(求节点(节奏总纲!AD$4:AD$363,L$8:L$367,$S140),0)</f>
        <v>28800</v>
      </c>
      <c r="U140" s="38">
        <f>IFERROR(求节点(节奏总纲!AE$4:AE$363,M$8:M$367,$S140),0)</f>
        <v>28800</v>
      </c>
      <c r="V140" s="38">
        <f>IFERROR(求节点(节奏总纲!AF$4:AF$363,N$8:N$367,$S140),0)</f>
        <v>28800</v>
      </c>
      <c r="W140" s="38">
        <f>IFERROR(求节点(节奏总纲!AG$4:AG$363,O$8:O$367,$S140),0)</f>
        <v>28800</v>
      </c>
      <c r="X140" s="38">
        <f>IFERROR(求节点(节奏总纲!AH$4:AH$363,P$8:P$367,$S140),0)</f>
        <v>28800</v>
      </c>
    </row>
    <row r="141" spans="3:24" x14ac:dyDescent="0.15">
      <c r="C141" s="27"/>
      <c r="K141" s="27">
        <v>134</v>
      </c>
      <c r="L141" s="27">
        <f t="shared" si="14"/>
        <v>10720</v>
      </c>
      <c r="M141" s="27">
        <f t="shared" si="14"/>
        <v>10720</v>
      </c>
      <c r="N141" s="27">
        <f t="shared" si="14"/>
        <v>10720</v>
      </c>
      <c r="O141" s="27">
        <f t="shared" si="14"/>
        <v>10720</v>
      </c>
      <c r="P141" s="27">
        <f t="shared" si="14"/>
        <v>10720</v>
      </c>
      <c r="S141" s="38">
        <v>134</v>
      </c>
      <c r="T141" s="38">
        <f>IFERROR(求节点(节奏总纲!AD$4:AD$363,L$8:L$367,$S141),0)</f>
        <v>28800</v>
      </c>
      <c r="U141" s="38">
        <f>IFERROR(求节点(节奏总纲!AE$4:AE$363,M$8:M$367,$S141),0)</f>
        <v>28800</v>
      </c>
      <c r="V141" s="38">
        <f>IFERROR(求节点(节奏总纲!AF$4:AF$363,N$8:N$367,$S141),0)</f>
        <v>28800</v>
      </c>
      <c r="W141" s="38">
        <f>IFERROR(求节点(节奏总纲!AG$4:AG$363,O$8:O$367,$S141),0)</f>
        <v>28800</v>
      </c>
      <c r="X141" s="38">
        <f>IFERROR(求节点(节奏总纲!AH$4:AH$363,P$8:P$367,$S141),0)</f>
        <v>28800</v>
      </c>
    </row>
    <row r="142" spans="3:24" x14ac:dyDescent="0.15">
      <c r="C142" s="27"/>
      <c r="K142" s="27">
        <v>135</v>
      </c>
      <c r="L142" s="27">
        <f t="shared" si="14"/>
        <v>10800</v>
      </c>
      <c r="M142" s="27">
        <f t="shared" si="14"/>
        <v>10800</v>
      </c>
      <c r="N142" s="27">
        <f t="shared" si="14"/>
        <v>10800</v>
      </c>
      <c r="O142" s="27">
        <f t="shared" si="14"/>
        <v>10800</v>
      </c>
      <c r="P142" s="27">
        <f t="shared" si="14"/>
        <v>10800</v>
      </c>
      <c r="S142" s="38">
        <v>135</v>
      </c>
      <c r="T142" s="38">
        <f>IFERROR(求节点(节奏总纲!AD$4:AD$363,L$8:L$367,$S142),0)</f>
        <v>28800</v>
      </c>
      <c r="U142" s="38">
        <f>IFERROR(求节点(节奏总纲!AE$4:AE$363,M$8:M$367,$S142),0)</f>
        <v>28800</v>
      </c>
      <c r="V142" s="38">
        <f>IFERROR(求节点(节奏总纲!AF$4:AF$363,N$8:N$367,$S142),0)</f>
        <v>28800</v>
      </c>
      <c r="W142" s="38">
        <f>IFERROR(求节点(节奏总纲!AG$4:AG$363,O$8:O$367,$S142),0)</f>
        <v>28800</v>
      </c>
      <c r="X142" s="38">
        <f>IFERROR(求节点(节奏总纲!AH$4:AH$363,P$8:P$367,$S142),0)</f>
        <v>28800</v>
      </c>
    </row>
    <row r="143" spans="3:24" x14ac:dyDescent="0.15">
      <c r="C143" s="27"/>
      <c r="K143" s="27">
        <v>136</v>
      </c>
      <c r="L143" s="27">
        <f t="shared" si="14"/>
        <v>10880</v>
      </c>
      <c r="M143" s="27">
        <f t="shared" si="14"/>
        <v>10880</v>
      </c>
      <c r="N143" s="27">
        <f t="shared" si="14"/>
        <v>10880</v>
      </c>
      <c r="O143" s="27">
        <f t="shared" si="14"/>
        <v>10880</v>
      </c>
      <c r="P143" s="27">
        <f t="shared" si="14"/>
        <v>10880</v>
      </c>
      <c r="S143" s="38">
        <v>136</v>
      </c>
      <c r="T143" s="38">
        <f>IFERROR(求节点(节奏总纲!AD$4:AD$363,L$8:L$367,$S143),0)</f>
        <v>28800</v>
      </c>
      <c r="U143" s="38">
        <f>IFERROR(求节点(节奏总纲!AE$4:AE$363,M$8:M$367,$S143),0)</f>
        <v>28800</v>
      </c>
      <c r="V143" s="38">
        <f>IFERROR(求节点(节奏总纲!AF$4:AF$363,N$8:N$367,$S143),0)</f>
        <v>28800</v>
      </c>
      <c r="W143" s="38">
        <f>IFERROR(求节点(节奏总纲!AG$4:AG$363,O$8:O$367,$S143),0)</f>
        <v>28800</v>
      </c>
      <c r="X143" s="38">
        <f>IFERROR(求节点(节奏总纲!AH$4:AH$363,P$8:P$367,$S143),0)</f>
        <v>28800</v>
      </c>
    </row>
    <row r="144" spans="3:24" x14ac:dyDescent="0.15">
      <c r="C144" s="27"/>
      <c r="K144" s="27">
        <v>137</v>
      </c>
      <c r="L144" s="27">
        <f t="shared" si="14"/>
        <v>10960</v>
      </c>
      <c r="M144" s="27">
        <f t="shared" si="14"/>
        <v>10960</v>
      </c>
      <c r="N144" s="27">
        <f t="shared" si="14"/>
        <v>10960</v>
      </c>
      <c r="O144" s="27">
        <f t="shared" si="14"/>
        <v>10960</v>
      </c>
      <c r="P144" s="27">
        <f t="shared" si="14"/>
        <v>10960</v>
      </c>
      <c r="S144" s="38">
        <v>137</v>
      </c>
      <c r="T144" s="38">
        <f>IFERROR(求节点(节奏总纲!AD$4:AD$363,L$8:L$367,$S144),0)</f>
        <v>28800</v>
      </c>
      <c r="U144" s="38">
        <f>IFERROR(求节点(节奏总纲!AE$4:AE$363,M$8:M$367,$S144),0)</f>
        <v>28800</v>
      </c>
      <c r="V144" s="38">
        <f>IFERROR(求节点(节奏总纲!AF$4:AF$363,N$8:N$367,$S144),0)</f>
        <v>28800</v>
      </c>
      <c r="W144" s="38">
        <f>IFERROR(求节点(节奏总纲!AG$4:AG$363,O$8:O$367,$S144),0)</f>
        <v>28800</v>
      </c>
      <c r="X144" s="38">
        <f>IFERROR(求节点(节奏总纲!AH$4:AH$363,P$8:P$367,$S144),0)</f>
        <v>28800</v>
      </c>
    </row>
    <row r="145" spans="3:24" x14ac:dyDescent="0.15">
      <c r="C145" s="27"/>
      <c r="K145" s="27">
        <v>138</v>
      </c>
      <c r="L145" s="27">
        <f t="shared" si="14"/>
        <v>11040</v>
      </c>
      <c r="M145" s="27">
        <f t="shared" si="14"/>
        <v>11040</v>
      </c>
      <c r="N145" s="27">
        <f t="shared" si="14"/>
        <v>11040</v>
      </c>
      <c r="O145" s="27">
        <f t="shared" si="14"/>
        <v>11040</v>
      </c>
      <c r="P145" s="27">
        <f t="shared" si="14"/>
        <v>11040</v>
      </c>
      <c r="S145" s="38">
        <v>138</v>
      </c>
      <c r="T145" s="38">
        <f>IFERROR(求节点(节奏总纲!AD$4:AD$363,L$8:L$367,$S145),0)</f>
        <v>28800</v>
      </c>
      <c r="U145" s="38">
        <f>IFERROR(求节点(节奏总纲!AE$4:AE$363,M$8:M$367,$S145),0)</f>
        <v>28800</v>
      </c>
      <c r="V145" s="38">
        <f>IFERROR(求节点(节奏总纲!AF$4:AF$363,N$8:N$367,$S145),0)</f>
        <v>28800</v>
      </c>
      <c r="W145" s="38">
        <f>IFERROR(求节点(节奏总纲!AG$4:AG$363,O$8:O$367,$S145),0)</f>
        <v>28800</v>
      </c>
      <c r="X145" s="38">
        <f>IFERROR(求节点(节奏总纲!AH$4:AH$363,P$8:P$367,$S145),0)</f>
        <v>28800</v>
      </c>
    </row>
    <row r="146" spans="3:24" x14ac:dyDescent="0.15">
      <c r="C146" s="27"/>
      <c r="K146" s="27">
        <v>139</v>
      </c>
      <c r="L146" s="27">
        <f t="shared" si="14"/>
        <v>11120</v>
      </c>
      <c r="M146" s="27">
        <f t="shared" si="14"/>
        <v>11120</v>
      </c>
      <c r="N146" s="27">
        <f t="shared" si="14"/>
        <v>11120</v>
      </c>
      <c r="O146" s="27">
        <f t="shared" si="14"/>
        <v>11120</v>
      </c>
      <c r="P146" s="27">
        <f t="shared" si="14"/>
        <v>11120</v>
      </c>
      <c r="S146" s="38">
        <v>139</v>
      </c>
      <c r="T146" s="38">
        <f>IFERROR(求节点(节奏总纲!AD$4:AD$363,L$8:L$367,$S146),0)</f>
        <v>28800</v>
      </c>
      <c r="U146" s="38">
        <f>IFERROR(求节点(节奏总纲!AE$4:AE$363,M$8:M$367,$S146),0)</f>
        <v>28800</v>
      </c>
      <c r="V146" s="38">
        <f>IFERROR(求节点(节奏总纲!AF$4:AF$363,N$8:N$367,$S146),0)</f>
        <v>28800</v>
      </c>
      <c r="W146" s="38">
        <f>IFERROR(求节点(节奏总纲!AG$4:AG$363,O$8:O$367,$S146),0)</f>
        <v>28800</v>
      </c>
      <c r="X146" s="38">
        <f>IFERROR(求节点(节奏总纲!AH$4:AH$363,P$8:P$367,$S146),0)</f>
        <v>28800</v>
      </c>
    </row>
    <row r="147" spans="3:24" x14ac:dyDescent="0.15">
      <c r="C147" s="27"/>
      <c r="K147" s="27">
        <v>140</v>
      </c>
      <c r="L147" s="27">
        <f t="shared" si="14"/>
        <v>11200</v>
      </c>
      <c r="M147" s="27">
        <f t="shared" si="14"/>
        <v>11200</v>
      </c>
      <c r="N147" s="27">
        <f t="shared" si="14"/>
        <v>11200</v>
      </c>
      <c r="O147" s="27">
        <f t="shared" si="14"/>
        <v>11200</v>
      </c>
      <c r="P147" s="27">
        <f t="shared" si="14"/>
        <v>11200</v>
      </c>
      <c r="S147" s="38">
        <v>140</v>
      </c>
      <c r="T147" s="38">
        <f>IFERROR(求节点(节奏总纲!AD$4:AD$363,L$8:L$367,$S147),0)</f>
        <v>28800</v>
      </c>
      <c r="U147" s="38">
        <f>IFERROR(求节点(节奏总纲!AE$4:AE$363,M$8:M$367,$S147),0)</f>
        <v>28800</v>
      </c>
      <c r="V147" s="38">
        <f>IFERROR(求节点(节奏总纲!AF$4:AF$363,N$8:N$367,$S147),0)</f>
        <v>28800</v>
      </c>
      <c r="W147" s="38">
        <f>IFERROR(求节点(节奏总纲!AG$4:AG$363,O$8:O$367,$S147),0)</f>
        <v>28800</v>
      </c>
      <c r="X147" s="38">
        <f>IFERROR(求节点(节奏总纲!AH$4:AH$363,P$8:P$367,$S147),0)</f>
        <v>28800</v>
      </c>
    </row>
    <row r="148" spans="3:24" x14ac:dyDescent="0.15">
      <c r="C148" s="27"/>
      <c r="K148" s="27">
        <v>141</v>
      </c>
      <c r="L148" s="27">
        <f t="shared" ref="L148:P157" si="15">IFERROR(MAX($K148-$D$1,0)*$D$3/30,0)</f>
        <v>11280</v>
      </c>
      <c r="M148" s="27">
        <f t="shared" si="15"/>
        <v>11280</v>
      </c>
      <c r="N148" s="27">
        <f t="shared" si="15"/>
        <v>11280</v>
      </c>
      <c r="O148" s="27">
        <f t="shared" si="15"/>
        <v>11280</v>
      </c>
      <c r="P148" s="27">
        <f t="shared" si="15"/>
        <v>11280</v>
      </c>
      <c r="S148" s="38">
        <v>141</v>
      </c>
      <c r="T148" s="38">
        <f>IFERROR(求节点(节奏总纲!AD$4:AD$363,L$8:L$367,$S148),0)</f>
        <v>28800</v>
      </c>
      <c r="U148" s="38">
        <f>IFERROR(求节点(节奏总纲!AE$4:AE$363,M$8:M$367,$S148),0)</f>
        <v>28800</v>
      </c>
      <c r="V148" s="38">
        <f>IFERROR(求节点(节奏总纲!AF$4:AF$363,N$8:N$367,$S148),0)</f>
        <v>28800</v>
      </c>
      <c r="W148" s="38">
        <f>IFERROR(求节点(节奏总纲!AG$4:AG$363,O$8:O$367,$S148),0)</f>
        <v>28800</v>
      </c>
      <c r="X148" s="38">
        <f>IFERROR(求节点(节奏总纲!AH$4:AH$363,P$8:P$367,$S148),0)</f>
        <v>28800</v>
      </c>
    </row>
    <row r="149" spans="3:24" x14ac:dyDescent="0.15">
      <c r="C149" s="27"/>
      <c r="K149" s="27">
        <v>142</v>
      </c>
      <c r="L149" s="27">
        <f t="shared" si="15"/>
        <v>11360</v>
      </c>
      <c r="M149" s="27">
        <f t="shared" si="15"/>
        <v>11360</v>
      </c>
      <c r="N149" s="27">
        <f t="shared" si="15"/>
        <v>11360</v>
      </c>
      <c r="O149" s="27">
        <f t="shared" si="15"/>
        <v>11360</v>
      </c>
      <c r="P149" s="27">
        <f t="shared" si="15"/>
        <v>11360</v>
      </c>
      <c r="S149" s="38">
        <v>142</v>
      </c>
      <c r="T149" s="38">
        <f>IFERROR(求节点(节奏总纲!AD$4:AD$363,L$8:L$367,$S149),0)</f>
        <v>28800</v>
      </c>
      <c r="U149" s="38">
        <f>IFERROR(求节点(节奏总纲!AE$4:AE$363,M$8:M$367,$S149),0)</f>
        <v>28800</v>
      </c>
      <c r="V149" s="38">
        <f>IFERROR(求节点(节奏总纲!AF$4:AF$363,N$8:N$367,$S149),0)</f>
        <v>28800</v>
      </c>
      <c r="W149" s="38">
        <f>IFERROR(求节点(节奏总纲!AG$4:AG$363,O$8:O$367,$S149),0)</f>
        <v>28800</v>
      </c>
      <c r="X149" s="38">
        <f>IFERROR(求节点(节奏总纲!AH$4:AH$363,P$8:P$367,$S149),0)</f>
        <v>28800</v>
      </c>
    </row>
    <row r="150" spans="3:24" x14ac:dyDescent="0.15">
      <c r="C150" s="27"/>
      <c r="K150" s="27">
        <v>143</v>
      </c>
      <c r="L150" s="27">
        <f t="shared" si="15"/>
        <v>11440</v>
      </c>
      <c r="M150" s="27">
        <f t="shared" si="15"/>
        <v>11440</v>
      </c>
      <c r="N150" s="27">
        <f t="shared" si="15"/>
        <v>11440</v>
      </c>
      <c r="O150" s="27">
        <f t="shared" si="15"/>
        <v>11440</v>
      </c>
      <c r="P150" s="27">
        <f t="shared" si="15"/>
        <v>11440</v>
      </c>
      <c r="S150" s="38">
        <v>143</v>
      </c>
      <c r="T150" s="38">
        <f>IFERROR(求节点(节奏总纲!AD$4:AD$363,L$8:L$367,$S150),0)</f>
        <v>28800</v>
      </c>
      <c r="U150" s="38">
        <f>IFERROR(求节点(节奏总纲!AE$4:AE$363,M$8:M$367,$S150),0)</f>
        <v>28800</v>
      </c>
      <c r="V150" s="38">
        <f>IFERROR(求节点(节奏总纲!AF$4:AF$363,N$8:N$367,$S150),0)</f>
        <v>28800</v>
      </c>
      <c r="W150" s="38">
        <f>IFERROR(求节点(节奏总纲!AG$4:AG$363,O$8:O$367,$S150),0)</f>
        <v>28800</v>
      </c>
      <c r="X150" s="38">
        <f>IFERROR(求节点(节奏总纲!AH$4:AH$363,P$8:P$367,$S150),0)</f>
        <v>28800</v>
      </c>
    </row>
    <row r="151" spans="3:24" x14ac:dyDescent="0.15">
      <c r="C151" s="27"/>
      <c r="K151" s="27">
        <v>144</v>
      </c>
      <c r="L151" s="27">
        <f t="shared" si="15"/>
        <v>11520</v>
      </c>
      <c r="M151" s="27">
        <f t="shared" si="15"/>
        <v>11520</v>
      </c>
      <c r="N151" s="27">
        <f t="shared" si="15"/>
        <v>11520</v>
      </c>
      <c r="O151" s="27">
        <f t="shared" si="15"/>
        <v>11520</v>
      </c>
      <c r="P151" s="27">
        <f t="shared" si="15"/>
        <v>11520</v>
      </c>
      <c r="S151" s="38">
        <v>144</v>
      </c>
      <c r="T151" s="38">
        <f>IFERROR(求节点(节奏总纲!AD$4:AD$363,L$8:L$367,$S151),0)</f>
        <v>28800</v>
      </c>
      <c r="U151" s="38">
        <f>IFERROR(求节点(节奏总纲!AE$4:AE$363,M$8:M$367,$S151),0)</f>
        <v>28800</v>
      </c>
      <c r="V151" s="38">
        <f>IFERROR(求节点(节奏总纲!AF$4:AF$363,N$8:N$367,$S151),0)</f>
        <v>28800</v>
      </c>
      <c r="W151" s="38">
        <f>IFERROR(求节点(节奏总纲!AG$4:AG$363,O$8:O$367,$S151),0)</f>
        <v>28800</v>
      </c>
      <c r="X151" s="38">
        <f>IFERROR(求节点(节奏总纲!AH$4:AH$363,P$8:P$367,$S151),0)</f>
        <v>28800</v>
      </c>
    </row>
    <row r="152" spans="3:24" x14ac:dyDescent="0.15">
      <c r="C152" s="27"/>
      <c r="K152" s="27">
        <v>145</v>
      </c>
      <c r="L152" s="27">
        <f t="shared" si="15"/>
        <v>11600</v>
      </c>
      <c r="M152" s="27">
        <f t="shared" si="15"/>
        <v>11600</v>
      </c>
      <c r="N152" s="27">
        <f t="shared" si="15"/>
        <v>11600</v>
      </c>
      <c r="O152" s="27">
        <f t="shared" si="15"/>
        <v>11600</v>
      </c>
      <c r="P152" s="27">
        <f t="shared" si="15"/>
        <v>11600</v>
      </c>
      <c r="S152" s="38">
        <v>145</v>
      </c>
      <c r="T152" s="38">
        <f>IFERROR(求节点(节奏总纲!AD$4:AD$363,L$8:L$367,$S152),0)</f>
        <v>28800</v>
      </c>
      <c r="U152" s="38">
        <f>IFERROR(求节点(节奏总纲!AE$4:AE$363,M$8:M$367,$S152),0)</f>
        <v>28800</v>
      </c>
      <c r="V152" s="38">
        <f>IFERROR(求节点(节奏总纲!AF$4:AF$363,N$8:N$367,$S152),0)</f>
        <v>28800</v>
      </c>
      <c r="W152" s="38">
        <f>IFERROR(求节点(节奏总纲!AG$4:AG$363,O$8:O$367,$S152),0)</f>
        <v>28800</v>
      </c>
      <c r="X152" s="38">
        <f>IFERROR(求节点(节奏总纲!AH$4:AH$363,P$8:P$367,$S152),0)</f>
        <v>28800</v>
      </c>
    </row>
    <row r="153" spans="3:24" x14ac:dyDescent="0.15">
      <c r="C153" s="27"/>
      <c r="K153" s="27">
        <v>146</v>
      </c>
      <c r="L153" s="27">
        <f t="shared" si="15"/>
        <v>11680</v>
      </c>
      <c r="M153" s="27">
        <f t="shared" si="15"/>
        <v>11680</v>
      </c>
      <c r="N153" s="27">
        <f t="shared" si="15"/>
        <v>11680</v>
      </c>
      <c r="O153" s="27">
        <f t="shared" si="15"/>
        <v>11680</v>
      </c>
      <c r="P153" s="27">
        <f t="shared" si="15"/>
        <v>11680</v>
      </c>
      <c r="S153" s="38">
        <v>146</v>
      </c>
      <c r="T153" s="38">
        <f>IFERROR(求节点(节奏总纲!AD$4:AD$363,L$8:L$367,$S153),0)</f>
        <v>28800</v>
      </c>
      <c r="U153" s="38">
        <f>IFERROR(求节点(节奏总纲!AE$4:AE$363,M$8:M$367,$S153),0)</f>
        <v>28800</v>
      </c>
      <c r="V153" s="38">
        <f>IFERROR(求节点(节奏总纲!AF$4:AF$363,N$8:N$367,$S153),0)</f>
        <v>28800</v>
      </c>
      <c r="W153" s="38">
        <f>IFERROR(求节点(节奏总纲!AG$4:AG$363,O$8:O$367,$S153),0)</f>
        <v>28800</v>
      </c>
      <c r="X153" s="38">
        <f>IFERROR(求节点(节奏总纲!AH$4:AH$363,P$8:P$367,$S153),0)</f>
        <v>28800</v>
      </c>
    </row>
    <row r="154" spans="3:24" x14ac:dyDescent="0.15">
      <c r="C154" s="27"/>
      <c r="K154" s="27">
        <v>147</v>
      </c>
      <c r="L154" s="27">
        <f t="shared" si="15"/>
        <v>11760</v>
      </c>
      <c r="M154" s="27">
        <f t="shared" si="15"/>
        <v>11760</v>
      </c>
      <c r="N154" s="27">
        <f t="shared" si="15"/>
        <v>11760</v>
      </c>
      <c r="O154" s="27">
        <f t="shared" si="15"/>
        <v>11760</v>
      </c>
      <c r="P154" s="27">
        <f t="shared" si="15"/>
        <v>11760</v>
      </c>
      <c r="S154" s="38">
        <v>147</v>
      </c>
      <c r="T154" s="38">
        <f>IFERROR(求节点(节奏总纲!AD$4:AD$363,L$8:L$367,$S154),0)</f>
        <v>28800</v>
      </c>
      <c r="U154" s="38">
        <f>IFERROR(求节点(节奏总纲!AE$4:AE$363,M$8:M$367,$S154),0)</f>
        <v>28800</v>
      </c>
      <c r="V154" s="38">
        <f>IFERROR(求节点(节奏总纲!AF$4:AF$363,N$8:N$367,$S154),0)</f>
        <v>28800</v>
      </c>
      <c r="W154" s="38">
        <f>IFERROR(求节点(节奏总纲!AG$4:AG$363,O$8:O$367,$S154),0)</f>
        <v>28800</v>
      </c>
      <c r="X154" s="38">
        <f>IFERROR(求节点(节奏总纲!AH$4:AH$363,P$8:P$367,$S154),0)</f>
        <v>28800</v>
      </c>
    </row>
    <row r="155" spans="3:24" x14ac:dyDescent="0.15">
      <c r="C155" s="27"/>
      <c r="K155" s="27">
        <v>148</v>
      </c>
      <c r="L155" s="27">
        <f t="shared" si="15"/>
        <v>11840</v>
      </c>
      <c r="M155" s="27">
        <f t="shared" si="15"/>
        <v>11840</v>
      </c>
      <c r="N155" s="27">
        <f t="shared" si="15"/>
        <v>11840</v>
      </c>
      <c r="O155" s="27">
        <f t="shared" si="15"/>
        <v>11840</v>
      </c>
      <c r="P155" s="27">
        <f t="shared" si="15"/>
        <v>11840</v>
      </c>
      <c r="S155" s="38">
        <v>148</v>
      </c>
      <c r="T155" s="38">
        <f>IFERROR(求节点(节奏总纲!AD$4:AD$363,L$8:L$367,$S155),0)</f>
        <v>28800</v>
      </c>
      <c r="U155" s="38">
        <f>IFERROR(求节点(节奏总纲!AE$4:AE$363,M$8:M$367,$S155),0)</f>
        <v>28800</v>
      </c>
      <c r="V155" s="38">
        <f>IFERROR(求节点(节奏总纲!AF$4:AF$363,N$8:N$367,$S155),0)</f>
        <v>28800</v>
      </c>
      <c r="W155" s="38">
        <f>IFERROR(求节点(节奏总纲!AG$4:AG$363,O$8:O$367,$S155),0)</f>
        <v>28800</v>
      </c>
      <c r="X155" s="38">
        <f>IFERROR(求节点(节奏总纲!AH$4:AH$363,P$8:P$367,$S155),0)</f>
        <v>28800</v>
      </c>
    </row>
    <row r="156" spans="3:24" x14ac:dyDescent="0.15">
      <c r="C156" s="27"/>
      <c r="K156" s="27">
        <v>149</v>
      </c>
      <c r="L156" s="27">
        <f t="shared" si="15"/>
        <v>11920</v>
      </c>
      <c r="M156" s="27">
        <f t="shared" si="15"/>
        <v>11920</v>
      </c>
      <c r="N156" s="27">
        <f t="shared" si="15"/>
        <v>11920</v>
      </c>
      <c r="O156" s="27">
        <f t="shared" si="15"/>
        <v>11920</v>
      </c>
      <c r="P156" s="27">
        <f t="shared" si="15"/>
        <v>11920</v>
      </c>
      <c r="S156" s="38">
        <v>149</v>
      </c>
      <c r="T156" s="38">
        <f>IFERROR(求节点(节奏总纲!AD$4:AD$363,L$8:L$367,$S156),0)</f>
        <v>28800</v>
      </c>
      <c r="U156" s="38">
        <f>IFERROR(求节点(节奏总纲!AE$4:AE$363,M$8:M$367,$S156),0)</f>
        <v>28800</v>
      </c>
      <c r="V156" s="38">
        <f>IFERROR(求节点(节奏总纲!AF$4:AF$363,N$8:N$367,$S156),0)</f>
        <v>28800</v>
      </c>
      <c r="W156" s="38">
        <f>IFERROR(求节点(节奏总纲!AG$4:AG$363,O$8:O$367,$S156),0)</f>
        <v>28800</v>
      </c>
      <c r="X156" s="38">
        <f>IFERROR(求节点(节奏总纲!AH$4:AH$363,P$8:P$367,$S156),0)</f>
        <v>28800</v>
      </c>
    </row>
    <row r="157" spans="3:24" x14ac:dyDescent="0.15">
      <c r="C157" s="27"/>
      <c r="K157" s="27">
        <v>150</v>
      </c>
      <c r="L157" s="27">
        <f t="shared" si="15"/>
        <v>12000</v>
      </c>
      <c r="M157" s="27">
        <f t="shared" si="15"/>
        <v>12000</v>
      </c>
      <c r="N157" s="27">
        <f t="shared" si="15"/>
        <v>12000</v>
      </c>
      <c r="O157" s="27">
        <f t="shared" si="15"/>
        <v>12000</v>
      </c>
      <c r="P157" s="27">
        <f t="shared" si="15"/>
        <v>12000</v>
      </c>
      <c r="S157" s="38">
        <v>150</v>
      </c>
      <c r="T157" s="38">
        <f>IFERROR(求节点(节奏总纲!AD$4:AD$363,L$8:L$367,$S157),0)</f>
        <v>28800</v>
      </c>
      <c r="U157" s="38">
        <f>IFERROR(求节点(节奏总纲!AE$4:AE$363,M$8:M$367,$S157),0)</f>
        <v>28800</v>
      </c>
      <c r="V157" s="38">
        <f>IFERROR(求节点(节奏总纲!AF$4:AF$363,N$8:N$367,$S157),0)</f>
        <v>28800</v>
      </c>
      <c r="W157" s="38">
        <f>IFERROR(求节点(节奏总纲!AG$4:AG$363,O$8:O$367,$S157),0)</f>
        <v>28800</v>
      </c>
      <c r="X157" s="38">
        <f>IFERROR(求节点(节奏总纲!AH$4:AH$363,P$8:P$367,$S157),0)</f>
        <v>28800</v>
      </c>
    </row>
    <row r="158" spans="3:24" x14ac:dyDescent="0.15">
      <c r="C158" s="27"/>
      <c r="K158" s="27">
        <v>151</v>
      </c>
      <c r="L158" s="27">
        <f t="shared" ref="L158:P167" si="16">IFERROR(MAX($K158-$D$1,0)*$D$3/30,0)</f>
        <v>12080</v>
      </c>
      <c r="M158" s="27">
        <f t="shared" si="16"/>
        <v>12080</v>
      </c>
      <c r="N158" s="27">
        <f t="shared" si="16"/>
        <v>12080</v>
      </c>
      <c r="O158" s="27">
        <f t="shared" si="16"/>
        <v>12080</v>
      </c>
      <c r="P158" s="27">
        <f t="shared" si="16"/>
        <v>12080</v>
      </c>
      <c r="S158" s="38">
        <v>151</v>
      </c>
      <c r="T158" s="38">
        <f>IFERROR(求节点(节奏总纲!AD$4:AD$363,L$8:L$367,$S158),0)</f>
        <v>28800</v>
      </c>
      <c r="U158" s="38">
        <f>IFERROR(求节点(节奏总纲!AE$4:AE$363,M$8:M$367,$S158),0)</f>
        <v>28800</v>
      </c>
      <c r="V158" s="38">
        <f>IFERROR(求节点(节奏总纲!AF$4:AF$363,N$8:N$367,$S158),0)</f>
        <v>28800</v>
      </c>
      <c r="W158" s="38">
        <f>IFERROR(求节点(节奏总纲!AG$4:AG$363,O$8:O$367,$S158),0)</f>
        <v>28800</v>
      </c>
      <c r="X158" s="38">
        <f>IFERROR(求节点(节奏总纲!AH$4:AH$363,P$8:P$367,$S158),0)</f>
        <v>28800</v>
      </c>
    </row>
    <row r="159" spans="3:24" x14ac:dyDescent="0.15">
      <c r="C159" s="27"/>
      <c r="K159" s="27">
        <v>152</v>
      </c>
      <c r="L159" s="27">
        <f t="shared" si="16"/>
        <v>12160</v>
      </c>
      <c r="M159" s="27">
        <f t="shared" si="16"/>
        <v>12160</v>
      </c>
      <c r="N159" s="27">
        <f t="shared" si="16"/>
        <v>12160</v>
      </c>
      <c r="O159" s="27">
        <f t="shared" si="16"/>
        <v>12160</v>
      </c>
      <c r="P159" s="27">
        <f t="shared" si="16"/>
        <v>12160</v>
      </c>
      <c r="S159" s="38">
        <v>152</v>
      </c>
      <c r="T159" s="38">
        <f>IFERROR(求节点(节奏总纲!AD$4:AD$363,L$8:L$367,$S159),0)</f>
        <v>28800</v>
      </c>
      <c r="U159" s="38">
        <f>IFERROR(求节点(节奏总纲!AE$4:AE$363,M$8:M$367,$S159),0)</f>
        <v>28800</v>
      </c>
      <c r="V159" s="38">
        <f>IFERROR(求节点(节奏总纲!AF$4:AF$363,N$8:N$367,$S159),0)</f>
        <v>28800</v>
      </c>
      <c r="W159" s="38">
        <f>IFERROR(求节点(节奏总纲!AG$4:AG$363,O$8:O$367,$S159),0)</f>
        <v>28800</v>
      </c>
      <c r="X159" s="38">
        <f>IFERROR(求节点(节奏总纲!AH$4:AH$363,P$8:P$367,$S159),0)</f>
        <v>28800</v>
      </c>
    </row>
    <row r="160" spans="3:24" x14ac:dyDescent="0.15">
      <c r="C160" s="27"/>
      <c r="K160" s="27">
        <v>153</v>
      </c>
      <c r="L160" s="27">
        <f t="shared" si="16"/>
        <v>12240</v>
      </c>
      <c r="M160" s="27">
        <f t="shared" si="16"/>
        <v>12240</v>
      </c>
      <c r="N160" s="27">
        <f t="shared" si="16"/>
        <v>12240</v>
      </c>
      <c r="O160" s="27">
        <f t="shared" si="16"/>
        <v>12240</v>
      </c>
      <c r="P160" s="27">
        <f t="shared" si="16"/>
        <v>12240</v>
      </c>
      <c r="S160" s="38">
        <v>153</v>
      </c>
      <c r="T160" s="38">
        <f>IFERROR(求节点(节奏总纲!AD$4:AD$363,L$8:L$367,$S160),0)</f>
        <v>28800</v>
      </c>
      <c r="U160" s="38">
        <f>IFERROR(求节点(节奏总纲!AE$4:AE$363,M$8:M$367,$S160),0)</f>
        <v>28800</v>
      </c>
      <c r="V160" s="38">
        <f>IFERROR(求节点(节奏总纲!AF$4:AF$363,N$8:N$367,$S160),0)</f>
        <v>28800</v>
      </c>
      <c r="W160" s="38">
        <f>IFERROR(求节点(节奏总纲!AG$4:AG$363,O$8:O$367,$S160),0)</f>
        <v>28800</v>
      </c>
      <c r="X160" s="38">
        <f>IFERROR(求节点(节奏总纲!AH$4:AH$363,P$8:P$367,$S160),0)</f>
        <v>28800</v>
      </c>
    </row>
    <row r="161" spans="3:24" x14ac:dyDescent="0.15">
      <c r="C161" s="27"/>
      <c r="K161" s="27">
        <v>154</v>
      </c>
      <c r="L161" s="27">
        <f t="shared" si="16"/>
        <v>12320</v>
      </c>
      <c r="M161" s="27">
        <f t="shared" si="16"/>
        <v>12320</v>
      </c>
      <c r="N161" s="27">
        <f t="shared" si="16"/>
        <v>12320</v>
      </c>
      <c r="O161" s="27">
        <f t="shared" si="16"/>
        <v>12320</v>
      </c>
      <c r="P161" s="27">
        <f t="shared" si="16"/>
        <v>12320</v>
      </c>
      <c r="S161" s="38">
        <v>154</v>
      </c>
      <c r="T161" s="38">
        <f>IFERROR(求节点(节奏总纲!AD$4:AD$363,L$8:L$367,$S161),0)</f>
        <v>28800</v>
      </c>
      <c r="U161" s="38">
        <f>IFERROR(求节点(节奏总纲!AE$4:AE$363,M$8:M$367,$S161),0)</f>
        <v>28800</v>
      </c>
      <c r="V161" s="38">
        <f>IFERROR(求节点(节奏总纲!AF$4:AF$363,N$8:N$367,$S161),0)</f>
        <v>28800</v>
      </c>
      <c r="W161" s="38">
        <f>IFERROR(求节点(节奏总纲!AG$4:AG$363,O$8:O$367,$S161),0)</f>
        <v>28800</v>
      </c>
      <c r="X161" s="38">
        <f>IFERROR(求节点(节奏总纲!AH$4:AH$363,P$8:P$367,$S161),0)</f>
        <v>28800</v>
      </c>
    </row>
    <row r="162" spans="3:24" x14ac:dyDescent="0.15">
      <c r="C162" s="27"/>
      <c r="K162" s="27">
        <v>155</v>
      </c>
      <c r="L162" s="27">
        <f t="shared" si="16"/>
        <v>12400</v>
      </c>
      <c r="M162" s="27">
        <f t="shared" si="16"/>
        <v>12400</v>
      </c>
      <c r="N162" s="27">
        <f t="shared" si="16"/>
        <v>12400</v>
      </c>
      <c r="O162" s="27">
        <f t="shared" si="16"/>
        <v>12400</v>
      </c>
      <c r="P162" s="27">
        <f t="shared" si="16"/>
        <v>12400</v>
      </c>
      <c r="S162" s="38">
        <v>155</v>
      </c>
      <c r="T162" s="38">
        <f>IFERROR(求节点(节奏总纲!AD$4:AD$363,L$8:L$367,$S162),0)</f>
        <v>28800</v>
      </c>
      <c r="U162" s="38">
        <f>IFERROR(求节点(节奏总纲!AE$4:AE$363,M$8:M$367,$S162),0)</f>
        <v>28800</v>
      </c>
      <c r="V162" s="38">
        <f>IFERROR(求节点(节奏总纲!AF$4:AF$363,N$8:N$367,$S162),0)</f>
        <v>28800</v>
      </c>
      <c r="W162" s="38">
        <f>IFERROR(求节点(节奏总纲!AG$4:AG$363,O$8:O$367,$S162),0)</f>
        <v>28800</v>
      </c>
      <c r="X162" s="38">
        <f>IFERROR(求节点(节奏总纲!AH$4:AH$363,P$8:P$367,$S162),0)</f>
        <v>28800</v>
      </c>
    </row>
    <row r="163" spans="3:24" x14ac:dyDescent="0.15">
      <c r="C163" s="27"/>
      <c r="K163" s="27">
        <v>156</v>
      </c>
      <c r="L163" s="27">
        <f t="shared" si="16"/>
        <v>12480</v>
      </c>
      <c r="M163" s="27">
        <f t="shared" si="16"/>
        <v>12480</v>
      </c>
      <c r="N163" s="27">
        <f t="shared" si="16"/>
        <v>12480</v>
      </c>
      <c r="O163" s="27">
        <f t="shared" si="16"/>
        <v>12480</v>
      </c>
      <c r="P163" s="27">
        <f t="shared" si="16"/>
        <v>12480</v>
      </c>
      <c r="S163" s="38">
        <v>156</v>
      </c>
      <c r="T163" s="38">
        <f>IFERROR(求节点(节奏总纲!AD$4:AD$363,L$8:L$367,$S163),0)</f>
        <v>28800</v>
      </c>
      <c r="U163" s="38">
        <f>IFERROR(求节点(节奏总纲!AE$4:AE$363,M$8:M$367,$S163),0)</f>
        <v>28800</v>
      </c>
      <c r="V163" s="38">
        <f>IFERROR(求节点(节奏总纲!AF$4:AF$363,N$8:N$367,$S163),0)</f>
        <v>28800</v>
      </c>
      <c r="W163" s="38">
        <f>IFERROR(求节点(节奏总纲!AG$4:AG$363,O$8:O$367,$S163),0)</f>
        <v>28800</v>
      </c>
      <c r="X163" s="38">
        <f>IFERROR(求节点(节奏总纲!AH$4:AH$363,P$8:P$367,$S163),0)</f>
        <v>28800</v>
      </c>
    </row>
    <row r="164" spans="3:24" x14ac:dyDescent="0.15">
      <c r="C164" s="27"/>
      <c r="K164" s="27">
        <v>157</v>
      </c>
      <c r="L164" s="27">
        <f t="shared" si="16"/>
        <v>12560</v>
      </c>
      <c r="M164" s="27">
        <f t="shared" si="16"/>
        <v>12560</v>
      </c>
      <c r="N164" s="27">
        <f t="shared" si="16"/>
        <v>12560</v>
      </c>
      <c r="O164" s="27">
        <f t="shared" si="16"/>
        <v>12560</v>
      </c>
      <c r="P164" s="27">
        <f t="shared" si="16"/>
        <v>12560</v>
      </c>
      <c r="S164" s="38">
        <v>157</v>
      </c>
      <c r="T164" s="38">
        <f>IFERROR(求节点(节奏总纲!AD$4:AD$363,L$8:L$367,$S164),0)</f>
        <v>28800</v>
      </c>
      <c r="U164" s="38">
        <f>IFERROR(求节点(节奏总纲!AE$4:AE$363,M$8:M$367,$S164),0)</f>
        <v>28800</v>
      </c>
      <c r="V164" s="38">
        <f>IFERROR(求节点(节奏总纲!AF$4:AF$363,N$8:N$367,$S164),0)</f>
        <v>28800</v>
      </c>
      <c r="W164" s="38">
        <f>IFERROR(求节点(节奏总纲!AG$4:AG$363,O$8:O$367,$S164),0)</f>
        <v>28800</v>
      </c>
      <c r="X164" s="38">
        <f>IFERROR(求节点(节奏总纲!AH$4:AH$363,P$8:P$367,$S164),0)</f>
        <v>28800</v>
      </c>
    </row>
    <row r="165" spans="3:24" x14ac:dyDescent="0.15">
      <c r="C165" s="27"/>
      <c r="K165" s="27">
        <v>158</v>
      </c>
      <c r="L165" s="27">
        <f t="shared" si="16"/>
        <v>12640</v>
      </c>
      <c r="M165" s="27">
        <f t="shared" si="16"/>
        <v>12640</v>
      </c>
      <c r="N165" s="27">
        <f t="shared" si="16"/>
        <v>12640</v>
      </c>
      <c r="O165" s="27">
        <f t="shared" si="16"/>
        <v>12640</v>
      </c>
      <c r="P165" s="27">
        <f t="shared" si="16"/>
        <v>12640</v>
      </c>
      <c r="S165" s="38">
        <v>158</v>
      </c>
      <c r="T165" s="38">
        <f>IFERROR(求节点(节奏总纲!AD$4:AD$363,L$8:L$367,$S165),0)</f>
        <v>28800</v>
      </c>
      <c r="U165" s="38">
        <f>IFERROR(求节点(节奏总纲!AE$4:AE$363,M$8:M$367,$S165),0)</f>
        <v>28800</v>
      </c>
      <c r="V165" s="38">
        <f>IFERROR(求节点(节奏总纲!AF$4:AF$363,N$8:N$367,$S165),0)</f>
        <v>28800</v>
      </c>
      <c r="W165" s="38">
        <f>IFERROR(求节点(节奏总纲!AG$4:AG$363,O$8:O$367,$S165),0)</f>
        <v>28800</v>
      </c>
      <c r="X165" s="38">
        <f>IFERROR(求节点(节奏总纲!AH$4:AH$363,P$8:P$367,$S165),0)</f>
        <v>28800</v>
      </c>
    </row>
    <row r="166" spans="3:24" x14ac:dyDescent="0.15">
      <c r="C166" s="27"/>
      <c r="K166" s="27">
        <v>159</v>
      </c>
      <c r="L166" s="27">
        <f t="shared" si="16"/>
        <v>12720</v>
      </c>
      <c r="M166" s="27">
        <f t="shared" si="16"/>
        <v>12720</v>
      </c>
      <c r="N166" s="27">
        <f t="shared" si="16"/>
        <v>12720</v>
      </c>
      <c r="O166" s="27">
        <f t="shared" si="16"/>
        <v>12720</v>
      </c>
      <c r="P166" s="27">
        <f t="shared" si="16"/>
        <v>12720</v>
      </c>
      <c r="S166" s="38">
        <v>159</v>
      </c>
      <c r="T166" s="38">
        <f>IFERROR(求节点(节奏总纲!AD$4:AD$363,L$8:L$367,$S166),0)</f>
        <v>28800</v>
      </c>
      <c r="U166" s="38">
        <f>IFERROR(求节点(节奏总纲!AE$4:AE$363,M$8:M$367,$S166),0)</f>
        <v>28800</v>
      </c>
      <c r="V166" s="38">
        <f>IFERROR(求节点(节奏总纲!AF$4:AF$363,N$8:N$367,$S166),0)</f>
        <v>28800</v>
      </c>
      <c r="W166" s="38">
        <f>IFERROR(求节点(节奏总纲!AG$4:AG$363,O$8:O$367,$S166),0)</f>
        <v>28800</v>
      </c>
      <c r="X166" s="38">
        <f>IFERROR(求节点(节奏总纲!AH$4:AH$363,P$8:P$367,$S166),0)</f>
        <v>28800</v>
      </c>
    </row>
    <row r="167" spans="3:24" x14ac:dyDescent="0.15">
      <c r="C167" s="27"/>
      <c r="K167" s="27">
        <v>160</v>
      </c>
      <c r="L167" s="27">
        <f t="shared" si="16"/>
        <v>12800</v>
      </c>
      <c r="M167" s="27">
        <f t="shared" si="16"/>
        <v>12800</v>
      </c>
      <c r="N167" s="27">
        <f t="shared" si="16"/>
        <v>12800</v>
      </c>
      <c r="O167" s="27">
        <f t="shared" si="16"/>
        <v>12800</v>
      </c>
      <c r="P167" s="27">
        <f t="shared" si="16"/>
        <v>12800</v>
      </c>
      <c r="S167" s="38">
        <v>160</v>
      </c>
      <c r="T167" s="38">
        <f>IFERROR(求节点(节奏总纲!AD$4:AD$363,L$8:L$367,$S167),0)</f>
        <v>28800</v>
      </c>
      <c r="U167" s="38">
        <f>IFERROR(求节点(节奏总纲!AE$4:AE$363,M$8:M$367,$S167),0)</f>
        <v>28800</v>
      </c>
      <c r="V167" s="38">
        <f>IFERROR(求节点(节奏总纲!AF$4:AF$363,N$8:N$367,$S167),0)</f>
        <v>28800</v>
      </c>
      <c r="W167" s="38">
        <f>IFERROR(求节点(节奏总纲!AG$4:AG$363,O$8:O$367,$S167),0)</f>
        <v>28800</v>
      </c>
      <c r="X167" s="38">
        <f>IFERROR(求节点(节奏总纲!AH$4:AH$363,P$8:P$367,$S167),0)</f>
        <v>28800</v>
      </c>
    </row>
    <row r="168" spans="3:24" x14ac:dyDescent="0.15">
      <c r="C168" s="27"/>
      <c r="K168" s="27">
        <v>161</v>
      </c>
      <c r="L168" s="27">
        <f t="shared" ref="L168:P177" si="17">IFERROR(MAX($K168-$D$1,0)*$D$3/30,0)</f>
        <v>12880</v>
      </c>
      <c r="M168" s="27">
        <f t="shared" si="17"/>
        <v>12880</v>
      </c>
      <c r="N168" s="27">
        <f t="shared" si="17"/>
        <v>12880</v>
      </c>
      <c r="O168" s="27">
        <f t="shared" si="17"/>
        <v>12880</v>
      </c>
      <c r="P168" s="27">
        <f t="shared" si="17"/>
        <v>12880</v>
      </c>
      <c r="S168" s="38">
        <v>161</v>
      </c>
      <c r="T168" s="38">
        <f>IFERROR(求节点(节奏总纲!AD$4:AD$363,L$8:L$367,$S168),0)</f>
        <v>28800</v>
      </c>
      <c r="U168" s="38">
        <f>IFERROR(求节点(节奏总纲!AE$4:AE$363,M$8:M$367,$S168),0)</f>
        <v>28800</v>
      </c>
      <c r="V168" s="38">
        <f>IFERROR(求节点(节奏总纲!AF$4:AF$363,N$8:N$367,$S168),0)</f>
        <v>28800</v>
      </c>
      <c r="W168" s="38">
        <f>IFERROR(求节点(节奏总纲!AG$4:AG$363,O$8:O$367,$S168),0)</f>
        <v>28800</v>
      </c>
      <c r="X168" s="38">
        <f>IFERROR(求节点(节奏总纲!AH$4:AH$363,P$8:P$367,$S168),0)</f>
        <v>28800</v>
      </c>
    </row>
    <row r="169" spans="3:24" x14ac:dyDescent="0.15">
      <c r="C169" s="27"/>
      <c r="K169" s="27">
        <v>162</v>
      </c>
      <c r="L169" s="27">
        <f t="shared" si="17"/>
        <v>12960</v>
      </c>
      <c r="M169" s="27">
        <f t="shared" si="17"/>
        <v>12960</v>
      </c>
      <c r="N169" s="27">
        <f t="shared" si="17"/>
        <v>12960</v>
      </c>
      <c r="O169" s="27">
        <f t="shared" si="17"/>
        <v>12960</v>
      </c>
      <c r="P169" s="27">
        <f t="shared" si="17"/>
        <v>12960</v>
      </c>
      <c r="S169" s="38">
        <v>162</v>
      </c>
      <c r="T169" s="38">
        <f>IFERROR(求节点(节奏总纲!AD$4:AD$363,L$8:L$367,$S169),0)</f>
        <v>28800</v>
      </c>
      <c r="U169" s="38">
        <f>IFERROR(求节点(节奏总纲!AE$4:AE$363,M$8:M$367,$S169),0)</f>
        <v>28800</v>
      </c>
      <c r="V169" s="38">
        <f>IFERROR(求节点(节奏总纲!AF$4:AF$363,N$8:N$367,$S169),0)</f>
        <v>28800</v>
      </c>
      <c r="W169" s="38">
        <f>IFERROR(求节点(节奏总纲!AG$4:AG$363,O$8:O$367,$S169),0)</f>
        <v>28800</v>
      </c>
      <c r="X169" s="38">
        <f>IFERROR(求节点(节奏总纲!AH$4:AH$363,P$8:P$367,$S169),0)</f>
        <v>28800</v>
      </c>
    </row>
    <row r="170" spans="3:24" x14ac:dyDescent="0.15">
      <c r="C170" s="27"/>
      <c r="K170" s="27">
        <v>163</v>
      </c>
      <c r="L170" s="27">
        <f t="shared" si="17"/>
        <v>13040</v>
      </c>
      <c r="M170" s="27">
        <f t="shared" si="17"/>
        <v>13040</v>
      </c>
      <c r="N170" s="27">
        <f t="shared" si="17"/>
        <v>13040</v>
      </c>
      <c r="O170" s="27">
        <f t="shared" si="17"/>
        <v>13040</v>
      </c>
      <c r="P170" s="27">
        <f t="shared" si="17"/>
        <v>13040</v>
      </c>
      <c r="S170" s="38">
        <v>163</v>
      </c>
      <c r="T170" s="38">
        <f>IFERROR(求节点(节奏总纲!AD$4:AD$363,L$8:L$367,$S170),0)</f>
        <v>28800</v>
      </c>
      <c r="U170" s="38">
        <f>IFERROR(求节点(节奏总纲!AE$4:AE$363,M$8:M$367,$S170),0)</f>
        <v>28800</v>
      </c>
      <c r="V170" s="38">
        <f>IFERROR(求节点(节奏总纲!AF$4:AF$363,N$8:N$367,$S170),0)</f>
        <v>28800</v>
      </c>
      <c r="W170" s="38">
        <f>IFERROR(求节点(节奏总纲!AG$4:AG$363,O$8:O$367,$S170),0)</f>
        <v>28800</v>
      </c>
      <c r="X170" s="38">
        <f>IFERROR(求节点(节奏总纲!AH$4:AH$363,P$8:P$367,$S170),0)</f>
        <v>28800</v>
      </c>
    </row>
    <row r="171" spans="3:24" x14ac:dyDescent="0.15">
      <c r="C171" s="27"/>
      <c r="K171" s="27">
        <v>164</v>
      </c>
      <c r="L171" s="27">
        <f t="shared" si="17"/>
        <v>13120</v>
      </c>
      <c r="M171" s="27">
        <f t="shared" si="17"/>
        <v>13120</v>
      </c>
      <c r="N171" s="27">
        <f t="shared" si="17"/>
        <v>13120</v>
      </c>
      <c r="O171" s="27">
        <f t="shared" si="17"/>
        <v>13120</v>
      </c>
      <c r="P171" s="27">
        <f t="shared" si="17"/>
        <v>13120</v>
      </c>
      <c r="S171" s="38">
        <v>164</v>
      </c>
      <c r="T171" s="38">
        <f>IFERROR(求节点(节奏总纲!AD$4:AD$363,L$8:L$367,$S171),0)</f>
        <v>28800</v>
      </c>
      <c r="U171" s="38">
        <f>IFERROR(求节点(节奏总纲!AE$4:AE$363,M$8:M$367,$S171),0)</f>
        <v>28800</v>
      </c>
      <c r="V171" s="38">
        <f>IFERROR(求节点(节奏总纲!AF$4:AF$363,N$8:N$367,$S171),0)</f>
        <v>28800</v>
      </c>
      <c r="W171" s="38">
        <f>IFERROR(求节点(节奏总纲!AG$4:AG$363,O$8:O$367,$S171),0)</f>
        <v>28800</v>
      </c>
      <c r="X171" s="38">
        <f>IFERROR(求节点(节奏总纲!AH$4:AH$363,P$8:P$367,$S171),0)</f>
        <v>28800</v>
      </c>
    </row>
    <row r="172" spans="3:24" x14ac:dyDescent="0.15">
      <c r="C172" s="27"/>
      <c r="K172" s="27">
        <v>165</v>
      </c>
      <c r="L172" s="27">
        <f t="shared" si="17"/>
        <v>13200</v>
      </c>
      <c r="M172" s="27">
        <f t="shared" si="17"/>
        <v>13200</v>
      </c>
      <c r="N172" s="27">
        <f t="shared" si="17"/>
        <v>13200</v>
      </c>
      <c r="O172" s="27">
        <f t="shared" si="17"/>
        <v>13200</v>
      </c>
      <c r="P172" s="27">
        <f t="shared" si="17"/>
        <v>13200</v>
      </c>
      <c r="S172" s="38">
        <v>165</v>
      </c>
      <c r="T172" s="38">
        <f>IFERROR(求节点(节奏总纲!AD$4:AD$363,L$8:L$367,$S172),0)</f>
        <v>28800</v>
      </c>
      <c r="U172" s="38">
        <f>IFERROR(求节点(节奏总纲!AE$4:AE$363,M$8:M$367,$S172),0)</f>
        <v>28800</v>
      </c>
      <c r="V172" s="38">
        <f>IFERROR(求节点(节奏总纲!AF$4:AF$363,N$8:N$367,$S172),0)</f>
        <v>28800</v>
      </c>
      <c r="W172" s="38">
        <f>IFERROR(求节点(节奏总纲!AG$4:AG$363,O$8:O$367,$S172),0)</f>
        <v>28800</v>
      </c>
      <c r="X172" s="38">
        <f>IFERROR(求节点(节奏总纲!AH$4:AH$363,P$8:P$367,$S172),0)</f>
        <v>28800</v>
      </c>
    </row>
    <row r="173" spans="3:24" x14ac:dyDescent="0.15">
      <c r="C173" s="27"/>
      <c r="K173" s="27">
        <v>166</v>
      </c>
      <c r="L173" s="27">
        <f t="shared" si="17"/>
        <v>13280</v>
      </c>
      <c r="M173" s="27">
        <f t="shared" si="17"/>
        <v>13280</v>
      </c>
      <c r="N173" s="27">
        <f t="shared" si="17"/>
        <v>13280</v>
      </c>
      <c r="O173" s="27">
        <f t="shared" si="17"/>
        <v>13280</v>
      </c>
      <c r="P173" s="27">
        <f t="shared" si="17"/>
        <v>13280</v>
      </c>
      <c r="S173" s="38">
        <v>166</v>
      </c>
      <c r="T173" s="38">
        <f>IFERROR(求节点(节奏总纲!AD$4:AD$363,L$8:L$367,$S173),0)</f>
        <v>28800</v>
      </c>
      <c r="U173" s="38">
        <f>IFERROR(求节点(节奏总纲!AE$4:AE$363,M$8:M$367,$S173),0)</f>
        <v>28800</v>
      </c>
      <c r="V173" s="38">
        <f>IFERROR(求节点(节奏总纲!AF$4:AF$363,N$8:N$367,$S173),0)</f>
        <v>28800</v>
      </c>
      <c r="W173" s="38">
        <f>IFERROR(求节点(节奏总纲!AG$4:AG$363,O$8:O$367,$S173),0)</f>
        <v>28800</v>
      </c>
      <c r="X173" s="38">
        <f>IFERROR(求节点(节奏总纲!AH$4:AH$363,P$8:P$367,$S173),0)</f>
        <v>28800</v>
      </c>
    </row>
    <row r="174" spans="3:24" x14ac:dyDescent="0.15">
      <c r="C174" s="27"/>
      <c r="K174" s="27">
        <v>167</v>
      </c>
      <c r="L174" s="27">
        <f t="shared" si="17"/>
        <v>13360</v>
      </c>
      <c r="M174" s="27">
        <f t="shared" si="17"/>
        <v>13360</v>
      </c>
      <c r="N174" s="27">
        <f t="shared" si="17"/>
        <v>13360</v>
      </c>
      <c r="O174" s="27">
        <f t="shared" si="17"/>
        <v>13360</v>
      </c>
      <c r="P174" s="27">
        <f t="shared" si="17"/>
        <v>13360</v>
      </c>
      <c r="S174" s="38">
        <v>167</v>
      </c>
      <c r="T174" s="38">
        <f>IFERROR(求节点(节奏总纲!AD$4:AD$363,L$8:L$367,$S174),0)</f>
        <v>28800</v>
      </c>
      <c r="U174" s="38">
        <f>IFERROR(求节点(节奏总纲!AE$4:AE$363,M$8:M$367,$S174),0)</f>
        <v>28800</v>
      </c>
      <c r="V174" s="38">
        <f>IFERROR(求节点(节奏总纲!AF$4:AF$363,N$8:N$367,$S174),0)</f>
        <v>28800</v>
      </c>
      <c r="W174" s="38">
        <f>IFERROR(求节点(节奏总纲!AG$4:AG$363,O$8:O$367,$S174),0)</f>
        <v>28800</v>
      </c>
      <c r="X174" s="38">
        <f>IFERROR(求节点(节奏总纲!AH$4:AH$363,P$8:P$367,$S174),0)</f>
        <v>28800</v>
      </c>
    </row>
    <row r="175" spans="3:24" x14ac:dyDescent="0.15">
      <c r="C175" s="27"/>
      <c r="K175" s="27">
        <v>168</v>
      </c>
      <c r="L175" s="27">
        <f t="shared" si="17"/>
        <v>13440</v>
      </c>
      <c r="M175" s="27">
        <f t="shared" si="17"/>
        <v>13440</v>
      </c>
      <c r="N175" s="27">
        <f t="shared" si="17"/>
        <v>13440</v>
      </c>
      <c r="O175" s="27">
        <f t="shared" si="17"/>
        <v>13440</v>
      </c>
      <c r="P175" s="27">
        <f t="shared" si="17"/>
        <v>13440</v>
      </c>
      <c r="S175" s="38">
        <v>168</v>
      </c>
      <c r="T175" s="38">
        <f>IFERROR(求节点(节奏总纲!AD$4:AD$363,L$8:L$367,$S175),0)</f>
        <v>28800</v>
      </c>
      <c r="U175" s="38">
        <f>IFERROR(求节点(节奏总纲!AE$4:AE$363,M$8:M$367,$S175),0)</f>
        <v>28800</v>
      </c>
      <c r="V175" s="38">
        <f>IFERROR(求节点(节奏总纲!AF$4:AF$363,N$8:N$367,$S175),0)</f>
        <v>28800</v>
      </c>
      <c r="W175" s="38">
        <f>IFERROR(求节点(节奏总纲!AG$4:AG$363,O$8:O$367,$S175),0)</f>
        <v>28800</v>
      </c>
      <c r="X175" s="38">
        <f>IFERROR(求节点(节奏总纲!AH$4:AH$363,P$8:P$367,$S175),0)</f>
        <v>28800</v>
      </c>
    </row>
    <row r="176" spans="3:24" x14ac:dyDescent="0.15">
      <c r="C176" s="27"/>
      <c r="K176" s="27">
        <v>169</v>
      </c>
      <c r="L176" s="27">
        <f t="shared" si="17"/>
        <v>13520</v>
      </c>
      <c r="M176" s="27">
        <f t="shared" si="17"/>
        <v>13520</v>
      </c>
      <c r="N176" s="27">
        <f t="shared" si="17"/>
        <v>13520</v>
      </c>
      <c r="O176" s="27">
        <f t="shared" si="17"/>
        <v>13520</v>
      </c>
      <c r="P176" s="27">
        <f t="shared" si="17"/>
        <v>13520</v>
      </c>
      <c r="S176" s="38">
        <v>169</v>
      </c>
      <c r="T176" s="38">
        <f>IFERROR(求节点(节奏总纲!AD$4:AD$363,L$8:L$367,$S176),0)</f>
        <v>28800</v>
      </c>
      <c r="U176" s="38">
        <f>IFERROR(求节点(节奏总纲!AE$4:AE$363,M$8:M$367,$S176),0)</f>
        <v>28800</v>
      </c>
      <c r="V176" s="38">
        <f>IFERROR(求节点(节奏总纲!AF$4:AF$363,N$8:N$367,$S176),0)</f>
        <v>28800</v>
      </c>
      <c r="W176" s="38">
        <f>IFERROR(求节点(节奏总纲!AG$4:AG$363,O$8:O$367,$S176),0)</f>
        <v>28800</v>
      </c>
      <c r="X176" s="38">
        <f>IFERROR(求节点(节奏总纲!AH$4:AH$363,P$8:P$367,$S176),0)</f>
        <v>28800</v>
      </c>
    </row>
    <row r="177" spans="3:24" x14ac:dyDescent="0.15">
      <c r="C177" s="27"/>
      <c r="K177" s="27">
        <v>170</v>
      </c>
      <c r="L177" s="27">
        <f t="shared" si="17"/>
        <v>13600</v>
      </c>
      <c r="M177" s="27">
        <f t="shared" si="17"/>
        <v>13600</v>
      </c>
      <c r="N177" s="27">
        <f t="shared" si="17"/>
        <v>13600</v>
      </c>
      <c r="O177" s="27">
        <f t="shared" si="17"/>
        <v>13600</v>
      </c>
      <c r="P177" s="27">
        <f t="shared" si="17"/>
        <v>13600</v>
      </c>
      <c r="S177" s="38">
        <v>170</v>
      </c>
      <c r="T177" s="38">
        <f>IFERROR(求节点(节奏总纲!AD$4:AD$363,L$8:L$367,$S177),0)</f>
        <v>28800</v>
      </c>
      <c r="U177" s="38">
        <f>IFERROR(求节点(节奏总纲!AE$4:AE$363,M$8:M$367,$S177),0)</f>
        <v>28800</v>
      </c>
      <c r="V177" s="38">
        <f>IFERROR(求节点(节奏总纲!AF$4:AF$363,N$8:N$367,$S177),0)</f>
        <v>28800</v>
      </c>
      <c r="W177" s="38">
        <f>IFERROR(求节点(节奏总纲!AG$4:AG$363,O$8:O$367,$S177),0)</f>
        <v>28800</v>
      </c>
      <c r="X177" s="38">
        <f>IFERROR(求节点(节奏总纲!AH$4:AH$363,P$8:P$367,$S177),0)</f>
        <v>28800</v>
      </c>
    </row>
    <row r="178" spans="3:24" x14ac:dyDescent="0.15">
      <c r="C178" s="27"/>
      <c r="K178" s="27">
        <v>171</v>
      </c>
      <c r="L178" s="27">
        <f t="shared" ref="L178:P187" si="18">IFERROR(MAX($K178-$D$1,0)*$D$3/30,0)</f>
        <v>13680</v>
      </c>
      <c r="M178" s="27">
        <f t="shared" si="18"/>
        <v>13680</v>
      </c>
      <c r="N178" s="27">
        <f t="shared" si="18"/>
        <v>13680</v>
      </c>
      <c r="O178" s="27">
        <f t="shared" si="18"/>
        <v>13680</v>
      </c>
      <c r="P178" s="27">
        <f t="shared" si="18"/>
        <v>13680</v>
      </c>
      <c r="S178" s="38">
        <v>171</v>
      </c>
      <c r="T178" s="38">
        <f>IFERROR(求节点(节奏总纲!AD$4:AD$363,L$8:L$367,$S178),0)</f>
        <v>28800</v>
      </c>
      <c r="U178" s="38">
        <f>IFERROR(求节点(节奏总纲!AE$4:AE$363,M$8:M$367,$S178),0)</f>
        <v>28800</v>
      </c>
      <c r="V178" s="38">
        <f>IFERROR(求节点(节奏总纲!AF$4:AF$363,N$8:N$367,$S178),0)</f>
        <v>28800</v>
      </c>
      <c r="W178" s="38">
        <f>IFERROR(求节点(节奏总纲!AG$4:AG$363,O$8:O$367,$S178),0)</f>
        <v>28800</v>
      </c>
      <c r="X178" s="38">
        <f>IFERROR(求节点(节奏总纲!AH$4:AH$363,P$8:P$367,$S178),0)</f>
        <v>28800</v>
      </c>
    </row>
    <row r="179" spans="3:24" x14ac:dyDescent="0.15">
      <c r="C179" s="27"/>
      <c r="K179" s="27">
        <v>172</v>
      </c>
      <c r="L179" s="27">
        <f t="shared" si="18"/>
        <v>13760</v>
      </c>
      <c r="M179" s="27">
        <f t="shared" si="18"/>
        <v>13760</v>
      </c>
      <c r="N179" s="27">
        <f t="shared" si="18"/>
        <v>13760</v>
      </c>
      <c r="O179" s="27">
        <f t="shared" si="18"/>
        <v>13760</v>
      </c>
      <c r="P179" s="27">
        <f t="shared" si="18"/>
        <v>13760</v>
      </c>
      <c r="S179" s="38">
        <v>172</v>
      </c>
      <c r="T179" s="38">
        <f>IFERROR(求节点(节奏总纲!AD$4:AD$363,L$8:L$367,$S179),0)</f>
        <v>28800</v>
      </c>
      <c r="U179" s="38">
        <f>IFERROR(求节点(节奏总纲!AE$4:AE$363,M$8:M$367,$S179),0)</f>
        <v>28800</v>
      </c>
      <c r="V179" s="38">
        <f>IFERROR(求节点(节奏总纲!AF$4:AF$363,N$8:N$367,$S179),0)</f>
        <v>28800</v>
      </c>
      <c r="W179" s="38">
        <f>IFERROR(求节点(节奏总纲!AG$4:AG$363,O$8:O$367,$S179),0)</f>
        <v>28800</v>
      </c>
      <c r="X179" s="38">
        <f>IFERROR(求节点(节奏总纲!AH$4:AH$363,P$8:P$367,$S179),0)</f>
        <v>28800</v>
      </c>
    </row>
    <row r="180" spans="3:24" x14ac:dyDescent="0.15">
      <c r="C180" s="27"/>
      <c r="K180" s="27">
        <v>173</v>
      </c>
      <c r="L180" s="27">
        <f t="shared" si="18"/>
        <v>13840</v>
      </c>
      <c r="M180" s="27">
        <f t="shared" si="18"/>
        <v>13840</v>
      </c>
      <c r="N180" s="27">
        <f t="shared" si="18"/>
        <v>13840</v>
      </c>
      <c r="O180" s="27">
        <f t="shared" si="18"/>
        <v>13840</v>
      </c>
      <c r="P180" s="27">
        <f t="shared" si="18"/>
        <v>13840</v>
      </c>
      <c r="S180" s="38">
        <v>173</v>
      </c>
      <c r="T180" s="38">
        <f>IFERROR(求节点(节奏总纲!AD$4:AD$363,L$8:L$367,$S180),0)</f>
        <v>28800</v>
      </c>
      <c r="U180" s="38">
        <f>IFERROR(求节点(节奏总纲!AE$4:AE$363,M$8:M$367,$S180),0)</f>
        <v>28800</v>
      </c>
      <c r="V180" s="38">
        <f>IFERROR(求节点(节奏总纲!AF$4:AF$363,N$8:N$367,$S180),0)</f>
        <v>28800</v>
      </c>
      <c r="W180" s="38">
        <f>IFERROR(求节点(节奏总纲!AG$4:AG$363,O$8:O$367,$S180),0)</f>
        <v>28800</v>
      </c>
      <c r="X180" s="38">
        <f>IFERROR(求节点(节奏总纲!AH$4:AH$363,P$8:P$367,$S180),0)</f>
        <v>28800</v>
      </c>
    </row>
    <row r="181" spans="3:24" x14ac:dyDescent="0.15">
      <c r="C181" s="27"/>
      <c r="K181" s="27">
        <v>174</v>
      </c>
      <c r="L181" s="27">
        <f t="shared" si="18"/>
        <v>13920</v>
      </c>
      <c r="M181" s="27">
        <f t="shared" si="18"/>
        <v>13920</v>
      </c>
      <c r="N181" s="27">
        <f t="shared" si="18"/>
        <v>13920</v>
      </c>
      <c r="O181" s="27">
        <f t="shared" si="18"/>
        <v>13920</v>
      </c>
      <c r="P181" s="27">
        <f t="shared" si="18"/>
        <v>13920</v>
      </c>
      <c r="S181" s="38">
        <v>174</v>
      </c>
      <c r="T181" s="38">
        <f>IFERROR(求节点(节奏总纲!AD$4:AD$363,L$8:L$367,$S181),0)</f>
        <v>28800</v>
      </c>
      <c r="U181" s="38">
        <f>IFERROR(求节点(节奏总纲!AE$4:AE$363,M$8:M$367,$S181),0)</f>
        <v>28800</v>
      </c>
      <c r="V181" s="38">
        <f>IFERROR(求节点(节奏总纲!AF$4:AF$363,N$8:N$367,$S181),0)</f>
        <v>28800</v>
      </c>
      <c r="W181" s="38">
        <f>IFERROR(求节点(节奏总纲!AG$4:AG$363,O$8:O$367,$S181),0)</f>
        <v>28800</v>
      </c>
      <c r="X181" s="38">
        <f>IFERROR(求节点(节奏总纲!AH$4:AH$363,P$8:P$367,$S181),0)</f>
        <v>28800</v>
      </c>
    </row>
    <row r="182" spans="3:24" x14ac:dyDescent="0.15">
      <c r="C182" s="27"/>
      <c r="K182" s="27">
        <v>175</v>
      </c>
      <c r="L182" s="27">
        <f t="shared" si="18"/>
        <v>14000</v>
      </c>
      <c r="M182" s="27">
        <f t="shared" si="18"/>
        <v>14000</v>
      </c>
      <c r="N182" s="27">
        <f t="shared" si="18"/>
        <v>14000</v>
      </c>
      <c r="O182" s="27">
        <f t="shared" si="18"/>
        <v>14000</v>
      </c>
      <c r="P182" s="27">
        <f t="shared" si="18"/>
        <v>14000</v>
      </c>
      <c r="S182" s="38">
        <v>175</v>
      </c>
      <c r="T182" s="38">
        <f>IFERROR(求节点(节奏总纲!AD$4:AD$363,L$8:L$367,$S182),0)</f>
        <v>28800</v>
      </c>
      <c r="U182" s="38">
        <f>IFERROR(求节点(节奏总纲!AE$4:AE$363,M$8:M$367,$S182),0)</f>
        <v>28800</v>
      </c>
      <c r="V182" s="38">
        <f>IFERROR(求节点(节奏总纲!AF$4:AF$363,N$8:N$367,$S182),0)</f>
        <v>28800</v>
      </c>
      <c r="W182" s="38">
        <f>IFERROR(求节点(节奏总纲!AG$4:AG$363,O$8:O$367,$S182),0)</f>
        <v>28800</v>
      </c>
      <c r="X182" s="38">
        <f>IFERROR(求节点(节奏总纲!AH$4:AH$363,P$8:P$367,$S182),0)</f>
        <v>28800</v>
      </c>
    </row>
    <row r="183" spans="3:24" x14ac:dyDescent="0.15">
      <c r="C183" s="27"/>
      <c r="K183" s="27">
        <v>176</v>
      </c>
      <c r="L183" s="27">
        <f t="shared" si="18"/>
        <v>14080</v>
      </c>
      <c r="M183" s="27">
        <f t="shared" si="18"/>
        <v>14080</v>
      </c>
      <c r="N183" s="27">
        <f t="shared" si="18"/>
        <v>14080</v>
      </c>
      <c r="O183" s="27">
        <f t="shared" si="18"/>
        <v>14080</v>
      </c>
      <c r="P183" s="27">
        <f t="shared" si="18"/>
        <v>14080</v>
      </c>
      <c r="S183" s="38">
        <v>176</v>
      </c>
      <c r="T183" s="38">
        <f>IFERROR(求节点(节奏总纲!AD$4:AD$363,L$8:L$367,$S183),0)</f>
        <v>28800</v>
      </c>
      <c r="U183" s="38">
        <f>IFERROR(求节点(节奏总纲!AE$4:AE$363,M$8:M$367,$S183),0)</f>
        <v>28800</v>
      </c>
      <c r="V183" s="38">
        <f>IFERROR(求节点(节奏总纲!AF$4:AF$363,N$8:N$367,$S183),0)</f>
        <v>28800</v>
      </c>
      <c r="W183" s="38">
        <f>IFERROR(求节点(节奏总纲!AG$4:AG$363,O$8:O$367,$S183),0)</f>
        <v>28800</v>
      </c>
      <c r="X183" s="38">
        <f>IFERROR(求节点(节奏总纲!AH$4:AH$363,P$8:P$367,$S183),0)</f>
        <v>28800</v>
      </c>
    </row>
    <row r="184" spans="3:24" x14ac:dyDescent="0.15">
      <c r="C184" s="27"/>
      <c r="K184" s="27">
        <v>177</v>
      </c>
      <c r="L184" s="27">
        <f t="shared" si="18"/>
        <v>14160</v>
      </c>
      <c r="M184" s="27">
        <f t="shared" si="18"/>
        <v>14160</v>
      </c>
      <c r="N184" s="27">
        <f t="shared" si="18"/>
        <v>14160</v>
      </c>
      <c r="O184" s="27">
        <f t="shared" si="18"/>
        <v>14160</v>
      </c>
      <c r="P184" s="27">
        <f t="shared" si="18"/>
        <v>14160</v>
      </c>
      <c r="S184" s="38">
        <v>177</v>
      </c>
      <c r="T184" s="38">
        <f>IFERROR(求节点(节奏总纲!AD$4:AD$363,L$8:L$367,$S184),0)</f>
        <v>28800</v>
      </c>
      <c r="U184" s="38">
        <f>IFERROR(求节点(节奏总纲!AE$4:AE$363,M$8:M$367,$S184),0)</f>
        <v>28800</v>
      </c>
      <c r="V184" s="38">
        <f>IFERROR(求节点(节奏总纲!AF$4:AF$363,N$8:N$367,$S184),0)</f>
        <v>28800</v>
      </c>
      <c r="W184" s="38">
        <f>IFERROR(求节点(节奏总纲!AG$4:AG$363,O$8:O$367,$S184),0)</f>
        <v>28800</v>
      </c>
      <c r="X184" s="38">
        <f>IFERROR(求节点(节奏总纲!AH$4:AH$363,P$8:P$367,$S184),0)</f>
        <v>28800</v>
      </c>
    </row>
    <row r="185" spans="3:24" x14ac:dyDescent="0.15">
      <c r="C185" s="27"/>
      <c r="K185" s="27">
        <v>178</v>
      </c>
      <c r="L185" s="27">
        <f t="shared" si="18"/>
        <v>14240</v>
      </c>
      <c r="M185" s="27">
        <f t="shared" si="18"/>
        <v>14240</v>
      </c>
      <c r="N185" s="27">
        <f t="shared" si="18"/>
        <v>14240</v>
      </c>
      <c r="O185" s="27">
        <f t="shared" si="18"/>
        <v>14240</v>
      </c>
      <c r="P185" s="27">
        <f t="shared" si="18"/>
        <v>14240</v>
      </c>
      <c r="S185" s="38">
        <v>178</v>
      </c>
      <c r="T185" s="38">
        <f>IFERROR(求节点(节奏总纲!AD$4:AD$363,L$8:L$367,$S185),0)</f>
        <v>28800</v>
      </c>
      <c r="U185" s="38">
        <f>IFERROR(求节点(节奏总纲!AE$4:AE$363,M$8:M$367,$S185),0)</f>
        <v>28800</v>
      </c>
      <c r="V185" s="38">
        <f>IFERROR(求节点(节奏总纲!AF$4:AF$363,N$8:N$367,$S185),0)</f>
        <v>28800</v>
      </c>
      <c r="W185" s="38">
        <f>IFERROR(求节点(节奏总纲!AG$4:AG$363,O$8:O$367,$S185),0)</f>
        <v>28800</v>
      </c>
      <c r="X185" s="38">
        <f>IFERROR(求节点(节奏总纲!AH$4:AH$363,P$8:P$367,$S185),0)</f>
        <v>28800</v>
      </c>
    </row>
    <row r="186" spans="3:24" x14ac:dyDescent="0.15">
      <c r="C186" s="27"/>
      <c r="K186" s="27">
        <v>179</v>
      </c>
      <c r="L186" s="27">
        <f t="shared" si="18"/>
        <v>14320</v>
      </c>
      <c r="M186" s="27">
        <f t="shared" si="18"/>
        <v>14320</v>
      </c>
      <c r="N186" s="27">
        <f t="shared" si="18"/>
        <v>14320</v>
      </c>
      <c r="O186" s="27">
        <f t="shared" si="18"/>
        <v>14320</v>
      </c>
      <c r="P186" s="27">
        <f t="shared" si="18"/>
        <v>14320</v>
      </c>
      <c r="S186" s="38">
        <v>179</v>
      </c>
      <c r="T186" s="38">
        <f>IFERROR(求节点(节奏总纲!AD$4:AD$363,L$8:L$367,$S186),0)</f>
        <v>28800</v>
      </c>
      <c r="U186" s="38">
        <f>IFERROR(求节点(节奏总纲!AE$4:AE$363,M$8:M$367,$S186),0)</f>
        <v>28800</v>
      </c>
      <c r="V186" s="38">
        <f>IFERROR(求节点(节奏总纲!AF$4:AF$363,N$8:N$367,$S186),0)</f>
        <v>28800</v>
      </c>
      <c r="W186" s="38">
        <f>IFERROR(求节点(节奏总纲!AG$4:AG$363,O$8:O$367,$S186),0)</f>
        <v>28800</v>
      </c>
      <c r="X186" s="38">
        <f>IFERROR(求节点(节奏总纲!AH$4:AH$363,P$8:P$367,$S186),0)</f>
        <v>28800</v>
      </c>
    </row>
    <row r="187" spans="3:24" x14ac:dyDescent="0.15">
      <c r="C187" s="27"/>
      <c r="K187" s="27">
        <v>180</v>
      </c>
      <c r="L187" s="27">
        <f t="shared" si="18"/>
        <v>14400</v>
      </c>
      <c r="M187" s="27">
        <f t="shared" si="18"/>
        <v>14400</v>
      </c>
      <c r="N187" s="27">
        <f t="shared" si="18"/>
        <v>14400</v>
      </c>
      <c r="O187" s="27">
        <f t="shared" si="18"/>
        <v>14400</v>
      </c>
      <c r="P187" s="27">
        <f t="shared" si="18"/>
        <v>14400</v>
      </c>
      <c r="S187" s="38">
        <v>180</v>
      </c>
      <c r="T187" s="38">
        <f>IFERROR(求节点(节奏总纲!AD$4:AD$363,L$8:L$367,$S187),0)</f>
        <v>28800</v>
      </c>
      <c r="U187" s="38">
        <f>IFERROR(求节点(节奏总纲!AE$4:AE$363,M$8:M$367,$S187),0)</f>
        <v>28800</v>
      </c>
      <c r="V187" s="38">
        <f>IFERROR(求节点(节奏总纲!AF$4:AF$363,N$8:N$367,$S187),0)</f>
        <v>28800</v>
      </c>
      <c r="W187" s="38">
        <f>IFERROR(求节点(节奏总纲!AG$4:AG$363,O$8:O$367,$S187),0)</f>
        <v>28800</v>
      </c>
      <c r="X187" s="38">
        <f>IFERROR(求节点(节奏总纲!AH$4:AH$363,P$8:P$367,$S187),0)</f>
        <v>28800</v>
      </c>
    </row>
    <row r="188" spans="3:24" x14ac:dyDescent="0.15">
      <c r="C188" s="27"/>
      <c r="K188" s="27">
        <v>181</v>
      </c>
      <c r="L188" s="27">
        <f t="shared" ref="L188:P197" si="19">IFERROR(MAX($K188-$D$1,0)*$D$3/30,0)</f>
        <v>14480</v>
      </c>
      <c r="M188" s="27">
        <f t="shared" si="19"/>
        <v>14480</v>
      </c>
      <c r="N188" s="27">
        <f t="shared" si="19"/>
        <v>14480</v>
      </c>
      <c r="O188" s="27">
        <f t="shared" si="19"/>
        <v>14480</v>
      </c>
      <c r="P188" s="27">
        <f t="shared" si="19"/>
        <v>14480</v>
      </c>
      <c r="S188" s="38">
        <v>181</v>
      </c>
      <c r="T188" s="38">
        <f>IFERROR(求节点(节奏总纲!AD$4:AD$363,L$8:L$367,$S188),0)</f>
        <v>28800</v>
      </c>
      <c r="U188" s="38">
        <f>IFERROR(求节点(节奏总纲!AE$4:AE$363,M$8:M$367,$S188),0)</f>
        <v>28800</v>
      </c>
      <c r="V188" s="38">
        <f>IFERROR(求节点(节奏总纲!AF$4:AF$363,N$8:N$367,$S188),0)</f>
        <v>28800</v>
      </c>
      <c r="W188" s="38">
        <f>IFERROR(求节点(节奏总纲!AG$4:AG$363,O$8:O$367,$S188),0)</f>
        <v>28800</v>
      </c>
      <c r="X188" s="38">
        <f>IFERROR(求节点(节奏总纲!AH$4:AH$363,P$8:P$367,$S188),0)</f>
        <v>28800</v>
      </c>
    </row>
    <row r="189" spans="3:24" x14ac:dyDescent="0.15">
      <c r="C189" s="27"/>
      <c r="K189" s="27">
        <v>182</v>
      </c>
      <c r="L189" s="27">
        <f t="shared" si="19"/>
        <v>14560</v>
      </c>
      <c r="M189" s="27">
        <f t="shared" si="19"/>
        <v>14560</v>
      </c>
      <c r="N189" s="27">
        <f t="shared" si="19"/>
        <v>14560</v>
      </c>
      <c r="O189" s="27">
        <f t="shared" si="19"/>
        <v>14560</v>
      </c>
      <c r="P189" s="27">
        <f t="shared" si="19"/>
        <v>14560</v>
      </c>
      <c r="S189" s="38">
        <v>182</v>
      </c>
      <c r="T189" s="38">
        <f>IFERROR(求节点(节奏总纲!AD$4:AD$363,L$8:L$367,$S189),0)</f>
        <v>28800</v>
      </c>
      <c r="U189" s="38">
        <f>IFERROR(求节点(节奏总纲!AE$4:AE$363,M$8:M$367,$S189),0)</f>
        <v>28800</v>
      </c>
      <c r="V189" s="38">
        <f>IFERROR(求节点(节奏总纲!AF$4:AF$363,N$8:N$367,$S189),0)</f>
        <v>28800</v>
      </c>
      <c r="W189" s="38">
        <f>IFERROR(求节点(节奏总纲!AG$4:AG$363,O$8:O$367,$S189),0)</f>
        <v>28800</v>
      </c>
      <c r="X189" s="38">
        <f>IFERROR(求节点(节奏总纲!AH$4:AH$363,P$8:P$367,$S189),0)</f>
        <v>28800</v>
      </c>
    </row>
    <row r="190" spans="3:24" x14ac:dyDescent="0.15">
      <c r="C190" s="27"/>
      <c r="K190" s="27">
        <v>183</v>
      </c>
      <c r="L190" s="27">
        <f t="shared" si="19"/>
        <v>14640</v>
      </c>
      <c r="M190" s="27">
        <f t="shared" si="19"/>
        <v>14640</v>
      </c>
      <c r="N190" s="27">
        <f t="shared" si="19"/>
        <v>14640</v>
      </c>
      <c r="O190" s="27">
        <f t="shared" si="19"/>
        <v>14640</v>
      </c>
      <c r="P190" s="27">
        <f t="shared" si="19"/>
        <v>14640</v>
      </c>
      <c r="S190" s="38">
        <v>183</v>
      </c>
      <c r="T190" s="38">
        <f>IFERROR(求节点(节奏总纲!AD$4:AD$363,L$8:L$367,$S190),0)</f>
        <v>28800</v>
      </c>
      <c r="U190" s="38">
        <f>IFERROR(求节点(节奏总纲!AE$4:AE$363,M$8:M$367,$S190),0)</f>
        <v>28800</v>
      </c>
      <c r="V190" s="38">
        <f>IFERROR(求节点(节奏总纲!AF$4:AF$363,N$8:N$367,$S190),0)</f>
        <v>28800</v>
      </c>
      <c r="W190" s="38">
        <f>IFERROR(求节点(节奏总纲!AG$4:AG$363,O$8:O$367,$S190),0)</f>
        <v>28800</v>
      </c>
      <c r="X190" s="38">
        <f>IFERROR(求节点(节奏总纲!AH$4:AH$363,P$8:P$367,$S190),0)</f>
        <v>28800</v>
      </c>
    </row>
    <row r="191" spans="3:24" x14ac:dyDescent="0.15">
      <c r="C191" s="27"/>
      <c r="K191" s="27">
        <v>184</v>
      </c>
      <c r="L191" s="27">
        <f t="shared" si="19"/>
        <v>14720</v>
      </c>
      <c r="M191" s="27">
        <f t="shared" si="19"/>
        <v>14720</v>
      </c>
      <c r="N191" s="27">
        <f t="shared" si="19"/>
        <v>14720</v>
      </c>
      <c r="O191" s="27">
        <f t="shared" si="19"/>
        <v>14720</v>
      </c>
      <c r="P191" s="27">
        <f t="shared" si="19"/>
        <v>14720</v>
      </c>
      <c r="S191" s="38">
        <v>184</v>
      </c>
      <c r="T191" s="38">
        <f>IFERROR(求节点(节奏总纲!AD$4:AD$363,L$8:L$367,$S191),0)</f>
        <v>28800</v>
      </c>
      <c r="U191" s="38">
        <f>IFERROR(求节点(节奏总纲!AE$4:AE$363,M$8:M$367,$S191),0)</f>
        <v>28800</v>
      </c>
      <c r="V191" s="38">
        <f>IFERROR(求节点(节奏总纲!AF$4:AF$363,N$8:N$367,$S191),0)</f>
        <v>28800</v>
      </c>
      <c r="W191" s="38">
        <f>IFERROR(求节点(节奏总纲!AG$4:AG$363,O$8:O$367,$S191),0)</f>
        <v>28800</v>
      </c>
      <c r="X191" s="38">
        <f>IFERROR(求节点(节奏总纲!AH$4:AH$363,P$8:P$367,$S191),0)</f>
        <v>28800</v>
      </c>
    </row>
    <row r="192" spans="3:24" x14ac:dyDescent="0.15">
      <c r="C192" s="27"/>
      <c r="K192" s="27">
        <v>185</v>
      </c>
      <c r="L192" s="27">
        <f t="shared" si="19"/>
        <v>14800</v>
      </c>
      <c r="M192" s="27">
        <f t="shared" si="19"/>
        <v>14800</v>
      </c>
      <c r="N192" s="27">
        <f t="shared" si="19"/>
        <v>14800</v>
      </c>
      <c r="O192" s="27">
        <f t="shared" si="19"/>
        <v>14800</v>
      </c>
      <c r="P192" s="27">
        <f t="shared" si="19"/>
        <v>14800</v>
      </c>
      <c r="S192" s="38">
        <v>185</v>
      </c>
      <c r="T192" s="38">
        <f>IFERROR(求节点(节奏总纲!AD$4:AD$363,L$8:L$367,$S192),0)</f>
        <v>28800</v>
      </c>
      <c r="U192" s="38">
        <f>IFERROR(求节点(节奏总纲!AE$4:AE$363,M$8:M$367,$S192),0)</f>
        <v>28800</v>
      </c>
      <c r="V192" s="38">
        <f>IFERROR(求节点(节奏总纲!AF$4:AF$363,N$8:N$367,$S192),0)</f>
        <v>28800</v>
      </c>
      <c r="W192" s="38">
        <f>IFERROR(求节点(节奏总纲!AG$4:AG$363,O$8:O$367,$S192),0)</f>
        <v>28800</v>
      </c>
      <c r="X192" s="38">
        <f>IFERROR(求节点(节奏总纲!AH$4:AH$363,P$8:P$367,$S192),0)</f>
        <v>28800</v>
      </c>
    </row>
    <row r="193" spans="3:24" x14ac:dyDescent="0.15">
      <c r="C193" s="27"/>
      <c r="K193" s="27">
        <v>186</v>
      </c>
      <c r="L193" s="27">
        <f t="shared" si="19"/>
        <v>14880</v>
      </c>
      <c r="M193" s="27">
        <f t="shared" si="19"/>
        <v>14880</v>
      </c>
      <c r="N193" s="27">
        <f t="shared" si="19"/>
        <v>14880</v>
      </c>
      <c r="O193" s="27">
        <f t="shared" si="19"/>
        <v>14880</v>
      </c>
      <c r="P193" s="27">
        <f t="shared" si="19"/>
        <v>14880</v>
      </c>
      <c r="S193" s="38">
        <v>186</v>
      </c>
      <c r="T193" s="38">
        <f>IFERROR(求节点(节奏总纲!AD$4:AD$363,L$8:L$367,$S193),0)</f>
        <v>28800</v>
      </c>
      <c r="U193" s="38">
        <f>IFERROR(求节点(节奏总纲!AE$4:AE$363,M$8:M$367,$S193),0)</f>
        <v>28800</v>
      </c>
      <c r="V193" s="38">
        <f>IFERROR(求节点(节奏总纲!AF$4:AF$363,N$8:N$367,$S193),0)</f>
        <v>28800</v>
      </c>
      <c r="W193" s="38">
        <f>IFERROR(求节点(节奏总纲!AG$4:AG$363,O$8:O$367,$S193),0)</f>
        <v>28800</v>
      </c>
      <c r="X193" s="38">
        <f>IFERROR(求节点(节奏总纲!AH$4:AH$363,P$8:P$367,$S193),0)</f>
        <v>28800</v>
      </c>
    </row>
    <row r="194" spans="3:24" x14ac:dyDescent="0.15">
      <c r="C194" s="27"/>
      <c r="K194" s="27">
        <v>187</v>
      </c>
      <c r="L194" s="27">
        <f t="shared" si="19"/>
        <v>14960</v>
      </c>
      <c r="M194" s="27">
        <f t="shared" si="19"/>
        <v>14960</v>
      </c>
      <c r="N194" s="27">
        <f t="shared" si="19"/>
        <v>14960</v>
      </c>
      <c r="O194" s="27">
        <f t="shared" si="19"/>
        <v>14960</v>
      </c>
      <c r="P194" s="27">
        <f t="shared" si="19"/>
        <v>14960</v>
      </c>
      <c r="S194" s="38">
        <v>187</v>
      </c>
      <c r="T194" s="38">
        <f>IFERROR(求节点(节奏总纲!AD$4:AD$363,L$8:L$367,$S194),0)</f>
        <v>28800</v>
      </c>
      <c r="U194" s="38">
        <f>IFERROR(求节点(节奏总纲!AE$4:AE$363,M$8:M$367,$S194),0)</f>
        <v>28800</v>
      </c>
      <c r="V194" s="38">
        <f>IFERROR(求节点(节奏总纲!AF$4:AF$363,N$8:N$367,$S194),0)</f>
        <v>28800</v>
      </c>
      <c r="W194" s="38">
        <f>IFERROR(求节点(节奏总纲!AG$4:AG$363,O$8:O$367,$S194),0)</f>
        <v>28800</v>
      </c>
      <c r="X194" s="38">
        <f>IFERROR(求节点(节奏总纲!AH$4:AH$363,P$8:P$367,$S194),0)</f>
        <v>28800</v>
      </c>
    </row>
    <row r="195" spans="3:24" x14ac:dyDescent="0.15">
      <c r="C195" s="27"/>
      <c r="K195" s="27">
        <v>188</v>
      </c>
      <c r="L195" s="27">
        <f t="shared" si="19"/>
        <v>15040</v>
      </c>
      <c r="M195" s="27">
        <f t="shared" si="19"/>
        <v>15040</v>
      </c>
      <c r="N195" s="27">
        <f t="shared" si="19"/>
        <v>15040</v>
      </c>
      <c r="O195" s="27">
        <f t="shared" si="19"/>
        <v>15040</v>
      </c>
      <c r="P195" s="27">
        <f t="shared" si="19"/>
        <v>15040</v>
      </c>
      <c r="S195" s="38">
        <v>188</v>
      </c>
      <c r="T195" s="38">
        <f>IFERROR(求节点(节奏总纲!AD$4:AD$363,L$8:L$367,$S195),0)</f>
        <v>28800</v>
      </c>
      <c r="U195" s="38">
        <f>IFERROR(求节点(节奏总纲!AE$4:AE$363,M$8:M$367,$S195),0)</f>
        <v>28800</v>
      </c>
      <c r="V195" s="38">
        <f>IFERROR(求节点(节奏总纲!AF$4:AF$363,N$8:N$367,$S195),0)</f>
        <v>28800</v>
      </c>
      <c r="W195" s="38">
        <f>IFERROR(求节点(节奏总纲!AG$4:AG$363,O$8:O$367,$S195),0)</f>
        <v>28800</v>
      </c>
      <c r="X195" s="38">
        <f>IFERROR(求节点(节奏总纲!AH$4:AH$363,P$8:P$367,$S195),0)</f>
        <v>28800</v>
      </c>
    </row>
    <row r="196" spans="3:24" x14ac:dyDescent="0.15">
      <c r="C196" s="27"/>
      <c r="K196" s="27">
        <v>189</v>
      </c>
      <c r="L196" s="27">
        <f t="shared" si="19"/>
        <v>15120</v>
      </c>
      <c r="M196" s="27">
        <f t="shared" si="19"/>
        <v>15120</v>
      </c>
      <c r="N196" s="27">
        <f t="shared" si="19"/>
        <v>15120</v>
      </c>
      <c r="O196" s="27">
        <f t="shared" si="19"/>
        <v>15120</v>
      </c>
      <c r="P196" s="27">
        <f t="shared" si="19"/>
        <v>15120</v>
      </c>
      <c r="S196" s="38">
        <v>189</v>
      </c>
      <c r="T196" s="38">
        <f>IFERROR(求节点(节奏总纲!AD$4:AD$363,L$8:L$367,$S196),0)</f>
        <v>28800</v>
      </c>
      <c r="U196" s="38">
        <f>IFERROR(求节点(节奏总纲!AE$4:AE$363,M$8:M$367,$S196),0)</f>
        <v>28800</v>
      </c>
      <c r="V196" s="38">
        <f>IFERROR(求节点(节奏总纲!AF$4:AF$363,N$8:N$367,$S196),0)</f>
        <v>28800</v>
      </c>
      <c r="W196" s="38">
        <f>IFERROR(求节点(节奏总纲!AG$4:AG$363,O$8:O$367,$S196),0)</f>
        <v>28800</v>
      </c>
      <c r="X196" s="38">
        <f>IFERROR(求节点(节奏总纲!AH$4:AH$363,P$8:P$367,$S196),0)</f>
        <v>28800</v>
      </c>
    </row>
    <row r="197" spans="3:24" x14ac:dyDescent="0.15">
      <c r="C197" s="27"/>
      <c r="K197" s="27">
        <v>190</v>
      </c>
      <c r="L197" s="27">
        <f t="shared" si="19"/>
        <v>15200</v>
      </c>
      <c r="M197" s="27">
        <f t="shared" si="19"/>
        <v>15200</v>
      </c>
      <c r="N197" s="27">
        <f t="shared" si="19"/>
        <v>15200</v>
      </c>
      <c r="O197" s="27">
        <f t="shared" si="19"/>
        <v>15200</v>
      </c>
      <c r="P197" s="27">
        <f t="shared" si="19"/>
        <v>15200</v>
      </c>
      <c r="S197" s="38">
        <v>190</v>
      </c>
      <c r="T197" s="38">
        <f>IFERROR(求节点(节奏总纲!AD$4:AD$363,L$8:L$367,$S197),0)</f>
        <v>28800</v>
      </c>
      <c r="U197" s="38">
        <f>IFERROR(求节点(节奏总纲!AE$4:AE$363,M$8:M$367,$S197),0)</f>
        <v>28800</v>
      </c>
      <c r="V197" s="38">
        <f>IFERROR(求节点(节奏总纲!AF$4:AF$363,N$8:N$367,$S197),0)</f>
        <v>28800</v>
      </c>
      <c r="W197" s="38">
        <f>IFERROR(求节点(节奏总纲!AG$4:AG$363,O$8:O$367,$S197),0)</f>
        <v>28800</v>
      </c>
      <c r="X197" s="38">
        <f>IFERROR(求节点(节奏总纲!AH$4:AH$363,P$8:P$367,$S197),0)</f>
        <v>28800</v>
      </c>
    </row>
    <row r="198" spans="3:24" x14ac:dyDescent="0.15">
      <c r="C198" s="27"/>
      <c r="K198" s="27">
        <v>191</v>
      </c>
      <c r="L198" s="27">
        <f t="shared" ref="L198:P207" si="20">IFERROR(MAX($K198-$D$1,0)*$D$3/30,0)</f>
        <v>15280</v>
      </c>
      <c r="M198" s="27">
        <f t="shared" si="20"/>
        <v>15280</v>
      </c>
      <c r="N198" s="27">
        <f t="shared" si="20"/>
        <v>15280</v>
      </c>
      <c r="O198" s="27">
        <f t="shared" si="20"/>
        <v>15280</v>
      </c>
      <c r="P198" s="27">
        <f t="shared" si="20"/>
        <v>15280</v>
      </c>
      <c r="S198" s="38">
        <v>191</v>
      </c>
      <c r="T198" s="38">
        <f>IFERROR(求节点(节奏总纲!AD$4:AD$363,L$8:L$367,$S198),0)</f>
        <v>28800</v>
      </c>
      <c r="U198" s="38">
        <f>IFERROR(求节点(节奏总纲!AE$4:AE$363,M$8:M$367,$S198),0)</f>
        <v>28800</v>
      </c>
      <c r="V198" s="38">
        <f>IFERROR(求节点(节奏总纲!AF$4:AF$363,N$8:N$367,$S198),0)</f>
        <v>28800</v>
      </c>
      <c r="W198" s="38">
        <f>IFERROR(求节点(节奏总纲!AG$4:AG$363,O$8:O$367,$S198),0)</f>
        <v>28800</v>
      </c>
      <c r="X198" s="38">
        <f>IFERROR(求节点(节奏总纲!AH$4:AH$363,P$8:P$367,$S198),0)</f>
        <v>28800</v>
      </c>
    </row>
    <row r="199" spans="3:24" x14ac:dyDescent="0.15">
      <c r="C199" s="27"/>
      <c r="K199" s="27">
        <v>192</v>
      </c>
      <c r="L199" s="27">
        <f t="shared" si="20"/>
        <v>15360</v>
      </c>
      <c r="M199" s="27">
        <f t="shared" si="20"/>
        <v>15360</v>
      </c>
      <c r="N199" s="27">
        <f t="shared" si="20"/>
        <v>15360</v>
      </c>
      <c r="O199" s="27">
        <f t="shared" si="20"/>
        <v>15360</v>
      </c>
      <c r="P199" s="27">
        <f t="shared" si="20"/>
        <v>15360</v>
      </c>
      <c r="S199" s="38">
        <v>192</v>
      </c>
      <c r="T199" s="38">
        <f>IFERROR(求节点(节奏总纲!AD$4:AD$363,L$8:L$367,$S199),0)</f>
        <v>28800</v>
      </c>
      <c r="U199" s="38">
        <f>IFERROR(求节点(节奏总纲!AE$4:AE$363,M$8:M$367,$S199),0)</f>
        <v>28800</v>
      </c>
      <c r="V199" s="38">
        <f>IFERROR(求节点(节奏总纲!AF$4:AF$363,N$8:N$367,$S199),0)</f>
        <v>28800</v>
      </c>
      <c r="W199" s="38">
        <f>IFERROR(求节点(节奏总纲!AG$4:AG$363,O$8:O$367,$S199),0)</f>
        <v>28800</v>
      </c>
      <c r="X199" s="38">
        <f>IFERROR(求节点(节奏总纲!AH$4:AH$363,P$8:P$367,$S199),0)</f>
        <v>28800</v>
      </c>
    </row>
    <row r="200" spans="3:24" x14ac:dyDescent="0.15">
      <c r="C200" s="27"/>
      <c r="K200" s="27">
        <v>193</v>
      </c>
      <c r="L200" s="27">
        <f t="shared" si="20"/>
        <v>15440</v>
      </c>
      <c r="M200" s="27">
        <f t="shared" si="20"/>
        <v>15440</v>
      </c>
      <c r="N200" s="27">
        <f t="shared" si="20"/>
        <v>15440</v>
      </c>
      <c r="O200" s="27">
        <f t="shared" si="20"/>
        <v>15440</v>
      </c>
      <c r="P200" s="27">
        <f t="shared" si="20"/>
        <v>15440</v>
      </c>
      <c r="S200" s="38">
        <v>193</v>
      </c>
      <c r="T200" s="38">
        <f>IFERROR(求节点(节奏总纲!AD$4:AD$363,L$8:L$367,$S200),0)</f>
        <v>28800</v>
      </c>
      <c r="U200" s="38">
        <f>IFERROR(求节点(节奏总纲!AE$4:AE$363,M$8:M$367,$S200),0)</f>
        <v>28800</v>
      </c>
      <c r="V200" s="38">
        <f>IFERROR(求节点(节奏总纲!AF$4:AF$363,N$8:N$367,$S200),0)</f>
        <v>28800</v>
      </c>
      <c r="W200" s="38">
        <f>IFERROR(求节点(节奏总纲!AG$4:AG$363,O$8:O$367,$S200),0)</f>
        <v>28800</v>
      </c>
      <c r="X200" s="38">
        <f>IFERROR(求节点(节奏总纲!AH$4:AH$363,P$8:P$367,$S200),0)</f>
        <v>28800</v>
      </c>
    </row>
    <row r="201" spans="3:24" x14ac:dyDescent="0.15">
      <c r="C201" s="27"/>
      <c r="K201" s="27">
        <v>194</v>
      </c>
      <c r="L201" s="27">
        <f t="shared" si="20"/>
        <v>15520</v>
      </c>
      <c r="M201" s="27">
        <f t="shared" si="20"/>
        <v>15520</v>
      </c>
      <c r="N201" s="27">
        <f t="shared" si="20"/>
        <v>15520</v>
      </c>
      <c r="O201" s="27">
        <f t="shared" si="20"/>
        <v>15520</v>
      </c>
      <c r="P201" s="27">
        <f t="shared" si="20"/>
        <v>15520</v>
      </c>
      <c r="S201" s="38">
        <v>194</v>
      </c>
      <c r="T201" s="38">
        <f>IFERROR(求节点(节奏总纲!AD$4:AD$363,L$8:L$367,$S201),0)</f>
        <v>28800</v>
      </c>
      <c r="U201" s="38">
        <f>IFERROR(求节点(节奏总纲!AE$4:AE$363,M$8:M$367,$S201),0)</f>
        <v>28800</v>
      </c>
      <c r="V201" s="38">
        <f>IFERROR(求节点(节奏总纲!AF$4:AF$363,N$8:N$367,$S201),0)</f>
        <v>28800</v>
      </c>
      <c r="W201" s="38">
        <f>IFERROR(求节点(节奏总纲!AG$4:AG$363,O$8:O$367,$S201),0)</f>
        <v>28800</v>
      </c>
      <c r="X201" s="38">
        <f>IFERROR(求节点(节奏总纲!AH$4:AH$363,P$8:P$367,$S201),0)</f>
        <v>28800</v>
      </c>
    </row>
    <row r="202" spans="3:24" x14ac:dyDescent="0.15">
      <c r="C202" s="27"/>
      <c r="K202" s="27">
        <v>195</v>
      </c>
      <c r="L202" s="27">
        <f t="shared" si="20"/>
        <v>15600</v>
      </c>
      <c r="M202" s="27">
        <f t="shared" si="20"/>
        <v>15600</v>
      </c>
      <c r="N202" s="27">
        <f t="shared" si="20"/>
        <v>15600</v>
      </c>
      <c r="O202" s="27">
        <f t="shared" si="20"/>
        <v>15600</v>
      </c>
      <c r="P202" s="27">
        <f t="shared" si="20"/>
        <v>15600</v>
      </c>
      <c r="S202" s="38">
        <v>195</v>
      </c>
      <c r="T202" s="38">
        <f>IFERROR(求节点(节奏总纲!AD$4:AD$363,L$8:L$367,$S202),0)</f>
        <v>28800</v>
      </c>
      <c r="U202" s="38">
        <f>IFERROR(求节点(节奏总纲!AE$4:AE$363,M$8:M$367,$S202),0)</f>
        <v>28800</v>
      </c>
      <c r="V202" s="38">
        <f>IFERROR(求节点(节奏总纲!AF$4:AF$363,N$8:N$367,$S202),0)</f>
        <v>28800</v>
      </c>
      <c r="W202" s="38">
        <f>IFERROR(求节点(节奏总纲!AG$4:AG$363,O$8:O$367,$S202),0)</f>
        <v>28800</v>
      </c>
      <c r="X202" s="38">
        <f>IFERROR(求节点(节奏总纲!AH$4:AH$363,P$8:P$367,$S202),0)</f>
        <v>28800</v>
      </c>
    </row>
    <row r="203" spans="3:24" x14ac:dyDescent="0.15">
      <c r="C203" s="27"/>
      <c r="K203" s="27">
        <v>196</v>
      </c>
      <c r="L203" s="27">
        <f t="shared" si="20"/>
        <v>15680</v>
      </c>
      <c r="M203" s="27">
        <f t="shared" si="20"/>
        <v>15680</v>
      </c>
      <c r="N203" s="27">
        <f t="shared" si="20"/>
        <v>15680</v>
      </c>
      <c r="O203" s="27">
        <f t="shared" si="20"/>
        <v>15680</v>
      </c>
      <c r="P203" s="27">
        <f t="shared" si="20"/>
        <v>15680</v>
      </c>
      <c r="S203" s="38">
        <v>196</v>
      </c>
      <c r="T203" s="38">
        <f>IFERROR(求节点(节奏总纲!AD$4:AD$363,L$8:L$367,$S203),0)</f>
        <v>28800</v>
      </c>
      <c r="U203" s="38">
        <f>IFERROR(求节点(节奏总纲!AE$4:AE$363,M$8:M$367,$S203),0)</f>
        <v>28800</v>
      </c>
      <c r="V203" s="38">
        <f>IFERROR(求节点(节奏总纲!AF$4:AF$363,N$8:N$367,$S203),0)</f>
        <v>28800</v>
      </c>
      <c r="W203" s="38">
        <f>IFERROR(求节点(节奏总纲!AG$4:AG$363,O$8:O$367,$S203),0)</f>
        <v>28800</v>
      </c>
      <c r="X203" s="38">
        <f>IFERROR(求节点(节奏总纲!AH$4:AH$363,P$8:P$367,$S203),0)</f>
        <v>28800</v>
      </c>
    </row>
    <row r="204" spans="3:24" x14ac:dyDescent="0.15">
      <c r="C204" s="27"/>
      <c r="K204" s="27">
        <v>197</v>
      </c>
      <c r="L204" s="27">
        <f t="shared" si="20"/>
        <v>15760</v>
      </c>
      <c r="M204" s="27">
        <f t="shared" si="20"/>
        <v>15760</v>
      </c>
      <c r="N204" s="27">
        <f t="shared" si="20"/>
        <v>15760</v>
      </c>
      <c r="O204" s="27">
        <f t="shared" si="20"/>
        <v>15760</v>
      </c>
      <c r="P204" s="27">
        <f t="shared" si="20"/>
        <v>15760</v>
      </c>
      <c r="S204" s="38">
        <v>197</v>
      </c>
      <c r="T204" s="38">
        <f>IFERROR(求节点(节奏总纲!AD$4:AD$363,L$8:L$367,$S204),0)</f>
        <v>28800</v>
      </c>
      <c r="U204" s="38">
        <f>IFERROR(求节点(节奏总纲!AE$4:AE$363,M$8:M$367,$S204),0)</f>
        <v>28800</v>
      </c>
      <c r="V204" s="38">
        <f>IFERROR(求节点(节奏总纲!AF$4:AF$363,N$8:N$367,$S204),0)</f>
        <v>28800</v>
      </c>
      <c r="W204" s="38">
        <f>IFERROR(求节点(节奏总纲!AG$4:AG$363,O$8:O$367,$S204),0)</f>
        <v>28800</v>
      </c>
      <c r="X204" s="38">
        <f>IFERROR(求节点(节奏总纲!AH$4:AH$363,P$8:P$367,$S204),0)</f>
        <v>28800</v>
      </c>
    </row>
    <row r="205" spans="3:24" x14ac:dyDescent="0.15">
      <c r="C205" s="27"/>
      <c r="K205" s="27">
        <v>198</v>
      </c>
      <c r="L205" s="27">
        <f t="shared" si="20"/>
        <v>15840</v>
      </c>
      <c r="M205" s="27">
        <f t="shared" si="20"/>
        <v>15840</v>
      </c>
      <c r="N205" s="27">
        <f t="shared" si="20"/>
        <v>15840</v>
      </c>
      <c r="O205" s="27">
        <f t="shared" si="20"/>
        <v>15840</v>
      </c>
      <c r="P205" s="27">
        <f t="shared" si="20"/>
        <v>15840</v>
      </c>
      <c r="S205" s="38">
        <v>198</v>
      </c>
      <c r="T205" s="38">
        <f>IFERROR(求节点(节奏总纲!AD$4:AD$363,L$8:L$367,$S205),0)</f>
        <v>28800</v>
      </c>
      <c r="U205" s="38">
        <f>IFERROR(求节点(节奏总纲!AE$4:AE$363,M$8:M$367,$S205),0)</f>
        <v>28800</v>
      </c>
      <c r="V205" s="38">
        <f>IFERROR(求节点(节奏总纲!AF$4:AF$363,N$8:N$367,$S205),0)</f>
        <v>28800</v>
      </c>
      <c r="W205" s="38">
        <f>IFERROR(求节点(节奏总纲!AG$4:AG$363,O$8:O$367,$S205),0)</f>
        <v>28800</v>
      </c>
      <c r="X205" s="38">
        <f>IFERROR(求节点(节奏总纲!AH$4:AH$363,P$8:P$367,$S205),0)</f>
        <v>28800</v>
      </c>
    </row>
    <row r="206" spans="3:24" x14ac:dyDescent="0.15">
      <c r="C206" s="27"/>
      <c r="K206" s="27">
        <v>199</v>
      </c>
      <c r="L206" s="27">
        <f t="shared" si="20"/>
        <v>15920</v>
      </c>
      <c r="M206" s="27">
        <f t="shared" si="20"/>
        <v>15920</v>
      </c>
      <c r="N206" s="27">
        <f t="shared" si="20"/>
        <v>15920</v>
      </c>
      <c r="O206" s="27">
        <f t="shared" si="20"/>
        <v>15920</v>
      </c>
      <c r="P206" s="27">
        <f t="shared" si="20"/>
        <v>15920</v>
      </c>
      <c r="S206" s="38">
        <v>199</v>
      </c>
      <c r="T206" s="38">
        <f>IFERROR(求节点(节奏总纲!AD$4:AD$363,L$8:L$367,$S206),0)</f>
        <v>28800</v>
      </c>
      <c r="U206" s="38">
        <f>IFERROR(求节点(节奏总纲!AE$4:AE$363,M$8:M$367,$S206),0)</f>
        <v>28800</v>
      </c>
      <c r="V206" s="38">
        <f>IFERROR(求节点(节奏总纲!AF$4:AF$363,N$8:N$367,$S206),0)</f>
        <v>28800</v>
      </c>
      <c r="W206" s="38">
        <f>IFERROR(求节点(节奏总纲!AG$4:AG$363,O$8:O$367,$S206),0)</f>
        <v>28800</v>
      </c>
      <c r="X206" s="38">
        <f>IFERROR(求节点(节奏总纲!AH$4:AH$363,P$8:P$367,$S206),0)</f>
        <v>28800</v>
      </c>
    </row>
    <row r="207" spans="3:24" x14ac:dyDescent="0.15">
      <c r="C207" s="27"/>
      <c r="K207" s="27">
        <v>200</v>
      </c>
      <c r="L207" s="27">
        <f t="shared" si="20"/>
        <v>16000</v>
      </c>
      <c r="M207" s="27">
        <f t="shared" si="20"/>
        <v>16000</v>
      </c>
      <c r="N207" s="27">
        <f t="shared" si="20"/>
        <v>16000</v>
      </c>
      <c r="O207" s="27">
        <f t="shared" si="20"/>
        <v>16000</v>
      </c>
      <c r="P207" s="27">
        <f t="shared" si="20"/>
        <v>16000</v>
      </c>
      <c r="S207" s="38">
        <v>200</v>
      </c>
      <c r="T207" s="38">
        <f>IFERROR(求节点(节奏总纲!AD$4:AD$363,L$8:L$367,$S207),0)</f>
        <v>28800</v>
      </c>
      <c r="U207" s="38">
        <f>IFERROR(求节点(节奏总纲!AE$4:AE$363,M$8:M$367,$S207),0)</f>
        <v>28800</v>
      </c>
      <c r="V207" s="38">
        <f>IFERROR(求节点(节奏总纲!AF$4:AF$363,N$8:N$367,$S207),0)</f>
        <v>28800</v>
      </c>
      <c r="W207" s="38">
        <f>IFERROR(求节点(节奏总纲!AG$4:AG$363,O$8:O$367,$S207),0)</f>
        <v>28800</v>
      </c>
      <c r="X207" s="38">
        <f>IFERROR(求节点(节奏总纲!AH$4:AH$363,P$8:P$367,$S207),0)</f>
        <v>28800</v>
      </c>
    </row>
    <row r="208" spans="3:24" x14ac:dyDescent="0.15">
      <c r="C208" s="27"/>
      <c r="K208" s="27">
        <v>201</v>
      </c>
      <c r="L208" s="27">
        <f t="shared" ref="L208:P217" si="21">IFERROR(MAX($K208-$D$1,0)*$D$3/30,0)</f>
        <v>16080</v>
      </c>
      <c r="M208" s="27">
        <f t="shared" si="21"/>
        <v>16080</v>
      </c>
      <c r="N208" s="27">
        <f t="shared" si="21"/>
        <v>16080</v>
      </c>
      <c r="O208" s="27">
        <f t="shared" si="21"/>
        <v>16080</v>
      </c>
      <c r="P208" s="27">
        <f t="shared" si="21"/>
        <v>16080</v>
      </c>
      <c r="S208" s="38">
        <v>201</v>
      </c>
      <c r="T208" s="38">
        <f>IFERROR(求节点(节奏总纲!AD$4:AD$363,L$8:L$367,$S208),0)</f>
        <v>28800</v>
      </c>
      <c r="U208" s="38">
        <f>IFERROR(求节点(节奏总纲!AE$4:AE$363,M$8:M$367,$S208),0)</f>
        <v>28800</v>
      </c>
      <c r="V208" s="38">
        <f>IFERROR(求节点(节奏总纲!AF$4:AF$363,N$8:N$367,$S208),0)</f>
        <v>28800</v>
      </c>
      <c r="W208" s="38">
        <f>IFERROR(求节点(节奏总纲!AG$4:AG$363,O$8:O$367,$S208),0)</f>
        <v>28800</v>
      </c>
      <c r="X208" s="38">
        <f>IFERROR(求节点(节奏总纲!AH$4:AH$363,P$8:P$367,$S208),0)</f>
        <v>28800</v>
      </c>
    </row>
    <row r="209" spans="3:24" x14ac:dyDescent="0.15">
      <c r="C209" s="27"/>
      <c r="K209" s="27">
        <v>202</v>
      </c>
      <c r="L209" s="27">
        <f t="shared" si="21"/>
        <v>16160</v>
      </c>
      <c r="M209" s="27">
        <f t="shared" si="21"/>
        <v>16160</v>
      </c>
      <c r="N209" s="27">
        <f t="shared" si="21"/>
        <v>16160</v>
      </c>
      <c r="O209" s="27">
        <f t="shared" si="21"/>
        <v>16160</v>
      </c>
      <c r="P209" s="27">
        <f t="shared" si="21"/>
        <v>16160</v>
      </c>
      <c r="S209" s="38">
        <v>202</v>
      </c>
      <c r="T209" s="38">
        <f>IFERROR(求节点(节奏总纲!AD$4:AD$363,L$8:L$367,$S209),0)</f>
        <v>28800</v>
      </c>
      <c r="U209" s="38">
        <f>IFERROR(求节点(节奏总纲!AE$4:AE$363,M$8:M$367,$S209),0)</f>
        <v>28800</v>
      </c>
      <c r="V209" s="38">
        <f>IFERROR(求节点(节奏总纲!AF$4:AF$363,N$8:N$367,$S209),0)</f>
        <v>28800</v>
      </c>
      <c r="W209" s="38">
        <f>IFERROR(求节点(节奏总纲!AG$4:AG$363,O$8:O$367,$S209),0)</f>
        <v>28800</v>
      </c>
      <c r="X209" s="38">
        <f>IFERROR(求节点(节奏总纲!AH$4:AH$363,P$8:P$367,$S209),0)</f>
        <v>28800</v>
      </c>
    </row>
    <row r="210" spans="3:24" x14ac:dyDescent="0.15">
      <c r="C210" s="27"/>
      <c r="K210" s="27">
        <v>203</v>
      </c>
      <c r="L210" s="27">
        <f t="shared" si="21"/>
        <v>16240</v>
      </c>
      <c r="M210" s="27">
        <f t="shared" si="21"/>
        <v>16240</v>
      </c>
      <c r="N210" s="27">
        <f t="shared" si="21"/>
        <v>16240</v>
      </c>
      <c r="O210" s="27">
        <f t="shared" si="21"/>
        <v>16240</v>
      </c>
      <c r="P210" s="27">
        <f t="shared" si="21"/>
        <v>16240</v>
      </c>
      <c r="S210" s="38">
        <v>203</v>
      </c>
      <c r="T210" s="38">
        <f>IFERROR(求节点(节奏总纲!AD$4:AD$363,L$8:L$367,$S210),0)</f>
        <v>28800</v>
      </c>
      <c r="U210" s="38">
        <f>IFERROR(求节点(节奏总纲!AE$4:AE$363,M$8:M$367,$S210),0)</f>
        <v>28800</v>
      </c>
      <c r="V210" s="38">
        <f>IFERROR(求节点(节奏总纲!AF$4:AF$363,N$8:N$367,$S210),0)</f>
        <v>28800</v>
      </c>
      <c r="W210" s="38">
        <f>IFERROR(求节点(节奏总纲!AG$4:AG$363,O$8:O$367,$S210),0)</f>
        <v>28800</v>
      </c>
      <c r="X210" s="38">
        <f>IFERROR(求节点(节奏总纲!AH$4:AH$363,P$8:P$367,$S210),0)</f>
        <v>28800</v>
      </c>
    </row>
    <row r="211" spans="3:24" x14ac:dyDescent="0.15">
      <c r="C211" s="27"/>
      <c r="K211" s="27">
        <v>204</v>
      </c>
      <c r="L211" s="27">
        <f t="shared" si="21"/>
        <v>16320</v>
      </c>
      <c r="M211" s="27">
        <f t="shared" si="21"/>
        <v>16320</v>
      </c>
      <c r="N211" s="27">
        <f t="shared" si="21"/>
        <v>16320</v>
      </c>
      <c r="O211" s="27">
        <f t="shared" si="21"/>
        <v>16320</v>
      </c>
      <c r="P211" s="27">
        <f t="shared" si="21"/>
        <v>16320</v>
      </c>
      <c r="S211" s="38">
        <v>204</v>
      </c>
      <c r="T211" s="38">
        <f>IFERROR(求节点(节奏总纲!AD$4:AD$363,L$8:L$367,$S211),0)</f>
        <v>28800</v>
      </c>
      <c r="U211" s="38">
        <f>IFERROR(求节点(节奏总纲!AE$4:AE$363,M$8:M$367,$S211),0)</f>
        <v>28800</v>
      </c>
      <c r="V211" s="38">
        <f>IFERROR(求节点(节奏总纲!AF$4:AF$363,N$8:N$367,$S211),0)</f>
        <v>28800</v>
      </c>
      <c r="W211" s="38">
        <f>IFERROR(求节点(节奏总纲!AG$4:AG$363,O$8:O$367,$S211),0)</f>
        <v>28800</v>
      </c>
      <c r="X211" s="38">
        <f>IFERROR(求节点(节奏总纲!AH$4:AH$363,P$8:P$367,$S211),0)</f>
        <v>28800</v>
      </c>
    </row>
    <row r="212" spans="3:24" x14ac:dyDescent="0.15">
      <c r="C212" s="27"/>
      <c r="K212" s="27">
        <v>205</v>
      </c>
      <c r="L212" s="27">
        <f t="shared" si="21"/>
        <v>16400</v>
      </c>
      <c r="M212" s="27">
        <f t="shared" si="21"/>
        <v>16400</v>
      </c>
      <c r="N212" s="27">
        <f t="shared" si="21"/>
        <v>16400</v>
      </c>
      <c r="O212" s="27">
        <f t="shared" si="21"/>
        <v>16400</v>
      </c>
      <c r="P212" s="27">
        <f t="shared" si="21"/>
        <v>16400</v>
      </c>
      <c r="S212" s="38">
        <v>205</v>
      </c>
      <c r="T212" s="38">
        <f>IFERROR(求节点(节奏总纲!AD$4:AD$363,L$8:L$367,$S212),0)</f>
        <v>28800</v>
      </c>
      <c r="U212" s="38">
        <f>IFERROR(求节点(节奏总纲!AE$4:AE$363,M$8:M$367,$S212),0)</f>
        <v>28800</v>
      </c>
      <c r="V212" s="38">
        <f>IFERROR(求节点(节奏总纲!AF$4:AF$363,N$8:N$367,$S212),0)</f>
        <v>28800</v>
      </c>
      <c r="W212" s="38">
        <f>IFERROR(求节点(节奏总纲!AG$4:AG$363,O$8:O$367,$S212),0)</f>
        <v>28800</v>
      </c>
      <c r="X212" s="38">
        <f>IFERROR(求节点(节奏总纲!AH$4:AH$363,P$8:P$367,$S212),0)</f>
        <v>28800</v>
      </c>
    </row>
    <row r="213" spans="3:24" x14ac:dyDescent="0.15">
      <c r="C213" s="27"/>
      <c r="K213" s="27">
        <v>206</v>
      </c>
      <c r="L213" s="27">
        <f t="shared" si="21"/>
        <v>16480</v>
      </c>
      <c r="M213" s="27">
        <f t="shared" si="21"/>
        <v>16480</v>
      </c>
      <c r="N213" s="27">
        <f t="shared" si="21"/>
        <v>16480</v>
      </c>
      <c r="O213" s="27">
        <f t="shared" si="21"/>
        <v>16480</v>
      </c>
      <c r="P213" s="27">
        <f t="shared" si="21"/>
        <v>16480</v>
      </c>
      <c r="S213" s="38">
        <v>206</v>
      </c>
      <c r="T213" s="38">
        <f>IFERROR(求节点(节奏总纲!AD$4:AD$363,L$8:L$367,$S213),0)</f>
        <v>28800</v>
      </c>
      <c r="U213" s="38">
        <f>IFERROR(求节点(节奏总纲!AE$4:AE$363,M$8:M$367,$S213),0)</f>
        <v>28800</v>
      </c>
      <c r="V213" s="38">
        <f>IFERROR(求节点(节奏总纲!AF$4:AF$363,N$8:N$367,$S213),0)</f>
        <v>28800</v>
      </c>
      <c r="W213" s="38">
        <f>IFERROR(求节点(节奏总纲!AG$4:AG$363,O$8:O$367,$S213),0)</f>
        <v>28800</v>
      </c>
      <c r="X213" s="38">
        <f>IFERROR(求节点(节奏总纲!AH$4:AH$363,P$8:P$367,$S213),0)</f>
        <v>28800</v>
      </c>
    </row>
    <row r="214" spans="3:24" x14ac:dyDescent="0.15">
      <c r="C214" s="27"/>
      <c r="K214" s="27">
        <v>207</v>
      </c>
      <c r="L214" s="27">
        <f t="shared" si="21"/>
        <v>16560</v>
      </c>
      <c r="M214" s="27">
        <f t="shared" si="21"/>
        <v>16560</v>
      </c>
      <c r="N214" s="27">
        <f t="shared" si="21"/>
        <v>16560</v>
      </c>
      <c r="O214" s="27">
        <f t="shared" si="21"/>
        <v>16560</v>
      </c>
      <c r="P214" s="27">
        <f t="shared" si="21"/>
        <v>16560</v>
      </c>
      <c r="S214" s="38">
        <v>207</v>
      </c>
      <c r="T214" s="38">
        <f>IFERROR(求节点(节奏总纲!AD$4:AD$363,L$8:L$367,$S214),0)</f>
        <v>28800</v>
      </c>
      <c r="U214" s="38">
        <f>IFERROR(求节点(节奏总纲!AE$4:AE$363,M$8:M$367,$S214),0)</f>
        <v>28800</v>
      </c>
      <c r="V214" s="38">
        <f>IFERROR(求节点(节奏总纲!AF$4:AF$363,N$8:N$367,$S214),0)</f>
        <v>28800</v>
      </c>
      <c r="W214" s="38">
        <f>IFERROR(求节点(节奏总纲!AG$4:AG$363,O$8:O$367,$S214),0)</f>
        <v>28800</v>
      </c>
      <c r="X214" s="38">
        <f>IFERROR(求节点(节奏总纲!AH$4:AH$363,P$8:P$367,$S214),0)</f>
        <v>28800</v>
      </c>
    </row>
    <row r="215" spans="3:24" x14ac:dyDescent="0.15">
      <c r="C215" s="27"/>
      <c r="K215" s="27">
        <v>208</v>
      </c>
      <c r="L215" s="27">
        <f t="shared" si="21"/>
        <v>16640</v>
      </c>
      <c r="M215" s="27">
        <f t="shared" si="21"/>
        <v>16640</v>
      </c>
      <c r="N215" s="27">
        <f t="shared" si="21"/>
        <v>16640</v>
      </c>
      <c r="O215" s="27">
        <f t="shared" si="21"/>
        <v>16640</v>
      </c>
      <c r="P215" s="27">
        <f t="shared" si="21"/>
        <v>16640</v>
      </c>
      <c r="S215" s="38">
        <v>208</v>
      </c>
      <c r="T215" s="38">
        <f>IFERROR(求节点(节奏总纲!AD$4:AD$363,L$8:L$367,$S215),0)</f>
        <v>28800</v>
      </c>
      <c r="U215" s="38">
        <f>IFERROR(求节点(节奏总纲!AE$4:AE$363,M$8:M$367,$S215),0)</f>
        <v>28800</v>
      </c>
      <c r="V215" s="38">
        <f>IFERROR(求节点(节奏总纲!AF$4:AF$363,N$8:N$367,$S215),0)</f>
        <v>28800</v>
      </c>
      <c r="W215" s="38">
        <f>IFERROR(求节点(节奏总纲!AG$4:AG$363,O$8:O$367,$S215),0)</f>
        <v>28800</v>
      </c>
      <c r="X215" s="38">
        <f>IFERROR(求节点(节奏总纲!AH$4:AH$363,P$8:P$367,$S215),0)</f>
        <v>28800</v>
      </c>
    </row>
    <row r="216" spans="3:24" x14ac:dyDescent="0.15">
      <c r="C216" s="27"/>
      <c r="K216" s="27">
        <v>209</v>
      </c>
      <c r="L216" s="27">
        <f t="shared" si="21"/>
        <v>16720</v>
      </c>
      <c r="M216" s="27">
        <f t="shared" si="21"/>
        <v>16720</v>
      </c>
      <c r="N216" s="27">
        <f t="shared" si="21"/>
        <v>16720</v>
      </c>
      <c r="O216" s="27">
        <f t="shared" si="21"/>
        <v>16720</v>
      </c>
      <c r="P216" s="27">
        <f t="shared" si="21"/>
        <v>16720</v>
      </c>
      <c r="S216" s="38">
        <v>209</v>
      </c>
      <c r="T216" s="38">
        <f>IFERROR(求节点(节奏总纲!AD$4:AD$363,L$8:L$367,$S216),0)</f>
        <v>28800</v>
      </c>
      <c r="U216" s="38">
        <f>IFERROR(求节点(节奏总纲!AE$4:AE$363,M$8:M$367,$S216),0)</f>
        <v>28800</v>
      </c>
      <c r="V216" s="38">
        <f>IFERROR(求节点(节奏总纲!AF$4:AF$363,N$8:N$367,$S216),0)</f>
        <v>28800</v>
      </c>
      <c r="W216" s="38">
        <f>IFERROR(求节点(节奏总纲!AG$4:AG$363,O$8:O$367,$S216),0)</f>
        <v>28800</v>
      </c>
      <c r="X216" s="38">
        <f>IFERROR(求节点(节奏总纲!AH$4:AH$363,P$8:P$367,$S216),0)</f>
        <v>28800</v>
      </c>
    </row>
    <row r="217" spans="3:24" x14ac:dyDescent="0.15">
      <c r="C217" s="27"/>
      <c r="K217" s="27">
        <v>210</v>
      </c>
      <c r="L217" s="27">
        <f t="shared" si="21"/>
        <v>16800</v>
      </c>
      <c r="M217" s="27">
        <f t="shared" si="21"/>
        <v>16800</v>
      </c>
      <c r="N217" s="27">
        <f t="shared" si="21"/>
        <v>16800</v>
      </c>
      <c r="O217" s="27">
        <f t="shared" si="21"/>
        <v>16800</v>
      </c>
      <c r="P217" s="27">
        <f t="shared" si="21"/>
        <v>16800</v>
      </c>
      <c r="S217" s="38">
        <v>210</v>
      </c>
      <c r="T217" s="38">
        <f>IFERROR(求节点(节奏总纲!AD$4:AD$363,L$8:L$367,$S217),0)</f>
        <v>28800</v>
      </c>
      <c r="U217" s="38">
        <f>IFERROR(求节点(节奏总纲!AE$4:AE$363,M$8:M$367,$S217),0)</f>
        <v>28800</v>
      </c>
      <c r="V217" s="38">
        <f>IFERROR(求节点(节奏总纲!AF$4:AF$363,N$8:N$367,$S217),0)</f>
        <v>28800</v>
      </c>
      <c r="W217" s="38">
        <f>IFERROR(求节点(节奏总纲!AG$4:AG$363,O$8:O$367,$S217),0)</f>
        <v>28800</v>
      </c>
      <c r="X217" s="38">
        <f>IFERROR(求节点(节奏总纲!AH$4:AH$363,P$8:P$367,$S217),0)</f>
        <v>28800</v>
      </c>
    </row>
    <row r="218" spans="3:24" x14ac:dyDescent="0.15">
      <c r="C218" s="27"/>
      <c r="K218" s="27">
        <v>211</v>
      </c>
      <c r="L218" s="27">
        <f t="shared" ref="L218:P227" si="22">IFERROR(MAX($K218-$D$1,0)*$D$3/30,0)</f>
        <v>16880</v>
      </c>
      <c r="M218" s="27">
        <f t="shared" si="22"/>
        <v>16880</v>
      </c>
      <c r="N218" s="27">
        <f t="shared" si="22"/>
        <v>16880</v>
      </c>
      <c r="O218" s="27">
        <f t="shared" si="22"/>
        <v>16880</v>
      </c>
      <c r="P218" s="27">
        <f t="shared" si="22"/>
        <v>16880</v>
      </c>
      <c r="S218" s="38">
        <v>211</v>
      </c>
      <c r="T218" s="38">
        <f>IFERROR(求节点(节奏总纲!AD$4:AD$363,L$8:L$367,$S218),0)</f>
        <v>28800</v>
      </c>
      <c r="U218" s="38">
        <f>IFERROR(求节点(节奏总纲!AE$4:AE$363,M$8:M$367,$S218),0)</f>
        <v>28800</v>
      </c>
      <c r="V218" s="38">
        <f>IFERROR(求节点(节奏总纲!AF$4:AF$363,N$8:N$367,$S218),0)</f>
        <v>28800</v>
      </c>
      <c r="W218" s="38">
        <f>IFERROR(求节点(节奏总纲!AG$4:AG$363,O$8:O$367,$S218),0)</f>
        <v>28800</v>
      </c>
      <c r="X218" s="38">
        <f>IFERROR(求节点(节奏总纲!AH$4:AH$363,P$8:P$367,$S218),0)</f>
        <v>28800</v>
      </c>
    </row>
    <row r="219" spans="3:24" x14ac:dyDescent="0.15">
      <c r="C219" s="27"/>
      <c r="K219" s="27">
        <v>212</v>
      </c>
      <c r="L219" s="27">
        <f t="shared" si="22"/>
        <v>16960</v>
      </c>
      <c r="M219" s="27">
        <f t="shared" si="22"/>
        <v>16960</v>
      </c>
      <c r="N219" s="27">
        <f t="shared" si="22"/>
        <v>16960</v>
      </c>
      <c r="O219" s="27">
        <f t="shared" si="22"/>
        <v>16960</v>
      </c>
      <c r="P219" s="27">
        <f t="shared" si="22"/>
        <v>16960</v>
      </c>
      <c r="S219" s="38">
        <v>212</v>
      </c>
      <c r="T219" s="38">
        <f>IFERROR(求节点(节奏总纲!AD$4:AD$363,L$8:L$367,$S219),0)</f>
        <v>28800</v>
      </c>
      <c r="U219" s="38">
        <f>IFERROR(求节点(节奏总纲!AE$4:AE$363,M$8:M$367,$S219),0)</f>
        <v>28800</v>
      </c>
      <c r="V219" s="38">
        <f>IFERROR(求节点(节奏总纲!AF$4:AF$363,N$8:N$367,$S219),0)</f>
        <v>28800</v>
      </c>
      <c r="W219" s="38">
        <f>IFERROR(求节点(节奏总纲!AG$4:AG$363,O$8:O$367,$S219),0)</f>
        <v>28800</v>
      </c>
      <c r="X219" s="38">
        <f>IFERROR(求节点(节奏总纲!AH$4:AH$363,P$8:P$367,$S219),0)</f>
        <v>28800</v>
      </c>
    </row>
    <row r="220" spans="3:24" x14ac:dyDescent="0.15">
      <c r="C220" s="27"/>
      <c r="K220" s="27">
        <v>213</v>
      </c>
      <c r="L220" s="27">
        <f t="shared" si="22"/>
        <v>17040</v>
      </c>
      <c r="M220" s="27">
        <f t="shared" si="22"/>
        <v>17040</v>
      </c>
      <c r="N220" s="27">
        <f t="shared" si="22"/>
        <v>17040</v>
      </c>
      <c r="O220" s="27">
        <f t="shared" si="22"/>
        <v>17040</v>
      </c>
      <c r="P220" s="27">
        <f t="shared" si="22"/>
        <v>17040</v>
      </c>
      <c r="S220" s="38">
        <v>213</v>
      </c>
      <c r="T220" s="38">
        <f>IFERROR(求节点(节奏总纲!AD$4:AD$363,L$8:L$367,$S220),0)</f>
        <v>28800</v>
      </c>
      <c r="U220" s="38">
        <f>IFERROR(求节点(节奏总纲!AE$4:AE$363,M$8:M$367,$S220),0)</f>
        <v>28800</v>
      </c>
      <c r="V220" s="38">
        <f>IFERROR(求节点(节奏总纲!AF$4:AF$363,N$8:N$367,$S220),0)</f>
        <v>28800</v>
      </c>
      <c r="W220" s="38">
        <f>IFERROR(求节点(节奏总纲!AG$4:AG$363,O$8:O$367,$S220),0)</f>
        <v>28800</v>
      </c>
      <c r="X220" s="38">
        <f>IFERROR(求节点(节奏总纲!AH$4:AH$363,P$8:P$367,$S220),0)</f>
        <v>28800</v>
      </c>
    </row>
    <row r="221" spans="3:24" x14ac:dyDescent="0.15">
      <c r="C221" s="27"/>
      <c r="K221" s="27">
        <v>214</v>
      </c>
      <c r="L221" s="27">
        <f t="shared" si="22"/>
        <v>17120</v>
      </c>
      <c r="M221" s="27">
        <f t="shared" si="22"/>
        <v>17120</v>
      </c>
      <c r="N221" s="27">
        <f t="shared" si="22"/>
        <v>17120</v>
      </c>
      <c r="O221" s="27">
        <f t="shared" si="22"/>
        <v>17120</v>
      </c>
      <c r="P221" s="27">
        <f t="shared" si="22"/>
        <v>17120</v>
      </c>
      <c r="S221" s="38">
        <v>214</v>
      </c>
      <c r="T221" s="38">
        <f>IFERROR(求节点(节奏总纲!AD$4:AD$363,L$8:L$367,$S221),0)</f>
        <v>28800</v>
      </c>
      <c r="U221" s="38">
        <f>IFERROR(求节点(节奏总纲!AE$4:AE$363,M$8:M$367,$S221),0)</f>
        <v>28800</v>
      </c>
      <c r="V221" s="38">
        <f>IFERROR(求节点(节奏总纲!AF$4:AF$363,N$8:N$367,$S221),0)</f>
        <v>28800</v>
      </c>
      <c r="W221" s="38">
        <f>IFERROR(求节点(节奏总纲!AG$4:AG$363,O$8:O$367,$S221),0)</f>
        <v>28800</v>
      </c>
      <c r="X221" s="38">
        <f>IFERROR(求节点(节奏总纲!AH$4:AH$363,P$8:P$367,$S221),0)</f>
        <v>28800</v>
      </c>
    </row>
    <row r="222" spans="3:24" x14ac:dyDescent="0.15">
      <c r="C222" s="27"/>
      <c r="K222" s="27">
        <v>215</v>
      </c>
      <c r="L222" s="27">
        <f t="shared" si="22"/>
        <v>17200</v>
      </c>
      <c r="M222" s="27">
        <f t="shared" si="22"/>
        <v>17200</v>
      </c>
      <c r="N222" s="27">
        <f t="shared" si="22"/>
        <v>17200</v>
      </c>
      <c r="O222" s="27">
        <f t="shared" si="22"/>
        <v>17200</v>
      </c>
      <c r="P222" s="27">
        <f t="shared" si="22"/>
        <v>17200</v>
      </c>
      <c r="S222" s="38">
        <v>215</v>
      </c>
      <c r="T222" s="38">
        <f>IFERROR(求节点(节奏总纲!AD$4:AD$363,L$8:L$367,$S222),0)</f>
        <v>28800</v>
      </c>
      <c r="U222" s="38">
        <f>IFERROR(求节点(节奏总纲!AE$4:AE$363,M$8:M$367,$S222),0)</f>
        <v>28800</v>
      </c>
      <c r="V222" s="38">
        <f>IFERROR(求节点(节奏总纲!AF$4:AF$363,N$8:N$367,$S222),0)</f>
        <v>28800</v>
      </c>
      <c r="W222" s="38">
        <f>IFERROR(求节点(节奏总纲!AG$4:AG$363,O$8:O$367,$S222),0)</f>
        <v>28800</v>
      </c>
      <c r="X222" s="38">
        <f>IFERROR(求节点(节奏总纲!AH$4:AH$363,P$8:P$367,$S222),0)</f>
        <v>28800</v>
      </c>
    </row>
    <row r="223" spans="3:24" x14ac:dyDescent="0.15">
      <c r="C223" s="27"/>
      <c r="K223" s="27">
        <v>216</v>
      </c>
      <c r="L223" s="27">
        <f t="shared" si="22"/>
        <v>17280</v>
      </c>
      <c r="M223" s="27">
        <f t="shared" si="22"/>
        <v>17280</v>
      </c>
      <c r="N223" s="27">
        <f t="shared" si="22"/>
        <v>17280</v>
      </c>
      <c r="O223" s="27">
        <f t="shared" si="22"/>
        <v>17280</v>
      </c>
      <c r="P223" s="27">
        <f t="shared" si="22"/>
        <v>17280</v>
      </c>
      <c r="S223" s="38">
        <v>216</v>
      </c>
      <c r="T223" s="38">
        <f>IFERROR(求节点(节奏总纲!AD$4:AD$363,L$8:L$367,$S223),0)</f>
        <v>28800</v>
      </c>
      <c r="U223" s="38">
        <f>IFERROR(求节点(节奏总纲!AE$4:AE$363,M$8:M$367,$S223),0)</f>
        <v>28800</v>
      </c>
      <c r="V223" s="38">
        <f>IFERROR(求节点(节奏总纲!AF$4:AF$363,N$8:N$367,$S223),0)</f>
        <v>28800</v>
      </c>
      <c r="W223" s="38">
        <f>IFERROR(求节点(节奏总纲!AG$4:AG$363,O$8:O$367,$S223),0)</f>
        <v>28800</v>
      </c>
      <c r="X223" s="38">
        <f>IFERROR(求节点(节奏总纲!AH$4:AH$363,P$8:P$367,$S223),0)</f>
        <v>28800</v>
      </c>
    </row>
    <row r="224" spans="3:24" x14ac:dyDescent="0.15">
      <c r="C224" s="27"/>
      <c r="K224" s="27">
        <v>217</v>
      </c>
      <c r="L224" s="27">
        <f t="shared" si="22"/>
        <v>17360</v>
      </c>
      <c r="M224" s="27">
        <f t="shared" si="22"/>
        <v>17360</v>
      </c>
      <c r="N224" s="27">
        <f t="shared" si="22"/>
        <v>17360</v>
      </c>
      <c r="O224" s="27">
        <f t="shared" si="22"/>
        <v>17360</v>
      </c>
      <c r="P224" s="27">
        <f t="shared" si="22"/>
        <v>17360</v>
      </c>
      <c r="S224" s="38">
        <v>217</v>
      </c>
      <c r="T224" s="38">
        <f>IFERROR(求节点(节奏总纲!AD$4:AD$363,L$8:L$367,$S224),0)</f>
        <v>28800</v>
      </c>
      <c r="U224" s="38">
        <f>IFERROR(求节点(节奏总纲!AE$4:AE$363,M$8:M$367,$S224),0)</f>
        <v>28800</v>
      </c>
      <c r="V224" s="38">
        <f>IFERROR(求节点(节奏总纲!AF$4:AF$363,N$8:N$367,$S224),0)</f>
        <v>28800</v>
      </c>
      <c r="W224" s="38">
        <f>IFERROR(求节点(节奏总纲!AG$4:AG$363,O$8:O$367,$S224),0)</f>
        <v>28800</v>
      </c>
      <c r="X224" s="38">
        <f>IFERROR(求节点(节奏总纲!AH$4:AH$363,P$8:P$367,$S224),0)</f>
        <v>28800</v>
      </c>
    </row>
    <row r="225" spans="3:24" x14ac:dyDescent="0.15">
      <c r="C225" s="27"/>
      <c r="K225" s="27">
        <v>218</v>
      </c>
      <c r="L225" s="27">
        <f t="shared" si="22"/>
        <v>17440</v>
      </c>
      <c r="M225" s="27">
        <f t="shared" si="22"/>
        <v>17440</v>
      </c>
      <c r="N225" s="27">
        <f t="shared" si="22"/>
        <v>17440</v>
      </c>
      <c r="O225" s="27">
        <f t="shared" si="22"/>
        <v>17440</v>
      </c>
      <c r="P225" s="27">
        <f t="shared" si="22"/>
        <v>17440</v>
      </c>
      <c r="S225" s="38">
        <v>218</v>
      </c>
      <c r="T225" s="38">
        <f>IFERROR(求节点(节奏总纲!AD$4:AD$363,L$8:L$367,$S225),0)</f>
        <v>28800</v>
      </c>
      <c r="U225" s="38">
        <f>IFERROR(求节点(节奏总纲!AE$4:AE$363,M$8:M$367,$S225),0)</f>
        <v>28800</v>
      </c>
      <c r="V225" s="38">
        <f>IFERROR(求节点(节奏总纲!AF$4:AF$363,N$8:N$367,$S225),0)</f>
        <v>28800</v>
      </c>
      <c r="W225" s="38">
        <f>IFERROR(求节点(节奏总纲!AG$4:AG$363,O$8:O$367,$S225),0)</f>
        <v>28800</v>
      </c>
      <c r="X225" s="38">
        <f>IFERROR(求节点(节奏总纲!AH$4:AH$363,P$8:P$367,$S225),0)</f>
        <v>28800</v>
      </c>
    </row>
    <row r="226" spans="3:24" x14ac:dyDescent="0.15">
      <c r="C226" s="27"/>
      <c r="K226" s="27">
        <v>219</v>
      </c>
      <c r="L226" s="27">
        <f t="shared" si="22"/>
        <v>17520</v>
      </c>
      <c r="M226" s="27">
        <f t="shared" si="22"/>
        <v>17520</v>
      </c>
      <c r="N226" s="27">
        <f t="shared" si="22"/>
        <v>17520</v>
      </c>
      <c r="O226" s="27">
        <f t="shared" si="22"/>
        <v>17520</v>
      </c>
      <c r="P226" s="27">
        <f t="shared" si="22"/>
        <v>17520</v>
      </c>
      <c r="S226" s="38">
        <v>219</v>
      </c>
      <c r="T226" s="38">
        <f>IFERROR(求节点(节奏总纲!AD$4:AD$363,L$8:L$367,$S226),0)</f>
        <v>28800</v>
      </c>
      <c r="U226" s="38">
        <f>IFERROR(求节点(节奏总纲!AE$4:AE$363,M$8:M$367,$S226),0)</f>
        <v>28800</v>
      </c>
      <c r="V226" s="38">
        <f>IFERROR(求节点(节奏总纲!AF$4:AF$363,N$8:N$367,$S226),0)</f>
        <v>28800</v>
      </c>
      <c r="W226" s="38">
        <f>IFERROR(求节点(节奏总纲!AG$4:AG$363,O$8:O$367,$S226),0)</f>
        <v>28800</v>
      </c>
      <c r="X226" s="38">
        <f>IFERROR(求节点(节奏总纲!AH$4:AH$363,P$8:P$367,$S226),0)</f>
        <v>28800</v>
      </c>
    </row>
    <row r="227" spans="3:24" x14ac:dyDescent="0.15">
      <c r="C227" s="27"/>
      <c r="K227" s="27">
        <v>220</v>
      </c>
      <c r="L227" s="27">
        <f t="shared" si="22"/>
        <v>17600</v>
      </c>
      <c r="M227" s="27">
        <f t="shared" si="22"/>
        <v>17600</v>
      </c>
      <c r="N227" s="27">
        <f t="shared" si="22"/>
        <v>17600</v>
      </c>
      <c r="O227" s="27">
        <f t="shared" si="22"/>
        <v>17600</v>
      </c>
      <c r="P227" s="27">
        <f t="shared" si="22"/>
        <v>17600</v>
      </c>
      <c r="S227" s="38">
        <v>220</v>
      </c>
      <c r="T227" s="38">
        <f>IFERROR(求节点(节奏总纲!AD$4:AD$363,L$8:L$367,$S227),0)</f>
        <v>28800</v>
      </c>
      <c r="U227" s="38">
        <f>IFERROR(求节点(节奏总纲!AE$4:AE$363,M$8:M$367,$S227),0)</f>
        <v>28800</v>
      </c>
      <c r="V227" s="38">
        <f>IFERROR(求节点(节奏总纲!AF$4:AF$363,N$8:N$367,$S227),0)</f>
        <v>28800</v>
      </c>
      <c r="W227" s="38">
        <f>IFERROR(求节点(节奏总纲!AG$4:AG$363,O$8:O$367,$S227),0)</f>
        <v>28800</v>
      </c>
      <c r="X227" s="38">
        <f>IFERROR(求节点(节奏总纲!AH$4:AH$363,P$8:P$367,$S227),0)</f>
        <v>28800</v>
      </c>
    </row>
    <row r="228" spans="3:24" x14ac:dyDescent="0.15">
      <c r="C228" s="27"/>
      <c r="K228" s="27">
        <v>221</v>
      </c>
      <c r="L228" s="27">
        <f t="shared" ref="L228:P237" si="23">IFERROR(MAX($K228-$D$1,0)*$D$3/30,0)</f>
        <v>17680</v>
      </c>
      <c r="M228" s="27">
        <f t="shared" si="23"/>
        <v>17680</v>
      </c>
      <c r="N228" s="27">
        <f t="shared" si="23"/>
        <v>17680</v>
      </c>
      <c r="O228" s="27">
        <f t="shared" si="23"/>
        <v>17680</v>
      </c>
      <c r="P228" s="27">
        <f t="shared" si="23"/>
        <v>17680</v>
      </c>
      <c r="S228" s="38">
        <v>221</v>
      </c>
      <c r="T228" s="38">
        <f>IFERROR(求节点(节奏总纲!AD$4:AD$363,L$8:L$367,$S228),0)</f>
        <v>28800</v>
      </c>
      <c r="U228" s="38">
        <f>IFERROR(求节点(节奏总纲!AE$4:AE$363,M$8:M$367,$S228),0)</f>
        <v>28800</v>
      </c>
      <c r="V228" s="38">
        <f>IFERROR(求节点(节奏总纲!AF$4:AF$363,N$8:N$367,$S228),0)</f>
        <v>28800</v>
      </c>
      <c r="W228" s="38">
        <f>IFERROR(求节点(节奏总纲!AG$4:AG$363,O$8:O$367,$S228),0)</f>
        <v>28800</v>
      </c>
      <c r="X228" s="38">
        <f>IFERROR(求节点(节奏总纲!AH$4:AH$363,P$8:P$367,$S228),0)</f>
        <v>28800</v>
      </c>
    </row>
    <row r="229" spans="3:24" x14ac:dyDescent="0.15">
      <c r="C229" s="27"/>
      <c r="K229" s="27">
        <v>222</v>
      </c>
      <c r="L229" s="27">
        <f t="shared" si="23"/>
        <v>17760</v>
      </c>
      <c r="M229" s="27">
        <f t="shared" si="23"/>
        <v>17760</v>
      </c>
      <c r="N229" s="27">
        <f t="shared" si="23"/>
        <v>17760</v>
      </c>
      <c r="O229" s="27">
        <f t="shared" si="23"/>
        <v>17760</v>
      </c>
      <c r="P229" s="27">
        <f t="shared" si="23"/>
        <v>17760</v>
      </c>
      <c r="S229" s="38">
        <v>222</v>
      </c>
      <c r="T229" s="38">
        <f>IFERROR(求节点(节奏总纲!AD$4:AD$363,L$8:L$367,$S229),0)</f>
        <v>28800</v>
      </c>
      <c r="U229" s="38">
        <f>IFERROR(求节点(节奏总纲!AE$4:AE$363,M$8:M$367,$S229),0)</f>
        <v>28800</v>
      </c>
      <c r="V229" s="38">
        <f>IFERROR(求节点(节奏总纲!AF$4:AF$363,N$8:N$367,$S229),0)</f>
        <v>28800</v>
      </c>
      <c r="W229" s="38">
        <f>IFERROR(求节点(节奏总纲!AG$4:AG$363,O$8:O$367,$S229),0)</f>
        <v>28800</v>
      </c>
      <c r="X229" s="38">
        <f>IFERROR(求节点(节奏总纲!AH$4:AH$363,P$8:P$367,$S229),0)</f>
        <v>28800</v>
      </c>
    </row>
    <row r="230" spans="3:24" x14ac:dyDescent="0.15">
      <c r="C230" s="27"/>
      <c r="K230" s="27">
        <v>223</v>
      </c>
      <c r="L230" s="27">
        <f t="shared" si="23"/>
        <v>17840</v>
      </c>
      <c r="M230" s="27">
        <f t="shared" si="23"/>
        <v>17840</v>
      </c>
      <c r="N230" s="27">
        <f t="shared" si="23"/>
        <v>17840</v>
      </c>
      <c r="O230" s="27">
        <f t="shared" si="23"/>
        <v>17840</v>
      </c>
      <c r="P230" s="27">
        <f t="shared" si="23"/>
        <v>17840</v>
      </c>
      <c r="S230" s="38">
        <v>223</v>
      </c>
      <c r="T230" s="38">
        <f>IFERROR(求节点(节奏总纲!AD$4:AD$363,L$8:L$367,$S230),0)</f>
        <v>28800</v>
      </c>
      <c r="U230" s="38">
        <f>IFERROR(求节点(节奏总纲!AE$4:AE$363,M$8:M$367,$S230),0)</f>
        <v>28800</v>
      </c>
      <c r="V230" s="38">
        <f>IFERROR(求节点(节奏总纲!AF$4:AF$363,N$8:N$367,$S230),0)</f>
        <v>28800</v>
      </c>
      <c r="W230" s="38">
        <f>IFERROR(求节点(节奏总纲!AG$4:AG$363,O$8:O$367,$S230),0)</f>
        <v>28800</v>
      </c>
      <c r="X230" s="38">
        <f>IFERROR(求节点(节奏总纲!AH$4:AH$363,P$8:P$367,$S230),0)</f>
        <v>28800</v>
      </c>
    </row>
    <row r="231" spans="3:24" x14ac:dyDescent="0.15">
      <c r="C231" s="27"/>
      <c r="K231" s="27">
        <v>224</v>
      </c>
      <c r="L231" s="27">
        <f t="shared" si="23"/>
        <v>17920</v>
      </c>
      <c r="M231" s="27">
        <f t="shared" si="23"/>
        <v>17920</v>
      </c>
      <c r="N231" s="27">
        <f t="shared" si="23"/>
        <v>17920</v>
      </c>
      <c r="O231" s="27">
        <f t="shared" si="23"/>
        <v>17920</v>
      </c>
      <c r="P231" s="27">
        <f t="shared" si="23"/>
        <v>17920</v>
      </c>
      <c r="S231" s="38">
        <v>224</v>
      </c>
      <c r="T231" s="38">
        <f>IFERROR(求节点(节奏总纲!AD$4:AD$363,L$8:L$367,$S231),0)</f>
        <v>28800</v>
      </c>
      <c r="U231" s="38">
        <f>IFERROR(求节点(节奏总纲!AE$4:AE$363,M$8:M$367,$S231),0)</f>
        <v>28800</v>
      </c>
      <c r="V231" s="38">
        <f>IFERROR(求节点(节奏总纲!AF$4:AF$363,N$8:N$367,$S231),0)</f>
        <v>28800</v>
      </c>
      <c r="W231" s="38">
        <f>IFERROR(求节点(节奏总纲!AG$4:AG$363,O$8:O$367,$S231),0)</f>
        <v>28800</v>
      </c>
      <c r="X231" s="38">
        <f>IFERROR(求节点(节奏总纲!AH$4:AH$363,P$8:P$367,$S231),0)</f>
        <v>28800</v>
      </c>
    </row>
    <row r="232" spans="3:24" x14ac:dyDescent="0.15">
      <c r="C232" s="27"/>
      <c r="K232" s="27">
        <v>225</v>
      </c>
      <c r="L232" s="27">
        <f t="shared" si="23"/>
        <v>18000</v>
      </c>
      <c r="M232" s="27">
        <f t="shared" si="23"/>
        <v>18000</v>
      </c>
      <c r="N232" s="27">
        <f t="shared" si="23"/>
        <v>18000</v>
      </c>
      <c r="O232" s="27">
        <f t="shared" si="23"/>
        <v>18000</v>
      </c>
      <c r="P232" s="27">
        <f t="shared" si="23"/>
        <v>18000</v>
      </c>
      <c r="S232" s="38">
        <v>225</v>
      </c>
      <c r="T232" s="38">
        <f>IFERROR(求节点(节奏总纲!AD$4:AD$363,L$8:L$367,$S232),0)</f>
        <v>28800</v>
      </c>
      <c r="U232" s="38">
        <f>IFERROR(求节点(节奏总纲!AE$4:AE$363,M$8:M$367,$S232),0)</f>
        <v>28800</v>
      </c>
      <c r="V232" s="38">
        <f>IFERROR(求节点(节奏总纲!AF$4:AF$363,N$8:N$367,$S232),0)</f>
        <v>28800</v>
      </c>
      <c r="W232" s="38">
        <f>IFERROR(求节点(节奏总纲!AG$4:AG$363,O$8:O$367,$S232),0)</f>
        <v>28800</v>
      </c>
      <c r="X232" s="38">
        <f>IFERROR(求节点(节奏总纲!AH$4:AH$363,P$8:P$367,$S232),0)</f>
        <v>28800</v>
      </c>
    </row>
    <row r="233" spans="3:24" x14ac:dyDescent="0.15">
      <c r="C233" s="27"/>
      <c r="K233" s="27">
        <v>226</v>
      </c>
      <c r="L233" s="27">
        <f t="shared" si="23"/>
        <v>18080</v>
      </c>
      <c r="M233" s="27">
        <f t="shared" si="23"/>
        <v>18080</v>
      </c>
      <c r="N233" s="27">
        <f t="shared" si="23"/>
        <v>18080</v>
      </c>
      <c r="O233" s="27">
        <f t="shared" si="23"/>
        <v>18080</v>
      </c>
      <c r="P233" s="27">
        <f t="shared" si="23"/>
        <v>18080</v>
      </c>
      <c r="S233" s="38">
        <v>226</v>
      </c>
      <c r="T233" s="38">
        <f>IFERROR(求节点(节奏总纲!AD$4:AD$363,L$8:L$367,$S233),0)</f>
        <v>28800</v>
      </c>
      <c r="U233" s="38">
        <f>IFERROR(求节点(节奏总纲!AE$4:AE$363,M$8:M$367,$S233),0)</f>
        <v>28800</v>
      </c>
      <c r="V233" s="38">
        <f>IFERROR(求节点(节奏总纲!AF$4:AF$363,N$8:N$367,$S233),0)</f>
        <v>28800</v>
      </c>
      <c r="W233" s="38">
        <f>IFERROR(求节点(节奏总纲!AG$4:AG$363,O$8:O$367,$S233),0)</f>
        <v>28800</v>
      </c>
      <c r="X233" s="38">
        <f>IFERROR(求节点(节奏总纲!AH$4:AH$363,P$8:P$367,$S233),0)</f>
        <v>28800</v>
      </c>
    </row>
    <row r="234" spans="3:24" x14ac:dyDescent="0.15">
      <c r="C234" s="27"/>
      <c r="K234" s="27">
        <v>227</v>
      </c>
      <c r="L234" s="27">
        <f t="shared" si="23"/>
        <v>18160</v>
      </c>
      <c r="M234" s="27">
        <f t="shared" si="23"/>
        <v>18160</v>
      </c>
      <c r="N234" s="27">
        <f t="shared" si="23"/>
        <v>18160</v>
      </c>
      <c r="O234" s="27">
        <f t="shared" si="23"/>
        <v>18160</v>
      </c>
      <c r="P234" s="27">
        <f t="shared" si="23"/>
        <v>18160</v>
      </c>
      <c r="S234" s="38">
        <v>227</v>
      </c>
      <c r="T234" s="38">
        <f>IFERROR(求节点(节奏总纲!AD$4:AD$363,L$8:L$367,$S234),0)</f>
        <v>28800</v>
      </c>
      <c r="U234" s="38">
        <f>IFERROR(求节点(节奏总纲!AE$4:AE$363,M$8:M$367,$S234),0)</f>
        <v>28800</v>
      </c>
      <c r="V234" s="38">
        <f>IFERROR(求节点(节奏总纲!AF$4:AF$363,N$8:N$367,$S234),0)</f>
        <v>28800</v>
      </c>
      <c r="W234" s="38">
        <f>IFERROR(求节点(节奏总纲!AG$4:AG$363,O$8:O$367,$S234),0)</f>
        <v>28800</v>
      </c>
      <c r="X234" s="38">
        <f>IFERROR(求节点(节奏总纲!AH$4:AH$363,P$8:P$367,$S234),0)</f>
        <v>28800</v>
      </c>
    </row>
    <row r="235" spans="3:24" x14ac:dyDescent="0.15">
      <c r="C235" s="27"/>
      <c r="K235" s="27">
        <v>228</v>
      </c>
      <c r="L235" s="27">
        <f t="shared" si="23"/>
        <v>18240</v>
      </c>
      <c r="M235" s="27">
        <f t="shared" si="23"/>
        <v>18240</v>
      </c>
      <c r="N235" s="27">
        <f t="shared" si="23"/>
        <v>18240</v>
      </c>
      <c r="O235" s="27">
        <f t="shared" si="23"/>
        <v>18240</v>
      </c>
      <c r="P235" s="27">
        <f t="shared" si="23"/>
        <v>18240</v>
      </c>
      <c r="S235" s="38">
        <v>228</v>
      </c>
      <c r="T235" s="38">
        <f>IFERROR(求节点(节奏总纲!AD$4:AD$363,L$8:L$367,$S235),0)</f>
        <v>28800</v>
      </c>
      <c r="U235" s="38">
        <f>IFERROR(求节点(节奏总纲!AE$4:AE$363,M$8:M$367,$S235),0)</f>
        <v>28800</v>
      </c>
      <c r="V235" s="38">
        <f>IFERROR(求节点(节奏总纲!AF$4:AF$363,N$8:N$367,$S235),0)</f>
        <v>28800</v>
      </c>
      <c r="W235" s="38">
        <f>IFERROR(求节点(节奏总纲!AG$4:AG$363,O$8:O$367,$S235),0)</f>
        <v>28800</v>
      </c>
      <c r="X235" s="38">
        <f>IFERROR(求节点(节奏总纲!AH$4:AH$363,P$8:P$367,$S235),0)</f>
        <v>28800</v>
      </c>
    </row>
    <row r="236" spans="3:24" x14ac:dyDescent="0.15">
      <c r="C236" s="27"/>
      <c r="K236" s="27">
        <v>229</v>
      </c>
      <c r="L236" s="27">
        <f t="shared" si="23"/>
        <v>18320</v>
      </c>
      <c r="M236" s="27">
        <f t="shared" si="23"/>
        <v>18320</v>
      </c>
      <c r="N236" s="27">
        <f t="shared" si="23"/>
        <v>18320</v>
      </c>
      <c r="O236" s="27">
        <f t="shared" si="23"/>
        <v>18320</v>
      </c>
      <c r="P236" s="27">
        <f t="shared" si="23"/>
        <v>18320</v>
      </c>
      <c r="S236" s="38">
        <v>229</v>
      </c>
      <c r="T236" s="38">
        <f>IFERROR(求节点(节奏总纲!AD$4:AD$363,L$8:L$367,$S236),0)</f>
        <v>28800</v>
      </c>
      <c r="U236" s="38">
        <f>IFERROR(求节点(节奏总纲!AE$4:AE$363,M$8:M$367,$S236),0)</f>
        <v>28800</v>
      </c>
      <c r="V236" s="38">
        <f>IFERROR(求节点(节奏总纲!AF$4:AF$363,N$8:N$367,$S236),0)</f>
        <v>28800</v>
      </c>
      <c r="W236" s="38">
        <f>IFERROR(求节点(节奏总纲!AG$4:AG$363,O$8:O$367,$S236),0)</f>
        <v>28800</v>
      </c>
      <c r="X236" s="38">
        <f>IFERROR(求节点(节奏总纲!AH$4:AH$363,P$8:P$367,$S236),0)</f>
        <v>28800</v>
      </c>
    </row>
    <row r="237" spans="3:24" x14ac:dyDescent="0.15">
      <c r="C237" s="27"/>
      <c r="K237" s="27">
        <v>230</v>
      </c>
      <c r="L237" s="27">
        <f t="shared" si="23"/>
        <v>18400</v>
      </c>
      <c r="M237" s="27">
        <f t="shared" si="23"/>
        <v>18400</v>
      </c>
      <c r="N237" s="27">
        <f t="shared" si="23"/>
        <v>18400</v>
      </c>
      <c r="O237" s="27">
        <f t="shared" si="23"/>
        <v>18400</v>
      </c>
      <c r="P237" s="27">
        <f t="shared" si="23"/>
        <v>18400</v>
      </c>
      <c r="S237" s="38">
        <v>230</v>
      </c>
      <c r="T237" s="38">
        <f>IFERROR(求节点(节奏总纲!AD$4:AD$363,L$8:L$367,$S237),0)</f>
        <v>28800</v>
      </c>
      <c r="U237" s="38">
        <f>IFERROR(求节点(节奏总纲!AE$4:AE$363,M$8:M$367,$S237),0)</f>
        <v>28800</v>
      </c>
      <c r="V237" s="38">
        <f>IFERROR(求节点(节奏总纲!AF$4:AF$363,N$8:N$367,$S237),0)</f>
        <v>28800</v>
      </c>
      <c r="W237" s="38">
        <f>IFERROR(求节点(节奏总纲!AG$4:AG$363,O$8:O$367,$S237),0)</f>
        <v>28800</v>
      </c>
      <c r="X237" s="38">
        <f>IFERROR(求节点(节奏总纲!AH$4:AH$363,P$8:P$367,$S237),0)</f>
        <v>28800</v>
      </c>
    </row>
    <row r="238" spans="3:24" x14ac:dyDescent="0.15">
      <c r="C238" s="27"/>
      <c r="K238" s="27">
        <v>231</v>
      </c>
      <c r="L238" s="27">
        <f t="shared" ref="L238:P247" si="24">IFERROR(MAX($K238-$D$1,0)*$D$3/30,0)</f>
        <v>18480</v>
      </c>
      <c r="M238" s="27">
        <f t="shared" si="24"/>
        <v>18480</v>
      </c>
      <c r="N238" s="27">
        <f t="shared" si="24"/>
        <v>18480</v>
      </c>
      <c r="O238" s="27">
        <f t="shared" si="24"/>
        <v>18480</v>
      </c>
      <c r="P238" s="27">
        <f t="shared" si="24"/>
        <v>18480</v>
      </c>
      <c r="S238" s="38">
        <v>231</v>
      </c>
      <c r="T238" s="38">
        <f>IFERROR(求节点(节奏总纲!AD$4:AD$363,L$8:L$367,$S238),0)</f>
        <v>28800</v>
      </c>
      <c r="U238" s="38">
        <f>IFERROR(求节点(节奏总纲!AE$4:AE$363,M$8:M$367,$S238),0)</f>
        <v>28800</v>
      </c>
      <c r="V238" s="38">
        <f>IFERROR(求节点(节奏总纲!AF$4:AF$363,N$8:N$367,$S238),0)</f>
        <v>28800</v>
      </c>
      <c r="W238" s="38">
        <f>IFERROR(求节点(节奏总纲!AG$4:AG$363,O$8:O$367,$S238),0)</f>
        <v>28800</v>
      </c>
      <c r="X238" s="38">
        <f>IFERROR(求节点(节奏总纲!AH$4:AH$363,P$8:P$367,$S238),0)</f>
        <v>28800</v>
      </c>
    </row>
    <row r="239" spans="3:24" x14ac:dyDescent="0.15">
      <c r="C239" s="27"/>
      <c r="K239" s="27">
        <v>232</v>
      </c>
      <c r="L239" s="27">
        <f t="shared" si="24"/>
        <v>18560</v>
      </c>
      <c r="M239" s="27">
        <f t="shared" si="24"/>
        <v>18560</v>
      </c>
      <c r="N239" s="27">
        <f t="shared" si="24"/>
        <v>18560</v>
      </c>
      <c r="O239" s="27">
        <f t="shared" si="24"/>
        <v>18560</v>
      </c>
      <c r="P239" s="27">
        <f t="shared" si="24"/>
        <v>18560</v>
      </c>
      <c r="S239" s="38">
        <v>232</v>
      </c>
      <c r="T239" s="38">
        <f>IFERROR(求节点(节奏总纲!AD$4:AD$363,L$8:L$367,$S239),0)</f>
        <v>28800</v>
      </c>
      <c r="U239" s="38">
        <f>IFERROR(求节点(节奏总纲!AE$4:AE$363,M$8:M$367,$S239),0)</f>
        <v>28800</v>
      </c>
      <c r="V239" s="38">
        <f>IFERROR(求节点(节奏总纲!AF$4:AF$363,N$8:N$367,$S239),0)</f>
        <v>28800</v>
      </c>
      <c r="W239" s="38">
        <f>IFERROR(求节点(节奏总纲!AG$4:AG$363,O$8:O$367,$S239),0)</f>
        <v>28800</v>
      </c>
      <c r="X239" s="38">
        <f>IFERROR(求节点(节奏总纲!AH$4:AH$363,P$8:P$367,$S239),0)</f>
        <v>28800</v>
      </c>
    </row>
    <row r="240" spans="3:24" x14ac:dyDescent="0.15">
      <c r="C240" s="27"/>
      <c r="K240" s="27">
        <v>233</v>
      </c>
      <c r="L240" s="27">
        <f t="shared" si="24"/>
        <v>18640</v>
      </c>
      <c r="M240" s="27">
        <f t="shared" si="24"/>
        <v>18640</v>
      </c>
      <c r="N240" s="27">
        <f t="shared" si="24"/>
        <v>18640</v>
      </c>
      <c r="O240" s="27">
        <f t="shared" si="24"/>
        <v>18640</v>
      </c>
      <c r="P240" s="27">
        <f t="shared" si="24"/>
        <v>18640</v>
      </c>
      <c r="S240" s="38">
        <v>233</v>
      </c>
      <c r="T240" s="38">
        <f>IFERROR(求节点(节奏总纲!AD$4:AD$363,L$8:L$367,$S240),0)</f>
        <v>28800</v>
      </c>
      <c r="U240" s="38">
        <f>IFERROR(求节点(节奏总纲!AE$4:AE$363,M$8:M$367,$S240),0)</f>
        <v>28800</v>
      </c>
      <c r="V240" s="38">
        <f>IFERROR(求节点(节奏总纲!AF$4:AF$363,N$8:N$367,$S240),0)</f>
        <v>28800</v>
      </c>
      <c r="W240" s="38">
        <f>IFERROR(求节点(节奏总纲!AG$4:AG$363,O$8:O$367,$S240),0)</f>
        <v>28800</v>
      </c>
      <c r="X240" s="38">
        <f>IFERROR(求节点(节奏总纲!AH$4:AH$363,P$8:P$367,$S240),0)</f>
        <v>28800</v>
      </c>
    </row>
    <row r="241" spans="3:24" x14ac:dyDescent="0.15">
      <c r="C241" s="27"/>
      <c r="K241" s="27">
        <v>234</v>
      </c>
      <c r="L241" s="27">
        <f t="shared" si="24"/>
        <v>18720</v>
      </c>
      <c r="M241" s="27">
        <f t="shared" si="24"/>
        <v>18720</v>
      </c>
      <c r="N241" s="27">
        <f t="shared" si="24"/>
        <v>18720</v>
      </c>
      <c r="O241" s="27">
        <f t="shared" si="24"/>
        <v>18720</v>
      </c>
      <c r="P241" s="27">
        <f t="shared" si="24"/>
        <v>18720</v>
      </c>
      <c r="S241" s="38">
        <v>234</v>
      </c>
      <c r="T241" s="38">
        <f>IFERROR(求节点(节奏总纲!AD$4:AD$363,L$8:L$367,$S241),0)</f>
        <v>28800</v>
      </c>
      <c r="U241" s="38">
        <f>IFERROR(求节点(节奏总纲!AE$4:AE$363,M$8:M$367,$S241),0)</f>
        <v>28800</v>
      </c>
      <c r="V241" s="38">
        <f>IFERROR(求节点(节奏总纲!AF$4:AF$363,N$8:N$367,$S241),0)</f>
        <v>28800</v>
      </c>
      <c r="W241" s="38">
        <f>IFERROR(求节点(节奏总纲!AG$4:AG$363,O$8:O$367,$S241),0)</f>
        <v>28800</v>
      </c>
      <c r="X241" s="38">
        <f>IFERROR(求节点(节奏总纲!AH$4:AH$363,P$8:P$367,$S241),0)</f>
        <v>28800</v>
      </c>
    </row>
    <row r="242" spans="3:24" x14ac:dyDescent="0.15">
      <c r="C242" s="27"/>
      <c r="K242" s="27">
        <v>235</v>
      </c>
      <c r="L242" s="27">
        <f t="shared" si="24"/>
        <v>18800</v>
      </c>
      <c r="M242" s="27">
        <f t="shared" si="24"/>
        <v>18800</v>
      </c>
      <c r="N242" s="27">
        <f t="shared" si="24"/>
        <v>18800</v>
      </c>
      <c r="O242" s="27">
        <f t="shared" si="24"/>
        <v>18800</v>
      </c>
      <c r="P242" s="27">
        <f t="shared" si="24"/>
        <v>18800</v>
      </c>
      <c r="S242" s="38">
        <v>235</v>
      </c>
      <c r="T242" s="38">
        <f>IFERROR(求节点(节奏总纲!AD$4:AD$363,L$8:L$367,$S242),0)</f>
        <v>28800</v>
      </c>
      <c r="U242" s="38">
        <f>IFERROR(求节点(节奏总纲!AE$4:AE$363,M$8:M$367,$S242),0)</f>
        <v>28800</v>
      </c>
      <c r="V242" s="38">
        <f>IFERROR(求节点(节奏总纲!AF$4:AF$363,N$8:N$367,$S242),0)</f>
        <v>28800</v>
      </c>
      <c r="W242" s="38">
        <f>IFERROR(求节点(节奏总纲!AG$4:AG$363,O$8:O$367,$S242),0)</f>
        <v>28800</v>
      </c>
      <c r="X242" s="38">
        <f>IFERROR(求节点(节奏总纲!AH$4:AH$363,P$8:P$367,$S242),0)</f>
        <v>28800</v>
      </c>
    </row>
    <row r="243" spans="3:24" x14ac:dyDescent="0.15">
      <c r="C243" s="27"/>
      <c r="K243" s="27">
        <v>236</v>
      </c>
      <c r="L243" s="27">
        <f t="shared" si="24"/>
        <v>18880</v>
      </c>
      <c r="M243" s="27">
        <f t="shared" si="24"/>
        <v>18880</v>
      </c>
      <c r="N243" s="27">
        <f t="shared" si="24"/>
        <v>18880</v>
      </c>
      <c r="O243" s="27">
        <f t="shared" si="24"/>
        <v>18880</v>
      </c>
      <c r="P243" s="27">
        <f t="shared" si="24"/>
        <v>18880</v>
      </c>
      <c r="S243" s="38">
        <v>236</v>
      </c>
      <c r="T243" s="38">
        <f>IFERROR(求节点(节奏总纲!AD$4:AD$363,L$8:L$367,$S243),0)</f>
        <v>28800</v>
      </c>
      <c r="U243" s="38">
        <f>IFERROR(求节点(节奏总纲!AE$4:AE$363,M$8:M$367,$S243),0)</f>
        <v>28800</v>
      </c>
      <c r="V243" s="38">
        <f>IFERROR(求节点(节奏总纲!AF$4:AF$363,N$8:N$367,$S243),0)</f>
        <v>28800</v>
      </c>
      <c r="W243" s="38">
        <f>IFERROR(求节点(节奏总纲!AG$4:AG$363,O$8:O$367,$S243),0)</f>
        <v>28800</v>
      </c>
      <c r="X243" s="38">
        <f>IFERROR(求节点(节奏总纲!AH$4:AH$363,P$8:P$367,$S243),0)</f>
        <v>28800</v>
      </c>
    </row>
    <row r="244" spans="3:24" x14ac:dyDescent="0.15">
      <c r="C244" s="27"/>
      <c r="K244" s="27">
        <v>237</v>
      </c>
      <c r="L244" s="27">
        <f t="shared" si="24"/>
        <v>18960</v>
      </c>
      <c r="M244" s="27">
        <f t="shared" si="24"/>
        <v>18960</v>
      </c>
      <c r="N244" s="27">
        <f t="shared" si="24"/>
        <v>18960</v>
      </c>
      <c r="O244" s="27">
        <f t="shared" si="24"/>
        <v>18960</v>
      </c>
      <c r="P244" s="27">
        <f t="shared" si="24"/>
        <v>18960</v>
      </c>
      <c r="S244" s="38">
        <v>237</v>
      </c>
      <c r="T244" s="38">
        <f>IFERROR(求节点(节奏总纲!AD$4:AD$363,L$8:L$367,$S244),0)</f>
        <v>28800</v>
      </c>
      <c r="U244" s="38">
        <f>IFERROR(求节点(节奏总纲!AE$4:AE$363,M$8:M$367,$S244),0)</f>
        <v>28800</v>
      </c>
      <c r="V244" s="38">
        <f>IFERROR(求节点(节奏总纲!AF$4:AF$363,N$8:N$367,$S244),0)</f>
        <v>28800</v>
      </c>
      <c r="W244" s="38">
        <f>IFERROR(求节点(节奏总纲!AG$4:AG$363,O$8:O$367,$S244),0)</f>
        <v>28800</v>
      </c>
      <c r="X244" s="38">
        <f>IFERROR(求节点(节奏总纲!AH$4:AH$363,P$8:P$367,$S244),0)</f>
        <v>28800</v>
      </c>
    </row>
    <row r="245" spans="3:24" x14ac:dyDescent="0.15">
      <c r="C245" s="27"/>
      <c r="K245" s="27">
        <v>238</v>
      </c>
      <c r="L245" s="27">
        <f t="shared" si="24"/>
        <v>19040</v>
      </c>
      <c r="M245" s="27">
        <f t="shared" si="24"/>
        <v>19040</v>
      </c>
      <c r="N245" s="27">
        <f t="shared" si="24"/>
        <v>19040</v>
      </c>
      <c r="O245" s="27">
        <f t="shared" si="24"/>
        <v>19040</v>
      </c>
      <c r="P245" s="27">
        <f t="shared" si="24"/>
        <v>19040</v>
      </c>
      <c r="S245" s="38">
        <v>238</v>
      </c>
      <c r="T245" s="38">
        <f>IFERROR(求节点(节奏总纲!AD$4:AD$363,L$8:L$367,$S245),0)</f>
        <v>28800</v>
      </c>
      <c r="U245" s="38">
        <f>IFERROR(求节点(节奏总纲!AE$4:AE$363,M$8:M$367,$S245),0)</f>
        <v>28800</v>
      </c>
      <c r="V245" s="38">
        <f>IFERROR(求节点(节奏总纲!AF$4:AF$363,N$8:N$367,$S245),0)</f>
        <v>28800</v>
      </c>
      <c r="W245" s="38">
        <f>IFERROR(求节点(节奏总纲!AG$4:AG$363,O$8:O$367,$S245),0)</f>
        <v>28800</v>
      </c>
      <c r="X245" s="38">
        <f>IFERROR(求节点(节奏总纲!AH$4:AH$363,P$8:P$367,$S245),0)</f>
        <v>28800</v>
      </c>
    </row>
    <row r="246" spans="3:24" x14ac:dyDescent="0.15">
      <c r="C246" s="27"/>
      <c r="K246" s="27">
        <v>239</v>
      </c>
      <c r="L246" s="27">
        <f t="shared" si="24"/>
        <v>19120</v>
      </c>
      <c r="M246" s="27">
        <f t="shared" si="24"/>
        <v>19120</v>
      </c>
      <c r="N246" s="27">
        <f t="shared" si="24"/>
        <v>19120</v>
      </c>
      <c r="O246" s="27">
        <f t="shared" si="24"/>
        <v>19120</v>
      </c>
      <c r="P246" s="27">
        <f t="shared" si="24"/>
        <v>19120</v>
      </c>
      <c r="S246" s="38">
        <v>239</v>
      </c>
      <c r="T246" s="38">
        <f>IFERROR(求节点(节奏总纲!AD$4:AD$363,L$8:L$367,$S246),0)</f>
        <v>28800</v>
      </c>
      <c r="U246" s="38">
        <f>IFERROR(求节点(节奏总纲!AE$4:AE$363,M$8:M$367,$S246),0)</f>
        <v>28800</v>
      </c>
      <c r="V246" s="38">
        <f>IFERROR(求节点(节奏总纲!AF$4:AF$363,N$8:N$367,$S246),0)</f>
        <v>28800</v>
      </c>
      <c r="W246" s="38">
        <f>IFERROR(求节点(节奏总纲!AG$4:AG$363,O$8:O$367,$S246),0)</f>
        <v>28800</v>
      </c>
      <c r="X246" s="38">
        <f>IFERROR(求节点(节奏总纲!AH$4:AH$363,P$8:P$367,$S246),0)</f>
        <v>28800</v>
      </c>
    </row>
    <row r="247" spans="3:24" x14ac:dyDescent="0.15">
      <c r="C247" s="27"/>
      <c r="K247" s="27">
        <v>240</v>
      </c>
      <c r="L247" s="27">
        <f t="shared" si="24"/>
        <v>19200</v>
      </c>
      <c r="M247" s="27">
        <f t="shared" si="24"/>
        <v>19200</v>
      </c>
      <c r="N247" s="27">
        <f t="shared" si="24"/>
        <v>19200</v>
      </c>
      <c r="O247" s="27">
        <f t="shared" si="24"/>
        <v>19200</v>
      </c>
      <c r="P247" s="27">
        <f t="shared" si="24"/>
        <v>19200</v>
      </c>
      <c r="S247" s="38">
        <v>240</v>
      </c>
      <c r="T247" s="38">
        <f>IFERROR(求节点(节奏总纲!AD$4:AD$363,L$8:L$367,$S247),0)</f>
        <v>28800</v>
      </c>
      <c r="U247" s="38">
        <f>IFERROR(求节点(节奏总纲!AE$4:AE$363,M$8:M$367,$S247),0)</f>
        <v>28800</v>
      </c>
      <c r="V247" s="38">
        <f>IFERROR(求节点(节奏总纲!AF$4:AF$363,N$8:N$367,$S247),0)</f>
        <v>28800</v>
      </c>
      <c r="W247" s="38">
        <f>IFERROR(求节点(节奏总纲!AG$4:AG$363,O$8:O$367,$S247),0)</f>
        <v>28800</v>
      </c>
      <c r="X247" s="38">
        <f>IFERROR(求节点(节奏总纲!AH$4:AH$363,P$8:P$367,$S247),0)</f>
        <v>28800</v>
      </c>
    </row>
    <row r="248" spans="3:24" x14ac:dyDescent="0.15">
      <c r="C248" s="27"/>
      <c r="K248" s="27">
        <v>241</v>
      </c>
      <c r="L248" s="27">
        <f t="shared" ref="L248:P257" si="25">IFERROR(MAX($K248-$D$1,0)*$D$3/30,0)</f>
        <v>19280</v>
      </c>
      <c r="M248" s="27">
        <f t="shared" si="25"/>
        <v>19280</v>
      </c>
      <c r="N248" s="27">
        <f t="shared" si="25"/>
        <v>19280</v>
      </c>
      <c r="O248" s="27">
        <f t="shared" si="25"/>
        <v>19280</v>
      </c>
      <c r="P248" s="27">
        <f t="shared" si="25"/>
        <v>19280</v>
      </c>
      <c r="S248" s="38">
        <v>241</v>
      </c>
      <c r="T248" s="38">
        <f>IFERROR(求节点(节奏总纲!AD$4:AD$363,L$8:L$367,$S248),0)</f>
        <v>28800</v>
      </c>
      <c r="U248" s="38">
        <f>IFERROR(求节点(节奏总纲!AE$4:AE$363,M$8:M$367,$S248),0)</f>
        <v>28800</v>
      </c>
      <c r="V248" s="38">
        <f>IFERROR(求节点(节奏总纲!AF$4:AF$363,N$8:N$367,$S248),0)</f>
        <v>28800</v>
      </c>
      <c r="W248" s="38">
        <f>IFERROR(求节点(节奏总纲!AG$4:AG$363,O$8:O$367,$S248),0)</f>
        <v>28800</v>
      </c>
      <c r="X248" s="38">
        <f>IFERROR(求节点(节奏总纲!AH$4:AH$363,P$8:P$367,$S248),0)</f>
        <v>28800</v>
      </c>
    </row>
    <row r="249" spans="3:24" x14ac:dyDescent="0.15">
      <c r="C249" s="27"/>
      <c r="K249" s="27">
        <v>242</v>
      </c>
      <c r="L249" s="27">
        <f t="shared" si="25"/>
        <v>19360</v>
      </c>
      <c r="M249" s="27">
        <f t="shared" si="25"/>
        <v>19360</v>
      </c>
      <c r="N249" s="27">
        <f t="shared" si="25"/>
        <v>19360</v>
      </c>
      <c r="O249" s="27">
        <f t="shared" si="25"/>
        <v>19360</v>
      </c>
      <c r="P249" s="27">
        <f t="shared" si="25"/>
        <v>19360</v>
      </c>
      <c r="S249" s="38">
        <v>242</v>
      </c>
      <c r="T249" s="38">
        <f>IFERROR(求节点(节奏总纲!AD$4:AD$363,L$8:L$367,$S249),0)</f>
        <v>28800</v>
      </c>
      <c r="U249" s="38">
        <f>IFERROR(求节点(节奏总纲!AE$4:AE$363,M$8:M$367,$S249),0)</f>
        <v>28800</v>
      </c>
      <c r="V249" s="38">
        <f>IFERROR(求节点(节奏总纲!AF$4:AF$363,N$8:N$367,$S249),0)</f>
        <v>28800</v>
      </c>
      <c r="W249" s="38">
        <f>IFERROR(求节点(节奏总纲!AG$4:AG$363,O$8:O$367,$S249),0)</f>
        <v>28800</v>
      </c>
      <c r="X249" s="38">
        <f>IFERROR(求节点(节奏总纲!AH$4:AH$363,P$8:P$367,$S249),0)</f>
        <v>28800</v>
      </c>
    </row>
    <row r="250" spans="3:24" x14ac:dyDescent="0.15">
      <c r="C250" s="27"/>
      <c r="K250" s="27">
        <v>243</v>
      </c>
      <c r="L250" s="27">
        <f t="shared" si="25"/>
        <v>19440</v>
      </c>
      <c r="M250" s="27">
        <f t="shared" si="25"/>
        <v>19440</v>
      </c>
      <c r="N250" s="27">
        <f t="shared" si="25"/>
        <v>19440</v>
      </c>
      <c r="O250" s="27">
        <f t="shared" si="25"/>
        <v>19440</v>
      </c>
      <c r="P250" s="27">
        <f t="shared" si="25"/>
        <v>19440</v>
      </c>
      <c r="S250" s="38">
        <v>243</v>
      </c>
      <c r="T250" s="38">
        <f>IFERROR(求节点(节奏总纲!AD$4:AD$363,L$8:L$367,$S250),0)</f>
        <v>28800</v>
      </c>
      <c r="U250" s="38">
        <f>IFERROR(求节点(节奏总纲!AE$4:AE$363,M$8:M$367,$S250),0)</f>
        <v>28800</v>
      </c>
      <c r="V250" s="38">
        <f>IFERROR(求节点(节奏总纲!AF$4:AF$363,N$8:N$367,$S250),0)</f>
        <v>28800</v>
      </c>
      <c r="W250" s="38">
        <f>IFERROR(求节点(节奏总纲!AG$4:AG$363,O$8:O$367,$S250),0)</f>
        <v>28800</v>
      </c>
      <c r="X250" s="38">
        <f>IFERROR(求节点(节奏总纲!AH$4:AH$363,P$8:P$367,$S250),0)</f>
        <v>28800</v>
      </c>
    </row>
    <row r="251" spans="3:24" x14ac:dyDescent="0.15">
      <c r="C251" s="27"/>
      <c r="K251" s="27">
        <v>244</v>
      </c>
      <c r="L251" s="27">
        <f t="shared" si="25"/>
        <v>19520</v>
      </c>
      <c r="M251" s="27">
        <f t="shared" si="25"/>
        <v>19520</v>
      </c>
      <c r="N251" s="27">
        <f t="shared" si="25"/>
        <v>19520</v>
      </c>
      <c r="O251" s="27">
        <f t="shared" si="25"/>
        <v>19520</v>
      </c>
      <c r="P251" s="27">
        <f t="shared" si="25"/>
        <v>19520</v>
      </c>
      <c r="S251" s="38">
        <v>244</v>
      </c>
      <c r="T251" s="38">
        <f>IFERROR(求节点(节奏总纲!AD$4:AD$363,L$8:L$367,$S251),0)</f>
        <v>28800</v>
      </c>
      <c r="U251" s="38">
        <f>IFERROR(求节点(节奏总纲!AE$4:AE$363,M$8:M$367,$S251),0)</f>
        <v>28800</v>
      </c>
      <c r="V251" s="38">
        <f>IFERROR(求节点(节奏总纲!AF$4:AF$363,N$8:N$367,$S251),0)</f>
        <v>28800</v>
      </c>
      <c r="W251" s="38">
        <f>IFERROR(求节点(节奏总纲!AG$4:AG$363,O$8:O$367,$S251),0)</f>
        <v>28800</v>
      </c>
      <c r="X251" s="38">
        <f>IFERROR(求节点(节奏总纲!AH$4:AH$363,P$8:P$367,$S251),0)</f>
        <v>28800</v>
      </c>
    </row>
    <row r="252" spans="3:24" x14ac:dyDescent="0.15">
      <c r="C252" s="27"/>
      <c r="K252" s="27">
        <v>245</v>
      </c>
      <c r="L252" s="27">
        <f t="shared" si="25"/>
        <v>19600</v>
      </c>
      <c r="M252" s="27">
        <f t="shared" si="25"/>
        <v>19600</v>
      </c>
      <c r="N252" s="27">
        <f t="shared" si="25"/>
        <v>19600</v>
      </c>
      <c r="O252" s="27">
        <f t="shared" si="25"/>
        <v>19600</v>
      </c>
      <c r="P252" s="27">
        <f t="shared" si="25"/>
        <v>19600</v>
      </c>
      <c r="S252" s="38">
        <v>245</v>
      </c>
      <c r="T252" s="38">
        <f>IFERROR(求节点(节奏总纲!AD$4:AD$363,L$8:L$367,$S252),0)</f>
        <v>28800</v>
      </c>
      <c r="U252" s="38">
        <f>IFERROR(求节点(节奏总纲!AE$4:AE$363,M$8:M$367,$S252),0)</f>
        <v>28800</v>
      </c>
      <c r="V252" s="38">
        <f>IFERROR(求节点(节奏总纲!AF$4:AF$363,N$8:N$367,$S252),0)</f>
        <v>28800</v>
      </c>
      <c r="W252" s="38">
        <f>IFERROR(求节点(节奏总纲!AG$4:AG$363,O$8:O$367,$S252),0)</f>
        <v>28800</v>
      </c>
      <c r="X252" s="38">
        <f>IFERROR(求节点(节奏总纲!AH$4:AH$363,P$8:P$367,$S252),0)</f>
        <v>28800</v>
      </c>
    </row>
    <row r="253" spans="3:24" x14ac:dyDescent="0.15">
      <c r="C253" s="27"/>
      <c r="K253" s="27">
        <v>246</v>
      </c>
      <c r="L253" s="27">
        <f t="shared" si="25"/>
        <v>19680</v>
      </c>
      <c r="M253" s="27">
        <f t="shared" si="25"/>
        <v>19680</v>
      </c>
      <c r="N253" s="27">
        <f t="shared" si="25"/>
        <v>19680</v>
      </c>
      <c r="O253" s="27">
        <f t="shared" si="25"/>
        <v>19680</v>
      </c>
      <c r="P253" s="27">
        <f t="shared" si="25"/>
        <v>19680</v>
      </c>
      <c r="S253" s="38">
        <v>246</v>
      </c>
      <c r="T253" s="38">
        <f>IFERROR(求节点(节奏总纲!AD$4:AD$363,L$8:L$367,$S253),0)</f>
        <v>28800</v>
      </c>
      <c r="U253" s="38">
        <f>IFERROR(求节点(节奏总纲!AE$4:AE$363,M$8:M$367,$S253),0)</f>
        <v>28800</v>
      </c>
      <c r="V253" s="38">
        <f>IFERROR(求节点(节奏总纲!AF$4:AF$363,N$8:N$367,$S253),0)</f>
        <v>28800</v>
      </c>
      <c r="W253" s="38">
        <f>IFERROR(求节点(节奏总纲!AG$4:AG$363,O$8:O$367,$S253),0)</f>
        <v>28800</v>
      </c>
      <c r="X253" s="38">
        <f>IFERROR(求节点(节奏总纲!AH$4:AH$363,P$8:P$367,$S253),0)</f>
        <v>28800</v>
      </c>
    </row>
    <row r="254" spans="3:24" x14ac:dyDescent="0.15">
      <c r="C254" s="27"/>
      <c r="K254" s="27">
        <v>247</v>
      </c>
      <c r="L254" s="27">
        <f t="shared" si="25"/>
        <v>19760</v>
      </c>
      <c r="M254" s="27">
        <f t="shared" si="25"/>
        <v>19760</v>
      </c>
      <c r="N254" s="27">
        <f t="shared" si="25"/>
        <v>19760</v>
      </c>
      <c r="O254" s="27">
        <f t="shared" si="25"/>
        <v>19760</v>
      </c>
      <c r="P254" s="27">
        <f t="shared" si="25"/>
        <v>19760</v>
      </c>
      <c r="S254" s="38">
        <v>247</v>
      </c>
      <c r="T254" s="38">
        <f>IFERROR(求节点(节奏总纲!AD$4:AD$363,L$8:L$367,$S254),0)</f>
        <v>28800</v>
      </c>
      <c r="U254" s="38">
        <f>IFERROR(求节点(节奏总纲!AE$4:AE$363,M$8:M$367,$S254),0)</f>
        <v>28800</v>
      </c>
      <c r="V254" s="38">
        <f>IFERROR(求节点(节奏总纲!AF$4:AF$363,N$8:N$367,$S254),0)</f>
        <v>28800</v>
      </c>
      <c r="W254" s="38">
        <f>IFERROR(求节点(节奏总纲!AG$4:AG$363,O$8:O$367,$S254),0)</f>
        <v>28800</v>
      </c>
      <c r="X254" s="38">
        <f>IFERROR(求节点(节奏总纲!AH$4:AH$363,P$8:P$367,$S254),0)</f>
        <v>28800</v>
      </c>
    </row>
    <row r="255" spans="3:24" x14ac:dyDescent="0.15">
      <c r="C255" s="27"/>
      <c r="K255" s="27">
        <v>248</v>
      </c>
      <c r="L255" s="27">
        <f t="shared" si="25"/>
        <v>19840</v>
      </c>
      <c r="M255" s="27">
        <f t="shared" si="25"/>
        <v>19840</v>
      </c>
      <c r="N255" s="27">
        <f t="shared" si="25"/>
        <v>19840</v>
      </c>
      <c r="O255" s="27">
        <f t="shared" si="25"/>
        <v>19840</v>
      </c>
      <c r="P255" s="27">
        <f t="shared" si="25"/>
        <v>19840</v>
      </c>
      <c r="S255" s="38">
        <v>248</v>
      </c>
      <c r="T255" s="38">
        <f>IFERROR(求节点(节奏总纲!AD$4:AD$363,L$8:L$367,$S255),0)</f>
        <v>28800</v>
      </c>
      <c r="U255" s="38">
        <f>IFERROR(求节点(节奏总纲!AE$4:AE$363,M$8:M$367,$S255),0)</f>
        <v>28800</v>
      </c>
      <c r="V255" s="38">
        <f>IFERROR(求节点(节奏总纲!AF$4:AF$363,N$8:N$367,$S255),0)</f>
        <v>28800</v>
      </c>
      <c r="W255" s="38">
        <f>IFERROR(求节点(节奏总纲!AG$4:AG$363,O$8:O$367,$S255),0)</f>
        <v>28800</v>
      </c>
      <c r="X255" s="38">
        <f>IFERROR(求节点(节奏总纲!AH$4:AH$363,P$8:P$367,$S255),0)</f>
        <v>28800</v>
      </c>
    </row>
    <row r="256" spans="3:24" x14ac:dyDescent="0.15">
      <c r="C256" s="27"/>
      <c r="K256" s="27">
        <v>249</v>
      </c>
      <c r="L256" s="27">
        <f t="shared" si="25"/>
        <v>19920</v>
      </c>
      <c r="M256" s="27">
        <f t="shared" si="25"/>
        <v>19920</v>
      </c>
      <c r="N256" s="27">
        <f t="shared" si="25"/>
        <v>19920</v>
      </c>
      <c r="O256" s="27">
        <f t="shared" si="25"/>
        <v>19920</v>
      </c>
      <c r="P256" s="27">
        <f t="shared" si="25"/>
        <v>19920</v>
      </c>
      <c r="S256" s="38">
        <v>249</v>
      </c>
      <c r="T256" s="38">
        <f>IFERROR(求节点(节奏总纲!AD$4:AD$363,L$8:L$367,$S256),0)</f>
        <v>28800</v>
      </c>
      <c r="U256" s="38">
        <f>IFERROR(求节点(节奏总纲!AE$4:AE$363,M$8:M$367,$S256),0)</f>
        <v>28800</v>
      </c>
      <c r="V256" s="38">
        <f>IFERROR(求节点(节奏总纲!AF$4:AF$363,N$8:N$367,$S256),0)</f>
        <v>28800</v>
      </c>
      <c r="W256" s="38">
        <f>IFERROR(求节点(节奏总纲!AG$4:AG$363,O$8:O$367,$S256),0)</f>
        <v>28800</v>
      </c>
      <c r="X256" s="38">
        <f>IFERROR(求节点(节奏总纲!AH$4:AH$363,P$8:P$367,$S256),0)</f>
        <v>28800</v>
      </c>
    </row>
    <row r="257" spans="3:24" x14ac:dyDescent="0.15">
      <c r="C257" s="27"/>
      <c r="K257" s="27">
        <v>250</v>
      </c>
      <c r="L257" s="27">
        <f t="shared" si="25"/>
        <v>20000</v>
      </c>
      <c r="M257" s="27">
        <f t="shared" si="25"/>
        <v>20000</v>
      </c>
      <c r="N257" s="27">
        <f t="shared" si="25"/>
        <v>20000</v>
      </c>
      <c r="O257" s="27">
        <f t="shared" si="25"/>
        <v>20000</v>
      </c>
      <c r="P257" s="27">
        <f t="shared" si="25"/>
        <v>20000</v>
      </c>
      <c r="S257" s="38">
        <v>250</v>
      </c>
      <c r="T257" s="38">
        <f>IFERROR(求节点(节奏总纲!AD$4:AD$363,L$8:L$367,$S257),0)</f>
        <v>28800</v>
      </c>
      <c r="U257" s="38">
        <f>IFERROR(求节点(节奏总纲!AE$4:AE$363,M$8:M$367,$S257),0)</f>
        <v>28800</v>
      </c>
      <c r="V257" s="38">
        <f>IFERROR(求节点(节奏总纲!AF$4:AF$363,N$8:N$367,$S257),0)</f>
        <v>28800</v>
      </c>
      <c r="W257" s="38">
        <f>IFERROR(求节点(节奏总纲!AG$4:AG$363,O$8:O$367,$S257),0)</f>
        <v>28800</v>
      </c>
      <c r="X257" s="38">
        <f>IFERROR(求节点(节奏总纲!AH$4:AH$363,P$8:P$367,$S257),0)</f>
        <v>28800</v>
      </c>
    </row>
    <row r="258" spans="3:24" x14ac:dyDescent="0.15">
      <c r="C258" s="27"/>
      <c r="K258" s="27">
        <v>251</v>
      </c>
      <c r="L258" s="27">
        <f t="shared" ref="L258:P267" si="26">IFERROR(MAX($K258-$D$1,0)*$D$3/30,0)</f>
        <v>20080</v>
      </c>
      <c r="M258" s="27">
        <f t="shared" si="26"/>
        <v>20080</v>
      </c>
      <c r="N258" s="27">
        <f t="shared" si="26"/>
        <v>20080</v>
      </c>
      <c r="O258" s="27">
        <f t="shared" si="26"/>
        <v>20080</v>
      </c>
      <c r="P258" s="27">
        <f t="shared" si="26"/>
        <v>20080</v>
      </c>
      <c r="S258" s="38">
        <v>251</v>
      </c>
      <c r="T258" s="38">
        <f>IFERROR(求节点(节奏总纲!AD$4:AD$363,L$8:L$367,$S258),0)</f>
        <v>28800</v>
      </c>
      <c r="U258" s="38">
        <f>IFERROR(求节点(节奏总纲!AE$4:AE$363,M$8:M$367,$S258),0)</f>
        <v>28800</v>
      </c>
      <c r="V258" s="38">
        <f>IFERROR(求节点(节奏总纲!AF$4:AF$363,N$8:N$367,$S258),0)</f>
        <v>28800</v>
      </c>
      <c r="W258" s="38">
        <f>IFERROR(求节点(节奏总纲!AG$4:AG$363,O$8:O$367,$S258),0)</f>
        <v>28800</v>
      </c>
      <c r="X258" s="38">
        <f>IFERROR(求节点(节奏总纲!AH$4:AH$363,P$8:P$367,$S258),0)</f>
        <v>28800</v>
      </c>
    </row>
    <row r="259" spans="3:24" x14ac:dyDescent="0.15">
      <c r="C259" s="27"/>
      <c r="K259" s="27">
        <v>252</v>
      </c>
      <c r="L259" s="27">
        <f t="shared" si="26"/>
        <v>20160</v>
      </c>
      <c r="M259" s="27">
        <f t="shared" si="26"/>
        <v>20160</v>
      </c>
      <c r="N259" s="27">
        <f t="shared" si="26"/>
        <v>20160</v>
      </c>
      <c r="O259" s="27">
        <f t="shared" si="26"/>
        <v>20160</v>
      </c>
      <c r="P259" s="27">
        <f t="shared" si="26"/>
        <v>20160</v>
      </c>
      <c r="S259" s="38">
        <v>252</v>
      </c>
      <c r="T259" s="38">
        <f>IFERROR(求节点(节奏总纲!AD$4:AD$363,L$8:L$367,$S259),0)</f>
        <v>28800</v>
      </c>
      <c r="U259" s="38">
        <f>IFERROR(求节点(节奏总纲!AE$4:AE$363,M$8:M$367,$S259),0)</f>
        <v>28800</v>
      </c>
      <c r="V259" s="38">
        <f>IFERROR(求节点(节奏总纲!AF$4:AF$363,N$8:N$367,$S259),0)</f>
        <v>28800</v>
      </c>
      <c r="W259" s="38">
        <f>IFERROR(求节点(节奏总纲!AG$4:AG$363,O$8:O$367,$S259),0)</f>
        <v>28800</v>
      </c>
      <c r="X259" s="38">
        <f>IFERROR(求节点(节奏总纲!AH$4:AH$363,P$8:P$367,$S259),0)</f>
        <v>28800</v>
      </c>
    </row>
    <row r="260" spans="3:24" x14ac:dyDescent="0.15">
      <c r="C260" s="27"/>
      <c r="K260" s="27">
        <v>253</v>
      </c>
      <c r="L260" s="27">
        <f t="shared" si="26"/>
        <v>20240</v>
      </c>
      <c r="M260" s="27">
        <f t="shared" si="26"/>
        <v>20240</v>
      </c>
      <c r="N260" s="27">
        <f t="shared" si="26"/>
        <v>20240</v>
      </c>
      <c r="O260" s="27">
        <f t="shared" si="26"/>
        <v>20240</v>
      </c>
      <c r="P260" s="27">
        <f t="shared" si="26"/>
        <v>20240</v>
      </c>
      <c r="S260" s="38">
        <v>253</v>
      </c>
      <c r="T260" s="38">
        <f>IFERROR(求节点(节奏总纲!AD$4:AD$363,L$8:L$367,$S260),0)</f>
        <v>28800</v>
      </c>
      <c r="U260" s="38">
        <f>IFERROR(求节点(节奏总纲!AE$4:AE$363,M$8:M$367,$S260),0)</f>
        <v>28800</v>
      </c>
      <c r="V260" s="38">
        <f>IFERROR(求节点(节奏总纲!AF$4:AF$363,N$8:N$367,$S260),0)</f>
        <v>28800</v>
      </c>
      <c r="W260" s="38">
        <f>IFERROR(求节点(节奏总纲!AG$4:AG$363,O$8:O$367,$S260),0)</f>
        <v>28800</v>
      </c>
      <c r="X260" s="38">
        <f>IFERROR(求节点(节奏总纲!AH$4:AH$363,P$8:P$367,$S260),0)</f>
        <v>28800</v>
      </c>
    </row>
    <row r="261" spans="3:24" x14ac:dyDescent="0.15">
      <c r="C261" s="27"/>
      <c r="K261" s="27">
        <v>254</v>
      </c>
      <c r="L261" s="27">
        <f t="shared" si="26"/>
        <v>20320</v>
      </c>
      <c r="M261" s="27">
        <f t="shared" si="26"/>
        <v>20320</v>
      </c>
      <c r="N261" s="27">
        <f t="shared" si="26"/>
        <v>20320</v>
      </c>
      <c r="O261" s="27">
        <f t="shared" si="26"/>
        <v>20320</v>
      </c>
      <c r="P261" s="27">
        <f t="shared" si="26"/>
        <v>20320</v>
      </c>
      <c r="S261" s="38">
        <v>254</v>
      </c>
      <c r="T261" s="38">
        <f>IFERROR(求节点(节奏总纲!AD$4:AD$363,L$8:L$367,$S261),0)</f>
        <v>28800</v>
      </c>
      <c r="U261" s="38">
        <f>IFERROR(求节点(节奏总纲!AE$4:AE$363,M$8:M$367,$S261),0)</f>
        <v>28800</v>
      </c>
      <c r="V261" s="38">
        <f>IFERROR(求节点(节奏总纲!AF$4:AF$363,N$8:N$367,$S261),0)</f>
        <v>28800</v>
      </c>
      <c r="W261" s="38">
        <f>IFERROR(求节点(节奏总纲!AG$4:AG$363,O$8:O$367,$S261),0)</f>
        <v>28800</v>
      </c>
      <c r="X261" s="38">
        <f>IFERROR(求节点(节奏总纲!AH$4:AH$363,P$8:P$367,$S261),0)</f>
        <v>28800</v>
      </c>
    </row>
    <row r="262" spans="3:24" x14ac:dyDescent="0.15">
      <c r="C262" s="27"/>
      <c r="K262" s="27">
        <v>255</v>
      </c>
      <c r="L262" s="27">
        <f t="shared" si="26"/>
        <v>20400</v>
      </c>
      <c r="M262" s="27">
        <f t="shared" si="26"/>
        <v>20400</v>
      </c>
      <c r="N262" s="27">
        <f t="shared" si="26"/>
        <v>20400</v>
      </c>
      <c r="O262" s="27">
        <f t="shared" si="26"/>
        <v>20400</v>
      </c>
      <c r="P262" s="27">
        <f t="shared" si="26"/>
        <v>20400</v>
      </c>
      <c r="S262" s="38">
        <v>255</v>
      </c>
      <c r="T262" s="38">
        <f>IFERROR(求节点(节奏总纲!AD$4:AD$363,L$8:L$367,$S262),0)</f>
        <v>28800</v>
      </c>
      <c r="U262" s="38">
        <f>IFERROR(求节点(节奏总纲!AE$4:AE$363,M$8:M$367,$S262),0)</f>
        <v>28800</v>
      </c>
      <c r="V262" s="38">
        <f>IFERROR(求节点(节奏总纲!AF$4:AF$363,N$8:N$367,$S262),0)</f>
        <v>28800</v>
      </c>
      <c r="W262" s="38">
        <f>IFERROR(求节点(节奏总纲!AG$4:AG$363,O$8:O$367,$S262),0)</f>
        <v>28800</v>
      </c>
      <c r="X262" s="38">
        <f>IFERROR(求节点(节奏总纲!AH$4:AH$363,P$8:P$367,$S262),0)</f>
        <v>28800</v>
      </c>
    </row>
    <row r="263" spans="3:24" x14ac:dyDescent="0.15">
      <c r="C263" s="27"/>
      <c r="K263" s="27">
        <v>256</v>
      </c>
      <c r="L263" s="27">
        <f t="shared" si="26"/>
        <v>20480</v>
      </c>
      <c r="M263" s="27">
        <f t="shared" si="26"/>
        <v>20480</v>
      </c>
      <c r="N263" s="27">
        <f t="shared" si="26"/>
        <v>20480</v>
      </c>
      <c r="O263" s="27">
        <f t="shared" si="26"/>
        <v>20480</v>
      </c>
      <c r="P263" s="27">
        <f t="shared" si="26"/>
        <v>20480</v>
      </c>
      <c r="S263" s="38">
        <v>256</v>
      </c>
      <c r="T263" s="38">
        <f>IFERROR(求节点(节奏总纲!AD$4:AD$363,L$8:L$367,$S263),0)</f>
        <v>28800</v>
      </c>
      <c r="U263" s="38">
        <f>IFERROR(求节点(节奏总纲!AE$4:AE$363,M$8:M$367,$S263),0)</f>
        <v>28800</v>
      </c>
      <c r="V263" s="38">
        <f>IFERROR(求节点(节奏总纲!AF$4:AF$363,N$8:N$367,$S263),0)</f>
        <v>28800</v>
      </c>
      <c r="W263" s="38">
        <f>IFERROR(求节点(节奏总纲!AG$4:AG$363,O$8:O$367,$S263),0)</f>
        <v>28800</v>
      </c>
      <c r="X263" s="38">
        <f>IFERROR(求节点(节奏总纲!AH$4:AH$363,P$8:P$367,$S263),0)</f>
        <v>28800</v>
      </c>
    </row>
    <row r="264" spans="3:24" x14ac:dyDescent="0.15">
      <c r="C264" s="27"/>
      <c r="K264" s="27">
        <v>257</v>
      </c>
      <c r="L264" s="27">
        <f t="shared" si="26"/>
        <v>20560</v>
      </c>
      <c r="M264" s="27">
        <f t="shared" si="26"/>
        <v>20560</v>
      </c>
      <c r="N264" s="27">
        <f t="shared" si="26"/>
        <v>20560</v>
      </c>
      <c r="O264" s="27">
        <f t="shared" si="26"/>
        <v>20560</v>
      </c>
      <c r="P264" s="27">
        <f t="shared" si="26"/>
        <v>20560</v>
      </c>
      <c r="S264" s="38">
        <v>257</v>
      </c>
      <c r="T264" s="38">
        <f>IFERROR(求节点(节奏总纲!AD$4:AD$363,L$8:L$367,$S264),0)</f>
        <v>28800</v>
      </c>
      <c r="U264" s="38">
        <f>IFERROR(求节点(节奏总纲!AE$4:AE$363,M$8:M$367,$S264),0)</f>
        <v>28800</v>
      </c>
      <c r="V264" s="38">
        <f>IFERROR(求节点(节奏总纲!AF$4:AF$363,N$8:N$367,$S264),0)</f>
        <v>28800</v>
      </c>
      <c r="W264" s="38">
        <f>IFERROR(求节点(节奏总纲!AG$4:AG$363,O$8:O$367,$S264),0)</f>
        <v>28800</v>
      </c>
      <c r="X264" s="38">
        <f>IFERROR(求节点(节奏总纲!AH$4:AH$363,P$8:P$367,$S264),0)</f>
        <v>28800</v>
      </c>
    </row>
    <row r="265" spans="3:24" x14ac:dyDescent="0.15">
      <c r="C265" s="27"/>
      <c r="K265" s="27">
        <v>258</v>
      </c>
      <c r="L265" s="27">
        <f t="shared" si="26"/>
        <v>20640</v>
      </c>
      <c r="M265" s="27">
        <f t="shared" si="26"/>
        <v>20640</v>
      </c>
      <c r="N265" s="27">
        <f t="shared" si="26"/>
        <v>20640</v>
      </c>
      <c r="O265" s="27">
        <f t="shared" si="26"/>
        <v>20640</v>
      </c>
      <c r="P265" s="27">
        <f t="shared" si="26"/>
        <v>20640</v>
      </c>
      <c r="S265" s="38">
        <v>258</v>
      </c>
      <c r="T265" s="38">
        <f>IFERROR(求节点(节奏总纲!AD$4:AD$363,L$8:L$367,$S265),0)</f>
        <v>28800</v>
      </c>
      <c r="U265" s="38">
        <f>IFERROR(求节点(节奏总纲!AE$4:AE$363,M$8:M$367,$S265),0)</f>
        <v>28800</v>
      </c>
      <c r="V265" s="38">
        <f>IFERROR(求节点(节奏总纲!AF$4:AF$363,N$8:N$367,$S265),0)</f>
        <v>28800</v>
      </c>
      <c r="W265" s="38">
        <f>IFERROR(求节点(节奏总纲!AG$4:AG$363,O$8:O$367,$S265),0)</f>
        <v>28800</v>
      </c>
      <c r="X265" s="38">
        <f>IFERROR(求节点(节奏总纲!AH$4:AH$363,P$8:P$367,$S265),0)</f>
        <v>28800</v>
      </c>
    </row>
    <row r="266" spans="3:24" x14ac:dyDescent="0.15">
      <c r="C266" s="27"/>
      <c r="K266" s="27">
        <v>259</v>
      </c>
      <c r="L266" s="27">
        <f t="shared" si="26"/>
        <v>20720</v>
      </c>
      <c r="M266" s="27">
        <f t="shared" si="26"/>
        <v>20720</v>
      </c>
      <c r="N266" s="27">
        <f t="shared" si="26"/>
        <v>20720</v>
      </c>
      <c r="O266" s="27">
        <f t="shared" si="26"/>
        <v>20720</v>
      </c>
      <c r="P266" s="27">
        <f t="shared" si="26"/>
        <v>20720</v>
      </c>
      <c r="S266" s="38">
        <v>259</v>
      </c>
      <c r="T266" s="38">
        <f>IFERROR(求节点(节奏总纲!AD$4:AD$363,L$8:L$367,$S266),0)</f>
        <v>28800</v>
      </c>
      <c r="U266" s="38">
        <f>IFERROR(求节点(节奏总纲!AE$4:AE$363,M$8:M$367,$S266),0)</f>
        <v>28800</v>
      </c>
      <c r="V266" s="38">
        <f>IFERROR(求节点(节奏总纲!AF$4:AF$363,N$8:N$367,$S266),0)</f>
        <v>28800</v>
      </c>
      <c r="W266" s="38">
        <f>IFERROR(求节点(节奏总纲!AG$4:AG$363,O$8:O$367,$S266),0)</f>
        <v>28800</v>
      </c>
      <c r="X266" s="38">
        <f>IFERROR(求节点(节奏总纲!AH$4:AH$363,P$8:P$367,$S266),0)</f>
        <v>28800</v>
      </c>
    </row>
    <row r="267" spans="3:24" x14ac:dyDescent="0.15">
      <c r="C267" s="27"/>
      <c r="K267" s="27">
        <v>260</v>
      </c>
      <c r="L267" s="27">
        <f t="shared" si="26"/>
        <v>20800</v>
      </c>
      <c r="M267" s="27">
        <f t="shared" si="26"/>
        <v>20800</v>
      </c>
      <c r="N267" s="27">
        <f t="shared" si="26"/>
        <v>20800</v>
      </c>
      <c r="O267" s="27">
        <f t="shared" si="26"/>
        <v>20800</v>
      </c>
      <c r="P267" s="27">
        <f t="shared" si="26"/>
        <v>20800</v>
      </c>
      <c r="S267" s="38">
        <v>260</v>
      </c>
      <c r="T267" s="38">
        <f>IFERROR(求节点(节奏总纲!AD$4:AD$363,L$8:L$367,$S267),0)</f>
        <v>28800</v>
      </c>
      <c r="U267" s="38">
        <f>IFERROR(求节点(节奏总纲!AE$4:AE$363,M$8:M$367,$S267),0)</f>
        <v>28800</v>
      </c>
      <c r="V267" s="38">
        <f>IFERROR(求节点(节奏总纲!AF$4:AF$363,N$8:N$367,$S267),0)</f>
        <v>28800</v>
      </c>
      <c r="W267" s="38">
        <f>IFERROR(求节点(节奏总纲!AG$4:AG$363,O$8:O$367,$S267),0)</f>
        <v>28800</v>
      </c>
      <c r="X267" s="38">
        <f>IFERROR(求节点(节奏总纲!AH$4:AH$363,P$8:P$367,$S267),0)</f>
        <v>28800</v>
      </c>
    </row>
    <row r="268" spans="3:24" x14ac:dyDescent="0.15">
      <c r="C268" s="27"/>
      <c r="K268" s="27">
        <v>261</v>
      </c>
      <c r="L268" s="27">
        <f t="shared" ref="L268:P277" si="27">IFERROR(MAX($K268-$D$1,0)*$D$3/30,0)</f>
        <v>20880</v>
      </c>
      <c r="M268" s="27">
        <f t="shared" si="27"/>
        <v>20880</v>
      </c>
      <c r="N268" s="27">
        <f t="shared" si="27"/>
        <v>20880</v>
      </c>
      <c r="O268" s="27">
        <f t="shared" si="27"/>
        <v>20880</v>
      </c>
      <c r="P268" s="27">
        <f t="shared" si="27"/>
        <v>20880</v>
      </c>
      <c r="S268" s="38">
        <v>261</v>
      </c>
      <c r="T268" s="38">
        <f>IFERROR(求节点(节奏总纲!AD$4:AD$363,L$8:L$367,$S268),0)</f>
        <v>28800</v>
      </c>
      <c r="U268" s="38">
        <f>IFERROR(求节点(节奏总纲!AE$4:AE$363,M$8:M$367,$S268),0)</f>
        <v>28800</v>
      </c>
      <c r="V268" s="38">
        <f>IFERROR(求节点(节奏总纲!AF$4:AF$363,N$8:N$367,$S268),0)</f>
        <v>28800</v>
      </c>
      <c r="W268" s="38">
        <f>IFERROR(求节点(节奏总纲!AG$4:AG$363,O$8:O$367,$S268),0)</f>
        <v>28800</v>
      </c>
      <c r="X268" s="38">
        <f>IFERROR(求节点(节奏总纲!AH$4:AH$363,P$8:P$367,$S268),0)</f>
        <v>28800</v>
      </c>
    </row>
    <row r="269" spans="3:24" x14ac:dyDescent="0.15">
      <c r="C269" s="27"/>
      <c r="K269" s="27">
        <v>262</v>
      </c>
      <c r="L269" s="27">
        <f t="shared" si="27"/>
        <v>20960</v>
      </c>
      <c r="M269" s="27">
        <f t="shared" si="27"/>
        <v>20960</v>
      </c>
      <c r="N269" s="27">
        <f t="shared" si="27"/>
        <v>20960</v>
      </c>
      <c r="O269" s="27">
        <f t="shared" si="27"/>
        <v>20960</v>
      </c>
      <c r="P269" s="27">
        <f t="shared" si="27"/>
        <v>20960</v>
      </c>
      <c r="S269" s="38">
        <v>262</v>
      </c>
      <c r="T269" s="38">
        <f>IFERROR(求节点(节奏总纲!AD$4:AD$363,L$8:L$367,$S269),0)</f>
        <v>28800</v>
      </c>
      <c r="U269" s="38">
        <f>IFERROR(求节点(节奏总纲!AE$4:AE$363,M$8:M$367,$S269),0)</f>
        <v>28800</v>
      </c>
      <c r="V269" s="38">
        <f>IFERROR(求节点(节奏总纲!AF$4:AF$363,N$8:N$367,$S269),0)</f>
        <v>28800</v>
      </c>
      <c r="W269" s="38">
        <f>IFERROR(求节点(节奏总纲!AG$4:AG$363,O$8:O$367,$S269),0)</f>
        <v>28800</v>
      </c>
      <c r="X269" s="38">
        <f>IFERROR(求节点(节奏总纲!AH$4:AH$363,P$8:P$367,$S269),0)</f>
        <v>28800</v>
      </c>
    </row>
    <row r="270" spans="3:24" x14ac:dyDescent="0.15">
      <c r="C270" s="27"/>
      <c r="K270" s="27">
        <v>263</v>
      </c>
      <c r="L270" s="27">
        <f t="shared" si="27"/>
        <v>21040</v>
      </c>
      <c r="M270" s="27">
        <f t="shared" si="27"/>
        <v>21040</v>
      </c>
      <c r="N270" s="27">
        <f t="shared" si="27"/>
        <v>21040</v>
      </c>
      <c r="O270" s="27">
        <f t="shared" si="27"/>
        <v>21040</v>
      </c>
      <c r="P270" s="27">
        <f t="shared" si="27"/>
        <v>21040</v>
      </c>
      <c r="S270" s="38">
        <v>263</v>
      </c>
      <c r="T270" s="38">
        <f>IFERROR(求节点(节奏总纲!AD$4:AD$363,L$8:L$367,$S270),0)</f>
        <v>28800</v>
      </c>
      <c r="U270" s="38">
        <f>IFERROR(求节点(节奏总纲!AE$4:AE$363,M$8:M$367,$S270),0)</f>
        <v>28800</v>
      </c>
      <c r="V270" s="38">
        <f>IFERROR(求节点(节奏总纲!AF$4:AF$363,N$8:N$367,$S270),0)</f>
        <v>28800</v>
      </c>
      <c r="W270" s="38">
        <f>IFERROR(求节点(节奏总纲!AG$4:AG$363,O$8:O$367,$S270),0)</f>
        <v>28800</v>
      </c>
      <c r="X270" s="38">
        <f>IFERROR(求节点(节奏总纲!AH$4:AH$363,P$8:P$367,$S270),0)</f>
        <v>28800</v>
      </c>
    </row>
    <row r="271" spans="3:24" x14ac:dyDescent="0.15">
      <c r="C271" s="27"/>
      <c r="K271" s="27">
        <v>264</v>
      </c>
      <c r="L271" s="27">
        <f t="shared" si="27"/>
        <v>21120</v>
      </c>
      <c r="M271" s="27">
        <f t="shared" si="27"/>
        <v>21120</v>
      </c>
      <c r="N271" s="27">
        <f t="shared" si="27"/>
        <v>21120</v>
      </c>
      <c r="O271" s="27">
        <f t="shared" si="27"/>
        <v>21120</v>
      </c>
      <c r="P271" s="27">
        <f t="shared" si="27"/>
        <v>21120</v>
      </c>
      <c r="S271" s="38">
        <v>264</v>
      </c>
      <c r="T271" s="38">
        <f>IFERROR(求节点(节奏总纲!AD$4:AD$363,L$8:L$367,$S271),0)</f>
        <v>28800</v>
      </c>
      <c r="U271" s="38">
        <f>IFERROR(求节点(节奏总纲!AE$4:AE$363,M$8:M$367,$S271),0)</f>
        <v>28800</v>
      </c>
      <c r="V271" s="38">
        <f>IFERROR(求节点(节奏总纲!AF$4:AF$363,N$8:N$367,$S271),0)</f>
        <v>28800</v>
      </c>
      <c r="W271" s="38">
        <f>IFERROR(求节点(节奏总纲!AG$4:AG$363,O$8:O$367,$S271),0)</f>
        <v>28800</v>
      </c>
      <c r="X271" s="38">
        <f>IFERROR(求节点(节奏总纲!AH$4:AH$363,P$8:P$367,$S271),0)</f>
        <v>28800</v>
      </c>
    </row>
    <row r="272" spans="3:24" x14ac:dyDescent="0.15">
      <c r="C272" s="27"/>
      <c r="K272" s="27">
        <v>265</v>
      </c>
      <c r="L272" s="27">
        <f t="shared" si="27"/>
        <v>21200</v>
      </c>
      <c r="M272" s="27">
        <f t="shared" si="27"/>
        <v>21200</v>
      </c>
      <c r="N272" s="27">
        <f t="shared" si="27"/>
        <v>21200</v>
      </c>
      <c r="O272" s="27">
        <f t="shared" si="27"/>
        <v>21200</v>
      </c>
      <c r="P272" s="27">
        <f t="shared" si="27"/>
        <v>21200</v>
      </c>
      <c r="S272" s="38">
        <v>265</v>
      </c>
      <c r="T272" s="38">
        <f>IFERROR(求节点(节奏总纲!AD$4:AD$363,L$8:L$367,$S272),0)</f>
        <v>28800</v>
      </c>
      <c r="U272" s="38">
        <f>IFERROR(求节点(节奏总纲!AE$4:AE$363,M$8:M$367,$S272),0)</f>
        <v>28800</v>
      </c>
      <c r="V272" s="38">
        <f>IFERROR(求节点(节奏总纲!AF$4:AF$363,N$8:N$367,$S272),0)</f>
        <v>28800</v>
      </c>
      <c r="W272" s="38">
        <f>IFERROR(求节点(节奏总纲!AG$4:AG$363,O$8:O$367,$S272),0)</f>
        <v>28800</v>
      </c>
      <c r="X272" s="38">
        <f>IFERROR(求节点(节奏总纲!AH$4:AH$363,P$8:P$367,$S272),0)</f>
        <v>28800</v>
      </c>
    </row>
    <row r="273" spans="3:24" x14ac:dyDescent="0.15">
      <c r="C273" s="27"/>
      <c r="K273" s="27">
        <v>266</v>
      </c>
      <c r="L273" s="27">
        <f t="shared" si="27"/>
        <v>21280</v>
      </c>
      <c r="M273" s="27">
        <f t="shared" si="27"/>
        <v>21280</v>
      </c>
      <c r="N273" s="27">
        <f t="shared" si="27"/>
        <v>21280</v>
      </c>
      <c r="O273" s="27">
        <f t="shared" si="27"/>
        <v>21280</v>
      </c>
      <c r="P273" s="27">
        <f t="shared" si="27"/>
        <v>21280</v>
      </c>
      <c r="S273" s="38">
        <v>266</v>
      </c>
      <c r="T273" s="38">
        <f>IFERROR(求节点(节奏总纲!AD$4:AD$363,L$8:L$367,$S273),0)</f>
        <v>28800</v>
      </c>
      <c r="U273" s="38">
        <f>IFERROR(求节点(节奏总纲!AE$4:AE$363,M$8:M$367,$S273),0)</f>
        <v>28800</v>
      </c>
      <c r="V273" s="38">
        <f>IFERROR(求节点(节奏总纲!AF$4:AF$363,N$8:N$367,$S273),0)</f>
        <v>28800</v>
      </c>
      <c r="W273" s="38">
        <f>IFERROR(求节点(节奏总纲!AG$4:AG$363,O$8:O$367,$S273),0)</f>
        <v>28800</v>
      </c>
      <c r="X273" s="38">
        <f>IFERROR(求节点(节奏总纲!AH$4:AH$363,P$8:P$367,$S273),0)</f>
        <v>28800</v>
      </c>
    </row>
    <row r="274" spans="3:24" x14ac:dyDescent="0.15">
      <c r="C274" s="27"/>
      <c r="K274" s="27">
        <v>267</v>
      </c>
      <c r="L274" s="27">
        <f t="shared" si="27"/>
        <v>21360</v>
      </c>
      <c r="M274" s="27">
        <f t="shared" si="27"/>
        <v>21360</v>
      </c>
      <c r="N274" s="27">
        <f t="shared" si="27"/>
        <v>21360</v>
      </c>
      <c r="O274" s="27">
        <f t="shared" si="27"/>
        <v>21360</v>
      </c>
      <c r="P274" s="27">
        <f t="shared" si="27"/>
        <v>21360</v>
      </c>
      <c r="S274" s="38">
        <v>267</v>
      </c>
      <c r="T274" s="38">
        <f>IFERROR(求节点(节奏总纲!AD$4:AD$363,L$8:L$367,$S274),0)</f>
        <v>28800</v>
      </c>
      <c r="U274" s="38">
        <f>IFERROR(求节点(节奏总纲!AE$4:AE$363,M$8:M$367,$S274),0)</f>
        <v>28800</v>
      </c>
      <c r="V274" s="38">
        <f>IFERROR(求节点(节奏总纲!AF$4:AF$363,N$8:N$367,$S274),0)</f>
        <v>28800</v>
      </c>
      <c r="W274" s="38">
        <f>IFERROR(求节点(节奏总纲!AG$4:AG$363,O$8:O$367,$S274),0)</f>
        <v>28800</v>
      </c>
      <c r="X274" s="38">
        <f>IFERROR(求节点(节奏总纲!AH$4:AH$363,P$8:P$367,$S274),0)</f>
        <v>28800</v>
      </c>
    </row>
    <row r="275" spans="3:24" x14ac:dyDescent="0.15">
      <c r="C275" s="27"/>
      <c r="K275" s="27">
        <v>268</v>
      </c>
      <c r="L275" s="27">
        <f t="shared" si="27"/>
        <v>21440</v>
      </c>
      <c r="M275" s="27">
        <f t="shared" si="27"/>
        <v>21440</v>
      </c>
      <c r="N275" s="27">
        <f t="shared" si="27"/>
        <v>21440</v>
      </c>
      <c r="O275" s="27">
        <f t="shared" si="27"/>
        <v>21440</v>
      </c>
      <c r="P275" s="27">
        <f t="shared" si="27"/>
        <v>21440</v>
      </c>
      <c r="S275" s="38">
        <v>268</v>
      </c>
      <c r="T275" s="38">
        <f>IFERROR(求节点(节奏总纲!AD$4:AD$363,L$8:L$367,$S275),0)</f>
        <v>28800</v>
      </c>
      <c r="U275" s="38">
        <f>IFERROR(求节点(节奏总纲!AE$4:AE$363,M$8:M$367,$S275),0)</f>
        <v>28800</v>
      </c>
      <c r="V275" s="38">
        <f>IFERROR(求节点(节奏总纲!AF$4:AF$363,N$8:N$367,$S275),0)</f>
        <v>28800</v>
      </c>
      <c r="W275" s="38">
        <f>IFERROR(求节点(节奏总纲!AG$4:AG$363,O$8:O$367,$S275),0)</f>
        <v>28800</v>
      </c>
      <c r="X275" s="38">
        <f>IFERROR(求节点(节奏总纲!AH$4:AH$363,P$8:P$367,$S275),0)</f>
        <v>28800</v>
      </c>
    </row>
    <row r="276" spans="3:24" x14ac:dyDescent="0.15">
      <c r="C276" s="27"/>
      <c r="K276" s="27">
        <v>269</v>
      </c>
      <c r="L276" s="27">
        <f t="shared" si="27"/>
        <v>21520</v>
      </c>
      <c r="M276" s="27">
        <f t="shared" si="27"/>
        <v>21520</v>
      </c>
      <c r="N276" s="27">
        <f t="shared" si="27"/>
        <v>21520</v>
      </c>
      <c r="O276" s="27">
        <f t="shared" si="27"/>
        <v>21520</v>
      </c>
      <c r="P276" s="27">
        <f t="shared" si="27"/>
        <v>21520</v>
      </c>
      <c r="S276" s="38">
        <v>269</v>
      </c>
      <c r="T276" s="38">
        <f>IFERROR(求节点(节奏总纲!AD$4:AD$363,L$8:L$367,$S276),0)</f>
        <v>28800</v>
      </c>
      <c r="U276" s="38">
        <f>IFERROR(求节点(节奏总纲!AE$4:AE$363,M$8:M$367,$S276),0)</f>
        <v>28800</v>
      </c>
      <c r="V276" s="38">
        <f>IFERROR(求节点(节奏总纲!AF$4:AF$363,N$8:N$367,$S276),0)</f>
        <v>28800</v>
      </c>
      <c r="W276" s="38">
        <f>IFERROR(求节点(节奏总纲!AG$4:AG$363,O$8:O$367,$S276),0)</f>
        <v>28800</v>
      </c>
      <c r="X276" s="38">
        <f>IFERROR(求节点(节奏总纲!AH$4:AH$363,P$8:P$367,$S276),0)</f>
        <v>28800</v>
      </c>
    </row>
    <row r="277" spans="3:24" x14ac:dyDescent="0.15">
      <c r="C277" s="27"/>
      <c r="K277" s="27">
        <v>270</v>
      </c>
      <c r="L277" s="27">
        <f t="shared" si="27"/>
        <v>21600</v>
      </c>
      <c r="M277" s="27">
        <f t="shared" si="27"/>
        <v>21600</v>
      </c>
      <c r="N277" s="27">
        <f t="shared" si="27"/>
        <v>21600</v>
      </c>
      <c r="O277" s="27">
        <f t="shared" si="27"/>
        <v>21600</v>
      </c>
      <c r="P277" s="27">
        <f t="shared" si="27"/>
        <v>21600</v>
      </c>
      <c r="S277" s="38">
        <v>270</v>
      </c>
      <c r="T277" s="38">
        <f>IFERROR(求节点(节奏总纲!AD$4:AD$363,L$8:L$367,$S277),0)</f>
        <v>28800</v>
      </c>
      <c r="U277" s="38">
        <f>IFERROR(求节点(节奏总纲!AE$4:AE$363,M$8:M$367,$S277),0)</f>
        <v>28800</v>
      </c>
      <c r="V277" s="38">
        <f>IFERROR(求节点(节奏总纲!AF$4:AF$363,N$8:N$367,$S277),0)</f>
        <v>28800</v>
      </c>
      <c r="W277" s="38">
        <f>IFERROR(求节点(节奏总纲!AG$4:AG$363,O$8:O$367,$S277),0)</f>
        <v>28800</v>
      </c>
      <c r="X277" s="38">
        <f>IFERROR(求节点(节奏总纲!AH$4:AH$363,P$8:P$367,$S277),0)</f>
        <v>28800</v>
      </c>
    </row>
    <row r="278" spans="3:24" x14ac:dyDescent="0.15">
      <c r="C278" s="27"/>
      <c r="K278" s="27">
        <v>271</v>
      </c>
      <c r="L278" s="27">
        <f t="shared" ref="L278:P287" si="28">IFERROR(MAX($K278-$D$1,0)*$D$3/30,0)</f>
        <v>21680</v>
      </c>
      <c r="M278" s="27">
        <f t="shared" si="28"/>
        <v>21680</v>
      </c>
      <c r="N278" s="27">
        <f t="shared" si="28"/>
        <v>21680</v>
      </c>
      <c r="O278" s="27">
        <f t="shared" si="28"/>
        <v>21680</v>
      </c>
      <c r="P278" s="27">
        <f t="shared" si="28"/>
        <v>21680</v>
      </c>
      <c r="S278" s="38">
        <v>271</v>
      </c>
      <c r="T278" s="38">
        <f>IFERROR(求节点(节奏总纲!AD$4:AD$363,L$8:L$367,$S278),0)</f>
        <v>28800</v>
      </c>
      <c r="U278" s="38">
        <f>IFERROR(求节点(节奏总纲!AE$4:AE$363,M$8:M$367,$S278),0)</f>
        <v>28800</v>
      </c>
      <c r="V278" s="38">
        <f>IFERROR(求节点(节奏总纲!AF$4:AF$363,N$8:N$367,$S278),0)</f>
        <v>28800</v>
      </c>
      <c r="W278" s="38">
        <f>IFERROR(求节点(节奏总纲!AG$4:AG$363,O$8:O$367,$S278),0)</f>
        <v>28800</v>
      </c>
      <c r="X278" s="38">
        <f>IFERROR(求节点(节奏总纲!AH$4:AH$363,P$8:P$367,$S278),0)</f>
        <v>28800</v>
      </c>
    </row>
    <row r="279" spans="3:24" x14ac:dyDescent="0.15">
      <c r="C279" s="27"/>
      <c r="K279" s="27">
        <v>272</v>
      </c>
      <c r="L279" s="27">
        <f t="shared" si="28"/>
        <v>21760</v>
      </c>
      <c r="M279" s="27">
        <f t="shared" si="28"/>
        <v>21760</v>
      </c>
      <c r="N279" s="27">
        <f t="shared" si="28"/>
        <v>21760</v>
      </c>
      <c r="O279" s="27">
        <f t="shared" si="28"/>
        <v>21760</v>
      </c>
      <c r="P279" s="27">
        <f t="shared" si="28"/>
        <v>21760</v>
      </c>
      <c r="S279" s="38">
        <v>272</v>
      </c>
      <c r="T279" s="38">
        <f>IFERROR(求节点(节奏总纲!AD$4:AD$363,L$8:L$367,$S279),0)</f>
        <v>28800</v>
      </c>
      <c r="U279" s="38">
        <f>IFERROR(求节点(节奏总纲!AE$4:AE$363,M$8:M$367,$S279),0)</f>
        <v>28800</v>
      </c>
      <c r="V279" s="38">
        <f>IFERROR(求节点(节奏总纲!AF$4:AF$363,N$8:N$367,$S279),0)</f>
        <v>28800</v>
      </c>
      <c r="W279" s="38">
        <f>IFERROR(求节点(节奏总纲!AG$4:AG$363,O$8:O$367,$S279),0)</f>
        <v>28800</v>
      </c>
      <c r="X279" s="38">
        <f>IFERROR(求节点(节奏总纲!AH$4:AH$363,P$8:P$367,$S279),0)</f>
        <v>28800</v>
      </c>
    </row>
    <row r="280" spans="3:24" x14ac:dyDescent="0.15">
      <c r="C280" s="27"/>
      <c r="K280" s="27">
        <v>273</v>
      </c>
      <c r="L280" s="27">
        <f t="shared" si="28"/>
        <v>21840</v>
      </c>
      <c r="M280" s="27">
        <f t="shared" si="28"/>
        <v>21840</v>
      </c>
      <c r="N280" s="27">
        <f t="shared" si="28"/>
        <v>21840</v>
      </c>
      <c r="O280" s="27">
        <f t="shared" si="28"/>
        <v>21840</v>
      </c>
      <c r="P280" s="27">
        <f t="shared" si="28"/>
        <v>21840</v>
      </c>
      <c r="S280" s="38">
        <v>273</v>
      </c>
      <c r="T280" s="38">
        <f>IFERROR(求节点(节奏总纲!AD$4:AD$363,L$8:L$367,$S280),0)</f>
        <v>28800</v>
      </c>
      <c r="U280" s="38">
        <f>IFERROR(求节点(节奏总纲!AE$4:AE$363,M$8:M$367,$S280),0)</f>
        <v>28800</v>
      </c>
      <c r="V280" s="38">
        <f>IFERROR(求节点(节奏总纲!AF$4:AF$363,N$8:N$367,$S280),0)</f>
        <v>28800</v>
      </c>
      <c r="W280" s="38">
        <f>IFERROR(求节点(节奏总纲!AG$4:AG$363,O$8:O$367,$S280),0)</f>
        <v>28800</v>
      </c>
      <c r="X280" s="38">
        <f>IFERROR(求节点(节奏总纲!AH$4:AH$363,P$8:P$367,$S280),0)</f>
        <v>28800</v>
      </c>
    </row>
    <row r="281" spans="3:24" x14ac:dyDescent="0.15">
      <c r="C281" s="27"/>
      <c r="K281" s="27">
        <v>274</v>
      </c>
      <c r="L281" s="27">
        <f t="shared" si="28"/>
        <v>21920</v>
      </c>
      <c r="M281" s="27">
        <f t="shared" si="28"/>
        <v>21920</v>
      </c>
      <c r="N281" s="27">
        <f t="shared" si="28"/>
        <v>21920</v>
      </c>
      <c r="O281" s="27">
        <f t="shared" si="28"/>
        <v>21920</v>
      </c>
      <c r="P281" s="27">
        <f t="shared" si="28"/>
        <v>21920</v>
      </c>
      <c r="S281" s="38">
        <v>274</v>
      </c>
      <c r="T281" s="38">
        <f>IFERROR(求节点(节奏总纲!AD$4:AD$363,L$8:L$367,$S281),0)</f>
        <v>28800</v>
      </c>
      <c r="U281" s="38">
        <f>IFERROR(求节点(节奏总纲!AE$4:AE$363,M$8:M$367,$S281),0)</f>
        <v>28800</v>
      </c>
      <c r="V281" s="38">
        <f>IFERROR(求节点(节奏总纲!AF$4:AF$363,N$8:N$367,$S281),0)</f>
        <v>28800</v>
      </c>
      <c r="W281" s="38">
        <f>IFERROR(求节点(节奏总纲!AG$4:AG$363,O$8:O$367,$S281),0)</f>
        <v>28800</v>
      </c>
      <c r="X281" s="38">
        <f>IFERROR(求节点(节奏总纲!AH$4:AH$363,P$8:P$367,$S281),0)</f>
        <v>28800</v>
      </c>
    </row>
    <row r="282" spans="3:24" x14ac:dyDescent="0.15">
      <c r="C282" s="27"/>
      <c r="K282" s="27">
        <v>275</v>
      </c>
      <c r="L282" s="27">
        <f t="shared" si="28"/>
        <v>22000</v>
      </c>
      <c r="M282" s="27">
        <f t="shared" si="28"/>
        <v>22000</v>
      </c>
      <c r="N282" s="27">
        <f t="shared" si="28"/>
        <v>22000</v>
      </c>
      <c r="O282" s="27">
        <f t="shared" si="28"/>
        <v>22000</v>
      </c>
      <c r="P282" s="27">
        <f t="shared" si="28"/>
        <v>22000</v>
      </c>
      <c r="S282" s="38">
        <v>275</v>
      </c>
      <c r="T282" s="38">
        <f>IFERROR(求节点(节奏总纲!AD$4:AD$363,L$8:L$367,$S282),0)</f>
        <v>28800</v>
      </c>
      <c r="U282" s="38">
        <f>IFERROR(求节点(节奏总纲!AE$4:AE$363,M$8:M$367,$S282),0)</f>
        <v>28800</v>
      </c>
      <c r="V282" s="38">
        <f>IFERROR(求节点(节奏总纲!AF$4:AF$363,N$8:N$367,$S282),0)</f>
        <v>28800</v>
      </c>
      <c r="W282" s="38">
        <f>IFERROR(求节点(节奏总纲!AG$4:AG$363,O$8:O$367,$S282),0)</f>
        <v>28800</v>
      </c>
      <c r="X282" s="38">
        <f>IFERROR(求节点(节奏总纲!AH$4:AH$363,P$8:P$367,$S282),0)</f>
        <v>28800</v>
      </c>
    </row>
    <row r="283" spans="3:24" x14ac:dyDescent="0.15">
      <c r="C283" s="27"/>
      <c r="K283" s="27">
        <v>276</v>
      </c>
      <c r="L283" s="27">
        <f t="shared" si="28"/>
        <v>22080</v>
      </c>
      <c r="M283" s="27">
        <f t="shared" si="28"/>
        <v>22080</v>
      </c>
      <c r="N283" s="27">
        <f t="shared" si="28"/>
        <v>22080</v>
      </c>
      <c r="O283" s="27">
        <f t="shared" si="28"/>
        <v>22080</v>
      </c>
      <c r="P283" s="27">
        <f t="shared" si="28"/>
        <v>22080</v>
      </c>
      <c r="S283" s="38">
        <v>276</v>
      </c>
      <c r="T283" s="38">
        <f>IFERROR(求节点(节奏总纲!AD$4:AD$363,L$8:L$367,$S283),0)</f>
        <v>28800</v>
      </c>
      <c r="U283" s="38">
        <f>IFERROR(求节点(节奏总纲!AE$4:AE$363,M$8:M$367,$S283),0)</f>
        <v>28800</v>
      </c>
      <c r="V283" s="38">
        <f>IFERROR(求节点(节奏总纲!AF$4:AF$363,N$8:N$367,$S283),0)</f>
        <v>28800</v>
      </c>
      <c r="W283" s="38">
        <f>IFERROR(求节点(节奏总纲!AG$4:AG$363,O$8:O$367,$S283),0)</f>
        <v>28800</v>
      </c>
      <c r="X283" s="38">
        <f>IFERROR(求节点(节奏总纲!AH$4:AH$363,P$8:P$367,$S283),0)</f>
        <v>28800</v>
      </c>
    </row>
    <row r="284" spans="3:24" x14ac:dyDescent="0.15">
      <c r="C284" s="27"/>
      <c r="K284" s="27">
        <v>277</v>
      </c>
      <c r="L284" s="27">
        <f t="shared" si="28"/>
        <v>22160</v>
      </c>
      <c r="M284" s="27">
        <f t="shared" si="28"/>
        <v>22160</v>
      </c>
      <c r="N284" s="27">
        <f t="shared" si="28"/>
        <v>22160</v>
      </c>
      <c r="O284" s="27">
        <f t="shared" si="28"/>
        <v>22160</v>
      </c>
      <c r="P284" s="27">
        <f t="shared" si="28"/>
        <v>22160</v>
      </c>
      <c r="S284" s="38">
        <v>277</v>
      </c>
      <c r="T284" s="38">
        <f>IFERROR(求节点(节奏总纲!AD$4:AD$363,L$8:L$367,$S284),0)</f>
        <v>28800</v>
      </c>
      <c r="U284" s="38">
        <f>IFERROR(求节点(节奏总纲!AE$4:AE$363,M$8:M$367,$S284),0)</f>
        <v>28800</v>
      </c>
      <c r="V284" s="38">
        <f>IFERROR(求节点(节奏总纲!AF$4:AF$363,N$8:N$367,$S284),0)</f>
        <v>28800</v>
      </c>
      <c r="W284" s="38">
        <f>IFERROR(求节点(节奏总纲!AG$4:AG$363,O$8:O$367,$S284),0)</f>
        <v>28800</v>
      </c>
      <c r="X284" s="38">
        <f>IFERROR(求节点(节奏总纲!AH$4:AH$363,P$8:P$367,$S284),0)</f>
        <v>28800</v>
      </c>
    </row>
    <row r="285" spans="3:24" x14ac:dyDescent="0.15">
      <c r="C285" s="27"/>
      <c r="K285" s="27">
        <v>278</v>
      </c>
      <c r="L285" s="27">
        <f t="shared" si="28"/>
        <v>22240</v>
      </c>
      <c r="M285" s="27">
        <f t="shared" si="28"/>
        <v>22240</v>
      </c>
      <c r="N285" s="27">
        <f t="shared" si="28"/>
        <v>22240</v>
      </c>
      <c r="O285" s="27">
        <f t="shared" si="28"/>
        <v>22240</v>
      </c>
      <c r="P285" s="27">
        <f t="shared" si="28"/>
        <v>22240</v>
      </c>
      <c r="S285" s="38">
        <v>278</v>
      </c>
      <c r="T285" s="38">
        <f>IFERROR(求节点(节奏总纲!AD$4:AD$363,L$8:L$367,$S285),0)</f>
        <v>28800</v>
      </c>
      <c r="U285" s="38">
        <f>IFERROR(求节点(节奏总纲!AE$4:AE$363,M$8:M$367,$S285),0)</f>
        <v>28800</v>
      </c>
      <c r="V285" s="38">
        <f>IFERROR(求节点(节奏总纲!AF$4:AF$363,N$8:N$367,$S285),0)</f>
        <v>28800</v>
      </c>
      <c r="W285" s="38">
        <f>IFERROR(求节点(节奏总纲!AG$4:AG$363,O$8:O$367,$S285),0)</f>
        <v>28800</v>
      </c>
      <c r="X285" s="38">
        <f>IFERROR(求节点(节奏总纲!AH$4:AH$363,P$8:P$367,$S285),0)</f>
        <v>28800</v>
      </c>
    </row>
    <row r="286" spans="3:24" x14ac:dyDescent="0.15">
      <c r="C286" s="27"/>
      <c r="K286" s="27">
        <v>279</v>
      </c>
      <c r="L286" s="27">
        <f t="shared" si="28"/>
        <v>22320</v>
      </c>
      <c r="M286" s="27">
        <f t="shared" si="28"/>
        <v>22320</v>
      </c>
      <c r="N286" s="27">
        <f t="shared" si="28"/>
        <v>22320</v>
      </c>
      <c r="O286" s="27">
        <f t="shared" si="28"/>
        <v>22320</v>
      </c>
      <c r="P286" s="27">
        <f t="shared" si="28"/>
        <v>22320</v>
      </c>
      <c r="S286" s="38">
        <v>279</v>
      </c>
      <c r="T286" s="38">
        <f>IFERROR(求节点(节奏总纲!AD$4:AD$363,L$8:L$367,$S286),0)</f>
        <v>28800</v>
      </c>
      <c r="U286" s="38">
        <f>IFERROR(求节点(节奏总纲!AE$4:AE$363,M$8:M$367,$S286),0)</f>
        <v>28800</v>
      </c>
      <c r="V286" s="38">
        <f>IFERROR(求节点(节奏总纲!AF$4:AF$363,N$8:N$367,$S286),0)</f>
        <v>28800</v>
      </c>
      <c r="W286" s="38">
        <f>IFERROR(求节点(节奏总纲!AG$4:AG$363,O$8:O$367,$S286),0)</f>
        <v>28800</v>
      </c>
      <c r="X286" s="38">
        <f>IFERROR(求节点(节奏总纲!AH$4:AH$363,P$8:P$367,$S286),0)</f>
        <v>28800</v>
      </c>
    </row>
    <row r="287" spans="3:24" x14ac:dyDescent="0.15">
      <c r="C287" s="27"/>
      <c r="K287" s="27">
        <v>280</v>
      </c>
      <c r="L287" s="27">
        <f t="shared" si="28"/>
        <v>22400</v>
      </c>
      <c r="M287" s="27">
        <f t="shared" si="28"/>
        <v>22400</v>
      </c>
      <c r="N287" s="27">
        <f t="shared" si="28"/>
        <v>22400</v>
      </c>
      <c r="O287" s="27">
        <f t="shared" si="28"/>
        <v>22400</v>
      </c>
      <c r="P287" s="27">
        <f t="shared" si="28"/>
        <v>22400</v>
      </c>
      <c r="S287" s="38">
        <v>280</v>
      </c>
      <c r="T287" s="38">
        <f>IFERROR(求节点(节奏总纲!AD$4:AD$363,L$8:L$367,$S287),0)</f>
        <v>28800</v>
      </c>
      <c r="U287" s="38">
        <f>IFERROR(求节点(节奏总纲!AE$4:AE$363,M$8:M$367,$S287),0)</f>
        <v>28800</v>
      </c>
      <c r="V287" s="38">
        <f>IFERROR(求节点(节奏总纲!AF$4:AF$363,N$8:N$367,$S287),0)</f>
        <v>28800</v>
      </c>
      <c r="W287" s="38">
        <f>IFERROR(求节点(节奏总纲!AG$4:AG$363,O$8:O$367,$S287),0)</f>
        <v>28800</v>
      </c>
      <c r="X287" s="38">
        <f>IFERROR(求节点(节奏总纲!AH$4:AH$363,P$8:P$367,$S287),0)</f>
        <v>28800</v>
      </c>
    </row>
    <row r="288" spans="3:24" x14ac:dyDescent="0.15">
      <c r="C288" s="27"/>
      <c r="K288" s="27">
        <v>281</v>
      </c>
      <c r="L288" s="27">
        <f t="shared" ref="L288:P297" si="29">IFERROR(MAX($K288-$D$1,0)*$D$3/30,0)</f>
        <v>22480</v>
      </c>
      <c r="M288" s="27">
        <f t="shared" si="29"/>
        <v>22480</v>
      </c>
      <c r="N288" s="27">
        <f t="shared" si="29"/>
        <v>22480</v>
      </c>
      <c r="O288" s="27">
        <f t="shared" si="29"/>
        <v>22480</v>
      </c>
      <c r="P288" s="27">
        <f t="shared" si="29"/>
        <v>22480</v>
      </c>
      <c r="S288" s="38">
        <v>281</v>
      </c>
      <c r="T288" s="38">
        <f>IFERROR(求节点(节奏总纲!AD$4:AD$363,L$8:L$367,$S288),0)</f>
        <v>28800</v>
      </c>
      <c r="U288" s="38">
        <f>IFERROR(求节点(节奏总纲!AE$4:AE$363,M$8:M$367,$S288),0)</f>
        <v>28800</v>
      </c>
      <c r="V288" s="38">
        <f>IFERROR(求节点(节奏总纲!AF$4:AF$363,N$8:N$367,$S288),0)</f>
        <v>28800</v>
      </c>
      <c r="W288" s="38">
        <f>IFERROR(求节点(节奏总纲!AG$4:AG$363,O$8:O$367,$S288),0)</f>
        <v>28800</v>
      </c>
      <c r="X288" s="38">
        <f>IFERROR(求节点(节奏总纲!AH$4:AH$363,P$8:P$367,$S288),0)</f>
        <v>28800</v>
      </c>
    </row>
    <row r="289" spans="3:24" x14ac:dyDescent="0.15">
      <c r="C289" s="27"/>
      <c r="K289" s="27">
        <v>282</v>
      </c>
      <c r="L289" s="27">
        <f t="shared" si="29"/>
        <v>22560</v>
      </c>
      <c r="M289" s="27">
        <f t="shared" si="29"/>
        <v>22560</v>
      </c>
      <c r="N289" s="27">
        <f t="shared" si="29"/>
        <v>22560</v>
      </c>
      <c r="O289" s="27">
        <f t="shared" si="29"/>
        <v>22560</v>
      </c>
      <c r="P289" s="27">
        <f t="shared" si="29"/>
        <v>22560</v>
      </c>
      <c r="S289" s="38">
        <v>282</v>
      </c>
      <c r="T289" s="38">
        <f>IFERROR(求节点(节奏总纲!AD$4:AD$363,L$8:L$367,$S289),0)</f>
        <v>28800</v>
      </c>
      <c r="U289" s="38">
        <f>IFERROR(求节点(节奏总纲!AE$4:AE$363,M$8:M$367,$S289),0)</f>
        <v>28800</v>
      </c>
      <c r="V289" s="38">
        <f>IFERROR(求节点(节奏总纲!AF$4:AF$363,N$8:N$367,$S289),0)</f>
        <v>28800</v>
      </c>
      <c r="W289" s="38">
        <f>IFERROR(求节点(节奏总纲!AG$4:AG$363,O$8:O$367,$S289),0)</f>
        <v>28800</v>
      </c>
      <c r="X289" s="38">
        <f>IFERROR(求节点(节奏总纲!AH$4:AH$363,P$8:P$367,$S289),0)</f>
        <v>28800</v>
      </c>
    </row>
    <row r="290" spans="3:24" x14ac:dyDescent="0.15">
      <c r="C290" s="27"/>
      <c r="K290" s="27">
        <v>283</v>
      </c>
      <c r="L290" s="27">
        <f t="shared" si="29"/>
        <v>22640</v>
      </c>
      <c r="M290" s="27">
        <f t="shared" si="29"/>
        <v>22640</v>
      </c>
      <c r="N290" s="27">
        <f t="shared" si="29"/>
        <v>22640</v>
      </c>
      <c r="O290" s="27">
        <f t="shared" si="29"/>
        <v>22640</v>
      </c>
      <c r="P290" s="27">
        <f t="shared" si="29"/>
        <v>22640</v>
      </c>
      <c r="S290" s="38">
        <v>283</v>
      </c>
      <c r="T290" s="38">
        <f>IFERROR(求节点(节奏总纲!AD$4:AD$363,L$8:L$367,$S290),0)</f>
        <v>28800</v>
      </c>
      <c r="U290" s="38">
        <f>IFERROR(求节点(节奏总纲!AE$4:AE$363,M$8:M$367,$S290),0)</f>
        <v>28800</v>
      </c>
      <c r="V290" s="38">
        <f>IFERROR(求节点(节奏总纲!AF$4:AF$363,N$8:N$367,$S290),0)</f>
        <v>28800</v>
      </c>
      <c r="W290" s="38">
        <f>IFERROR(求节点(节奏总纲!AG$4:AG$363,O$8:O$367,$S290),0)</f>
        <v>28800</v>
      </c>
      <c r="X290" s="38">
        <f>IFERROR(求节点(节奏总纲!AH$4:AH$363,P$8:P$367,$S290),0)</f>
        <v>28800</v>
      </c>
    </row>
    <row r="291" spans="3:24" x14ac:dyDescent="0.15">
      <c r="C291" s="27"/>
      <c r="K291" s="27">
        <v>284</v>
      </c>
      <c r="L291" s="27">
        <f t="shared" si="29"/>
        <v>22720</v>
      </c>
      <c r="M291" s="27">
        <f t="shared" si="29"/>
        <v>22720</v>
      </c>
      <c r="N291" s="27">
        <f t="shared" si="29"/>
        <v>22720</v>
      </c>
      <c r="O291" s="27">
        <f t="shared" si="29"/>
        <v>22720</v>
      </c>
      <c r="P291" s="27">
        <f t="shared" si="29"/>
        <v>22720</v>
      </c>
      <c r="S291" s="38">
        <v>284</v>
      </c>
      <c r="T291" s="38">
        <f>IFERROR(求节点(节奏总纲!AD$4:AD$363,L$8:L$367,$S291),0)</f>
        <v>28800</v>
      </c>
      <c r="U291" s="38">
        <f>IFERROR(求节点(节奏总纲!AE$4:AE$363,M$8:M$367,$S291),0)</f>
        <v>28800</v>
      </c>
      <c r="V291" s="38">
        <f>IFERROR(求节点(节奏总纲!AF$4:AF$363,N$8:N$367,$S291),0)</f>
        <v>28800</v>
      </c>
      <c r="W291" s="38">
        <f>IFERROR(求节点(节奏总纲!AG$4:AG$363,O$8:O$367,$S291),0)</f>
        <v>28800</v>
      </c>
      <c r="X291" s="38">
        <f>IFERROR(求节点(节奏总纲!AH$4:AH$363,P$8:P$367,$S291),0)</f>
        <v>28800</v>
      </c>
    </row>
    <row r="292" spans="3:24" x14ac:dyDescent="0.15">
      <c r="C292" s="27"/>
      <c r="K292" s="27">
        <v>285</v>
      </c>
      <c r="L292" s="27">
        <f t="shared" si="29"/>
        <v>22800</v>
      </c>
      <c r="M292" s="27">
        <f t="shared" si="29"/>
        <v>22800</v>
      </c>
      <c r="N292" s="27">
        <f t="shared" si="29"/>
        <v>22800</v>
      </c>
      <c r="O292" s="27">
        <f t="shared" si="29"/>
        <v>22800</v>
      </c>
      <c r="P292" s="27">
        <f t="shared" si="29"/>
        <v>22800</v>
      </c>
      <c r="S292" s="38">
        <v>285</v>
      </c>
      <c r="T292" s="38">
        <f>IFERROR(求节点(节奏总纲!AD$4:AD$363,L$8:L$367,$S292),0)</f>
        <v>28800</v>
      </c>
      <c r="U292" s="38">
        <f>IFERROR(求节点(节奏总纲!AE$4:AE$363,M$8:M$367,$S292),0)</f>
        <v>28800</v>
      </c>
      <c r="V292" s="38">
        <f>IFERROR(求节点(节奏总纲!AF$4:AF$363,N$8:N$367,$S292),0)</f>
        <v>28800</v>
      </c>
      <c r="W292" s="38">
        <f>IFERROR(求节点(节奏总纲!AG$4:AG$363,O$8:O$367,$S292),0)</f>
        <v>28800</v>
      </c>
      <c r="X292" s="38">
        <f>IFERROR(求节点(节奏总纲!AH$4:AH$363,P$8:P$367,$S292),0)</f>
        <v>28800</v>
      </c>
    </row>
    <row r="293" spans="3:24" x14ac:dyDescent="0.15">
      <c r="C293" s="27"/>
      <c r="K293" s="27">
        <v>286</v>
      </c>
      <c r="L293" s="27">
        <f t="shared" si="29"/>
        <v>22880</v>
      </c>
      <c r="M293" s="27">
        <f t="shared" si="29"/>
        <v>22880</v>
      </c>
      <c r="N293" s="27">
        <f t="shared" si="29"/>
        <v>22880</v>
      </c>
      <c r="O293" s="27">
        <f t="shared" si="29"/>
        <v>22880</v>
      </c>
      <c r="P293" s="27">
        <f t="shared" si="29"/>
        <v>22880</v>
      </c>
      <c r="S293" s="38">
        <v>286</v>
      </c>
      <c r="T293" s="38">
        <f>IFERROR(求节点(节奏总纲!AD$4:AD$363,L$8:L$367,$S293),0)</f>
        <v>28800</v>
      </c>
      <c r="U293" s="38">
        <f>IFERROR(求节点(节奏总纲!AE$4:AE$363,M$8:M$367,$S293),0)</f>
        <v>28800</v>
      </c>
      <c r="V293" s="38">
        <f>IFERROR(求节点(节奏总纲!AF$4:AF$363,N$8:N$367,$S293),0)</f>
        <v>28800</v>
      </c>
      <c r="W293" s="38">
        <f>IFERROR(求节点(节奏总纲!AG$4:AG$363,O$8:O$367,$S293),0)</f>
        <v>28800</v>
      </c>
      <c r="X293" s="38">
        <f>IFERROR(求节点(节奏总纲!AH$4:AH$363,P$8:P$367,$S293),0)</f>
        <v>28800</v>
      </c>
    </row>
    <row r="294" spans="3:24" x14ac:dyDescent="0.15">
      <c r="C294" s="27"/>
      <c r="K294" s="27">
        <v>287</v>
      </c>
      <c r="L294" s="27">
        <f t="shared" si="29"/>
        <v>22960</v>
      </c>
      <c r="M294" s="27">
        <f t="shared" si="29"/>
        <v>22960</v>
      </c>
      <c r="N294" s="27">
        <f t="shared" si="29"/>
        <v>22960</v>
      </c>
      <c r="O294" s="27">
        <f t="shared" si="29"/>
        <v>22960</v>
      </c>
      <c r="P294" s="27">
        <f t="shared" si="29"/>
        <v>22960</v>
      </c>
      <c r="S294" s="38">
        <v>287</v>
      </c>
      <c r="T294" s="38">
        <f>IFERROR(求节点(节奏总纲!AD$4:AD$363,L$8:L$367,$S294),0)</f>
        <v>28800</v>
      </c>
      <c r="U294" s="38">
        <f>IFERROR(求节点(节奏总纲!AE$4:AE$363,M$8:M$367,$S294),0)</f>
        <v>28800</v>
      </c>
      <c r="V294" s="38">
        <f>IFERROR(求节点(节奏总纲!AF$4:AF$363,N$8:N$367,$S294),0)</f>
        <v>28800</v>
      </c>
      <c r="W294" s="38">
        <f>IFERROR(求节点(节奏总纲!AG$4:AG$363,O$8:O$367,$S294),0)</f>
        <v>28800</v>
      </c>
      <c r="X294" s="38">
        <f>IFERROR(求节点(节奏总纲!AH$4:AH$363,P$8:P$367,$S294),0)</f>
        <v>28800</v>
      </c>
    </row>
    <row r="295" spans="3:24" x14ac:dyDescent="0.15">
      <c r="C295" s="27"/>
      <c r="K295" s="27">
        <v>288</v>
      </c>
      <c r="L295" s="27">
        <f t="shared" si="29"/>
        <v>23040</v>
      </c>
      <c r="M295" s="27">
        <f t="shared" si="29"/>
        <v>23040</v>
      </c>
      <c r="N295" s="27">
        <f t="shared" si="29"/>
        <v>23040</v>
      </c>
      <c r="O295" s="27">
        <f t="shared" si="29"/>
        <v>23040</v>
      </c>
      <c r="P295" s="27">
        <f t="shared" si="29"/>
        <v>23040</v>
      </c>
      <c r="S295" s="38">
        <v>288</v>
      </c>
      <c r="T295" s="38">
        <f>IFERROR(求节点(节奏总纲!AD$4:AD$363,L$8:L$367,$S295),0)</f>
        <v>28800</v>
      </c>
      <c r="U295" s="38">
        <f>IFERROR(求节点(节奏总纲!AE$4:AE$363,M$8:M$367,$S295),0)</f>
        <v>28800</v>
      </c>
      <c r="V295" s="38">
        <f>IFERROR(求节点(节奏总纲!AF$4:AF$363,N$8:N$367,$S295),0)</f>
        <v>28800</v>
      </c>
      <c r="W295" s="38">
        <f>IFERROR(求节点(节奏总纲!AG$4:AG$363,O$8:O$367,$S295),0)</f>
        <v>28800</v>
      </c>
      <c r="X295" s="38">
        <f>IFERROR(求节点(节奏总纲!AH$4:AH$363,P$8:P$367,$S295),0)</f>
        <v>28800</v>
      </c>
    </row>
    <row r="296" spans="3:24" x14ac:dyDescent="0.15">
      <c r="C296" s="27"/>
      <c r="K296" s="27">
        <v>289</v>
      </c>
      <c r="L296" s="27">
        <f t="shared" si="29"/>
        <v>23120</v>
      </c>
      <c r="M296" s="27">
        <f t="shared" si="29"/>
        <v>23120</v>
      </c>
      <c r="N296" s="27">
        <f t="shared" si="29"/>
        <v>23120</v>
      </c>
      <c r="O296" s="27">
        <f t="shared" si="29"/>
        <v>23120</v>
      </c>
      <c r="P296" s="27">
        <f t="shared" si="29"/>
        <v>23120</v>
      </c>
      <c r="S296" s="38">
        <v>289</v>
      </c>
      <c r="T296" s="38">
        <f>IFERROR(求节点(节奏总纲!AD$4:AD$363,L$8:L$367,$S296),0)</f>
        <v>28800</v>
      </c>
      <c r="U296" s="38">
        <f>IFERROR(求节点(节奏总纲!AE$4:AE$363,M$8:M$367,$S296),0)</f>
        <v>28800</v>
      </c>
      <c r="V296" s="38">
        <f>IFERROR(求节点(节奏总纲!AF$4:AF$363,N$8:N$367,$S296),0)</f>
        <v>28800</v>
      </c>
      <c r="W296" s="38">
        <f>IFERROR(求节点(节奏总纲!AG$4:AG$363,O$8:O$367,$S296),0)</f>
        <v>28800</v>
      </c>
      <c r="X296" s="38">
        <f>IFERROR(求节点(节奏总纲!AH$4:AH$363,P$8:P$367,$S296),0)</f>
        <v>28800</v>
      </c>
    </row>
    <row r="297" spans="3:24" x14ac:dyDescent="0.15">
      <c r="C297" s="27"/>
      <c r="K297" s="27">
        <v>290</v>
      </c>
      <c r="L297" s="27">
        <f t="shared" si="29"/>
        <v>23200</v>
      </c>
      <c r="M297" s="27">
        <f t="shared" si="29"/>
        <v>23200</v>
      </c>
      <c r="N297" s="27">
        <f t="shared" si="29"/>
        <v>23200</v>
      </c>
      <c r="O297" s="27">
        <f t="shared" si="29"/>
        <v>23200</v>
      </c>
      <c r="P297" s="27">
        <f t="shared" si="29"/>
        <v>23200</v>
      </c>
      <c r="S297" s="38">
        <v>290</v>
      </c>
      <c r="T297" s="38">
        <f>IFERROR(求节点(节奏总纲!AD$4:AD$363,L$8:L$367,$S297),0)</f>
        <v>28800</v>
      </c>
      <c r="U297" s="38">
        <f>IFERROR(求节点(节奏总纲!AE$4:AE$363,M$8:M$367,$S297),0)</f>
        <v>28800</v>
      </c>
      <c r="V297" s="38">
        <f>IFERROR(求节点(节奏总纲!AF$4:AF$363,N$8:N$367,$S297),0)</f>
        <v>28800</v>
      </c>
      <c r="W297" s="38">
        <f>IFERROR(求节点(节奏总纲!AG$4:AG$363,O$8:O$367,$S297),0)</f>
        <v>28800</v>
      </c>
      <c r="X297" s="38">
        <f>IFERROR(求节点(节奏总纲!AH$4:AH$363,P$8:P$367,$S297),0)</f>
        <v>28800</v>
      </c>
    </row>
    <row r="298" spans="3:24" x14ac:dyDescent="0.15">
      <c r="C298" s="27"/>
      <c r="K298" s="27">
        <v>291</v>
      </c>
      <c r="L298" s="27">
        <f t="shared" ref="L298:P307" si="30">IFERROR(MAX($K298-$D$1,0)*$D$3/30,0)</f>
        <v>23280</v>
      </c>
      <c r="M298" s="27">
        <f t="shared" si="30"/>
        <v>23280</v>
      </c>
      <c r="N298" s="27">
        <f t="shared" si="30"/>
        <v>23280</v>
      </c>
      <c r="O298" s="27">
        <f t="shared" si="30"/>
        <v>23280</v>
      </c>
      <c r="P298" s="27">
        <f t="shared" si="30"/>
        <v>23280</v>
      </c>
      <c r="S298" s="38">
        <v>291</v>
      </c>
      <c r="T298" s="38">
        <f>IFERROR(求节点(节奏总纲!AD$4:AD$363,L$8:L$367,$S298),0)</f>
        <v>28800</v>
      </c>
      <c r="U298" s="38">
        <f>IFERROR(求节点(节奏总纲!AE$4:AE$363,M$8:M$367,$S298),0)</f>
        <v>28800</v>
      </c>
      <c r="V298" s="38">
        <f>IFERROR(求节点(节奏总纲!AF$4:AF$363,N$8:N$367,$S298),0)</f>
        <v>28800</v>
      </c>
      <c r="W298" s="38">
        <f>IFERROR(求节点(节奏总纲!AG$4:AG$363,O$8:O$367,$S298),0)</f>
        <v>28800</v>
      </c>
      <c r="X298" s="38">
        <f>IFERROR(求节点(节奏总纲!AH$4:AH$363,P$8:P$367,$S298),0)</f>
        <v>28800</v>
      </c>
    </row>
    <row r="299" spans="3:24" x14ac:dyDescent="0.15">
      <c r="C299" s="27"/>
      <c r="K299" s="27">
        <v>292</v>
      </c>
      <c r="L299" s="27">
        <f t="shared" si="30"/>
        <v>23360</v>
      </c>
      <c r="M299" s="27">
        <f t="shared" si="30"/>
        <v>23360</v>
      </c>
      <c r="N299" s="27">
        <f t="shared" si="30"/>
        <v>23360</v>
      </c>
      <c r="O299" s="27">
        <f t="shared" si="30"/>
        <v>23360</v>
      </c>
      <c r="P299" s="27">
        <f t="shared" si="30"/>
        <v>23360</v>
      </c>
      <c r="S299" s="38">
        <v>292</v>
      </c>
      <c r="T299" s="38">
        <f>IFERROR(求节点(节奏总纲!AD$4:AD$363,L$8:L$367,$S299),0)</f>
        <v>28800</v>
      </c>
      <c r="U299" s="38">
        <f>IFERROR(求节点(节奏总纲!AE$4:AE$363,M$8:M$367,$S299),0)</f>
        <v>28800</v>
      </c>
      <c r="V299" s="38">
        <f>IFERROR(求节点(节奏总纲!AF$4:AF$363,N$8:N$367,$S299),0)</f>
        <v>28800</v>
      </c>
      <c r="W299" s="38">
        <f>IFERROR(求节点(节奏总纲!AG$4:AG$363,O$8:O$367,$S299),0)</f>
        <v>28800</v>
      </c>
      <c r="X299" s="38">
        <f>IFERROR(求节点(节奏总纲!AH$4:AH$363,P$8:P$367,$S299),0)</f>
        <v>28800</v>
      </c>
    </row>
    <row r="300" spans="3:24" x14ac:dyDescent="0.15">
      <c r="C300" s="27"/>
      <c r="K300" s="27">
        <v>293</v>
      </c>
      <c r="L300" s="27">
        <f t="shared" si="30"/>
        <v>23440</v>
      </c>
      <c r="M300" s="27">
        <f t="shared" si="30"/>
        <v>23440</v>
      </c>
      <c r="N300" s="27">
        <f t="shared" si="30"/>
        <v>23440</v>
      </c>
      <c r="O300" s="27">
        <f t="shared" si="30"/>
        <v>23440</v>
      </c>
      <c r="P300" s="27">
        <f t="shared" si="30"/>
        <v>23440</v>
      </c>
      <c r="S300" s="38">
        <v>293</v>
      </c>
      <c r="T300" s="38">
        <f>IFERROR(求节点(节奏总纲!AD$4:AD$363,L$8:L$367,$S300),0)</f>
        <v>28800</v>
      </c>
      <c r="U300" s="38">
        <f>IFERROR(求节点(节奏总纲!AE$4:AE$363,M$8:M$367,$S300),0)</f>
        <v>28800</v>
      </c>
      <c r="V300" s="38">
        <f>IFERROR(求节点(节奏总纲!AF$4:AF$363,N$8:N$367,$S300),0)</f>
        <v>28800</v>
      </c>
      <c r="W300" s="38">
        <f>IFERROR(求节点(节奏总纲!AG$4:AG$363,O$8:O$367,$S300),0)</f>
        <v>28800</v>
      </c>
      <c r="X300" s="38">
        <f>IFERROR(求节点(节奏总纲!AH$4:AH$363,P$8:P$367,$S300),0)</f>
        <v>28800</v>
      </c>
    </row>
    <row r="301" spans="3:24" x14ac:dyDescent="0.15">
      <c r="C301" s="27"/>
      <c r="K301" s="27">
        <v>294</v>
      </c>
      <c r="L301" s="27">
        <f t="shared" si="30"/>
        <v>23520</v>
      </c>
      <c r="M301" s="27">
        <f t="shared" si="30"/>
        <v>23520</v>
      </c>
      <c r="N301" s="27">
        <f t="shared" si="30"/>
        <v>23520</v>
      </c>
      <c r="O301" s="27">
        <f t="shared" si="30"/>
        <v>23520</v>
      </c>
      <c r="P301" s="27">
        <f t="shared" si="30"/>
        <v>23520</v>
      </c>
      <c r="S301" s="38">
        <v>294</v>
      </c>
      <c r="T301" s="38">
        <f>IFERROR(求节点(节奏总纲!AD$4:AD$363,L$8:L$367,$S301),0)</f>
        <v>28800</v>
      </c>
      <c r="U301" s="38">
        <f>IFERROR(求节点(节奏总纲!AE$4:AE$363,M$8:M$367,$S301),0)</f>
        <v>28800</v>
      </c>
      <c r="V301" s="38">
        <f>IFERROR(求节点(节奏总纲!AF$4:AF$363,N$8:N$367,$S301),0)</f>
        <v>28800</v>
      </c>
      <c r="W301" s="38">
        <f>IFERROR(求节点(节奏总纲!AG$4:AG$363,O$8:O$367,$S301),0)</f>
        <v>28800</v>
      </c>
      <c r="X301" s="38">
        <f>IFERROR(求节点(节奏总纲!AH$4:AH$363,P$8:P$367,$S301),0)</f>
        <v>28800</v>
      </c>
    </row>
    <row r="302" spans="3:24" x14ac:dyDescent="0.15">
      <c r="C302" s="27"/>
      <c r="K302" s="27">
        <v>295</v>
      </c>
      <c r="L302" s="27">
        <f t="shared" si="30"/>
        <v>23600</v>
      </c>
      <c r="M302" s="27">
        <f t="shared" si="30"/>
        <v>23600</v>
      </c>
      <c r="N302" s="27">
        <f t="shared" si="30"/>
        <v>23600</v>
      </c>
      <c r="O302" s="27">
        <f t="shared" si="30"/>
        <v>23600</v>
      </c>
      <c r="P302" s="27">
        <f t="shared" si="30"/>
        <v>23600</v>
      </c>
      <c r="S302" s="38">
        <v>295</v>
      </c>
      <c r="T302" s="38">
        <f>IFERROR(求节点(节奏总纲!AD$4:AD$363,L$8:L$367,$S302),0)</f>
        <v>28800</v>
      </c>
      <c r="U302" s="38">
        <f>IFERROR(求节点(节奏总纲!AE$4:AE$363,M$8:M$367,$S302),0)</f>
        <v>28800</v>
      </c>
      <c r="V302" s="38">
        <f>IFERROR(求节点(节奏总纲!AF$4:AF$363,N$8:N$367,$S302),0)</f>
        <v>28800</v>
      </c>
      <c r="W302" s="38">
        <f>IFERROR(求节点(节奏总纲!AG$4:AG$363,O$8:O$367,$S302),0)</f>
        <v>28800</v>
      </c>
      <c r="X302" s="38">
        <f>IFERROR(求节点(节奏总纲!AH$4:AH$363,P$8:P$367,$S302),0)</f>
        <v>28800</v>
      </c>
    </row>
    <row r="303" spans="3:24" x14ac:dyDescent="0.15">
      <c r="C303" s="27"/>
      <c r="K303" s="27">
        <v>296</v>
      </c>
      <c r="L303" s="27">
        <f t="shared" si="30"/>
        <v>23680</v>
      </c>
      <c r="M303" s="27">
        <f t="shared" si="30"/>
        <v>23680</v>
      </c>
      <c r="N303" s="27">
        <f t="shared" si="30"/>
        <v>23680</v>
      </c>
      <c r="O303" s="27">
        <f t="shared" si="30"/>
        <v>23680</v>
      </c>
      <c r="P303" s="27">
        <f t="shared" si="30"/>
        <v>23680</v>
      </c>
      <c r="S303" s="38">
        <v>296</v>
      </c>
      <c r="T303" s="38">
        <f>IFERROR(求节点(节奏总纲!AD$4:AD$363,L$8:L$367,$S303),0)</f>
        <v>28800</v>
      </c>
      <c r="U303" s="38">
        <f>IFERROR(求节点(节奏总纲!AE$4:AE$363,M$8:M$367,$S303),0)</f>
        <v>28800</v>
      </c>
      <c r="V303" s="38">
        <f>IFERROR(求节点(节奏总纲!AF$4:AF$363,N$8:N$367,$S303),0)</f>
        <v>28800</v>
      </c>
      <c r="W303" s="38">
        <f>IFERROR(求节点(节奏总纲!AG$4:AG$363,O$8:O$367,$S303),0)</f>
        <v>28800</v>
      </c>
      <c r="X303" s="38">
        <f>IFERROR(求节点(节奏总纲!AH$4:AH$363,P$8:P$367,$S303),0)</f>
        <v>28800</v>
      </c>
    </row>
    <row r="304" spans="3:24" x14ac:dyDescent="0.15">
      <c r="C304" s="27"/>
      <c r="K304" s="27">
        <v>297</v>
      </c>
      <c r="L304" s="27">
        <f t="shared" si="30"/>
        <v>23760</v>
      </c>
      <c r="M304" s="27">
        <f t="shared" si="30"/>
        <v>23760</v>
      </c>
      <c r="N304" s="27">
        <f t="shared" si="30"/>
        <v>23760</v>
      </c>
      <c r="O304" s="27">
        <f t="shared" si="30"/>
        <v>23760</v>
      </c>
      <c r="P304" s="27">
        <f t="shared" si="30"/>
        <v>23760</v>
      </c>
      <c r="S304" s="38">
        <v>297</v>
      </c>
      <c r="T304" s="38">
        <f>IFERROR(求节点(节奏总纲!AD$4:AD$363,L$8:L$367,$S304),0)</f>
        <v>28800</v>
      </c>
      <c r="U304" s="38">
        <f>IFERROR(求节点(节奏总纲!AE$4:AE$363,M$8:M$367,$S304),0)</f>
        <v>28800</v>
      </c>
      <c r="V304" s="38">
        <f>IFERROR(求节点(节奏总纲!AF$4:AF$363,N$8:N$367,$S304),0)</f>
        <v>28800</v>
      </c>
      <c r="W304" s="38">
        <f>IFERROR(求节点(节奏总纲!AG$4:AG$363,O$8:O$367,$S304),0)</f>
        <v>28800</v>
      </c>
      <c r="X304" s="38">
        <f>IFERROR(求节点(节奏总纲!AH$4:AH$363,P$8:P$367,$S304),0)</f>
        <v>28800</v>
      </c>
    </row>
    <row r="305" spans="3:24" x14ac:dyDescent="0.15">
      <c r="C305" s="27"/>
      <c r="K305" s="27">
        <v>298</v>
      </c>
      <c r="L305" s="27">
        <f t="shared" si="30"/>
        <v>23840</v>
      </c>
      <c r="M305" s="27">
        <f t="shared" si="30"/>
        <v>23840</v>
      </c>
      <c r="N305" s="27">
        <f t="shared" si="30"/>
        <v>23840</v>
      </c>
      <c r="O305" s="27">
        <f t="shared" si="30"/>
        <v>23840</v>
      </c>
      <c r="P305" s="27">
        <f t="shared" si="30"/>
        <v>23840</v>
      </c>
      <c r="S305" s="38">
        <v>298</v>
      </c>
      <c r="T305" s="38">
        <f>IFERROR(求节点(节奏总纲!AD$4:AD$363,L$8:L$367,$S305),0)</f>
        <v>28800</v>
      </c>
      <c r="U305" s="38">
        <f>IFERROR(求节点(节奏总纲!AE$4:AE$363,M$8:M$367,$S305),0)</f>
        <v>28800</v>
      </c>
      <c r="V305" s="38">
        <f>IFERROR(求节点(节奏总纲!AF$4:AF$363,N$8:N$367,$S305),0)</f>
        <v>28800</v>
      </c>
      <c r="W305" s="38">
        <f>IFERROR(求节点(节奏总纲!AG$4:AG$363,O$8:O$367,$S305),0)</f>
        <v>28800</v>
      </c>
      <c r="X305" s="38">
        <f>IFERROR(求节点(节奏总纲!AH$4:AH$363,P$8:P$367,$S305),0)</f>
        <v>28800</v>
      </c>
    </row>
    <row r="306" spans="3:24" x14ac:dyDescent="0.15">
      <c r="C306" s="27"/>
      <c r="K306" s="27">
        <v>299</v>
      </c>
      <c r="L306" s="27">
        <f t="shared" si="30"/>
        <v>23920</v>
      </c>
      <c r="M306" s="27">
        <f t="shared" si="30"/>
        <v>23920</v>
      </c>
      <c r="N306" s="27">
        <f t="shared" si="30"/>
        <v>23920</v>
      </c>
      <c r="O306" s="27">
        <f t="shared" si="30"/>
        <v>23920</v>
      </c>
      <c r="P306" s="27">
        <f t="shared" si="30"/>
        <v>23920</v>
      </c>
      <c r="S306" s="38">
        <v>299</v>
      </c>
      <c r="T306" s="38">
        <f>IFERROR(求节点(节奏总纲!AD$4:AD$363,L$8:L$367,$S306),0)</f>
        <v>28800</v>
      </c>
      <c r="U306" s="38">
        <f>IFERROR(求节点(节奏总纲!AE$4:AE$363,M$8:M$367,$S306),0)</f>
        <v>28800</v>
      </c>
      <c r="V306" s="38">
        <f>IFERROR(求节点(节奏总纲!AF$4:AF$363,N$8:N$367,$S306),0)</f>
        <v>28800</v>
      </c>
      <c r="W306" s="38">
        <f>IFERROR(求节点(节奏总纲!AG$4:AG$363,O$8:O$367,$S306),0)</f>
        <v>28800</v>
      </c>
      <c r="X306" s="38">
        <f>IFERROR(求节点(节奏总纲!AH$4:AH$363,P$8:P$367,$S306),0)</f>
        <v>28800</v>
      </c>
    </row>
    <row r="307" spans="3:24" x14ac:dyDescent="0.15">
      <c r="C307" s="27"/>
      <c r="K307" s="27">
        <v>300</v>
      </c>
      <c r="L307" s="27">
        <f t="shared" si="30"/>
        <v>24000</v>
      </c>
      <c r="M307" s="27">
        <f t="shared" si="30"/>
        <v>24000</v>
      </c>
      <c r="N307" s="27">
        <f t="shared" si="30"/>
        <v>24000</v>
      </c>
      <c r="O307" s="27">
        <f t="shared" si="30"/>
        <v>24000</v>
      </c>
      <c r="P307" s="27">
        <f t="shared" si="30"/>
        <v>24000</v>
      </c>
      <c r="S307" s="38">
        <v>300</v>
      </c>
      <c r="T307" s="38">
        <f>IFERROR(求节点(节奏总纲!AD$4:AD$363,L$8:L$367,$S307),0)</f>
        <v>28800</v>
      </c>
      <c r="U307" s="38">
        <f>IFERROR(求节点(节奏总纲!AE$4:AE$363,M$8:M$367,$S307),0)</f>
        <v>28800</v>
      </c>
      <c r="V307" s="38">
        <f>IFERROR(求节点(节奏总纲!AF$4:AF$363,N$8:N$367,$S307),0)</f>
        <v>28800</v>
      </c>
      <c r="W307" s="38">
        <f>IFERROR(求节点(节奏总纲!AG$4:AG$363,O$8:O$367,$S307),0)</f>
        <v>28800</v>
      </c>
      <c r="X307" s="38">
        <f>IFERROR(求节点(节奏总纲!AH$4:AH$363,P$8:P$367,$S307),0)</f>
        <v>28800</v>
      </c>
    </row>
    <row r="308" spans="3:24" x14ac:dyDescent="0.15">
      <c r="C308" s="27"/>
      <c r="K308" s="27">
        <v>301</v>
      </c>
      <c r="L308" s="27">
        <f t="shared" ref="L308:P317" si="31">IFERROR(MAX($K308-$D$1,0)*$D$3/30,0)</f>
        <v>24080</v>
      </c>
      <c r="M308" s="27">
        <f t="shared" si="31"/>
        <v>24080</v>
      </c>
      <c r="N308" s="27">
        <f t="shared" si="31"/>
        <v>24080</v>
      </c>
      <c r="O308" s="27">
        <f t="shared" si="31"/>
        <v>24080</v>
      </c>
      <c r="P308" s="27">
        <f t="shared" si="31"/>
        <v>24080</v>
      </c>
      <c r="S308" s="38">
        <v>301</v>
      </c>
      <c r="T308" s="38">
        <f>IFERROR(求节点(节奏总纲!AD$4:AD$363,L$8:L$367,$S308),0)</f>
        <v>28800</v>
      </c>
      <c r="U308" s="38">
        <f>IFERROR(求节点(节奏总纲!AE$4:AE$363,M$8:M$367,$S308),0)</f>
        <v>28800</v>
      </c>
      <c r="V308" s="38">
        <f>IFERROR(求节点(节奏总纲!AF$4:AF$363,N$8:N$367,$S308),0)</f>
        <v>28800</v>
      </c>
      <c r="W308" s="38">
        <f>IFERROR(求节点(节奏总纲!AG$4:AG$363,O$8:O$367,$S308),0)</f>
        <v>28800</v>
      </c>
      <c r="X308" s="38">
        <f>IFERROR(求节点(节奏总纲!AH$4:AH$363,P$8:P$367,$S308),0)</f>
        <v>28800</v>
      </c>
    </row>
    <row r="309" spans="3:24" x14ac:dyDescent="0.15">
      <c r="C309" s="27"/>
      <c r="K309" s="27">
        <v>302</v>
      </c>
      <c r="L309" s="27">
        <f t="shared" si="31"/>
        <v>24160</v>
      </c>
      <c r="M309" s="27">
        <f t="shared" si="31"/>
        <v>24160</v>
      </c>
      <c r="N309" s="27">
        <f t="shared" si="31"/>
        <v>24160</v>
      </c>
      <c r="O309" s="27">
        <f t="shared" si="31"/>
        <v>24160</v>
      </c>
      <c r="P309" s="27">
        <f t="shared" si="31"/>
        <v>24160</v>
      </c>
      <c r="S309" s="38">
        <v>302</v>
      </c>
      <c r="T309" s="38">
        <f>IFERROR(求节点(节奏总纲!AD$4:AD$363,L$8:L$367,$S309),0)</f>
        <v>28800</v>
      </c>
      <c r="U309" s="38">
        <f>IFERROR(求节点(节奏总纲!AE$4:AE$363,M$8:M$367,$S309),0)</f>
        <v>28800</v>
      </c>
      <c r="V309" s="38">
        <f>IFERROR(求节点(节奏总纲!AF$4:AF$363,N$8:N$367,$S309),0)</f>
        <v>28800</v>
      </c>
      <c r="W309" s="38">
        <f>IFERROR(求节点(节奏总纲!AG$4:AG$363,O$8:O$367,$S309),0)</f>
        <v>28800</v>
      </c>
      <c r="X309" s="38">
        <f>IFERROR(求节点(节奏总纲!AH$4:AH$363,P$8:P$367,$S309),0)</f>
        <v>28800</v>
      </c>
    </row>
    <row r="310" spans="3:24" x14ac:dyDescent="0.15">
      <c r="C310" s="27"/>
      <c r="K310" s="27">
        <v>303</v>
      </c>
      <c r="L310" s="27">
        <f t="shared" si="31"/>
        <v>24240</v>
      </c>
      <c r="M310" s="27">
        <f t="shared" si="31"/>
        <v>24240</v>
      </c>
      <c r="N310" s="27">
        <f t="shared" si="31"/>
        <v>24240</v>
      </c>
      <c r="O310" s="27">
        <f t="shared" si="31"/>
        <v>24240</v>
      </c>
      <c r="P310" s="27">
        <f t="shared" si="31"/>
        <v>24240</v>
      </c>
      <c r="S310" s="38">
        <v>303</v>
      </c>
      <c r="T310" s="38">
        <f>IFERROR(求节点(节奏总纲!AD$4:AD$363,L$8:L$367,$S310),0)</f>
        <v>28800</v>
      </c>
      <c r="U310" s="38">
        <f>IFERROR(求节点(节奏总纲!AE$4:AE$363,M$8:M$367,$S310),0)</f>
        <v>28800</v>
      </c>
      <c r="V310" s="38">
        <f>IFERROR(求节点(节奏总纲!AF$4:AF$363,N$8:N$367,$S310),0)</f>
        <v>28800</v>
      </c>
      <c r="W310" s="38">
        <f>IFERROR(求节点(节奏总纲!AG$4:AG$363,O$8:O$367,$S310),0)</f>
        <v>28800</v>
      </c>
      <c r="X310" s="38">
        <f>IFERROR(求节点(节奏总纲!AH$4:AH$363,P$8:P$367,$S310),0)</f>
        <v>28800</v>
      </c>
    </row>
    <row r="311" spans="3:24" x14ac:dyDescent="0.15">
      <c r="C311" s="27"/>
      <c r="K311" s="27">
        <v>304</v>
      </c>
      <c r="L311" s="27">
        <f t="shared" si="31"/>
        <v>24320</v>
      </c>
      <c r="M311" s="27">
        <f t="shared" si="31"/>
        <v>24320</v>
      </c>
      <c r="N311" s="27">
        <f t="shared" si="31"/>
        <v>24320</v>
      </c>
      <c r="O311" s="27">
        <f t="shared" si="31"/>
        <v>24320</v>
      </c>
      <c r="P311" s="27">
        <f t="shared" si="31"/>
        <v>24320</v>
      </c>
      <c r="S311" s="38">
        <v>304</v>
      </c>
      <c r="T311" s="38">
        <f>IFERROR(求节点(节奏总纲!AD$4:AD$363,L$8:L$367,$S311),0)</f>
        <v>28800</v>
      </c>
      <c r="U311" s="38">
        <f>IFERROR(求节点(节奏总纲!AE$4:AE$363,M$8:M$367,$S311),0)</f>
        <v>28800</v>
      </c>
      <c r="V311" s="38">
        <f>IFERROR(求节点(节奏总纲!AF$4:AF$363,N$8:N$367,$S311),0)</f>
        <v>28800</v>
      </c>
      <c r="W311" s="38">
        <f>IFERROR(求节点(节奏总纲!AG$4:AG$363,O$8:O$367,$S311),0)</f>
        <v>28800</v>
      </c>
      <c r="X311" s="38">
        <f>IFERROR(求节点(节奏总纲!AH$4:AH$363,P$8:P$367,$S311),0)</f>
        <v>28800</v>
      </c>
    </row>
    <row r="312" spans="3:24" x14ac:dyDescent="0.15">
      <c r="C312" s="27"/>
      <c r="K312" s="27">
        <v>305</v>
      </c>
      <c r="L312" s="27">
        <f t="shared" si="31"/>
        <v>24400</v>
      </c>
      <c r="M312" s="27">
        <f t="shared" si="31"/>
        <v>24400</v>
      </c>
      <c r="N312" s="27">
        <f t="shared" si="31"/>
        <v>24400</v>
      </c>
      <c r="O312" s="27">
        <f t="shared" si="31"/>
        <v>24400</v>
      </c>
      <c r="P312" s="27">
        <f t="shared" si="31"/>
        <v>24400</v>
      </c>
      <c r="S312" s="38">
        <v>305</v>
      </c>
      <c r="T312" s="38">
        <f>IFERROR(求节点(节奏总纲!AD$4:AD$363,L$8:L$367,$S312),0)</f>
        <v>28800</v>
      </c>
      <c r="U312" s="38">
        <f>IFERROR(求节点(节奏总纲!AE$4:AE$363,M$8:M$367,$S312),0)</f>
        <v>28800</v>
      </c>
      <c r="V312" s="38">
        <f>IFERROR(求节点(节奏总纲!AF$4:AF$363,N$8:N$367,$S312),0)</f>
        <v>28800</v>
      </c>
      <c r="W312" s="38">
        <f>IFERROR(求节点(节奏总纲!AG$4:AG$363,O$8:O$367,$S312),0)</f>
        <v>28800</v>
      </c>
      <c r="X312" s="38">
        <f>IFERROR(求节点(节奏总纲!AH$4:AH$363,P$8:P$367,$S312),0)</f>
        <v>28800</v>
      </c>
    </row>
    <row r="313" spans="3:24" x14ac:dyDescent="0.15">
      <c r="C313" s="27"/>
      <c r="K313" s="27">
        <v>306</v>
      </c>
      <c r="L313" s="27">
        <f t="shared" si="31"/>
        <v>24480</v>
      </c>
      <c r="M313" s="27">
        <f t="shared" si="31"/>
        <v>24480</v>
      </c>
      <c r="N313" s="27">
        <f t="shared" si="31"/>
        <v>24480</v>
      </c>
      <c r="O313" s="27">
        <f t="shared" si="31"/>
        <v>24480</v>
      </c>
      <c r="P313" s="27">
        <f t="shared" si="31"/>
        <v>24480</v>
      </c>
      <c r="S313" s="38">
        <v>306</v>
      </c>
      <c r="T313" s="38">
        <f>IFERROR(求节点(节奏总纲!AD$4:AD$363,L$8:L$367,$S313),0)</f>
        <v>28800</v>
      </c>
      <c r="U313" s="38">
        <f>IFERROR(求节点(节奏总纲!AE$4:AE$363,M$8:M$367,$S313),0)</f>
        <v>28800</v>
      </c>
      <c r="V313" s="38">
        <f>IFERROR(求节点(节奏总纲!AF$4:AF$363,N$8:N$367,$S313),0)</f>
        <v>28800</v>
      </c>
      <c r="W313" s="38">
        <f>IFERROR(求节点(节奏总纲!AG$4:AG$363,O$8:O$367,$S313),0)</f>
        <v>28800</v>
      </c>
      <c r="X313" s="38">
        <f>IFERROR(求节点(节奏总纲!AH$4:AH$363,P$8:P$367,$S313),0)</f>
        <v>28800</v>
      </c>
    </row>
    <row r="314" spans="3:24" x14ac:dyDescent="0.15">
      <c r="C314" s="27"/>
      <c r="K314" s="27">
        <v>307</v>
      </c>
      <c r="L314" s="27">
        <f t="shared" si="31"/>
        <v>24560</v>
      </c>
      <c r="M314" s="27">
        <f t="shared" si="31"/>
        <v>24560</v>
      </c>
      <c r="N314" s="27">
        <f t="shared" si="31"/>
        <v>24560</v>
      </c>
      <c r="O314" s="27">
        <f t="shared" si="31"/>
        <v>24560</v>
      </c>
      <c r="P314" s="27">
        <f t="shared" si="31"/>
        <v>24560</v>
      </c>
      <c r="S314" s="38">
        <v>307</v>
      </c>
      <c r="T314" s="38">
        <f>IFERROR(求节点(节奏总纲!AD$4:AD$363,L$8:L$367,$S314),0)</f>
        <v>28800</v>
      </c>
      <c r="U314" s="38">
        <f>IFERROR(求节点(节奏总纲!AE$4:AE$363,M$8:M$367,$S314),0)</f>
        <v>28800</v>
      </c>
      <c r="V314" s="38">
        <f>IFERROR(求节点(节奏总纲!AF$4:AF$363,N$8:N$367,$S314),0)</f>
        <v>28800</v>
      </c>
      <c r="W314" s="38">
        <f>IFERROR(求节点(节奏总纲!AG$4:AG$363,O$8:O$367,$S314),0)</f>
        <v>28800</v>
      </c>
      <c r="X314" s="38">
        <f>IFERROR(求节点(节奏总纲!AH$4:AH$363,P$8:P$367,$S314),0)</f>
        <v>28800</v>
      </c>
    </row>
    <row r="315" spans="3:24" x14ac:dyDescent="0.15">
      <c r="C315" s="27"/>
      <c r="K315" s="27">
        <v>308</v>
      </c>
      <c r="L315" s="27">
        <f t="shared" si="31"/>
        <v>24640</v>
      </c>
      <c r="M315" s="27">
        <f t="shared" si="31"/>
        <v>24640</v>
      </c>
      <c r="N315" s="27">
        <f t="shared" si="31"/>
        <v>24640</v>
      </c>
      <c r="O315" s="27">
        <f t="shared" si="31"/>
        <v>24640</v>
      </c>
      <c r="P315" s="27">
        <f t="shared" si="31"/>
        <v>24640</v>
      </c>
      <c r="S315" s="38">
        <v>308</v>
      </c>
      <c r="T315" s="38">
        <f>IFERROR(求节点(节奏总纲!AD$4:AD$363,L$8:L$367,$S315),0)</f>
        <v>28800</v>
      </c>
      <c r="U315" s="38">
        <f>IFERROR(求节点(节奏总纲!AE$4:AE$363,M$8:M$367,$S315),0)</f>
        <v>28800</v>
      </c>
      <c r="V315" s="38">
        <f>IFERROR(求节点(节奏总纲!AF$4:AF$363,N$8:N$367,$S315),0)</f>
        <v>28800</v>
      </c>
      <c r="W315" s="38">
        <f>IFERROR(求节点(节奏总纲!AG$4:AG$363,O$8:O$367,$S315),0)</f>
        <v>28800</v>
      </c>
      <c r="X315" s="38">
        <f>IFERROR(求节点(节奏总纲!AH$4:AH$363,P$8:P$367,$S315),0)</f>
        <v>28800</v>
      </c>
    </row>
    <row r="316" spans="3:24" x14ac:dyDescent="0.15">
      <c r="C316" s="27"/>
      <c r="K316" s="27">
        <v>309</v>
      </c>
      <c r="L316" s="27">
        <f t="shared" si="31"/>
        <v>24720</v>
      </c>
      <c r="M316" s="27">
        <f t="shared" si="31"/>
        <v>24720</v>
      </c>
      <c r="N316" s="27">
        <f t="shared" si="31"/>
        <v>24720</v>
      </c>
      <c r="O316" s="27">
        <f t="shared" si="31"/>
        <v>24720</v>
      </c>
      <c r="P316" s="27">
        <f t="shared" si="31"/>
        <v>24720</v>
      </c>
      <c r="S316" s="38">
        <v>309</v>
      </c>
      <c r="T316" s="38">
        <f>IFERROR(求节点(节奏总纲!AD$4:AD$363,L$8:L$367,$S316),0)</f>
        <v>28800</v>
      </c>
      <c r="U316" s="38">
        <f>IFERROR(求节点(节奏总纲!AE$4:AE$363,M$8:M$367,$S316),0)</f>
        <v>28800</v>
      </c>
      <c r="V316" s="38">
        <f>IFERROR(求节点(节奏总纲!AF$4:AF$363,N$8:N$367,$S316),0)</f>
        <v>28800</v>
      </c>
      <c r="W316" s="38">
        <f>IFERROR(求节点(节奏总纲!AG$4:AG$363,O$8:O$367,$S316),0)</f>
        <v>28800</v>
      </c>
      <c r="X316" s="38">
        <f>IFERROR(求节点(节奏总纲!AH$4:AH$363,P$8:P$367,$S316),0)</f>
        <v>28800</v>
      </c>
    </row>
    <row r="317" spans="3:24" x14ac:dyDescent="0.15">
      <c r="C317" s="27"/>
      <c r="K317" s="27">
        <v>310</v>
      </c>
      <c r="L317" s="27">
        <f t="shared" si="31"/>
        <v>24800</v>
      </c>
      <c r="M317" s="27">
        <f t="shared" si="31"/>
        <v>24800</v>
      </c>
      <c r="N317" s="27">
        <f t="shared" si="31"/>
        <v>24800</v>
      </c>
      <c r="O317" s="27">
        <f t="shared" si="31"/>
        <v>24800</v>
      </c>
      <c r="P317" s="27">
        <f t="shared" si="31"/>
        <v>24800</v>
      </c>
      <c r="S317" s="38">
        <v>310</v>
      </c>
      <c r="T317" s="38">
        <f>IFERROR(求节点(节奏总纲!AD$4:AD$363,L$8:L$367,$S317),0)</f>
        <v>28800</v>
      </c>
      <c r="U317" s="38">
        <f>IFERROR(求节点(节奏总纲!AE$4:AE$363,M$8:M$367,$S317),0)</f>
        <v>28800</v>
      </c>
      <c r="V317" s="38">
        <f>IFERROR(求节点(节奏总纲!AF$4:AF$363,N$8:N$367,$S317),0)</f>
        <v>28800</v>
      </c>
      <c r="W317" s="38">
        <f>IFERROR(求节点(节奏总纲!AG$4:AG$363,O$8:O$367,$S317),0)</f>
        <v>28800</v>
      </c>
      <c r="X317" s="38">
        <f>IFERROR(求节点(节奏总纲!AH$4:AH$363,P$8:P$367,$S317),0)</f>
        <v>28800</v>
      </c>
    </row>
    <row r="318" spans="3:24" x14ac:dyDescent="0.15">
      <c r="C318" s="27"/>
      <c r="K318" s="27">
        <v>311</v>
      </c>
      <c r="L318" s="27">
        <f t="shared" ref="L318:P327" si="32">IFERROR(MAX($K318-$D$1,0)*$D$3/30,0)</f>
        <v>24880</v>
      </c>
      <c r="M318" s="27">
        <f t="shared" si="32"/>
        <v>24880</v>
      </c>
      <c r="N318" s="27">
        <f t="shared" si="32"/>
        <v>24880</v>
      </c>
      <c r="O318" s="27">
        <f t="shared" si="32"/>
        <v>24880</v>
      </c>
      <c r="P318" s="27">
        <f t="shared" si="32"/>
        <v>24880</v>
      </c>
      <c r="S318" s="38">
        <v>311</v>
      </c>
      <c r="T318" s="38">
        <f>IFERROR(求节点(节奏总纲!AD$4:AD$363,L$8:L$367,$S318),0)</f>
        <v>28800</v>
      </c>
      <c r="U318" s="38">
        <f>IFERROR(求节点(节奏总纲!AE$4:AE$363,M$8:M$367,$S318),0)</f>
        <v>28800</v>
      </c>
      <c r="V318" s="38">
        <f>IFERROR(求节点(节奏总纲!AF$4:AF$363,N$8:N$367,$S318),0)</f>
        <v>28800</v>
      </c>
      <c r="W318" s="38">
        <f>IFERROR(求节点(节奏总纲!AG$4:AG$363,O$8:O$367,$S318),0)</f>
        <v>28800</v>
      </c>
      <c r="X318" s="38">
        <f>IFERROR(求节点(节奏总纲!AH$4:AH$363,P$8:P$367,$S318),0)</f>
        <v>28800</v>
      </c>
    </row>
    <row r="319" spans="3:24" x14ac:dyDescent="0.15">
      <c r="C319" s="27"/>
      <c r="K319" s="27">
        <v>312</v>
      </c>
      <c r="L319" s="27">
        <f t="shared" si="32"/>
        <v>24960</v>
      </c>
      <c r="M319" s="27">
        <f t="shared" si="32"/>
        <v>24960</v>
      </c>
      <c r="N319" s="27">
        <f t="shared" si="32"/>
        <v>24960</v>
      </c>
      <c r="O319" s="27">
        <f t="shared" si="32"/>
        <v>24960</v>
      </c>
      <c r="P319" s="27">
        <f t="shared" si="32"/>
        <v>24960</v>
      </c>
      <c r="S319" s="38">
        <v>312</v>
      </c>
      <c r="T319" s="38">
        <f>IFERROR(求节点(节奏总纲!AD$4:AD$363,L$8:L$367,$S319),0)</f>
        <v>28800</v>
      </c>
      <c r="U319" s="38">
        <f>IFERROR(求节点(节奏总纲!AE$4:AE$363,M$8:M$367,$S319),0)</f>
        <v>28800</v>
      </c>
      <c r="V319" s="38">
        <f>IFERROR(求节点(节奏总纲!AF$4:AF$363,N$8:N$367,$S319),0)</f>
        <v>28800</v>
      </c>
      <c r="W319" s="38">
        <f>IFERROR(求节点(节奏总纲!AG$4:AG$363,O$8:O$367,$S319),0)</f>
        <v>28800</v>
      </c>
      <c r="X319" s="38">
        <f>IFERROR(求节点(节奏总纲!AH$4:AH$363,P$8:P$367,$S319),0)</f>
        <v>28800</v>
      </c>
    </row>
    <row r="320" spans="3:24" x14ac:dyDescent="0.15">
      <c r="C320" s="27"/>
      <c r="K320" s="27">
        <v>313</v>
      </c>
      <c r="L320" s="27">
        <f t="shared" si="32"/>
        <v>25040</v>
      </c>
      <c r="M320" s="27">
        <f t="shared" si="32"/>
        <v>25040</v>
      </c>
      <c r="N320" s="27">
        <f t="shared" si="32"/>
        <v>25040</v>
      </c>
      <c r="O320" s="27">
        <f t="shared" si="32"/>
        <v>25040</v>
      </c>
      <c r="P320" s="27">
        <f t="shared" si="32"/>
        <v>25040</v>
      </c>
      <c r="S320" s="38">
        <v>313</v>
      </c>
      <c r="T320" s="38">
        <f>IFERROR(求节点(节奏总纲!AD$4:AD$363,L$8:L$367,$S320),0)</f>
        <v>28800</v>
      </c>
      <c r="U320" s="38">
        <f>IFERROR(求节点(节奏总纲!AE$4:AE$363,M$8:M$367,$S320),0)</f>
        <v>28800</v>
      </c>
      <c r="V320" s="38">
        <f>IFERROR(求节点(节奏总纲!AF$4:AF$363,N$8:N$367,$S320),0)</f>
        <v>28800</v>
      </c>
      <c r="W320" s="38">
        <f>IFERROR(求节点(节奏总纲!AG$4:AG$363,O$8:O$367,$S320),0)</f>
        <v>28800</v>
      </c>
      <c r="X320" s="38">
        <f>IFERROR(求节点(节奏总纲!AH$4:AH$363,P$8:P$367,$S320),0)</f>
        <v>28800</v>
      </c>
    </row>
    <row r="321" spans="3:24" x14ac:dyDescent="0.15">
      <c r="C321" s="27"/>
      <c r="K321" s="27">
        <v>314</v>
      </c>
      <c r="L321" s="27">
        <f t="shared" si="32"/>
        <v>25120</v>
      </c>
      <c r="M321" s="27">
        <f t="shared" si="32"/>
        <v>25120</v>
      </c>
      <c r="N321" s="27">
        <f t="shared" si="32"/>
        <v>25120</v>
      </c>
      <c r="O321" s="27">
        <f t="shared" si="32"/>
        <v>25120</v>
      </c>
      <c r="P321" s="27">
        <f t="shared" si="32"/>
        <v>25120</v>
      </c>
      <c r="S321" s="38">
        <v>314</v>
      </c>
      <c r="T321" s="38">
        <f>IFERROR(求节点(节奏总纲!AD$4:AD$363,L$8:L$367,$S321),0)</f>
        <v>28800</v>
      </c>
      <c r="U321" s="38">
        <f>IFERROR(求节点(节奏总纲!AE$4:AE$363,M$8:M$367,$S321),0)</f>
        <v>28800</v>
      </c>
      <c r="V321" s="38">
        <f>IFERROR(求节点(节奏总纲!AF$4:AF$363,N$8:N$367,$S321),0)</f>
        <v>28800</v>
      </c>
      <c r="W321" s="38">
        <f>IFERROR(求节点(节奏总纲!AG$4:AG$363,O$8:O$367,$S321),0)</f>
        <v>28800</v>
      </c>
      <c r="X321" s="38">
        <f>IFERROR(求节点(节奏总纲!AH$4:AH$363,P$8:P$367,$S321),0)</f>
        <v>28800</v>
      </c>
    </row>
    <row r="322" spans="3:24" x14ac:dyDescent="0.15">
      <c r="C322" s="27"/>
      <c r="K322" s="27">
        <v>315</v>
      </c>
      <c r="L322" s="27">
        <f t="shared" si="32"/>
        <v>25200</v>
      </c>
      <c r="M322" s="27">
        <f t="shared" si="32"/>
        <v>25200</v>
      </c>
      <c r="N322" s="27">
        <f t="shared" si="32"/>
        <v>25200</v>
      </c>
      <c r="O322" s="27">
        <f t="shared" si="32"/>
        <v>25200</v>
      </c>
      <c r="P322" s="27">
        <f t="shared" si="32"/>
        <v>25200</v>
      </c>
      <c r="S322" s="38">
        <v>315</v>
      </c>
      <c r="T322" s="38">
        <f>IFERROR(求节点(节奏总纲!AD$4:AD$363,L$8:L$367,$S322),0)</f>
        <v>28800</v>
      </c>
      <c r="U322" s="38">
        <f>IFERROR(求节点(节奏总纲!AE$4:AE$363,M$8:M$367,$S322),0)</f>
        <v>28800</v>
      </c>
      <c r="V322" s="38">
        <f>IFERROR(求节点(节奏总纲!AF$4:AF$363,N$8:N$367,$S322),0)</f>
        <v>28800</v>
      </c>
      <c r="W322" s="38">
        <f>IFERROR(求节点(节奏总纲!AG$4:AG$363,O$8:O$367,$S322),0)</f>
        <v>28800</v>
      </c>
      <c r="X322" s="38">
        <f>IFERROR(求节点(节奏总纲!AH$4:AH$363,P$8:P$367,$S322),0)</f>
        <v>28800</v>
      </c>
    </row>
    <row r="323" spans="3:24" x14ac:dyDescent="0.15">
      <c r="C323" s="27"/>
      <c r="K323" s="27">
        <v>316</v>
      </c>
      <c r="L323" s="27">
        <f t="shared" si="32"/>
        <v>25280</v>
      </c>
      <c r="M323" s="27">
        <f t="shared" si="32"/>
        <v>25280</v>
      </c>
      <c r="N323" s="27">
        <f t="shared" si="32"/>
        <v>25280</v>
      </c>
      <c r="O323" s="27">
        <f t="shared" si="32"/>
        <v>25280</v>
      </c>
      <c r="P323" s="27">
        <f t="shared" si="32"/>
        <v>25280</v>
      </c>
      <c r="S323" s="38">
        <v>316</v>
      </c>
      <c r="T323" s="38">
        <f>IFERROR(求节点(节奏总纲!AD$4:AD$363,L$8:L$367,$S323),0)</f>
        <v>28800</v>
      </c>
      <c r="U323" s="38">
        <f>IFERROR(求节点(节奏总纲!AE$4:AE$363,M$8:M$367,$S323),0)</f>
        <v>28800</v>
      </c>
      <c r="V323" s="38">
        <f>IFERROR(求节点(节奏总纲!AF$4:AF$363,N$8:N$367,$S323),0)</f>
        <v>28800</v>
      </c>
      <c r="W323" s="38">
        <f>IFERROR(求节点(节奏总纲!AG$4:AG$363,O$8:O$367,$S323),0)</f>
        <v>28800</v>
      </c>
      <c r="X323" s="38">
        <f>IFERROR(求节点(节奏总纲!AH$4:AH$363,P$8:P$367,$S323),0)</f>
        <v>28800</v>
      </c>
    </row>
    <row r="324" spans="3:24" x14ac:dyDescent="0.15">
      <c r="C324" s="27"/>
      <c r="K324" s="27">
        <v>317</v>
      </c>
      <c r="L324" s="27">
        <f t="shared" si="32"/>
        <v>25360</v>
      </c>
      <c r="M324" s="27">
        <f t="shared" si="32"/>
        <v>25360</v>
      </c>
      <c r="N324" s="27">
        <f t="shared" si="32"/>
        <v>25360</v>
      </c>
      <c r="O324" s="27">
        <f t="shared" si="32"/>
        <v>25360</v>
      </c>
      <c r="P324" s="27">
        <f t="shared" si="32"/>
        <v>25360</v>
      </c>
      <c r="S324" s="38">
        <v>317</v>
      </c>
      <c r="T324" s="38">
        <f>IFERROR(求节点(节奏总纲!AD$4:AD$363,L$8:L$367,$S324),0)</f>
        <v>28800</v>
      </c>
      <c r="U324" s="38">
        <f>IFERROR(求节点(节奏总纲!AE$4:AE$363,M$8:M$367,$S324),0)</f>
        <v>28800</v>
      </c>
      <c r="V324" s="38">
        <f>IFERROR(求节点(节奏总纲!AF$4:AF$363,N$8:N$367,$S324),0)</f>
        <v>28800</v>
      </c>
      <c r="W324" s="38">
        <f>IFERROR(求节点(节奏总纲!AG$4:AG$363,O$8:O$367,$S324),0)</f>
        <v>28800</v>
      </c>
      <c r="X324" s="38">
        <f>IFERROR(求节点(节奏总纲!AH$4:AH$363,P$8:P$367,$S324),0)</f>
        <v>28800</v>
      </c>
    </row>
    <row r="325" spans="3:24" x14ac:dyDescent="0.15">
      <c r="C325" s="27"/>
      <c r="K325" s="27">
        <v>318</v>
      </c>
      <c r="L325" s="27">
        <f t="shared" si="32"/>
        <v>25440</v>
      </c>
      <c r="M325" s="27">
        <f t="shared" si="32"/>
        <v>25440</v>
      </c>
      <c r="N325" s="27">
        <f t="shared" si="32"/>
        <v>25440</v>
      </c>
      <c r="O325" s="27">
        <f t="shared" si="32"/>
        <v>25440</v>
      </c>
      <c r="P325" s="27">
        <f t="shared" si="32"/>
        <v>25440</v>
      </c>
      <c r="S325" s="38">
        <v>318</v>
      </c>
      <c r="T325" s="38">
        <f>IFERROR(求节点(节奏总纲!AD$4:AD$363,L$8:L$367,$S325),0)</f>
        <v>28800</v>
      </c>
      <c r="U325" s="38">
        <f>IFERROR(求节点(节奏总纲!AE$4:AE$363,M$8:M$367,$S325),0)</f>
        <v>28800</v>
      </c>
      <c r="V325" s="38">
        <f>IFERROR(求节点(节奏总纲!AF$4:AF$363,N$8:N$367,$S325),0)</f>
        <v>28800</v>
      </c>
      <c r="W325" s="38">
        <f>IFERROR(求节点(节奏总纲!AG$4:AG$363,O$8:O$367,$S325),0)</f>
        <v>28800</v>
      </c>
      <c r="X325" s="38">
        <f>IFERROR(求节点(节奏总纲!AH$4:AH$363,P$8:P$367,$S325),0)</f>
        <v>28800</v>
      </c>
    </row>
    <row r="326" spans="3:24" x14ac:dyDescent="0.15">
      <c r="C326" s="27"/>
      <c r="K326" s="27">
        <v>319</v>
      </c>
      <c r="L326" s="27">
        <f t="shared" si="32"/>
        <v>25520</v>
      </c>
      <c r="M326" s="27">
        <f t="shared" si="32"/>
        <v>25520</v>
      </c>
      <c r="N326" s="27">
        <f t="shared" si="32"/>
        <v>25520</v>
      </c>
      <c r="O326" s="27">
        <f t="shared" si="32"/>
        <v>25520</v>
      </c>
      <c r="P326" s="27">
        <f t="shared" si="32"/>
        <v>25520</v>
      </c>
      <c r="S326" s="38">
        <v>319</v>
      </c>
      <c r="T326" s="38">
        <f>IFERROR(求节点(节奏总纲!AD$4:AD$363,L$8:L$367,$S326),0)</f>
        <v>28800</v>
      </c>
      <c r="U326" s="38">
        <f>IFERROR(求节点(节奏总纲!AE$4:AE$363,M$8:M$367,$S326),0)</f>
        <v>28800</v>
      </c>
      <c r="V326" s="38">
        <f>IFERROR(求节点(节奏总纲!AF$4:AF$363,N$8:N$367,$S326),0)</f>
        <v>28800</v>
      </c>
      <c r="W326" s="38">
        <f>IFERROR(求节点(节奏总纲!AG$4:AG$363,O$8:O$367,$S326),0)</f>
        <v>28800</v>
      </c>
      <c r="X326" s="38">
        <f>IFERROR(求节点(节奏总纲!AH$4:AH$363,P$8:P$367,$S326),0)</f>
        <v>28800</v>
      </c>
    </row>
    <row r="327" spans="3:24" x14ac:dyDescent="0.15">
      <c r="C327" s="27"/>
      <c r="K327" s="27">
        <v>320</v>
      </c>
      <c r="L327" s="27">
        <f t="shared" si="32"/>
        <v>25600</v>
      </c>
      <c r="M327" s="27">
        <f t="shared" si="32"/>
        <v>25600</v>
      </c>
      <c r="N327" s="27">
        <f t="shared" si="32"/>
        <v>25600</v>
      </c>
      <c r="O327" s="27">
        <f t="shared" si="32"/>
        <v>25600</v>
      </c>
      <c r="P327" s="27">
        <f t="shared" si="32"/>
        <v>25600</v>
      </c>
      <c r="S327" s="38">
        <v>320</v>
      </c>
      <c r="T327" s="38">
        <f>IFERROR(求节点(节奏总纲!AD$4:AD$363,L$8:L$367,$S327),0)</f>
        <v>28800</v>
      </c>
      <c r="U327" s="38">
        <f>IFERROR(求节点(节奏总纲!AE$4:AE$363,M$8:M$367,$S327),0)</f>
        <v>28800</v>
      </c>
      <c r="V327" s="38">
        <f>IFERROR(求节点(节奏总纲!AF$4:AF$363,N$8:N$367,$S327),0)</f>
        <v>28800</v>
      </c>
      <c r="W327" s="38">
        <f>IFERROR(求节点(节奏总纲!AG$4:AG$363,O$8:O$367,$S327),0)</f>
        <v>28800</v>
      </c>
      <c r="X327" s="38">
        <f>IFERROR(求节点(节奏总纲!AH$4:AH$363,P$8:P$367,$S327),0)</f>
        <v>28800</v>
      </c>
    </row>
    <row r="328" spans="3:24" x14ac:dyDescent="0.15">
      <c r="C328" s="27"/>
      <c r="K328" s="27">
        <v>321</v>
      </c>
      <c r="L328" s="27">
        <f t="shared" ref="L328:P337" si="33">IFERROR(MAX($K328-$D$1,0)*$D$3/30,0)</f>
        <v>25680</v>
      </c>
      <c r="M328" s="27">
        <f t="shared" si="33"/>
        <v>25680</v>
      </c>
      <c r="N328" s="27">
        <f t="shared" si="33"/>
        <v>25680</v>
      </c>
      <c r="O328" s="27">
        <f t="shared" si="33"/>
        <v>25680</v>
      </c>
      <c r="P328" s="27">
        <f t="shared" si="33"/>
        <v>25680</v>
      </c>
      <c r="S328" s="38">
        <v>321</v>
      </c>
      <c r="T328" s="38">
        <f>IFERROR(求节点(节奏总纲!AD$4:AD$363,L$8:L$367,$S328),0)</f>
        <v>28800</v>
      </c>
      <c r="U328" s="38">
        <f>IFERROR(求节点(节奏总纲!AE$4:AE$363,M$8:M$367,$S328),0)</f>
        <v>28800</v>
      </c>
      <c r="V328" s="38">
        <f>IFERROR(求节点(节奏总纲!AF$4:AF$363,N$8:N$367,$S328),0)</f>
        <v>28800</v>
      </c>
      <c r="W328" s="38">
        <f>IFERROR(求节点(节奏总纲!AG$4:AG$363,O$8:O$367,$S328),0)</f>
        <v>28800</v>
      </c>
      <c r="X328" s="38">
        <f>IFERROR(求节点(节奏总纲!AH$4:AH$363,P$8:P$367,$S328),0)</f>
        <v>28800</v>
      </c>
    </row>
    <row r="329" spans="3:24" x14ac:dyDescent="0.15">
      <c r="C329" s="27"/>
      <c r="K329" s="27">
        <v>322</v>
      </c>
      <c r="L329" s="27">
        <f t="shared" si="33"/>
        <v>25760</v>
      </c>
      <c r="M329" s="27">
        <f t="shared" si="33"/>
        <v>25760</v>
      </c>
      <c r="N329" s="27">
        <f t="shared" si="33"/>
        <v>25760</v>
      </c>
      <c r="O329" s="27">
        <f t="shared" si="33"/>
        <v>25760</v>
      </c>
      <c r="P329" s="27">
        <f t="shared" si="33"/>
        <v>25760</v>
      </c>
      <c r="S329" s="38">
        <v>322</v>
      </c>
      <c r="T329" s="38">
        <f>IFERROR(求节点(节奏总纲!AD$4:AD$363,L$8:L$367,$S329),0)</f>
        <v>28800</v>
      </c>
      <c r="U329" s="38">
        <f>IFERROR(求节点(节奏总纲!AE$4:AE$363,M$8:M$367,$S329),0)</f>
        <v>28800</v>
      </c>
      <c r="V329" s="38">
        <f>IFERROR(求节点(节奏总纲!AF$4:AF$363,N$8:N$367,$S329),0)</f>
        <v>28800</v>
      </c>
      <c r="W329" s="38">
        <f>IFERROR(求节点(节奏总纲!AG$4:AG$363,O$8:O$367,$S329),0)</f>
        <v>28800</v>
      </c>
      <c r="X329" s="38">
        <f>IFERROR(求节点(节奏总纲!AH$4:AH$363,P$8:P$367,$S329),0)</f>
        <v>28800</v>
      </c>
    </row>
    <row r="330" spans="3:24" x14ac:dyDescent="0.15">
      <c r="C330" s="27"/>
      <c r="K330" s="27">
        <v>323</v>
      </c>
      <c r="L330" s="27">
        <f t="shared" si="33"/>
        <v>25840</v>
      </c>
      <c r="M330" s="27">
        <f t="shared" si="33"/>
        <v>25840</v>
      </c>
      <c r="N330" s="27">
        <f t="shared" si="33"/>
        <v>25840</v>
      </c>
      <c r="O330" s="27">
        <f t="shared" si="33"/>
        <v>25840</v>
      </c>
      <c r="P330" s="27">
        <f t="shared" si="33"/>
        <v>25840</v>
      </c>
      <c r="S330" s="38">
        <v>323</v>
      </c>
      <c r="T330" s="38">
        <f>IFERROR(求节点(节奏总纲!AD$4:AD$363,L$8:L$367,$S330),0)</f>
        <v>28800</v>
      </c>
      <c r="U330" s="38">
        <f>IFERROR(求节点(节奏总纲!AE$4:AE$363,M$8:M$367,$S330),0)</f>
        <v>28800</v>
      </c>
      <c r="V330" s="38">
        <f>IFERROR(求节点(节奏总纲!AF$4:AF$363,N$8:N$367,$S330),0)</f>
        <v>28800</v>
      </c>
      <c r="W330" s="38">
        <f>IFERROR(求节点(节奏总纲!AG$4:AG$363,O$8:O$367,$S330),0)</f>
        <v>28800</v>
      </c>
      <c r="X330" s="38">
        <f>IFERROR(求节点(节奏总纲!AH$4:AH$363,P$8:P$367,$S330),0)</f>
        <v>28800</v>
      </c>
    </row>
    <row r="331" spans="3:24" x14ac:dyDescent="0.15">
      <c r="C331" s="27"/>
      <c r="K331" s="27">
        <v>324</v>
      </c>
      <c r="L331" s="27">
        <f t="shared" si="33"/>
        <v>25920</v>
      </c>
      <c r="M331" s="27">
        <f t="shared" si="33"/>
        <v>25920</v>
      </c>
      <c r="N331" s="27">
        <f t="shared" si="33"/>
        <v>25920</v>
      </c>
      <c r="O331" s="27">
        <f t="shared" si="33"/>
        <v>25920</v>
      </c>
      <c r="P331" s="27">
        <f t="shared" si="33"/>
        <v>25920</v>
      </c>
      <c r="S331" s="38">
        <v>324</v>
      </c>
      <c r="T331" s="38">
        <f>IFERROR(求节点(节奏总纲!AD$4:AD$363,L$8:L$367,$S331),0)</f>
        <v>28800</v>
      </c>
      <c r="U331" s="38">
        <f>IFERROR(求节点(节奏总纲!AE$4:AE$363,M$8:M$367,$S331),0)</f>
        <v>28800</v>
      </c>
      <c r="V331" s="38">
        <f>IFERROR(求节点(节奏总纲!AF$4:AF$363,N$8:N$367,$S331),0)</f>
        <v>28800</v>
      </c>
      <c r="W331" s="38">
        <f>IFERROR(求节点(节奏总纲!AG$4:AG$363,O$8:O$367,$S331),0)</f>
        <v>28800</v>
      </c>
      <c r="X331" s="38">
        <f>IFERROR(求节点(节奏总纲!AH$4:AH$363,P$8:P$367,$S331),0)</f>
        <v>28800</v>
      </c>
    </row>
    <row r="332" spans="3:24" x14ac:dyDescent="0.15">
      <c r="C332" s="27"/>
      <c r="K332" s="27">
        <v>325</v>
      </c>
      <c r="L332" s="27">
        <f t="shared" si="33"/>
        <v>26000</v>
      </c>
      <c r="M332" s="27">
        <f t="shared" si="33"/>
        <v>26000</v>
      </c>
      <c r="N332" s="27">
        <f t="shared" si="33"/>
        <v>26000</v>
      </c>
      <c r="O332" s="27">
        <f t="shared" si="33"/>
        <v>26000</v>
      </c>
      <c r="P332" s="27">
        <f t="shared" si="33"/>
        <v>26000</v>
      </c>
      <c r="S332" s="38">
        <v>325</v>
      </c>
      <c r="T332" s="38">
        <f>IFERROR(求节点(节奏总纲!AD$4:AD$363,L$8:L$367,$S332),0)</f>
        <v>28800</v>
      </c>
      <c r="U332" s="38">
        <f>IFERROR(求节点(节奏总纲!AE$4:AE$363,M$8:M$367,$S332),0)</f>
        <v>28800</v>
      </c>
      <c r="V332" s="38">
        <f>IFERROR(求节点(节奏总纲!AF$4:AF$363,N$8:N$367,$S332),0)</f>
        <v>28800</v>
      </c>
      <c r="W332" s="38">
        <f>IFERROR(求节点(节奏总纲!AG$4:AG$363,O$8:O$367,$S332),0)</f>
        <v>28800</v>
      </c>
      <c r="X332" s="38">
        <f>IFERROR(求节点(节奏总纲!AH$4:AH$363,P$8:P$367,$S332),0)</f>
        <v>28800</v>
      </c>
    </row>
    <row r="333" spans="3:24" x14ac:dyDescent="0.15">
      <c r="C333" s="27"/>
      <c r="K333" s="27">
        <v>326</v>
      </c>
      <c r="L333" s="27">
        <f t="shared" si="33"/>
        <v>26080</v>
      </c>
      <c r="M333" s="27">
        <f t="shared" si="33"/>
        <v>26080</v>
      </c>
      <c r="N333" s="27">
        <f t="shared" si="33"/>
        <v>26080</v>
      </c>
      <c r="O333" s="27">
        <f t="shared" si="33"/>
        <v>26080</v>
      </c>
      <c r="P333" s="27">
        <f t="shared" si="33"/>
        <v>26080</v>
      </c>
      <c r="S333" s="38">
        <v>326</v>
      </c>
      <c r="T333" s="38">
        <f>IFERROR(求节点(节奏总纲!AD$4:AD$363,L$8:L$367,$S333),0)</f>
        <v>28800</v>
      </c>
      <c r="U333" s="38">
        <f>IFERROR(求节点(节奏总纲!AE$4:AE$363,M$8:M$367,$S333),0)</f>
        <v>28800</v>
      </c>
      <c r="V333" s="38">
        <f>IFERROR(求节点(节奏总纲!AF$4:AF$363,N$8:N$367,$S333),0)</f>
        <v>28800</v>
      </c>
      <c r="W333" s="38">
        <f>IFERROR(求节点(节奏总纲!AG$4:AG$363,O$8:O$367,$S333),0)</f>
        <v>28800</v>
      </c>
      <c r="X333" s="38">
        <f>IFERROR(求节点(节奏总纲!AH$4:AH$363,P$8:P$367,$S333),0)</f>
        <v>28800</v>
      </c>
    </row>
    <row r="334" spans="3:24" x14ac:dyDescent="0.15">
      <c r="C334" s="27"/>
      <c r="K334" s="27">
        <v>327</v>
      </c>
      <c r="L334" s="27">
        <f t="shared" si="33"/>
        <v>26160</v>
      </c>
      <c r="M334" s="27">
        <f t="shared" si="33"/>
        <v>26160</v>
      </c>
      <c r="N334" s="27">
        <f t="shared" si="33"/>
        <v>26160</v>
      </c>
      <c r="O334" s="27">
        <f t="shared" si="33"/>
        <v>26160</v>
      </c>
      <c r="P334" s="27">
        <f t="shared" si="33"/>
        <v>26160</v>
      </c>
      <c r="S334" s="38">
        <v>327</v>
      </c>
      <c r="T334" s="38">
        <f>IFERROR(求节点(节奏总纲!AD$4:AD$363,L$8:L$367,$S334),0)</f>
        <v>28800</v>
      </c>
      <c r="U334" s="38">
        <f>IFERROR(求节点(节奏总纲!AE$4:AE$363,M$8:M$367,$S334),0)</f>
        <v>28800</v>
      </c>
      <c r="V334" s="38">
        <f>IFERROR(求节点(节奏总纲!AF$4:AF$363,N$8:N$367,$S334),0)</f>
        <v>28800</v>
      </c>
      <c r="W334" s="38">
        <f>IFERROR(求节点(节奏总纲!AG$4:AG$363,O$8:O$367,$S334),0)</f>
        <v>28800</v>
      </c>
      <c r="X334" s="38">
        <f>IFERROR(求节点(节奏总纲!AH$4:AH$363,P$8:P$367,$S334),0)</f>
        <v>28800</v>
      </c>
    </row>
    <row r="335" spans="3:24" x14ac:dyDescent="0.15">
      <c r="C335" s="27"/>
      <c r="K335" s="27">
        <v>328</v>
      </c>
      <c r="L335" s="27">
        <f t="shared" si="33"/>
        <v>26240</v>
      </c>
      <c r="M335" s="27">
        <f t="shared" si="33"/>
        <v>26240</v>
      </c>
      <c r="N335" s="27">
        <f t="shared" si="33"/>
        <v>26240</v>
      </c>
      <c r="O335" s="27">
        <f t="shared" si="33"/>
        <v>26240</v>
      </c>
      <c r="P335" s="27">
        <f t="shared" si="33"/>
        <v>26240</v>
      </c>
      <c r="S335" s="38">
        <v>328</v>
      </c>
      <c r="T335" s="38">
        <f>IFERROR(求节点(节奏总纲!AD$4:AD$363,L$8:L$367,$S335),0)</f>
        <v>28800</v>
      </c>
      <c r="U335" s="38">
        <f>IFERROR(求节点(节奏总纲!AE$4:AE$363,M$8:M$367,$S335),0)</f>
        <v>28800</v>
      </c>
      <c r="V335" s="38">
        <f>IFERROR(求节点(节奏总纲!AF$4:AF$363,N$8:N$367,$S335),0)</f>
        <v>28800</v>
      </c>
      <c r="W335" s="38">
        <f>IFERROR(求节点(节奏总纲!AG$4:AG$363,O$8:O$367,$S335),0)</f>
        <v>28800</v>
      </c>
      <c r="X335" s="38">
        <f>IFERROR(求节点(节奏总纲!AH$4:AH$363,P$8:P$367,$S335),0)</f>
        <v>28800</v>
      </c>
    </row>
    <row r="336" spans="3:24" x14ac:dyDescent="0.15">
      <c r="C336" s="27"/>
      <c r="K336" s="27">
        <v>329</v>
      </c>
      <c r="L336" s="27">
        <f t="shared" si="33"/>
        <v>26320</v>
      </c>
      <c r="M336" s="27">
        <f t="shared" si="33"/>
        <v>26320</v>
      </c>
      <c r="N336" s="27">
        <f t="shared" si="33"/>
        <v>26320</v>
      </c>
      <c r="O336" s="27">
        <f t="shared" si="33"/>
        <v>26320</v>
      </c>
      <c r="P336" s="27">
        <f t="shared" si="33"/>
        <v>26320</v>
      </c>
      <c r="S336" s="38">
        <v>329</v>
      </c>
      <c r="T336" s="38">
        <f>IFERROR(求节点(节奏总纲!AD$4:AD$363,L$8:L$367,$S336),0)</f>
        <v>28800</v>
      </c>
      <c r="U336" s="38">
        <f>IFERROR(求节点(节奏总纲!AE$4:AE$363,M$8:M$367,$S336),0)</f>
        <v>28800</v>
      </c>
      <c r="V336" s="38">
        <f>IFERROR(求节点(节奏总纲!AF$4:AF$363,N$8:N$367,$S336),0)</f>
        <v>28800</v>
      </c>
      <c r="W336" s="38">
        <f>IFERROR(求节点(节奏总纲!AG$4:AG$363,O$8:O$367,$S336),0)</f>
        <v>28800</v>
      </c>
      <c r="X336" s="38">
        <f>IFERROR(求节点(节奏总纲!AH$4:AH$363,P$8:P$367,$S336),0)</f>
        <v>28800</v>
      </c>
    </row>
    <row r="337" spans="3:16" x14ac:dyDescent="0.15">
      <c r="C337" s="27"/>
      <c r="K337" s="27">
        <v>330</v>
      </c>
      <c r="L337" s="27">
        <f t="shared" si="33"/>
        <v>26400</v>
      </c>
      <c r="M337" s="27">
        <f t="shared" si="33"/>
        <v>26400</v>
      </c>
      <c r="N337" s="27">
        <f t="shared" si="33"/>
        <v>26400</v>
      </c>
      <c r="O337" s="27">
        <f t="shared" si="33"/>
        <v>26400</v>
      </c>
      <c r="P337" s="27">
        <f t="shared" si="33"/>
        <v>26400</v>
      </c>
    </row>
    <row r="338" spans="3:16" x14ac:dyDescent="0.15">
      <c r="C338" s="27"/>
      <c r="K338" s="27">
        <v>331</v>
      </c>
      <c r="L338" s="27">
        <f t="shared" ref="L338:P347" si="34">IFERROR(MAX($K338-$D$1,0)*$D$3/30,0)</f>
        <v>26480</v>
      </c>
      <c r="M338" s="27">
        <f t="shared" si="34"/>
        <v>26480</v>
      </c>
      <c r="N338" s="27">
        <f t="shared" si="34"/>
        <v>26480</v>
      </c>
      <c r="O338" s="27">
        <f t="shared" si="34"/>
        <v>26480</v>
      </c>
      <c r="P338" s="27">
        <f t="shared" si="34"/>
        <v>26480</v>
      </c>
    </row>
    <row r="339" spans="3:16" x14ac:dyDescent="0.15">
      <c r="C339" s="27"/>
      <c r="K339" s="27">
        <v>332</v>
      </c>
      <c r="L339" s="27">
        <f t="shared" si="34"/>
        <v>26560</v>
      </c>
      <c r="M339" s="27">
        <f t="shared" si="34"/>
        <v>26560</v>
      </c>
      <c r="N339" s="27">
        <f t="shared" si="34"/>
        <v>26560</v>
      </c>
      <c r="O339" s="27">
        <f t="shared" si="34"/>
        <v>26560</v>
      </c>
      <c r="P339" s="27">
        <f t="shared" si="34"/>
        <v>26560</v>
      </c>
    </row>
    <row r="340" spans="3:16" x14ac:dyDescent="0.15">
      <c r="C340" s="27"/>
      <c r="K340" s="27">
        <v>333</v>
      </c>
      <c r="L340" s="27">
        <f t="shared" si="34"/>
        <v>26640</v>
      </c>
      <c r="M340" s="27">
        <f t="shared" si="34"/>
        <v>26640</v>
      </c>
      <c r="N340" s="27">
        <f t="shared" si="34"/>
        <v>26640</v>
      </c>
      <c r="O340" s="27">
        <f t="shared" si="34"/>
        <v>26640</v>
      </c>
      <c r="P340" s="27">
        <f t="shared" si="34"/>
        <v>26640</v>
      </c>
    </row>
    <row r="341" spans="3:16" x14ac:dyDescent="0.15">
      <c r="C341" s="27"/>
      <c r="K341" s="27">
        <v>334</v>
      </c>
      <c r="L341" s="27">
        <f t="shared" si="34"/>
        <v>26720</v>
      </c>
      <c r="M341" s="27">
        <f t="shared" si="34"/>
        <v>26720</v>
      </c>
      <c r="N341" s="27">
        <f t="shared" si="34"/>
        <v>26720</v>
      </c>
      <c r="O341" s="27">
        <f t="shared" si="34"/>
        <v>26720</v>
      </c>
      <c r="P341" s="27">
        <f t="shared" si="34"/>
        <v>26720</v>
      </c>
    </row>
    <row r="342" spans="3:16" x14ac:dyDescent="0.15">
      <c r="C342" s="27"/>
      <c r="K342" s="27">
        <v>335</v>
      </c>
      <c r="L342" s="27">
        <f t="shared" si="34"/>
        <v>26800</v>
      </c>
      <c r="M342" s="27">
        <f t="shared" si="34"/>
        <v>26800</v>
      </c>
      <c r="N342" s="27">
        <f t="shared" si="34"/>
        <v>26800</v>
      </c>
      <c r="O342" s="27">
        <f t="shared" si="34"/>
        <v>26800</v>
      </c>
      <c r="P342" s="27">
        <f t="shared" si="34"/>
        <v>26800</v>
      </c>
    </row>
    <row r="343" spans="3:16" x14ac:dyDescent="0.15">
      <c r="C343" s="27"/>
      <c r="K343" s="27">
        <v>336</v>
      </c>
      <c r="L343" s="27">
        <f t="shared" si="34"/>
        <v>26880</v>
      </c>
      <c r="M343" s="27">
        <f t="shared" si="34"/>
        <v>26880</v>
      </c>
      <c r="N343" s="27">
        <f t="shared" si="34"/>
        <v>26880</v>
      </c>
      <c r="O343" s="27">
        <f t="shared" si="34"/>
        <v>26880</v>
      </c>
      <c r="P343" s="27">
        <f t="shared" si="34"/>
        <v>26880</v>
      </c>
    </row>
    <row r="344" spans="3:16" x14ac:dyDescent="0.15">
      <c r="C344" s="27"/>
      <c r="K344" s="27">
        <v>337</v>
      </c>
      <c r="L344" s="27">
        <f t="shared" si="34"/>
        <v>26960</v>
      </c>
      <c r="M344" s="27">
        <f t="shared" si="34"/>
        <v>26960</v>
      </c>
      <c r="N344" s="27">
        <f t="shared" si="34"/>
        <v>26960</v>
      </c>
      <c r="O344" s="27">
        <f t="shared" si="34"/>
        <v>26960</v>
      </c>
      <c r="P344" s="27">
        <f t="shared" si="34"/>
        <v>26960</v>
      </c>
    </row>
    <row r="345" spans="3:16" x14ac:dyDescent="0.15">
      <c r="C345" s="27"/>
      <c r="K345" s="27">
        <v>338</v>
      </c>
      <c r="L345" s="27">
        <f t="shared" si="34"/>
        <v>27040</v>
      </c>
      <c r="M345" s="27">
        <f t="shared" si="34"/>
        <v>27040</v>
      </c>
      <c r="N345" s="27">
        <f t="shared" si="34"/>
        <v>27040</v>
      </c>
      <c r="O345" s="27">
        <f t="shared" si="34"/>
        <v>27040</v>
      </c>
      <c r="P345" s="27">
        <f t="shared" si="34"/>
        <v>27040</v>
      </c>
    </row>
    <row r="346" spans="3:16" x14ac:dyDescent="0.15">
      <c r="C346" s="27"/>
      <c r="K346" s="27">
        <v>339</v>
      </c>
      <c r="L346" s="27">
        <f t="shared" si="34"/>
        <v>27120</v>
      </c>
      <c r="M346" s="27">
        <f t="shared" si="34"/>
        <v>27120</v>
      </c>
      <c r="N346" s="27">
        <f t="shared" si="34"/>
        <v>27120</v>
      </c>
      <c r="O346" s="27">
        <f t="shared" si="34"/>
        <v>27120</v>
      </c>
      <c r="P346" s="27">
        <f t="shared" si="34"/>
        <v>27120</v>
      </c>
    </row>
    <row r="347" spans="3:16" x14ac:dyDescent="0.15">
      <c r="C347" s="27"/>
      <c r="K347" s="27">
        <v>340</v>
      </c>
      <c r="L347" s="27">
        <f t="shared" si="34"/>
        <v>27200</v>
      </c>
      <c r="M347" s="27">
        <f t="shared" si="34"/>
        <v>27200</v>
      </c>
      <c r="N347" s="27">
        <f t="shared" si="34"/>
        <v>27200</v>
      </c>
      <c r="O347" s="27">
        <f t="shared" si="34"/>
        <v>27200</v>
      </c>
      <c r="P347" s="27">
        <f t="shared" si="34"/>
        <v>27200</v>
      </c>
    </row>
    <row r="348" spans="3:16" x14ac:dyDescent="0.15">
      <c r="C348" s="27"/>
      <c r="K348" s="27">
        <v>341</v>
      </c>
      <c r="L348" s="27">
        <f t="shared" ref="L348:P357" si="35">IFERROR(MAX($K348-$D$1,0)*$D$3/30,0)</f>
        <v>27280</v>
      </c>
      <c r="M348" s="27">
        <f t="shared" si="35"/>
        <v>27280</v>
      </c>
      <c r="N348" s="27">
        <f t="shared" si="35"/>
        <v>27280</v>
      </c>
      <c r="O348" s="27">
        <f t="shared" si="35"/>
        <v>27280</v>
      </c>
      <c r="P348" s="27">
        <f t="shared" si="35"/>
        <v>27280</v>
      </c>
    </row>
    <row r="349" spans="3:16" x14ac:dyDescent="0.15">
      <c r="C349" s="27"/>
      <c r="K349" s="27">
        <v>342</v>
      </c>
      <c r="L349" s="27">
        <f t="shared" si="35"/>
        <v>27360</v>
      </c>
      <c r="M349" s="27">
        <f t="shared" si="35"/>
        <v>27360</v>
      </c>
      <c r="N349" s="27">
        <f t="shared" si="35"/>
        <v>27360</v>
      </c>
      <c r="O349" s="27">
        <f t="shared" si="35"/>
        <v>27360</v>
      </c>
      <c r="P349" s="27">
        <f t="shared" si="35"/>
        <v>27360</v>
      </c>
    </row>
    <row r="350" spans="3:16" x14ac:dyDescent="0.15">
      <c r="C350" s="27"/>
      <c r="K350" s="27">
        <v>343</v>
      </c>
      <c r="L350" s="27">
        <f t="shared" si="35"/>
        <v>27440</v>
      </c>
      <c r="M350" s="27">
        <f t="shared" si="35"/>
        <v>27440</v>
      </c>
      <c r="N350" s="27">
        <f t="shared" si="35"/>
        <v>27440</v>
      </c>
      <c r="O350" s="27">
        <f t="shared" si="35"/>
        <v>27440</v>
      </c>
      <c r="P350" s="27">
        <f t="shared" si="35"/>
        <v>27440</v>
      </c>
    </row>
    <row r="351" spans="3:16" x14ac:dyDescent="0.15">
      <c r="C351" s="27"/>
      <c r="K351" s="27">
        <v>344</v>
      </c>
      <c r="L351" s="27">
        <f t="shared" si="35"/>
        <v>27520</v>
      </c>
      <c r="M351" s="27">
        <f t="shared" si="35"/>
        <v>27520</v>
      </c>
      <c r="N351" s="27">
        <f t="shared" si="35"/>
        <v>27520</v>
      </c>
      <c r="O351" s="27">
        <f t="shared" si="35"/>
        <v>27520</v>
      </c>
      <c r="P351" s="27">
        <f t="shared" si="35"/>
        <v>27520</v>
      </c>
    </row>
    <row r="352" spans="3:16" x14ac:dyDescent="0.15">
      <c r="C352" s="27"/>
      <c r="K352" s="27">
        <v>345</v>
      </c>
      <c r="L352" s="27">
        <f t="shared" si="35"/>
        <v>27600</v>
      </c>
      <c r="M352" s="27">
        <f t="shared" si="35"/>
        <v>27600</v>
      </c>
      <c r="N352" s="27">
        <f t="shared" si="35"/>
        <v>27600</v>
      </c>
      <c r="O352" s="27">
        <f t="shared" si="35"/>
        <v>27600</v>
      </c>
      <c r="P352" s="27">
        <f t="shared" si="35"/>
        <v>27600</v>
      </c>
    </row>
    <row r="353" spans="3:16" x14ac:dyDescent="0.15">
      <c r="C353" s="27"/>
      <c r="K353" s="27">
        <v>346</v>
      </c>
      <c r="L353" s="27">
        <f t="shared" si="35"/>
        <v>27680</v>
      </c>
      <c r="M353" s="27">
        <f t="shared" si="35"/>
        <v>27680</v>
      </c>
      <c r="N353" s="27">
        <f t="shared" si="35"/>
        <v>27680</v>
      </c>
      <c r="O353" s="27">
        <f t="shared" si="35"/>
        <v>27680</v>
      </c>
      <c r="P353" s="27">
        <f t="shared" si="35"/>
        <v>27680</v>
      </c>
    </row>
    <row r="354" spans="3:16" x14ac:dyDescent="0.15">
      <c r="C354" s="27"/>
      <c r="K354" s="27">
        <v>347</v>
      </c>
      <c r="L354" s="27">
        <f t="shared" si="35"/>
        <v>27760</v>
      </c>
      <c r="M354" s="27">
        <f t="shared" si="35"/>
        <v>27760</v>
      </c>
      <c r="N354" s="27">
        <f t="shared" si="35"/>
        <v>27760</v>
      </c>
      <c r="O354" s="27">
        <f t="shared" si="35"/>
        <v>27760</v>
      </c>
      <c r="P354" s="27">
        <f t="shared" si="35"/>
        <v>27760</v>
      </c>
    </row>
    <row r="355" spans="3:16" x14ac:dyDescent="0.15">
      <c r="C355" s="27"/>
      <c r="K355" s="27">
        <v>348</v>
      </c>
      <c r="L355" s="27">
        <f t="shared" si="35"/>
        <v>27840</v>
      </c>
      <c r="M355" s="27">
        <f t="shared" si="35"/>
        <v>27840</v>
      </c>
      <c r="N355" s="27">
        <f t="shared" si="35"/>
        <v>27840</v>
      </c>
      <c r="O355" s="27">
        <f t="shared" si="35"/>
        <v>27840</v>
      </c>
      <c r="P355" s="27">
        <f t="shared" si="35"/>
        <v>27840</v>
      </c>
    </row>
    <row r="356" spans="3:16" x14ac:dyDescent="0.15">
      <c r="C356" s="27"/>
      <c r="K356" s="27">
        <v>349</v>
      </c>
      <c r="L356" s="27">
        <f t="shared" si="35"/>
        <v>27920</v>
      </c>
      <c r="M356" s="27">
        <f t="shared" si="35"/>
        <v>27920</v>
      </c>
      <c r="N356" s="27">
        <f t="shared" si="35"/>
        <v>27920</v>
      </c>
      <c r="O356" s="27">
        <f t="shared" si="35"/>
        <v>27920</v>
      </c>
      <c r="P356" s="27">
        <f t="shared" si="35"/>
        <v>27920</v>
      </c>
    </row>
    <row r="357" spans="3:16" x14ac:dyDescent="0.15">
      <c r="C357" s="27"/>
      <c r="K357" s="27">
        <v>350</v>
      </c>
      <c r="L357" s="27">
        <f t="shared" si="35"/>
        <v>28000</v>
      </c>
      <c r="M357" s="27">
        <f t="shared" si="35"/>
        <v>28000</v>
      </c>
      <c r="N357" s="27">
        <f t="shared" si="35"/>
        <v>28000</v>
      </c>
      <c r="O357" s="27">
        <f t="shared" si="35"/>
        <v>28000</v>
      </c>
      <c r="P357" s="27">
        <f t="shared" si="35"/>
        <v>28000</v>
      </c>
    </row>
    <row r="358" spans="3:16" x14ac:dyDescent="0.15">
      <c r="C358" s="27"/>
      <c r="K358" s="27">
        <v>351</v>
      </c>
      <c r="L358" s="27">
        <f t="shared" ref="L358:P367" si="36">IFERROR(MAX($K358-$D$1,0)*$D$3/30,0)</f>
        <v>28080</v>
      </c>
      <c r="M358" s="27">
        <f t="shared" si="36"/>
        <v>28080</v>
      </c>
      <c r="N358" s="27">
        <f t="shared" si="36"/>
        <v>28080</v>
      </c>
      <c r="O358" s="27">
        <f t="shared" si="36"/>
        <v>28080</v>
      </c>
      <c r="P358" s="27">
        <f t="shared" si="36"/>
        <v>28080</v>
      </c>
    </row>
    <row r="359" spans="3:16" x14ac:dyDescent="0.15">
      <c r="C359" s="27"/>
      <c r="K359" s="27">
        <v>352</v>
      </c>
      <c r="L359" s="27">
        <f t="shared" si="36"/>
        <v>28160</v>
      </c>
      <c r="M359" s="27">
        <f t="shared" si="36"/>
        <v>28160</v>
      </c>
      <c r="N359" s="27">
        <f t="shared" si="36"/>
        <v>28160</v>
      </c>
      <c r="O359" s="27">
        <f t="shared" si="36"/>
        <v>28160</v>
      </c>
      <c r="P359" s="27">
        <f t="shared" si="36"/>
        <v>28160</v>
      </c>
    </row>
    <row r="360" spans="3:16" x14ac:dyDescent="0.15">
      <c r="C360" s="27"/>
      <c r="K360" s="27">
        <v>353</v>
      </c>
      <c r="L360" s="27">
        <f t="shared" si="36"/>
        <v>28240</v>
      </c>
      <c r="M360" s="27">
        <f t="shared" si="36"/>
        <v>28240</v>
      </c>
      <c r="N360" s="27">
        <f t="shared" si="36"/>
        <v>28240</v>
      </c>
      <c r="O360" s="27">
        <f t="shared" si="36"/>
        <v>28240</v>
      </c>
      <c r="P360" s="27">
        <f t="shared" si="36"/>
        <v>28240</v>
      </c>
    </row>
    <row r="361" spans="3:16" x14ac:dyDescent="0.15">
      <c r="C361" s="27"/>
      <c r="K361" s="27">
        <v>354</v>
      </c>
      <c r="L361" s="27">
        <f t="shared" si="36"/>
        <v>28320</v>
      </c>
      <c r="M361" s="27">
        <f t="shared" si="36"/>
        <v>28320</v>
      </c>
      <c r="N361" s="27">
        <f t="shared" si="36"/>
        <v>28320</v>
      </c>
      <c r="O361" s="27">
        <f t="shared" si="36"/>
        <v>28320</v>
      </c>
      <c r="P361" s="27">
        <f t="shared" si="36"/>
        <v>28320</v>
      </c>
    </row>
    <row r="362" spans="3:16" x14ac:dyDescent="0.15">
      <c r="C362" s="27"/>
      <c r="K362" s="27">
        <v>355</v>
      </c>
      <c r="L362" s="27">
        <f t="shared" si="36"/>
        <v>28400</v>
      </c>
      <c r="M362" s="27">
        <f t="shared" si="36"/>
        <v>28400</v>
      </c>
      <c r="N362" s="27">
        <f t="shared" si="36"/>
        <v>28400</v>
      </c>
      <c r="O362" s="27">
        <f t="shared" si="36"/>
        <v>28400</v>
      </c>
      <c r="P362" s="27">
        <f t="shared" si="36"/>
        <v>28400</v>
      </c>
    </row>
    <row r="363" spans="3:16" x14ac:dyDescent="0.15">
      <c r="C363" s="27"/>
      <c r="K363" s="27">
        <v>356</v>
      </c>
      <c r="L363" s="27">
        <f t="shared" si="36"/>
        <v>28480</v>
      </c>
      <c r="M363" s="27">
        <f t="shared" si="36"/>
        <v>28480</v>
      </c>
      <c r="N363" s="27">
        <f t="shared" si="36"/>
        <v>28480</v>
      </c>
      <c r="O363" s="27">
        <f t="shared" si="36"/>
        <v>28480</v>
      </c>
      <c r="P363" s="27">
        <f t="shared" si="36"/>
        <v>28480</v>
      </c>
    </row>
    <row r="364" spans="3:16" x14ac:dyDescent="0.15">
      <c r="C364" s="27"/>
      <c r="K364" s="27">
        <v>357</v>
      </c>
      <c r="L364" s="27">
        <f t="shared" si="36"/>
        <v>28560</v>
      </c>
      <c r="M364" s="27">
        <f t="shared" si="36"/>
        <v>28560</v>
      </c>
      <c r="N364" s="27">
        <f t="shared" si="36"/>
        <v>28560</v>
      </c>
      <c r="O364" s="27">
        <f t="shared" si="36"/>
        <v>28560</v>
      </c>
      <c r="P364" s="27">
        <f t="shared" si="36"/>
        <v>28560</v>
      </c>
    </row>
    <row r="365" spans="3:16" x14ac:dyDescent="0.15">
      <c r="C365" s="27"/>
      <c r="K365" s="27">
        <v>358</v>
      </c>
      <c r="L365" s="27">
        <f t="shared" si="36"/>
        <v>28640</v>
      </c>
      <c r="M365" s="27">
        <f t="shared" si="36"/>
        <v>28640</v>
      </c>
      <c r="N365" s="27">
        <f t="shared" si="36"/>
        <v>28640</v>
      </c>
      <c r="O365" s="27">
        <f t="shared" si="36"/>
        <v>28640</v>
      </c>
      <c r="P365" s="27">
        <f t="shared" si="36"/>
        <v>28640</v>
      </c>
    </row>
    <row r="366" spans="3:16" x14ac:dyDescent="0.15">
      <c r="C366" s="27"/>
      <c r="K366" s="27">
        <v>359</v>
      </c>
      <c r="L366" s="27">
        <f t="shared" si="36"/>
        <v>28720</v>
      </c>
      <c r="M366" s="27">
        <f t="shared" si="36"/>
        <v>28720</v>
      </c>
      <c r="N366" s="27">
        <f t="shared" si="36"/>
        <v>28720</v>
      </c>
      <c r="O366" s="27">
        <f t="shared" si="36"/>
        <v>28720</v>
      </c>
      <c r="P366" s="27">
        <f t="shared" si="36"/>
        <v>28720</v>
      </c>
    </row>
    <row r="367" spans="3:16" x14ac:dyDescent="0.15">
      <c r="C367" s="27"/>
      <c r="K367" s="27">
        <v>360</v>
      </c>
      <c r="L367" s="27">
        <f t="shared" si="36"/>
        <v>28800</v>
      </c>
      <c r="M367" s="27">
        <f t="shared" si="36"/>
        <v>28800</v>
      </c>
      <c r="N367" s="27">
        <f t="shared" si="36"/>
        <v>28800</v>
      </c>
      <c r="O367" s="27">
        <f t="shared" si="36"/>
        <v>28800</v>
      </c>
      <c r="P367" s="27">
        <f t="shared" si="36"/>
        <v>28800</v>
      </c>
    </row>
    <row r="368" spans="3:16" x14ac:dyDescent="0.15">
      <c r="C368" s="27"/>
    </row>
    <row r="369" spans="3:3" x14ac:dyDescent="0.15">
      <c r="C369" s="27"/>
    </row>
    <row r="370" spans="3:3" x14ac:dyDescent="0.15">
      <c r="C370" s="27"/>
    </row>
    <row r="371" spans="3:3" x14ac:dyDescent="0.15">
      <c r="C371" s="27"/>
    </row>
    <row r="372" spans="3:3" x14ac:dyDescent="0.15">
      <c r="C372" s="2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E40CD-56DD-497E-B353-C58961F66E65}">
  <sheetPr codeName="Sheet10"/>
  <dimension ref="C2:L338"/>
  <sheetViews>
    <sheetView tabSelected="1" topLeftCell="A234" workbookViewId="0">
      <selection activeCell="N253" sqref="N253"/>
    </sheetView>
  </sheetViews>
  <sheetFormatPr defaultRowHeight="13.5" x14ac:dyDescent="0.15"/>
  <cols>
    <col min="3" max="3" width="9" style="14"/>
    <col min="4" max="4" width="15.5" style="14" bestFit="1" customWidth="1"/>
    <col min="5" max="5" width="15.5" style="14" customWidth="1"/>
    <col min="6" max="6" width="7.5" style="14" bestFit="1" customWidth="1"/>
    <col min="7" max="7" width="9" style="14" bestFit="1"/>
    <col min="8" max="8" width="7.5" style="14" customWidth="1"/>
    <col min="9" max="9" width="7.375" style="14" customWidth="1"/>
    <col min="10" max="10" width="8.125" style="14" customWidth="1"/>
    <col min="11" max="11" width="8.875" style="14" customWidth="1"/>
    <col min="12" max="12" width="62.125" style="14" bestFit="1" customWidth="1"/>
  </cols>
  <sheetData>
    <row r="2" spans="3:12" x14ac:dyDescent="0.15">
      <c r="F2" s="14" t="s">
        <v>87</v>
      </c>
      <c r="G2" s="14" t="s">
        <v>88</v>
      </c>
      <c r="H2" s="14" t="s">
        <v>89</v>
      </c>
      <c r="I2" s="14" t="s">
        <v>87</v>
      </c>
      <c r="J2" s="14" t="s">
        <v>88</v>
      </c>
      <c r="K2" s="14" t="s">
        <v>89</v>
      </c>
    </row>
    <row r="3" spans="3:12" x14ac:dyDescent="0.15">
      <c r="C3" s="14" t="s">
        <v>90</v>
      </c>
      <c r="D3" s="14" t="s">
        <v>91</v>
      </c>
      <c r="E3" s="14" t="s">
        <v>92</v>
      </c>
      <c r="F3" s="14" t="s">
        <v>93</v>
      </c>
      <c r="G3" s="14" t="s">
        <v>93</v>
      </c>
      <c r="H3" s="14" t="s">
        <v>93</v>
      </c>
      <c r="I3" s="14" t="s">
        <v>94</v>
      </c>
      <c r="J3" s="14" t="s">
        <v>94</v>
      </c>
      <c r="K3" s="14" t="s">
        <v>94</v>
      </c>
      <c r="L3" s="14" t="s">
        <v>95</v>
      </c>
    </row>
    <row r="4" spans="3:12" x14ac:dyDescent="0.15">
      <c r="C4" s="15" t="str">
        <f>IF([2]道具信息!C4="","",[2]道具信息!C4)</f>
        <v/>
      </c>
      <c r="D4" s="15" t="str">
        <f>IF([2]道具信息!D4="","",[2]道具信息!D4)</f>
        <v>橙色指定武将</v>
      </c>
      <c r="E4" s="15">
        <f>IF([2]道具信息!E4="","",[2]道具信息!E4)</f>
        <v>4800</v>
      </c>
      <c r="F4" s="15">
        <f>IF([2]道具信息!F4="","",[2]道具信息!F4)</f>
        <v>1</v>
      </c>
      <c r="G4" s="15">
        <f>IF([2]道具信息!G4="","",[2]道具信息!G4)</f>
        <v>1</v>
      </c>
      <c r="H4" s="15">
        <f>IF([2]道具信息!H4="","",[2]道具信息!H4)</f>
        <v>1</v>
      </c>
      <c r="I4" s="15">
        <f>IF([2]道具信息!I4="","",[2]道具信息!I4)</f>
        <v>4800</v>
      </c>
      <c r="J4" s="15">
        <f>IF([2]道具信息!J4="","",[2]道具信息!J4)</f>
        <v>4800</v>
      </c>
      <c r="K4" s="15">
        <f>IF([2]道具信息!K4="","",[2]道具信息!K4)</f>
        <v>4800</v>
      </c>
      <c r="L4" s="15" t="str">
        <f>IF([2]道具信息!L4="","",[2]道具信息!L4)</f>
        <v>120武将</v>
      </c>
    </row>
    <row r="5" spans="3:12" x14ac:dyDescent="0.15">
      <c r="C5" s="15" t="str">
        <f>IF([2]道具信息!C5="","",[2]道具信息!C5)</f>
        <v/>
      </c>
      <c r="D5" s="15" t="str">
        <f>IF([2]道具信息!D5="","",[2]道具信息!D5)</f>
        <v>紫色指定武将</v>
      </c>
      <c r="E5" s="15">
        <f>IF([2]道具信息!E5="","",[2]道具信息!E5)</f>
        <v>540</v>
      </c>
      <c r="F5" s="15">
        <f>IF([2]道具信息!F5="","",[2]道具信息!F5)</f>
        <v>1</v>
      </c>
      <c r="G5" s="15">
        <f>IF([2]道具信息!G5="","",[2]道具信息!G5)</f>
        <v>1</v>
      </c>
      <c r="H5" s="15">
        <f>IF([2]道具信息!H5="","",[2]道具信息!H5)</f>
        <v>1</v>
      </c>
      <c r="I5" s="15">
        <f>IF([2]道具信息!I5="","",[2]道具信息!I5)</f>
        <v>540</v>
      </c>
      <c r="J5" s="15">
        <f>IF([2]道具信息!J5="","",[2]道具信息!J5)</f>
        <v>540</v>
      </c>
      <c r="K5" s="15">
        <f>IF([2]道具信息!K5="","",[2]道具信息!K5)</f>
        <v>540</v>
      </c>
      <c r="L5" s="15" t="str">
        <f>IF([2]道具信息!L5="","",[2]道具信息!L5)</f>
        <v>110武将</v>
      </c>
    </row>
    <row r="6" spans="3:12" x14ac:dyDescent="0.15">
      <c r="C6" s="15" t="str">
        <f>IF([2]道具信息!C6="","",[2]道具信息!C6)</f>
        <v/>
      </c>
      <c r="D6" s="15" t="str">
        <f>IF([2]道具信息!D6="","",[2]道具信息!D6)</f>
        <v>125指定武将</v>
      </c>
      <c r="E6" s="15">
        <f>IF([2]道具信息!E6="","",[2]道具信息!E6)</f>
        <v>10800</v>
      </c>
      <c r="F6" s="15">
        <f>IF([2]道具信息!F6="","",[2]道具信息!F6)</f>
        <v>1</v>
      </c>
      <c r="G6" s="15">
        <f>IF([2]道具信息!G6="","",[2]道具信息!G6)</f>
        <v>1</v>
      </c>
      <c r="H6" s="15">
        <f>IF([2]道具信息!H6="","",[2]道具信息!H6)</f>
        <v>1</v>
      </c>
      <c r="I6" s="15">
        <f>IF([2]道具信息!I6="","",[2]道具信息!I6)</f>
        <v>10800</v>
      </c>
      <c r="J6" s="15">
        <f>IF([2]道具信息!J6="","",[2]道具信息!J6)</f>
        <v>10800</v>
      </c>
      <c r="K6" s="15">
        <f>IF([2]道具信息!K6="","",[2]道具信息!K6)</f>
        <v>10800</v>
      </c>
      <c r="L6" s="15" t="str">
        <f>IF([2]道具信息!L6="","",[2]道具信息!L6)</f>
        <v>125武将</v>
      </c>
    </row>
    <row r="7" spans="3:12" x14ac:dyDescent="0.15">
      <c r="C7" s="15" t="str">
        <f>IF([2]道具信息!C7="","",[2]道具信息!C7)</f>
        <v/>
      </c>
      <c r="D7" s="15" t="str">
        <f>IF([2]道具信息!D7="","",[2]道具信息!D7)</f>
        <v>橙+指定武将</v>
      </c>
      <c r="E7" s="15">
        <f>IF([2]道具信息!E7="","",[2]道具信息!E7)</f>
        <v>14400</v>
      </c>
      <c r="F7" s="15">
        <f>IF([2]道具信息!F7="","",[2]道具信息!F7)</f>
        <v>1</v>
      </c>
      <c r="G7" s="15">
        <f>IF([2]道具信息!G7="","",[2]道具信息!G7)</f>
        <v>1</v>
      </c>
      <c r="H7" s="15">
        <f>IF([2]道具信息!H7="","",[2]道具信息!H7)</f>
        <v>1</v>
      </c>
      <c r="I7" s="15">
        <f>IF([2]道具信息!I7="","",[2]道具信息!I7)</f>
        <v>14400</v>
      </c>
      <c r="J7" s="15">
        <f>IF([2]道具信息!J7="","",[2]道具信息!J7)</f>
        <v>14400</v>
      </c>
      <c r="K7" s="15">
        <f>IF([2]道具信息!K7="","",[2]道具信息!K7)</f>
        <v>14400</v>
      </c>
      <c r="L7" s="15" t="str">
        <f>IF([2]道具信息!L7="","",[2]道具信息!L7)</f>
        <v>130武将</v>
      </c>
    </row>
    <row r="8" spans="3:12" x14ac:dyDescent="0.15">
      <c r="C8" s="15" t="str">
        <f>IF([2]道具信息!C8="","",[2]道具信息!C8)</f>
        <v/>
      </c>
      <c r="D8" s="15" t="str">
        <f>IF([2]道具信息!D8="","",[2]道具信息!D8)</f>
        <v>125指定武将碎片</v>
      </c>
      <c r="E8" s="15">
        <f>IF([2]道具信息!E8="","",[2]道具信息!E8)</f>
        <v>360</v>
      </c>
      <c r="F8" s="15">
        <f>IF([2]道具信息!F8="","",[2]道具信息!F8)</f>
        <v>1</v>
      </c>
      <c r="G8" s="15">
        <f>IF([2]道具信息!G8="","",[2]道具信息!G8)</f>
        <v>1</v>
      </c>
      <c r="H8" s="15">
        <f>IF([2]道具信息!H8="","",[2]道具信息!H8)</f>
        <v>1</v>
      </c>
      <c r="I8" s="15">
        <f>IF([2]道具信息!I8="","",[2]道具信息!I8)</f>
        <v>360</v>
      </c>
      <c r="J8" s="15">
        <f>IF([2]道具信息!J8="","",[2]道具信息!J8)</f>
        <v>360</v>
      </c>
      <c r="K8" s="15">
        <f>IF([2]道具信息!K8="","",[2]道具信息!K8)</f>
        <v>360</v>
      </c>
      <c r="L8" s="15" t="str">
        <f>IF([2]道具信息!L8="","",[2]道具信息!L8)</f>
        <v>125武将碎片</v>
      </c>
    </row>
    <row r="9" spans="3:12" x14ac:dyDescent="0.15">
      <c r="C9" s="15" t="str">
        <f>IF([2]道具信息!C9="","",[2]道具信息!C9)</f>
        <v/>
      </c>
      <c r="D9" s="15" t="str">
        <f>IF([2]道具信息!D9="","",[2]道具信息!D9)</f>
        <v>橙+指定武将碎片</v>
      </c>
      <c r="E9" s="15">
        <f>IF([2]道具信息!E9="","",[2]道具信息!E9)</f>
        <v>480</v>
      </c>
      <c r="F9" s="15">
        <f>IF([2]道具信息!F9="","",[2]道具信息!F9)</f>
        <v>1</v>
      </c>
      <c r="G9" s="15">
        <f>IF([2]道具信息!G9="","",[2]道具信息!G9)</f>
        <v>1</v>
      </c>
      <c r="H9" s="15">
        <f>IF([2]道具信息!H9="","",[2]道具信息!H9)</f>
        <v>1</v>
      </c>
      <c r="I9" s="15">
        <f>IF([2]道具信息!I9="","",[2]道具信息!I9)</f>
        <v>480</v>
      </c>
      <c r="J9" s="15">
        <f>IF([2]道具信息!J9="","",[2]道具信息!J9)</f>
        <v>480</v>
      </c>
      <c r="K9" s="15">
        <f>IF([2]道具信息!K9="","",[2]道具信息!K9)</f>
        <v>480</v>
      </c>
      <c r="L9" s="15" t="str">
        <f>IF([2]道具信息!L9="","",[2]道具信息!L9)</f>
        <v>130武将碎片</v>
      </c>
    </row>
    <row r="10" spans="3:12" x14ac:dyDescent="0.15">
      <c r="C10" s="15" t="str">
        <f>IF([2]道具信息!C10="","",[2]道具信息!C10)</f>
        <v/>
      </c>
      <c r="D10" s="15" t="str">
        <f>IF([2]道具信息!D10="","",[2]道具信息!D10)</f>
        <v>黄金</v>
      </c>
      <c r="E10" s="15">
        <f>IF([2]道具信息!E10="","",[2]道具信息!E10)</f>
        <v>1</v>
      </c>
      <c r="F10" s="15">
        <f>IF([2]道具信息!F10="","",[2]道具信息!F10)</f>
        <v>1</v>
      </c>
      <c r="G10" s="15">
        <f>IF([2]道具信息!G10="","",[2]道具信息!G10)</f>
        <v>1</v>
      </c>
      <c r="H10" s="15">
        <f>IF([2]道具信息!H10="","",[2]道具信息!H10)</f>
        <v>1</v>
      </c>
      <c r="I10" s="15">
        <f>IF([2]道具信息!I10="","",[2]道具信息!I10)</f>
        <v>1</v>
      </c>
      <c r="J10" s="15">
        <f>IF([2]道具信息!J10="","",[2]道具信息!J10)</f>
        <v>1</v>
      </c>
      <c r="K10" s="15">
        <f>IF([2]道具信息!K10="","",[2]道具信息!K10)</f>
        <v>1</v>
      </c>
      <c r="L10" s="15" t="str">
        <f>IF([2]道具信息!L10="","",[2]道具信息!L10)</f>
        <v/>
      </c>
    </row>
    <row r="11" spans="3:12" x14ac:dyDescent="0.15">
      <c r="C11" s="15" t="str">
        <f>IF([2]道具信息!C11="","",[2]道具信息!C11)</f>
        <v/>
      </c>
      <c r="D11" s="15" t="str">
        <f>IF([2]道具信息!D11="","",[2]道具信息!D11)</f>
        <v>粮食</v>
      </c>
      <c r="E11" s="15">
        <f>IF([2]道具信息!E11="","",[2]道具信息!E11)</f>
        <v>1.610753151682973E-4</v>
      </c>
      <c r="F11" s="15">
        <f>IF([2]道具信息!F11="","",[2]道具信息!F11)</f>
        <v>1</v>
      </c>
      <c r="G11" s="15">
        <f>IF([2]道具信息!G11="","",[2]道具信息!G11)</f>
        <v>1</v>
      </c>
      <c r="H11" s="15">
        <f>IF([2]道具信息!H11="","",[2]道具信息!H11)</f>
        <v>1</v>
      </c>
      <c r="I11" s="15">
        <f>IF([2]道具信息!I11="","",[2]道具信息!I11)</f>
        <v>1.610753151682973E-4</v>
      </c>
      <c r="J11" s="15">
        <f>IF([2]道具信息!J11="","",[2]道具信息!J11)</f>
        <v>1.610753151682973E-4</v>
      </c>
      <c r="K11" s="15">
        <f>IF([2]道具信息!K11="","",[2]道具信息!K11)</f>
        <v>1.610753151682973E-4</v>
      </c>
      <c r="L11" s="15" t="str">
        <f>IF([2]道具信息!L11="","",[2]道具信息!L11)</f>
        <v/>
      </c>
    </row>
    <row r="12" spans="3:12" x14ac:dyDescent="0.15">
      <c r="C12" s="15" t="str">
        <f>IF([2]道具信息!C12="","",[2]道具信息!C12)</f>
        <v/>
      </c>
      <c r="D12" s="15" t="str">
        <f>IF([2]道具信息!D12="","",[2]道具信息!D12)</f>
        <v>木材</v>
      </c>
      <c r="E12" s="15">
        <f>IF([2]道具信息!E12="","",[2]道具信息!E12)</f>
        <v>1.610753151682973E-4</v>
      </c>
      <c r="F12" s="15">
        <f>IF([2]道具信息!F12="","",[2]道具信息!F12)</f>
        <v>1</v>
      </c>
      <c r="G12" s="15">
        <f>IF([2]道具信息!G12="","",[2]道具信息!G12)</f>
        <v>1</v>
      </c>
      <c r="H12" s="15">
        <f>IF([2]道具信息!H12="","",[2]道具信息!H12)</f>
        <v>1</v>
      </c>
      <c r="I12" s="15">
        <f>IF([2]道具信息!I12="","",[2]道具信息!I12)</f>
        <v>1.610753151682973E-4</v>
      </c>
      <c r="J12" s="15">
        <f>IF([2]道具信息!J12="","",[2]道具信息!J12)</f>
        <v>1.610753151682973E-4</v>
      </c>
      <c r="K12" s="15">
        <f>IF([2]道具信息!K12="","",[2]道具信息!K12)</f>
        <v>1.610753151682973E-4</v>
      </c>
      <c r="L12" s="15" t="str">
        <f>IF([2]道具信息!L12="","",[2]道具信息!L12)</f>
        <v/>
      </c>
    </row>
    <row r="13" spans="3:12" x14ac:dyDescent="0.15">
      <c r="C13" s="15" t="str">
        <f>IF([2]道具信息!C13="","",[2]道具信息!C13)</f>
        <v/>
      </c>
      <c r="D13" s="15" t="str">
        <f>IF([2]道具信息!D13="","",[2]道具信息!D13)</f>
        <v>石料</v>
      </c>
      <c r="E13" s="15">
        <f>IF([2]道具信息!E13="","",[2]道具信息!E13)</f>
        <v>1.610753151682973E-4</v>
      </c>
      <c r="F13" s="15">
        <f>IF([2]道具信息!F13="","",[2]道具信息!F13)</f>
        <v>1</v>
      </c>
      <c r="G13" s="15">
        <f>IF([2]道具信息!G13="","",[2]道具信息!G13)</f>
        <v>1</v>
      </c>
      <c r="H13" s="15">
        <f>IF([2]道具信息!H13="","",[2]道具信息!H13)</f>
        <v>1</v>
      </c>
      <c r="I13" s="15">
        <f>IF([2]道具信息!I13="","",[2]道具信息!I13)</f>
        <v>1.610753151682973E-4</v>
      </c>
      <c r="J13" s="15">
        <f>IF([2]道具信息!J13="","",[2]道具信息!J13)</f>
        <v>1.610753151682973E-4</v>
      </c>
      <c r="K13" s="15">
        <f>IF([2]道具信息!K13="","",[2]道具信息!K13)</f>
        <v>1.610753151682973E-4</v>
      </c>
      <c r="L13" s="15" t="str">
        <f>IF([2]道具信息!L13="","",[2]道具信息!L13)</f>
        <v/>
      </c>
    </row>
    <row r="14" spans="3:12" x14ac:dyDescent="0.15">
      <c r="C14" s="15" t="str">
        <f>IF([2]道具信息!C14="","",[2]道具信息!C14)</f>
        <v/>
      </c>
      <c r="D14" s="15" t="str">
        <f>IF([2]道具信息!D14="","",[2]道具信息!D14)</f>
        <v>铜矿</v>
      </c>
      <c r="E14" s="15">
        <f>IF([2]道具信息!E14="","",[2]道具信息!E14)</f>
        <v>1.610753151682973E-4</v>
      </c>
      <c r="F14" s="15">
        <f>IF([2]道具信息!F14="","",[2]道具信息!F14)</f>
        <v>1</v>
      </c>
      <c r="G14" s="15">
        <f>IF([2]道具信息!G14="","",[2]道具信息!G14)</f>
        <v>1</v>
      </c>
      <c r="H14" s="15">
        <f>IF([2]道具信息!H14="","",[2]道具信息!H14)</f>
        <v>1</v>
      </c>
      <c r="I14" s="15">
        <f>IF([2]道具信息!I14="","",[2]道具信息!I14)</f>
        <v>1.610753151682973E-4</v>
      </c>
      <c r="J14" s="15">
        <f>IF([2]道具信息!J14="","",[2]道具信息!J14)</f>
        <v>1.610753151682973E-4</v>
      </c>
      <c r="K14" s="15">
        <f>IF([2]道具信息!K14="","",[2]道具信息!K14)</f>
        <v>1.610753151682973E-4</v>
      </c>
      <c r="L14" s="15" t="str">
        <f>IF([2]道具信息!L14="","",[2]道具信息!L14)</f>
        <v/>
      </c>
    </row>
    <row r="15" spans="3:12" x14ac:dyDescent="0.15">
      <c r="C15" s="15" t="str">
        <f>IF([2]道具信息!C15="","",[2]道具信息!C15)</f>
        <v/>
      </c>
      <c r="D15" s="15" t="str">
        <f>IF([2]道具信息!D15="","",[2]道具信息!D15)</f>
        <v>铁矿</v>
      </c>
      <c r="E15" s="15">
        <f>IF([2]道具信息!E15="","",[2]道具信息!E15)</f>
        <v>3.5406023189030802E-4</v>
      </c>
      <c r="F15" s="15">
        <f>IF([2]道具信息!F15="","",[2]道具信息!F15)</f>
        <v>1</v>
      </c>
      <c r="G15" s="15">
        <f>IF([2]道具信息!G15="","",[2]道具信息!G15)</f>
        <v>1</v>
      </c>
      <c r="H15" s="15">
        <f>IF([2]道具信息!H15="","",[2]道具信息!H15)</f>
        <v>1</v>
      </c>
      <c r="I15" s="15">
        <f>IF([2]道具信息!I15="","",[2]道具信息!I15)</f>
        <v>3.5406023189030802E-4</v>
      </c>
      <c r="J15" s="15">
        <f>IF([2]道具信息!J15="","",[2]道具信息!J15)</f>
        <v>3.5406023189030802E-4</v>
      </c>
      <c r="K15" s="15">
        <f>IF([2]道具信息!K15="","",[2]道具信息!K15)</f>
        <v>3.5406023189030802E-4</v>
      </c>
      <c r="L15" s="15" t="str">
        <f>IF([2]道具信息!L15="","",[2]道具信息!L15)</f>
        <v/>
      </c>
    </row>
    <row r="16" spans="3:12" x14ac:dyDescent="0.15">
      <c r="C16" s="15" t="str">
        <f>IF([2]道具信息!C16="","",[2]道具信息!C16)</f>
        <v/>
      </c>
      <c r="D16" s="15" t="str">
        <f>IF([2]道具信息!D16="","",[2]道具信息!D16)</f>
        <v>刀币</v>
      </c>
      <c r="E16" s="15">
        <f>IF([2]道具信息!E16="","",[2]道具信息!E16)</f>
        <v>1.5625000000000001E-3</v>
      </c>
      <c r="F16" s="15">
        <f>IF([2]道具信息!F16="","",[2]道具信息!F16)</f>
        <v>1</v>
      </c>
      <c r="G16" s="15">
        <f>IF([2]道具信息!G16="","",[2]道具信息!G16)</f>
        <v>1</v>
      </c>
      <c r="H16" s="15">
        <f>IF([2]道具信息!H16="","",[2]道具信息!H16)</f>
        <v>1</v>
      </c>
      <c r="I16" s="15">
        <f>IF([2]道具信息!I16="","",[2]道具信息!I16)</f>
        <v>1.5625000000000001E-3</v>
      </c>
      <c r="J16" s="15">
        <f>IF([2]道具信息!J16="","",[2]道具信息!J16)</f>
        <v>1.5625000000000001E-3</v>
      </c>
      <c r="K16" s="15">
        <f>IF([2]道具信息!K16="","",[2]道具信息!K16)</f>
        <v>1.5625000000000001E-3</v>
      </c>
      <c r="L16" s="15" t="str">
        <f>IF([2]道具信息!L16="","",[2]道具信息!L16)</f>
        <v/>
      </c>
    </row>
    <row r="17" spans="3:12" x14ac:dyDescent="0.15">
      <c r="C17" s="15" t="str">
        <f>IF([2]道具信息!C17="","",[2]道具信息!C17)</f>
        <v/>
      </c>
      <c r="D17" s="15" t="str">
        <f>IF([2]道具信息!D17="","",[2]道具信息!D17)</f>
        <v>玉珏</v>
      </c>
      <c r="E17" s="15">
        <f>IF([2]道具信息!E17="","",[2]道具信息!E17)</f>
        <v>1</v>
      </c>
      <c r="F17" s="15">
        <f>IF([2]道具信息!F17="","",[2]道具信息!F17)</f>
        <v>1</v>
      </c>
      <c r="G17" s="15">
        <f>IF([2]道具信息!G17="","",[2]道具信息!G17)</f>
        <v>1</v>
      </c>
      <c r="H17" s="15">
        <f>IF([2]道具信息!H17="","",[2]道具信息!H17)</f>
        <v>1</v>
      </c>
      <c r="I17" s="15">
        <f>IF([2]道具信息!I17="","",[2]道具信息!I17)</f>
        <v>1</v>
      </c>
      <c r="J17" s="15">
        <f>IF([2]道具信息!J17="","",[2]道具信息!J17)</f>
        <v>1</v>
      </c>
      <c r="K17" s="15">
        <f>IF([2]道具信息!K17="","",[2]道具信息!K17)</f>
        <v>1</v>
      </c>
      <c r="L17" s="15" t="str">
        <f>IF([2]道具信息!L17="","",[2]道具信息!L17)</f>
        <v/>
      </c>
    </row>
    <row r="18" spans="3:12" x14ac:dyDescent="0.15">
      <c r="C18" s="15" t="str">
        <f>IF([2]道具信息!C18="","",[2]道具信息!C18)</f>
        <v/>
      </c>
      <c r="D18" s="15" t="str">
        <f>IF([2]道具信息!D18="","",[2]道具信息!D18)</f>
        <v>清剿令</v>
      </c>
      <c r="E18" s="15">
        <f>IF([2]道具信息!E18="","",[2]道具信息!E18)</f>
        <v>75</v>
      </c>
      <c r="F18" s="15">
        <f>IF([2]道具信息!F18="","",[2]道具信息!F18)</f>
        <v>1</v>
      </c>
      <c r="G18" s="15">
        <f>IF([2]道具信息!G18="","",[2]道具信息!G18)</f>
        <v>1</v>
      </c>
      <c r="H18" s="15">
        <f>IF([2]道具信息!H18="","",[2]道具信息!H18)</f>
        <v>1</v>
      </c>
      <c r="I18" s="15">
        <f>IF([2]道具信息!I18="","",[2]道具信息!I18)</f>
        <v>75</v>
      </c>
      <c r="J18" s="15">
        <f>IF([2]道具信息!J18="","",[2]道具信息!J18)</f>
        <v>75</v>
      </c>
      <c r="K18" s="15">
        <f>IF([2]道具信息!K18="","",[2]道具信息!K18)</f>
        <v>75</v>
      </c>
      <c r="L18" s="15" t="str">
        <f>IF([2]道具信息!L18="","",[2]道具信息!L18)</f>
        <v/>
      </c>
    </row>
    <row r="19" spans="3:12" x14ac:dyDescent="0.15">
      <c r="C19" s="15" t="str">
        <f>IF([2]道具信息!C19="","",[2]道具信息!C19)</f>
        <v/>
      </c>
      <c r="D19" s="15" t="str">
        <f>IF([2]道具信息!D19="","",[2]道具信息!D19)</f>
        <v>信物*2、武将碎片*10、黄金600三选一（600钻）</v>
      </c>
      <c r="E19" s="15">
        <f>IF([2]道具信息!E19="","",[2]道具信息!E19)</f>
        <v>600</v>
      </c>
      <c r="F19" s="15">
        <f>IF([2]道具信息!F19="","",[2]道具信息!F19)</f>
        <v>1</v>
      </c>
      <c r="G19" s="15">
        <f>IF([2]道具信息!G19="","",[2]道具信息!G19)</f>
        <v>1</v>
      </c>
      <c r="H19" s="15">
        <f>IF([2]道具信息!H19="","",[2]道具信息!H19)</f>
        <v>1</v>
      </c>
      <c r="I19" s="15">
        <f>IF([2]道具信息!I19="","",[2]道具信息!I19)</f>
        <v>600</v>
      </c>
      <c r="J19" s="15">
        <f>IF([2]道具信息!J19="","",[2]道具信息!J19)</f>
        <v>600</v>
      </c>
      <c r="K19" s="15">
        <f>IF([2]道具信息!K19="","",[2]道具信息!K19)</f>
        <v>600</v>
      </c>
      <c r="L19" s="15" t="str">
        <f>IF([2]道具信息!L19="","",[2]道具信息!L19)</f>
        <v/>
      </c>
    </row>
    <row r="20" spans="3:12" x14ac:dyDescent="0.15">
      <c r="C20" s="15" t="str">
        <f>IF([2]道具信息!C20="","",[2]道具信息!C20)</f>
        <v/>
      </c>
      <c r="D20" s="15" t="str">
        <f>IF([2]道具信息!D20="","",[2]道具信息!D20)</f>
        <v>蓝色门客</v>
      </c>
      <c r="E20" s="15">
        <f>IF([2]道具信息!E20="","",[2]道具信息!E20)</f>
        <v>1000</v>
      </c>
      <c r="F20" s="15">
        <f>IF([2]道具信息!F20="","",[2]道具信息!F20)</f>
        <v>1</v>
      </c>
      <c r="G20" s="15">
        <f>IF([2]道具信息!G20="","",[2]道具信息!G20)</f>
        <v>1</v>
      </c>
      <c r="H20" s="15">
        <f>IF([2]道具信息!H20="","",[2]道具信息!H20)</f>
        <v>1</v>
      </c>
      <c r="I20" s="15">
        <f>IF([2]道具信息!I20="","",[2]道具信息!I20)</f>
        <v>1000</v>
      </c>
      <c r="J20" s="15">
        <f>IF([2]道具信息!J20="","",[2]道具信息!J20)</f>
        <v>1000</v>
      </c>
      <c r="K20" s="15">
        <f>IF([2]道具信息!K20="","",[2]道具信息!K20)</f>
        <v>1000</v>
      </c>
      <c r="L20" s="15" t="str">
        <f>IF([2]道具信息!L20="","",[2]道具信息!L20)</f>
        <v/>
      </c>
    </row>
    <row r="21" spans="3:12" x14ac:dyDescent="0.15">
      <c r="C21" s="15" t="str">
        <f>IF([2]道具信息!C21="","",[2]道具信息!C21)</f>
        <v/>
      </c>
      <c r="D21" s="15" t="str">
        <f>IF([2]道具信息!D21="","",[2]道具信息!D21)</f>
        <v>紫色门客</v>
      </c>
      <c r="E21" s="15">
        <f>IF([2]道具信息!E21="","",[2]道具信息!E21)</f>
        <v>3000</v>
      </c>
      <c r="F21" s="15">
        <f>IF([2]道具信息!F21="","",[2]道具信息!F21)</f>
        <v>1</v>
      </c>
      <c r="G21" s="15">
        <f>IF([2]道具信息!G21="","",[2]道具信息!G21)</f>
        <v>1</v>
      </c>
      <c r="H21" s="15">
        <f>IF([2]道具信息!H21="","",[2]道具信息!H21)</f>
        <v>1</v>
      </c>
      <c r="I21" s="15">
        <f>IF([2]道具信息!I21="","",[2]道具信息!I21)</f>
        <v>3000</v>
      </c>
      <c r="J21" s="15">
        <f>IF([2]道具信息!J21="","",[2]道具信息!J21)</f>
        <v>3000</v>
      </c>
      <c r="K21" s="15">
        <f>IF([2]道具信息!K21="","",[2]道具信息!K21)</f>
        <v>3000</v>
      </c>
      <c r="L21" s="15" t="str">
        <f>IF([2]道具信息!L21="","",[2]道具信息!L21)</f>
        <v/>
      </c>
    </row>
    <row r="22" spans="3:12" x14ac:dyDescent="0.15">
      <c r="C22" s="15" t="str">
        <f>IF([2]道具信息!C22="","",[2]道具信息!C22)</f>
        <v/>
      </c>
      <c r="D22" s="15" t="str">
        <f>IF([2]道具信息!D22="","",[2]道具信息!D22)</f>
        <v>橙色门客</v>
      </c>
      <c r="E22" s="15">
        <f>IF([2]道具信息!E22="","",[2]道具信息!E22)</f>
        <v>8000</v>
      </c>
      <c r="F22" s="15">
        <f>IF([2]道具信息!F22="","",[2]道具信息!F22)</f>
        <v>1</v>
      </c>
      <c r="G22" s="15">
        <f>IF([2]道具信息!G22="","",[2]道具信息!G22)</f>
        <v>1</v>
      </c>
      <c r="H22" s="15">
        <f>IF([2]道具信息!H22="","",[2]道具信息!H22)</f>
        <v>1</v>
      </c>
      <c r="I22" s="15">
        <f>IF([2]道具信息!I22="","",[2]道具信息!I22)</f>
        <v>8000</v>
      </c>
      <c r="J22" s="15">
        <f>IF([2]道具信息!J22="","",[2]道具信息!J22)</f>
        <v>8000</v>
      </c>
      <c r="K22" s="15">
        <f>IF([2]道具信息!K22="","",[2]道具信息!K22)</f>
        <v>8000</v>
      </c>
      <c r="L22" s="15" t="str">
        <f>IF([2]道具信息!L22="","",[2]道具信息!L22)</f>
        <v/>
      </c>
    </row>
    <row r="23" spans="3:12" x14ac:dyDescent="0.15">
      <c r="C23" s="15" t="str">
        <f>IF([2]道具信息!C23="","",[2]道具信息!C23)</f>
        <v/>
      </c>
      <c r="D23" s="15" t="str">
        <f>IF([2]道具信息!D23="","",[2]道具信息!D23)</f>
        <v>红色门客</v>
      </c>
      <c r="E23" s="15">
        <f>IF([2]道具信息!E23="","",[2]道具信息!E23)</f>
        <v>20000</v>
      </c>
      <c r="F23" s="15">
        <f>IF([2]道具信息!F23="","",[2]道具信息!F23)</f>
        <v>1</v>
      </c>
      <c r="G23" s="15">
        <f>IF([2]道具信息!G23="","",[2]道具信息!G23)</f>
        <v>1</v>
      </c>
      <c r="H23" s="15">
        <f>IF([2]道具信息!H23="","",[2]道具信息!H23)</f>
        <v>1</v>
      </c>
      <c r="I23" s="15">
        <f>IF([2]道具信息!I23="","",[2]道具信息!I23)</f>
        <v>20000</v>
      </c>
      <c r="J23" s="15">
        <f>IF([2]道具信息!J23="","",[2]道具信息!J23)</f>
        <v>20000</v>
      </c>
      <c r="K23" s="15">
        <f>IF([2]道具信息!K23="","",[2]道具信息!K23)</f>
        <v>20000</v>
      </c>
      <c r="L23" s="15" t="str">
        <f>IF([2]道具信息!L23="","",[2]道具信息!L23)</f>
        <v/>
      </c>
    </row>
    <row r="24" spans="3:12" x14ac:dyDescent="0.15">
      <c r="C24" s="15" t="str">
        <f>IF([2]道具信息!C24="","",[2]道具信息!C24)</f>
        <v/>
      </c>
      <c r="D24" s="15" t="str">
        <f>IF([2]道具信息!D24="","",[2]道具信息!D24)</f>
        <v>紫色门客</v>
      </c>
      <c r="E24" s="15">
        <f>IF([2]道具信息!E24="","",[2]道具信息!E24)</f>
        <v>3000</v>
      </c>
      <c r="F24" s="15">
        <f>IF([2]道具信息!F24="","",[2]道具信息!F24)</f>
        <v>1</v>
      </c>
      <c r="G24" s="15">
        <f>IF([2]道具信息!G24="","",[2]道具信息!G24)</f>
        <v>1</v>
      </c>
      <c r="H24" s="15">
        <f>IF([2]道具信息!H24="","",[2]道具信息!H24)</f>
        <v>1</v>
      </c>
      <c r="I24" s="15" t="str">
        <f>IF([2]道具信息!I24="","",[2]道具信息!I24)</f>
        <v/>
      </c>
      <c r="J24" s="15" t="str">
        <f>IF([2]道具信息!J24="","",[2]道具信息!J24)</f>
        <v/>
      </c>
      <c r="K24" s="15" t="str">
        <f>IF([2]道具信息!K24="","",[2]道具信息!K24)</f>
        <v/>
      </c>
      <c r="L24" s="15" t="str">
        <f>IF([2]道具信息!L24="","",[2]道具信息!L24)</f>
        <v/>
      </c>
    </row>
    <row r="25" spans="3:12" x14ac:dyDescent="0.15">
      <c r="C25" s="15" t="str">
        <f>IF([2]道具信息!C25="","",[2]道具信息!C25)</f>
        <v/>
      </c>
      <c r="D25" s="15" t="str">
        <f>IF([2]道具信息!D25="","",[2]道具信息!D25)</f>
        <v>绿色军团馈赠</v>
      </c>
      <c r="E25" s="15">
        <f>IF([2]道具信息!E25="","",[2]道具信息!E25)</f>
        <v>20</v>
      </c>
      <c r="F25" s="15">
        <f>IF([2]道具信息!F25="","",[2]道具信息!F25)</f>
        <v>1</v>
      </c>
      <c r="G25" s="15">
        <f>IF([2]道具信息!G25="","",[2]道具信息!G25)</f>
        <v>1</v>
      </c>
      <c r="H25" s="15">
        <f>IF([2]道具信息!H25="","",[2]道具信息!H25)</f>
        <v>1</v>
      </c>
      <c r="I25" s="15">
        <f>IF([2]道具信息!I25="","",[2]道具信息!I25)</f>
        <v>20</v>
      </c>
      <c r="J25" s="15">
        <f>IF([2]道具信息!J25="","",[2]道具信息!J25)</f>
        <v>20</v>
      </c>
      <c r="K25" s="15">
        <f>IF([2]道具信息!K25="","",[2]道具信息!K25)</f>
        <v>20</v>
      </c>
      <c r="L25" s="15" t="str">
        <f>IF([2]道具信息!L25="","",[2]道具信息!L25)</f>
        <v/>
      </c>
    </row>
    <row r="26" spans="3:12" x14ac:dyDescent="0.15">
      <c r="C26" s="15" t="str">
        <f>IF([2]道具信息!C26="","",[2]道具信息!C26)</f>
        <v/>
      </c>
      <c r="D26" s="15" t="str">
        <f>IF([2]道具信息!D26="","",[2]道具信息!D26)</f>
        <v>蓝色军团馈赠</v>
      </c>
      <c r="E26" s="15">
        <f>IF([2]道具信息!E26="","",[2]道具信息!E26)</f>
        <v>100</v>
      </c>
      <c r="F26" s="15">
        <f>IF([2]道具信息!F26="","",[2]道具信息!F26)</f>
        <v>1</v>
      </c>
      <c r="G26" s="15">
        <f>IF([2]道具信息!G26="","",[2]道具信息!G26)</f>
        <v>1</v>
      </c>
      <c r="H26" s="15">
        <f>IF([2]道具信息!H26="","",[2]道具信息!H26)</f>
        <v>1</v>
      </c>
      <c r="I26" s="15">
        <f>IF([2]道具信息!I26="","",[2]道具信息!I26)</f>
        <v>100</v>
      </c>
      <c r="J26" s="15">
        <f>IF([2]道具信息!J26="","",[2]道具信息!J26)</f>
        <v>100</v>
      </c>
      <c r="K26" s="15">
        <f>IF([2]道具信息!K26="","",[2]道具信息!K26)</f>
        <v>100</v>
      </c>
      <c r="L26" s="15" t="str">
        <f>IF([2]道具信息!L26="","",[2]道具信息!L26)</f>
        <v/>
      </c>
    </row>
    <row r="27" spans="3:12" x14ac:dyDescent="0.15">
      <c r="C27" s="15" t="str">
        <f>IF([2]道具信息!C27="","",[2]道具信息!C27)</f>
        <v/>
      </c>
      <c r="D27" s="15" t="str">
        <f>IF([2]道具信息!D27="","",[2]道具信息!D27)</f>
        <v>紫色军团馈赠</v>
      </c>
      <c r="E27" s="15">
        <f>IF([2]道具信息!E27="","",[2]道具信息!E27)</f>
        <v>500</v>
      </c>
      <c r="F27" s="15">
        <f>IF([2]道具信息!F27="","",[2]道具信息!F27)</f>
        <v>1</v>
      </c>
      <c r="G27" s="15">
        <f>IF([2]道具信息!G27="","",[2]道具信息!G27)</f>
        <v>1</v>
      </c>
      <c r="H27" s="15">
        <f>IF([2]道具信息!H27="","",[2]道具信息!H27)</f>
        <v>1</v>
      </c>
      <c r="I27" s="15">
        <f>IF([2]道具信息!I27="","",[2]道具信息!I27)</f>
        <v>500</v>
      </c>
      <c r="J27" s="15">
        <f>IF([2]道具信息!J27="","",[2]道具信息!J27)</f>
        <v>500</v>
      </c>
      <c r="K27" s="15">
        <f>IF([2]道具信息!K27="","",[2]道具信息!K27)</f>
        <v>500</v>
      </c>
      <c r="L27" s="15" t="str">
        <f>IF([2]道具信息!L27="","",[2]道具信息!L27)</f>
        <v/>
      </c>
    </row>
    <row r="28" spans="3:12" x14ac:dyDescent="0.15">
      <c r="C28" s="15" t="str">
        <f>IF([2]道具信息!C28="","",[2]道具信息!C28)</f>
        <v/>
      </c>
      <c r="D28" s="15" t="str">
        <f>IF([2]道具信息!D28="","",[2]道具信息!D28)</f>
        <v>橙色军团馈赠</v>
      </c>
      <c r="E28" s="15">
        <f>IF([2]道具信息!E28="","",[2]道具信息!E28)</f>
        <v>2000</v>
      </c>
      <c r="F28" s="15">
        <f>IF([2]道具信息!F28="","",[2]道具信息!F28)</f>
        <v>1</v>
      </c>
      <c r="G28" s="15">
        <f>IF([2]道具信息!G28="","",[2]道具信息!G28)</f>
        <v>1</v>
      </c>
      <c r="H28" s="15">
        <f>IF([2]道具信息!H28="","",[2]道具信息!H28)</f>
        <v>1</v>
      </c>
      <c r="I28" s="15">
        <f>IF([2]道具信息!I28="","",[2]道具信息!I28)</f>
        <v>2000</v>
      </c>
      <c r="J28" s="15">
        <f>IF([2]道具信息!J28="","",[2]道具信息!J28)</f>
        <v>2000</v>
      </c>
      <c r="K28" s="15">
        <f>IF([2]道具信息!K28="","",[2]道具信息!K28)</f>
        <v>2000</v>
      </c>
      <c r="L28" s="15" t="str">
        <f>IF([2]道具信息!L28="","",[2]道具信息!L28)</f>
        <v/>
      </c>
    </row>
    <row r="29" spans="3:12" x14ac:dyDescent="0.15">
      <c r="C29" s="15" t="str">
        <f>IF([2]道具信息!C29="","",[2]道具信息!C29)</f>
        <v/>
      </c>
      <c r="D29" s="15" t="str">
        <f>IF([2]道具信息!D29="","",[2]道具信息!D29)</f>
        <v>蓝色军团馈赠</v>
      </c>
      <c r="E29" s="15">
        <f>IF([2]道具信息!E29="","",[2]道具信息!E29)</f>
        <v>100</v>
      </c>
      <c r="F29" s="15">
        <f>IF([2]道具信息!F29="","",[2]道具信息!F29)</f>
        <v>1</v>
      </c>
      <c r="G29" s="15">
        <f>IF([2]道具信息!G29="","",[2]道具信息!G29)</f>
        <v>1</v>
      </c>
      <c r="H29" s="15">
        <f>IF([2]道具信息!H29="","",[2]道具信息!H29)</f>
        <v>1</v>
      </c>
      <c r="I29" s="15" t="str">
        <f>IF([2]道具信息!I29="","",[2]道具信息!I29)</f>
        <v/>
      </c>
      <c r="J29" s="15" t="str">
        <f>IF([2]道具信息!J29="","",[2]道具信息!J29)</f>
        <v/>
      </c>
      <c r="K29" s="15" t="str">
        <f>IF([2]道具信息!K29="","",[2]道具信息!K29)</f>
        <v/>
      </c>
      <c r="L29" s="15" t="str">
        <f>IF([2]道具信息!L29="","",[2]道具信息!L29)</f>
        <v/>
      </c>
    </row>
    <row r="30" spans="3:12" x14ac:dyDescent="0.15">
      <c r="C30" s="15" t="str">
        <f>IF([2]道具信息!C30="","",[2]道具信息!C30)</f>
        <v/>
      </c>
      <c r="D30" s="15" t="str">
        <f>IF([2]道具信息!D30="","",[2]道具信息!D30)</f>
        <v>文心</v>
      </c>
      <c r="E30" s="15">
        <f>IF([2]道具信息!E30="","",[2]道具信息!E30)</f>
        <v>0.33333333333333331</v>
      </c>
      <c r="F30" s="15">
        <f>IF([2]道具信息!F30="","",[2]道具信息!F30)</f>
        <v>1</v>
      </c>
      <c r="G30" s="15">
        <f>IF([2]道具信息!G30="","",[2]道具信息!G30)</f>
        <v>1</v>
      </c>
      <c r="H30" s="15">
        <f>IF([2]道具信息!H30="","",[2]道具信息!H30)</f>
        <v>1</v>
      </c>
      <c r="I30" s="15">
        <f>IF([2]道具信息!I30="","",[2]道具信息!I30)</f>
        <v>0.33333333333333331</v>
      </c>
      <c r="J30" s="15">
        <f>IF([2]道具信息!J30="","",[2]道具信息!J30)</f>
        <v>0.33333333333333331</v>
      </c>
      <c r="K30" s="15">
        <f>IF([2]道具信息!K30="","",[2]道具信息!K30)</f>
        <v>0.33333333333333331</v>
      </c>
      <c r="L30" s="15" t="str">
        <f>IF([2]道具信息!L30="","",[2]道具信息!L30)</f>
        <v>宝物温养货币</v>
      </c>
    </row>
    <row r="31" spans="3:12" x14ac:dyDescent="0.15">
      <c r="C31" s="15" t="str">
        <f>IF([2]道具信息!C31="","",[2]道具信息!C31)</f>
        <v/>
      </c>
      <c r="D31" s="15" t="str">
        <f>IF([2]道具信息!D31="","",[2]道具信息!D31)</f>
        <v>宝鉴</v>
      </c>
      <c r="E31" s="15">
        <f>IF([2]道具信息!E31="","",[2]道具信息!E31)</f>
        <v>500</v>
      </c>
      <c r="F31" s="15">
        <f>IF([2]道具信息!F31="","",[2]道具信息!F31)</f>
        <v>1</v>
      </c>
      <c r="G31" s="15">
        <f>IF([2]道具信息!G31="","",[2]道具信息!G31)</f>
        <v>1</v>
      </c>
      <c r="H31" s="15">
        <f>IF([2]道具信息!H31="","",[2]道具信息!H31)</f>
        <v>1</v>
      </c>
      <c r="I31" s="15">
        <f>IF([2]道具信息!I31="","",[2]道具信息!I31)</f>
        <v>500</v>
      </c>
      <c r="J31" s="15">
        <f>IF([2]道具信息!J31="","",[2]道具信息!J31)</f>
        <v>500</v>
      </c>
      <c r="K31" s="15">
        <f>IF([2]道具信息!K31="","",[2]道具信息!K31)</f>
        <v>500</v>
      </c>
      <c r="L31" s="15" t="str">
        <f>IF([2]道具信息!L31="","",[2]道具信息!L31)</f>
        <v>鉴赏宝物属性</v>
      </c>
    </row>
    <row r="32" spans="3:12" x14ac:dyDescent="0.15">
      <c r="C32" s="15" t="str">
        <f>IF([2]道具信息!C32="","",[2]道具信息!C32)</f>
        <v/>
      </c>
      <c r="D32" s="15" t="str">
        <f>IF([2]道具信息!D32="","",[2]道具信息!D32)</f>
        <v>密藏之匙</v>
      </c>
      <c r="E32" s="15">
        <f>IF([2]道具信息!E32="","",[2]道具信息!E32)</f>
        <v>330</v>
      </c>
      <c r="F32" s="15">
        <f>IF([2]道具信息!F32="","",[2]道具信息!F32)</f>
        <v>1</v>
      </c>
      <c r="G32" s="15">
        <f>IF([2]道具信息!G32="","",[2]道具信息!G32)</f>
        <v>1</v>
      </c>
      <c r="H32" s="15">
        <f>IF([2]道具信息!H32="","",[2]道具信息!H32)</f>
        <v>1</v>
      </c>
      <c r="I32" s="15">
        <f>IF([2]道具信息!I32="","",[2]道具信息!I32)</f>
        <v>330</v>
      </c>
      <c r="J32" s="15">
        <f>IF([2]道具信息!J32="","",[2]道具信息!J32)</f>
        <v>330</v>
      </c>
      <c r="K32" s="15">
        <f>IF([2]道具信息!K32="","",[2]道具信息!K32)</f>
        <v>330</v>
      </c>
      <c r="L32" s="15" t="str">
        <f>IF([2]道具信息!L32="","",[2]道具信息!L32)</f>
        <v>宝物抽奖道具</v>
      </c>
    </row>
    <row r="33" spans="3:12" x14ac:dyDescent="0.15">
      <c r="C33" s="15" t="str">
        <f>IF([2]道具信息!C33="","",[2]道具信息!C33)</f>
        <v/>
      </c>
      <c r="D33" s="15" t="str">
        <f>IF([2]道具信息!D33="","",[2]道具信息!D33)</f>
        <v>宝物精华</v>
      </c>
      <c r="E33" s="15">
        <f>IF([2]道具信息!E33="","",[2]道具信息!E33)</f>
        <v>100</v>
      </c>
      <c r="F33" s="15">
        <f>IF([2]道具信息!F33="","",[2]道具信息!F33)</f>
        <v>1</v>
      </c>
      <c r="G33" s="15">
        <f>IF([2]道具信息!G33="","",[2]道具信息!G33)</f>
        <v>1</v>
      </c>
      <c r="H33" s="15">
        <f>IF([2]道具信息!H33="","",[2]道具信息!H33)</f>
        <v>1</v>
      </c>
      <c r="I33" s="15">
        <f>IF([2]道具信息!I33="","",[2]道具信息!I33)</f>
        <v>100</v>
      </c>
      <c r="J33" s="15">
        <f>IF([2]道具信息!J33="","",[2]道具信息!J33)</f>
        <v>100</v>
      </c>
      <c r="K33" s="15">
        <f>IF([2]道具信息!K33="","",[2]道具信息!K33)</f>
        <v>100</v>
      </c>
      <c r="L33" s="15" t="str">
        <f>IF([2]道具信息!L33="","",[2]道具信息!L33)</f>
        <v>宝物升星消耗货币</v>
      </c>
    </row>
    <row r="34" spans="3:12" x14ac:dyDescent="0.15">
      <c r="C34" s="15" t="str">
        <f>IF([2]道具信息!C34="","",[2]道具信息!C34)</f>
        <v/>
      </c>
      <c r="D34" s="15" t="str">
        <f>IF([2]道具信息!D34="","",[2]道具信息!D34)</f>
        <v>指定蓝色宝物</v>
      </c>
      <c r="E34" s="15">
        <f>IF([2]道具信息!E34="","",[2]道具信息!E34)</f>
        <v>100</v>
      </c>
      <c r="F34" s="15">
        <f>IF([2]道具信息!F34="","",[2]道具信息!F34)</f>
        <v>2.5</v>
      </c>
      <c r="G34" s="15">
        <f>IF([2]道具信息!G34="","",[2]道具信息!G34)</f>
        <v>2.5</v>
      </c>
      <c r="H34" s="15">
        <f>IF([2]道具信息!H34="","",[2]道具信息!H34)</f>
        <v>2.5</v>
      </c>
      <c r="I34" s="15">
        <f>IF([2]道具信息!I34="","",[2]道具信息!I34)</f>
        <v>250</v>
      </c>
      <c r="J34" s="15">
        <f>IF([2]道具信息!J34="","",[2]道具信息!J34)</f>
        <v>250</v>
      </c>
      <c r="K34" s="15">
        <f>IF([2]道具信息!K34="","",[2]道具信息!K34)</f>
        <v>250</v>
      </c>
      <c r="L34" s="15" t="str">
        <f>IF([2]道具信息!L34="","",[2]道具信息!L34)</f>
        <v>鉴赏宝物属性</v>
      </c>
    </row>
    <row r="35" spans="3:12" x14ac:dyDescent="0.15">
      <c r="C35" s="15" t="str">
        <f>IF([2]道具信息!C35="","",[2]道具信息!C35)</f>
        <v/>
      </c>
      <c r="D35" s="15" t="str">
        <f>IF([2]道具信息!D35="","",[2]道具信息!D35)</f>
        <v>指定紫色宝物</v>
      </c>
      <c r="E35" s="15">
        <f>IF([2]道具信息!E35="","",[2]道具信息!E35)</f>
        <v>500</v>
      </c>
      <c r="F35" s="15">
        <f>IF([2]道具信息!F35="","",[2]道具信息!F35)</f>
        <v>2.5</v>
      </c>
      <c r="G35" s="15">
        <f>IF([2]道具信息!G35="","",[2]道具信息!G35)</f>
        <v>2.5</v>
      </c>
      <c r="H35" s="15">
        <f>IF([2]道具信息!H35="","",[2]道具信息!H35)</f>
        <v>2.5</v>
      </c>
      <c r="I35" s="15">
        <f>IF([2]道具信息!I35="","",[2]道具信息!I35)</f>
        <v>1250</v>
      </c>
      <c r="J35" s="15">
        <f>IF([2]道具信息!J35="","",[2]道具信息!J35)</f>
        <v>1250</v>
      </c>
      <c r="K35" s="15">
        <f>IF([2]道具信息!K35="","",[2]道具信息!K35)</f>
        <v>1250</v>
      </c>
      <c r="L35" s="15" t="str">
        <f>IF([2]道具信息!L35="","",[2]道具信息!L35)</f>
        <v>宝物抽奖道具</v>
      </c>
    </row>
    <row r="36" spans="3:12" x14ac:dyDescent="0.15">
      <c r="C36" s="15" t="str">
        <f>IF([2]道具信息!C36="","",[2]道具信息!C36)</f>
        <v/>
      </c>
      <c r="D36" s="15" t="str">
        <f>IF([2]道具信息!D36="","",[2]道具信息!D36)</f>
        <v>指定橙色宝物</v>
      </c>
      <c r="E36" s="15">
        <f>IF([2]道具信息!E36="","",[2]道具信息!E36)</f>
        <v>4000</v>
      </c>
      <c r="F36" s="15">
        <f>IF([2]道具信息!F36="","",[2]道具信息!F36)</f>
        <v>2.5</v>
      </c>
      <c r="G36" s="15">
        <f>IF([2]道具信息!G36="","",[2]道具信息!G36)</f>
        <v>2.5</v>
      </c>
      <c r="H36" s="15">
        <f>IF([2]道具信息!H36="","",[2]道具信息!H36)</f>
        <v>2.5</v>
      </c>
      <c r="I36" s="15">
        <f>IF([2]道具信息!I36="","",[2]道具信息!I36)</f>
        <v>10000</v>
      </c>
      <c r="J36" s="15">
        <f>IF([2]道具信息!J36="","",[2]道具信息!J36)</f>
        <v>10000</v>
      </c>
      <c r="K36" s="15">
        <f>IF([2]道具信息!K36="","",[2]道具信息!K36)</f>
        <v>10000</v>
      </c>
      <c r="L36" s="15" t="str">
        <f>IF([2]道具信息!L36="","",[2]道具信息!L36)</f>
        <v>宝物升星消耗货币</v>
      </c>
    </row>
    <row r="37" spans="3:12" x14ac:dyDescent="0.15">
      <c r="C37" s="15" t="str">
        <f>IF([2]道具信息!C37="","",[2]道具信息!C37)</f>
        <v/>
      </c>
      <c r="D37" s="15" t="str">
        <f>IF([2]道具信息!D37="","",[2]道具信息!D37)</f>
        <v>指定橙+宝物</v>
      </c>
      <c r="E37" s="15">
        <f>IF([2]道具信息!E37="","",[2]道具信息!E37)</f>
        <v>20000</v>
      </c>
      <c r="F37" s="15">
        <f>IF([2]道具信息!F37="","",[2]道具信息!F37)</f>
        <v>2.5</v>
      </c>
      <c r="G37" s="15">
        <f>IF([2]道具信息!G37="","",[2]道具信息!G37)</f>
        <v>2.5</v>
      </c>
      <c r="H37" s="15">
        <f>IF([2]道具信息!H37="","",[2]道具信息!H37)</f>
        <v>2.5</v>
      </c>
      <c r="I37" s="15">
        <f>IF([2]道具信息!I37="","",[2]道具信息!I37)</f>
        <v>50000</v>
      </c>
      <c r="J37" s="15">
        <f>IF([2]道具信息!J37="","",[2]道具信息!J37)</f>
        <v>50000</v>
      </c>
      <c r="K37" s="15">
        <f>IF([2]道具信息!K37="","",[2]道具信息!K37)</f>
        <v>50000</v>
      </c>
      <c r="L37" s="15" t="str">
        <f>IF([2]道具信息!L37="","",[2]道具信息!L37)</f>
        <v/>
      </c>
    </row>
    <row r="38" spans="3:12" x14ac:dyDescent="0.15">
      <c r="C38" s="15" t="str">
        <f>IF([2]道具信息!C38="","",[2]道具信息!C38)</f>
        <v/>
      </c>
      <c r="D38" s="15" t="str">
        <f>IF([2]道具信息!D38="","",[2]道具信息!D38)</f>
        <v>指定橙色宝物碎片</v>
      </c>
      <c r="E38" s="15">
        <f>IF([2]道具信息!E38="","",[2]道具信息!E38)</f>
        <v>133.33333333333334</v>
      </c>
      <c r="F38" s="15">
        <f>IF([2]道具信息!F38="","",[2]道具信息!F38)</f>
        <v>2.5</v>
      </c>
      <c r="G38" s="15">
        <f>IF([2]道具信息!G38="","",[2]道具信息!G38)</f>
        <v>2.5</v>
      </c>
      <c r="H38" s="15">
        <f>IF([2]道具信息!H38="","",[2]道具信息!H38)</f>
        <v>2.5</v>
      </c>
      <c r="I38" s="15">
        <f>IF([2]道具信息!I38="","",[2]道具信息!I38)</f>
        <v>333.33333333333337</v>
      </c>
      <c r="J38" s="15">
        <f>IF([2]道具信息!J38="","",[2]道具信息!J38)</f>
        <v>333.33333333333337</v>
      </c>
      <c r="K38" s="15">
        <f>IF([2]道具信息!K38="","",[2]道具信息!K38)</f>
        <v>333.33333333333337</v>
      </c>
      <c r="L38" s="15" t="str">
        <f>IF([2]道具信息!L38="","",[2]道具信息!L38)</f>
        <v/>
      </c>
    </row>
    <row r="39" spans="3:12" x14ac:dyDescent="0.15">
      <c r="C39" s="15" t="str">
        <f>IF([2]道具信息!C39="","",[2]道具信息!C39)</f>
        <v/>
      </c>
      <c r="D39" s="15" t="str">
        <f>IF([2]道具信息!D39="","",[2]道具信息!D39)</f>
        <v>指定橙+宝物碎片</v>
      </c>
      <c r="E39" s="15">
        <f>IF([2]道具信息!E39="","",[2]道具信息!E39)</f>
        <v>666.66666666666663</v>
      </c>
      <c r="F39" s="15">
        <f>IF([2]道具信息!F39="","",[2]道具信息!F39)</f>
        <v>2.5</v>
      </c>
      <c r="G39" s="15">
        <f>IF([2]道具信息!G39="","",[2]道具信息!G39)</f>
        <v>2.5</v>
      </c>
      <c r="H39" s="15">
        <f>IF([2]道具信息!H39="","",[2]道具信息!H39)</f>
        <v>2.5</v>
      </c>
      <c r="I39" s="15">
        <f>IF([2]道具信息!I39="","",[2]道具信息!I39)</f>
        <v>1666.6666666666665</v>
      </c>
      <c r="J39" s="15">
        <f>IF([2]道具信息!J39="","",[2]道具信息!J39)</f>
        <v>1666.6666666666665</v>
      </c>
      <c r="K39" s="15">
        <f>IF([2]道具信息!K39="","",[2]道具信息!K39)</f>
        <v>1666.6666666666665</v>
      </c>
      <c r="L39" s="15" t="str">
        <f>IF([2]道具信息!L39="","",[2]道具信息!L39)</f>
        <v/>
      </c>
    </row>
    <row r="40" spans="3:12" x14ac:dyDescent="0.15">
      <c r="C40" s="15" t="str">
        <f>IF([2]道具信息!C40="","",[2]道具信息!C40)</f>
        <v/>
      </c>
      <c r="D40" s="15" t="str">
        <f>IF([2]道具信息!D40="","",[2]道具信息!D40)</f>
        <v>指定橙+宝物</v>
      </c>
      <c r="E40" s="15">
        <f>IF([2]道具信息!E40="","",[2]道具信息!E40)</f>
        <v>20000</v>
      </c>
      <c r="F40" s="15">
        <f>IF([2]道具信息!F40="","",[2]道具信息!F40)</f>
        <v>2.5</v>
      </c>
      <c r="G40" s="15">
        <f>IF([2]道具信息!G40="","",[2]道具信息!G40)</f>
        <v>2.5</v>
      </c>
      <c r="H40" s="15">
        <f>IF([2]道具信息!H40="","",[2]道具信息!H40)</f>
        <v>2.5</v>
      </c>
      <c r="I40" s="15" t="str">
        <f>IF([2]道具信息!I40="","",[2]道具信息!I40)</f>
        <v/>
      </c>
      <c r="J40" s="15" t="str">
        <f>IF([2]道具信息!J40="","",[2]道具信息!J40)</f>
        <v/>
      </c>
      <c r="K40" s="15" t="str">
        <f>IF([2]道具信息!K40="","",[2]道具信息!K40)</f>
        <v/>
      </c>
      <c r="L40" s="15" t="str">
        <f>IF([2]道具信息!L40="","",[2]道具信息!L40)</f>
        <v/>
      </c>
    </row>
    <row r="41" spans="3:12" x14ac:dyDescent="0.15">
      <c r="C41" s="15" t="str">
        <f>IF([2]道具信息!C41="","",[2]道具信息!C41)</f>
        <v/>
      </c>
      <c r="D41" s="15" t="str">
        <f>IF([2]道具信息!D41="","",[2]道具信息!D41)</f>
        <v>随机蓝色宝物</v>
      </c>
      <c r="E41" s="15">
        <f>IF([2]道具信息!E41="","",[2]道具信息!E41)</f>
        <v>100</v>
      </c>
      <c r="F41" s="15">
        <f>IF([2]道具信息!F41="","",[2]道具信息!F41)</f>
        <v>1</v>
      </c>
      <c r="G41" s="15">
        <f>IF([2]道具信息!G41="","",[2]道具信息!G41)</f>
        <v>1</v>
      </c>
      <c r="H41" s="15">
        <f>IF([2]道具信息!H41="","",[2]道具信息!H41)</f>
        <v>1</v>
      </c>
      <c r="I41" s="15">
        <f>IF([2]道具信息!I41="","",[2]道具信息!I41)</f>
        <v>100</v>
      </c>
      <c r="J41" s="15">
        <f>IF([2]道具信息!J41="","",[2]道具信息!J41)</f>
        <v>100</v>
      </c>
      <c r="K41" s="15">
        <f>IF([2]道具信息!K41="","",[2]道具信息!K41)</f>
        <v>100</v>
      </c>
      <c r="L41" s="15" t="str">
        <f>IF([2]道具信息!L41="","",[2]道具信息!L41)</f>
        <v/>
      </c>
    </row>
    <row r="42" spans="3:12" x14ac:dyDescent="0.15">
      <c r="C42" s="15" t="str">
        <f>IF([2]道具信息!C42="","",[2]道具信息!C42)</f>
        <v/>
      </c>
      <c r="D42" s="15" t="str">
        <f>IF([2]道具信息!D42="","",[2]道具信息!D42)</f>
        <v>随机紫色宝物</v>
      </c>
      <c r="E42" s="15">
        <f>IF([2]道具信息!E42="","",[2]道具信息!E42)</f>
        <v>500</v>
      </c>
      <c r="F42" s="15">
        <f>IF([2]道具信息!F42="","",[2]道具信息!F42)</f>
        <v>1</v>
      </c>
      <c r="G42" s="15">
        <f>IF([2]道具信息!G42="","",[2]道具信息!G42)</f>
        <v>1</v>
      </c>
      <c r="H42" s="15">
        <f>IF([2]道具信息!H42="","",[2]道具信息!H42)</f>
        <v>1</v>
      </c>
      <c r="I42" s="15">
        <f>IF([2]道具信息!I42="","",[2]道具信息!I42)</f>
        <v>500</v>
      </c>
      <c r="J42" s="15">
        <f>IF([2]道具信息!J42="","",[2]道具信息!J42)</f>
        <v>500</v>
      </c>
      <c r="K42" s="15">
        <f>IF([2]道具信息!K42="","",[2]道具信息!K42)</f>
        <v>500</v>
      </c>
      <c r="L42" s="15" t="str">
        <f>IF([2]道具信息!L42="","",[2]道具信息!L42)</f>
        <v/>
      </c>
    </row>
    <row r="43" spans="3:12" x14ac:dyDescent="0.15">
      <c r="C43" s="15" t="str">
        <f>IF([2]道具信息!C43="","",[2]道具信息!C43)</f>
        <v/>
      </c>
      <c r="D43" s="15" t="str">
        <f>IF([2]道具信息!D43="","",[2]道具信息!D43)</f>
        <v>随机橙色宝物</v>
      </c>
      <c r="E43" s="15">
        <f>IF([2]道具信息!E43="","",[2]道具信息!E43)</f>
        <v>2500</v>
      </c>
      <c r="F43" s="15">
        <f>IF([2]道具信息!F43="","",[2]道具信息!F43)</f>
        <v>1</v>
      </c>
      <c r="G43" s="15">
        <f>IF([2]道具信息!G43="","",[2]道具信息!G43)</f>
        <v>1</v>
      </c>
      <c r="H43" s="15">
        <f>IF([2]道具信息!H43="","",[2]道具信息!H43)</f>
        <v>1</v>
      </c>
      <c r="I43" s="15">
        <f>IF([2]道具信息!I43="","",[2]道具信息!I43)</f>
        <v>2500</v>
      </c>
      <c r="J43" s="15">
        <f>IF([2]道具信息!J43="","",[2]道具信息!J43)</f>
        <v>2500</v>
      </c>
      <c r="K43" s="15">
        <f>IF([2]道具信息!K43="","",[2]道具信息!K43)</f>
        <v>2500</v>
      </c>
      <c r="L43" s="15" t="str">
        <f>IF([2]道具信息!L43="","",[2]道具信息!L43)</f>
        <v/>
      </c>
    </row>
    <row r="44" spans="3:12" x14ac:dyDescent="0.15">
      <c r="C44" s="15" t="str">
        <f>IF([2]道具信息!C44="","",[2]道具信息!C44)</f>
        <v/>
      </c>
      <c r="D44" s="15" t="str">
        <f>IF([2]道具信息!D44="","",[2]道具信息!D44)</f>
        <v>随机橙+宝物</v>
      </c>
      <c r="E44" s="15">
        <f>IF([2]道具信息!E44="","",[2]道具信息!E44)</f>
        <v>10000</v>
      </c>
      <c r="F44" s="15">
        <f>IF([2]道具信息!F44="","",[2]道具信息!F44)</f>
        <v>1</v>
      </c>
      <c r="G44" s="15">
        <f>IF([2]道具信息!G44="","",[2]道具信息!G44)</f>
        <v>1</v>
      </c>
      <c r="H44" s="15">
        <f>IF([2]道具信息!H44="","",[2]道具信息!H44)</f>
        <v>1</v>
      </c>
      <c r="I44" s="15">
        <f>IF([2]道具信息!I44="","",[2]道具信息!I44)</f>
        <v>10000</v>
      </c>
      <c r="J44" s="15">
        <f>IF([2]道具信息!J44="","",[2]道具信息!J44)</f>
        <v>10000</v>
      </c>
      <c r="K44" s="15">
        <f>IF([2]道具信息!K44="","",[2]道具信息!K44)</f>
        <v>10000</v>
      </c>
      <c r="L44" s="15" t="str">
        <f>IF([2]道具信息!L44="","",[2]道具信息!L44)</f>
        <v/>
      </c>
    </row>
    <row r="45" spans="3:12" x14ac:dyDescent="0.15">
      <c r="C45" s="15" t="str">
        <f>IF([2]道具信息!C45="","",[2]道具信息!C45)</f>
        <v/>
      </c>
      <c r="D45" s="15" t="str">
        <f>IF([2]道具信息!D45="","",[2]道具信息!D45)</f>
        <v>随机紫色宝物碎片</v>
      </c>
      <c r="E45" s="15">
        <f>IF([2]道具信息!E45="","",[2]道具信息!E45)</f>
        <v>50</v>
      </c>
      <c r="F45" s="15">
        <f>IF([2]道具信息!F45="","",[2]道具信息!F45)</f>
        <v>1</v>
      </c>
      <c r="G45" s="15">
        <f>IF([2]道具信息!G45="","",[2]道具信息!G45)</f>
        <v>1</v>
      </c>
      <c r="H45" s="15">
        <f>IF([2]道具信息!H45="","",[2]道具信息!H45)</f>
        <v>1</v>
      </c>
      <c r="I45" s="15">
        <f>IF([2]道具信息!I45="","",[2]道具信息!I45)</f>
        <v>50</v>
      </c>
      <c r="J45" s="15">
        <f>IF([2]道具信息!J45="","",[2]道具信息!J45)</f>
        <v>50</v>
      </c>
      <c r="K45" s="15">
        <f>IF([2]道具信息!K45="","",[2]道具信息!K45)</f>
        <v>50</v>
      </c>
      <c r="L45" s="15" t="str">
        <f>IF([2]道具信息!L45="","",[2]道具信息!L45)</f>
        <v/>
      </c>
    </row>
    <row r="46" spans="3:12" x14ac:dyDescent="0.15">
      <c r="C46" s="15" t="str">
        <f>IF([2]道具信息!C46="","",[2]道具信息!C46)</f>
        <v/>
      </c>
      <c r="D46" s="15" t="str">
        <f>IF([2]道具信息!D46="","",[2]道具信息!D46)</f>
        <v>随机橙色宝物碎片</v>
      </c>
      <c r="E46" s="15">
        <f>IF([2]道具信息!E46="","",[2]道具信息!E46)</f>
        <v>83.333333333333329</v>
      </c>
      <c r="F46" s="15">
        <f>IF([2]道具信息!F46="","",[2]道具信息!F46)</f>
        <v>1</v>
      </c>
      <c r="G46" s="15">
        <f>IF([2]道具信息!G46="","",[2]道具信息!G46)</f>
        <v>1</v>
      </c>
      <c r="H46" s="15">
        <f>IF([2]道具信息!H46="","",[2]道具信息!H46)</f>
        <v>1</v>
      </c>
      <c r="I46" s="15">
        <f>IF([2]道具信息!I46="","",[2]道具信息!I46)</f>
        <v>83.333333333333329</v>
      </c>
      <c r="J46" s="15">
        <f>IF([2]道具信息!J46="","",[2]道具信息!J46)</f>
        <v>83.333333333333329</v>
      </c>
      <c r="K46" s="15">
        <f>IF([2]道具信息!K46="","",[2]道具信息!K46)</f>
        <v>83.333333333333329</v>
      </c>
      <c r="L46" s="15" t="str">
        <f>IF([2]道具信息!L46="","",[2]道具信息!L46)</f>
        <v/>
      </c>
    </row>
    <row r="47" spans="3:12" x14ac:dyDescent="0.15">
      <c r="C47" s="15" t="str">
        <f>IF([2]道具信息!C47="","",[2]道具信息!C47)</f>
        <v/>
      </c>
      <c r="D47" s="15" t="str">
        <f>IF([2]道具信息!D47="","",[2]道具信息!D47)</f>
        <v>随机橙+宝物碎片</v>
      </c>
      <c r="E47" s="15">
        <f>IF([2]道具信息!E47="","",[2]道具信息!E47)</f>
        <v>333.33333333333331</v>
      </c>
      <c r="F47" s="15">
        <f>IF([2]道具信息!F47="","",[2]道具信息!F47)</f>
        <v>1</v>
      </c>
      <c r="G47" s="15">
        <f>IF([2]道具信息!G47="","",[2]道具信息!G47)</f>
        <v>1</v>
      </c>
      <c r="H47" s="15">
        <f>IF([2]道具信息!H47="","",[2]道具信息!H47)</f>
        <v>1</v>
      </c>
      <c r="I47" s="15">
        <f>IF([2]道具信息!I47="","",[2]道具信息!I47)</f>
        <v>333.33333333333331</v>
      </c>
      <c r="J47" s="15">
        <f>IF([2]道具信息!J47="","",[2]道具信息!J47)</f>
        <v>333.33333333333331</v>
      </c>
      <c r="K47" s="15">
        <f>IF([2]道具信息!K47="","",[2]道具信息!K47)</f>
        <v>333.33333333333331</v>
      </c>
      <c r="L47" s="15" t="str">
        <f>IF([2]道具信息!L47="","",[2]道具信息!L47)</f>
        <v/>
      </c>
    </row>
    <row r="48" spans="3:12" x14ac:dyDescent="0.15">
      <c r="C48" s="15" t="str">
        <f>IF([2]道具信息!C48="","",[2]道具信息!C48)</f>
        <v/>
      </c>
      <c r="D48" s="15" t="str">
        <f>IF([2]道具信息!D48="","",[2]道具信息!D48)</f>
        <v>随机紫色宝物碎片</v>
      </c>
      <c r="E48" s="15">
        <f>IF([2]道具信息!E48="","",[2]道具信息!E48)</f>
        <v>50</v>
      </c>
      <c r="F48" s="15">
        <f>IF([2]道具信息!F48="","",[2]道具信息!F48)</f>
        <v>2.5</v>
      </c>
      <c r="G48" s="15">
        <f>IF([2]道具信息!G48="","",[2]道具信息!G48)</f>
        <v>2.5</v>
      </c>
      <c r="H48" s="15">
        <f>IF([2]道具信息!H48="","",[2]道具信息!H48)</f>
        <v>2.5</v>
      </c>
      <c r="I48" s="15" t="str">
        <f>IF([2]道具信息!I48="","",[2]道具信息!I48)</f>
        <v/>
      </c>
      <c r="J48" s="15" t="str">
        <f>IF([2]道具信息!J48="","",[2]道具信息!J48)</f>
        <v/>
      </c>
      <c r="K48" s="15" t="str">
        <f>IF([2]道具信息!K48="","",[2]道具信息!K48)</f>
        <v/>
      </c>
      <c r="L48" s="15" t="str">
        <f>IF([2]道具信息!L48="","",[2]道具信息!L48)</f>
        <v>配置成了30合1，所以价值为随机紫色宝物/30</v>
      </c>
    </row>
    <row r="49" spans="3:12" x14ac:dyDescent="0.15">
      <c r="C49" s="15" t="str">
        <f>IF([2]道具信息!C49="","",[2]道具信息!C49)</f>
        <v/>
      </c>
      <c r="D49" s="15" t="str">
        <f>IF([2]道具信息!D49="","",[2]道具信息!D49)</f>
        <v>紫色藏宝图</v>
      </c>
      <c r="E49" s="15">
        <f>IF([2]道具信息!E49="","",[2]道具信息!E49)</f>
        <v>137.5</v>
      </c>
      <c r="F49" s="15">
        <f>IF([2]道具信息!F49="","",[2]道具信息!F49)</f>
        <v>1</v>
      </c>
      <c r="G49" s="15">
        <f>IF([2]道具信息!G49="","",[2]道具信息!G49)</f>
        <v>1</v>
      </c>
      <c r="H49" s="15">
        <f>IF([2]道具信息!H49="","",[2]道具信息!H49)</f>
        <v>1</v>
      </c>
      <c r="I49" s="15">
        <f>IF([2]道具信息!I49="","",[2]道具信息!I49)</f>
        <v>137.5</v>
      </c>
      <c r="J49" s="15">
        <f>IF([2]道具信息!J49="","",[2]道具信息!J49)</f>
        <v>137.5</v>
      </c>
      <c r="K49" s="15">
        <f>IF([2]道具信息!K49="","",[2]道具信息!K49)</f>
        <v>137.5</v>
      </c>
      <c r="L49" s="15" t="str">
        <f>IF([2]道具信息!L49="","",[2]道具信息!L49)</f>
        <v/>
      </c>
    </row>
    <row r="50" spans="3:12" x14ac:dyDescent="0.15">
      <c r="C50" s="15" t="str">
        <f>IF([2]道具信息!C50="","",[2]道具信息!C50)</f>
        <v/>
      </c>
      <c r="D50" s="15" t="str">
        <f>IF([2]道具信息!D50="","",[2]道具信息!D50)</f>
        <v>紫色藏宝图碎片</v>
      </c>
      <c r="E50" s="15">
        <f>IF([2]道具信息!E50="","",[2]道具信息!E50)</f>
        <v>13.75</v>
      </c>
      <c r="F50" s="15">
        <f>IF([2]道具信息!F50="","",[2]道具信息!F50)</f>
        <v>1</v>
      </c>
      <c r="G50" s="15">
        <f>IF([2]道具信息!G50="","",[2]道具信息!G50)</f>
        <v>1</v>
      </c>
      <c r="H50" s="15">
        <f>IF([2]道具信息!H50="","",[2]道具信息!H50)</f>
        <v>1</v>
      </c>
      <c r="I50" s="15">
        <f>IF([2]道具信息!I50="","",[2]道具信息!I50)</f>
        <v>13.75</v>
      </c>
      <c r="J50" s="15">
        <f>IF([2]道具信息!J50="","",[2]道具信息!J50)</f>
        <v>13.75</v>
      </c>
      <c r="K50" s="15">
        <f>IF([2]道具信息!K50="","",[2]道具信息!K50)</f>
        <v>13.75</v>
      </c>
      <c r="L50" s="15" t="str">
        <f>IF([2]道具信息!L50="","",[2]道具信息!L50)</f>
        <v/>
      </c>
    </row>
    <row r="51" spans="3:12" x14ac:dyDescent="0.15">
      <c r="C51" s="15" t="str">
        <f>IF([2]道具信息!C51="","",[2]道具信息!C51)</f>
        <v/>
      </c>
      <c r="D51" s="15" t="str">
        <f>IF([2]道具信息!D51="","",[2]道具信息!D51)</f>
        <v/>
      </c>
      <c r="E51" s="15" t="str">
        <f>IF([2]道具信息!E51="","",[2]道具信息!E51)</f>
        <v/>
      </c>
      <c r="F51" s="15" t="str">
        <f>IF([2]道具信息!F51="","",[2]道具信息!F51)</f>
        <v/>
      </c>
      <c r="G51" s="15" t="str">
        <f>IF([2]道具信息!G51="","",[2]道具信息!G51)</f>
        <v/>
      </c>
      <c r="H51" s="15" t="str">
        <f>IF([2]道具信息!H51="","",[2]道具信息!H51)</f>
        <v/>
      </c>
      <c r="I51" s="15" t="str">
        <f>IF([2]道具信息!I51="","",[2]道具信息!I51)</f>
        <v/>
      </c>
      <c r="J51" s="15" t="str">
        <f>IF([2]道具信息!J51="","",[2]道具信息!J51)</f>
        <v/>
      </c>
      <c r="K51" s="15" t="str">
        <f>IF([2]道具信息!K51="","",[2]道具信息!K51)</f>
        <v/>
      </c>
      <c r="L51" s="15" t="str">
        <f>IF([2]道具信息!L51="","",[2]道具信息!L51)</f>
        <v/>
      </c>
    </row>
    <row r="52" spans="3:12" x14ac:dyDescent="0.15">
      <c r="C52" s="15" t="str">
        <f>IF([2]道具信息!C52="","",[2]道具信息!C52)</f>
        <v/>
      </c>
      <c r="D52" s="15" t="str">
        <f>IF([2]道具信息!D52="","",[2]道具信息!D52)</f>
        <v>紫色皮肤</v>
      </c>
      <c r="E52" s="15">
        <f>IF([2]道具信息!E52="","",[2]道具信息!E52)</f>
        <v>6000</v>
      </c>
      <c r="F52" s="15">
        <f>IF([2]道具信息!F52="","",[2]道具信息!F52)</f>
        <v>1</v>
      </c>
      <c r="G52" s="15">
        <f>IF([2]道具信息!G52="","",[2]道具信息!G52)</f>
        <v>1</v>
      </c>
      <c r="H52" s="15">
        <f>IF([2]道具信息!H52="","",[2]道具信息!H52)</f>
        <v>1</v>
      </c>
      <c r="I52" s="15">
        <f>IF([2]道具信息!I52="","",[2]道具信息!I52)</f>
        <v>6000</v>
      </c>
      <c r="J52" s="15">
        <f>IF([2]道具信息!J52="","",[2]道具信息!J52)</f>
        <v>6000</v>
      </c>
      <c r="K52" s="15">
        <f>IF([2]道具信息!K52="","",[2]道具信息!K52)</f>
        <v>6000</v>
      </c>
      <c r="L52" s="15" t="str">
        <f>IF([2]道具信息!L52="","",[2]道具信息!L52)</f>
        <v/>
      </c>
    </row>
    <row r="53" spans="3:12" x14ac:dyDescent="0.15">
      <c r="C53" s="15" t="str">
        <f>IF([2]道具信息!C53="","",[2]道具信息!C53)</f>
        <v/>
      </c>
      <c r="D53" s="15" t="str">
        <f>IF([2]道具信息!D53="","",[2]道具信息!D53)</f>
        <v>橙色皮肤</v>
      </c>
      <c r="E53" s="15">
        <f>IF([2]道具信息!E53="","",[2]道具信息!E53)</f>
        <v>16000</v>
      </c>
      <c r="F53" s="15">
        <f>IF([2]道具信息!F53="","",[2]道具信息!F53)</f>
        <v>1</v>
      </c>
      <c r="G53" s="15">
        <f>IF([2]道具信息!G53="","",[2]道具信息!G53)</f>
        <v>1</v>
      </c>
      <c r="H53" s="15">
        <f>IF([2]道具信息!H53="","",[2]道具信息!H53)</f>
        <v>1</v>
      </c>
      <c r="I53" s="15">
        <f>IF([2]道具信息!I53="","",[2]道具信息!I53)</f>
        <v>16000</v>
      </c>
      <c r="J53" s="15">
        <f>IF([2]道具信息!J53="","",[2]道具信息!J53)</f>
        <v>16000</v>
      </c>
      <c r="K53" s="15">
        <f>IF([2]道具信息!K53="","",[2]道具信息!K53)</f>
        <v>16000</v>
      </c>
      <c r="L53" s="15" t="str">
        <f>IF([2]道具信息!L53="","",[2]道具信息!L53)</f>
        <v/>
      </c>
    </row>
    <row r="54" spans="3:12" x14ac:dyDescent="0.15">
      <c r="C54" s="15" t="str">
        <f>IF([2]道具信息!C54="","",[2]道具信息!C54)</f>
        <v/>
      </c>
      <c r="D54" s="15" t="str">
        <f>IF([2]道具信息!D54="","",[2]道具信息!D54)</f>
        <v>红色皮肤</v>
      </c>
      <c r="E54" s="15">
        <f>IF([2]道具信息!E54="","",[2]道具信息!E54)</f>
        <v>60000</v>
      </c>
      <c r="F54" s="15">
        <f>IF([2]道具信息!F54="","",[2]道具信息!F54)</f>
        <v>1.3333333333333333</v>
      </c>
      <c r="G54" s="15">
        <f>IF([2]道具信息!G54="","",[2]道具信息!G54)</f>
        <v>1.3333333333333333</v>
      </c>
      <c r="H54" s="15">
        <f>IF([2]道具信息!H54="","",[2]道具信息!H54)</f>
        <v>1.3333333333333333</v>
      </c>
      <c r="I54" s="15">
        <f>IF([2]道具信息!I54="","",[2]道具信息!I54)</f>
        <v>80000</v>
      </c>
      <c r="J54" s="15">
        <f>IF([2]道具信息!J54="","",[2]道具信息!J54)</f>
        <v>80000</v>
      </c>
      <c r="K54" s="15">
        <f>IF([2]道具信息!K54="","",[2]道具信息!K54)</f>
        <v>80000</v>
      </c>
      <c r="L54" s="15" t="str">
        <f>IF([2]道具信息!L54="","",[2]道具信息!L54)</f>
        <v/>
      </c>
    </row>
    <row r="55" spans="3:12" x14ac:dyDescent="0.15">
      <c r="C55" s="15" t="str">
        <f>IF([2]道具信息!C55="","",[2]道具信息!C55)</f>
        <v/>
      </c>
      <c r="D55" s="15" t="str">
        <f>IF([2]道具信息!D55="","",[2]道具信息!D55)</f>
        <v>红色皮肤碎片</v>
      </c>
      <c r="E55" s="15">
        <f>IF([2]道具信息!E55="","",[2]道具信息!E55)</f>
        <v>1200</v>
      </c>
      <c r="F55" s="15">
        <f>IF([2]道具信息!F55="","",[2]道具信息!F55)</f>
        <v>1.3333333333333333</v>
      </c>
      <c r="G55" s="15">
        <f>IF([2]道具信息!G55="","",[2]道具信息!G55)</f>
        <v>1.3333333333333333</v>
      </c>
      <c r="H55" s="15">
        <f>IF([2]道具信息!H55="","",[2]道具信息!H55)</f>
        <v>1.3333333333333333</v>
      </c>
      <c r="I55" s="15">
        <f>IF([2]道具信息!I55="","",[2]道具信息!I55)</f>
        <v>1600</v>
      </c>
      <c r="J55" s="15">
        <f>IF([2]道具信息!J55="","",[2]道具信息!J55)</f>
        <v>1600</v>
      </c>
      <c r="K55" s="15">
        <f>IF([2]道具信息!K55="","",[2]道具信息!K55)</f>
        <v>1600</v>
      </c>
      <c r="L55" s="15" t="str">
        <f>IF([2]道具信息!L55="","",[2]道具信息!L55)</f>
        <v/>
      </c>
    </row>
    <row r="56" spans="3:12" x14ac:dyDescent="0.15">
      <c r="C56" s="15" t="str">
        <f>IF([2]道具信息!C56="","",[2]道具信息!C56)</f>
        <v/>
      </c>
      <c r="D56" s="15" t="str">
        <f>IF([2]道具信息!D56="","",[2]道具信息!D56)</f>
        <v/>
      </c>
      <c r="E56" s="15" t="str">
        <f>IF([2]道具信息!E56="","",[2]道具信息!E56)</f>
        <v/>
      </c>
      <c r="F56" s="15" t="str">
        <f>IF([2]道具信息!F56="","",[2]道具信息!F56)</f>
        <v/>
      </c>
      <c r="G56" s="15" t="str">
        <f>IF([2]道具信息!G56="","",[2]道具信息!G56)</f>
        <v/>
      </c>
      <c r="H56" s="15" t="str">
        <f>IF([2]道具信息!H56="","",[2]道具信息!H56)</f>
        <v/>
      </c>
      <c r="I56" s="15" t="str">
        <f>IF([2]道具信息!I56="","",[2]道具信息!I56)</f>
        <v/>
      </c>
      <c r="J56" s="15" t="str">
        <f>IF([2]道具信息!J56="","",[2]道具信息!J56)</f>
        <v/>
      </c>
      <c r="K56" s="15" t="str">
        <f>IF([2]道具信息!K56="","",[2]道具信息!K56)</f>
        <v/>
      </c>
      <c r="L56" s="15" t="str">
        <f>IF([2]道具信息!L56="","",[2]道具信息!L56)</f>
        <v/>
      </c>
    </row>
    <row r="57" spans="3:12" x14ac:dyDescent="0.15">
      <c r="C57" s="15" t="str">
        <f>IF([2]道具信息!C57="","",[2]道具信息!C57)</f>
        <v/>
      </c>
      <c r="D57" s="15" t="str">
        <f>IF([2]道具信息!D57="","",[2]道具信息!D57)</f>
        <v>一阶特性材料</v>
      </c>
      <c r="E57" s="15">
        <f>IF([2]道具信息!E57="","",[2]道具信息!E57)</f>
        <v>1000</v>
      </c>
      <c r="F57" s="15">
        <f>IF([2]道具信息!F57="","",[2]道具信息!F57)</f>
        <v>1</v>
      </c>
      <c r="G57" s="15">
        <f>IF([2]道具信息!G57="","",[2]道具信息!G57)</f>
        <v>1</v>
      </c>
      <c r="H57" s="15">
        <f>IF([2]道具信息!H57="","",[2]道具信息!H57)</f>
        <v>1</v>
      </c>
      <c r="I57" s="15">
        <f>IF([2]道具信息!I57="","",[2]道具信息!I57)</f>
        <v>1000</v>
      </c>
      <c r="J57" s="15">
        <f>IF([2]道具信息!J57="","",[2]道具信息!J57)</f>
        <v>1000</v>
      </c>
      <c r="K57" s="15">
        <f>IF([2]道具信息!K57="","",[2]道具信息!K57)</f>
        <v>1000</v>
      </c>
      <c r="L57" s="15" t="str">
        <f>IF([2]道具信息!L57="","",[2]道具信息!L57)</f>
        <v/>
      </c>
    </row>
    <row r="58" spans="3:12" x14ac:dyDescent="0.15">
      <c r="C58" s="15" t="str">
        <f>IF([2]道具信息!C58="","",[2]道具信息!C58)</f>
        <v/>
      </c>
      <c r="D58" s="15" t="str">
        <f>IF([2]道具信息!D58="","",[2]道具信息!D58)</f>
        <v>二阶特性材料</v>
      </c>
      <c r="E58" s="15">
        <f>IF([2]道具信息!E58="","",[2]道具信息!E58)</f>
        <v>2000</v>
      </c>
      <c r="F58" s="15">
        <f>IF([2]道具信息!F58="","",[2]道具信息!F58)</f>
        <v>1</v>
      </c>
      <c r="G58" s="15">
        <f>IF([2]道具信息!G58="","",[2]道具信息!G58)</f>
        <v>1</v>
      </c>
      <c r="H58" s="15">
        <f>IF([2]道具信息!H58="","",[2]道具信息!H58)</f>
        <v>1</v>
      </c>
      <c r="I58" s="15">
        <f>IF([2]道具信息!I58="","",[2]道具信息!I58)</f>
        <v>2000</v>
      </c>
      <c r="J58" s="15">
        <f>IF([2]道具信息!J58="","",[2]道具信息!J58)</f>
        <v>2000</v>
      </c>
      <c r="K58" s="15">
        <f>IF([2]道具信息!K58="","",[2]道具信息!K58)</f>
        <v>2000</v>
      </c>
      <c r="L58" s="15" t="str">
        <f>IF([2]道具信息!L58="","",[2]道具信息!L58)</f>
        <v/>
      </c>
    </row>
    <row r="59" spans="3:12" x14ac:dyDescent="0.15">
      <c r="C59" s="15" t="str">
        <f>IF([2]道具信息!C59="","",[2]道具信息!C59)</f>
        <v/>
      </c>
      <c r="D59" s="15" t="str">
        <f>IF([2]道具信息!D59="","",[2]道具信息!D59)</f>
        <v>三阶特性材料</v>
      </c>
      <c r="E59" s="15">
        <f>IF([2]道具信息!E59="","",[2]道具信息!E59)</f>
        <v>8000</v>
      </c>
      <c r="F59" s="15">
        <f>IF([2]道具信息!F59="","",[2]道具信息!F59)</f>
        <v>1</v>
      </c>
      <c r="G59" s="15">
        <f>IF([2]道具信息!G59="","",[2]道具信息!G59)</f>
        <v>1</v>
      </c>
      <c r="H59" s="15">
        <f>IF([2]道具信息!H59="","",[2]道具信息!H59)</f>
        <v>1</v>
      </c>
      <c r="I59" s="15">
        <f>IF([2]道具信息!I59="","",[2]道具信息!I59)</f>
        <v>8000</v>
      </c>
      <c r="J59" s="15">
        <f>IF([2]道具信息!J59="","",[2]道具信息!J59)</f>
        <v>8000</v>
      </c>
      <c r="K59" s="15">
        <f>IF([2]道具信息!K59="","",[2]道具信息!K59)</f>
        <v>8000</v>
      </c>
      <c r="L59" s="15" t="str">
        <f>IF([2]道具信息!L59="","",[2]道具信息!L59)</f>
        <v/>
      </c>
    </row>
    <row r="60" spans="3:12" x14ac:dyDescent="0.15">
      <c r="C60" s="15" t="str">
        <f>IF([2]道具信息!C60="","",[2]道具信息!C60)</f>
        <v/>
      </c>
      <c r="D60" s="15" t="str">
        <f>IF([2]道具信息!D60="","",[2]道具信息!D60)</f>
        <v>红色皮肤碎片</v>
      </c>
      <c r="E60" s="15">
        <f>IF([2]道具信息!E60="","",[2]道具信息!E60)</f>
        <v>1200</v>
      </c>
      <c r="F60" s="15">
        <f>IF([2]道具信息!F60="","",[2]道具信息!F60)</f>
        <v>1.3333333333333333</v>
      </c>
      <c r="G60" s="15">
        <f>IF([2]道具信息!G60="","",[2]道具信息!G60)</f>
        <v>1.3333333333333333</v>
      </c>
      <c r="H60" s="15">
        <f>IF([2]道具信息!H60="","",[2]道具信息!H60)</f>
        <v>1.3333333333333333</v>
      </c>
      <c r="I60" s="15" t="str">
        <f>IF([2]道具信息!I60="","",[2]道具信息!I60)</f>
        <v/>
      </c>
      <c r="J60" s="15" t="str">
        <f>IF([2]道具信息!J60="","",[2]道具信息!J60)</f>
        <v/>
      </c>
      <c r="K60" s="15" t="str">
        <f>IF([2]道具信息!K60="","",[2]道具信息!K60)</f>
        <v/>
      </c>
      <c r="L60" s="15" t="str">
        <f>IF([2]道具信息!L60="","",[2]道具信息!L60)</f>
        <v/>
      </c>
    </row>
    <row r="61" spans="3:12" x14ac:dyDescent="0.15">
      <c r="C61" s="15" t="str">
        <f>IF([2]道具信息!C61="","",[2]道具信息!C61)</f>
        <v/>
      </c>
      <c r="D61" s="15" t="str">
        <f>IF([2]道具信息!D61="","",[2]道具信息!D61)</f>
        <v>高级免战牌</v>
      </c>
      <c r="E61" s="15">
        <f>IF([2]道具信息!E61="","",[2]道具信息!E61)</f>
        <v>400</v>
      </c>
      <c r="F61" s="15">
        <f>IF([2]道具信息!F61="","",[2]道具信息!F61)</f>
        <v>1</v>
      </c>
      <c r="G61" s="15">
        <f>IF([2]道具信息!G61="","",[2]道具信息!G61)</f>
        <v>1</v>
      </c>
      <c r="H61" s="15">
        <f>IF([2]道具信息!H61="","",[2]道具信息!H61)</f>
        <v>1</v>
      </c>
      <c r="I61" s="15">
        <f>IF([2]道具信息!I61="","",[2]道具信息!I61)</f>
        <v>400</v>
      </c>
      <c r="J61" s="15">
        <f>IF([2]道具信息!J61="","",[2]道具信息!J61)</f>
        <v>400</v>
      </c>
      <c r="K61" s="15">
        <f>IF([2]道具信息!K61="","",[2]道具信息!K61)</f>
        <v>400</v>
      </c>
      <c r="L61" s="15" t="str">
        <f>IF([2]道具信息!L61="","",[2]道具信息!L61)</f>
        <v/>
      </c>
    </row>
    <row r="62" spans="3:12" x14ac:dyDescent="0.15">
      <c r="C62" s="15" t="str">
        <f>IF([2]道具信息!C62="","",[2]道具信息!C62)</f>
        <v/>
      </c>
      <c r="D62" s="15" t="str">
        <f>IF([2]道具信息!D62="","",[2]道具信息!D62)</f>
        <v>特级免战牌</v>
      </c>
      <c r="E62" s="15">
        <f>IF([2]道具信息!E62="","",[2]道具信息!E62)</f>
        <v>1500</v>
      </c>
      <c r="F62" s="15">
        <f>IF([2]道具信息!F62="","",[2]道具信息!F62)</f>
        <v>1</v>
      </c>
      <c r="G62" s="15">
        <f>IF([2]道具信息!G62="","",[2]道具信息!G62)</f>
        <v>1</v>
      </c>
      <c r="H62" s="15">
        <f>IF([2]道具信息!H62="","",[2]道具信息!H62)</f>
        <v>1</v>
      </c>
      <c r="I62" s="15">
        <f>IF([2]道具信息!I62="","",[2]道具信息!I62)</f>
        <v>1500</v>
      </c>
      <c r="J62" s="15">
        <f>IF([2]道具信息!J62="","",[2]道具信息!J62)</f>
        <v>1500</v>
      </c>
      <c r="K62" s="15">
        <f>IF([2]道具信息!K62="","",[2]道具信息!K62)</f>
        <v>1500</v>
      </c>
      <c r="L62" s="15" t="str">
        <f>IF([2]道具信息!L62="","",[2]道具信息!L62)</f>
        <v/>
      </c>
    </row>
    <row r="63" spans="3:12" x14ac:dyDescent="0.15">
      <c r="C63" s="15" t="str">
        <f>IF([2]道具信息!C63="","",[2]道具信息!C63)</f>
        <v/>
      </c>
      <c r="D63" s="15" t="str">
        <f>IF([2]道具信息!D63="","",[2]道具信息!D63)</f>
        <v>上将印</v>
      </c>
      <c r="E63" s="15">
        <f>IF([2]道具信息!E63="","",[2]道具信息!E63)</f>
        <v>2000</v>
      </c>
      <c r="F63" s="15">
        <f>IF([2]道具信息!F63="","",[2]道具信息!F63)</f>
        <v>1</v>
      </c>
      <c r="G63" s="15">
        <f>IF([2]道具信息!G63="","",[2]道具信息!G63)</f>
        <v>1</v>
      </c>
      <c r="H63" s="15">
        <f>IF([2]道具信息!H63="","",[2]道具信息!H63)</f>
        <v>1</v>
      </c>
      <c r="I63" s="15" t="str">
        <f>IF([2]道具信息!I63="","",[2]道具信息!I63)</f>
        <v/>
      </c>
      <c r="J63" s="15" t="str">
        <f>IF([2]道具信息!J63="","",[2]道具信息!J63)</f>
        <v/>
      </c>
      <c r="K63" s="15" t="str">
        <f>IF([2]道具信息!K63="","",[2]道具信息!K63)</f>
        <v/>
      </c>
      <c r="L63" s="15" t="str">
        <f>IF([2]道具信息!L63="","",[2]道具信息!L63)</f>
        <v/>
      </c>
    </row>
    <row r="64" spans="3:12" x14ac:dyDescent="0.15">
      <c r="C64" s="15" t="str">
        <f>IF([2]道具信息!C64="","",[2]道具信息!C64)</f>
        <v/>
      </c>
      <c r="D64" s="15" t="str">
        <f>IF([2]道具信息!D64="","",[2]道具信息!D64)</f>
        <v>指定or任选紫色兵法碎片</v>
      </c>
      <c r="E64" s="15">
        <f>IF([2]道具信息!E64="","",[2]道具信息!E64)</f>
        <v>75</v>
      </c>
      <c r="F64" s="15">
        <f>IF([2]道具信息!F64="","",[2]道具信息!F64)</f>
        <v>1</v>
      </c>
      <c r="G64" s="15">
        <f>IF([2]道具信息!G64="","",[2]道具信息!G64)</f>
        <v>1</v>
      </c>
      <c r="H64" s="15">
        <f>IF([2]道具信息!H64="","",[2]道具信息!H64)</f>
        <v>1</v>
      </c>
      <c r="I64" s="15">
        <f>IF([2]道具信息!I64="","",[2]道具信息!I64)</f>
        <v>75</v>
      </c>
      <c r="J64" s="15">
        <f>IF([2]道具信息!J64="","",[2]道具信息!J64)</f>
        <v>75</v>
      </c>
      <c r="K64" s="15">
        <f>IF([2]道具信息!K64="","",[2]道具信息!K64)</f>
        <v>75</v>
      </c>
      <c r="L64" s="15" t="str">
        <f>IF([2]道具信息!L64="","",[2]道具信息!L64)</f>
        <v/>
      </c>
    </row>
    <row r="65" spans="3:12" x14ac:dyDescent="0.15">
      <c r="C65" s="15" t="str">
        <f>IF([2]道具信息!C65="","",[2]道具信息!C65)</f>
        <v/>
      </c>
      <c r="D65" s="15" t="str">
        <f>IF([2]道具信息!D65="","",[2]道具信息!D65)</f>
        <v>指定or任选橙色兵法碎片</v>
      </c>
      <c r="E65" s="15">
        <f>IF([2]道具信息!E65="","",[2]道具信息!E65)</f>
        <v>111.66666666666667</v>
      </c>
      <c r="F65" s="15">
        <f>IF([2]道具信息!F65="","",[2]道具信息!F65)</f>
        <v>1</v>
      </c>
      <c r="G65" s="15">
        <f>IF([2]道具信息!G65="","",[2]道具信息!G65)</f>
        <v>1</v>
      </c>
      <c r="H65" s="15">
        <f>IF([2]道具信息!H65="","",[2]道具信息!H65)</f>
        <v>1</v>
      </c>
      <c r="I65" s="15">
        <f>IF([2]道具信息!I65="","",[2]道具信息!I65)</f>
        <v>111.66666666666667</v>
      </c>
      <c r="J65" s="15">
        <f>IF([2]道具信息!J65="","",[2]道具信息!J65)</f>
        <v>111.66666666666667</v>
      </c>
      <c r="K65" s="15">
        <f>IF([2]道具信息!K65="","",[2]道具信息!K65)</f>
        <v>111.66666666666667</v>
      </c>
      <c r="L65" s="15" t="str">
        <f>IF([2]道具信息!L65="","",[2]道具信息!L65)</f>
        <v>凑齐30个碎片可以合成1个将军印，可用于解锁武将的第四个特性</v>
      </c>
    </row>
    <row r="66" spans="3:12" x14ac:dyDescent="0.15">
      <c r="C66" s="15" t="str">
        <f>IF([2]道具信息!C66="","",[2]道具信息!C66)</f>
        <v/>
      </c>
      <c r="D66" s="15" t="str">
        <f>IF([2]道具信息!D66="","",[2]道具信息!D66)</f>
        <v>指定or任选橙+兵法碎片</v>
      </c>
      <c r="E66" s="15">
        <f>IF([2]道具信息!E66="","",[2]道具信息!E66)</f>
        <v>305.5</v>
      </c>
      <c r="F66" s="15">
        <f>IF([2]道具信息!F66="","",[2]道具信息!F66)</f>
        <v>1</v>
      </c>
      <c r="G66" s="15">
        <f>IF([2]道具信息!G66="","",[2]道具信息!G66)</f>
        <v>1</v>
      </c>
      <c r="H66" s="15">
        <f>IF([2]道具信息!H66="","",[2]道具信息!H66)</f>
        <v>1</v>
      </c>
      <c r="I66" s="15">
        <f>IF([2]道具信息!I66="","",[2]道具信息!I66)</f>
        <v>305.5</v>
      </c>
      <c r="J66" s="15">
        <f>IF([2]道具信息!J66="","",[2]道具信息!J66)</f>
        <v>305.5</v>
      </c>
      <c r="K66" s="15">
        <f>IF([2]道具信息!K66="","",[2]道具信息!K66)</f>
        <v>305.5</v>
      </c>
      <c r="L66" s="15" t="str">
        <f>IF([2]道具信息!L66="","",[2]道具信息!L66)</f>
        <v>凑齐30个碎片可以合成1个上将印，可用于升级武将的第四个特性</v>
      </c>
    </row>
    <row r="67" spans="3:12" x14ac:dyDescent="0.15">
      <c r="C67" s="15" t="str">
        <f>IF([2]道具信息!C67="","",[2]道具信息!C67)</f>
        <v/>
      </c>
      <c r="D67" s="15" t="str">
        <f>IF([2]道具信息!D67="","",[2]道具信息!D67)</f>
        <v>统帅印碎片</v>
      </c>
      <c r="E67" s="15">
        <f>IF([2]道具信息!E67="","",[2]道具信息!E67)</f>
        <v>266.66666666666669</v>
      </c>
      <c r="F67" s="15">
        <f>IF([2]道具信息!F67="","",[2]道具信息!F67)</f>
        <v>1</v>
      </c>
      <c r="G67" s="15">
        <f>IF([2]道具信息!G67="","",[2]道具信息!G67)</f>
        <v>1</v>
      </c>
      <c r="H67" s="15">
        <f>IF([2]道具信息!H67="","",[2]道具信息!H67)</f>
        <v>1</v>
      </c>
      <c r="I67" s="15" t="str">
        <f>IF([2]道具信息!I67="","",[2]道具信息!I67)</f>
        <v/>
      </c>
      <c r="J67" s="15" t="str">
        <f>IF([2]道具信息!J67="","",[2]道具信息!J67)</f>
        <v/>
      </c>
      <c r="K67" s="15" t="str">
        <f>IF([2]道具信息!K67="","",[2]道具信息!K67)</f>
        <v/>
      </c>
      <c r="L67" s="15" t="str">
        <f>IF([2]道具信息!L67="","",[2]道具信息!L67)</f>
        <v>凑齐30个碎片可以合成1个统帅印，可用于升级武将的第四个特性</v>
      </c>
    </row>
    <row r="68" spans="3:12" x14ac:dyDescent="0.15">
      <c r="C68" s="15" t="str">
        <f>IF([2]道具信息!C68="","",[2]道具信息!C68)</f>
        <v/>
      </c>
      <c r="D68" s="15" t="str">
        <f>IF([2]道具信息!D68="","",[2]道具信息!D68)</f>
        <v>红色装备自选碎片</v>
      </c>
      <c r="E68" s="15">
        <f>IF([2]道具信息!E68="","",[2]道具信息!E68)</f>
        <v>144</v>
      </c>
      <c r="F68" s="15">
        <f>IF([2]道具信息!F68="","",[2]道具信息!F68)</f>
        <v>1</v>
      </c>
      <c r="G68" s="15">
        <f>IF([2]道具信息!G68="","",[2]道具信息!G68)</f>
        <v>1</v>
      </c>
      <c r="H68" s="15">
        <f>IF([2]道具信息!H68="","",[2]道具信息!H68)</f>
        <v>1</v>
      </c>
      <c r="I68" s="15">
        <f>IF([2]道具信息!I68="","",[2]道具信息!I68)</f>
        <v>144</v>
      </c>
      <c r="J68" s="15">
        <f>IF([2]道具信息!J68="","",[2]道具信息!J68)</f>
        <v>144</v>
      </c>
      <c r="K68" s="15">
        <f>IF([2]道具信息!K68="","",[2]道具信息!K68)</f>
        <v>144</v>
      </c>
      <c r="L68" s="15" t="str">
        <f>IF([2]道具信息!L68="","",[2]道具信息!L68)</f>
        <v/>
      </c>
    </row>
    <row r="69" spans="3:12" x14ac:dyDescent="0.15">
      <c r="C69" s="15" t="str">
        <f>IF([2]道具信息!C69="","",[2]道具信息!C69)</f>
        <v/>
      </c>
      <c r="D69" s="15" t="str">
        <f>IF([2]道具信息!D69="","",[2]道具信息!D69)</f>
        <v>红+装备自选碎片</v>
      </c>
      <c r="E69" s="15">
        <f>IF([2]道具信息!E69="","",[2]道具信息!E69)</f>
        <v>288</v>
      </c>
      <c r="F69" s="15">
        <f>IF([2]道具信息!F69="","",[2]道具信息!F69)</f>
        <v>1.56</v>
      </c>
      <c r="G69" s="15">
        <f>IF([2]道具信息!G69="","",[2]道具信息!G69)</f>
        <v>1.56</v>
      </c>
      <c r="H69" s="15">
        <f>IF([2]道具信息!H69="","",[2]道具信息!H69)</f>
        <v>1.56</v>
      </c>
      <c r="I69" s="15">
        <f>IF([2]道具信息!I69="","",[2]道具信息!I69)</f>
        <v>449.28000000000003</v>
      </c>
      <c r="J69" s="15">
        <f>IF([2]道具信息!J69="","",[2]道具信息!J69)</f>
        <v>449.28000000000003</v>
      </c>
      <c r="K69" s="15">
        <f>IF([2]道具信息!K69="","",[2]道具信息!K69)</f>
        <v>449.28000000000003</v>
      </c>
      <c r="L69" s="15" t="str">
        <f>IF([2]道具信息!L69="","",[2]道具信息!L69)</f>
        <v/>
      </c>
    </row>
    <row r="70" spans="3:12" x14ac:dyDescent="0.15">
      <c r="C70" s="15" t="str">
        <f>IF([2]道具信息!C70="","",[2]道具信息!C70)</f>
        <v/>
      </c>
      <c r="D70" s="15" t="str">
        <f>IF([2]道具信息!D70="","",[2]道具信息!D70)</f>
        <v>特级免战牌</v>
      </c>
      <c r="E70" s="15">
        <f>IF([2]道具信息!E70="","",[2]道具信息!E70)</f>
        <v>1500</v>
      </c>
      <c r="F70" s="15">
        <f>IF([2]道具信息!F70="","",[2]道具信息!F70)</f>
        <v>1</v>
      </c>
      <c r="G70" s="15">
        <f>IF([2]道具信息!G70="","",[2]道具信息!G70)</f>
        <v>1</v>
      </c>
      <c r="H70" s="15">
        <f>IF([2]道具信息!H70="","",[2]道具信息!H70)</f>
        <v>1</v>
      </c>
      <c r="I70" s="15" t="str">
        <f>IF([2]道具信息!I70="","",[2]道具信息!I70)</f>
        <v/>
      </c>
      <c r="J70" s="15" t="str">
        <f>IF([2]道具信息!J70="","",[2]道具信息!J70)</f>
        <v/>
      </c>
      <c r="K70" s="15" t="str">
        <f>IF([2]道具信息!K70="","",[2]道具信息!K70)</f>
        <v/>
      </c>
      <c r="L70" s="15" t="str">
        <f>IF([2]道具信息!L70="","",[2]道具信息!L70)</f>
        <v/>
      </c>
    </row>
    <row r="71" spans="3:12" x14ac:dyDescent="0.15">
      <c r="C71" s="15" t="str">
        <f>IF([2]道具信息!C71="","",[2]道具信息!C71)</f>
        <v/>
      </c>
      <c r="D71" s="15" t="str">
        <f>IF([2]道具信息!D71="","",[2]道具信息!D71)</f>
        <v>绿色军团馈赠</v>
      </c>
      <c r="E71" s="15">
        <f>IF([2]道具信息!E71="","",[2]道具信息!E71)</f>
        <v>20</v>
      </c>
      <c r="F71" s="15">
        <f>IF([2]道具信息!F71="","",[2]道具信息!F71)</f>
        <v>1</v>
      </c>
      <c r="G71" s="15">
        <f>IF([2]道具信息!G71="","",[2]道具信息!G71)</f>
        <v>1</v>
      </c>
      <c r="H71" s="15">
        <f>IF([2]道具信息!H71="","",[2]道具信息!H71)</f>
        <v>1</v>
      </c>
      <c r="I71" s="15">
        <f>IF([2]道具信息!I71="","",[2]道具信息!I71)</f>
        <v>20</v>
      </c>
      <c r="J71" s="15">
        <f>IF([2]道具信息!J71="","",[2]道具信息!J71)</f>
        <v>20</v>
      </c>
      <c r="K71" s="15">
        <f>IF([2]道具信息!K71="","",[2]道具信息!K71)</f>
        <v>20</v>
      </c>
      <c r="L71" s="15" t="str">
        <f>IF([2]道具信息!L71="","",[2]道具信息!L71)</f>
        <v/>
      </c>
    </row>
    <row r="72" spans="3:12" x14ac:dyDescent="0.15">
      <c r="C72" s="15" t="str">
        <f>IF([2]道具信息!C72="","",[2]道具信息!C72)</f>
        <v/>
      </c>
      <c r="D72" s="15" t="str">
        <f>IF([2]道具信息!D72="","",[2]道具信息!D72)</f>
        <v>蓝色军团馈赠</v>
      </c>
      <c r="E72" s="15">
        <f>IF([2]道具信息!E72="","",[2]道具信息!E72)</f>
        <v>100</v>
      </c>
      <c r="F72" s="15">
        <f>IF([2]道具信息!F72="","",[2]道具信息!F72)</f>
        <v>1</v>
      </c>
      <c r="G72" s="15">
        <f>IF([2]道具信息!G72="","",[2]道具信息!G72)</f>
        <v>1</v>
      </c>
      <c r="H72" s="15">
        <f>IF([2]道具信息!H72="","",[2]道具信息!H72)</f>
        <v>1</v>
      </c>
      <c r="I72" s="15">
        <f>IF([2]道具信息!I72="","",[2]道具信息!I72)</f>
        <v>100</v>
      </c>
      <c r="J72" s="15">
        <f>IF([2]道具信息!J72="","",[2]道具信息!J72)</f>
        <v>100</v>
      </c>
      <c r="K72" s="15">
        <f>IF([2]道具信息!K72="","",[2]道具信息!K72)</f>
        <v>100</v>
      </c>
      <c r="L72" s="15" t="str">
        <f>IF([2]道具信息!L72="","",[2]道具信息!L72)</f>
        <v/>
      </c>
    </row>
    <row r="73" spans="3:12" x14ac:dyDescent="0.15">
      <c r="C73" s="15" t="str">
        <f>IF([2]道具信息!C73="","",[2]道具信息!C73)</f>
        <v/>
      </c>
      <c r="D73" s="15" t="str">
        <f>IF([2]道具信息!D73="","",[2]道具信息!D73)</f>
        <v>紫色军团馈赠</v>
      </c>
      <c r="E73" s="15">
        <f>IF([2]道具信息!E73="","",[2]道具信息!E73)</f>
        <v>500</v>
      </c>
      <c r="F73" s="15">
        <f>IF([2]道具信息!F73="","",[2]道具信息!F73)</f>
        <v>1</v>
      </c>
      <c r="G73" s="15">
        <f>IF([2]道具信息!G73="","",[2]道具信息!G73)</f>
        <v>1</v>
      </c>
      <c r="H73" s="15">
        <f>IF([2]道具信息!H73="","",[2]道具信息!H73)</f>
        <v>1</v>
      </c>
      <c r="I73" s="15">
        <f>IF([2]道具信息!I73="","",[2]道具信息!I73)</f>
        <v>500</v>
      </c>
      <c r="J73" s="15">
        <f>IF([2]道具信息!J73="","",[2]道具信息!J73)</f>
        <v>500</v>
      </c>
      <c r="K73" s="15">
        <f>IF([2]道具信息!K73="","",[2]道具信息!K73)</f>
        <v>500</v>
      </c>
      <c r="L73" s="15" t="str">
        <f>IF([2]道具信息!L73="","",[2]道具信息!L73)</f>
        <v/>
      </c>
    </row>
    <row r="74" spans="3:12" x14ac:dyDescent="0.15">
      <c r="C74" s="15" t="str">
        <f>IF([2]道具信息!C74="","",[2]道具信息!C74)</f>
        <v/>
      </c>
      <c r="D74" s="15" t="str">
        <f>IF([2]道具信息!D74="","",[2]道具信息!D74)</f>
        <v>橙色军团馈赠</v>
      </c>
      <c r="E74" s="15">
        <f>IF([2]道具信息!E74="","",[2]道具信息!E74)</f>
        <v>2000</v>
      </c>
      <c r="F74" s="15">
        <f>IF([2]道具信息!F74="","",[2]道具信息!F74)</f>
        <v>1</v>
      </c>
      <c r="G74" s="15">
        <f>IF([2]道具信息!G74="","",[2]道具信息!G74)</f>
        <v>1</v>
      </c>
      <c r="H74" s="15">
        <f>IF([2]道具信息!H74="","",[2]道具信息!H74)</f>
        <v>1</v>
      </c>
      <c r="I74" s="15">
        <f>IF([2]道具信息!I74="","",[2]道具信息!I74)</f>
        <v>2000</v>
      </c>
      <c r="J74" s="15">
        <f>IF([2]道具信息!J74="","",[2]道具信息!J74)</f>
        <v>2000</v>
      </c>
      <c r="K74" s="15">
        <f>IF([2]道具信息!K74="","",[2]道具信息!K74)</f>
        <v>2000</v>
      </c>
      <c r="L74" s="15" t="str">
        <f>IF([2]道具信息!L74="","",[2]道具信息!L74)</f>
        <v/>
      </c>
    </row>
    <row r="75" spans="3:12" x14ac:dyDescent="0.15">
      <c r="C75" s="15" t="str">
        <f>IF([2]道具信息!C75="","",[2]道具信息!C75)</f>
        <v/>
      </c>
      <c r="D75" s="15" t="str">
        <f>IF([2]道具信息!D75="","",[2]道具信息!D75)</f>
        <v/>
      </c>
      <c r="E75" s="15" t="str">
        <f>IF([2]道具信息!E75="","",[2]道具信息!E75)</f>
        <v/>
      </c>
      <c r="F75" s="15" t="str">
        <f>IF([2]道具信息!F75="","",[2]道具信息!F75)</f>
        <v/>
      </c>
      <c r="G75" s="15" t="str">
        <f>IF([2]道具信息!G75="","",[2]道具信息!G75)</f>
        <v/>
      </c>
      <c r="H75" s="15" t="str">
        <f>IF([2]道具信息!H75="","",[2]道具信息!H75)</f>
        <v/>
      </c>
      <c r="I75" s="15" t="str">
        <f>IF([2]道具信息!I75="","",[2]道具信息!I75)</f>
        <v/>
      </c>
      <c r="J75" s="15" t="str">
        <f>IF([2]道具信息!J75="","",[2]道具信息!J75)</f>
        <v/>
      </c>
      <c r="K75" s="15" t="str">
        <f>IF([2]道具信息!K75="","",[2]道具信息!K75)</f>
        <v/>
      </c>
      <c r="L75" s="15" t="str">
        <f>IF([2]道具信息!L75="","",[2]道具信息!L75)</f>
        <v/>
      </c>
    </row>
    <row r="76" spans="3:12" x14ac:dyDescent="0.15">
      <c r="C76" s="15">
        <f>IF([2]道具信息!C76="","",[2]道具信息!C76)</f>
        <v>21001</v>
      </c>
      <c r="D76" s="15" t="str">
        <f>IF([2]道具信息!D76="","",[2]道具信息!D76)</f>
        <v>一担粮食</v>
      </c>
      <c r="E76" s="15">
        <f>IF([2]道具信息!E76="","",[2]道具信息!E76)</f>
        <v>6</v>
      </c>
      <c r="F76" s="15">
        <f>IF([2]道具信息!F76="","",[2]道具信息!F76)</f>
        <v>1</v>
      </c>
      <c r="G76" s="15">
        <f>IF([2]道具信息!G76="","",[2]道具信息!G76)</f>
        <v>1</v>
      </c>
      <c r="H76" s="15">
        <f>IF([2]道具信息!H76="","",[2]道具信息!H76)</f>
        <v>1</v>
      </c>
      <c r="I76" s="15">
        <f>IF([2]道具信息!I76="","",[2]道具信息!I76)</f>
        <v>6</v>
      </c>
      <c r="J76" s="15">
        <f>IF([2]道具信息!J76="","",[2]道具信息!J76)</f>
        <v>6</v>
      </c>
      <c r="K76" s="15">
        <f>IF([2]道具信息!K76="","",[2]道具信息!K76)</f>
        <v>6</v>
      </c>
      <c r="L76" s="15" t="str">
        <f>IF([2]道具信息!L76="","",[2]道具信息!L76)</f>
        <v>使用后获得10000安全粮食</v>
      </c>
    </row>
    <row r="77" spans="3:12" x14ac:dyDescent="0.15">
      <c r="C77" s="15">
        <f>IF([2]道具信息!C77="","",[2]道具信息!C77)</f>
        <v>21002</v>
      </c>
      <c r="D77" s="15" t="str">
        <f>IF([2]道具信息!D77="","",[2]道具信息!D77)</f>
        <v>一堆粮食</v>
      </c>
      <c r="E77" s="15">
        <f>IF([2]道具信息!E77="","",[2]道具信息!E77)</f>
        <v>20</v>
      </c>
      <c r="F77" s="15">
        <f>IF([2]道具信息!F77="","",[2]道具信息!F77)</f>
        <v>1</v>
      </c>
      <c r="G77" s="15">
        <f>IF([2]道具信息!G77="","",[2]道具信息!G77)</f>
        <v>1</v>
      </c>
      <c r="H77" s="15">
        <f>IF([2]道具信息!H77="","",[2]道具信息!H77)</f>
        <v>1</v>
      </c>
      <c r="I77" s="15">
        <f>IF([2]道具信息!I77="","",[2]道具信息!I77)</f>
        <v>20</v>
      </c>
      <c r="J77" s="15">
        <f>IF([2]道具信息!J77="","",[2]道具信息!J77)</f>
        <v>20</v>
      </c>
      <c r="K77" s="15">
        <f>IF([2]道具信息!K77="","",[2]道具信息!K77)</f>
        <v>20</v>
      </c>
      <c r="L77" s="15" t="str">
        <f>IF([2]道具信息!L77="","",[2]道具信息!L77)</f>
        <v>使用后获得50000安全粮食</v>
      </c>
    </row>
    <row r="78" spans="3:12" x14ac:dyDescent="0.15">
      <c r="C78" s="15">
        <f>IF([2]道具信息!C78="","",[2]道具信息!C78)</f>
        <v>21003</v>
      </c>
      <c r="D78" s="15" t="str">
        <f>IF([2]道具信息!D78="","",[2]道具信息!D78)</f>
        <v>一箱粮食</v>
      </c>
      <c r="E78" s="15">
        <f>IF([2]道具信息!E78="","",[2]道具信息!E78)</f>
        <v>45</v>
      </c>
      <c r="F78" s="15">
        <f>IF([2]道具信息!F78="","",[2]道具信息!F78)</f>
        <v>1.333</v>
      </c>
      <c r="G78" s="15">
        <f>IF([2]道具信息!G78="","",[2]道具信息!G78)</f>
        <v>1</v>
      </c>
      <c r="H78" s="15">
        <f>IF([2]道具信息!H78="","",[2]道具信息!H78)</f>
        <v>1</v>
      </c>
      <c r="I78" s="15">
        <f>IF([2]道具信息!I78="","",[2]道具信息!I78)</f>
        <v>59.984999999999999</v>
      </c>
      <c r="J78" s="15">
        <f>IF([2]道具信息!J78="","",[2]道具信息!J78)</f>
        <v>45</v>
      </c>
      <c r="K78" s="15">
        <f>IF([2]道具信息!K78="","",[2]道具信息!K78)</f>
        <v>45</v>
      </c>
      <c r="L78" s="15" t="str">
        <f>IF([2]道具信息!L78="","",[2]道具信息!L78)</f>
        <v>使用后获得150000安全粮食</v>
      </c>
    </row>
    <row r="79" spans="3:12" x14ac:dyDescent="0.15">
      <c r="C79" s="15">
        <f>IF([2]道具信息!C79="","",[2]道具信息!C79)</f>
        <v>21004</v>
      </c>
      <c r="D79" s="15" t="str">
        <f>IF([2]道具信息!D79="","",[2]道具信息!D79)</f>
        <v>一车粮食</v>
      </c>
      <c r="E79" s="15">
        <f>IF([2]道具信息!E79="","",[2]道具信息!E79)</f>
        <v>100</v>
      </c>
      <c r="F79" s="15">
        <f>IF([2]道具信息!F79="","",[2]道具信息!F79)</f>
        <v>2</v>
      </c>
      <c r="G79" s="15">
        <f>IF([2]道具信息!G79="","",[2]道具信息!G79)</f>
        <v>1.5</v>
      </c>
      <c r="H79" s="15">
        <f>IF([2]道具信息!H79="","",[2]道具信息!H79)</f>
        <v>1</v>
      </c>
      <c r="I79" s="15">
        <f>IF([2]道具信息!I79="","",[2]道具信息!I79)</f>
        <v>200</v>
      </c>
      <c r="J79" s="15">
        <f>IF([2]道具信息!J79="","",[2]道具信息!J79)</f>
        <v>150</v>
      </c>
      <c r="K79" s="15">
        <f>IF([2]道具信息!K79="","",[2]道具信息!K79)</f>
        <v>100</v>
      </c>
      <c r="L79" s="15" t="str">
        <f>IF([2]道具信息!L79="","",[2]道具信息!L79)</f>
        <v>使用后获得500000安全粮食</v>
      </c>
    </row>
    <row r="80" spans="3:12" x14ac:dyDescent="0.15">
      <c r="C80" s="15">
        <f>IF([2]道具信息!C80="","",[2]道具信息!C80)</f>
        <v>21005</v>
      </c>
      <c r="D80" s="15" t="str">
        <f>IF([2]道具信息!D80="","",[2]道具信息!D80)</f>
        <v>一担木材</v>
      </c>
      <c r="E80" s="15">
        <f>IF([2]道具信息!E80="","",[2]道具信息!E80)</f>
        <v>6</v>
      </c>
      <c r="F80" s="15">
        <f>IF([2]道具信息!F80="","",[2]道具信息!F80)</f>
        <v>1</v>
      </c>
      <c r="G80" s="15">
        <f>IF([2]道具信息!G80="","",[2]道具信息!G80)</f>
        <v>1</v>
      </c>
      <c r="H80" s="15">
        <f>IF([2]道具信息!H80="","",[2]道具信息!H80)</f>
        <v>1</v>
      </c>
      <c r="I80" s="15">
        <f>IF([2]道具信息!I80="","",[2]道具信息!I80)</f>
        <v>6</v>
      </c>
      <c r="J80" s="15">
        <f>IF([2]道具信息!J80="","",[2]道具信息!J80)</f>
        <v>6</v>
      </c>
      <c r="K80" s="15">
        <f>IF([2]道具信息!K80="","",[2]道具信息!K80)</f>
        <v>6</v>
      </c>
      <c r="L80" s="15" t="str">
        <f>IF([2]道具信息!L80="","",[2]道具信息!L80)</f>
        <v>使用后获得10000安全木材</v>
      </c>
    </row>
    <row r="81" spans="3:12" x14ac:dyDescent="0.15">
      <c r="C81" s="15">
        <f>IF([2]道具信息!C81="","",[2]道具信息!C81)</f>
        <v>21006</v>
      </c>
      <c r="D81" s="15" t="str">
        <f>IF([2]道具信息!D81="","",[2]道具信息!D81)</f>
        <v>一堆木材</v>
      </c>
      <c r="E81" s="15">
        <f>IF([2]道具信息!E81="","",[2]道具信息!E81)</f>
        <v>20</v>
      </c>
      <c r="F81" s="15">
        <f>IF([2]道具信息!F81="","",[2]道具信息!F81)</f>
        <v>1</v>
      </c>
      <c r="G81" s="15">
        <f>IF([2]道具信息!G81="","",[2]道具信息!G81)</f>
        <v>1</v>
      </c>
      <c r="H81" s="15">
        <f>IF([2]道具信息!H81="","",[2]道具信息!H81)</f>
        <v>1</v>
      </c>
      <c r="I81" s="15">
        <f>IF([2]道具信息!I81="","",[2]道具信息!I81)</f>
        <v>20</v>
      </c>
      <c r="J81" s="15">
        <f>IF([2]道具信息!J81="","",[2]道具信息!J81)</f>
        <v>20</v>
      </c>
      <c r="K81" s="15">
        <f>IF([2]道具信息!K81="","",[2]道具信息!K81)</f>
        <v>20</v>
      </c>
      <c r="L81" s="15" t="str">
        <f>IF([2]道具信息!L81="","",[2]道具信息!L81)</f>
        <v>使用后获得50000安全木材</v>
      </c>
    </row>
    <row r="82" spans="3:12" x14ac:dyDescent="0.15">
      <c r="C82" s="15">
        <f>IF([2]道具信息!C82="","",[2]道具信息!C82)</f>
        <v>21007</v>
      </c>
      <c r="D82" s="15" t="str">
        <f>IF([2]道具信息!D82="","",[2]道具信息!D82)</f>
        <v>一箱木材</v>
      </c>
      <c r="E82" s="15">
        <f>IF([2]道具信息!E82="","",[2]道具信息!E82)</f>
        <v>45</v>
      </c>
      <c r="F82" s="15">
        <f>IF([2]道具信息!F82="","",[2]道具信息!F82)</f>
        <v>1.333</v>
      </c>
      <c r="G82" s="15">
        <f>IF([2]道具信息!G82="","",[2]道具信息!G82)</f>
        <v>1</v>
      </c>
      <c r="H82" s="15">
        <f>IF([2]道具信息!H82="","",[2]道具信息!H82)</f>
        <v>1</v>
      </c>
      <c r="I82" s="15">
        <f>IF([2]道具信息!I82="","",[2]道具信息!I82)</f>
        <v>59.984999999999999</v>
      </c>
      <c r="J82" s="15">
        <f>IF([2]道具信息!J82="","",[2]道具信息!J82)</f>
        <v>45</v>
      </c>
      <c r="K82" s="15">
        <f>IF([2]道具信息!K82="","",[2]道具信息!K82)</f>
        <v>45</v>
      </c>
      <c r="L82" s="15" t="str">
        <f>IF([2]道具信息!L82="","",[2]道具信息!L82)</f>
        <v>使用后获得150000安全木材</v>
      </c>
    </row>
    <row r="83" spans="3:12" x14ac:dyDescent="0.15">
      <c r="C83" s="15">
        <f>IF([2]道具信息!C83="","",[2]道具信息!C83)</f>
        <v>21008</v>
      </c>
      <c r="D83" s="15" t="str">
        <f>IF([2]道具信息!D83="","",[2]道具信息!D83)</f>
        <v>一车木材</v>
      </c>
      <c r="E83" s="15">
        <f>IF([2]道具信息!E83="","",[2]道具信息!E83)</f>
        <v>100</v>
      </c>
      <c r="F83" s="15">
        <f>IF([2]道具信息!F83="","",[2]道具信息!F83)</f>
        <v>2</v>
      </c>
      <c r="G83" s="15">
        <f>IF([2]道具信息!G83="","",[2]道具信息!G83)</f>
        <v>1.5</v>
      </c>
      <c r="H83" s="15">
        <f>IF([2]道具信息!H83="","",[2]道具信息!H83)</f>
        <v>1</v>
      </c>
      <c r="I83" s="15">
        <f>IF([2]道具信息!I83="","",[2]道具信息!I83)</f>
        <v>200</v>
      </c>
      <c r="J83" s="15">
        <f>IF([2]道具信息!J83="","",[2]道具信息!J83)</f>
        <v>150</v>
      </c>
      <c r="K83" s="15">
        <f>IF([2]道具信息!K83="","",[2]道具信息!K83)</f>
        <v>100</v>
      </c>
      <c r="L83" s="15" t="str">
        <f>IF([2]道具信息!L83="","",[2]道具信息!L83)</f>
        <v>使用后获得500000安全木材</v>
      </c>
    </row>
    <row r="84" spans="3:12" x14ac:dyDescent="0.15">
      <c r="C84" s="15">
        <f>IF([2]道具信息!C84="","",[2]道具信息!C84)</f>
        <v>21009</v>
      </c>
      <c r="D84" s="15" t="str">
        <f>IF([2]道具信息!D84="","",[2]道具信息!D84)</f>
        <v>一担石料</v>
      </c>
      <c r="E84" s="15">
        <f>IF([2]道具信息!E84="","",[2]道具信息!E84)</f>
        <v>6</v>
      </c>
      <c r="F84" s="15">
        <f>IF([2]道具信息!F84="","",[2]道具信息!F84)</f>
        <v>1</v>
      </c>
      <c r="G84" s="15">
        <f>IF([2]道具信息!G84="","",[2]道具信息!G84)</f>
        <v>1</v>
      </c>
      <c r="H84" s="15">
        <f>IF([2]道具信息!H84="","",[2]道具信息!H84)</f>
        <v>1</v>
      </c>
      <c r="I84" s="15">
        <f>IF([2]道具信息!I84="","",[2]道具信息!I84)</f>
        <v>6</v>
      </c>
      <c r="J84" s="15">
        <f>IF([2]道具信息!J84="","",[2]道具信息!J84)</f>
        <v>6</v>
      </c>
      <c r="K84" s="15">
        <f>IF([2]道具信息!K84="","",[2]道具信息!K84)</f>
        <v>6</v>
      </c>
      <c r="L84" s="15" t="str">
        <f>IF([2]道具信息!L84="","",[2]道具信息!L84)</f>
        <v>使用后获得10000安全石料</v>
      </c>
    </row>
    <row r="85" spans="3:12" x14ac:dyDescent="0.15">
      <c r="C85" s="15">
        <f>IF([2]道具信息!C85="","",[2]道具信息!C85)</f>
        <v>21010</v>
      </c>
      <c r="D85" s="15" t="str">
        <f>IF([2]道具信息!D85="","",[2]道具信息!D85)</f>
        <v>一堆石料</v>
      </c>
      <c r="E85" s="15">
        <f>IF([2]道具信息!E85="","",[2]道具信息!E85)</f>
        <v>20</v>
      </c>
      <c r="F85" s="15">
        <f>IF([2]道具信息!F85="","",[2]道具信息!F85)</f>
        <v>1</v>
      </c>
      <c r="G85" s="15">
        <f>IF([2]道具信息!G85="","",[2]道具信息!G85)</f>
        <v>1</v>
      </c>
      <c r="H85" s="15">
        <f>IF([2]道具信息!H85="","",[2]道具信息!H85)</f>
        <v>1</v>
      </c>
      <c r="I85" s="15">
        <f>IF([2]道具信息!I85="","",[2]道具信息!I85)</f>
        <v>20</v>
      </c>
      <c r="J85" s="15">
        <f>IF([2]道具信息!J85="","",[2]道具信息!J85)</f>
        <v>20</v>
      </c>
      <c r="K85" s="15">
        <f>IF([2]道具信息!K85="","",[2]道具信息!K85)</f>
        <v>20</v>
      </c>
      <c r="L85" s="15" t="str">
        <f>IF([2]道具信息!L85="","",[2]道具信息!L85)</f>
        <v>使用后获得50000安全石料</v>
      </c>
    </row>
    <row r="86" spans="3:12" x14ac:dyDescent="0.15">
      <c r="C86" s="15">
        <f>IF([2]道具信息!C86="","",[2]道具信息!C86)</f>
        <v>21011</v>
      </c>
      <c r="D86" s="15" t="str">
        <f>IF([2]道具信息!D86="","",[2]道具信息!D86)</f>
        <v>一箱石料</v>
      </c>
      <c r="E86" s="15">
        <f>IF([2]道具信息!E86="","",[2]道具信息!E86)</f>
        <v>45</v>
      </c>
      <c r="F86" s="15">
        <f>IF([2]道具信息!F86="","",[2]道具信息!F86)</f>
        <v>1.333</v>
      </c>
      <c r="G86" s="15">
        <f>IF([2]道具信息!G86="","",[2]道具信息!G86)</f>
        <v>1</v>
      </c>
      <c r="H86" s="15">
        <f>IF([2]道具信息!H86="","",[2]道具信息!H86)</f>
        <v>1</v>
      </c>
      <c r="I86" s="15">
        <f>IF([2]道具信息!I86="","",[2]道具信息!I86)</f>
        <v>59.984999999999999</v>
      </c>
      <c r="J86" s="15">
        <f>IF([2]道具信息!J86="","",[2]道具信息!J86)</f>
        <v>45</v>
      </c>
      <c r="K86" s="15">
        <f>IF([2]道具信息!K86="","",[2]道具信息!K86)</f>
        <v>45</v>
      </c>
      <c r="L86" s="15" t="str">
        <f>IF([2]道具信息!L86="","",[2]道具信息!L86)</f>
        <v>使用后获得150000安全石料</v>
      </c>
    </row>
    <row r="87" spans="3:12" x14ac:dyDescent="0.15">
      <c r="C87" s="15">
        <f>IF([2]道具信息!C87="","",[2]道具信息!C87)</f>
        <v>21012</v>
      </c>
      <c r="D87" s="15" t="str">
        <f>IF([2]道具信息!D87="","",[2]道具信息!D87)</f>
        <v>一车石料</v>
      </c>
      <c r="E87" s="15">
        <f>IF([2]道具信息!E87="","",[2]道具信息!E87)</f>
        <v>100</v>
      </c>
      <c r="F87" s="15">
        <f>IF([2]道具信息!F87="","",[2]道具信息!F87)</f>
        <v>2</v>
      </c>
      <c r="G87" s="15">
        <f>IF([2]道具信息!G87="","",[2]道具信息!G87)</f>
        <v>1.5</v>
      </c>
      <c r="H87" s="15">
        <f>IF([2]道具信息!H87="","",[2]道具信息!H87)</f>
        <v>1</v>
      </c>
      <c r="I87" s="15">
        <f>IF([2]道具信息!I87="","",[2]道具信息!I87)</f>
        <v>200</v>
      </c>
      <c r="J87" s="15">
        <f>IF([2]道具信息!J87="","",[2]道具信息!J87)</f>
        <v>150</v>
      </c>
      <c r="K87" s="15">
        <f>IF([2]道具信息!K87="","",[2]道具信息!K87)</f>
        <v>100</v>
      </c>
      <c r="L87" s="15" t="str">
        <f>IF([2]道具信息!L87="","",[2]道具信息!L87)</f>
        <v>使用后获得500000安全石料</v>
      </c>
    </row>
    <row r="88" spans="3:12" x14ac:dyDescent="0.15">
      <c r="C88" s="15">
        <f>IF([2]道具信息!C88="","",[2]道具信息!C88)</f>
        <v>21013</v>
      </c>
      <c r="D88" s="15" t="str">
        <f>IF([2]道具信息!D88="","",[2]道具信息!D88)</f>
        <v>一担铁矿</v>
      </c>
      <c r="E88" s="15">
        <f>IF([2]道具信息!E88="","",[2]道具信息!E88)</f>
        <v>12</v>
      </c>
      <c r="F88" s="15">
        <f>IF([2]道具信息!F88="","",[2]道具信息!F88)</f>
        <v>1</v>
      </c>
      <c r="G88" s="15">
        <f>IF([2]道具信息!G88="","",[2]道具信息!G88)</f>
        <v>1</v>
      </c>
      <c r="H88" s="15">
        <f>IF([2]道具信息!H88="","",[2]道具信息!H88)</f>
        <v>1</v>
      </c>
      <c r="I88" s="15">
        <f>IF([2]道具信息!I88="","",[2]道具信息!I88)</f>
        <v>12</v>
      </c>
      <c r="J88" s="15">
        <f>IF([2]道具信息!J88="","",[2]道具信息!J88)</f>
        <v>12</v>
      </c>
      <c r="K88" s="15">
        <f>IF([2]道具信息!K88="","",[2]道具信息!K88)</f>
        <v>12</v>
      </c>
      <c r="L88" s="15" t="str">
        <f>IF([2]道具信息!L88="","",[2]道具信息!L88)</f>
        <v>使用后获得10000安全铁矿</v>
      </c>
    </row>
    <row r="89" spans="3:12" x14ac:dyDescent="0.15">
      <c r="C89" s="15">
        <f>IF([2]道具信息!C89="","",[2]道具信息!C89)</f>
        <v>21014</v>
      </c>
      <c r="D89" s="15" t="str">
        <f>IF([2]道具信息!D89="","",[2]道具信息!D89)</f>
        <v>一堆铁矿</v>
      </c>
      <c r="E89" s="15">
        <f>IF([2]道具信息!E89="","",[2]道具信息!E89)</f>
        <v>40</v>
      </c>
      <c r="F89" s="15">
        <f>IF([2]道具信息!F89="","",[2]道具信息!F89)</f>
        <v>1</v>
      </c>
      <c r="G89" s="15">
        <f>IF([2]道具信息!G89="","",[2]道具信息!G89)</f>
        <v>1</v>
      </c>
      <c r="H89" s="15">
        <f>IF([2]道具信息!H89="","",[2]道具信息!H89)</f>
        <v>1</v>
      </c>
      <c r="I89" s="15">
        <f>IF([2]道具信息!I89="","",[2]道具信息!I89)</f>
        <v>40</v>
      </c>
      <c r="J89" s="15">
        <f>IF([2]道具信息!J89="","",[2]道具信息!J89)</f>
        <v>40</v>
      </c>
      <c r="K89" s="15">
        <f>IF([2]道具信息!K89="","",[2]道具信息!K89)</f>
        <v>40</v>
      </c>
      <c r="L89" s="15" t="str">
        <f>IF([2]道具信息!L89="","",[2]道具信息!L89)</f>
        <v>使用后获得50000安全铁矿</v>
      </c>
    </row>
    <row r="90" spans="3:12" x14ac:dyDescent="0.15">
      <c r="C90" s="15">
        <f>IF([2]道具信息!C90="","",[2]道具信息!C90)</f>
        <v>21015</v>
      </c>
      <c r="D90" s="15" t="str">
        <f>IF([2]道具信息!D90="","",[2]道具信息!D90)</f>
        <v>一箱铁矿</v>
      </c>
      <c r="E90" s="15">
        <f>IF([2]道具信息!E90="","",[2]道具信息!E90)</f>
        <v>90</v>
      </c>
      <c r="F90" s="15">
        <f>IF([2]道具信息!F90="","",[2]道具信息!F90)</f>
        <v>1.333</v>
      </c>
      <c r="G90" s="15">
        <f>IF([2]道具信息!G90="","",[2]道具信息!G90)</f>
        <v>1</v>
      </c>
      <c r="H90" s="15">
        <f>IF([2]道具信息!H90="","",[2]道具信息!H90)</f>
        <v>1</v>
      </c>
      <c r="I90" s="15">
        <f>IF([2]道具信息!I90="","",[2]道具信息!I90)</f>
        <v>119.97</v>
      </c>
      <c r="J90" s="15">
        <f>IF([2]道具信息!J90="","",[2]道具信息!J90)</f>
        <v>90</v>
      </c>
      <c r="K90" s="15">
        <f>IF([2]道具信息!K90="","",[2]道具信息!K90)</f>
        <v>90</v>
      </c>
      <c r="L90" s="15" t="str">
        <f>IF([2]道具信息!L90="","",[2]道具信息!L90)</f>
        <v>使用后获得150000安全铁矿</v>
      </c>
    </row>
    <row r="91" spans="3:12" x14ac:dyDescent="0.15">
      <c r="C91" s="15">
        <f>IF([2]道具信息!C91="","",[2]道具信息!C91)</f>
        <v>21016</v>
      </c>
      <c r="D91" s="15" t="str">
        <f>IF([2]道具信息!D91="","",[2]道具信息!D91)</f>
        <v>一车铁矿</v>
      </c>
      <c r="E91" s="15">
        <f>IF([2]道具信息!E91="","",[2]道具信息!E91)</f>
        <v>200</v>
      </c>
      <c r="F91" s="15">
        <f>IF([2]道具信息!F91="","",[2]道具信息!F91)</f>
        <v>2</v>
      </c>
      <c r="G91" s="15">
        <f>IF([2]道具信息!G91="","",[2]道具信息!G91)</f>
        <v>1.5</v>
      </c>
      <c r="H91" s="15">
        <f>IF([2]道具信息!H91="","",[2]道具信息!H91)</f>
        <v>1</v>
      </c>
      <c r="I91" s="15">
        <f>IF([2]道具信息!I91="","",[2]道具信息!I91)</f>
        <v>400</v>
      </c>
      <c r="J91" s="15">
        <f>IF([2]道具信息!J91="","",[2]道具信息!J91)</f>
        <v>300</v>
      </c>
      <c r="K91" s="15">
        <f>IF([2]道具信息!K91="","",[2]道具信息!K91)</f>
        <v>200</v>
      </c>
      <c r="L91" s="15" t="str">
        <f>IF([2]道具信息!L91="","",[2]道具信息!L91)</f>
        <v>使用后获得500000安全铁矿</v>
      </c>
    </row>
    <row r="92" spans="3:12" x14ac:dyDescent="0.15">
      <c r="C92" s="15">
        <f>IF([2]道具信息!C92="","",[2]道具信息!C92)</f>
        <v>21017</v>
      </c>
      <c r="D92" s="15" t="str">
        <f>IF([2]道具信息!D92="","",[2]道具信息!D92)</f>
        <v>一担铜矿</v>
      </c>
      <c r="E92" s="15">
        <f>IF([2]道具信息!E92="","",[2]道具信息!E92)</f>
        <v>6</v>
      </c>
      <c r="F92" s="15">
        <f>IF([2]道具信息!F92="","",[2]道具信息!F92)</f>
        <v>1</v>
      </c>
      <c r="G92" s="15">
        <f>IF([2]道具信息!G92="","",[2]道具信息!G92)</f>
        <v>1</v>
      </c>
      <c r="H92" s="15">
        <f>IF([2]道具信息!H92="","",[2]道具信息!H92)</f>
        <v>1</v>
      </c>
      <c r="I92" s="15">
        <f>IF([2]道具信息!I92="","",[2]道具信息!I92)</f>
        <v>6</v>
      </c>
      <c r="J92" s="15">
        <f>IF([2]道具信息!J92="","",[2]道具信息!J92)</f>
        <v>6</v>
      </c>
      <c r="K92" s="15">
        <f>IF([2]道具信息!K92="","",[2]道具信息!K92)</f>
        <v>6</v>
      </c>
      <c r="L92" s="15" t="str">
        <f>IF([2]道具信息!L92="","",[2]道具信息!L92)</f>
        <v>使用后获得10000安全铜矿</v>
      </c>
    </row>
    <row r="93" spans="3:12" x14ac:dyDescent="0.15">
      <c r="C93" s="15">
        <f>IF([2]道具信息!C93="","",[2]道具信息!C93)</f>
        <v>21018</v>
      </c>
      <c r="D93" s="15" t="str">
        <f>IF([2]道具信息!D93="","",[2]道具信息!D93)</f>
        <v>一堆铜矿</v>
      </c>
      <c r="E93" s="15">
        <f>IF([2]道具信息!E93="","",[2]道具信息!E93)</f>
        <v>20</v>
      </c>
      <c r="F93" s="15">
        <f>IF([2]道具信息!F93="","",[2]道具信息!F93)</f>
        <v>1</v>
      </c>
      <c r="G93" s="15">
        <f>IF([2]道具信息!G93="","",[2]道具信息!G93)</f>
        <v>1</v>
      </c>
      <c r="H93" s="15">
        <f>IF([2]道具信息!H93="","",[2]道具信息!H93)</f>
        <v>1</v>
      </c>
      <c r="I93" s="15">
        <f>IF([2]道具信息!I93="","",[2]道具信息!I93)</f>
        <v>20</v>
      </c>
      <c r="J93" s="15">
        <f>IF([2]道具信息!J93="","",[2]道具信息!J93)</f>
        <v>20</v>
      </c>
      <c r="K93" s="15">
        <f>IF([2]道具信息!K93="","",[2]道具信息!K93)</f>
        <v>20</v>
      </c>
      <c r="L93" s="15" t="str">
        <f>IF([2]道具信息!L93="","",[2]道具信息!L93)</f>
        <v>使用后获得50000安全铜矿</v>
      </c>
    </row>
    <row r="94" spans="3:12" x14ac:dyDescent="0.15">
      <c r="C94" s="15">
        <f>IF([2]道具信息!C94="","",[2]道具信息!C94)</f>
        <v>21019</v>
      </c>
      <c r="D94" s="15" t="str">
        <f>IF([2]道具信息!D94="","",[2]道具信息!D94)</f>
        <v>一箱铜矿</v>
      </c>
      <c r="E94" s="15">
        <f>IF([2]道具信息!E94="","",[2]道具信息!E94)</f>
        <v>45</v>
      </c>
      <c r="F94" s="15">
        <f>IF([2]道具信息!F94="","",[2]道具信息!F94)</f>
        <v>1.333</v>
      </c>
      <c r="G94" s="15">
        <f>IF([2]道具信息!G94="","",[2]道具信息!G94)</f>
        <v>1</v>
      </c>
      <c r="H94" s="15">
        <f>IF([2]道具信息!H94="","",[2]道具信息!H94)</f>
        <v>1</v>
      </c>
      <c r="I94" s="15">
        <f>IF([2]道具信息!I94="","",[2]道具信息!I94)</f>
        <v>59.984999999999999</v>
      </c>
      <c r="J94" s="15">
        <f>IF([2]道具信息!J94="","",[2]道具信息!J94)</f>
        <v>45</v>
      </c>
      <c r="K94" s="15">
        <f>IF([2]道具信息!K94="","",[2]道具信息!K94)</f>
        <v>45</v>
      </c>
      <c r="L94" s="15" t="str">
        <f>IF([2]道具信息!L94="","",[2]道具信息!L94)</f>
        <v>使用后获得150000安全铜矿</v>
      </c>
    </row>
    <row r="95" spans="3:12" x14ac:dyDescent="0.15">
      <c r="C95" s="15">
        <f>IF([2]道具信息!C95="","",[2]道具信息!C95)</f>
        <v>21020</v>
      </c>
      <c r="D95" s="15" t="str">
        <f>IF([2]道具信息!D95="","",[2]道具信息!D95)</f>
        <v>一车铜矿</v>
      </c>
      <c r="E95" s="15">
        <f>IF([2]道具信息!E95="","",[2]道具信息!E95)</f>
        <v>100</v>
      </c>
      <c r="F95" s="15">
        <f>IF([2]道具信息!F95="","",[2]道具信息!F95)</f>
        <v>2</v>
      </c>
      <c r="G95" s="15">
        <f>IF([2]道具信息!G95="","",[2]道具信息!G95)</f>
        <v>1.5</v>
      </c>
      <c r="H95" s="15">
        <f>IF([2]道具信息!H95="","",[2]道具信息!H95)</f>
        <v>1</v>
      </c>
      <c r="I95" s="15">
        <f>IF([2]道具信息!I95="","",[2]道具信息!I95)</f>
        <v>200</v>
      </c>
      <c r="J95" s="15">
        <f>IF([2]道具信息!J95="","",[2]道具信息!J95)</f>
        <v>150</v>
      </c>
      <c r="K95" s="15">
        <f>IF([2]道具信息!K95="","",[2]道具信息!K95)</f>
        <v>100</v>
      </c>
      <c r="L95" s="15" t="str">
        <f>IF([2]道具信息!L95="","",[2]道具信息!L95)</f>
        <v>使用后获得500000安全铜矿</v>
      </c>
    </row>
    <row r="96" spans="3:12" x14ac:dyDescent="0.15">
      <c r="C96" s="15">
        <f>IF([2]道具信息!C96="","",[2]道具信息!C96)</f>
        <v>21021</v>
      </c>
      <c r="D96" s="15" t="str">
        <f>IF([2]道具信息!D96="","",[2]道具信息!D96)</f>
        <v>一吊刀币</v>
      </c>
      <c r="E96" s="15">
        <f>IF([2]道具信息!E96="","",[2]道具信息!E96)</f>
        <v>50</v>
      </c>
      <c r="F96" s="15">
        <f>IF([2]道具信息!F96="","",[2]道具信息!F96)</f>
        <v>1</v>
      </c>
      <c r="G96" s="15">
        <f>IF([2]道具信息!G96="","",[2]道具信息!G96)</f>
        <v>1</v>
      </c>
      <c r="H96" s="15">
        <f>IF([2]道具信息!H96="","",[2]道具信息!H96)</f>
        <v>1</v>
      </c>
      <c r="I96" s="15">
        <f>IF([2]道具信息!I96="","",[2]道具信息!I96)</f>
        <v>50</v>
      </c>
      <c r="J96" s="15">
        <f>IF([2]道具信息!J96="","",[2]道具信息!J96)</f>
        <v>50</v>
      </c>
      <c r="K96" s="15">
        <f>IF([2]道具信息!K96="","",[2]道具信息!K96)</f>
        <v>50</v>
      </c>
      <c r="L96" s="15" t="str">
        <f>IF([2]道具信息!L96="","",[2]道具信息!L96)</f>
        <v>使用后获得10000刀币</v>
      </c>
    </row>
    <row r="97" spans="3:12" x14ac:dyDescent="0.15">
      <c r="C97" s="15">
        <f>IF([2]道具信息!C97="","",[2]道具信息!C97)</f>
        <v>21022</v>
      </c>
      <c r="D97" s="15" t="str">
        <f>IF([2]道具信息!D97="","",[2]道具信息!D97)</f>
        <v>一贯刀币</v>
      </c>
      <c r="E97" s="15">
        <f>IF([2]道具信息!E97="","",[2]道具信息!E97)</f>
        <v>150</v>
      </c>
      <c r="F97" s="15">
        <f>IF([2]道具信息!F97="","",[2]道具信息!F97)</f>
        <v>1</v>
      </c>
      <c r="G97" s="15">
        <f>IF([2]道具信息!G97="","",[2]道具信息!G97)</f>
        <v>1</v>
      </c>
      <c r="H97" s="15">
        <f>IF([2]道具信息!H97="","",[2]道具信息!H97)</f>
        <v>1</v>
      </c>
      <c r="I97" s="15">
        <f>IF([2]道具信息!I97="","",[2]道具信息!I97)</f>
        <v>150</v>
      </c>
      <c r="J97" s="15">
        <f>IF([2]道具信息!J97="","",[2]道具信息!J97)</f>
        <v>150</v>
      </c>
      <c r="K97" s="15">
        <f>IF([2]道具信息!K97="","",[2]道具信息!K97)</f>
        <v>150</v>
      </c>
      <c r="L97" s="15" t="str">
        <f>IF([2]道具信息!L97="","",[2]道具信息!L97)</f>
        <v>使用后获得50000刀币</v>
      </c>
    </row>
    <row r="98" spans="3:12" x14ac:dyDescent="0.15">
      <c r="C98" s="15">
        <f>IF([2]道具信息!C98="","",[2]道具信息!C98)</f>
        <v>21023</v>
      </c>
      <c r="D98" s="15" t="str">
        <f>IF([2]道具信息!D98="","",[2]道具信息!D98)</f>
        <v>一袋刀币</v>
      </c>
      <c r="E98" s="15">
        <f>IF([2]道具信息!E98="","",[2]道具信息!E98)</f>
        <v>300</v>
      </c>
      <c r="F98" s="15">
        <f>IF([2]道具信息!F98="","",[2]道具信息!F98)</f>
        <v>1.5</v>
      </c>
      <c r="G98" s="15">
        <f>IF([2]道具信息!G98="","",[2]道具信息!G98)</f>
        <v>1</v>
      </c>
      <c r="H98" s="15">
        <f>IF([2]道具信息!H98="","",[2]道具信息!H98)</f>
        <v>1</v>
      </c>
      <c r="I98" s="15">
        <f>IF([2]道具信息!I98="","",[2]道具信息!I98)</f>
        <v>450</v>
      </c>
      <c r="J98" s="15">
        <f>IF([2]道具信息!J98="","",[2]道具信息!J98)</f>
        <v>300</v>
      </c>
      <c r="K98" s="15">
        <f>IF([2]道具信息!K98="","",[2]道具信息!K98)</f>
        <v>300</v>
      </c>
      <c r="L98" s="15" t="str">
        <f>IF([2]道具信息!L98="","",[2]道具信息!L98)</f>
        <v>使用后获得150000刀币</v>
      </c>
    </row>
    <row r="99" spans="3:12" x14ac:dyDescent="0.15">
      <c r="C99" s="15" t="str">
        <f>IF([2]道具信息!C99="","",[2]道具信息!C99)</f>
        <v/>
      </c>
      <c r="D99" s="15" t="str">
        <f>IF([2]道具信息!D99="","",[2]道具信息!D99)</f>
        <v/>
      </c>
      <c r="E99" s="15">
        <f>IF([2]道具信息!E99="","",[2]道具信息!E99)</f>
        <v>800</v>
      </c>
      <c r="F99" s="15">
        <f>IF([2]道具信息!F99="","",[2]道具信息!F99)</f>
        <v>1.875</v>
      </c>
      <c r="G99" s="15">
        <f>IF([2]道具信息!G99="","",[2]道具信息!G99)</f>
        <v>1.25</v>
      </c>
      <c r="H99" s="15">
        <f>IF([2]道具信息!H99="","",[2]道具信息!H99)</f>
        <v>1</v>
      </c>
      <c r="I99" s="15">
        <f>IF([2]道具信息!I99="","",[2]道具信息!I99)</f>
        <v>1500</v>
      </c>
      <c r="J99" s="15">
        <f>IF([2]道具信息!J99="","",[2]道具信息!J99)</f>
        <v>1000</v>
      </c>
      <c r="K99" s="15">
        <f>IF([2]道具信息!K99="","",[2]道具信息!K99)</f>
        <v>800</v>
      </c>
      <c r="L99" s="15" t="str">
        <f>IF([2]道具信息!L99="","",[2]道具信息!L99)</f>
        <v>使用后获得500000刀币</v>
      </c>
    </row>
    <row r="100" spans="3:12" x14ac:dyDescent="0.15">
      <c r="C100" s="15">
        <f>IF([2]道具信息!C100="","",[2]道具信息!C100)</f>
        <v>21024</v>
      </c>
      <c r="D100" s="15" t="str">
        <f>IF([2]道具信息!D100="","",[2]道具信息!D100)</f>
        <v>普通资源自选宝箱</v>
      </c>
      <c r="E100" s="15">
        <f>IF([2]道具信息!E100="","",[2]道具信息!E100)</f>
        <v>6</v>
      </c>
      <c r="F100" s="15">
        <f>IF([2]道具信息!F100="","",[2]道具信息!F100)</f>
        <v>1</v>
      </c>
      <c r="G100" s="15">
        <f>IF([2]道具信息!G100="","",[2]道具信息!G100)</f>
        <v>1</v>
      </c>
      <c r="H100" s="15">
        <f>IF([2]道具信息!H100="","",[2]道具信息!H100)</f>
        <v>1</v>
      </c>
      <c r="I100" s="15">
        <f>IF([2]道具信息!I100="","",[2]道具信息!I100)</f>
        <v>6</v>
      </c>
      <c r="J100" s="15">
        <f>IF([2]道具信息!J100="","",[2]道具信息!J100)</f>
        <v>6</v>
      </c>
      <c r="K100" s="15">
        <f>IF([2]道具信息!K100="","",[2]道具信息!K100)</f>
        <v>6</v>
      </c>
      <c r="L100" s="15" t="str">
        <f>IF([2]道具信息!L100="","",[2]道具信息!L100)</f>
        <v>使用后可选择获得10000资源(可选择资源类型：粮食、木材、石料和铜矿)</v>
      </c>
    </row>
    <row r="101" spans="3:12" x14ac:dyDescent="0.15">
      <c r="C101" s="15">
        <f>IF([2]道具信息!C101="","",[2]道具信息!C101)</f>
        <v>21025</v>
      </c>
      <c r="D101" s="15" t="str">
        <f>IF([2]道具信息!D101="","",[2]道具信息!D101)</f>
        <v>初级资源自选宝箱</v>
      </c>
      <c r="E101" s="15">
        <f>IF([2]道具信息!E101="","",[2]道具信息!E101)</f>
        <v>20</v>
      </c>
      <c r="F101" s="15">
        <f>IF([2]道具信息!F101="","",[2]道具信息!F101)</f>
        <v>1</v>
      </c>
      <c r="G101" s="15">
        <f>IF([2]道具信息!G101="","",[2]道具信息!G101)</f>
        <v>1</v>
      </c>
      <c r="H101" s="15">
        <f>IF([2]道具信息!H101="","",[2]道具信息!H101)</f>
        <v>1</v>
      </c>
      <c r="I101" s="15">
        <f>IF([2]道具信息!I101="","",[2]道具信息!I101)</f>
        <v>20</v>
      </c>
      <c r="J101" s="15">
        <f>IF([2]道具信息!J101="","",[2]道具信息!J101)</f>
        <v>20</v>
      </c>
      <c r="K101" s="15">
        <f>IF([2]道具信息!K101="","",[2]道具信息!K101)</f>
        <v>20</v>
      </c>
      <c r="L101" s="15" t="str">
        <f>IF([2]道具信息!L101="","",[2]道具信息!L101)</f>
        <v>使用后可选择获得50000资源(可选择资源类型：粮食、木材、石料和铜矿)</v>
      </c>
    </row>
    <row r="102" spans="3:12" x14ac:dyDescent="0.15">
      <c r="C102" s="15">
        <f>IF([2]道具信息!C102="","",[2]道具信息!C102)</f>
        <v>21026</v>
      </c>
      <c r="D102" s="15" t="str">
        <f>IF([2]道具信息!D102="","",[2]道具信息!D102)</f>
        <v>中级资源自选宝箱</v>
      </c>
      <c r="E102" s="15">
        <f>IF([2]道具信息!E102="","",[2]道具信息!E102)</f>
        <v>45</v>
      </c>
      <c r="F102" s="15">
        <f>IF([2]道具信息!F102="","",[2]道具信息!F102)</f>
        <v>1.333</v>
      </c>
      <c r="G102" s="15">
        <f>IF([2]道具信息!G102="","",[2]道具信息!G102)</f>
        <v>1</v>
      </c>
      <c r="H102" s="15">
        <f>IF([2]道具信息!H102="","",[2]道具信息!H102)</f>
        <v>1</v>
      </c>
      <c r="I102" s="15">
        <f>IF([2]道具信息!I102="","",[2]道具信息!I102)</f>
        <v>59.984999999999999</v>
      </c>
      <c r="J102" s="15">
        <f>IF([2]道具信息!J102="","",[2]道具信息!J102)</f>
        <v>45</v>
      </c>
      <c r="K102" s="15">
        <f>IF([2]道具信息!K102="","",[2]道具信息!K102)</f>
        <v>45</v>
      </c>
      <c r="L102" s="15" t="str">
        <f>IF([2]道具信息!L102="","",[2]道具信息!L102)</f>
        <v>使用后可选择获得150000资源(可选择资源类型：粮食、木材、石料和铜矿)</v>
      </c>
    </row>
    <row r="103" spans="3:12" x14ac:dyDescent="0.15">
      <c r="C103" s="15">
        <f>IF([2]道具信息!C103="","",[2]道具信息!C103)</f>
        <v>21027</v>
      </c>
      <c r="D103" s="15" t="str">
        <f>IF([2]道具信息!D103="","",[2]道具信息!D103)</f>
        <v>高级资源自选宝箱</v>
      </c>
      <c r="E103" s="15">
        <f>IF([2]道具信息!E103="","",[2]道具信息!E103)</f>
        <v>100</v>
      </c>
      <c r="F103" s="15">
        <f>IF([2]道具信息!F103="","",[2]道具信息!F103)</f>
        <v>2</v>
      </c>
      <c r="G103" s="15">
        <f>IF([2]道具信息!G103="","",[2]道具信息!G103)</f>
        <v>1.5</v>
      </c>
      <c r="H103" s="15">
        <f>IF([2]道具信息!H103="","",[2]道具信息!H103)</f>
        <v>1</v>
      </c>
      <c r="I103" s="15">
        <f>IF([2]道具信息!I103="","",[2]道具信息!I103)</f>
        <v>200</v>
      </c>
      <c r="J103" s="15">
        <f>IF([2]道具信息!J103="","",[2]道具信息!J103)</f>
        <v>150</v>
      </c>
      <c r="K103" s="15">
        <f>IF([2]道具信息!K103="","",[2]道具信息!K103)</f>
        <v>100</v>
      </c>
      <c r="L103" s="15" t="str">
        <f>IF([2]道具信息!L103="","",[2]道具信息!L103)</f>
        <v>使用后可选择获得500000资源(可选择资源类型：粮食、木材、石料和铜矿)</v>
      </c>
    </row>
    <row r="104" spans="3:12" x14ac:dyDescent="0.15">
      <c r="C104" s="15">
        <f>IF([2]道具信息!C104="","",[2]道具信息!C104)</f>
        <v>21031</v>
      </c>
      <c r="D104" s="15" t="str">
        <f>IF([2]道具信息!D104="","",[2]道具信息!D104)</f>
        <v>普通资源宝箱</v>
      </c>
      <c r="E104" s="15">
        <f>IF([2]道具信息!E104="","",[2]道具信息!E104)</f>
        <v>30</v>
      </c>
      <c r="F104" s="15">
        <f>IF([2]道具信息!F104="","",[2]道具信息!F104)</f>
        <v>1</v>
      </c>
      <c r="G104" s="15">
        <f>IF([2]道具信息!G104="","",[2]道具信息!G104)</f>
        <v>1</v>
      </c>
      <c r="H104" s="15">
        <f>IF([2]道具信息!H104="","",[2]道具信息!H104)</f>
        <v>1</v>
      </c>
      <c r="I104" s="15">
        <f>IF([2]道具信息!I104="","",[2]道具信息!I104)</f>
        <v>30</v>
      </c>
      <c r="J104" s="15">
        <f>IF([2]道具信息!J104="","",[2]道具信息!J104)</f>
        <v>30</v>
      </c>
      <c r="K104" s="15">
        <f>IF([2]道具信息!K104="","",[2]道具信息!K104)</f>
        <v>30</v>
      </c>
      <c r="L104" s="15" t="str">
        <f>IF([2]道具信息!L104="","",[2]道具信息!L104)</f>
        <v>使用后直接获得10000粮食、木材、石料和铜矿</v>
      </c>
    </row>
    <row r="105" spans="3:12" x14ac:dyDescent="0.15">
      <c r="C105" s="15">
        <f>IF([2]道具信息!C105="","",[2]道具信息!C105)</f>
        <v>21032</v>
      </c>
      <c r="D105" s="15" t="str">
        <f>IF([2]道具信息!D105="","",[2]道具信息!D105)</f>
        <v>初级资源宝箱</v>
      </c>
      <c r="E105" s="15">
        <f>IF([2]道具信息!E105="","",[2]道具信息!E105)</f>
        <v>80</v>
      </c>
      <c r="F105" s="15">
        <f>IF([2]道具信息!F105="","",[2]道具信息!F105)</f>
        <v>1</v>
      </c>
      <c r="G105" s="15">
        <f>IF([2]道具信息!G105="","",[2]道具信息!G105)</f>
        <v>1</v>
      </c>
      <c r="H105" s="15">
        <f>IF([2]道具信息!H105="","",[2]道具信息!H105)</f>
        <v>1</v>
      </c>
      <c r="I105" s="15">
        <f>IF([2]道具信息!I105="","",[2]道具信息!I105)</f>
        <v>80</v>
      </c>
      <c r="J105" s="15">
        <f>IF([2]道具信息!J105="","",[2]道具信息!J105)</f>
        <v>80</v>
      </c>
      <c r="K105" s="15">
        <f>IF([2]道具信息!K105="","",[2]道具信息!K105)</f>
        <v>80</v>
      </c>
      <c r="L105" s="15" t="str">
        <f>IF([2]道具信息!L105="","",[2]道具信息!L105)</f>
        <v>使用后直接获得50000粮食、木材、石料和铜矿</v>
      </c>
    </row>
    <row r="106" spans="3:12" x14ac:dyDescent="0.15">
      <c r="C106" s="15">
        <f>IF([2]道具信息!C106="","",[2]道具信息!C106)</f>
        <v>21033</v>
      </c>
      <c r="D106" s="15" t="str">
        <f>IF([2]道具信息!D106="","",[2]道具信息!D106)</f>
        <v>中级资源宝箱</v>
      </c>
      <c r="E106" s="15">
        <f>IF([2]道具信息!E106="","",[2]道具信息!E106)</f>
        <v>180</v>
      </c>
      <c r="F106" s="15">
        <f>IF([2]道具信息!F106="","",[2]道具信息!F106)</f>
        <v>1.333</v>
      </c>
      <c r="G106" s="15">
        <f>IF([2]道具信息!G106="","",[2]道具信息!G106)</f>
        <v>1</v>
      </c>
      <c r="H106" s="15">
        <f>IF([2]道具信息!H106="","",[2]道具信息!H106)</f>
        <v>1</v>
      </c>
      <c r="I106" s="15">
        <f>IF([2]道具信息!I106="","",[2]道具信息!I106)</f>
        <v>239.94</v>
      </c>
      <c r="J106" s="15">
        <f>IF([2]道具信息!J106="","",[2]道具信息!J106)</f>
        <v>180</v>
      </c>
      <c r="K106" s="15">
        <f>IF([2]道具信息!K106="","",[2]道具信息!K106)</f>
        <v>180</v>
      </c>
      <c r="L106" s="15" t="str">
        <f>IF([2]道具信息!L106="","",[2]道具信息!L106)</f>
        <v>使用后直接获得150000粮食、木材、石料和铜矿</v>
      </c>
    </row>
    <row r="107" spans="3:12" x14ac:dyDescent="0.15">
      <c r="C107" s="15">
        <f>IF([2]道具信息!C107="","",[2]道具信息!C107)</f>
        <v>21034</v>
      </c>
      <c r="D107" s="15" t="str">
        <f>IF([2]道具信息!D107="","",[2]道具信息!D107)</f>
        <v>高级资源宝箱</v>
      </c>
      <c r="E107" s="15">
        <f>IF([2]道具信息!E107="","",[2]道具信息!E107)</f>
        <v>400</v>
      </c>
      <c r="F107" s="15">
        <f>IF([2]道具信息!F107="","",[2]道具信息!F107)</f>
        <v>2</v>
      </c>
      <c r="G107" s="15">
        <f>IF([2]道具信息!G107="","",[2]道具信息!G107)</f>
        <v>1.5</v>
      </c>
      <c r="H107" s="15">
        <f>IF([2]道具信息!H107="","",[2]道具信息!H107)</f>
        <v>1</v>
      </c>
      <c r="I107" s="15">
        <f>IF([2]道具信息!I107="","",[2]道具信息!I107)</f>
        <v>800</v>
      </c>
      <c r="J107" s="15">
        <f>IF([2]道具信息!J107="","",[2]道具信息!J107)</f>
        <v>600</v>
      </c>
      <c r="K107" s="15">
        <f>IF([2]道具信息!K107="","",[2]道具信息!K107)</f>
        <v>400</v>
      </c>
      <c r="L107" s="15" t="str">
        <f>IF([2]道具信息!L107="","",[2]道具信息!L107)</f>
        <v>使用后直接获得500000粮食、木材、石料和铜矿</v>
      </c>
    </row>
    <row r="108" spans="3:12" x14ac:dyDescent="0.15">
      <c r="C108" s="15" t="str">
        <f>IF([2]道具信息!C108="","",[2]道具信息!C108)</f>
        <v/>
      </c>
      <c r="D108" s="15" t="str">
        <f>IF([2]道具信息!D108="","",[2]道具信息!D108)</f>
        <v/>
      </c>
      <c r="E108" s="15" t="str">
        <f>IF([2]道具信息!E108="","",[2]道具信息!E108)</f>
        <v/>
      </c>
      <c r="F108" s="15">
        <f>IF([2]道具信息!F108="","",[2]道具信息!F108)</f>
        <v>1</v>
      </c>
      <c r="G108" s="15">
        <f>IF([2]道具信息!G108="","",[2]道具信息!G108)</f>
        <v>1</v>
      </c>
      <c r="H108" s="15">
        <f>IF([2]道具信息!H108="","",[2]道具信息!H108)</f>
        <v>1</v>
      </c>
      <c r="I108" s="15" t="str">
        <f>IF([2]道具信息!I108="","",[2]道具信息!I108)</f>
        <v/>
      </c>
      <c r="J108" s="15" t="str">
        <f>IF([2]道具信息!J108="","",[2]道具信息!J108)</f>
        <v/>
      </c>
      <c r="K108" s="15" t="str">
        <f>IF([2]道具信息!K108="","",[2]道具信息!K108)</f>
        <v/>
      </c>
      <c r="L108" s="15" t="str">
        <f>IF([2]道具信息!L108="","",[2]道具信息!L108)</f>
        <v/>
      </c>
    </row>
    <row r="109" spans="3:12" x14ac:dyDescent="0.15">
      <c r="C109" s="15">
        <f>IF([2]道具信息!C109="","",[2]道具信息!C109)</f>
        <v>21061</v>
      </c>
      <c r="D109" s="15" t="str">
        <f>IF([2]道具信息!D109="","",[2]道具信息!D109)</f>
        <v>初级经验书</v>
      </c>
      <c r="E109" s="15">
        <f>IF([2]道具信息!E109="","",[2]道具信息!E109)</f>
        <v>2</v>
      </c>
      <c r="F109" s="15">
        <f>IF([2]道具信息!F109="","",[2]道具信息!F109)</f>
        <v>1</v>
      </c>
      <c r="G109" s="15">
        <f>IF([2]道具信息!G109="","",[2]道具信息!G109)</f>
        <v>1</v>
      </c>
      <c r="H109" s="15">
        <f>IF([2]道具信息!H109="","",[2]道具信息!H109)</f>
        <v>1</v>
      </c>
      <c r="I109" s="15">
        <f>IF([2]道具信息!I109="","",[2]道具信息!I109)</f>
        <v>2</v>
      </c>
      <c r="J109" s="15">
        <f>IF([2]道具信息!J109="","",[2]道具信息!J109)</f>
        <v>2</v>
      </c>
      <c r="K109" s="15">
        <f>IF([2]道具信息!K109="","",[2]道具信息!K109)</f>
        <v>2</v>
      </c>
      <c r="L109" s="15" t="str">
        <f>IF([2]道具信息!L109="","",[2]道具信息!L109)</f>
        <v>武将使用后获得200经验</v>
      </c>
    </row>
    <row r="110" spans="3:12" x14ac:dyDescent="0.15">
      <c r="C110" s="15">
        <f>IF([2]道具信息!C110="","",[2]道具信息!C110)</f>
        <v>21062</v>
      </c>
      <c r="D110" s="15" t="str">
        <f>IF([2]道具信息!D110="","",[2]道具信息!D110)</f>
        <v>中级经验书</v>
      </c>
      <c r="E110" s="15">
        <f>IF([2]道具信息!E110="","",[2]道具信息!E110)</f>
        <v>5</v>
      </c>
      <c r="F110" s="15">
        <f>IF([2]道具信息!F110="","",[2]道具信息!F110)</f>
        <v>1</v>
      </c>
      <c r="G110" s="15">
        <f>IF([2]道具信息!G110="","",[2]道具信息!G110)</f>
        <v>1</v>
      </c>
      <c r="H110" s="15">
        <f>IF([2]道具信息!H110="","",[2]道具信息!H110)</f>
        <v>1</v>
      </c>
      <c r="I110" s="15">
        <f>IF([2]道具信息!I110="","",[2]道具信息!I110)</f>
        <v>5</v>
      </c>
      <c r="J110" s="15">
        <f>IF([2]道具信息!J110="","",[2]道具信息!J110)</f>
        <v>5</v>
      </c>
      <c r="K110" s="15">
        <f>IF([2]道具信息!K110="","",[2]道具信息!K110)</f>
        <v>5</v>
      </c>
      <c r="L110" s="15" t="str">
        <f>IF([2]道具信息!L110="","",[2]道具信息!L110)</f>
        <v>武将使用后获得1000经验</v>
      </c>
    </row>
    <row r="111" spans="3:12" x14ac:dyDescent="0.15">
      <c r="C111" s="15">
        <f>IF([2]道具信息!C111="","",[2]道具信息!C111)</f>
        <v>21063</v>
      </c>
      <c r="D111" s="15" t="str">
        <f>IF([2]道具信息!D111="","",[2]道具信息!D111)</f>
        <v>高级经验书</v>
      </c>
      <c r="E111" s="15">
        <f>IF([2]道具信息!E111="","",[2]道具信息!E111)</f>
        <v>10</v>
      </c>
      <c r="F111" s="15">
        <f>IF([2]道具信息!F111="","",[2]道具信息!F111)</f>
        <v>1</v>
      </c>
      <c r="G111" s="15">
        <f>IF([2]道具信息!G111="","",[2]道具信息!G111)</f>
        <v>1</v>
      </c>
      <c r="H111" s="15">
        <f>IF([2]道具信息!H111="","",[2]道具信息!H111)</f>
        <v>1</v>
      </c>
      <c r="I111" s="15">
        <f>IF([2]道具信息!I111="","",[2]道具信息!I111)</f>
        <v>10</v>
      </c>
      <c r="J111" s="15">
        <f>IF([2]道具信息!J111="","",[2]道具信息!J111)</f>
        <v>10</v>
      </c>
      <c r="K111" s="15">
        <f>IF([2]道具信息!K111="","",[2]道具信息!K111)</f>
        <v>10</v>
      </c>
      <c r="L111" s="15" t="str">
        <f>IF([2]道具信息!L111="","",[2]道具信息!L111)</f>
        <v>武将使用后获得5000经验</v>
      </c>
    </row>
    <row r="112" spans="3:12" x14ac:dyDescent="0.15">
      <c r="C112" s="15">
        <f>IF([2]道具信息!C112="","",[2]道具信息!C112)</f>
        <v>21064</v>
      </c>
      <c r="D112" s="15" t="str">
        <f>IF([2]道具信息!D112="","",[2]道具信息!D112)</f>
        <v>特级经验书</v>
      </c>
      <c r="E112" s="15">
        <f>IF([2]道具信息!E112="","",[2]道具信息!E112)</f>
        <v>20</v>
      </c>
      <c r="F112" s="15">
        <f>IF([2]道具信息!F112="","",[2]道具信息!F112)</f>
        <v>2</v>
      </c>
      <c r="G112" s="15">
        <f>IF([2]道具信息!G112="","",[2]道具信息!G112)</f>
        <v>1</v>
      </c>
      <c r="H112" s="15">
        <f>IF([2]道具信息!H112="","",[2]道具信息!H112)</f>
        <v>1</v>
      </c>
      <c r="I112" s="15">
        <f>IF([2]道具信息!I112="","",[2]道具信息!I112)</f>
        <v>40</v>
      </c>
      <c r="J112" s="15">
        <f>IF([2]道具信息!J112="","",[2]道具信息!J112)</f>
        <v>20</v>
      </c>
      <c r="K112" s="15">
        <f>IF([2]道具信息!K112="","",[2]道具信息!K112)</f>
        <v>20</v>
      </c>
      <c r="L112" s="15" t="str">
        <f>IF([2]道具信息!L112="","",[2]道具信息!L112)</f>
        <v>武将使用后获得20000经验</v>
      </c>
    </row>
    <row r="113" spans="3:12" x14ac:dyDescent="0.15">
      <c r="C113" s="15">
        <f>IF([2]道具信息!C113="","",[2]道具信息!C113)</f>
        <v>21065</v>
      </c>
      <c r="D113" s="15" t="str">
        <f>IF([2]道具信息!D113="","",[2]道具信息!D113)</f>
        <v>超级经验书</v>
      </c>
      <c r="E113" s="15">
        <f>IF([2]道具信息!E113="","",[2]道具信息!E113)</f>
        <v>40</v>
      </c>
      <c r="F113" s="15">
        <f>IF([2]道具信息!F113="","",[2]道具信息!F113)</f>
        <v>5</v>
      </c>
      <c r="G113" s="15">
        <f>IF([2]道具信息!G113="","",[2]道具信息!G113)</f>
        <v>2.5</v>
      </c>
      <c r="H113" s="15">
        <f>IF([2]道具信息!H113="","",[2]道具信息!H113)</f>
        <v>1</v>
      </c>
      <c r="I113" s="15">
        <f>IF([2]道具信息!I113="","",[2]道具信息!I113)</f>
        <v>200</v>
      </c>
      <c r="J113" s="15">
        <f>IF([2]道具信息!J113="","",[2]道具信息!J113)</f>
        <v>100</v>
      </c>
      <c r="K113" s="15">
        <f>IF([2]道具信息!K113="","",[2]道具信息!K113)</f>
        <v>40</v>
      </c>
      <c r="L113" s="15" t="str">
        <f>IF([2]道具信息!L113="","",[2]道具信息!L113)</f>
        <v>武将使用后获得100000经验</v>
      </c>
    </row>
    <row r="114" spans="3:12" x14ac:dyDescent="0.15">
      <c r="C114" s="15" t="str">
        <f>IF([2]道具信息!C114="","",[2]道具信息!C114)</f>
        <v/>
      </c>
      <c r="D114" s="15" t="str">
        <f>IF([2]道具信息!D114="","",[2]道具信息!D114)</f>
        <v/>
      </c>
      <c r="E114" s="15" t="str">
        <f>IF([2]道具信息!E114="","",[2]道具信息!E114)</f>
        <v/>
      </c>
      <c r="F114" s="15">
        <f>IF([2]道具信息!F114="","",[2]道具信息!F114)</f>
        <v>1.333</v>
      </c>
      <c r="G114" s="15">
        <f>IF([2]道具信息!G114="","",[2]道具信息!G114)</f>
        <v>1</v>
      </c>
      <c r="H114" s="15">
        <f>IF([2]道具信息!H114="","",[2]道具信息!H114)</f>
        <v>1</v>
      </c>
      <c r="I114" s="15" t="str">
        <f>IF([2]道具信息!I114="","",[2]道具信息!I114)</f>
        <v/>
      </c>
      <c r="J114" s="15" t="str">
        <f>IF([2]道具信息!J114="","",[2]道具信息!J114)</f>
        <v/>
      </c>
      <c r="K114" s="15" t="str">
        <f>IF([2]道具信息!K114="","",[2]道具信息!K114)</f>
        <v/>
      </c>
      <c r="L114" s="15" t="str">
        <f>IF([2]道具信息!L114="","",[2]道具信息!L114)</f>
        <v/>
      </c>
    </row>
    <row r="115" spans="3:12" x14ac:dyDescent="0.15">
      <c r="C115" s="15">
        <f>IF([2]道具信息!C115="","",[2]道具信息!C115)</f>
        <v>21073</v>
      </c>
      <c r="D115" s="15" t="str">
        <f>IF([2]道具信息!D115="","",[2]道具信息!D115)</f>
        <v>1个行军令</v>
      </c>
      <c r="E115" s="15">
        <f>IF([2]道具信息!E115="","",[2]道具信息!E115)</f>
        <v>75</v>
      </c>
      <c r="F115" s="15">
        <f>IF([2]道具信息!F115="","",[2]道具信息!F115)</f>
        <v>1</v>
      </c>
      <c r="G115" s="15">
        <f>IF([2]道具信息!G115="","",[2]道具信息!G115)</f>
        <v>1</v>
      </c>
      <c r="H115" s="15">
        <f>IF([2]道具信息!H115="","",[2]道具信息!H115)</f>
        <v>1</v>
      </c>
      <c r="I115" s="15">
        <f>IF([2]道具信息!I115="","",[2]道具信息!I115)</f>
        <v>75</v>
      </c>
      <c r="J115" s="15">
        <f>IF([2]道具信息!J115="","",[2]道具信息!J115)</f>
        <v>75</v>
      </c>
      <c r="K115" s="15">
        <f>IF([2]道具信息!K115="","",[2]道具信息!K115)</f>
        <v>75</v>
      </c>
      <c r="L115" s="15" t="str">
        <f>IF([2]道具信息!L115="","",[2]道具信息!L115)</f>
        <v>使用后获得1个行军令</v>
      </c>
    </row>
    <row r="116" spans="3:12" x14ac:dyDescent="0.15">
      <c r="C116" s="15">
        <f>IF([2]道具信息!C116="","",[2]道具信息!C116)</f>
        <v>21074</v>
      </c>
      <c r="D116" s="15" t="str">
        <f>IF([2]道具信息!D116="","",[2]道具信息!D116)</f>
        <v>大捆行军令</v>
      </c>
      <c r="E116" s="15">
        <f>IF([2]道具信息!E116="","",[2]道具信息!E116)</f>
        <v>225</v>
      </c>
      <c r="F116" s="15">
        <f>IF([2]道具信息!F116="","",[2]道具信息!F116)</f>
        <v>1</v>
      </c>
      <c r="G116" s="15">
        <f>IF([2]道具信息!G116="","",[2]道具信息!G116)</f>
        <v>1</v>
      </c>
      <c r="H116" s="15">
        <f>IF([2]道具信息!H116="","",[2]道具信息!H116)</f>
        <v>1</v>
      </c>
      <c r="I116" s="15">
        <f>IF([2]道具信息!I116="","",[2]道具信息!I116)</f>
        <v>225</v>
      </c>
      <c r="J116" s="15">
        <f>IF([2]道具信息!J116="","",[2]道具信息!J116)</f>
        <v>225</v>
      </c>
      <c r="K116" s="15">
        <f>IF([2]道具信息!K116="","",[2]道具信息!K116)</f>
        <v>225</v>
      </c>
      <c r="L116" s="15" t="str">
        <f>IF([2]道具信息!L116="","",[2]道具信息!L116)</f>
        <v>使用后获得3个行军令</v>
      </c>
    </row>
    <row r="117" spans="3:12" x14ac:dyDescent="0.15">
      <c r="C117" s="15" t="str">
        <f>IF([2]道具信息!C117="","",[2]道具信息!C117)</f>
        <v/>
      </c>
      <c r="D117" s="15" t="str">
        <f>IF([2]道具信息!D117="","",[2]道具信息!D117)</f>
        <v/>
      </c>
      <c r="E117" s="15" t="str">
        <f>IF([2]道具信息!E117="","",[2]道具信息!E117)</f>
        <v/>
      </c>
      <c r="F117" s="15">
        <f>IF([2]道具信息!F117="","",[2]道具信息!F117)</f>
        <v>1</v>
      </c>
      <c r="G117" s="15">
        <f>IF([2]道具信息!G117="","",[2]道具信息!G117)</f>
        <v>1</v>
      </c>
      <c r="H117" s="15">
        <f>IF([2]道具信息!H117="","",[2]道具信息!H117)</f>
        <v>1</v>
      </c>
      <c r="I117" s="15" t="str">
        <f>IF([2]道具信息!I117="","",[2]道具信息!I117)</f>
        <v/>
      </c>
      <c r="J117" s="15" t="str">
        <f>IF([2]道具信息!J117="","",[2]道具信息!J117)</f>
        <v/>
      </c>
      <c r="K117" s="15" t="str">
        <f>IF([2]道具信息!K117="","",[2]道具信息!K117)</f>
        <v/>
      </c>
      <c r="L117" s="15" t="str">
        <f>IF([2]道具信息!L117="","",[2]道具信息!L117)</f>
        <v/>
      </c>
    </row>
    <row r="118" spans="3:12" x14ac:dyDescent="0.15">
      <c r="C118" s="15">
        <f>IF([2]道具信息!C118="","",[2]道具信息!C118)</f>
        <v>21081</v>
      </c>
      <c r="D118" s="15" t="str">
        <f>IF([2]道具信息!D118="","",[2]道具信息!D118)</f>
        <v>木材增产令</v>
      </c>
      <c r="E118" s="15">
        <f>IF([2]道具信息!E118="","",[2]道具信息!E118)</f>
        <v>35</v>
      </c>
      <c r="F118" s="15">
        <f>IF([2]道具信息!F118="","",[2]道具信息!F118)</f>
        <v>1</v>
      </c>
      <c r="G118" s="15">
        <f>IF([2]道具信息!G118="","",[2]道具信息!G118)</f>
        <v>1</v>
      </c>
      <c r="H118" s="15">
        <f>IF([2]道具信息!H118="","",[2]道具信息!H118)</f>
        <v>1</v>
      </c>
      <c r="I118" s="15">
        <f>IF([2]道具信息!I118="","",[2]道具信息!I118)</f>
        <v>35</v>
      </c>
      <c r="J118" s="15">
        <f>IF([2]道具信息!J118="","",[2]道具信息!J118)</f>
        <v>35</v>
      </c>
      <c r="K118" s="15">
        <f>IF([2]道具信息!K118="","",[2]道具信息!K118)</f>
        <v>35</v>
      </c>
      <c r="L118" s="15" t="str">
        <f>IF([2]道具信息!L118="","",[2]道具信息!L118)</f>
        <v>使用后伐木场产量提高50%，持续12小时</v>
      </c>
    </row>
    <row r="119" spans="3:12" x14ac:dyDescent="0.15">
      <c r="C119" s="15">
        <f>IF([2]道具信息!C119="","",[2]道具信息!C119)</f>
        <v>21082</v>
      </c>
      <c r="D119" s="15" t="str">
        <f>IF([2]道具信息!D119="","",[2]道具信息!D119)</f>
        <v>铁矿增产令</v>
      </c>
      <c r="E119" s="15">
        <f>IF([2]道具信息!E119="","",[2]道具信息!E119)</f>
        <v>50</v>
      </c>
      <c r="F119" s="15">
        <f>IF([2]道具信息!F119="","",[2]道具信息!F119)</f>
        <v>1</v>
      </c>
      <c r="G119" s="15">
        <f>IF([2]道具信息!G119="","",[2]道具信息!G119)</f>
        <v>1</v>
      </c>
      <c r="H119" s="15">
        <f>IF([2]道具信息!H119="","",[2]道具信息!H119)</f>
        <v>1</v>
      </c>
      <c r="I119" s="15">
        <f>IF([2]道具信息!I119="","",[2]道具信息!I119)</f>
        <v>50</v>
      </c>
      <c r="J119" s="15">
        <f>IF([2]道具信息!J119="","",[2]道具信息!J119)</f>
        <v>50</v>
      </c>
      <c r="K119" s="15">
        <f>IF([2]道具信息!K119="","",[2]道具信息!K119)</f>
        <v>50</v>
      </c>
      <c r="L119" s="15" t="str">
        <f>IF([2]道具信息!L119="","",[2]道具信息!L119)</f>
        <v>使用后冶炼厂产量提高50%，持续12小时</v>
      </c>
    </row>
    <row r="120" spans="3:12" x14ac:dyDescent="0.15">
      <c r="C120" s="15">
        <f>IF([2]道具信息!C120="","",[2]道具信息!C120)</f>
        <v>21083</v>
      </c>
      <c r="D120" s="15" t="str">
        <f>IF([2]道具信息!D120="","",[2]道具信息!D120)</f>
        <v>石料增产令</v>
      </c>
      <c r="E120" s="15">
        <f>IF([2]道具信息!E120="","",[2]道具信息!E120)</f>
        <v>35</v>
      </c>
      <c r="F120" s="15">
        <f>IF([2]道具信息!F120="","",[2]道具信息!F120)</f>
        <v>1</v>
      </c>
      <c r="G120" s="15">
        <f>IF([2]道具信息!G120="","",[2]道具信息!G120)</f>
        <v>1</v>
      </c>
      <c r="H120" s="15">
        <f>IF([2]道具信息!H120="","",[2]道具信息!H120)</f>
        <v>1</v>
      </c>
      <c r="I120" s="15">
        <f>IF([2]道具信息!I120="","",[2]道具信息!I120)</f>
        <v>35</v>
      </c>
      <c r="J120" s="15">
        <f>IF([2]道具信息!J120="","",[2]道具信息!J120)</f>
        <v>35</v>
      </c>
      <c r="K120" s="15">
        <f>IF([2]道具信息!K120="","",[2]道具信息!K120)</f>
        <v>35</v>
      </c>
      <c r="L120" s="15" t="str">
        <f>IF([2]道具信息!L120="","",[2]道具信息!L120)</f>
        <v>使用后采石场产量提高50%，持续12小时</v>
      </c>
    </row>
    <row r="121" spans="3:12" x14ac:dyDescent="0.15">
      <c r="C121" s="15">
        <f>IF([2]道具信息!C121="","",[2]道具信息!C121)</f>
        <v>21084</v>
      </c>
      <c r="D121" s="15" t="str">
        <f>IF([2]道具信息!D121="","",[2]道具信息!D121)</f>
        <v>粮食增产令</v>
      </c>
      <c r="E121" s="15">
        <f>IF([2]道具信息!E121="","",[2]道具信息!E121)</f>
        <v>35</v>
      </c>
      <c r="F121" s="15">
        <f>IF([2]道具信息!F121="","",[2]道具信息!F121)</f>
        <v>1</v>
      </c>
      <c r="G121" s="15">
        <f>IF([2]道具信息!G121="","",[2]道具信息!G121)</f>
        <v>1</v>
      </c>
      <c r="H121" s="15">
        <f>IF([2]道具信息!H121="","",[2]道具信息!H121)</f>
        <v>1</v>
      </c>
      <c r="I121" s="15">
        <f>IF([2]道具信息!I121="","",[2]道具信息!I121)</f>
        <v>35</v>
      </c>
      <c r="J121" s="15">
        <f>IF([2]道具信息!J121="","",[2]道具信息!J121)</f>
        <v>35</v>
      </c>
      <c r="K121" s="15">
        <f>IF([2]道具信息!K121="","",[2]道具信息!K121)</f>
        <v>35</v>
      </c>
      <c r="L121" s="15" t="str">
        <f>IF([2]道具信息!L121="","",[2]道具信息!L121)</f>
        <v>使用后农田产量提高50%，持续12小时</v>
      </c>
    </row>
    <row r="122" spans="3:12" x14ac:dyDescent="0.15">
      <c r="C122" s="15">
        <f>IF([2]道具信息!C122="","",[2]道具信息!C122)</f>
        <v>21085</v>
      </c>
      <c r="D122" s="15" t="str">
        <f>IF([2]道具信息!D122="","",[2]道具信息!D122)</f>
        <v>赋税增收令</v>
      </c>
      <c r="E122" s="15">
        <f>IF([2]道具信息!E122="","",[2]道具信息!E122)</f>
        <v>85</v>
      </c>
      <c r="F122" s="15">
        <f>IF([2]道具信息!F122="","",[2]道具信息!F122)</f>
        <v>1</v>
      </c>
      <c r="G122" s="15">
        <f>IF([2]道具信息!G122="","",[2]道具信息!G122)</f>
        <v>1</v>
      </c>
      <c r="H122" s="15">
        <f>IF([2]道具信息!H122="","",[2]道具信息!H122)</f>
        <v>1</v>
      </c>
      <c r="I122" s="15">
        <f>IF([2]道具信息!I122="","",[2]道具信息!I122)</f>
        <v>85</v>
      </c>
      <c r="J122" s="15">
        <f>IF([2]道具信息!J122="","",[2]道具信息!J122)</f>
        <v>85</v>
      </c>
      <c r="K122" s="15">
        <f>IF([2]道具信息!K122="","",[2]道具信息!K122)</f>
        <v>85</v>
      </c>
      <c r="L122" s="15" t="str">
        <f>IF([2]道具信息!L122="","",[2]道具信息!L122)</f>
        <v>使用后民居税收提高25%，持续12小时</v>
      </c>
    </row>
    <row r="123" spans="3:12" x14ac:dyDescent="0.15">
      <c r="C123" s="15">
        <f>IF([2]道具信息!C123="","",[2]道具信息!C123)</f>
        <v>21086</v>
      </c>
      <c r="D123" s="15" t="str">
        <f>IF([2]道具信息!D123="","",[2]道具信息!D123)</f>
        <v>铜矿增产令</v>
      </c>
      <c r="E123" s="15">
        <f>IF([2]道具信息!E123="","",[2]道具信息!E123)</f>
        <v>35</v>
      </c>
      <c r="F123" s="15">
        <f>IF([2]道具信息!F123="","",[2]道具信息!F123)</f>
        <v>1</v>
      </c>
      <c r="G123" s="15">
        <f>IF([2]道具信息!G123="","",[2]道具信息!G123)</f>
        <v>1</v>
      </c>
      <c r="H123" s="15">
        <f>IF([2]道具信息!H123="","",[2]道具信息!H123)</f>
        <v>1</v>
      </c>
      <c r="I123" s="15">
        <f>IF([2]道具信息!I123="","",[2]道具信息!I123)</f>
        <v>35</v>
      </c>
      <c r="J123" s="15">
        <f>IF([2]道具信息!J123="","",[2]道具信息!J123)</f>
        <v>35</v>
      </c>
      <c r="K123" s="15">
        <f>IF([2]道具信息!K123="","",[2]道具信息!K123)</f>
        <v>35</v>
      </c>
      <c r="L123" s="15" t="str">
        <f>IF([2]道具信息!L123="","",[2]道具信息!L123)</f>
        <v>使用后铜矿产量提高50%，持续12小时</v>
      </c>
    </row>
    <row r="124" spans="3:12" x14ac:dyDescent="0.15">
      <c r="C124" s="15" t="str">
        <f>IF([2]道具信息!C124="","",[2]道具信息!C124)</f>
        <v/>
      </c>
      <c r="D124" s="15" t="str">
        <f>IF([2]道具信息!D124="","",[2]道具信息!D124)</f>
        <v/>
      </c>
      <c r="E124" s="15" t="str">
        <f>IF([2]道具信息!E124="","",[2]道具信息!E124)</f>
        <v/>
      </c>
      <c r="F124" s="15">
        <f>IF([2]道具信息!F124="","",[2]道具信息!F124)</f>
        <v>1</v>
      </c>
      <c r="G124" s="15">
        <f>IF([2]道具信息!G124="","",[2]道具信息!G124)</f>
        <v>1</v>
      </c>
      <c r="H124" s="15">
        <f>IF([2]道具信息!H124="","",[2]道具信息!H124)</f>
        <v>1</v>
      </c>
      <c r="I124" s="15" t="str">
        <f>IF([2]道具信息!I124="","",[2]道具信息!I124)</f>
        <v/>
      </c>
      <c r="J124" s="15" t="str">
        <f>IF([2]道具信息!J124="","",[2]道具信息!J124)</f>
        <v/>
      </c>
      <c r="K124" s="15" t="str">
        <f>IF([2]道具信息!K124="","",[2]道具信息!K124)</f>
        <v/>
      </c>
      <c r="L124" s="15" t="str">
        <f>IF([2]道具信息!L124="","",[2]道具信息!L124)</f>
        <v/>
      </c>
    </row>
    <row r="125" spans="3:12" x14ac:dyDescent="0.15">
      <c r="C125" s="15">
        <f>IF([2]道具信息!C125="","",[2]道具信息!C125)</f>
        <v>21100</v>
      </c>
      <c r="D125" s="15" t="str">
        <f>IF([2]道具信息!D125="","",[2]道具信息!D125)</f>
        <v>免战牌</v>
      </c>
      <c r="E125" s="15">
        <f>IF([2]道具信息!E125="","",[2]道具信息!E125)</f>
        <v>100</v>
      </c>
      <c r="F125" s="15">
        <f>IF([2]道具信息!F125="","",[2]道具信息!F125)</f>
        <v>1</v>
      </c>
      <c r="G125" s="15">
        <f>IF([2]道具信息!G125="","",[2]道具信息!G125)</f>
        <v>1</v>
      </c>
      <c r="H125" s="15">
        <f>IF([2]道具信息!H125="","",[2]道具信息!H125)</f>
        <v>1</v>
      </c>
      <c r="I125" s="15">
        <f>IF([2]道具信息!I125="","",[2]道具信息!I125)</f>
        <v>100</v>
      </c>
      <c r="J125" s="15">
        <f>IF([2]道具信息!J125="","",[2]道具信息!J125)</f>
        <v>100</v>
      </c>
      <c r="K125" s="15">
        <f>IF([2]道具信息!K125="","",[2]道具信息!K125)</f>
        <v>100</v>
      </c>
      <c r="L125" s="15" t="str">
        <f>IF([2]道具信息!L125="","",[2]道具信息!L125)</f>
        <v>使用后城池不会遭受来自玩家的攻击，主动进攻玩家后失效，持续8小时</v>
      </c>
    </row>
    <row r="126" spans="3:12" x14ac:dyDescent="0.15">
      <c r="C126" s="15">
        <f>IF([2]道具信息!C126="","",[2]道具信息!C126)</f>
        <v>21101</v>
      </c>
      <c r="D126" s="15" t="str">
        <f>IF([2]道具信息!D126="","",[2]道具信息!D126)</f>
        <v>普通点将牌</v>
      </c>
      <c r="E126" s="15">
        <f>IF([2]道具信息!E126="","",[2]道具信息!E126)</f>
        <v>65</v>
      </c>
      <c r="F126" s="15">
        <f>IF([2]道具信息!F126="","",[2]道具信息!F126)</f>
        <v>1</v>
      </c>
      <c r="G126" s="15">
        <f>IF([2]道具信息!G126="","",[2]道具信息!G126)</f>
        <v>1</v>
      </c>
      <c r="H126" s="15">
        <f>IF([2]道具信息!H126="","",[2]道具信息!H126)</f>
        <v>1</v>
      </c>
      <c r="I126" s="15">
        <f>IF([2]道具信息!I126="","",[2]道具信息!I126)</f>
        <v>65</v>
      </c>
      <c r="J126" s="15">
        <f>IF([2]道具信息!J126="","",[2]道具信息!J126)</f>
        <v>65</v>
      </c>
      <c r="K126" s="15">
        <f>IF([2]道具信息!K126="","",[2]道具信息!K126)</f>
        <v>65</v>
      </c>
      <c r="L126" s="15" t="str">
        <f>IF([2]道具信息!L126="","",[2]道具信息!L126)</f>
        <v>点将台普通招募时消耗的令牌</v>
      </c>
    </row>
    <row r="127" spans="3:12" x14ac:dyDescent="0.15">
      <c r="C127" s="15">
        <f>IF([2]道具信息!C127="","",[2]道具信息!C127)</f>
        <v>21102</v>
      </c>
      <c r="D127" s="15" t="str">
        <f>IF([2]道具信息!D127="","",[2]道具信息!D127)</f>
        <v>高级点将牌</v>
      </c>
      <c r="E127" s="15">
        <f>IF([2]道具信息!E127="","",[2]道具信息!E127)</f>
        <v>240</v>
      </c>
      <c r="F127" s="15">
        <f>IF([2]道具信息!F127="","",[2]道具信息!F127)</f>
        <v>1</v>
      </c>
      <c r="G127" s="15">
        <f>IF([2]道具信息!G127="","",[2]道具信息!G127)</f>
        <v>1</v>
      </c>
      <c r="H127" s="15">
        <f>IF([2]道具信息!H127="","",[2]道具信息!H127)</f>
        <v>1</v>
      </c>
      <c r="I127" s="15">
        <f>IF([2]道具信息!I127="","",[2]道具信息!I127)</f>
        <v>240</v>
      </c>
      <c r="J127" s="15">
        <f>IF([2]道具信息!J127="","",[2]道具信息!J127)</f>
        <v>240</v>
      </c>
      <c r="K127" s="15">
        <f>IF([2]道具信息!K127="","",[2]道具信息!K127)</f>
        <v>240</v>
      </c>
      <c r="L127" s="15" t="str">
        <f>IF([2]道具信息!L127="","",[2]道具信息!L127)</f>
        <v>点将台高级招募时消耗的令牌</v>
      </c>
    </row>
    <row r="128" spans="3:12" x14ac:dyDescent="0.15">
      <c r="C128" s="15" t="str">
        <f>IF([2]道具信息!C128="","",[2]道具信息!C128)</f>
        <v/>
      </c>
      <c r="D128" s="15" t="str">
        <f>IF([2]道具信息!D128="","",[2]道具信息!D128)</f>
        <v>行军丸（旧版)</v>
      </c>
      <c r="E128" s="15" t="str">
        <f>IF([2]道具信息!E128="","",[2]道具信息!E128)</f>
        <v/>
      </c>
      <c r="F128" s="15">
        <f>IF([2]道具信息!F128="","",[2]道具信息!F128)</f>
        <v>1</v>
      </c>
      <c r="G128" s="15">
        <f>IF([2]道具信息!G128="","",[2]道具信息!G128)</f>
        <v>1</v>
      </c>
      <c r="H128" s="15">
        <f>IF([2]道具信息!H128="","",[2]道具信息!H128)</f>
        <v>1</v>
      </c>
      <c r="I128" s="15" t="str">
        <f>IF([2]道具信息!I128="","",[2]道具信息!I128)</f>
        <v/>
      </c>
      <c r="J128" s="15" t="str">
        <f>IF([2]道具信息!J128="","",[2]道具信息!J128)</f>
        <v/>
      </c>
      <c r="K128" s="15" t="str">
        <f>IF([2]道具信息!K128="","",[2]道具信息!K128)</f>
        <v/>
      </c>
      <c r="L128" s="15" t="str">
        <f>IF([2]道具信息!L128="","",[2]道具信息!L128)</f>
        <v>使用后每次可增加部队100%的行军速度</v>
      </c>
    </row>
    <row r="129" spans="3:12" x14ac:dyDescent="0.15">
      <c r="C129" s="15">
        <f>IF([2]道具信息!C129="","",[2]道具信息!C129)</f>
        <v>21104</v>
      </c>
      <c r="D129" s="15" t="str">
        <f>IF([2]道具信息!D129="","",[2]道具信息!D129)</f>
        <v>撤军令</v>
      </c>
      <c r="E129" s="15">
        <f>IF([2]道具信息!E129="","",[2]道具信息!E129)</f>
        <v>60</v>
      </c>
      <c r="F129" s="15">
        <f>IF([2]道具信息!F129="","",[2]道具信息!F129)</f>
        <v>1</v>
      </c>
      <c r="G129" s="15">
        <f>IF([2]道具信息!G129="","",[2]道具信息!G129)</f>
        <v>1</v>
      </c>
      <c r="H129" s="15">
        <f>IF([2]道具信息!H129="","",[2]道具信息!H129)</f>
        <v>1</v>
      </c>
      <c r="I129" s="15">
        <f>IF([2]道具信息!I129="","",[2]道具信息!I129)</f>
        <v>60</v>
      </c>
      <c r="J129" s="15">
        <f>IF([2]道具信息!J129="","",[2]道具信息!J129)</f>
        <v>60</v>
      </c>
      <c r="K129" s="15">
        <f>IF([2]道具信息!K129="","",[2]道具信息!K129)</f>
        <v>60</v>
      </c>
      <c r="L129" s="15" t="str">
        <f>IF([2]道具信息!L129="","",[2]道具信息!L129)</f>
        <v>使用后使一支出征队伍立即撤军回城</v>
      </c>
    </row>
    <row r="130" spans="3:12" x14ac:dyDescent="0.15">
      <c r="C130" s="15" t="str">
        <f>IF([2]道具信息!C130="","",[2]道具信息!C130)</f>
        <v/>
      </c>
      <c r="D130" s="15" t="str">
        <f>IF([2]道具信息!D130="","",[2]道具信息!D130)</f>
        <v/>
      </c>
      <c r="E130" s="15" t="str">
        <f>IF([2]道具信息!E130="","",[2]道具信息!E130)</f>
        <v/>
      </c>
      <c r="F130" s="15">
        <f>IF([2]道具信息!F130="","",[2]道具信息!F130)</f>
        <v>1</v>
      </c>
      <c r="G130" s="15">
        <f>IF([2]道具信息!G130="","",[2]道具信息!G130)</f>
        <v>1</v>
      </c>
      <c r="H130" s="15">
        <f>IF([2]道具信息!H130="","",[2]道具信息!H130)</f>
        <v>1</v>
      </c>
      <c r="I130" s="15" t="str">
        <f>IF([2]道具信息!I130="","",[2]道具信息!I130)</f>
        <v/>
      </c>
      <c r="J130" s="15" t="str">
        <f>IF([2]道具信息!J130="","",[2]道具信息!J130)</f>
        <v/>
      </c>
      <c r="K130" s="15" t="str">
        <f>IF([2]道具信息!K130="","",[2]道具信息!K130)</f>
        <v/>
      </c>
      <c r="L130" s="15" t="str">
        <f>IF([2]道具信息!L130="","",[2]道具信息!L130)</f>
        <v/>
      </c>
    </row>
    <row r="131" spans="3:12" x14ac:dyDescent="0.15">
      <c r="C131" s="15">
        <f>IF([2]道具信息!C131="","",[2]道具信息!C131)</f>
        <v>21110</v>
      </c>
      <c r="D131" s="15" t="str">
        <f>IF([2]道具信息!D131="","",[2]道具信息!D131)</f>
        <v>城建1分钟加速令</v>
      </c>
      <c r="E131" s="15">
        <f>IF([2]道具信息!E131="","",[2]道具信息!E131)</f>
        <v>2</v>
      </c>
      <c r="F131" s="15">
        <f>IF([2]道具信息!F131="","",[2]道具信息!F131)</f>
        <v>1</v>
      </c>
      <c r="G131" s="15">
        <f>IF([2]道具信息!G131="","",[2]道具信息!G131)</f>
        <v>1</v>
      </c>
      <c r="H131" s="15">
        <f>IF([2]道具信息!H131="","",[2]道具信息!H131)</f>
        <v>1</v>
      </c>
      <c r="I131" s="15">
        <f>IF([2]道具信息!I131="","",[2]道具信息!I131)</f>
        <v>2</v>
      </c>
      <c r="J131" s="15">
        <f>IF([2]道具信息!J131="","",[2]道具信息!J131)</f>
        <v>2</v>
      </c>
      <c r="K131" s="15">
        <f>IF([2]道具信息!K131="","",[2]道具信息!K131)</f>
        <v>2</v>
      </c>
      <c r="L131" s="15" t="str">
        <f>IF([2]道具信息!L131="","",[2]道具信息!L131)</f>
        <v>使用后城池建设加速1分钟</v>
      </c>
    </row>
    <row r="132" spans="3:12" x14ac:dyDescent="0.15">
      <c r="C132" s="15">
        <f>IF([2]道具信息!C132="","",[2]道具信息!C132)</f>
        <v>21111</v>
      </c>
      <c r="D132" s="15" t="str">
        <f>IF([2]道具信息!D132="","",[2]道具信息!D132)</f>
        <v>城建5分钟加速令</v>
      </c>
      <c r="E132" s="15">
        <f>IF([2]道具信息!E132="","",[2]道具信息!E132)</f>
        <v>8</v>
      </c>
      <c r="F132" s="15">
        <f>IF([2]道具信息!F132="","",[2]道具信息!F132)</f>
        <v>1</v>
      </c>
      <c r="G132" s="15">
        <f>IF([2]道具信息!G132="","",[2]道具信息!G132)</f>
        <v>1</v>
      </c>
      <c r="H132" s="15">
        <f>IF([2]道具信息!H132="","",[2]道具信息!H132)</f>
        <v>1</v>
      </c>
      <c r="I132" s="15">
        <f>IF([2]道具信息!I132="","",[2]道具信息!I132)</f>
        <v>8</v>
      </c>
      <c r="J132" s="15">
        <f>IF([2]道具信息!J132="","",[2]道具信息!J132)</f>
        <v>8</v>
      </c>
      <c r="K132" s="15">
        <f>IF([2]道具信息!K132="","",[2]道具信息!K132)</f>
        <v>8</v>
      </c>
      <c r="L132" s="15" t="str">
        <f>IF([2]道具信息!L132="","",[2]道具信息!L132)</f>
        <v>使用后城池建设加速5分钟</v>
      </c>
    </row>
    <row r="133" spans="3:12" x14ac:dyDescent="0.15">
      <c r="C133" s="15">
        <f>IF([2]道具信息!C133="","",[2]道具信息!C133)</f>
        <v>21112</v>
      </c>
      <c r="D133" s="15" t="str">
        <f>IF([2]道具信息!D133="","",[2]道具信息!D133)</f>
        <v>城建20分钟加速令</v>
      </c>
      <c r="E133" s="15">
        <f>IF([2]道具信息!E133="","",[2]道具信息!E133)</f>
        <v>20</v>
      </c>
      <c r="F133" s="15">
        <f>IF([2]道具信息!F133="","",[2]道具信息!F133)</f>
        <v>1</v>
      </c>
      <c r="G133" s="15">
        <f>IF([2]道具信息!G133="","",[2]道具信息!G133)</f>
        <v>1</v>
      </c>
      <c r="H133" s="15">
        <f>IF([2]道具信息!H133="","",[2]道具信息!H133)</f>
        <v>1</v>
      </c>
      <c r="I133" s="15">
        <f>IF([2]道具信息!I133="","",[2]道具信息!I133)</f>
        <v>20</v>
      </c>
      <c r="J133" s="15">
        <f>IF([2]道具信息!J133="","",[2]道具信息!J133)</f>
        <v>20</v>
      </c>
      <c r="K133" s="15">
        <f>IF([2]道具信息!K133="","",[2]道具信息!K133)</f>
        <v>20</v>
      </c>
      <c r="L133" s="15" t="str">
        <f>IF([2]道具信息!L133="","",[2]道具信息!L133)</f>
        <v>使用后城池建设加速20分钟</v>
      </c>
    </row>
    <row r="134" spans="3:12" x14ac:dyDescent="0.15">
      <c r="C134" s="15">
        <f>IF([2]道具信息!C134="","",[2]道具信息!C134)</f>
        <v>21113</v>
      </c>
      <c r="D134" s="15" t="str">
        <f>IF([2]道具信息!D134="","",[2]道具信息!D134)</f>
        <v>城建1小时加速令</v>
      </c>
      <c r="E134" s="15">
        <f>IF([2]道具信息!E134="","",[2]道具信息!E134)</f>
        <v>50</v>
      </c>
      <c r="F134" s="15">
        <f>IF([2]道具信息!F134="","",[2]道具信息!F134)</f>
        <v>1.2</v>
      </c>
      <c r="G134" s="15">
        <f>IF([2]道具信息!G134="","",[2]道具信息!G134)</f>
        <v>1</v>
      </c>
      <c r="H134" s="15">
        <f>IF([2]道具信息!H134="","",[2]道具信息!H134)</f>
        <v>1</v>
      </c>
      <c r="I134" s="15">
        <f>IF([2]道具信息!I134="","",[2]道具信息!I134)</f>
        <v>60</v>
      </c>
      <c r="J134" s="15">
        <f>IF([2]道具信息!J134="","",[2]道具信息!J134)</f>
        <v>50</v>
      </c>
      <c r="K134" s="15">
        <f>IF([2]道具信息!K134="","",[2]道具信息!K134)</f>
        <v>50</v>
      </c>
      <c r="L134" s="15" t="str">
        <f>IF([2]道具信息!L134="","",[2]道具信息!L134)</f>
        <v>使用后城池建设加速1小时</v>
      </c>
    </row>
    <row r="135" spans="3:12" x14ac:dyDescent="0.15">
      <c r="C135" s="15">
        <f>IF([2]道具信息!C135="","",[2]道具信息!C135)</f>
        <v>21114</v>
      </c>
      <c r="D135" s="15" t="str">
        <f>IF([2]道具信息!D135="","",[2]道具信息!D135)</f>
        <v>城建3小时加速令</v>
      </c>
      <c r="E135" s="15">
        <f>IF([2]道具信息!E135="","",[2]道具信息!E135)</f>
        <v>100</v>
      </c>
      <c r="F135" s="15">
        <f>IF([2]道具信息!F135="","",[2]道具信息!F135)</f>
        <v>1.8</v>
      </c>
      <c r="G135" s="15">
        <f>IF([2]道具信息!G135="","",[2]道具信息!G135)</f>
        <v>1.5</v>
      </c>
      <c r="H135" s="15">
        <f>IF([2]道具信息!H135="","",[2]道具信息!H135)</f>
        <v>1</v>
      </c>
      <c r="I135" s="15">
        <f>IF([2]道具信息!I135="","",[2]道具信息!I135)</f>
        <v>180</v>
      </c>
      <c r="J135" s="15">
        <f>IF([2]道具信息!J135="","",[2]道具信息!J135)</f>
        <v>150</v>
      </c>
      <c r="K135" s="15">
        <f>IF([2]道具信息!K135="","",[2]道具信息!K135)</f>
        <v>100</v>
      </c>
      <c r="L135" s="15" t="str">
        <f>IF([2]道具信息!L135="","",[2]道具信息!L135)</f>
        <v>使用后城池建设加速3小时</v>
      </c>
    </row>
    <row r="136" spans="3:12" x14ac:dyDescent="0.15">
      <c r="C136" s="15">
        <f>IF([2]道具信息!C136="","",[2]道具信息!C136)</f>
        <v>21135</v>
      </c>
      <c r="D136" s="15" t="str">
        <f>IF([2]道具信息!D136="","",[2]道具信息!D136)</f>
        <v>城建8小时加速令</v>
      </c>
      <c r="E136" s="15">
        <f>IF([2]道具信息!E136="","",[2]道具信息!E136)</f>
        <v>160</v>
      </c>
      <c r="F136" s="15">
        <f>IF([2]道具信息!F136="","",[2]道具信息!F136)</f>
        <v>3</v>
      </c>
      <c r="G136" s="15">
        <f>IF([2]道具信息!G136="","",[2]道具信息!G136)</f>
        <v>2.5</v>
      </c>
      <c r="H136" s="15">
        <f>IF([2]道具信息!H136="","",[2]道具信息!H136)</f>
        <v>1</v>
      </c>
      <c r="I136" s="15">
        <f>IF([2]道具信息!I136="","",[2]道具信息!I136)</f>
        <v>480</v>
      </c>
      <c r="J136" s="15">
        <f>IF([2]道具信息!J136="","",[2]道具信息!J136)</f>
        <v>400</v>
      </c>
      <c r="K136" s="15">
        <f>IF([2]道具信息!K136="","",[2]道具信息!K136)</f>
        <v>160</v>
      </c>
      <c r="L136" s="15" t="str">
        <f>IF([2]道具信息!L136="","",[2]道具信息!L136)</f>
        <v>使用后城池建设加速8小时</v>
      </c>
    </row>
    <row r="137" spans="3:12" x14ac:dyDescent="0.15">
      <c r="C137" s="15" t="str">
        <f>IF([2]道具信息!C137="","",[2]道具信息!C137)</f>
        <v/>
      </c>
      <c r="D137" s="15" t="str">
        <f>IF([2]道具信息!D137="","",[2]道具信息!D137)</f>
        <v/>
      </c>
      <c r="E137" s="15" t="str">
        <f>IF([2]道具信息!E137="","",[2]道具信息!E137)</f>
        <v/>
      </c>
      <c r="F137" s="15">
        <f>IF([2]道具信息!F137="","",[2]道具信息!F137)</f>
        <v>1</v>
      </c>
      <c r="G137" s="15">
        <f>IF([2]道具信息!G137="","",[2]道具信息!G137)</f>
        <v>1</v>
      </c>
      <c r="H137" s="15">
        <f>IF([2]道具信息!H137="","",[2]道具信息!H137)</f>
        <v>1</v>
      </c>
      <c r="I137" s="15" t="str">
        <f>IF([2]道具信息!I137="","",[2]道具信息!I137)</f>
        <v/>
      </c>
      <c r="J137" s="15" t="str">
        <f>IF([2]道具信息!J137="","",[2]道具信息!J137)</f>
        <v/>
      </c>
      <c r="K137" s="15" t="str">
        <f>IF([2]道具信息!K137="","",[2]道具信息!K137)</f>
        <v/>
      </c>
      <c r="L137" s="15" t="str">
        <f>IF([2]道具信息!L137="","",[2]道具信息!L137)</f>
        <v/>
      </c>
    </row>
    <row r="138" spans="3:12" x14ac:dyDescent="0.15">
      <c r="C138" s="15">
        <f>IF([2]道具信息!C138="","",[2]道具信息!C138)</f>
        <v>21115</v>
      </c>
      <c r="D138" s="15" t="str">
        <f>IF([2]道具信息!D138="","",[2]道具信息!D138)</f>
        <v>招募1分钟加速令</v>
      </c>
      <c r="E138" s="15">
        <f>IF([2]道具信息!E138="","",[2]道具信息!E138)</f>
        <v>2</v>
      </c>
      <c r="F138" s="15">
        <f>IF([2]道具信息!F138="","",[2]道具信息!F138)</f>
        <v>1</v>
      </c>
      <c r="G138" s="15">
        <f>IF([2]道具信息!G138="","",[2]道具信息!G138)</f>
        <v>1</v>
      </c>
      <c r="H138" s="15">
        <f>IF([2]道具信息!H138="","",[2]道具信息!H138)</f>
        <v>1</v>
      </c>
      <c r="I138" s="15">
        <f>IF([2]道具信息!I138="","",[2]道具信息!I138)</f>
        <v>2</v>
      </c>
      <c r="J138" s="15">
        <f>IF([2]道具信息!J138="","",[2]道具信息!J138)</f>
        <v>2</v>
      </c>
      <c r="K138" s="15">
        <f>IF([2]道具信息!K138="","",[2]道具信息!K138)</f>
        <v>2</v>
      </c>
      <c r="L138" s="15" t="str">
        <f>IF([2]道具信息!L138="","",[2]道具信息!L138)</f>
        <v>使用后士兵招募加速1分钟</v>
      </c>
    </row>
    <row r="139" spans="3:12" x14ac:dyDescent="0.15">
      <c r="C139" s="15">
        <f>IF([2]道具信息!C139="","",[2]道具信息!C139)</f>
        <v>21116</v>
      </c>
      <c r="D139" s="15" t="str">
        <f>IF([2]道具信息!D139="","",[2]道具信息!D139)</f>
        <v>招募5分钟加速令</v>
      </c>
      <c r="E139" s="15">
        <f>IF([2]道具信息!E139="","",[2]道具信息!E139)</f>
        <v>8</v>
      </c>
      <c r="F139" s="15">
        <f>IF([2]道具信息!F139="","",[2]道具信息!F139)</f>
        <v>1</v>
      </c>
      <c r="G139" s="15">
        <f>IF([2]道具信息!G139="","",[2]道具信息!G139)</f>
        <v>1</v>
      </c>
      <c r="H139" s="15">
        <f>IF([2]道具信息!H139="","",[2]道具信息!H139)</f>
        <v>1</v>
      </c>
      <c r="I139" s="15">
        <f>IF([2]道具信息!I139="","",[2]道具信息!I139)</f>
        <v>8</v>
      </c>
      <c r="J139" s="15">
        <f>IF([2]道具信息!J139="","",[2]道具信息!J139)</f>
        <v>8</v>
      </c>
      <c r="K139" s="15">
        <f>IF([2]道具信息!K139="","",[2]道具信息!K139)</f>
        <v>8</v>
      </c>
      <c r="L139" s="15" t="str">
        <f>IF([2]道具信息!L139="","",[2]道具信息!L139)</f>
        <v>使用后士兵招募加速5分钟</v>
      </c>
    </row>
    <row r="140" spans="3:12" x14ac:dyDescent="0.15">
      <c r="C140" s="15">
        <f>IF([2]道具信息!C140="","",[2]道具信息!C140)</f>
        <v>21117</v>
      </c>
      <c r="D140" s="15" t="str">
        <f>IF([2]道具信息!D140="","",[2]道具信息!D140)</f>
        <v>招募20分钟加速令</v>
      </c>
      <c r="E140" s="15">
        <f>IF([2]道具信息!E140="","",[2]道具信息!E140)</f>
        <v>20</v>
      </c>
      <c r="F140" s="15">
        <f>IF([2]道具信息!F140="","",[2]道具信息!F140)</f>
        <v>1</v>
      </c>
      <c r="G140" s="15">
        <f>IF([2]道具信息!G140="","",[2]道具信息!G140)</f>
        <v>1</v>
      </c>
      <c r="H140" s="15">
        <f>IF([2]道具信息!H140="","",[2]道具信息!H140)</f>
        <v>1</v>
      </c>
      <c r="I140" s="15">
        <f>IF([2]道具信息!I140="","",[2]道具信息!I140)</f>
        <v>20</v>
      </c>
      <c r="J140" s="15">
        <f>IF([2]道具信息!J140="","",[2]道具信息!J140)</f>
        <v>20</v>
      </c>
      <c r="K140" s="15">
        <f>IF([2]道具信息!K140="","",[2]道具信息!K140)</f>
        <v>20</v>
      </c>
      <c r="L140" s="15" t="str">
        <f>IF([2]道具信息!L140="","",[2]道具信息!L140)</f>
        <v>使用后士兵招募加速20分钟</v>
      </c>
    </row>
    <row r="141" spans="3:12" x14ac:dyDescent="0.15">
      <c r="C141" s="15">
        <f>IF([2]道具信息!C141="","",[2]道具信息!C141)</f>
        <v>21118</v>
      </c>
      <c r="D141" s="15" t="str">
        <f>IF([2]道具信息!D141="","",[2]道具信息!D141)</f>
        <v>招募1小时加速令</v>
      </c>
      <c r="E141" s="15">
        <f>IF([2]道具信息!E141="","",[2]道具信息!E141)</f>
        <v>50</v>
      </c>
      <c r="F141" s="15">
        <f>IF([2]道具信息!F141="","",[2]道具信息!F141)</f>
        <v>1.2</v>
      </c>
      <c r="G141" s="15">
        <f>IF([2]道具信息!G141="","",[2]道具信息!G141)</f>
        <v>1</v>
      </c>
      <c r="H141" s="15">
        <f>IF([2]道具信息!H141="","",[2]道具信息!H141)</f>
        <v>1</v>
      </c>
      <c r="I141" s="15">
        <f>IF([2]道具信息!I141="","",[2]道具信息!I141)</f>
        <v>60</v>
      </c>
      <c r="J141" s="15">
        <f>IF([2]道具信息!J141="","",[2]道具信息!J141)</f>
        <v>50</v>
      </c>
      <c r="K141" s="15">
        <f>IF([2]道具信息!K141="","",[2]道具信息!K141)</f>
        <v>50</v>
      </c>
      <c r="L141" s="15" t="str">
        <f>IF([2]道具信息!L141="","",[2]道具信息!L141)</f>
        <v>使用后士兵招募加速1小时</v>
      </c>
    </row>
    <row r="142" spans="3:12" x14ac:dyDescent="0.15">
      <c r="C142" s="15">
        <f>IF([2]道具信息!C142="","",[2]道具信息!C142)</f>
        <v>21119</v>
      </c>
      <c r="D142" s="15" t="str">
        <f>IF([2]道具信息!D142="","",[2]道具信息!D142)</f>
        <v>招募3小时加速令</v>
      </c>
      <c r="E142" s="15">
        <f>IF([2]道具信息!E142="","",[2]道具信息!E142)</f>
        <v>100</v>
      </c>
      <c r="F142" s="15">
        <f>IF([2]道具信息!F142="","",[2]道具信息!F142)</f>
        <v>1.8</v>
      </c>
      <c r="G142" s="15">
        <f>IF([2]道具信息!G142="","",[2]道具信息!G142)</f>
        <v>1.5</v>
      </c>
      <c r="H142" s="15">
        <f>IF([2]道具信息!H142="","",[2]道具信息!H142)</f>
        <v>1</v>
      </c>
      <c r="I142" s="15">
        <f>IF([2]道具信息!I142="","",[2]道具信息!I142)</f>
        <v>180</v>
      </c>
      <c r="J142" s="15">
        <f>IF([2]道具信息!J142="","",[2]道具信息!J142)</f>
        <v>150</v>
      </c>
      <c r="K142" s="15">
        <f>IF([2]道具信息!K142="","",[2]道具信息!K142)</f>
        <v>100</v>
      </c>
      <c r="L142" s="15" t="str">
        <f>IF([2]道具信息!L142="","",[2]道具信息!L142)</f>
        <v>使用后士兵招募加速3小时</v>
      </c>
    </row>
    <row r="143" spans="3:12" x14ac:dyDescent="0.15">
      <c r="C143" s="15">
        <f>IF([2]道具信息!C143="","",[2]道具信息!C143)</f>
        <v>21136</v>
      </c>
      <c r="D143" s="15" t="str">
        <f>IF([2]道具信息!D143="","",[2]道具信息!D143)</f>
        <v>招募8小时加速令</v>
      </c>
      <c r="E143" s="15">
        <f>IF([2]道具信息!E143="","",[2]道具信息!E143)</f>
        <v>160</v>
      </c>
      <c r="F143" s="15">
        <f>IF([2]道具信息!F143="","",[2]道具信息!F143)</f>
        <v>3</v>
      </c>
      <c r="G143" s="15">
        <f>IF([2]道具信息!G143="","",[2]道具信息!G143)</f>
        <v>2.5</v>
      </c>
      <c r="H143" s="15">
        <f>IF([2]道具信息!H143="","",[2]道具信息!H143)</f>
        <v>1</v>
      </c>
      <c r="I143" s="15">
        <f>IF([2]道具信息!I143="","",[2]道具信息!I143)</f>
        <v>480</v>
      </c>
      <c r="J143" s="15">
        <f>IF([2]道具信息!J143="","",[2]道具信息!J143)</f>
        <v>400</v>
      </c>
      <c r="K143" s="15">
        <f>IF([2]道具信息!K143="","",[2]道具信息!K143)</f>
        <v>160</v>
      </c>
      <c r="L143" s="15" t="str">
        <f>IF([2]道具信息!L143="","",[2]道具信息!L143)</f>
        <v>使用后士兵招募加速8小时</v>
      </c>
    </row>
    <row r="144" spans="3:12" x14ac:dyDescent="0.15">
      <c r="C144" s="15" t="str">
        <f>IF([2]道具信息!C144="","",[2]道具信息!C144)</f>
        <v/>
      </c>
      <c r="D144" s="15" t="str">
        <f>IF([2]道具信息!D144="","",[2]道具信息!D144)</f>
        <v/>
      </c>
      <c r="E144" s="15" t="str">
        <f>IF([2]道具信息!E144="","",[2]道具信息!E144)</f>
        <v/>
      </c>
      <c r="F144" s="15">
        <f>IF([2]道具信息!F144="","",[2]道具信息!F144)</f>
        <v>3</v>
      </c>
      <c r="G144" s="15">
        <f>IF([2]道具信息!G144="","",[2]道具信息!G144)</f>
        <v>2.5</v>
      </c>
      <c r="H144" s="15">
        <f>IF([2]道具信息!H144="","",[2]道具信息!H144)</f>
        <v>1</v>
      </c>
      <c r="I144" s="15" t="str">
        <f>IF([2]道具信息!I144="","",[2]道具信息!I144)</f>
        <v/>
      </c>
      <c r="J144" s="15" t="str">
        <f>IF([2]道具信息!J144="","",[2]道具信息!J144)</f>
        <v/>
      </c>
      <c r="K144" s="15" t="str">
        <f>IF([2]道具信息!K144="","",[2]道具信息!K144)</f>
        <v/>
      </c>
      <c r="L144" s="15" t="str">
        <f>IF([2]道具信息!L144="","",[2]道具信息!L144)</f>
        <v/>
      </c>
    </row>
    <row r="145" spans="3:12" x14ac:dyDescent="0.15">
      <c r="C145" s="15">
        <f>IF([2]道具信息!C145="","",[2]道具信息!C145)</f>
        <v>21120</v>
      </c>
      <c r="D145" s="15" t="str">
        <f>IF([2]道具信息!D145="","",[2]道具信息!D145)</f>
        <v>治疗1分钟加速令</v>
      </c>
      <c r="E145" s="15">
        <f>IF([2]道具信息!E145="","",[2]道具信息!E145)</f>
        <v>2</v>
      </c>
      <c r="F145" s="15">
        <f>IF([2]道具信息!F145="","",[2]道具信息!F145)</f>
        <v>1</v>
      </c>
      <c r="G145" s="15">
        <f>IF([2]道具信息!G145="","",[2]道具信息!G145)</f>
        <v>1</v>
      </c>
      <c r="H145" s="15">
        <f>IF([2]道具信息!H145="","",[2]道具信息!H145)</f>
        <v>1</v>
      </c>
      <c r="I145" s="15">
        <f>IF([2]道具信息!I145="","",[2]道具信息!I145)</f>
        <v>2</v>
      </c>
      <c r="J145" s="15">
        <f>IF([2]道具信息!J145="","",[2]道具信息!J145)</f>
        <v>2</v>
      </c>
      <c r="K145" s="15">
        <f>IF([2]道具信息!K145="","",[2]道具信息!K145)</f>
        <v>2</v>
      </c>
      <c r="L145" s="15" t="str">
        <f>IF([2]道具信息!L145="","",[2]道具信息!L145)</f>
        <v>使用后士兵治疗加速1分钟</v>
      </c>
    </row>
    <row r="146" spans="3:12" x14ac:dyDescent="0.15">
      <c r="C146" s="15">
        <f>IF([2]道具信息!C146="","",[2]道具信息!C146)</f>
        <v>21121</v>
      </c>
      <c r="D146" s="15" t="str">
        <f>IF([2]道具信息!D146="","",[2]道具信息!D146)</f>
        <v>治疗5分钟加速令</v>
      </c>
      <c r="E146" s="15">
        <f>IF([2]道具信息!E146="","",[2]道具信息!E146)</f>
        <v>8</v>
      </c>
      <c r="F146" s="15">
        <f>IF([2]道具信息!F146="","",[2]道具信息!F146)</f>
        <v>1</v>
      </c>
      <c r="G146" s="15">
        <f>IF([2]道具信息!G146="","",[2]道具信息!G146)</f>
        <v>1</v>
      </c>
      <c r="H146" s="15">
        <f>IF([2]道具信息!H146="","",[2]道具信息!H146)</f>
        <v>1</v>
      </c>
      <c r="I146" s="15">
        <f>IF([2]道具信息!I146="","",[2]道具信息!I146)</f>
        <v>8</v>
      </c>
      <c r="J146" s="15">
        <f>IF([2]道具信息!J146="","",[2]道具信息!J146)</f>
        <v>8</v>
      </c>
      <c r="K146" s="15">
        <f>IF([2]道具信息!K146="","",[2]道具信息!K146)</f>
        <v>8</v>
      </c>
      <c r="L146" s="15" t="str">
        <f>IF([2]道具信息!L146="","",[2]道具信息!L146)</f>
        <v>使用后士兵治疗加速5分钟</v>
      </c>
    </row>
    <row r="147" spans="3:12" x14ac:dyDescent="0.15">
      <c r="C147" s="15">
        <f>IF([2]道具信息!C147="","",[2]道具信息!C147)</f>
        <v>21122</v>
      </c>
      <c r="D147" s="15" t="str">
        <f>IF([2]道具信息!D147="","",[2]道具信息!D147)</f>
        <v>治疗20分钟加速令</v>
      </c>
      <c r="E147" s="15">
        <f>IF([2]道具信息!E147="","",[2]道具信息!E147)</f>
        <v>20</v>
      </c>
      <c r="F147" s="15">
        <f>IF([2]道具信息!F147="","",[2]道具信息!F147)</f>
        <v>1</v>
      </c>
      <c r="G147" s="15">
        <f>IF([2]道具信息!G147="","",[2]道具信息!G147)</f>
        <v>1</v>
      </c>
      <c r="H147" s="15">
        <f>IF([2]道具信息!H147="","",[2]道具信息!H147)</f>
        <v>1</v>
      </c>
      <c r="I147" s="15">
        <f>IF([2]道具信息!I147="","",[2]道具信息!I147)</f>
        <v>20</v>
      </c>
      <c r="J147" s="15">
        <f>IF([2]道具信息!J147="","",[2]道具信息!J147)</f>
        <v>20</v>
      </c>
      <c r="K147" s="15">
        <f>IF([2]道具信息!K147="","",[2]道具信息!K147)</f>
        <v>20</v>
      </c>
      <c r="L147" s="15" t="str">
        <f>IF([2]道具信息!L147="","",[2]道具信息!L147)</f>
        <v>使用后士兵治疗加速20分钟</v>
      </c>
    </row>
    <row r="148" spans="3:12" x14ac:dyDescent="0.15">
      <c r="C148" s="15">
        <f>IF([2]道具信息!C148="","",[2]道具信息!C148)</f>
        <v>21123</v>
      </c>
      <c r="D148" s="15" t="str">
        <f>IF([2]道具信息!D148="","",[2]道具信息!D148)</f>
        <v>治疗1小时加速令</v>
      </c>
      <c r="E148" s="15">
        <f>IF([2]道具信息!E148="","",[2]道具信息!E148)</f>
        <v>50</v>
      </c>
      <c r="F148" s="15">
        <f>IF([2]道具信息!F148="","",[2]道具信息!F148)</f>
        <v>1.2</v>
      </c>
      <c r="G148" s="15">
        <f>IF([2]道具信息!G148="","",[2]道具信息!G148)</f>
        <v>1</v>
      </c>
      <c r="H148" s="15">
        <f>IF([2]道具信息!H148="","",[2]道具信息!H148)</f>
        <v>1</v>
      </c>
      <c r="I148" s="15">
        <f>IF([2]道具信息!I148="","",[2]道具信息!I148)</f>
        <v>60</v>
      </c>
      <c r="J148" s="15">
        <f>IF([2]道具信息!J148="","",[2]道具信息!J148)</f>
        <v>50</v>
      </c>
      <c r="K148" s="15">
        <f>IF([2]道具信息!K148="","",[2]道具信息!K148)</f>
        <v>50</v>
      </c>
      <c r="L148" s="15" t="str">
        <f>IF([2]道具信息!L148="","",[2]道具信息!L148)</f>
        <v>使用后士兵治疗加速1小时</v>
      </c>
    </row>
    <row r="149" spans="3:12" x14ac:dyDescent="0.15">
      <c r="C149" s="15">
        <f>IF([2]道具信息!C149="","",[2]道具信息!C149)</f>
        <v>21124</v>
      </c>
      <c r="D149" s="15" t="str">
        <f>IF([2]道具信息!D149="","",[2]道具信息!D149)</f>
        <v>治疗3小时加速令</v>
      </c>
      <c r="E149" s="15">
        <f>IF([2]道具信息!E149="","",[2]道具信息!E149)</f>
        <v>100</v>
      </c>
      <c r="F149" s="15">
        <f>IF([2]道具信息!F149="","",[2]道具信息!F149)</f>
        <v>1.8</v>
      </c>
      <c r="G149" s="15">
        <f>IF([2]道具信息!G149="","",[2]道具信息!G149)</f>
        <v>1.5</v>
      </c>
      <c r="H149" s="15">
        <f>IF([2]道具信息!H149="","",[2]道具信息!H149)</f>
        <v>1</v>
      </c>
      <c r="I149" s="15">
        <f>IF([2]道具信息!I149="","",[2]道具信息!I149)</f>
        <v>180</v>
      </c>
      <c r="J149" s="15">
        <f>IF([2]道具信息!J149="","",[2]道具信息!J149)</f>
        <v>150</v>
      </c>
      <c r="K149" s="15">
        <f>IF([2]道具信息!K149="","",[2]道具信息!K149)</f>
        <v>100</v>
      </c>
      <c r="L149" s="15" t="str">
        <f>IF([2]道具信息!L149="","",[2]道具信息!L149)</f>
        <v>使用后士兵治疗加速3小时</v>
      </c>
    </row>
    <row r="150" spans="3:12" x14ac:dyDescent="0.15">
      <c r="C150" s="15">
        <f>IF([2]道具信息!C150="","",[2]道具信息!C150)</f>
        <v>21137</v>
      </c>
      <c r="D150" s="15" t="str">
        <f>IF([2]道具信息!D150="","",[2]道具信息!D150)</f>
        <v>治疗8小时加速令</v>
      </c>
      <c r="E150" s="15">
        <f>IF([2]道具信息!E150="","",[2]道具信息!E150)</f>
        <v>160</v>
      </c>
      <c r="F150" s="15">
        <f>IF([2]道具信息!F150="","",[2]道具信息!F150)</f>
        <v>3</v>
      </c>
      <c r="G150" s="15">
        <f>IF([2]道具信息!G150="","",[2]道具信息!G150)</f>
        <v>2.5</v>
      </c>
      <c r="H150" s="15">
        <f>IF([2]道具信息!H150="","",[2]道具信息!H150)</f>
        <v>1</v>
      </c>
      <c r="I150" s="15">
        <f>IF([2]道具信息!I150="","",[2]道具信息!I150)</f>
        <v>480</v>
      </c>
      <c r="J150" s="15">
        <f>IF([2]道具信息!J150="","",[2]道具信息!J150)</f>
        <v>400</v>
      </c>
      <c r="K150" s="15">
        <f>IF([2]道具信息!K150="","",[2]道具信息!K150)</f>
        <v>160</v>
      </c>
      <c r="L150" s="15" t="str">
        <f>IF([2]道具信息!L150="","",[2]道具信息!L150)</f>
        <v>使用后士兵治疗加速8小时</v>
      </c>
    </row>
    <row r="151" spans="3:12" x14ac:dyDescent="0.15">
      <c r="C151" s="15" t="str">
        <f>IF([2]道具信息!C151="","",[2]道具信息!C151)</f>
        <v/>
      </c>
      <c r="D151" s="15" t="str">
        <f>IF([2]道具信息!D151="","",[2]道具信息!D151)</f>
        <v/>
      </c>
      <c r="E151" s="15" t="str">
        <f>IF([2]道具信息!E151="","",[2]道具信息!E151)</f>
        <v/>
      </c>
      <c r="F151" s="15">
        <f>IF([2]道具信息!F151="","",[2]道具信息!F151)</f>
        <v>3</v>
      </c>
      <c r="G151" s="15">
        <f>IF([2]道具信息!G151="","",[2]道具信息!G151)</f>
        <v>2.5</v>
      </c>
      <c r="H151" s="15">
        <f>IF([2]道具信息!H151="","",[2]道具信息!H151)</f>
        <v>1</v>
      </c>
      <c r="I151" s="15" t="str">
        <f>IF([2]道具信息!I151="","",[2]道具信息!I151)</f>
        <v/>
      </c>
      <c r="J151" s="15" t="str">
        <f>IF([2]道具信息!J151="","",[2]道具信息!J151)</f>
        <v/>
      </c>
      <c r="K151" s="15" t="str">
        <f>IF([2]道具信息!K151="","",[2]道具信息!K151)</f>
        <v/>
      </c>
      <c r="L151" s="15" t="str">
        <f>IF([2]道具信息!L151="","",[2]道具信息!L151)</f>
        <v/>
      </c>
    </row>
    <row r="152" spans="3:12" x14ac:dyDescent="0.15">
      <c r="C152" s="15">
        <f>IF([2]道具信息!C152="","",[2]道具信息!C152)</f>
        <v>21130</v>
      </c>
      <c r="D152" s="15" t="str">
        <f>IF([2]道具信息!D152="","",[2]道具信息!D152)</f>
        <v>训练1分钟加速令</v>
      </c>
      <c r="E152" s="15">
        <f>IF([2]道具信息!E152="","",[2]道具信息!E152)</f>
        <v>2</v>
      </c>
      <c r="F152" s="15">
        <f>IF([2]道具信息!F152="","",[2]道具信息!F152)</f>
        <v>1</v>
      </c>
      <c r="G152" s="15">
        <f>IF([2]道具信息!G152="","",[2]道具信息!G152)</f>
        <v>1</v>
      </c>
      <c r="H152" s="15">
        <f>IF([2]道具信息!H152="","",[2]道具信息!H152)</f>
        <v>1</v>
      </c>
      <c r="I152" s="15">
        <f>IF([2]道具信息!I152="","",[2]道具信息!I152)</f>
        <v>2</v>
      </c>
      <c r="J152" s="15">
        <f>IF([2]道具信息!J152="","",[2]道具信息!J152)</f>
        <v>2</v>
      </c>
      <c r="K152" s="15">
        <f>IF([2]道具信息!K152="","",[2]道具信息!K152)</f>
        <v>2</v>
      </c>
      <c r="L152" s="15" t="str">
        <f>IF([2]道具信息!L152="","",[2]道具信息!L152)</f>
        <v>使用后士兵训练加速1分钟</v>
      </c>
    </row>
    <row r="153" spans="3:12" x14ac:dyDescent="0.15">
      <c r="C153" s="15">
        <f>IF([2]道具信息!C153="","",[2]道具信息!C153)</f>
        <v>21131</v>
      </c>
      <c r="D153" s="15" t="str">
        <f>IF([2]道具信息!D153="","",[2]道具信息!D153)</f>
        <v>训练5分钟加速令</v>
      </c>
      <c r="E153" s="15">
        <f>IF([2]道具信息!E153="","",[2]道具信息!E153)</f>
        <v>8</v>
      </c>
      <c r="F153" s="15">
        <f>IF([2]道具信息!F153="","",[2]道具信息!F153)</f>
        <v>1</v>
      </c>
      <c r="G153" s="15">
        <f>IF([2]道具信息!G153="","",[2]道具信息!G153)</f>
        <v>1</v>
      </c>
      <c r="H153" s="15">
        <f>IF([2]道具信息!H153="","",[2]道具信息!H153)</f>
        <v>1</v>
      </c>
      <c r="I153" s="15">
        <f>IF([2]道具信息!I153="","",[2]道具信息!I153)</f>
        <v>8</v>
      </c>
      <c r="J153" s="15">
        <f>IF([2]道具信息!J153="","",[2]道具信息!J153)</f>
        <v>8</v>
      </c>
      <c r="K153" s="15">
        <f>IF([2]道具信息!K153="","",[2]道具信息!K153)</f>
        <v>8</v>
      </c>
      <c r="L153" s="15" t="str">
        <f>IF([2]道具信息!L153="","",[2]道具信息!L153)</f>
        <v>使用后士兵训练加速5分钟</v>
      </c>
    </row>
    <row r="154" spans="3:12" x14ac:dyDescent="0.15">
      <c r="C154" s="15">
        <f>IF([2]道具信息!C154="","",[2]道具信息!C154)</f>
        <v>21132</v>
      </c>
      <c r="D154" s="15" t="str">
        <f>IF([2]道具信息!D154="","",[2]道具信息!D154)</f>
        <v>训练20分钟加速令</v>
      </c>
      <c r="E154" s="15">
        <f>IF([2]道具信息!E154="","",[2]道具信息!E154)</f>
        <v>20</v>
      </c>
      <c r="F154" s="15">
        <f>IF([2]道具信息!F154="","",[2]道具信息!F154)</f>
        <v>1</v>
      </c>
      <c r="G154" s="15">
        <f>IF([2]道具信息!G154="","",[2]道具信息!G154)</f>
        <v>1</v>
      </c>
      <c r="H154" s="15">
        <f>IF([2]道具信息!H154="","",[2]道具信息!H154)</f>
        <v>1</v>
      </c>
      <c r="I154" s="15">
        <f>IF([2]道具信息!I154="","",[2]道具信息!I154)</f>
        <v>20</v>
      </c>
      <c r="J154" s="15">
        <f>IF([2]道具信息!J154="","",[2]道具信息!J154)</f>
        <v>20</v>
      </c>
      <c r="K154" s="15">
        <f>IF([2]道具信息!K154="","",[2]道具信息!K154)</f>
        <v>20</v>
      </c>
      <c r="L154" s="15" t="str">
        <f>IF([2]道具信息!L154="","",[2]道具信息!L154)</f>
        <v>使用后士兵训练加速20分钟</v>
      </c>
    </row>
    <row r="155" spans="3:12" x14ac:dyDescent="0.15">
      <c r="C155" s="15">
        <f>IF([2]道具信息!C155="","",[2]道具信息!C155)</f>
        <v>21133</v>
      </c>
      <c r="D155" s="15" t="str">
        <f>IF([2]道具信息!D155="","",[2]道具信息!D155)</f>
        <v>训练1小时加速令</v>
      </c>
      <c r="E155" s="15">
        <f>IF([2]道具信息!E155="","",[2]道具信息!E155)</f>
        <v>50</v>
      </c>
      <c r="F155" s="15">
        <f>IF([2]道具信息!F155="","",[2]道具信息!F155)</f>
        <v>1.2</v>
      </c>
      <c r="G155" s="15">
        <f>IF([2]道具信息!G155="","",[2]道具信息!G155)</f>
        <v>1</v>
      </c>
      <c r="H155" s="15">
        <f>IF([2]道具信息!H155="","",[2]道具信息!H155)</f>
        <v>1</v>
      </c>
      <c r="I155" s="15">
        <f>IF([2]道具信息!I155="","",[2]道具信息!I155)</f>
        <v>60</v>
      </c>
      <c r="J155" s="15">
        <f>IF([2]道具信息!J155="","",[2]道具信息!J155)</f>
        <v>50</v>
      </c>
      <c r="K155" s="15">
        <f>IF([2]道具信息!K155="","",[2]道具信息!K155)</f>
        <v>50</v>
      </c>
      <c r="L155" s="15" t="str">
        <f>IF([2]道具信息!L155="","",[2]道具信息!L155)</f>
        <v>使用后士兵训练加速1小时</v>
      </c>
    </row>
    <row r="156" spans="3:12" x14ac:dyDescent="0.15">
      <c r="C156" s="15">
        <f>IF([2]道具信息!C156="","",[2]道具信息!C156)</f>
        <v>21134</v>
      </c>
      <c r="D156" s="15" t="str">
        <f>IF([2]道具信息!D156="","",[2]道具信息!D156)</f>
        <v>训练3小时加速令</v>
      </c>
      <c r="E156" s="15">
        <f>IF([2]道具信息!E156="","",[2]道具信息!E156)</f>
        <v>100</v>
      </c>
      <c r="F156" s="15">
        <f>IF([2]道具信息!F156="","",[2]道具信息!F156)</f>
        <v>1.8</v>
      </c>
      <c r="G156" s="15">
        <f>IF([2]道具信息!G156="","",[2]道具信息!G156)</f>
        <v>1.5</v>
      </c>
      <c r="H156" s="15">
        <f>IF([2]道具信息!H156="","",[2]道具信息!H156)</f>
        <v>1</v>
      </c>
      <c r="I156" s="15">
        <f>IF([2]道具信息!I156="","",[2]道具信息!I156)</f>
        <v>180</v>
      </c>
      <c r="J156" s="15">
        <f>IF([2]道具信息!J156="","",[2]道具信息!J156)</f>
        <v>150</v>
      </c>
      <c r="K156" s="15">
        <f>IF([2]道具信息!K156="","",[2]道具信息!K156)</f>
        <v>100</v>
      </c>
      <c r="L156" s="15" t="str">
        <f>IF([2]道具信息!L156="","",[2]道具信息!L156)</f>
        <v>使用后士兵训练加速3小时</v>
      </c>
    </row>
    <row r="157" spans="3:12" x14ac:dyDescent="0.15">
      <c r="C157" s="15">
        <f>IF([2]道具信息!C157="","",[2]道具信息!C157)</f>
        <v>21139</v>
      </c>
      <c r="D157" s="15" t="str">
        <f>IF([2]道具信息!D157="","",[2]道具信息!D157)</f>
        <v>训练8小时加速令</v>
      </c>
      <c r="E157" s="15">
        <f>IF([2]道具信息!E157="","",[2]道具信息!E157)</f>
        <v>160</v>
      </c>
      <c r="F157" s="15">
        <f>IF([2]道具信息!F157="","",[2]道具信息!F157)</f>
        <v>3</v>
      </c>
      <c r="G157" s="15">
        <f>IF([2]道具信息!G157="","",[2]道具信息!G157)</f>
        <v>2.5</v>
      </c>
      <c r="H157" s="15">
        <f>IF([2]道具信息!H157="","",[2]道具信息!H157)</f>
        <v>1</v>
      </c>
      <c r="I157" s="15">
        <f>IF([2]道具信息!I157="","",[2]道具信息!I157)</f>
        <v>480</v>
      </c>
      <c r="J157" s="15">
        <f>IF([2]道具信息!J157="","",[2]道具信息!J157)</f>
        <v>400</v>
      </c>
      <c r="K157" s="15">
        <f>IF([2]道具信息!K157="","",[2]道具信息!K157)</f>
        <v>160</v>
      </c>
      <c r="L157" s="15" t="str">
        <f>IF([2]道具信息!L157="","",[2]道具信息!L157)</f>
        <v>使用后士兵训练加速8小时</v>
      </c>
    </row>
    <row r="158" spans="3:12" x14ac:dyDescent="0.15">
      <c r="C158" s="15" t="str">
        <f>IF([2]道具信息!C158="","",[2]道具信息!C158)</f>
        <v/>
      </c>
      <c r="D158" s="15" t="str">
        <f>IF([2]道具信息!D158="","",[2]道具信息!D158)</f>
        <v/>
      </c>
      <c r="E158" s="15" t="str">
        <f>IF([2]道具信息!E158="","",[2]道具信息!E158)</f>
        <v/>
      </c>
      <c r="F158" s="15">
        <f>IF([2]道具信息!F158="","",[2]道具信息!F158)</f>
        <v>3</v>
      </c>
      <c r="G158" s="15">
        <f>IF([2]道具信息!G158="","",[2]道具信息!G158)</f>
        <v>2.5</v>
      </c>
      <c r="H158" s="15">
        <f>IF([2]道具信息!H158="","",[2]道具信息!H158)</f>
        <v>1</v>
      </c>
      <c r="I158" s="15" t="str">
        <f>IF([2]道具信息!I158="","",[2]道具信息!I158)</f>
        <v/>
      </c>
      <c r="J158" s="15" t="str">
        <f>IF([2]道具信息!J158="","",[2]道具信息!J158)</f>
        <v/>
      </c>
      <c r="K158" s="15" t="str">
        <f>IF([2]道具信息!K158="","",[2]道具信息!K158)</f>
        <v/>
      </c>
      <c r="L158" s="15" t="str">
        <f>IF([2]道具信息!L158="","",[2]道具信息!L158)</f>
        <v/>
      </c>
    </row>
    <row r="159" spans="3:12" x14ac:dyDescent="0.15">
      <c r="C159" s="15">
        <f>IF([2]道具信息!C159="","",[2]道具信息!C159)</f>
        <v>21140</v>
      </c>
      <c r="D159" s="15" t="str">
        <f>IF([2]道具信息!D159="","",[2]道具信息!D159)</f>
        <v>圣人1分钟加速令</v>
      </c>
      <c r="E159" s="15">
        <f>IF([2]道具信息!E159="","",[2]道具信息!E159)</f>
        <v>2</v>
      </c>
      <c r="F159" s="15">
        <f>IF([2]道具信息!F159="","",[2]道具信息!F159)</f>
        <v>1</v>
      </c>
      <c r="G159" s="15">
        <f>IF([2]道具信息!G159="","",[2]道具信息!G159)</f>
        <v>1</v>
      </c>
      <c r="H159" s="15">
        <f>IF([2]道具信息!H159="","",[2]道具信息!H159)</f>
        <v>1</v>
      </c>
      <c r="I159" s="15">
        <f>IF([2]道具信息!I159="","",[2]道具信息!I159)</f>
        <v>2</v>
      </c>
      <c r="J159" s="15">
        <f>IF([2]道具信息!J159="","",[2]道具信息!J159)</f>
        <v>2</v>
      </c>
      <c r="K159" s="15">
        <f>IF([2]道具信息!K159="","",[2]道具信息!K159)</f>
        <v>2</v>
      </c>
      <c r="L159" s="15" t="str">
        <f>IF([2]道具信息!L159="","",[2]道具信息!L159)</f>
        <v>使用后士兵训练加速1分钟</v>
      </c>
    </row>
    <row r="160" spans="3:12" x14ac:dyDescent="0.15">
      <c r="C160" s="15">
        <f>IF([2]道具信息!C160="","",[2]道具信息!C160)</f>
        <v>21141</v>
      </c>
      <c r="D160" s="15" t="str">
        <f>IF([2]道具信息!D160="","",[2]道具信息!D160)</f>
        <v>圣人5分钟加速令</v>
      </c>
      <c r="E160" s="15">
        <f>IF([2]道具信息!E160="","",[2]道具信息!E160)</f>
        <v>8</v>
      </c>
      <c r="F160" s="15">
        <f>IF([2]道具信息!F160="","",[2]道具信息!F160)</f>
        <v>1</v>
      </c>
      <c r="G160" s="15">
        <f>IF([2]道具信息!G160="","",[2]道具信息!G160)</f>
        <v>1</v>
      </c>
      <c r="H160" s="15">
        <f>IF([2]道具信息!H160="","",[2]道具信息!H160)</f>
        <v>1</v>
      </c>
      <c r="I160" s="15">
        <f>IF([2]道具信息!I160="","",[2]道具信息!I160)</f>
        <v>8</v>
      </c>
      <c r="J160" s="15">
        <f>IF([2]道具信息!J160="","",[2]道具信息!J160)</f>
        <v>8</v>
      </c>
      <c r="K160" s="15">
        <f>IF([2]道具信息!K160="","",[2]道具信息!K160)</f>
        <v>8</v>
      </c>
      <c r="L160" s="15" t="str">
        <f>IF([2]道具信息!L160="","",[2]道具信息!L160)</f>
        <v>使用后士兵训练加速5分钟</v>
      </c>
    </row>
    <row r="161" spans="3:12" x14ac:dyDescent="0.15">
      <c r="C161" s="15">
        <f>IF([2]道具信息!C161="","",[2]道具信息!C161)</f>
        <v>21142</v>
      </c>
      <c r="D161" s="15" t="str">
        <f>IF([2]道具信息!D161="","",[2]道具信息!D161)</f>
        <v>圣人20分钟加速令</v>
      </c>
      <c r="E161" s="15">
        <f>IF([2]道具信息!E161="","",[2]道具信息!E161)</f>
        <v>20</v>
      </c>
      <c r="F161" s="15">
        <f>IF([2]道具信息!F161="","",[2]道具信息!F161)</f>
        <v>1</v>
      </c>
      <c r="G161" s="15">
        <f>IF([2]道具信息!G161="","",[2]道具信息!G161)</f>
        <v>1</v>
      </c>
      <c r="H161" s="15">
        <f>IF([2]道具信息!H161="","",[2]道具信息!H161)</f>
        <v>1</v>
      </c>
      <c r="I161" s="15">
        <f>IF([2]道具信息!I161="","",[2]道具信息!I161)</f>
        <v>20</v>
      </c>
      <c r="J161" s="15">
        <f>IF([2]道具信息!J161="","",[2]道具信息!J161)</f>
        <v>20</v>
      </c>
      <c r="K161" s="15">
        <f>IF([2]道具信息!K161="","",[2]道具信息!K161)</f>
        <v>20</v>
      </c>
      <c r="L161" s="15" t="str">
        <f>IF([2]道具信息!L161="","",[2]道具信息!L161)</f>
        <v>使用后士兵训练加速20分钟</v>
      </c>
    </row>
    <row r="162" spans="3:12" x14ac:dyDescent="0.15">
      <c r="C162" s="15">
        <f>IF([2]道具信息!C162="","",[2]道具信息!C162)</f>
        <v>21143</v>
      </c>
      <c r="D162" s="15" t="str">
        <f>IF([2]道具信息!D162="","",[2]道具信息!D162)</f>
        <v>圣人1小时加速令</v>
      </c>
      <c r="E162" s="15">
        <f>IF([2]道具信息!E162="","",[2]道具信息!E162)</f>
        <v>50</v>
      </c>
      <c r="F162" s="15">
        <f>IF([2]道具信息!F162="","",[2]道具信息!F162)</f>
        <v>1.2</v>
      </c>
      <c r="G162" s="15">
        <f>IF([2]道具信息!G162="","",[2]道具信息!G162)</f>
        <v>1</v>
      </c>
      <c r="H162" s="15">
        <f>IF([2]道具信息!H162="","",[2]道具信息!H162)</f>
        <v>1</v>
      </c>
      <c r="I162" s="15">
        <f>IF([2]道具信息!I162="","",[2]道具信息!I162)</f>
        <v>60</v>
      </c>
      <c r="J162" s="15">
        <f>IF([2]道具信息!J162="","",[2]道具信息!J162)</f>
        <v>50</v>
      </c>
      <c r="K162" s="15">
        <f>IF([2]道具信息!K162="","",[2]道具信息!K162)</f>
        <v>50</v>
      </c>
      <c r="L162" s="15" t="str">
        <f>IF([2]道具信息!L162="","",[2]道具信息!L162)</f>
        <v>使用后士兵训练加速1小时</v>
      </c>
    </row>
    <row r="163" spans="3:12" x14ac:dyDescent="0.15">
      <c r="C163" s="15">
        <f>IF([2]道具信息!C163="","",[2]道具信息!C163)</f>
        <v>21144</v>
      </c>
      <c r="D163" s="15" t="str">
        <f>IF([2]道具信息!D163="","",[2]道具信息!D163)</f>
        <v>圣人3小时加速令</v>
      </c>
      <c r="E163" s="15">
        <f>IF([2]道具信息!E163="","",[2]道具信息!E163)</f>
        <v>100</v>
      </c>
      <c r="F163" s="15">
        <f>IF([2]道具信息!F163="","",[2]道具信息!F163)</f>
        <v>1.8</v>
      </c>
      <c r="G163" s="15">
        <f>IF([2]道具信息!G163="","",[2]道具信息!G163)</f>
        <v>1.5</v>
      </c>
      <c r="H163" s="15">
        <f>IF([2]道具信息!H163="","",[2]道具信息!H163)</f>
        <v>1</v>
      </c>
      <c r="I163" s="15">
        <f>IF([2]道具信息!I163="","",[2]道具信息!I163)</f>
        <v>180</v>
      </c>
      <c r="J163" s="15">
        <f>IF([2]道具信息!J163="","",[2]道具信息!J163)</f>
        <v>150</v>
      </c>
      <c r="K163" s="15">
        <f>IF([2]道具信息!K163="","",[2]道具信息!K163)</f>
        <v>100</v>
      </c>
      <c r="L163" s="15" t="str">
        <f>IF([2]道具信息!L163="","",[2]道具信息!L163)</f>
        <v>使用后士兵训练加速3小时</v>
      </c>
    </row>
    <row r="164" spans="3:12" x14ac:dyDescent="0.15">
      <c r="C164" s="15">
        <f>IF([2]道具信息!C164="","",[2]道具信息!C164)</f>
        <v>21145</v>
      </c>
      <c r="D164" s="15" t="str">
        <f>IF([2]道具信息!D164="","",[2]道具信息!D164)</f>
        <v>圣人8小时加速令</v>
      </c>
      <c r="E164" s="15">
        <f>IF([2]道具信息!E164="","",[2]道具信息!E164)</f>
        <v>160</v>
      </c>
      <c r="F164" s="15">
        <f>IF([2]道具信息!F164="","",[2]道具信息!F164)</f>
        <v>3</v>
      </c>
      <c r="G164" s="15">
        <f>IF([2]道具信息!G164="","",[2]道具信息!G164)</f>
        <v>2.5</v>
      </c>
      <c r="H164" s="15">
        <f>IF([2]道具信息!H164="","",[2]道具信息!H164)</f>
        <v>1</v>
      </c>
      <c r="I164" s="15">
        <f>IF([2]道具信息!I164="","",[2]道具信息!I164)</f>
        <v>480</v>
      </c>
      <c r="J164" s="15">
        <f>IF([2]道具信息!J164="","",[2]道具信息!J164)</f>
        <v>400</v>
      </c>
      <c r="K164" s="15">
        <f>IF([2]道具信息!K164="","",[2]道具信息!K164)</f>
        <v>160</v>
      </c>
      <c r="L164" s="15" t="str">
        <f>IF([2]道具信息!L164="","",[2]道具信息!L164)</f>
        <v>使用后士兵训练加速8小时</v>
      </c>
    </row>
    <row r="165" spans="3:12" x14ac:dyDescent="0.15">
      <c r="C165" s="15" t="str">
        <f>IF([2]道具信息!C165="","",[2]道具信息!C165)</f>
        <v/>
      </c>
      <c r="D165" s="15" t="str">
        <f>IF([2]道具信息!D165="","",[2]道具信息!D165)</f>
        <v/>
      </c>
      <c r="E165" s="15" t="str">
        <f>IF([2]道具信息!E165="","",[2]道具信息!E165)</f>
        <v/>
      </c>
      <c r="F165" s="15">
        <f>IF([2]道具信息!F165="","",[2]道具信息!F165)</f>
        <v>3</v>
      </c>
      <c r="G165" s="15">
        <f>IF([2]道具信息!G165="","",[2]道具信息!G165)</f>
        <v>2.5</v>
      </c>
      <c r="H165" s="15">
        <f>IF([2]道具信息!H165="","",[2]道具信息!H165)</f>
        <v>1</v>
      </c>
      <c r="I165" s="15" t="str">
        <f>IF([2]道具信息!I165="","",[2]道具信息!I165)</f>
        <v/>
      </c>
      <c r="J165" s="15" t="str">
        <f>IF([2]道具信息!J165="","",[2]道具信息!J165)</f>
        <v/>
      </c>
      <c r="K165" s="15" t="str">
        <f>IF([2]道具信息!K165="","",[2]道具信息!K165)</f>
        <v/>
      </c>
      <c r="L165" s="15" t="str">
        <f>IF([2]道具信息!L165="","",[2]道具信息!L165)</f>
        <v/>
      </c>
    </row>
    <row r="166" spans="3:12" x14ac:dyDescent="0.15">
      <c r="C166" s="15">
        <f>IF([2]道具信息!C166="","",[2]道具信息!C166)</f>
        <v>21125</v>
      </c>
      <c r="D166" s="15" t="str">
        <f>IF([2]道具信息!D166="","",[2]道具信息!D166)</f>
        <v>通用1分钟加速令</v>
      </c>
      <c r="E166" s="15">
        <f>IF([2]道具信息!E166="","",[2]道具信息!E166)</f>
        <v>2</v>
      </c>
      <c r="F166" s="15">
        <f>IF([2]道具信息!F166="","",[2]道具信息!F166)</f>
        <v>1</v>
      </c>
      <c r="G166" s="15">
        <f>IF([2]道具信息!G166="","",[2]道具信息!G166)</f>
        <v>1</v>
      </c>
      <c r="H166" s="15">
        <f>IF([2]道具信息!H166="","",[2]道具信息!H166)</f>
        <v>1</v>
      </c>
      <c r="I166" s="15">
        <f>IF([2]道具信息!I166="","",[2]道具信息!I166)</f>
        <v>2</v>
      </c>
      <c r="J166" s="15">
        <f>IF([2]道具信息!J166="","",[2]道具信息!J166)</f>
        <v>2</v>
      </c>
      <c r="K166" s="15">
        <f>IF([2]道具信息!K166="","",[2]道具信息!K166)</f>
        <v>2</v>
      </c>
      <c r="L166" s="15" t="str">
        <f>IF([2]道具信息!L166="","",[2]道具信息!L166)</f>
        <v>使用后任意队列加速1分钟</v>
      </c>
    </row>
    <row r="167" spans="3:12" x14ac:dyDescent="0.15">
      <c r="C167" s="15">
        <f>IF([2]道具信息!C167="","",[2]道具信息!C167)</f>
        <v>21126</v>
      </c>
      <c r="D167" s="15" t="str">
        <f>IF([2]道具信息!D167="","",[2]道具信息!D167)</f>
        <v>通用5分钟加速令</v>
      </c>
      <c r="E167" s="15">
        <f>IF([2]道具信息!E167="","",[2]道具信息!E167)</f>
        <v>8</v>
      </c>
      <c r="F167" s="15">
        <f>IF([2]道具信息!F167="","",[2]道具信息!F167)</f>
        <v>1</v>
      </c>
      <c r="G167" s="15">
        <f>IF([2]道具信息!G167="","",[2]道具信息!G167)</f>
        <v>1</v>
      </c>
      <c r="H167" s="15">
        <f>IF([2]道具信息!H167="","",[2]道具信息!H167)</f>
        <v>1</v>
      </c>
      <c r="I167" s="15">
        <f>IF([2]道具信息!I167="","",[2]道具信息!I167)</f>
        <v>8</v>
      </c>
      <c r="J167" s="15">
        <f>IF([2]道具信息!J167="","",[2]道具信息!J167)</f>
        <v>8</v>
      </c>
      <c r="K167" s="15">
        <f>IF([2]道具信息!K167="","",[2]道具信息!K167)</f>
        <v>8</v>
      </c>
      <c r="L167" s="15" t="str">
        <f>IF([2]道具信息!L167="","",[2]道具信息!L167)</f>
        <v>使用后任意队列加速5分钟</v>
      </c>
    </row>
    <row r="168" spans="3:12" x14ac:dyDescent="0.15">
      <c r="C168" s="15">
        <f>IF([2]道具信息!C168="","",[2]道具信息!C168)</f>
        <v>21127</v>
      </c>
      <c r="D168" s="15" t="str">
        <f>IF([2]道具信息!D168="","",[2]道具信息!D168)</f>
        <v>通用20分钟加速令</v>
      </c>
      <c r="E168" s="15">
        <f>IF([2]道具信息!E168="","",[2]道具信息!E168)</f>
        <v>20</v>
      </c>
      <c r="F168" s="15">
        <f>IF([2]道具信息!F168="","",[2]道具信息!F168)</f>
        <v>1</v>
      </c>
      <c r="G168" s="15">
        <f>IF([2]道具信息!G168="","",[2]道具信息!G168)</f>
        <v>1</v>
      </c>
      <c r="H168" s="15">
        <f>IF([2]道具信息!H168="","",[2]道具信息!H168)</f>
        <v>1</v>
      </c>
      <c r="I168" s="15">
        <f>IF([2]道具信息!I168="","",[2]道具信息!I168)</f>
        <v>20</v>
      </c>
      <c r="J168" s="15">
        <f>IF([2]道具信息!J168="","",[2]道具信息!J168)</f>
        <v>20</v>
      </c>
      <c r="K168" s="15">
        <f>IF([2]道具信息!K168="","",[2]道具信息!K168)</f>
        <v>20</v>
      </c>
      <c r="L168" s="15" t="str">
        <f>IF([2]道具信息!L168="","",[2]道具信息!L168)</f>
        <v>使用后任意队列加速20分钟</v>
      </c>
    </row>
    <row r="169" spans="3:12" x14ac:dyDescent="0.15">
      <c r="C169" s="15">
        <f>IF([2]道具信息!C169="","",[2]道具信息!C169)</f>
        <v>21128</v>
      </c>
      <c r="D169" s="15" t="str">
        <f>IF([2]道具信息!D169="","",[2]道具信息!D169)</f>
        <v>通用1小时加速令</v>
      </c>
      <c r="E169" s="15">
        <f>IF([2]道具信息!E169="","",[2]道具信息!E169)</f>
        <v>50</v>
      </c>
      <c r="F169" s="15">
        <f>IF([2]道具信息!F169="","",[2]道具信息!F169)</f>
        <v>1.2</v>
      </c>
      <c r="G169" s="15">
        <f>IF([2]道具信息!G169="","",[2]道具信息!G169)</f>
        <v>1</v>
      </c>
      <c r="H169" s="15">
        <f>IF([2]道具信息!H169="","",[2]道具信息!H169)</f>
        <v>1</v>
      </c>
      <c r="I169" s="15">
        <f>IF([2]道具信息!I169="","",[2]道具信息!I169)</f>
        <v>60</v>
      </c>
      <c r="J169" s="15">
        <f>IF([2]道具信息!J169="","",[2]道具信息!J169)</f>
        <v>50</v>
      </c>
      <c r="K169" s="15">
        <f>IF([2]道具信息!K169="","",[2]道具信息!K169)</f>
        <v>50</v>
      </c>
      <c r="L169" s="15" t="str">
        <f>IF([2]道具信息!L169="","",[2]道具信息!L169)</f>
        <v>使用后任意队列加速1小时</v>
      </c>
    </row>
    <row r="170" spans="3:12" x14ac:dyDescent="0.15">
      <c r="C170" s="15">
        <f>IF([2]道具信息!C170="","",[2]道具信息!C170)</f>
        <v>21129</v>
      </c>
      <c r="D170" s="15" t="str">
        <f>IF([2]道具信息!D170="","",[2]道具信息!D170)</f>
        <v>通用3小时加速令</v>
      </c>
      <c r="E170" s="15">
        <f>IF([2]道具信息!E170="","",[2]道具信息!E170)</f>
        <v>100</v>
      </c>
      <c r="F170" s="15">
        <f>IF([2]道具信息!F170="","",[2]道具信息!F170)</f>
        <v>1.8</v>
      </c>
      <c r="G170" s="15">
        <f>IF([2]道具信息!G170="","",[2]道具信息!G170)</f>
        <v>1.5</v>
      </c>
      <c r="H170" s="15">
        <f>IF([2]道具信息!H170="","",[2]道具信息!H170)</f>
        <v>1</v>
      </c>
      <c r="I170" s="15">
        <f>IF([2]道具信息!I170="","",[2]道具信息!I170)</f>
        <v>180</v>
      </c>
      <c r="J170" s="15">
        <f>IF([2]道具信息!J170="","",[2]道具信息!J170)</f>
        <v>150</v>
      </c>
      <c r="K170" s="15">
        <f>IF([2]道具信息!K170="","",[2]道具信息!K170)</f>
        <v>100</v>
      </c>
      <c r="L170" s="15" t="str">
        <f>IF([2]道具信息!L170="","",[2]道具信息!L170)</f>
        <v>使用后任意队列加速3小时</v>
      </c>
    </row>
    <row r="171" spans="3:12" x14ac:dyDescent="0.15">
      <c r="C171" s="15">
        <f>IF([2]道具信息!C171="","",[2]道具信息!C171)</f>
        <v>21138</v>
      </c>
      <c r="D171" s="15" t="str">
        <f>IF([2]道具信息!D171="","",[2]道具信息!D171)</f>
        <v>通用8小时加速令</v>
      </c>
      <c r="E171" s="15">
        <f>IF([2]道具信息!E171="","",[2]道具信息!E171)</f>
        <v>160</v>
      </c>
      <c r="F171" s="15">
        <f>IF([2]道具信息!F171="","",[2]道具信息!F171)</f>
        <v>3</v>
      </c>
      <c r="G171" s="15">
        <f>IF([2]道具信息!G171="","",[2]道具信息!G171)</f>
        <v>2.5</v>
      </c>
      <c r="H171" s="15">
        <f>IF([2]道具信息!H171="","",[2]道具信息!H171)</f>
        <v>1</v>
      </c>
      <c r="I171" s="15">
        <f>IF([2]道具信息!I171="","",[2]道具信息!I171)</f>
        <v>480</v>
      </c>
      <c r="J171" s="15">
        <f>IF([2]道具信息!J171="","",[2]道具信息!J171)</f>
        <v>400</v>
      </c>
      <c r="K171" s="15">
        <f>IF([2]道具信息!K171="","",[2]道具信息!K171)</f>
        <v>160</v>
      </c>
      <c r="L171" s="15" t="str">
        <f>IF([2]道具信息!L171="","",[2]道具信息!L171)</f>
        <v>使用后任意队列加速8小时</v>
      </c>
    </row>
    <row r="172" spans="3:12" x14ac:dyDescent="0.15">
      <c r="C172" s="15" t="str">
        <f>IF([2]道具信息!C172="","",[2]道具信息!C172)</f>
        <v/>
      </c>
      <c r="D172" s="15" t="str">
        <f>IF([2]道具信息!D172="","",[2]道具信息!D172)</f>
        <v/>
      </c>
      <c r="E172" s="15" t="str">
        <f>IF([2]道具信息!E172="","",[2]道具信息!E172)</f>
        <v/>
      </c>
      <c r="F172" s="15">
        <f>IF([2]道具信息!F172="","",[2]道具信息!F172)</f>
        <v>3</v>
      </c>
      <c r="G172" s="15">
        <f>IF([2]道具信息!G172="","",[2]道具信息!G172)</f>
        <v>2.5</v>
      </c>
      <c r="H172" s="15">
        <f>IF([2]道具信息!H172="","",[2]道具信息!H172)</f>
        <v>1</v>
      </c>
      <c r="I172" s="15" t="str">
        <f>IF([2]道具信息!I172="","",[2]道具信息!I172)</f>
        <v/>
      </c>
      <c r="J172" s="15" t="str">
        <f>IF([2]道具信息!J172="","",[2]道具信息!J172)</f>
        <v/>
      </c>
      <c r="K172" s="15" t="str">
        <f>IF([2]道具信息!K172="","",[2]道具信息!K172)</f>
        <v/>
      </c>
      <c r="L172" s="15" t="str">
        <f>IF([2]道具信息!L172="","",[2]道具信息!L172)</f>
        <v/>
      </c>
    </row>
    <row r="173" spans="3:12" x14ac:dyDescent="0.15">
      <c r="C173" s="15" t="str">
        <f>IF([2]道具信息!C173="","",[2]道具信息!C173)</f>
        <v/>
      </c>
      <c r="D173" s="15" t="str">
        <f>IF([2]道具信息!D173="","",[2]道具信息!D173)</f>
        <v/>
      </c>
      <c r="E173" s="15" t="str">
        <f>IF([2]道具信息!E173="","",[2]道具信息!E173)</f>
        <v/>
      </c>
      <c r="F173" s="15" t="str">
        <f>IF([2]道具信息!F173="","",[2]道具信息!F173)</f>
        <v/>
      </c>
      <c r="G173" s="15" t="str">
        <f>IF([2]道具信息!G173="","",[2]道具信息!G173)</f>
        <v/>
      </c>
      <c r="H173" s="15" t="str">
        <f>IF([2]道具信息!H173="","",[2]道具信息!H173)</f>
        <v/>
      </c>
      <c r="I173" s="15" t="str">
        <f>IF([2]道具信息!I173="","",[2]道具信息!I173)</f>
        <v/>
      </c>
      <c r="J173" s="15" t="str">
        <f>IF([2]道具信息!J173="","",[2]道具信息!J173)</f>
        <v/>
      </c>
      <c r="K173" s="15" t="str">
        <f>IF([2]道具信息!K173="","",[2]道具信息!K173)</f>
        <v/>
      </c>
      <c r="L173" s="15" t="str">
        <f>IF([2]道具信息!L173="","",[2]道具信息!L173)</f>
        <v/>
      </c>
    </row>
    <row r="174" spans="3:12" x14ac:dyDescent="0.15">
      <c r="C174" s="15">
        <f>IF([2]道具信息!C174="","",[2]道具信息!C174)</f>
        <v>21150</v>
      </c>
      <c r="D174" s="15" t="str">
        <f>IF([2]道具信息!D174="","",[2]道具信息!D174)</f>
        <v>初级装备淬炼</v>
      </c>
      <c r="E174" s="15">
        <f>IF([2]道具信息!E174="","",[2]道具信息!E174)</f>
        <v>10</v>
      </c>
      <c r="F174" s="15">
        <f>IF([2]道具信息!F174="","",[2]道具信息!F174)</f>
        <v>1</v>
      </c>
      <c r="G174" s="15">
        <f>IF([2]道具信息!G174="","",[2]道具信息!G174)</f>
        <v>1</v>
      </c>
      <c r="H174" s="15">
        <f>IF([2]道具信息!H174="","",[2]道具信息!H174)</f>
        <v>1</v>
      </c>
      <c r="I174" s="15">
        <f>IF([2]道具信息!I174="","",[2]道具信息!I174)</f>
        <v>10</v>
      </c>
      <c r="J174" s="15">
        <f>IF([2]道具信息!J174="","",[2]道具信息!J174)</f>
        <v>10</v>
      </c>
      <c r="K174" s="15">
        <f>IF([2]道具信息!K174="","",[2]道具信息!K174)</f>
        <v>10</v>
      </c>
      <c r="L174" s="15" t="str">
        <f>IF([2]道具信息!L174="","",[2]道具信息!L174)</f>
        <v>装备使用后获得10经验</v>
      </c>
    </row>
    <row r="175" spans="3:12" x14ac:dyDescent="0.15">
      <c r="C175" s="15">
        <f>IF([2]道具信息!C175="","",[2]道具信息!C175)</f>
        <v>21151</v>
      </c>
      <c r="D175" s="15" t="str">
        <f>IF([2]道具信息!D175="","",[2]道具信息!D175)</f>
        <v>中级装备淬炼</v>
      </c>
      <c r="E175" s="15">
        <f>IF([2]道具信息!E175="","",[2]道具信息!E175)</f>
        <v>20</v>
      </c>
      <c r="F175" s="15">
        <f>IF([2]道具信息!F175="","",[2]道具信息!F175)</f>
        <v>1</v>
      </c>
      <c r="G175" s="15">
        <f>IF([2]道具信息!G175="","",[2]道具信息!G175)</f>
        <v>1</v>
      </c>
      <c r="H175" s="15">
        <f>IF([2]道具信息!H175="","",[2]道具信息!H175)</f>
        <v>1</v>
      </c>
      <c r="I175" s="15">
        <f>IF([2]道具信息!I175="","",[2]道具信息!I175)</f>
        <v>20</v>
      </c>
      <c r="J175" s="15">
        <f>IF([2]道具信息!J175="","",[2]道具信息!J175)</f>
        <v>20</v>
      </c>
      <c r="K175" s="15">
        <f>IF([2]道具信息!K175="","",[2]道具信息!K175)</f>
        <v>20</v>
      </c>
      <c r="L175" s="15" t="str">
        <f>IF([2]道具信息!L175="","",[2]道具信息!L175)</f>
        <v>装备使用后获得20经验</v>
      </c>
    </row>
    <row r="176" spans="3:12" x14ac:dyDescent="0.15">
      <c r="C176" s="15">
        <f>IF([2]道具信息!C176="","",[2]道具信息!C176)</f>
        <v>21152</v>
      </c>
      <c r="D176" s="15" t="str">
        <f>IF([2]道具信息!D176="","",[2]道具信息!D176)</f>
        <v>高级装备淬炼</v>
      </c>
      <c r="E176" s="15">
        <f>IF([2]道具信息!E176="","",[2]道具信息!E176)</f>
        <v>40</v>
      </c>
      <c r="F176" s="15">
        <f>IF([2]道具信息!F176="","",[2]道具信息!F176)</f>
        <v>1</v>
      </c>
      <c r="G176" s="15">
        <f>IF([2]道具信息!G176="","",[2]道具信息!G176)</f>
        <v>1</v>
      </c>
      <c r="H176" s="15">
        <f>IF([2]道具信息!H176="","",[2]道具信息!H176)</f>
        <v>1</v>
      </c>
      <c r="I176" s="15">
        <f>IF([2]道具信息!I176="","",[2]道具信息!I176)</f>
        <v>40</v>
      </c>
      <c r="J176" s="15">
        <f>IF([2]道具信息!J176="","",[2]道具信息!J176)</f>
        <v>40</v>
      </c>
      <c r="K176" s="15">
        <f>IF([2]道具信息!K176="","",[2]道具信息!K176)</f>
        <v>40</v>
      </c>
      <c r="L176" s="15" t="str">
        <f>IF([2]道具信息!L176="","",[2]道具信息!L176)</f>
        <v>装备使用后获得40经验</v>
      </c>
    </row>
    <row r="177" spans="3:12" x14ac:dyDescent="0.15">
      <c r="C177" s="15">
        <f>IF([2]道具信息!C177="","",[2]道具信息!C177)</f>
        <v>21153</v>
      </c>
      <c r="D177" s="15" t="str">
        <f>IF([2]道具信息!D177="","",[2]道具信息!D177)</f>
        <v>特级装备淬炼</v>
      </c>
      <c r="E177" s="15">
        <f>IF([2]道具信息!E177="","",[2]道具信息!E177)</f>
        <v>75</v>
      </c>
      <c r="F177" s="15">
        <f>IF([2]道具信息!F177="","",[2]道具信息!F177)</f>
        <v>1.25</v>
      </c>
      <c r="G177" s="15">
        <f>IF([2]道具信息!G177="","",[2]道具信息!G177)</f>
        <v>1</v>
      </c>
      <c r="H177" s="15">
        <f>IF([2]道具信息!H177="","",[2]道具信息!H177)</f>
        <v>1</v>
      </c>
      <c r="I177" s="15">
        <f>IF([2]道具信息!I177="","",[2]道具信息!I177)</f>
        <v>93.75</v>
      </c>
      <c r="J177" s="15">
        <f>IF([2]道具信息!J177="","",[2]道具信息!J177)</f>
        <v>75</v>
      </c>
      <c r="K177" s="15">
        <f>IF([2]道具信息!K177="","",[2]道具信息!K177)</f>
        <v>75</v>
      </c>
      <c r="L177" s="15" t="str">
        <f>IF([2]道具信息!L177="","",[2]道具信息!L177)</f>
        <v>装备使用后获得75经验</v>
      </c>
    </row>
    <row r="178" spans="3:12" x14ac:dyDescent="0.15">
      <c r="C178" s="15">
        <f>IF([2]道具信息!C178="","",[2]道具信息!C178)</f>
        <v>21154</v>
      </c>
      <c r="D178" s="15" t="str">
        <f>IF([2]道具信息!D178="","",[2]道具信息!D178)</f>
        <v>超级装备淬炼</v>
      </c>
      <c r="E178" s="15">
        <f>IF([2]道具信息!E178="","",[2]道具信息!E178)</f>
        <v>150</v>
      </c>
      <c r="F178" s="15">
        <f>IF([2]道具信息!F178="","",[2]道具信息!F178)</f>
        <v>1.5</v>
      </c>
      <c r="G178" s="15">
        <f>IF([2]道具信息!G178="","",[2]道具信息!G178)</f>
        <v>1</v>
      </c>
      <c r="H178" s="15">
        <f>IF([2]道具信息!H178="","",[2]道具信息!H178)</f>
        <v>1</v>
      </c>
      <c r="I178" s="15">
        <f>IF([2]道具信息!I178="","",[2]道具信息!I178)</f>
        <v>225</v>
      </c>
      <c r="J178" s="15">
        <f>IF([2]道具信息!J178="","",[2]道具信息!J178)</f>
        <v>150</v>
      </c>
      <c r="K178" s="15">
        <f>IF([2]道具信息!K178="","",[2]道具信息!K178)</f>
        <v>150</v>
      </c>
      <c r="L178" s="15" t="str">
        <f>IF([2]道具信息!L178="","",[2]道具信息!L178)</f>
        <v>装备使用后获得150经验</v>
      </c>
    </row>
    <row r="179" spans="3:12" x14ac:dyDescent="0.15">
      <c r="C179" s="15" t="str">
        <f>IF([2]道具信息!C179="","",[2]道具信息!C179)</f>
        <v/>
      </c>
      <c r="D179" s="15" t="str">
        <f>IF([2]道具信息!D179="","",[2]道具信息!D179)</f>
        <v/>
      </c>
      <c r="E179" s="15" t="str">
        <f>IF([2]道具信息!E179="","",[2]道具信息!E179)</f>
        <v/>
      </c>
      <c r="F179" s="15">
        <f>IF([2]道具信息!F179="","",[2]道具信息!F179)</f>
        <v>3</v>
      </c>
      <c r="G179" s="15">
        <f>IF([2]道具信息!G179="","",[2]道具信息!G179)</f>
        <v>2.5</v>
      </c>
      <c r="H179" s="15">
        <f>IF([2]道具信息!H179="","",[2]道具信息!H179)</f>
        <v>1</v>
      </c>
      <c r="I179" s="15" t="str">
        <f>IF([2]道具信息!I179="","",[2]道具信息!I179)</f>
        <v/>
      </c>
      <c r="J179" s="15" t="str">
        <f>IF([2]道具信息!J179="","",[2]道具信息!J179)</f>
        <v/>
      </c>
      <c r="K179" s="15" t="str">
        <f>IF([2]道具信息!K179="","",[2]道具信息!K179)</f>
        <v/>
      </c>
      <c r="L179" s="15" t="str">
        <f>IF([2]道具信息!L179="","",[2]道具信息!L179)</f>
        <v/>
      </c>
    </row>
    <row r="180" spans="3:12" x14ac:dyDescent="0.15">
      <c r="C180" s="15">
        <f>IF([2]道具信息!C180="","",[2]道具信息!C180)</f>
        <v>21500</v>
      </c>
      <c r="D180" s="15" t="str">
        <f>IF([2]道具信息!D180="","",[2]道具信息!D180)</f>
        <v>随机迁城令</v>
      </c>
      <c r="E180" s="15">
        <f>IF([2]道具信息!E180="","",[2]道具信息!E180)</f>
        <v>100</v>
      </c>
      <c r="F180" s="15">
        <f>IF([2]道具信息!F180="","",[2]道具信息!F180)</f>
        <v>1</v>
      </c>
      <c r="G180" s="15">
        <f>IF([2]道具信息!G180="","",[2]道具信息!G180)</f>
        <v>1</v>
      </c>
      <c r="H180" s="15">
        <f>IF([2]道具信息!H180="","",[2]道具信息!H180)</f>
        <v>1</v>
      </c>
      <c r="I180" s="15">
        <f>IF([2]道具信息!I180="","",[2]道具信息!I180)</f>
        <v>100</v>
      </c>
      <c r="J180" s="15">
        <f>IF([2]道具信息!J180="","",[2]道具信息!J180)</f>
        <v>100</v>
      </c>
      <c r="K180" s="15">
        <f>IF([2]道具信息!K180="","",[2]道具信息!K180)</f>
        <v>100</v>
      </c>
      <c r="L180" s="15" t="str">
        <f>IF([2]道具信息!L180="","",[2]道具信息!L180)</f>
        <v>使用后城池迁移到随机位置</v>
      </c>
    </row>
    <row r="181" spans="3:12" x14ac:dyDescent="0.15">
      <c r="C181" s="15">
        <f>IF([2]道具信息!C181="","",[2]道具信息!C181)</f>
        <v>21501</v>
      </c>
      <c r="D181" s="15" t="str">
        <f>IF([2]道具信息!D181="","",[2]道具信息!D181)</f>
        <v>九州迁城令</v>
      </c>
      <c r="E181" s="15">
        <f>IF([2]道具信息!E181="","",[2]道具信息!E181)</f>
        <v>300</v>
      </c>
      <c r="F181" s="15">
        <f>IF([2]道具信息!F181="","",[2]道具信息!F181)</f>
        <v>1</v>
      </c>
      <c r="G181" s="15">
        <f>IF([2]道具信息!G181="","",[2]道具信息!G181)</f>
        <v>1</v>
      </c>
      <c r="H181" s="15">
        <f>IF([2]道具信息!H181="","",[2]道具信息!H181)</f>
        <v>1</v>
      </c>
      <c r="I181" s="15">
        <f>IF([2]道具信息!I181="","",[2]道具信息!I181)</f>
        <v>300</v>
      </c>
      <c r="J181" s="15">
        <f>IF([2]道具信息!J181="","",[2]道具信息!J181)</f>
        <v>300</v>
      </c>
      <c r="K181" s="15">
        <f>IF([2]道具信息!K181="","",[2]道具信息!K181)</f>
        <v>300</v>
      </c>
      <c r="L181" s="15" t="str">
        <f>IF([2]道具信息!L181="","",[2]道具信息!L181)</f>
        <v>使用后城池迁移到指定位置</v>
      </c>
    </row>
    <row r="182" spans="3:12" x14ac:dyDescent="0.15">
      <c r="C182" s="15">
        <f>IF([2]道具信息!C182="","",[2]道具信息!C182)</f>
        <v>21504</v>
      </c>
      <c r="D182" s="15" t="str">
        <f>IF([2]道具信息!D182="","",[2]道具信息!D182)</f>
        <v>国内迁城令</v>
      </c>
      <c r="E182" s="15">
        <f>IF([2]道具信息!E182="","",[2]道具信息!E182)</f>
        <v>100</v>
      </c>
      <c r="F182" s="15">
        <f>IF([2]道具信息!F182="","",[2]道具信息!F182)</f>
        <v>1</v>
      </c>
      <c r="G182" s="15">
        <f>IF([2]道具信息!G182="","",[2]道具信息!G182)</f>
        <v>1</v>
      </c>
      <c r="H182" s="15">
        <f>IF([2]道具信息!H182="","",[2]道具信息!H182)</f>
        <v>1</v>
      </c>
      <c r="I182" s="15">
        <f>IF([2]道具信息!I182="","",[2]道具信息!I182)</f>
        <v>100</v>
      </c>
      <c r="J182" s="15">
        <f>IF([2]道具信息!J182="","",[2]道具信息!J182)</f>
        <v>100</v>
      </c>
      <c r="K182" s="15">
        <f>IF([2]道具信息!K182="","",[2]道具信息!K182)</f>
        <v>100</v>
      </c>
      <c r="L182" s="15" t="str">
        <f>IF([2]道具信息!L182="","",[2]道具信息!L182)</f>
        <v>使用后城池迁移到国内指定位置</v>
      </c>
    </row>
    <row r="183" spans="3:12" x14ac:dyDescent="0.15">
      <c r="C183" s="15">
        <f>IF([2]道具信息!C183="","",[2]道具信息!C183)</f>
        <v>21502</v>
      </c>
      <c r="D183" s="15" t="str">
        <f>IF([2]道具信息!D183="","",[2]道具信息!D183)</f>
        <v>校武牌</v>
      </c>
      <c r="E183" s="15">
        <f>IF([2]道具信息!E183="","",[2]道具信息!E183)</f>
        <v>20</v>
      </c>
      <c r="F183" s="15">
        <f>IF([2]道具信息!F183="","",[2]道具信息!F183)</f>
        <v>1</v>
      </c>
      <c r="G183" s="15">
        <f>IF([2]道具信息!G183="","",[2]道具信息!G183)</f>
        <v>1</v>
      </c>
      <c r="H183" s="15">
        <f>IF([2]道具信息!H183="","",[2]道具信息!H183)</f>
        <v>1</v>
      </c>
      <c r="I183" s="15">
        <f>IF([2]道具信息!I183="","",[2]道具信息!I183)</f>
        <v>20</v>
      </c>
      <c r="J183" s="15">
        <f>IF([2]道具信息!J183="","",[2]道具信息!J183)</f>
        <v>20</v>
      </c>
      <c r="K183" s="15">
        <f>IF([2]道具信息!K183="","",[2]道具信息!K183)</f>
        <v>20</v>
      </c>
      <c r="L183" s="15" t="str">
        <f>IF([2]道具信息!L183="","",[2]道具信息!L183)</f>
        <v>使用后增加1次校场挑战机会</v>
      </c>
    </row>
    <row r="184" spans="3:12" x14ac:dyDescent="0.15">
      <c r="C184" s="15">
        <f>IF([2]道具信息!C184="","",[2]道具信息!C184)</f>
        <v>21503</v>
      </c>
      <c r="D184" s="15" t="str">
        <f>IF([2]道具信息!D184="","",[2]道具信息!D184)</f>
        <v>复仇令</v>
      </c>
      <c r="E184" s="15">
        <f>IF([2]道具信息!E184="","",[2]道具信息!E184)</f>
        <v>50</v>
      </c>
      <c r="F184" s="15">
        <f>IF([2]道具信息!F184="","",[2]道具信息!F184)</f>
        <v>1</v>
      </c>
      <c r="G184" s="15">
        <f>IF([2]道具信息!G184="","",[2]道具信息!G184)</f>
        <v>1</v>
      </c>
      <c r="H184" s="15">
        <f>IF([2]道具信息!H184="","",[2]道具信息!H184)</f>
        <v>1</v>
      </c>
      <c r="I184" s="15">
        <f>IF([2]道具信息!I184="","",[2]道具信息!I184)</f>
        <v>50</v>
      </c>
      <c r="J184" s="15">
        <f>IF([2]道具信息!J184="","",[2]道具信息!J184)</f>
        <v>50</v>
      </c>
      <c r="K184" s="15">
        <f>IF([2]道具信息!K184="","",[2]道具信息!K184)</f>
        <v>50</v>
      </c>
      <c r="L184" s="15" t="str">
        <f>IF([2]道具信息!L184="","",[2]道具信息!L184)</f>
        <v>被其他玩家攻击后，可以通过复仇令追查到该玩家城池所在坐标</v>
      </c>
    </row>
    <row r="185" spans="3:12" x14ac:dyDescent="0.15">
      <c r="C185" s="15" t="str">
        <f>IF([2]道具信息!C185="","",[2]道具信息!C185)</f>
        <v/>
      </c>
      <c r="D185" s="15" t="str">
        <f>IF([2]道具信息!D185="","",[2]道具信息!D185)</f>
        <v/>
      </c>
      <c r="E185" s="15" t="str">
        <f>IF([2]道具信息!E185="","",[2]道具信息!E185)</f>
        <v/>
      </c>
      <c r="F185" s="15">
        <f>IF([2]道具信息!F185="","",[2]道具信息!F185)</f>
        <v>1.25</v>
      </c>
      <c r="G185" s="15">
        <f>IF([2]道具信息!G185="","",[2]道具信息!G185)</f>
        <v>1</v>
      </c>
      <c r="H185" s="15">
        <f>IF([2]道具信息!H185="","",[2]道具信息!H185)</f>
        <v>1</v>
      </c>
      <c r="I185" s="15" t="str">
        <f>IF([2]道具信息!I185="","",[2]道具信息!I185)</f>
        <v/>
      </c>
      <c r="J185" s="15" t="str">
        <f>IF([2]道具信息!J185="","",[2]道具信息!J185)</f>
        <v/>
      </c>
      <c r="K185" s="15" t="str">
        <f>IF([2]道具信息!K185="","",[2]道具信息!K185)</f>
        <v/>
      </c>
      <c r="L185" s="15" t="str">
        <f>IF([2]道具信息!L185="","",[2]道具信息!L185)</f>
        <v/>
      </c>
    </row>
    <row r="186" spans="3:12" x14ac:dyDescent="0.15">
      <c r="C186" s="15">
        <f>IF([2]道具信息!C186="","",[2]道具信息!C186)</f>
        <v>26400</v>
      </c>
      <c r="D186" s="15" t="str">
        <f>IF([2]道具信息!D186="","",[2]道具信息!D186)</f>
        <v>步兵虎符</v>
      </c>
      <c r="E186" s="15">
        <f>IF([2]道具信息!E186="","",[2]道具信息!E186)</f>
        <v>200</v>
      </c>
      <c r="F186" s="15">
        <f>IF([2]道具信息!F186="","",[2]道具信息!F186)</f>
        <v>1</v>
      </c>
      <c r="G186" s="15">
        <f>IF([2]道具信息!G186="","",[2]道具信息!G186)</f>
        <v>1</v>
      </c>
      <c r="H186" s="15">
        <f>IF([2]道具信息!H186="","",[2]道具信息!H186)</f>
        <v>1</v>
      </c>
      <c r="I186" s="15">
        <f>IF([2]道具信息!I186="","",[2]道具信息!I186)</f>
        <v>200</v>
      </c>
      <c r="J186" s="15">
        <f>IF([2]道具信息!J186="","",[2]道具信息!J186)</f>
        <v>200</v>
      </c>
      <c r="K186" s="15">
        <f>IF([2]道具信息!K186="","",[2]道具信息!K186)</f>
        <v>200</v>
      </c>
      <c r="L186" s="15" t="str">
        <f>IF([2]道具信息!L186="","",[2]道具信息!L186)</f>
        <v>使用后立即获得10000步兵新兵</v>
      </c>
    </row>
    <row r="187" spans="3:12" x14ac:dyDescent="0.15">
      <c r="C187" s="15">
        <f>IF([2]道具信息!C187="","",[2]道具信息!C187)</f>
        <v>26401</v>
      </c>
      <c r="D187" s="15" t="str">
        <f>IF([2]道具信息!D187="","",[2]道具信息!D187)</f>
        <v>骑兵虎符</v>
      </c>
      <c r="E187" s="15">
        <f>IF([2]道具信息!E187="","",[2]道具信息!E187)</f>
        <v>200</v>
      </c>
      <c r="F187" s="15">
        <f>IF([2]道具信息!F187="","",[2]道具信息!F187)</f>
        <v>1</v>
      </c>
      <c r="G187" s="15">
        <f>IF([2]道具信息!G187="","",[2]道具信息!G187)</f>
        <v>1</v>
      </c>
      <c r="H187" s="15">
        <f>IF([2]道具信息!H187="","",[2]道具信息!H187)</f>
        <v>1</v>
      </c>
      <c r="I187" s="15">
        <f>IF([2]道具信息!I187="","",[2]道具信息!I187)</f>
        <v>200</v>
      </c>
      <c r="J187" s="15">
        <f>IF([2]道具信息!J187="","",[2]道具信息!J187)</f>
        <v>200</v>
      </c>
      <c r="K187" s="15">
        <f>IF([2]道具信息!K187="","",[2]道具信息!K187)</f>
        <v>200</v>
      </c>
      <c r="L187" s="15" t="str">
        <f>IF([2]道具信息!L187="","",[2]道具信息!L187)</f>
        <v>使用后立即获得10000骑兵新兵</v>
      </c>
    </row>
    <row r="188" spans="3:12" x14ac:dyDescent="0.15">
      <c r="C188" s="15">
        <f>IF([2]道具信息!C188="","",[2]道具信息!C188)</f>
        <v>26402</v>
      </c>
      <c r="D188" s="15" t="str">
        <f>IF([2]道具信息!D188="","",[2]道具信息!D188)</f>
        <v>弓箭虎符</v>
      </c>
      <c r="E188" s="15">
        <f>IF([2]道具信息!E188="","",[2]道具信息!E188)</f>
        <v>200</v>
      </c>
      <c r="F188" s="15">
        <f>IF([2]道具信息!F188="","",[2]道具信息!F188)</f>
        <v>1</v>
      </c>
      <c r="G188" s="15">
        <f>IF([2]道具信息!G188="","",[2]道具信息!G188)</f>
        <v>1</v>
      </c>
      <c r="H188" s="15">
        <f>IF([2]道具信息!H188="","",[2]道具信息!H188)</f>
        <v>1</v>
      </c>
      <c r="I188" s="15">
        <f>IF([2]道具信息!I188="","",[2]道具信息!I188)</f>
        <v>200</v>
      </c>
      <c r="J188" s="15">
        <f>IF([2]道具信息!J188="","",[2]道具信息!J188)</f>
        <v>200</v>
      </c>
      <c r="K188" s="15">
        <f>IF([2]道具信息!K188="","",[2]道具信息!K188)</f>
        <v>200</v>
      </c>
      <c r="L188" s="15" t="str">
        <f>IF([2]道具信息!L188="","",[2]道具信息!L188)</f>
        <v>使用后立即获得10000弓箭新兵</v>
      </c>
    </row>
    <row r="189" spans="3:12" x14ac:dyDescent="0.15">
      <c r="C189" s="15">
        <f>IF([2]道具信息!C189="","",[2]道具信息!C189)</f>
        <v>26403</v>
      </c>
      <c r="D189" s="15" t="str">
        <f>IF([2]道具信息!D189="","",[2]道具信息!D189)</f>
        <v>器械虎符</v>
      </c>
      <c r="E189" s="15">
        <f>IF([2]道具信息!E189="","",[2]道具信息!E189)</f>
        <v>200</v>
      </c>
      <c r="F189" s="15">
        <f>IF([2]道具信息!F189="","",[2]道具信息!F189)</f>
        <v>1</v>
      </c>
      <c r="G189" s="15">
        <f>IF([2]道具信息!G189="","",[2]道具信息!G189)</f>
        <v>1</v>
      </c>
      <c r="H189" s="15">
        <f>IF([2]道具信息!H189="","",[2]道具信息!H189)</f>
        <v>1</v>
      </c>
      <c r="I189" s="15">
        <f>IF([2]道具信息!I189="","",[2]道具信息!I189)</f>
        <v>200</v>
      </c>
      <c r="J189" s="15">
        <f>IF([2]道具信息!J189="","",[2]道具信息!J189)</f>
        <v>200</v>
      </c>
      <c r="K189" s="15">
        <f>IF([2]道具信息!K189="","",[2]道具信息!K189)</f>
        <v>200</v>
      </c>
      <c r="L189" s="15" t="str">
        <f>IF([2]道具信息!L189="","",[2]道具信息!L189)</f>
        <v>使用后立即获得10000器械兵新兵</v>
      </c>
    </row>
    <row r="190" spans="3:12" x14ac:dyDescent="0.15">
      <c r="C190" s="15" t="str">
        <f>IF([2]道具信息!C190="","",[2]道具信息!C190)</f>
        <v/>
      </c>
      <c r="D190" s="15" t="str">
        <f>IF([2]道具信息!D190="","",[2]道具信息!D190)</f>
        <v/>
      </c>
      <c r="E190" s="15" t="str">
        <f>IF([2]道具信息!E190="","",[2]道具信息!E190)</f>
        <v/>
      </c>
      <c r="F190" s="15">
        <f>IF([2]道具信息!F190="","",[2]道具信息!F190)</f>
        <v>1</v>
      </c>
      <c r="G190" s="15">
        <f>IF([2]道具信息!G190="","",[2]道具信息!G190)</f>
        <v>1</v>
      </c>
      <c r="H190" s="15">
        <f>IF([2]道具信息!H190="","",[2]道具信息!H190)</f>
        <v>1</v>
      </c>
      <c r="I190" s="15" t="str">
        <f>IF([2]道具信息!I190="","",[2]道具信息!I190)</f>
        <v/>
      </c>
      <c r="J190" s="15" t="str">
        <f>IF([2]道具信息!J190="","",[2]道具信息!J190)</f>
        <v/>
      </c>
      <c r="K190" s="15" t="str">
        <f>IF([2]道具信息!K190="","",[2]道具信息!K190)</f>
        <v/>
      </c>
      <c r="L190" s="15" t="str">
        <f>IF([2]道具信息!L190="","",[2]道具信息!L190)</f>
        <v/>
      </c>
    </row>
    <row r="191" spans="3:12" x14ac:dyDescent="0.15">
      <c r="C191" s="15">
        <f>IF([2]道具信息!C191="","",[2]道具信息!C191)</f>
        <v>26500</v>
      </c>
      <c r="D191" s="15" t="str">
        <f>IF([2]道具信息!D191="","",[2]道具信息!D191)</f>
        <v>兵法宝箱</v>
      </c>
      <c r="E191" s="15">
        <f>IF([2]道具信息!E191="","",[2]道具信息!E191)</f>
        <v>250</v>
      </c>
      <c r="F191" s="15">
        <f>IF([2]道具信息!F191="","",[2]道具信息!F191)</f>
        <v>1</v>
      </c>
      <c r="G191" s="15">
        <f>IF([2]道具信息!G191="","",[2]道具信息!G191)</f>
        <v>1</v>
      </c>
      <c r="H191" s="15">
        <f>IF([2]道具信息!H191="","",[2]道具信息!H191)</f>
        <v>1</v>
      </c>
      <c r="I191" s="15">
        <f>IF([2]道具信息!I191="","",[2]道具信息!I191)</f>
        <v>250</v>
      </c>
      <c r="J191" s="15">
        <f>IF([2]道具信息!J191="","",[2]道具信息!J191)</f>
        <v>250</v>
      </c>
      <c r="K191" s="15">
        <f>IF([2]道具信息!K191="","",[2]道具信息!K191)</f>
        <v>250</v>
      </c>
      <c r="L191" s="15" t="str">
        <f>IF([2]道具信息!L191="","",[2]道具信息!L191)</f>
        <v>使用后随机获得1个兵法</v>
      </c>
    </row>
    <row r="192" spans="3:12" x14ac:dyDescent="0.15">
      <c r="C192" s="15">
        <f>IF([2]道具信息!C192="","",[2]道具信息!C192)</f>
        <v>26501</v>
      </c>
      <c r="D192" s="15" t="str">
        <f>IF([2]道具信息!D192="","",[2]道具信息!D192)</f>
        <v>蓝色兵法宝箱</v>
      </c>
      <c r="E192" s="15">
        <f>IF([2]道具信息!E192="","",[2]道具信息!E192)</f>
        <v>50</v>
      </c>
      <c r="F192" s="15">
        <f>IF([2]道具信息!F192="","",[2]道具信息!F192)</f>
        <v>1</v>
      </c>
      <c r="G192" s="15">
        <f>IF([2]道具信息!G192="","",[2]道具信息!G192)</f>
        <v>1</v>
      </c>
      <c r="H192" s="15">
        <f>IF([2]道具信息!H192="","",[2]道具信息!H192)</f>
        <v>1</v>
      </c>
      <c r="I192" s="15">
        <f>IF([2]道具信息!I192="","",[2]道具信息!I192)</f>
        <v>50</v>
      </c>
      <c r="J192" s="15">
        <f>IF([2]道具信息!J192="","",[2]道具信息!J192)</f>
        <v>50</v>
      </c>
      <c r="K192" s="15">
        <f>IF([2]道具信息!K192="","",[2]道具信息!K192)</f>
        <v>50</v>
      </c>
      <c r="L192" s="15" t="str">
        <f>IF([2]道具信息!L192="","",[2]道具信息!L192)</f>
        <v>使用后随机获得1个蓝色品质兵法</v>
      </c>
    </row>
    <row r="193" spans="3:12" x14ac:dyDescent="0.15">
      <c r="C193" s="15">
        <f>IF([2]道具信息!C193="","",[2]道具信息!C193)</f>
        <v>26502</v>
      </c>
      <c r="D193" s="15" t="str">
        <f>IF([2]道具信息!D193="","",[2]道具信息!D193)</f>
        <v>紫色兵法宝箱</v>
      </c>
      <c r="E193" s="15">
        <f>IF([2]道具信息!E193="","",[2]道具信息!E193)</f>
        <v>500</v>
      </c>
      <c r="F193" s="15">
        <f>IF([2]道具信息!F193="","",[2]道具信息!F193)</f>
        <v>1</v>
      </c>
      <c r="G193" s="15">
        <f>IF([2]道具信息!G193="","",[2]道具信息!G193)</f>
        <v>1</v>
      </c>
      <c r="H193" s="15">
        <f>IF([2]道具信息!H193="","",[2]道具信息!H193)</f>
        <v>1</v>
      </c>
      <c r="I193" s="15">
        <f>IF([2]道具信息!I193="","",[2]道具信息!I193)</f>
        <v>500</v>
      </c>
      <c r="J193" s="15">
        <f>IF([2]道具信息!J193="","",[2]道具信息!J193)</f>
        <v>500</v>
      </c>
      <c r="K193" s="15">
        <f>IF([2]道具信息!K193="","",[2]道具信息!K193)</f>
        <v>500</v>
      </c>
      <c r="L193" s="15" t="str">
        <f>IF([2]道具信息!L193="","",[2]道具信息!L193)</f>
        <v>使用后随机获得1个紫色品质兵法</v>
      </c>
    </row>
    <row r="194" spans="3:12" x14ac:dyDescent="0.15">
      <c r="C194" s="15">
        <f>IF([2]道具信息!C194="","",[2]道具信息!C194)</f>
        <v>26503</v>
      </c>
      <c r="D194" s="15" t="str">
        <f>IF([2]道具信息!D194="","",[2]道具信息!D194)</f>
        <v>橙色兵法宝箱</v>
      </c>
      <c r="E194" s="15">
        <f>IF([2]道具信息!E194="","",[2]道具信息!E194)</f>
        <v>1680</v>
      </c>
      <c r="F194" s="15">
        <f>IF([2]道具信息!F194="","",[2]道具信息!F194)</f>
        <v>1</v>
      </c>
      <c r="G194" s="15">
        <f>IF([2]道具信息!G194="","",[2]道具信息!G194)</f>
        <v>1</v>
      </c>
      <c r="H194" s="15">
        <f>IF([2]道具信息!H194="","",[2]道具信息!H194)</f>
        <v>1</v>
      </c>
      <c r="I194" s="15">
        <f>IF([2]道具信息!I194="","",[2]道具信息!I194)</f>
        <v>1680</v>
      </c>
      <c r="J194" s="15">
        <f>IF([2]道具信息!J194="","",[2]道具信息!J194)</f>
        <v>1680</v>
      </c>
      <c r="K194" s="15">
        <f>IF([2]道具信息!K194="","",[2]道具信息!K194)</f>
        <v>1680</v>
      </c>
      <c r="L194" s="15" t="str">
        <f>IF([2]道具信息!L194="","",[2]道具信息!L194)</f>
        <v>使用后随机获得1个橙色品质兵法</v>
      </c>
    </row>
    <row r="195" spans="3:12" x14ac:dyDescent="0.15">
      <c r="C195" s="15">
        <f>IF([2]道具信息!C195="","",[2]道具信息!C195)</f>
        <v>26504</v>
      </c>
      <c r="D195" s="15" t="str">
        <f>IF([2]道具信息!D195="","",[2]道具信息!D195)</f>
        <v>红色兵法宝箱</v>
      </c>
      <c r="E195" s="15">
        <f>IF([2]道具信息!E195="","",[2]道具信息!E195)</f>
        <v>14100</v>
      </c>
      <c r="F195" s="15">
        <f>IF([2]道具信息!F195="","",[2]道具信息!F195)</f>
        <v>1</v>
      </c>
      <c r="G195" s="15">
        <f>IF([2]道具信息!G195="","",[2]道具信息!G195)</f>
        <v>1</v>
      </c>
      <c r="H195" s="15">
        <f>IF([2]道具信息!H195="","",[2]道具信息!H195)</f>
        <v>1</v>
      </c>
      <c r="I195" s="15">
        <f>IF([2]道具信息!I195="","",[2]道具信息!I195)</f>
        <v>14100</v>
      </c>
      <c r="J195" s="15">
        <f>IF([2]道具信息!J195="","",[2]道具信息!J195)</f>
        <v>14100</v>
      </c>
      <c r="K195" s="15">
        <f>IF([2]道具信息!K195="","",[2]道具信息!K195)</f>
        <v>14100</v>
      </c>
      <c r="L195" s="15" t="str">
        <f>IF([2]道具信息!L195="","",[2]道具信息!L195)</f>
        <v>使用后随机获得1个红色品质兵法</v>
      </c>
    </row>
    <row r="196" spans="3:12" x14ac:dyDescent="0.15">
      <c r="C196" s="15" t="str">
        <f>IF([2]道具信息!C196="","",[2]道具信息!C196)</f>
        <v/>
      </c>
      <c r="D196" s="15" t="str">
        <f>IF([2]道具信息!D196="","",[2]道具信息!D196)</f>
        <v>指定or任选蓝色兵法</v>
      </c>
      <c r="E196" s="15">
        <f>IF([2]道具信息!E196="","",[2]道具信息!E196)</f>
        <v>35</v>
      </c>
      <c r="F196" s="15">
        <f>IF([2]道具信息!F196="","",[2]道具信息!F196)</f>
        <v>1</v>
      </c>
      <c r="G196" s="15">
        <f>IF([2]道具信息!G196="","",[2]道具信息!G196)</f>
        <v>1</v>
      </c>
      <c r="H196" s="15">
        <f>IF([2]道具信息!H196="","",[2]道具信息!H196)</f>
        <v>1</v>
      </c>
      <c r="I196" s="15">
        <f>IF([2]道具信息!I196="","",[2]道具信息!I196)</f>
        <v>35</v>
      </c>
      <c r="J196" s="15">
        <f>IF([2]道具信息!J196="","",[2]道具信息!J196)</f>
        <v>35</v>
      </c>
      <c r="K196" s="15">
        <f>IF([2]道具信息!K196="","",[2]道具信息!K196)</f>
        <v>35</v>
      </c>
      <c r="L196" s="15" t="str">
        <f>IF([2]道具信息!L196="","",[2]道具信息!L196)</f>
        <v/>
      </c>
    </row>
    <row r="197" spans="3:12" x14ac:dyDescent="0.15">
      <c r="C197" s="15" t="str">
        <f>IF([2]道具信息!C197="","",[2]道具信息!C197)</f>
        <v/>
      </c>
      <c r="D197" s="15" t="str">
        <f>IF([2]道具信息!D197="","",[2]道具信息!D197)</f>
        <v>指定or任选紫色兵法</v>
      </c>
      <c r="E197" s="15">
        <f>IF([2]道具信息!E197="","",[2]道具信息!E197)</f>
        <v>750</v>
      </c>
      <c r="F197" s="15">
        <f>IF([2]道具信息!F197="","",[2]道具信息!F197)</f>
        <v>1</v>
      </c>
      <c r="G197" s="15">
        <f>IF([2]道具信息!G197="","",[2]道具信息!G197)</f>
        <v>1</v>
      </c>
      <c r="H197" s="15">
        <f>IF([2]道具信息!H197="","",[2]道具信息!H197)</f>
        <v>1</v>
      </c>
      <c r="I197" s="15">
        <f>IF([2]道具信息!I197="","",[2]道具信息!I197)</f>
        <v>750</v>
      </c>
      <c r="J197" s="15">
        <f>IF([2]道具信息!J197="","",[2]道具信息!J197)</f>
        <v>750</v>
      </c>
      <c r="K197" s="15">
        <f>IF([2]道具信息!K197="","",[2]道具信息!K197)</f>
        <v>750</v>
      </c>
      <c r="L197" s="15" t="str">
        <f>IF([2]道具信息!L197="","",[2]道具信息!L197)</f>
        <v/>
      </c>
    </row>
    <row r="198" spans="3:12" x14ac:dyDescent="0.15">
      <c r="C198" s="15" t="str">
        <f>IF([2]道具信息!C198="","",[2]道具信息!C198)</f>
        <v/>
      </c>
      <c r="D198" s="15" t="str">
        <f>IF([2]道具信息!D198="","",[2]道具信息!D198)</f>
        <v>指定or任选橙色兵法</v>
      </c>
      <c r="E198" s="15">
        <f>IF([2]道具信息!E198="","",[2]道具信息!E198)</f>
        <v>3350</v>
      </c>
      <c r="F198" s="15">
        <f>IF([2]道具信息!F198="","",[2]道具信息!F198)</f>
        <v>1</v>
      </c>
      <c r="G198" s="15">
        <f>IF([2]道具信息!G198="","",[2]道具信息!G198)</f>
        <v>1</v>
      </c>
      <c r="H198" s="15">
        <f>IF([2]道具信息!H198="","",[2]道具信息!H198)</f>
        <v>1</v>
      </c>
      <c r="I198" s="15">
        <f>IF([2]道具信息!I198="","",[2]道具信息!I198)</f>
        <v>3350</v>
      </c>
      <c r="J198" s="15">
        <f>IF([2]道具信息!J198="","",[2]道具信息!J198)</f>
        <v>3350</v>
      </c>
      <c r="K198" s="15">
        <f>IF([2]道具信息!K198="","",[2]道具信息!K198)</f>
        <v>3350</v>
      </c>
      <c r="L198" s="15" t="str">
        <f>IF([2]道具信息!L198="","",[2]道具信息!L198)</f>
        <v/>
      </c>
    </row>
    <row r="199" spans="3:12" x14ac:dyDescent="0.15">
      <c r="C199" s="15" t="str">
        <f>IF([2]道具信息!C199="","",[2]道具信息!C199)</f>
        <v/>
      </c>
      <c r="D199" s="15" t="str">
        <f>IF([2]道具信息!D199="","",[2]道具信息!D199)</f>
        <v>指定or任选红色兵法</v>
      </c>
      <c r="E199" s="15">
        <f>IF([2]道具信息!E199="","",[2]道具信息!E199)</f>
        <v>9165</v>
      </c>
      <c r="F199" s="15">
        <f>IF([2]道具信息!F199="","",[2]道具信息!F199)</f>
        <v>1</v>
      </c>
      <c r="G199" s="15">
        <f>IF([2]道具信息!G199="","",[2]道具信息!G199)</f>
        <v>1</v>
      </c>
      <c r="H199" s="15">
        <f>IF([2]道具信息!H199="","",[2]道具信息!H199)</f>
        <v>1</v>
      </c>
      <c r="I199" s="15">
        <f>IF([2]道具信息!I199="","",[2]道具信息!I199)</f>
        <v>9165</v>
      </c>
      <c r="J199" s="15">
        <f>IF([2]道具信息!J199="","",[2]道具信息!J199)</f>
        <v>9165</v>
      </c>
      <c r="K199" s="15">
        <f>IF([2]道具信息!K199="","",[2]道具信息!K199)</f>
        <v>9165</v>
      </c>
      <c r="L199" s="15" t="str">
        <f>IF([2]道具信息!L199="","",[2]道具信息!L199)</f>
        <v/>
      </c>
    </row>
    <row r="200" spans="3:12" x14ac:dyDescent="0.15">
      <c r="C200" s="15">
        <f>IF([2]道具信息!C200="","",[2]道具信息!C200)</f>
        <v>26505</v>
      </c>
      <c r="D200" s="15" t="str">
        <f>IF([2]道具信息!D200="","",[2]道具信息!D200)</f>
        <v>兵家信物</v>
      </c>
      <c r="E200" s="15">
        <f>IF([2]道具信息!E200="","",[2]道具信息!E200)</f>
        <v>300</v>
      </c>
      <c r="F200" s="15">
        <f>IF([2]道具信息!F200="","",[2]道具信息!F200)</f>
        <v>1</v>
      </c>
      <c r="G200" s="15">
        <f>IF([2]道具信息!G200="","",[2]道具信息!G200)</f>
        <v>1</v>
      </c>
      <c r="H200" s="15">
        <f>IF([2]道具信息!H200="","",[2]道具信息!H200)</f>
        <v>1</v>
      </c>
      <c r="I200" s="15">
        <f>IF([2]道具信息!I200="","",[2]道具信息!I200)</f>
        <v>300</v>
      </c>
      <c r="J200" s="15">
        <f>IF([2]道具信息!J200="","",[2]道具信息!J200)</f>
        <v>300</v>
      </c>
      <c r="K200" s="15">
        <f>IF([2]道具信息!K200="","",[2]道具信息!K200)</f>
        <v>300</v>
      </c>
      <c r="L200" s="15" t="str">
        <f>IF([2]道具信息!L200="","",[2]道具信息!L200)</f>
        <v>抽取兵法时消耗的道具（赠送10个5分钟通用加速）</v>
      </c>
    </row>
    <row r="201" spans="3:12" x14ac:dyDescent="0.15">
      <c r="C201" s="15" t="str">
        <f>IF([2]道具信息!C201="","",[2]道具信息!C201)</f>
        <v/>
      </c>
      <c r="D201" s="15" t="str">
        <f>IF([2]道具信息!D201="","",[2]道具信息!D201)</f>
        <v/>
      </c>
      <c r="E201" s="15" t="str">
        <f>IF([2]道具信息!E201="","",[2]道具信息!E201)</f>
        <v/>
      </c>
      <c r="F201" s="15">
        <f>IF([2]道具信息!F201="","",[2]道具信息!F201)</f>
        <v>1</v>
      </c>
      <c r="G201" s="15">
        <f>IF([2]道具信息!G201="","",[2]道具信息!G201)</f>
        <v>1</v>
      </c>
      <c r="H201" s="15">
        <f>IF([2]道具信息!H201="","",[2]道具信息!H201)</f>
        <v>1</v>
      </c>
      <c r="I201" s="15" t="str">
        <f>IF([2]道具信息!I201="","",[2]道具信息!I201)</f>
        <v/>
      </c>
      <c r="J201" s="15" t="str">
        <f>IF([2]道具信息!J201="","",[2]道具信息!J201)</f>
        <v/>
      </c>
      <c r="K201" s="15" t="str">
        <f>IF([2]道具信息!K201="","",[2]道具信息!K201)</f>
        <v/>
      </c>
      <c r="L201" s="15" t="str">
        <f>IF([2]道具信息!L201="","",[2]道具信息!L201)</f>
        <v/>
      </c>
    </row>
    <row r="202" spans="3:12" x14ac:dyDescent="0.15">
      <c r="C202" s="15" t="str">
        <f>IF([2]道具信息!C202="","",[2]道具信息!C202)</f>
        <v/>
      </c>
      <c r="D202" s="15" t="str">
        <f>IF([2]道具信息!D202="","",[2]道具信息!D202)</f>
        <v/>
      </c>
      <c r="E202" s="15" t="str">
        <f>IF([2]道具信息!E202="","",[2]道具信息!E202)</f>
        <v/>
      </c>
      <c r="F202" s="15">
        <f>IF([2]道具信息!F202="","",[2]道具信息!F202)</f>
        <v>1</v>
      </c>
      <c r="G202" s="15">
        <f>IF([2]道具信息!G202="","",[2]道具信息!G202)</f>
        <v>1</v>
      </c>
      <c r="H202" s="15">
        <f>IF([2]道具信息!H202="","",[2]道具信息!H202)</f>
        <v>1</v>
      </c>
      <c r="I202" s="15" t="str">
        <f>IF([2]道具信息!I202="","",[2]道具信息!I202)</f>
        <v/>
      </c>
      <c r="J202" s="15" t="str">
        <f>IF([2]道具信息!J202="","",[2]道具信息!J202)</f>
        <v/>
      </c>
      <c r="K202" s="15" t="str">
        <f>IF([2]道具信息!K202="","",[2]道具信息!K202)</f>
        <v/>
      </c>
      <c r="L202" s="15" t="str">
        <f>IF([2]道具信息!L202="","",[2]道具信息!L202)</f>
        <v/>
      </c>
    </row>
    <row r="203" spans="3:12" x14ac:dyDescent="0.15">
      <c r="C203" s="15">
        <f>IF([2]道具信息!C203="","",[2]道具信息!C203)</f>
        <v>26520</v>
      </c>
      <c r="D203" s="15" t="str">
        <f>IF([2]道具信息!D203="","",[2]道具信息!D203)</f>
        <v>紫色兵法自选宝箱</v>
      </c>
      <c r="E203" s="15">
        <f>IF([2]道具信息!E203="","",[2]道具信息!E203)</f>
        <v>750</v>
      </c>
      <c r="F203" s="15">
        <f>IF([2]道具信息!F203="","",[2]道具信息!F203)</f>
        <v>1</v>
      </c>
      <c r="G203" s="15">
        <f>IF([2]道具信息!G203="","",[2]道具信息!G203)</f>
        <v>1</v>
      </c>
      <c r="H203" s="15">
        <f>IF([2]道具信息!H203="","",[2]道具信息!H203)</f>
        <v>1</v>
      </c>
      <c r="I203" s="15">
        <f>IF([2]道具信息!I203="","",[2]道具信息!I203)</f>
        <v>750</v>
      </c>
      <c r="J203" s="15">
        <f>IF([2]道具信息!J203="","",[2]道具信息!J203)</f>
        <v>750</v>
      </c>
      <c r="K203" s="15">
        <f>IF([2]道具信息!K203="","",[2]道具信息!K203)</f>
        <v>750</v>
      </c>
      <c r="L203" s="15" t="str">
        <f>IF([2]道具信息!L203="","",[2]道具信息!L203)</f>
        <v>使用后可选择一个紫色兵法。紫色兵法：攻其不备、出奇制胜、破军夺志</v>
      </c>
    </row>
    <row r="204" spans="3:12" x14ac:dyDescent="0.15">
      <c r="C204" s="15">
        <f>IF([2]道具信息!C204="","",[2]道具信息!C204)</f>
        <v>26521</v>
      </c>
      <c r="D204" s="15" t="str">
        <f>IF([2]道具信息!D204="","",[2]道具信息!D204)</f>
        <v>橙色兵法自选宝箱</v>
      </c>
      <c r="E204" s="15">
        <f>IF([2]道具信息!E204="","",[2]道具信息!E204)</f>
        <v>3350</v>
      </c>
      <c r="F204" s="15">
        <f>IF([2]道具信息!F204="","",[2]道具信息!F204)</f>
        <v>1</v>
      </c>
      <c r="G204" s="15">
        <f>IF([2]道具信息!G204="","",[2]道具信息!G204)</f>
        <v>1</v>
      </c>
      <c r="H204" s="15">
        <f>IF([2]道具信息!H204="","",[2]道具信息!H204)</f>
        <v>1</v>
      </c>
      <c r="I204" s="15">
        <f>IF([2]道具信息!I204="","",[2]道具信息!I204)</f>
        <v>3350</v>
      </c>
      <c r="J204" s="15">
        <f>IF([2]道具信息!J204="","",[2]道具信息!J204)</f>
        <v>3350</v>
      </c>
      <c r="K204" s="15">
        <f>IF([2]道具信息!K204="","",[2]道具信息!K204)</f>
        <v>3350</v>
      </c>
      <c r="L204" s="15" t="str">
        <f>IF([2]道具信息!L204="","",[2]道具信息!L204)</f>
        <v>使用后可选择一个橙色兵法。橙色兵法：援军秘策、养精蓄锐、退敌千里、奇佐鬼谋</v>
      </c>
    </row>
    <row r="205" spans="3:12" x14ac:dyDescent="0.15">
      <c r="C205" s="15" t="str">
        <f>IF([2]道具信息!C205="","",[2]道具信息!C205)</f>
        <v/>
      </c>
      <c r="D205" s="15" t="str">
        <f>IF([2]道具信息!D205="","",[2]道具信息!D205)</f>
        <v/>
      </c>
      <c r="E205" s="15" t="str">
        <f>IF([2]道具信息!E205="","",[2]道具信息!E205)</f>
        <v/>
      </c>
      <c r="F205" s="15">
        <f>IF([2]道具信息!F205="","",[2]道具信息!F205)</f>
        <v>1</v>
      </c>
      <c r="G205" s="15">
        <f>IF([2]道具信息!G205="","",[2]道具信息!G205)</f>
        <v>1</v>
      </c>
      <c r="H205" s="15">
        <f>IF([2]道具信息!H205="","",[2]道具信息!H205)</f>
        <v>1</v>
      </c>
      <c r="I205" s="15" t="str">
        <f>IF([2]道具信息!I205="","",[2]道具信息!I205)</f>
        <v/>
      </c>
      <c r="J205" s="15" t="str">
        <f>IF([2]道具信息!J205="","",[2]道具信息!J205)</f>
        <v/>
      </c>
      <c r="K205" s="15" t="str">
        <f>IF([2]道具信息!K205="","",[2]道具信息!K205)</f>
        <v/>
      </c>
      <c r="L205" s="15" t="str">
        <f>IF([2]道具信息!L205="","",[2]道具信息!L205)</f>
        <v/>
      </c>
    </row>
    <row r="206" spans="3:12" x14ac:dyDescent="0.15">
      <c r="C206" s="15">
        <f>IF([2]道具信息!C206="","",[2]道具信息!C206)</f>
        <v>26551</v>
      </c>
      <c r="D206" s="15" t="str">
        <f>IF([2]道具信息!D206="","",[2]道具信息!D206)</f>
        <v>虎符宝箱</v>
      </c>
      <c r="E206" s="15">
        <f>IF([2]道具信息!E206="","",[2]道具信息!E206)</f>
        <v>160</v>
      </c>
      <c r="F206" s="15">
        <f>IF([2]道具信息!F206="","",[2]道具信息!F206)</f>
        <v>1</v>
      </c>
      <c r="G206" s="15">
        <f>IF([2]道具信息!G206="","",[2]道具信息!G206)</f>
        <v>1</v>
      </c>
      <c r="H206" s="15">
        <f>IF([2]道具信息!H206="","",[2]道具信息!H206)</f>
        <v>1</v>
      </c>
      <c r="I206" s="15">
        <f>IF([2]道具信息!I206="","",[2]道具信息!I206)</f>
        <v>160</v>
      </c>
      <c r="J206" s="15">
        <f>IF([2]道具信息!J206="","",[2]道具信息!J206)</f>
        <v>160</v>
      </c>
      <c r="K206" s="15">
        <f>IF([2]道具信息!K206="","",[2]道具信息!K206)</f>
        <v>160</v>
      </c>
      <c r="L206" s="15" t="str">
        <f>IF([2]道具信息!L206="","",[2]道具信息!L206)</f>
        <v>使用后随机获得1个虎符</v>
      </c>
    </row>
    <row r="207" spans="3:12" x14ac:dyDescent="0.15">
      <c r="C207" s="15">
        <f>IF([2]道具信息!C207="","",[2]道具信息!C207)</f>
        <v>26552</v>
      </c>
      <c r="D207" s="15" t="str">
        <f>IF([2]道具信息!D207="","",[2]道具信息!D207)</f>
        <v>1级贡品宝箱</v>
      </c>
      <c r="E207" s="15">
        <f>IF([2]道具信息!E207="","",[2]道具信息!E207)</f>
        <v>40</v>
      </c>
      <c r="F207" s="15">
        <f>IF([2]道具信息!F207="","",[2]道具信息!F207)</f>
        <v>1</v>
      </c>
      <c r="G207" s="15">
        <f>IF([2]道具信息!G207="","",[2]道具信息!G207)</f>
        <v>1</v>
      </c>
      <c r="H207" s="15">
        <f>IF([2]道具信息!H207="","",[2]道具信息!H207)</f>
        <v>1</v>
      </c>
      <c r="I207" s="15">
        <f>IF([2]道具信息!I207="","",[2]道具信息!I207)</f>
        <v>40</v>
      </c>
      <c r="J207" s="15">
        <f>IF([2]道具信息!J207="","",[2]道具信息!J207)</f>
        <v>40</v>
      </c>
      <c r="K207" s="15">
        <f>IF([2]道具信息!K207="","",[2]道具信息!K207)</f>
        <v>40</v>
      </c>
      <c r="L207" s="15" t="str">
        <f>IF([2]道具信息!L207="","",[2]道具信息!L207)</f>
        <v>使用后随机获得铜镜、陶罐中的1个贡品</v>
      </c>
    </row>
    <row r="208" spans="3:12" x14ac:dyDescent="0.15">
      <c r="C208" s="15">
        <f>IF([2]道具信息!C208="","",[2]道具信息!C208)</f>
        <v>26553</v>
      </c>
      <c r="D208" s="15" t="str">
        <f>IF([2]道具信息!D208="","",[2]道具信息!D208)</f>
        <v>2级贡品宝箱</v>
      </c>
      <c r="E208" s="15">
        <f>IF([2]道具信息!E208="","",[2]道具信息!E208)</f>
        <v>60</v>
      </c>
      <c r="F208" s="15">
        <f>IF([2]道具信息!F208="","",[2]道具信息!F208)</f>
        <v>1</v>
      </c>
      <c r="G208" s="15">
        <f>IF([2]道具信息!G208="","",[2]道具信息!G208)</f>
        <v>1</v>
      </c>
      <c r="H208" s="15">
        <f>IF([2]道具信息!H208="","",[2]道具信息!H208)</f>
        <v>1</v>
      </c>
      <c r="I208" s="15">
        <f>IF([2]道具信息!I208="","",[2]道具信息!I208)</f>
        <v>60</v>
      </c>
      <c r="J208" s="15">
        <f>IF([2]道具信息!J208="","",[2]道具信息!J208)</f>
        <v>60</v>
      </c>
      <c r="K208" s="15">
        <f>IF([2]道具信息!K208="","",[2]道具信息!K208)</f>
        <v>60</v>
      </c>
      <c r="L208" s="15" t="str">
        <f>IF([2]道具信息!L208="","",[2]道具信息!L208)</f>
        <v>使用后随机获得水晶杯、香鼎、铜壶中的1个贡品</v>
      </c>
    </row>
    <row r="209" spans="3:12" x14ac:dyDescent="0.15">
      <c r="C209" s="15">
        <f>IF([2]道具信息!C209="","",[2]道具信息!C209)</f>
        <v>26554</v>
      </c>
      <c r="D209" s="15" t="str">
        <f>IF([2]道具信息!D209="","",[2]道具信息!D209)</f>
        <v>3级贡品宝箱</v>
      </c>
      <c r="E209" s="15">
        <f>IF([2]道具信息!E209="","",[2]道具信息!E209)</f>
        <v>80</v>
      </c>
      <c r="F209" s="15">
        <f>IF([2]道具信息!F209="","",[2]道具信息!F209)</f>
        <v>1</v>
      </c>
      <c r="G209" s="15">
        <f>IF([2]道具信息!G209="","",[2]道具信息!G209)</f>
        <v>1</v>
      </c>
      <c r="H209" s="15">
        <f>IF([2]道具信息!H209="","",[2]道具信息!H209)</f>
        <v>1</v>
      </c>
      <c r="I209" s="15">
        <f>IF([2]道具信息!I209="","",[2]道具信息!I209)</f>
        <v>80</v>
      </c>
      <c r="J209" s="15">
        <f>IF([2]道具信息!J209="","",[2]道具信息!J209)</f>
        <v>80</v>
      </c>
      <c r="K209" s="15">
        <f>IF([2]道具信息!K209="","",[2]道具信息!K209)</f>
        <v>80</v>
      </c>
      <c r="L209" s="15" t="str">
        <f>IF([2]道具信息!L209="","",[2]道具信息!L209)</f>
        <v>使用后随机获得长颈壶、方陶皿、兽头觥、象形尊中的1个贡品</v>
      </c>
    </row>
    <row r="210" spans="3:12" x14ac:dyDescent="0.15">
      <c r="C210" s="15">
        <f>IF([2]道具信息!C210="","",[2]道具信息!C210)</f>
        <v>26555</v>
      </c>
      <c r="D210" s="15" t="str">
        <f>IF([2]道具信息!D210="","",[2]道具信息!D210)</f>
        <v>4级贡品宝箱</v>
      </c>
      <c r="E210" s="15">
        <f>IF([2]道具信息!E210="","",[2]道具信息!E210)</f>
        <v>100</v>
      </c>
      <c r="F210" s="15">
        <f>IF([2]道具信息!F210="","",[2]道具信息!F210)</f>
        <v>1</v>
      </c>
      <c r="G210" s="15">
        <f>IF([2]道具信息!G210="","",[2]道具信息!G210)</f>
        <v>1</v>
      </c>
      <c r="H210" s="15">
        <f>IF([2]道具信息!H210="","",[2]道具信息!H210)</f>
        <v>1</v>
      </c>
      <c r="I210" s="15">
        <f>IF([2]道具信息!I210="","",[2]道具信息!I210)</f>
        <v>100</v>
      </c>
      <c r="J210" s="15">
        <f>IF([2]道具信息!J210="","",[2]道具信息!J210)</f>
        <v>100</v>
      </c>
      <c r="K210" s="15">
        <f>IF([2]道具信息!K210="","",[2]道具信息!K210)</f>
        <v>100</v>
      </c>
      <c r="L210" s="15" t="str">
        <f>IF([2]道具信息!L210="","",[2]道具信息!L210)</f>
        <v>使用后随机获得冰鉴、螭首盉、三足爵、鎏金缶中的1个贡品</v>
      </c>
    </row>
    <row r="211" spans="3:12" x14ac:dyDescent="0.15">
      <c r="C211" s="15">
        <f>IF([2]道具信息!C211="","",[2]道具信息!C211)</f>
        <v>26556</v>
      </c>
      <c r="D211" s="15" t="str">
        <f>IF([2]道具信息!D211="","",[2]道具信息!D211)</f>
        <v>5级贡品宝箱</v>
      </c>
      <c r="E211" s="15">
        <f>IF([2]道具信息!E211="","",[2]道具信息!E211)</f>
        <v>120</v>
      </c>
      <c r="F211" s="15">
        <f>IF([2]道具信息!F211="","",[2]道具信息!F211)</f>
        <v>1</v>
      </c>
      <c r="G211" s="15">
        <f>IF([2]道具信息!G211="","",[2]道具信息!G211)</f>
        <v>1</v>
      </c>
      <c r="H211" s="15">
        <f>IF([2]道具信息!H211="","",[2]道具信息!H211)</f>
        <v>1</v>
      </c>
      <c r="I211" s="15">
        <f>IF([2]道具信息!I211="","",[2]道具信息!I211)</f>
        <v>120</v>
      </c>
      <c r="J211" s="15">
        <f>IF([2]道具信息!J211="","",[2]道具信息!J211)</f>
        <v>120</v>
      </c>
      <c r="K211" s="15">
        <f>IF([2]道具信息!K211="","",[2]道具信息!K211)</f>
        <v>120</v>
      </c>
      <c r="L211" s="15" t="str">
        <f>IF([2]道具信息!L211="","",[2]道具信息!L211)</f>
        <v>使用后随机获得锦瑟、编钟、石磬、瑶琴中的1个贡品</v>
      </c>
    </row>
    <row r="212" spans="3:12" x14ac:dyDescent="0.15">
      <c r="C212" s="15">
        <f>IF([2]道具信息!C212="","",[2]道具信息!C212)</f>
        <v>26557</v>
      </c>
      <c r="D212" s="15" t="str">
        <f>IF([2]道具信息!D212="","",[2]道具信息!D212)</f>
        <v>6级贡品宝箱</v>
      </c>
      <c r="E212" s="15">
        <f>IF([2]道具信息!E212="","",[2]道具信息!E212)</f>
        <v>140</v>
      </c>
      <c r="F212" s="15">
        <f>IF([2]道具信息!F212="","",[2]道具信息!F212)</f>
        <v>1</v>
      </c>
      <c r="G212" s="15">
        <f>IF([2]道具信息!G212="","",[2]道具信息!G212)</f>
        <v>1</v>
      </c>
      <c r="H212" s="15">
        <f>IF([2]道具信息!H212="","",[2]道具信息!H212)</f>
        <v>1</v>
      </c>
      <c r="I212" s="15">
        <f>IF([2]道具信息!I212="","",[2]道具信息!I212)</f>
        <v>140</v>
      </c>
      <c r="J212" s="15">
        <f>IF([2]道具信息!J212="","",[2]道具信息!J212)</f>
        <v>140</v>
      </c>
      <c r="K212" s="15">
        <f>IF([2]道具信息!K212="","",[2]道具信息!K212)</f>
        <v>140</v>
      </c>
      <c r="L212" s="15" t="str">
        <f>IF([2]道具信息!L212="","",[2]道具信息!L212)</f>
        <v>使用后随机获得青圭、赤璋、白琥、玄璜中的1个贡品</v>
      </c>
    </row>
    <row r="213" spans="3:12" x14ac:dyDescent="0.15">
      <c r="C213" s="15" t="str">
        <f>IF([2]道具信息!C213="","",[2]道具信息!C213)</f>
        <v/>
      </c>
      <c r="D213" s="15" t="str">
        <f>IF([2]道具信息!D213="","",[2]道具信息!D213)</f>
        <v/>
      </c>
      <c r="E213" s="15" t="str">
        <f>IF([2]道具信息!E213="","",[2]道具信息!E213)</f>
        <v/>
      </c>
      <c r="F213" s="15" t="str">
        <f>IF([2]道具信息!F213="","",[2]道具信息!F213)</f>
        <v/>
      </c>
      <c r="G213" s="15" t="str">
        <f>IF([2]道具信息!G213="","",[2]道具信息!G213)</f>
        <v/>
      </c>
      <c r="H213" s="15" t="str">
        <f>IF([2]道具信息!H213="","",[2]道具信息!H213)</f>
        <v/>
      </c>
      <c r="I213" s="15" t="str">
        <f>IF([2]道具信息!I213="","",[2]道具信息!I213)</f>
        <v/>
      </c>
      <c r="J213" s="15" t="str">
        <f>IF([2]道具信息!J213="","",[2]道具信息!J213)</f>
        <v/>
      </c>
      <c r="K213" s="15" t="str">
        <f>IF([2]道具信息!K213="","",[2]道具信息!K213)</f>
        <v/>
      </c>
      <c r="L213" s="15" t="str">
        <f>IF([2]道具信息!L213="","",[2]道具信息!L213)</f>
        <v/>
      </c>
    </row>
    <row r="214" spans="3:12" x14ac:dyDescent="0.15">
      <c r="C214" s="15">
        <f>IF([2]道具信息!C214="","",[2]道具信息!C214)</f>
        <v>21251</v>
      </c>
      <c r="D214" s="15" t="str">
        <f>IF([2]道具信息!D214="","",[2]道具信息!D214)</f>
        <v>绿色装备宝箱</v>
      </c>
      <c r="E214" s="15">
        <f>IF([2]道具信息!E214="","",[2]道具信息!E214)</f>
        <v>35</v>
      </c>
      <c r="F214" s="15">
        <f>IF([2]道具信息!F214="","",[2]道具信息!F214)</f>
        <v>1</v>
      </c>
      <c r="G214" s="15">
        <f>IF([2]道具信息!G214="","",[2]道具信息!G214)</f>
        <v>1</v>
      </c>
      <c r="H214" s="15">
        <f>IF([2]道具信息!H214="","",[2]道具信息!H214)</f>
        <v>1</v>
      </c>
      <c r="I214" s="15">
        <f>IF([2]道具信息!I214="","",[2]道具信息!I214)</f>
        <v>35</v>
      </c>
      <c r="J214" s="15">
        <f>IF([2]道具信息!J214="","",[2]道具信息!J214)</f>
        <v>35</v>
      </c>
      <c r="K214" s="15">
        <f>IF([2]道具信息!K214="","",[2]道具信息!K214)</f>
        <v>35</v>
      </c>
      <c r="L214" s="15" t="str">
        <f>IF([2]道具信息!L214="","",[2]道具信息!L214)</f>
        <v>使用后随机获得1件品质为绿色的装备</v>
      </c>
    </row>
    <row r="215" spans="3:12" x14ac:dyDescent="0.15">
      <c r="C215" s="15">
        <f>IF([2]道具信息!C215="","",[2]道具信息!C215)</f>
        <v>21252</v>
      </c>
      <c r="D215" s="15" t="str">
        <f>IF([2]道具信息!D215="","",[2]道具信息!D215)</f>
        <v>蓝色装备宝箱</v>
      </c>
      <c r="E215" s="15">
        <f>IF([2]道具信息!E215="","",[2]道具信息!E215)</f>
        <v>75</v>
      </c>
      <c r="F215" s="15">
        <f>IF([2]道具信息!F215="","",[2]道具信息!F215)</f>
        <v>1</v>
      </c>
      <c r="G215" s="15">
        <f>IF([2]道具信息!G215="","",[2]道具信息!G215)</f>
        <v>1</v>
      </c>
      <c r="H215" s="15">
        <f>IF([2]道具信息!H215="","",[2]道具信息!H215)</f>
        <v>1</v>
      </c>
      <c r="I215" s="15">
        <f>IF([2]道具信息!I215="","",[2]道具信息!I215)</f>
        <v>75</v>
      </c>
      <c r="J215" s="15">
        <f>IF([2]道具信息!J215="","",[2]道具信息!J215)</f>
        <v>75</v>
      </c>
      <c r="K215" s="15">
        <f>IF([2]道具信息!K215="","",[2]道具信息!K215)</f>
        <v>75</v>
      </c>
      <c r="L215" s="15" t="str">
        <f>IF([2]道具信息!L215="","",[2]道具信息!L215)</f>
        <v>使用后随机获得1件品质为蓝色的装备</v>
      </c>
    </row>
    <row r="216" spans="3:12" x14ac:dyDescent="0.15">
      <c r="C216" s="15">
        <f>IF([2]道具信息!C216="","",[2]道具信息!C216)</f>
        <v>21253</v>
      </c>
      <c r="D216" s="15" t="str">
        <f>IF([2]道具信息!D216="","",[2]道具信息!D216)</f>
        <v>紫色装备宝箱</v>
      </c>
      <c r="E216" s="15">
        <f>IF([2]道具信息!E216="","",[2]道具信息!E216)</f>
        <v>150</v>
      </c>
      <c r="F216" s="15">
        <f>IF([2]道具信息!F216="","",[2]道具信息!F216)</f>
        <v>1</v>
      </c>
      <c r="G216" s="15">
        <f>IF([2]道具信息!G216="","",[2]道具信息!G216)</f>
        <v>1</v>
      </c>
      <c r="H216" s="15">
        <f>IF([2]道具信息!H216="","",[2]道具信息!H216)</f>
        <v>1</v>
      </c>
      <c r="I216" s="15">
        <f>IF([2]道具信息!I216="","",[2]道具信息!I216)</f>
        <v>150</v>
      </c>
      <c r="J216" s="15">
        <f>IF([2]道具信息!J216="","",[2]道具信息!J216)</f>
        <v>150</v>
      </c>
      <c r="K216" s="15">
        <f>IF([2]道具信息!K216="","",[2]道具信息!K216)</f>
        <v>150</v>
      </c>
      <c r="L216" s="15" t="str">
        <f>IF([2]道具信息!L216="","",[2]道具信息!L216)</f>
        <v>使用后随机获得1件品质为紫色的装备</v>
      </c>
    </row>
    <row r="217" spans="3:12" x14ac:dyDescent="0.15">
      <c r="C217" s="15">
        <f>IF([2]道具信息!C217="","",[2]道具信息!C217)</f>
        <v>21254</v>
      </c>
      <c r="D217" s="15" t="str">
        <f>IF([2]道具信息!D217="","",[2]道具信息!D217)</f>
        <v>橙色装备宝箱</v>
      </c>
      <c r="E217" s="15">
        <f>IF([2]道具信息!E217="","",[2]道具信息!E217)</f>
        <v>320</v>
      </c>
      <c r="F217" s="15">
        <f>IF([2]道具信息!F217="","",[2]道具信息!F217)</f>
        <v>1</v>
      </c>
      <c r="G217" s="15">
        <f>IF([2]道具信息!G217="","",[2]道具信息!G217)</f>
        <v>1</v>
      </c>
      <c r="H217" s="15">
        <f>IF([2]道具信息!H217="","",[2]道具信息!H217)</f>
        <v>1</v>
      </c>
      <c r="I217" s="15">
        <f>IF([2]道具信息!I217="","",[2]道具信息!I217)</f>
        <v>320</v>
      </c>
      <c r="J217" s="15">
        <f>IF([2]道具信息!J217="","",[2]道具信息!J217)</f>
        <v>320</v>
      </c>
      <c r="K217" s="15">
        <f>IF([2]道具信息!K217="","",[2]道具信息!K217)</f>
        <v>320</v>
      </c>
      <c r="L217" s="15" t="str">
        <f>IF([2]道具信息!L217="","",[2]道具信息!L217)</f>
        <v>使用后随机获得1件品质为橙色的装备</v>
      </c>
    </row>
    <row r="218" spans="3:12" x14ac:dyDescent="0.15">
      <c r="C218" s="15">
        <f>IF([2]道具信息!C218="","",[2]道具信息!C218)</f>
        <v>21255</v>
      </c>
      <c r="D218" s="15" t="str">
        <f>IF([2]道具信息!D218="","",[2]道具信息!D218)</f>
        <v>红色装备宝箱</v>
      </c>
      <c r="E218" s="15">
        <f>IF([2]道具信息!E218="","",[2]道具信息!E218)</f>
        <v>2400</v>
      </c>
      <c r="F218" s="15">
        <f>IF([2]道具信息!F218="","",[2]道具信息!F218)</f>
        <v>1</v>
      </c>
      <c r="G218" s="15">
        <f>IF([2]道具信息!G218="","",[2]道具信息!G218)</f>
        <v>1</v>
      </c>
      <c r="H218" s="15">
        <f>IF([2]道具信息!H218="","",[2]道具信息!H218)</f>
        <v>1</v>
      </c>
      <c r="I218" s="15">
        <f>IF([2]道具信息!I218="","",[2]道具信息!I218)</f>
        <v>2400</v>
      </c>
      <c r="J218" s="15">
        <f>IF([2]道具信息!J218="","",[2]道具信息!J218)</f>
        <v>2400</v>
      </c>
      <c r="K218" s="15">
        <f>IF([2]道具信息!K218="","",[2]道具信息!K218)</f>
        <v>2400</v>
      </c>
      <c r="L218" s="15" t="str">
        <f>IF([2]道具信息!L218="","",[2]道具信息!L218)</f>
        <v>使用后随机获得1件品质为红色的装备</v>
      </c>
    </row>
    <row r="219" spans="3:12" x14ac:dyDescent="0.15">
      <c r="C219" s="15" t="str">
        <f>IF([2]道具信息!C219="","",[2]道具信息!C219)</f>
        <v/>
      </c>
      <c r="D219" s="15" t="str">
        <f>IF([2]道具信息!D219="","",[2]道具信息!D219)</f>
        <v/>
      </c>
      <c r="E219" s="15" t="str">
        <f>IF([2]道具信息!E219="","",[2]道具信息!E219)</f>
        <v/>
      </c>
      <c r="F219" s="15">
        <f>IF([2]道具信息!F219="","",[2]道具信息!F219)</f>
        <v>1</v>
      </c>
      <c r="G219" s="15">
        <f>IF([2]道具信息!G219="","",[2]道具信息!G219)</f>
        <v>1</v>
      </c>
      <c r="H219" s="15">
        <f>IF([2]道具信息!H219="","",[2]道具信息!H219)</f>
        <v>1</v>
      </c>
      <c r="I219" s="15" t="str">
        <f>IF([2]道具信息!I219="","",[2]道具信息!I219)</f>
        <v/>
      </c>
      <c r="J219" s="15" t="str">
        <f>IF([2]道具信息!J219="","",[2]道具信息!J219)</f>
        <v/>
      </c>
      <c r="K219" s="15" t="str">
        <f>IF([2]道具信息!K219="","",[2]道具信息!K219)</f>
        <v/>
      </c>
      <c r="L219" s="15" t="str">
        <f>IF([2]道具信息!L219="","",[2]道具信息!L219)</f>
        <v/>
      </c>
    </row>
    <row r="220" spans="3:12" x14ac:dyDescent="0.15">
      <c r="C220" s="15">
        <f>IF([2]道具信息!C220="","",[2]道具信息!C220)</f>
        <v>20052</v>
      </c>
      <c r="D220" s="15" t="str">
        <f>IF([2]道具信息!D220="","",[2]道具信息!D220)</f>
        <v>练军心得·觉</v>
      </c>
      <c r="E220" s="15">
        <f>IF([2]道具信息!E220="","",[2]道具信息!E220)</f>
        <v>40</v>
      </c>
      <c r="F220" s="15">
        <f>IF([2]道具信息!F220="","",[2]道具信息!F220)</f>
        <v>1</v>
      </c>
      <c r="G220" s="15">
        <f>IF([2]道具信息!G220="","",[2]道具信息!G220)</f>
        <v>1</v>
      </c>
      <c r="H220" s="15">
        <f>IF([2]道具信息!H220="","",[2]道具信息!H220)</f>
        <v>1</v>
      </c>
      <c r="I220" s="15">
        <f>IF([2]道具信息!I220="","",[2]道具信息!I220)</f>
        <v>40</v>
      </c>
      <c r="J220" s="15">
        <f>IF([2]道具信息!J220="","",[2]道具信息!J220)</f>
        <v>40</v>
      </c>
      <c r="K220" s="15">
        <f>IF([2]道具信息!K220="","",[2]道具信息!K220)</f>
        <v>40</v>
      </c>
      <c r="L220" s="15" t="str">
        <f>IF([2]道具信息!L220="","",[2]道具信息!L220)</f>
        <v>掌军之策，厉兵秣马，可用于武将觉醒</v>
      </c>
    </row>
    <row r="221" spans="3:12" x14ac:dyDescent="0.15">
      <c r="C221" s="15">
        <f>IF([2]道具信息!C221="","",[2]道具信息!C221)</f>
        <v>20053</v>
      </c>
      <c r="D221" s="15" t="str">
        <f>IF([2]道具信息!D221="","",[2]道具信息!D221)</f>
        <v>策论心得·觉</v>
      </c>
      <c r="E221" s="15">
        <f>IF([2]道具信息!E221="","",[2]道具信息!E221)</f>
        <v>40</v>
      </c>
      <c r="F221" s="15">
        <f>IF([2]道具信息!F221="","",[2]道具信息!F221)</f>
        <v>1</v>
      </c>
      <c r="G221" s="15">
        <f>IF([2]道具信息!G221="","",[2]道具信息!G221)</f>
        <v>1</v>
      </c>
      <c r="H221" s="15">
        <f>IF([2]道具信息!H221="","",[2]道具信息!H221)</f>
        <v>1</v>
      </c>
      <c r="I221" s="15">
        <f>IF([2]道具信息!I221="","",[2]道具信息!I221)</f>
        <v>40</v>
      </c>
      <c r="J221" s="15">
        <f>IF([2]道具信息!J221="","",[2]道具信息!J221)</f>
        <v>40</v>
      </c>
      <c r="K221" s="15">
        <f>IF([2]道具信息!K221="","",[2]道具信息!K221)</f>
        <v>40</v>
      </c>
      <c r="L221" s="15" t="str">
        <f>IF([2]道具信息!L221="","",[2]道具信息!L221)</f>
        <v>书山万卷，算无遗策，可用于武将觉醒</v>
      </c>
    </row>
    <row r="222" spans="3:12" x14ac:dyDescent="0.15">
      <c r="C222" s="15">
        <f>IF([2]道具信息!C222="","",[2]道具信息!C222)</f>
        <v>20054</v>
      </c>
      <c r="D222" s="15" t="str">
        <f>IF([2]道具信息!D222="","",[2]道具信息!D222)</f>
        <v>兵书心得·觉</v>
      </c>
      <c r="E222" s="15">
        <f>IF([2]道具信息!E222="","",[2]道具信息!E222)</f>
        <v>40</v>
      </c>
      <c r="F222" s="15">
        <f>IF([2]道具信息!F222="","",[2]道具信息!F222)</f>
        <v>1</v>
      </c>
      <c r="G222" s="15">
        <f>IF([2]道具信息!G222="","",[2]道具信息!G222)</f>
        <v>1</v>
      </c>
      <c r="H222" s="15">
        <f>IF([2]道具信息!H222="","",[2]道具信息!H222)</f>
        <v>1</v>
      </c>
      <c r="I222" s="15">
        <f>IF([2]道具信息!I222="","",[2]道具信息!I222)</f>
        <v>40</v>
      </c>
      <c r="J222" s="15">
        <f>IF([2]道具信息!J222="","",[2]道具信息!J222)</f>
        <v>40</v>
      </c>
      <c r="K222" s="15">
        <f>IF([2]道具信息!K222="","",[2]道具信息!K222)</f>
        <v>40</v>
      </c>
      <c r="L222" s="15" t="str">
        <f>IF([2]道具信息!L222="","",[2]道具信息!L222)</f>
        <v>千军万马，文韬武略，可用于武将觉醒</v>
      </c>
    </row>
    <row r="223" spans="3:12" x14ac:dyDescent="0.15">
      <c r="C223" s="15" t="str">
        <f>IF([2]道具信息!C223="","",[2]道具信息!C223)</f>
        <v/>
      </c>
      <c r="D223" s="15" t="str">
        <f>IF([2]道具信息!D223="","",[2]道具信息!D223)</f>
        <v/>
      </c>
      <c r="E223" s="15" t="str">
        <f>IF([2]道具信息!E223="","",[2]道具信息!E223)</f>
        <v/>
      </c>
      <c r="F223" s="15">
        <f>IF([2]道具信息!F223="","",[2]道具信息!F223)</f>
        <v>1</v>
      </c>
      <c r="G223" s="15">
        <f>IF([2]道具信息!G223="","",[2]道具信息!G223)</f>
        <v>1</v>
      </c>
      <c r="H223" s="15">
        <f>IF([2]道具信息!H223="","",[2]道具信息!H223)</f>
        <v>1</v>
      </c>
      <c r="I223" s="15" t="str">
        <f>IF([2]道具信息!I223="","",[2]道具信息!I223)</f>
        <v/>
      </c>
      <c r="J223" s="15" t="str">
        <f>IF([2]道具信息!J223="","",[2]道具信息!J223)</f>
        <v/>
      </c>
      <c r="K223" s="15" t="str">
        <f>IF([2]道具信息!K223="","",[2]道具信息!K223)</f>
        <v/>
      </c>
      <c r="L223" s="15" t="str">
        <f>IF([2]道具信息!L223="","",[2]道具信息!L223)</f>
        <v/>
      </c>
    </row>
    <row r="224" spans="3:12" x14ac:dyDescent="0.15">
      <c r="C224" s="15">
        <f>IF([2]道具信息!C224="","",[2]道具信息!C224)</f>
        <v>20055</v>
      </c>
      <c r="D224" s="15" t="str">
        <f>IF([2]道具信息!D224="","",[2]道具信息!D224)</f>
        <v>虎咬佩剑·觉</v>
      </c>
      <c r="E224" s="15">
        <f>IF([2]道具信息!E224="","",[2]道具信息!E224)</f>
        <v>60</v>
      </c>
      <c r="F224" s="15">
        <f>IF([2]道具信息!F224="","",[2]道具信息!F224)</f>
        <v>1</v>
      </c>
      <c r="G224" s="15">
        <f>IF([2]道具信息!G224="","",[2]道具信息!G224)</f>
        <v>1</v>
      </c>
      <c r="H224" s="15">
        <f>IF([2]道具信息!H224="","",[2]道具信息!H224)</f>
        <v>1</v>
      </c>
      <c r="I224" s="15">
        <f>IF([2]道具信息!I224="","",[2]道具信息!I224)</f>
        <v>60</v>
      </c>
      <c r="J224" s="15">
        <f>IF([2]道具信息!J224="","",[2]道具信息!J224)</f>
        <v>60</v>
      </c>
      <c r="K224" s="15">
        <f>IF([2]道具信息!K224="","",[2]道具信息!K224)</f>
        <v>60</v>
      </c>
      <c r="L224" s="15" t="str">
        <f>IF([2]道具信息!L224="","",[2]道具信息!L224)</f>
        <v>卧虎藏龙，剑及履及，可用于武将觉醒</v>
      </c>
    </row>
    <row r="225" spans="3:12" x14ac:dyDescent="0.15">
      <c r="C225" s="15">
        <f>IF([2]道具信息!C225="","",[2]道具信息!C225)</f>
        <v>20056</v>
      </c>
      <c r="D225" s="15" t="str">
        <f>IF([2]道具信息!D225="","",[2]道具信息!D225)</f>
        <v>灵蛇佩剑·觉</v>
      </c>
      <c r="E225" s="15">
        <f>IF([2]道具信息!E225="","",[2]道具信息!E225)</f>
        <v>60</v>
      </c>
      <c r="F225" s="15">
        <f>IF([2]道具信息!F225="","",[2]道具信息!F225)</f>
        <v>1</v>
      </c>
      <c r="G225" s="15">
        <f>IF([2]道具信息!G225="","",[2]道具信息!G225)</f>
        <v>1</v>
      </c>
      <c r="H225" s="15">
        <f>IF([2]道具信息!H225="","",[2]道具信息!H225)</f>
        <v>1</v>
      </c>
      <c r="I225" s="15">
        <f>IF([2]道具信息!I225="","",[2]道具信息!I225)</f>
        <v>60</v>
      </c>
      <c r="J225" s="15">
        <f>IF([2]道具信息!J225="","",[2]道具信息!J225)</f>
        <v>60</v>
      </c>
      <c r="K225" s="15">
        <f>IF([2]道具信息!K225="","",[2]道具信息!K225)</f>
        <v>60</v>
      </c>
      <c r="L225" s="15" t="str">
        <f>IF([2]道具信息!L225="","",[2]道具信息!L225)</f>
        <v>灵蛇之珠，剑态箫心，可用于武将觉醒</v>
      </c>
    </row>
    <row r="226" spans="3:12" x14ac:dyDescent="0.15">
      <c r="C226" s="15">
        <f>IF([2]道具信息!C226="","",[2]道具信息!C226)</f>
        <v>20057</v>
      </c>
      <c r="D226" s="15" t="str">
        <f>IF([2]道具信息!D226="","",[2]道具信息!D226)</f>
        <v>狼头佩剑·觉</v>
      </c>
      <c r="E226" s="15">
        <f>IF([2]道具信息!E226="","",[2]道具信息!E226)</f>
        <v>60</v>
      </c>
      <c r="F226" s="15">
        <f>IF([2]道具信息!F226="","",[2]道具信息!F226)</f>
        <v>1</v>
      </c>
      <c r="G226" s="15">
        <f>IF([2]道具信息!G226="","",[2]道具信息!G226)</f>
        <v>1</v>
      </c>
      <c r="H226" s="15">
        <f>IF([2]道具信息!H226="","",[2]道具信息!H226)</f>
        <v>1</v>
      </c>
      <c r="I226" s="15">
        <f>IF([2]道具信息!I226="","",[2]道具信息!I226)</f>
        <v>60</v>
      </c>
      <c r="J226" s="15">
        <f>IF([2]道具信息!J226="","",[2]道具信息!J226)</f>
        <v>60</v>
      </c>
      <c r="K226" s="15">
        <f>IF([2]道具信息!K226="","",[2]道具信息!K226)</f>
        <v>60</v>
      </c>
      <c r="L226" s="15" t="str">
        <f>IF([2]道具信息!L226="","",[2]道具信息!L226)</f>
        <v>封狼居胥，剑气纵横，可用于武将觉醒</v>
      </c>
    </row>
    <row r="227" spans="3:12" x14ac:dyDescent="0.15">
      <c r="C227" s="15" t="str">
        <f>IF([2]道具信息!C227="","",[2]道具信息!C227)</f>
        <v/>
      </c>
      <c r="D227" s="15" t="str">
        <f>IF([2]道具信息!D227="","",[2]道具信息!D227)</f>
        <v/>
      </c>
      <c r="E227" s="15" t="str">
        <f>IF([2]道具信息!E227="","",[2]道具信息!E227)</f>
        <v/>
      </c>
      <c r="F227" s="15" t="str">
        <f>IF([2]道具信息!F227="","",[2]道具信息!F227)</f>
        <v/>
      </c>
      <c r="G227" s="15" t="str">
        <f>IF([2]道具信息!G227="","",[2]道具信息!G227)</f>
        <v/>
      </c>
      <c r="H227" s="15" t="str">
        <f>IF([2]道具信息!H227="","",[2]道具信息!H227)</f>
        <v/>
      </c>
      <c r="I227" s="15" t="str">
        <f>IF([2]道具信息!I227="","",[2]道具信息!I227)</f>
        <v/>
      </c>
      <c r="J227" s="15" t="str">
        <f>IF([2]道具信息!J227="","",[2]道具信息!J227)</f>
        <v/>
      </c>
      <c r="K227" s="15" t="str">
        <f>IF([2]道具信息!K227="","",[2]道具信息!K227)</f>
        <v/>
      </c>
      <c r="L227" s="15" t="str">
        <f>IF([2]道具信息!L227="","",[2]道具信息!L227)</f>
        <v/>
      </c>
    </row>
    <row r="228" spans="3:12" x14ac:dyDescent="0.15">
      <c r="C228" s="15">
        <f>IF([2]道具信息!C228="","",[2]道具信息!C228)</f>
        <v>20059</v>
      </c>
      <c r="D228" s="15" t="str">
        <f>IF([2]道具信息!D228="","",[2]道具信息!D228)</f>
        <v>勇之授印·觉</v>
      </c>
      <c r="E228" s="15">
        <f>IF([2]道具信息!E228="","",[2]道具信息!E228)</f>
        <v>80</v>
      </c>
      <c r="F228" s="15">
        <f>IF([2]道具信息!F228="","",[2]道具信息!F228)</f>
        <v>1</v>
      </c>
      <c r="G228" s="15">
        <f>IF([2]道具信息!G228="","",[2]道具信息!G228)</f>
        <v>1</v>
      </c>
      <c r="H228" s="15">
        <f>IF([2]道具信息!H228="","",[2]道具信息!H228)</f>
        <v>1</v>
      </c>
      <c r="I228" s="15">
        <f>IF([2]道具信息!I228="","",[2]道具信息!I228)</f>
        <v>80</v>
      </c>
      <c r="J228" s="15">
        <f>IF([2]道具信息!J228="","",[2]道具信息!J228)</f>
        <v>80</v>
      </c>
      <c r="K228" s="15">
        <f>IF([2]道具信息!K228="","",[2]道具信息!K228)</f>
        <v>80</v>
      </c>
      <c r="L228" s="15" t="str">
        <f>IF([2]道具信息!L228="","",[2]道具信息!L228)</f>
        <v>拔山盖世，气吞山河，可用于武将觉醒</v>
      </c>
    </row>
    <row r="229" spans="3:12" x14ac:dyDescent="0.15">
      <c r="C229" s="15">
        <f>IF([2]道具信息!C229="","",[2]道具信息!C229)</f>
        <v>20060</v>
      </c>
      <c r="D229" s="15" t="str">
        <f>IF([2]道具信息!D229="","",[2]道具信息!D229)</f>
        <v>谋之授印·觉</v>
      </c>
      <c r="E229" s="15">
        <f>IF([2]道具信息!E229="","",[2]道具信息!E229)</f>
        <v>80</v>
      </c>
      <c r="F229" s="15">
        <f>IF([2]道具信息!F229="","",[2]道具信息!F229)</f>
        <v>1</v>
      </c>
      <c r="G229" s="15">
        <f>IF([2]道具信息!G229="","",[2]道具信息!G229)</f>
        <v>1</v>
      </c>
      <c r="H229" s="15">
        <f>IF([2]道具信息!H229="","",[2]道具信息!H229)</f>
        <v>1</v>
      </c>
      <c r="I229" s="15">
        <f>IF([2]道具信息!I229="","",[2]道具信息!I229)</f>
        <v>80</v>
      </c>
      <c r="J229" s="15">
        <f>IF([2]道具信息!J229="","",[2]道具信息!J229)</f>
        <v>80</v>
      </c>
      <c r="K229" s="15">
        <f>IF([2]道具信息!K229="","",[2]道具信息!K229)</f>
        <v>80</v>
      </c>
      <c r="L229" s="15" t="str">
        <f>IF([2]道具信息!L229="","",[2]道具信息!L229)</f>
        <v>渊谋远略，运筹帷幄，可用于武将觉醒</v>
      </c>
    </row>
    <row r="230" spans="3:12" x14ac:dyDescent="0.15">
      <c r="C230" s="15">
        <f>IF([2]道具信息!C230="","",[2]道具信息!C230)</f>
        <v>20061</v>
      </c>
      <c r="D230" s="15" t="str">
        <f>IF([2]道具信息!D230="","",[2]道具信息!D230)</f>
        <v>御之授印·觉</v>
      </c>
      <c r="E230" s="15">
        <f>IF([2]道具信息!E230="","",[2]道具信息!E230)</f>
        <v>80</v>
      </c>
      <c r="F230" s="15">
        <f>IF([2]道具信息!F230="","",[2]道具信息!F230)</f>
        <v>1</v>
      </c>
      <c r="G230" s="15">
        <f>IF([2]道具信息!G230="","",[2]道具信息!G230)</f>
        <v>1</v>
      </c>
      <c r="H230" s="15">
        <f>IF([2]道具信息!H230="","",[2]道具信息!H230)</f>
        <v>1</v>
      </c>
      <c r="I230" s="15">
        <f>IF([2]道具信息!I230="","",[2]道具信息!I230)</f>
        <v>80</v>
      </c>
      <c r="J230" s="15">
        <f>IF([2]道具信息!J230="","",[2]道具信息!J230)</f>
        <v>80</v>
      </c>
      <c r="K230" s="15">
        <f>IF([2]道具信息!K230="","",[2]道具信息!K230)</f>
        <v>80</v>
      </c>
      <c r="L230" s="15" t="str">
        <f>IF([2]道具信息!L230="","",[2]道具信息!L230)</f>
        <v>御下有方，论功行赏，可用于武将觉醒</v>
      </c>
    </row>
    <row r="231" spans="3:12" x14ac:dyDescent="0.15">
      <c r="C231" s="15" t="str">
        <f>IF([2]道具信息!C231="","",[2]道具信息!C231)</f>
        <v/>
      </c>
      <c r="D231" s="15" t="str">
        <f>IF([2]道具信息!D231="","",[2]道具信息!D231)</f>
        <v/>
      </c>
      <c r="E231" s="15" t="str">
        <f>IF([2]道具信息!E231="","",[2]道具信息!E231)</f>
        <v/>
      </c>
      <c r="F231" s="15" t="str">
        <f>IF([2]道具信息!F231="","",[2]道具信息!F231)</f>
        <v/>
      </c>
      <c r="G231" s="15" t="str">
        <f>IF([2]道具信息!G231="","",[2]道具信息!G231)</f>
        <v/>
      </c>
      <c r="H231" s="15" t="str">
        <f>IF([2]道具信息!H231="","",[2]道具信息!H231)</f>
        <v/>
      </c>
      <c r="I231" s="15" t="str">
        <f>IF([2]道具信息!I231="","",[2]道具信息!I231)</f>
        <v/>
      </c>
      <c r="J231" s="15" t="str">
        <f>IF([2]道具信息!J231="","",[2]道具信息!J231)</f>
        <v/>
      </c>
      <c r="K231" s="15" t="str">
        <f>IF([2]道具信息!K231="","",[2]道具信息!K231)</f>
        <v/>
      </c>
      <c r="L231" s="15" t="str">
        <f>IF([2]道具信息!L231="","",[2]道具信息!L231)</f>
        <v/>
      </c>
    </row>
    <row r="232" spans="3:12" x14ac:dyDescent="0.15">
      <c r="C232" s="15">
        <f>IF([2]道具信息!C232="","",[2]道具信息!C232)</f>
        <v>20064</v>
      </c>
      <c r="D232" s="15" t="str">
        <f>IF([2]道具信息!D232="","",[2]道具信息!D232)</f>
        <v>战阵精研·极</v>
      </c>
      <c r="E232" s="15">
        <f>IF([2]道具信息!E232="","",[2]道具信息!E232)</f>
        <v>100</v>
      </c>
      <c r="F232" s="15">
        <f>IF([2]道具信息!F232="","",[2]道具信息!F232)</f>
        <v>1</v>
      </c>
      <c r="G232" s="15">
        <f>IF([2]道具信息!G232="","",[2]道具信息!G232)</f>
        <v>1</v>
      </c>
      <c r="H232" s="15">
        <f>IF([2]道具信息!H232="","",[2]道具信息!H232)</f>
        <v>1</v>
      </c>
      <c r="I232" s="15">
        <f>IF([2]道具信息!I232="","",[2]道具信息!I232)</f>
        <v>100</v>
      </c>
      <c r="J232" s="15">
        <f>IF([2]道具信息!J232="","",[2]道具信息!J232)</f>
        <v>100</v>
      </c>
      <c r="K232" s="15">
        <f>IF([2]道具信息!K232="","",[2]道具信息!K232)</f>
        <v>100</v>
      </c>
      <c r="L232" s="15" t="str">
        <f>IF([2]道具信息!L232="","",[2]道具信息!L232)</f>
        <v>行兵布阵，勇往直前，可用于武将觉醒</v>
      </c>
    </row>
    <row r="233" spans="3:12" x14ac:dyDescent="0.15">
      <c r="C233" s="15">
        <f>IF([2]道具信息!C233="","",[2]道具信息!C233)</f>
        <v>20065</v>
      </c>
      <c r="D233" s="15" t="str">
        <f>IF([2]道具信息!D233="","",[2]道具信息!D233)</f>
        <v>谋略精研·极</v>
      </c>
      <c r="E233" s="15">
        <f>IF([2]道具信息!E233="","",[2]道具信息!E233)</f>
        <v>100</v>
      </c>
      <c r="F233" s="15">
        <f>IF([2]道具信息!F233="","",[2]道具信息!F233)</f>
        <v>1</v>
      </c>
      <c r="G233" s="15">
        <f>IF([2]道具信息!G233="","",[2]道具信息!G233)</f>
        <v>1</v>
      </c>
      <c r="H233" s="15">
        <f>IF([2]道具信息!H233="","",[2]道具信息!H233)</f>
        <v>1</v>
      </c>
      <c r="I233" s="15">
        <f>IF([2]道具信息!I233="","",[2]道具信息!I233)</f>
        <v>100</v>
      </c>
      <c r="J233" s="15">
        <f>IF([2]道具信息!J233="","",[2]道具信息!J233)</f>
        <v>100</v>
      </c>
      <c r="K233" s="15">
        <f>IF([2]道具信息!K233="","",[2]道具信息!K233)</f>
        <v>100</v>
      </c>
      <c r="L233" s="15" t="str">
        <f>IF([2]道具信息!L233="","",[2]道具信息!L233)</f>
        <v>目达耳通，上兵伐谋，可用于武将觉醒</v>
      </c>
    </row>
    <row r="234" spans="3:12" x14ac:dyDescent="0.15">
      <c r="C234" s="15">
        <f>IF([2]道具信息!C234="","",[2]道具信息!C234)</f>
        <v>20066</v>
      </c>
      <c r="D234" s="15" t="str">
        <f>IF([2]道具信息!D234="","",[2]道具信息!D234)</f>
        <v>御军精研·极</v>
      </c>
      <c r="E234" s="15">
        <f>IF([2]道具信息!E234="","",[2]道具信息!E234)</f>
        <v>100</v>
      </c>
      <c r="F234" s="15">
        <f>IF([2]道具信息!F234="","",[2]道具信息!F234)</f>
        <v>1</v>
      </c>
      <c r="G234" s="15">
        <f>IF([2]道具信息!G234="","",[2]道具信息!G234)</f>
        <v>1</v>
      </c>
      <c r="H234" s="15">
        <f>IF([2]道具信息!H234="","",[2]道具信息!H234)</f>
        <v>1</v>
      </c>
      <c r="I234" s="15">
        <f>IF([2]道具信息!I234="","",[2]道具信息!I234)</f>
        <v>100</v>
      </c>
      <c r="J234" s="15">
        <f>IF([2]道具信息!J234="","",[2]道具信息!J234)</f>
        <v>100</v>
      </c>
      <c r="K234" s="15">
        <f>IF([2]道具信息!K234="","",[2]道具信息!K234)</f>
        <v>100</v>
      </c>
      <c r="L234" s="15" t="str">
        <f>IF([2]道具信息!L234="","",[2]道具信息!L234)</f>
        <v>持筹握算，精兵简政，可用于武将觉醒</v>
      </c>
    </row>
    <row r="235" spans="3:12" x14ac:dyDescent="0.15">
      <c r="C235" s="15" t="str">
        <f>IF([2]道具信息!C235="","",[2]道具信息!C235)</f>
        <v/>
      </c>
      <c r="D235" s="15" t="str">
        <f>IF([2]道具信息!D235="","",[2]道具信息!D235)</f>
        <v/>
      </c>
      <c r="E235" s="15" t="str">
        <f>IF([2]道具信息!E235="","",[2]道具信息!E235)</f>
        <v/>
      </c>
      <c r="F235" s="15" t="str">
        <f>IF([2]道具信息!F235="","",[2]道具信息!F235)</f>
        <v/>
      </c>
      <c r="G235" s="15" t="str">
        <f>IF([2]道具信息!G235="","",[2]道具信息!G235)</f>
        <v/>
      </c>
      <c r="H235" s="15" t="str">
        <f>IF([2]道具信息!H235="","",[2]道具信息!H235)</f>
        <v/>
      </c>
      <c r="I235" s="15" t="str">
        <f>IF([2]道具信息!I235="","",[2]道具信息!I235)</f>
        <v/>
      </c>
      <c r="J235" s="15" t="str">
        <f>IF([2]道具信息!J235="","",[2]道具信息!J235)</f>
        <v/>
      </c>
      <c r="K235" s="15" t="str">
        <f>IF([2]道具信息!K235="","",[2]道具信息!K235)</f>
        <v/>
      </c>
      <c r="L235" s="15" t="str">
        <f>IF([2]道具信息!L235="","",[2]道具信息!L235)</f>
        <v/>
      </c>
    </row>
    <row r="236" spans="3:12" x14ac:dyDescent="0.15">
      <c r="C236" s="15">
        <f>IF([2]道具信息!C236="","",[2]道具信息!C236)</f>
        <v>20070</v>
      </c>
      <c r="D236" s="15" t="str">
        <f>IF([2]道具信息!D236="","",[2]道具信息!D236)</f>
        <v>白虎白琥·极</v>
      </c>
      <c r="E236" s="15">
        <f>IF([2]道具信息!E236="","",[2]道具信息!E236)</f>
        <v>120</v>
      </c>
      <c r="F236" s="15">
        <f>IF([2]道具信息!F236="","",[2]道具信息!F236)</f>
        <v>1</v>
      </c>
      <c r="G236" s="15">
        <f>IF([2]道具信息!G236="","",[2]道具信息!G236)</f>
        <v>1</v>
      </c>
      <c r="H236" s="15">
        <f>IF([2]道具信息!H236="","",[2]道具信息!H236)</f>
        <v>1</v>
      </c>
      <c r="I236" s="15">
        <f>IF([2]道具信息!I236="","",[2]道具信息!I236)</f>
        <v>120</v>
      </c>
      <c r="J236" s="15">
        <f>IF([2]道具信息!J236="","",[2]道具信息!J236)</f>
        <v>120</v>
      </c>
      <c r="K236" s="15">
        <f>IF([2]道具信息!K236="","",[2]道具信息!K236)</f>
        <v>120</v>
      </c>
      <c r="L236" s="15" t="str">
        <f>IF([2]道具信息!L236="","",[2]道具信息!L236)</f>
        <v>形神兼备，虎啸龙吟，可用于武将觉醒</v>
      </c>
    </row>
    <row r="237" spans="3:12" x14ac:dyDescent="0.15">
      <c r="C237" s="15">
        <f>IF([2]道具信息!C237="","",[2]道具信息!C237)</f>
        <v>20071</v>
      </c>
      <c r="D237" s="15" t="str">
        <f>IF([2]道具信息!D237="","",[2]道具信息!D237)</f>
        <v>朱雀赤璋·极</v>
      </c>
      <c r="E237" s="15">
        <f>IF([2]道具信息!E237="","",[2]道具信息!E237)</f>
        <v>120</v>
      </c>
      <c r="F237" s="15">
        <f>IF([2]道具信息!F237="","",[2]道具信息!F237)</f>
        <v>1</v>
      </c>
      <c r="G237" s="15">
        <f>IF([2]道具信息!G237="","",[2]道具信息!G237)</f>
        <v>1</v>
      </c>
      <c r="H237" s="15">
        <f>IF([2]道具信息!H237="","",[2]道具信息!H237)</f>
        <v>1</v>
      </c>
      <c r="I237" s="15">
        <f>IF([2]道具信息!I237="","",[2]道具信息!I237)</f>
        <v>120</v>
      </c>
      <c r="J237" s="15">
        <f>IF([2]道具信息!J237="","",[2]道具信息!J237)</f>
        <v>120</v>
      </c>
      <c r="K237" s="15">
        <f>IF([2]道具信息!K237="","",[2]道具信息!K237)</f>
        <v>120</v>
      </c>
      <c r="L237" s="15" t="str">
        <f>IF([2]道具信息!L237="","",[2]道具信息!L237)</f>
        <v>烈火真金，朱雀玄武，可用于武将觉醒</v>
      </c>
    </row>
    <row r="238" spans="3:12" x14ac:dyDescent="0.15">
      <c r="C238" s="15">
        <f>IF([2]道具信息!C238="","",[2]道具信息!C238)</f>
        <v>20072</v>
      </c>
      <c r="D238" s="15" t="str">
        <f>IF([2]道具信息!D238="","",[2]道具信息!D238)</f>
        <v>青龙青圭·极</v>
      </c>
      <c r="E238" s="15">
        <f>IF([2]道具信息!E238="","",[2]道具信息!E238)</f>
        <v>120</v>
      </c>
      <c r="F238" s="15">
        <f>IF([2]道具信息!F238="","",[2]道具信息!F238)</f>
        <v>1</v>
      </c>
      <c r="G238" s="15">
        <f>IF([2]道具信息!G238="","",[2]道具信息!G238)</f>
        <v>1</v>
      </c>
      <c r="H238" s="15">
        <f>IF([2]道具信息!H238="","",[2]道具信息!H238)</f>
        <v>1</v>
      </c>
      <c r="I238" s="15">
        <f>IF([2]道具信息!I238="","",[2]道具信息!I238)</f>
        <v>120</v>
      </c>
      <c r="J238" s="15">
        <f>IF([2]道具信息!J238="","",[2]道具信息!J238)</f>
        <v>120</v>
      </c>
      <c r="K238" s="15">
        <f>IF([2]道具信息!K238="","",[2]道具信息!K238)</f>
        <v>120</v>
      </c>
      <c r="L238" s="15" t="str">
        <f>IF([2]道具信息!L238="","",[2]道具信息!L238)</f>
        <v>青云直上，龙飞凤舞，可用于武将觉醒</v>
      </c>
    </row>
    <row r="239" spans="3:12" x14ac:dyDescent="0.15">
      <c r="C239" s="15" t="str">
        <f>IF([2]道具信息!C239="","",[2]道具信息!C239)</f>
        <v/>
      </c>
      <c r="D239" s="15" t="str">
        <f>IF([2]道具信息!D239="","",[2]道具信息!D239)</f>
        <v/>
      </c>
      <c r="E239" s="15" t="str">
        <f>IF([2]道具信息!E239="","",[2]道具信息!E239)</f>
        <v/>
      </c>
      <c r="F239" s="15" t="str">
        <f>IF([2]道具信息!F239="","",[2]道具信息!F239)</f>
        <v/>
      </c>
      <c r="G239" s="15" t="str">
        <f>IF([2]道具信息!G239="","",[2]道具信息!G239)</f>
        <v/>
      </c>
      <c r="H239" s="15" t="str">
        <f>IF([2]道具信息!H239="","",[2]道具信息!H239)</f>
        <v/>
      </c>
      <c r="I239" s="15" t="str">
        <f>IF([2]道具信息!I239="","",[2]道具信息!I239)</f>
        <v/>
      </c>
      <c r="J239" s="15" t="str">
        <f>IF([2]道具信息!J239="","",[2]道具信息!J239)</f>
        <v/>
      </c>
      <c r="K239" s="15" t="str">
        <f>IF([2]道具信息!K239="","",[2]道具信息!K239)</f>
        <v/>
      </c>
      <c r="L239" s="15" t="str">
        <f>IF([2]道具信息!L239="","",[2]道具信息!L239)</f>
        <v/>
      </c>
    </row>
    <row r="240" spans="3:12" x14ac:dyDescent="0.15">
      <c r="C240" s="15">
        <f>IF([2]道具信息!C240="","",[2]道具信息!C240)</f>
        <v>20077</v>
      </c>
      <c r="D240" s="15" t="str">
        <f>IF([2]道具信息!D240="","",[2]道具信息!D240)</f>
        <v>战将护符·极</v>
      </c>
      <c r="E240" s="15">
        <f>IF([2]道具信息!E240="","",[2]道具信息!E240)</f>
        <v>140</v>
      </c>
      <c r="F240" s="15">
        <f>IF([2]道具信息!F240="","",[2]道具信息!F240)</f>
        <v>1</v>
      </c>
      <c r="G240" s="15">
        <f>IF([2]道具信息!G240="","",[2]道具信息!G240)</f>
        <v>1</v>
      </c>
      <c r="H240" s="15">
        <f>IF([2]道具信息!H240="","",[2]道具信息!H240)</f>
        <v>1</v>
      </c>
      <c r="I240" s="15">
        <f>IF([2]道具信息!I240="","",[2]道具信息!I240)</f>
        <v>140</v>
      </c>
      <c r="J240" s="15">
        <f>IF([2]道具信息!J240="","",[2]道具信息!J240)</f>
        <v>140</v>
      </c>
      <c r="K240" s="15">
        <f>IF([2]道具信息!K240="","",[2]道具信息!K240)</f>
        <v>140</v>
      </c>
      <c r="L240" s="15" t="str">
        <f>IF([2]道具信息!L240="","",[2]道具信息!L240)</f>
        <v>王侯将相，功成名就，可用于武将觉醒</v>
      </c>
    </row>
    <row r="241" spans="3:12" x14ac:dyDescent="0.15">
      <c r="C241" s="15">
        <f>IF([2]道具信息!C241="","",[2]道具信息!C241)</f>
        <v>20078</v>
      </c>
      <c r="D241" s="15" t="str">
        <f>IF([2]道具信息!D241="","",[2]道具信息!D241)</f>
        <v>军师护符·极</v>
      </c>
      <c r="E241" s="15">
        <f>IF([2]道具信息!E241="","",[2]道具信息!E241)</f>
        <v>140</v>
      </c>
      <c r="F241" s="15">
        <f>IF([2]道具信息!F241="","",[2]道具信息!F241)</f>
        <v>1</v>
      </c>
      <c r="G241" s="15">
        <f>IF([2]道具信息!G241="","",[2]道具信息!G241)</f>
        <v>1</v>
      </c>
      <c r="H241" s="15">
        <f>IF([2]道具信息!H241="","",[2]道具信息!H241)</f>
        <v>1</v>
      </c>
      <c r="I241" s="15">
        <f>IF([2]道具信息!I241="","",[2]道具信息!I241)</f>
        <v>140</v>
      </c>
      <c r="J241" s="15">
        <f>IF([2]道具信息!J241="","",[2]道具信息!J241)</f>
        <v>140</v>
      </c>
      <c r="K241" s="15">
        <f>IF([2]道具信息!K241="","",[2]道具信息!K241)</f>
        <v>140</v>
      </c>
      <c r="L241" s="15" t="str">
        <f>IF([2]道具信息!L241="","",[2]道具信息!L241)</f>
        <v>神机妙算，才华横溢，可用于武将觉醒</v>
      </c>
    </row>
    <row r="242" spans="3:12" x14ac:dyDescent="0.15">
      <c r="C242" s="15">
        <f>IF([2]道具信息!C242="","",[2]道具信息!C242)</f>
        <v>20079</v>
      </c>
      <c r="D242" s="15" t="str">
        <f>IF([2]道具信息!D242="","",[2]道具信息!D242)</f>
        <v>统帅护符·极</v>
      </c>
      <c r="E242" s="15">
        <f>IF([2]道具信息!E242="","",[2]道具信息!E242)</f>
        <v>140</v>
      </c>
      <c r="F242" s="15">
        <f>IF([2]道具信息!F242="","",[2]道具信息!F242)</f>
        <v>1</v>
      </c>
      <c r="G242" s="15">
        <f>IF([2]道具信息!G242="","",[2]道具信息!G242)</f>
        <v>1</v>
      </c>
      <c r="H242" s="15">
        <f>IF([2]道具信息!H242="","",[2]道具信息!H242)</f>
        <v>1</v>
      </c>
      <c r="I242" s="15">
        <f>IF([2]道具信息!I242="","",[2]道具信息!I242)</f>
        <v>140</v>
      </c>
      <c r="J242" s="15">
        <f>IF([2]道具信息!J242="","",[2]道具信息!J242)</f>
        <v>140</v>
      </c>
      <c r="K242" s="15">
        <f>IF([2]道具信息!K242="","",[2]道具信息!K242)</f>
        <v>140</v>
      </c>
      <c r="L242" s="15" t="str">
        <f>IF([2]道具信息!L242="","",[2]道具信息!L242)</f>
        <v>号令如山，统帅三军，可用于武将觉醒</v>
      </c>
    </row>
    <row r="243" spans="3:12" x14ac:dyDescent="0.15">
      <c r="C243" s="15" t="str">
        <f>IF([2]道具信息!C243="","",[2]道具信息!C243)</f>
        <v/>
      </c>
      <c r="D243" s="15" t="str">
        <f>IF([2]道具信息!D243="","",[2]道具信息!D243)</f>
        <v/>
      </c>
      <c r="E243" s="15" t="str">
        <f>IF([2]道具信息!E243="","",[2]道具信息!E243)</f>
        <v/>
      </c>
      <c r="F243" s="15" t="str">
        <f>IF([2]道具信息!F243="","",[2]道具信息!F243)</f>
        <v/>
      </c>
      <c r="G243" s="15" t="str">
        <f>IF([2]道具信息!G243="","",[2]道具信息!G243)</f>
        <v/>
      </c>
      <c r="H243" s="15" t="str">
        <f>IF([2]道具信息!H243="","",[2]道具信息!H243)</f>
        <v/>
      </c>
      <c r="I243" s="15" t="str">
        <f>IF([2]道具信息!I243="","",[2]道具信息!I243)</f>
        <v/>
      </c>
      <c r="J243" s="15" t="str">
        <f>IF([2]道具信息!J243="","",[2]道具信息!J243)</f>
        <v/>
      </c>
      <c r="K243" s="15" t="str">
        <f>IF([2]道具信息!K243="","",[2]道具信息!K243)</f>
        <v/>
      </c>
      <c r="L243" s="15" t="str">
        <f>IF([2]道具信息!L243="","",[2]道具信息!L243)</f>
        <v/>
      </c>
    </row>
    <row r="244" spans="3:12" x14ac:dyDescent="0.15">
      <c r="C244" s="15" t="str">
        <f>IF([2]道具信息!C244="","",[2]道具信息!C244)</f>
        <v/>
      </c>
      <c r="D244" s="15" t="str">
        <f>IF([2]道具信息!D244="","",[2]道具信息!D244)</f>
        <v/>
      </c>
      <c r="E244" s="15" t="str">
        <f>IF([2]道具信息!E244="","",[2]道具信息!E244)</f>
        <v/>
      </c>
      <c r="F244" s="15">
        <f>IF([2]道具信息!F244="","",[2]道具信息!F244)</f>
        <v>1</v>
      </c>
      <c r="G244" s="15">
        <f>IF([2]道具信息!G244="","",[2]道具信息!G244)</f>
        <v>1</v>
      </c>
      <c r="H244" s="15">
        <f>IF([2]道具信息!H244="","",[2]道具信息!H244)</f>
        <v>1</v>
      </c>
      <c r="I244" s="15" t="str">
        <f>IF([2]道具信息!I244="","",[2]道具信息!I244)</f>
        <v/>
      </c>
      <c r="J244" s="15" t="str">
        <f>IF([2]道具信息!J244="","",[2]道具信息!J244)</f>
        <v/>
      </c>
      <c r="K244" s="15" t="str">
        <f>IF([2]道具信息!K244="","",[2]道具信息!K244)</f>
        <v/>
      </c>
      <c r="L244" s="15" t="str">
        <f>IF([2]道具信息!L244="","",[2]道具信息!L244)</f>
        <v/>
      </c>
    </row>
    <row r="245" spans="3:12" x14ac:dyDescent="0.15">
      <c r="C245" s="15">
        <f>IF([2]道具信息!C245="","",[2]道具信息!C245)</f>
        <v>23001</v>
      </c>
      <c r="D245" s="15" t="str">
        <f>IF([2]道具信息!D245="","",[2]道具信息!D245)</f>
        <v>紫色步将自选宝箱</v>
      </c>
      <c r="E245" s="15">
        <f>IF([2]道具信息!E245="","",[2]道具信息!E245)</f>
        <v>600</v>
      </c>
      <c r="F245" s="15">
        <f>IF([2]道具信息!F245="","",[2]道具信息!F245)</f>
        <v>1</v>
      </c>
      <c r="G245" s="15">
        <f>IF([2]道具信息!G245="","",[2]道具信息!G245)</f>
        <v>1</v>
      </c>
      <c r="H245" s="15">
        <f>IF([2]道具信息!H245="","",[2]道具信息!H245)</f>
        <v>1</v>
      </c>
      <c r="I245" s="15">
        <f>IF([2]道具信息!I245="","",[2]道具信息!I245)</f>
        <v>600</v>
      </c>
      <c r="J245" s="15">
        <f>IF([2]道具信息!J245="","",[2]道具信息!J245)</f>
        <v>600</v>
      </c>
      <c r="K245" s="15">
        <f>IF([2]道具信息!K245="","",[2]道具信息!K245)</f>
        <v>600</v>
      </c>
      <c r="L245" s="15" t="str">
        <f>IF([2]道具信息!L245="","",[2]道具信息!L245)</f>
        <v>使用后选择获得一个紫色步将</v>
      </c>
    </row>
    <row r="246" spans="3:12" x14ac:dyDescent="0.15">
      <c r="C246" s="15">
        <f>IF([2]道具信息!C246="","",[2]道具信息!C246)</f>
        <v>23002</v>
      </c>
      <c r="D246" s="15" t="str">
        <f>IF([2]道具信息!D246="","",[2]道具信息!D246)</f>
        <v>橙色步将自选宝箱</v>
      </c>
      <c r="E246" s="15">
        <f>IF([2]道具信息!E246="","",[2]道具信息!E246)</f>
        <v>4800</v>
      </c>
      <c r="F246" s="15">
        <f>IF([2]道具信息!F246="","",[2]道具信息!F246)</f>
        <v>1</v>
      </c>
      <c r="G246" s="15">
        <f>IF([2]道具信息!G246="","",[2]道具信息!G246)</f>
        <v>1</v>
      </c>
      <c r="H246" s="15">
        <f>IF([2]道具信息!H246="","",[2]道具信息!H246)</f>
        <v>1</v>
      </c>
      <c r="I246" s="15">
        <f>IF([2]道具信息!I246="","",[2]道具信息!I246)</f>
        <v>4800</v>
      </c>
      <c r="J246" s="15">
        <f>IF([2]道具信息!J246="","",[2]道具信息!J246)</f>
        <v>4800</v>
      </c>
      <c r="K246" s="15">
        <f>IF([2]道具信息!K246="","",[2]道具信息!K246)</f>
        <v>4800</v>
      </c>
      <c r="L246" s="15" t="str">
        <f>IF([2]道具信息!L246="","",[2]道具信息!L246)</f>
        <v>使用后选择获得一个橙色武将</v>
      </c>
    </row>
    <row r="247" spans="3:12" x14ac:dyDescent="0.15">
      <c r="C247" s="15">
        <f>IF([2]道具信息!C247="","",[2]道具信息!C247)</f>
        <v>23003</v>
      </c>
      <c r="D247" s="15" t="str">
        <f>IF([2]道具信息!D247="","",[2]道具信息!D247)</f>
        <v>红色步将自选宝箱</v>
      </c>
      <c r="E247" s="15">
        <f>IF([2]道具信息!E247="","",[2]道具信息!E247)</f>
        <v>14400</v>
      </c>
      <c r="F247" s="15">
        <f>IF([2]道具信息!F247="","",[2]道具信息!F247)</f>
        <v>1</v>
      </c>
      <c r="G247" s="15">
        <f>IF([2]道具信息!G247="","",[2]道具信息!G247)</f>
        <v>1</v>
      </c>
      <c r="H247" s="15">
        <f>IF([2]道具信息!H247="","",[2]道具信息!H247)</f>
        <v>1</v>
      </c>
      <c r="I247" s="15">
        <f>IF([2]道具信息!I247="","",[2]道具信息!I247)</f>
        <v>14400</v>
      </c>
      <c r="J247" s="15">
        <f>IF([2]道具信息!J247="","",[2]道具信息!J247)</f>
        <v>14400</v>
      </c>
      <c r="K247" s="15">
        <f>IF([2]道具信息!K247="","",[2]道具信息!K247)</f>
        <v>14400</v>
      </c>
      <c r="L247" s="15" t="str">
        <f>IF([2]道具信息!L247="","",[2]道具信息!L247)</f>
        <v>使用后选择获得一个红色步将</v>
      </c>
    </row>
    <row r="248" spans="3:12" x14ac:dyDescent="0.15">
      <c r="C248" s="15">
        <f>IF([2]道具信息!C248="","",[2]道具信息!C248)</f>
        <v>23004</v>
      </c>
      <c r="D248" s="15" t="str">
        <f>IF([2]道具信息!D248="","",[2]道具信息!D248)</f>
        <v>紫色骑将自选宝箱</v>
      </c>
      <c r="E248" s="15">
        <f>IF([2]道具信息!E248="","",[2]道具信息!E248)</f>
        <v>600</v>
      </c>
      <c r="F248" s="15">
        <f>IF([2]道具信息!F248="","",[2]道具信息!F248)</f>
        <v>1</v>
      </c>
      <c r="G248" s="15">
        <f>IF([2]道具信息!G248="","",[2]道具信息!G248)</f>
        <v>1</v>
      </c>
      <c r="H248" s="15">
        <f>IF([2]道具信息!H248="","",[2]道具信息!H248)</f>
        <v>1</v>
      </c>
      <c r="I248" s="15">
        <f>IF([2]道具信息!I248="","",[2]道具信息!I248)</f>
        <v>600</v>
      </c>
      <c r="J248" s="15">
        <f>IF([2]道具信息!J248="","",[2]道具信息!J248)</f>
        <v>600</v>
      </c>
      <c r="K248" s="15">
        <f>IF([2]道具信息!K248="","",[2]道具信息!K248)</f>
        <v>600</v>
      </c>
      <c r="L248" s="15" t="str">
        <f>IF([2]道具信息!L248="","",[2]道具信息!L248)</f>
        <v>使用后选择获得一个紫色骑将</v>
      </c>
    </row>
    <row r="249" spans="3:12" x14ac:dyDescent="0.15">
      <c r="C249" s="15">
        <f>IF([2]道具信息!C249="","",[2]道具信息!C249)</f>
        <v>23005</v>
      </c>
      <c r="D249" s="15" t="str">
        <f>IF([2]道具信息!D249="","",[2]道具信息!D249)</f>
        <v>橙色骑将自选宝箱</v>
      </c>
      <c r="E249" s="15">
        <f>IF([2]道具信息!E249="","",[2]道具信息!E249)</f>
        <v>4800</v>
      </c>
      <c r="F249" s="15">
        <f>IF([2]道具信息!F249="","",[2]道具信息!F249)</f>
        <v>1</v>
      </c>
      <c r="G249" s="15">
        <f>IF([2]道具信息!G249="","",[2]道具信息!G249)</f>
        <v>1</v>
      </c>
      <c r="H249" s="15">
        <f>IF([2]道具信息!H249="","",[2]道具信息!H249)</f>
        <v>1</v>
      </c>
      <c r="I249" s="15">
        <f>IF([2]道具信息!I249="","",[2]道具信息!I249)</f>
        <v>4800</v>
      </c>
      <c r="J249" s="15">
        <f>IF([2]道具信息!J249="","",[2]道具信息!J249)</f>
        <v>4800</v>
      </c>
      <c r="K249" s="15">
        <f>IF([2]道具信息!K249="","",[2]道具信息!K249)</f>
        <v>4800</v>
      </c>
      <c r="L249" s="15" t="str">
        <f>IF([2]道具信息!L249="","",[2]道具信息!L249)</f>
        <v>使用后选择获得一个橙色骑将</v>
      </c>
    </row>
    <row r="250" spans="3:12" x14ac:dyDescent="0.15">
      <c r="C250" s="15">
        <f>IF([2]道具信息!C250="","",[2]道具信息!C250)</f>
        <v>23006</v>
      </c>
      <c r="D250" s="15" t="str">
        <f>IF([2]道具信息!D250="","",[2]道具信息!D250)</f>
        <v>红色骑将自选宝箱</v>
      </c>
      <c r="E250" s="15">
        <f>IF([2]道具信息!E250="","",[2]道具信息!E250)</f>
        <v>14400</v>
      </c>
      <c r="F250" s="15">
        <f>IF([2]道具信息!F250="","",[2]道具信息!F250)</f>
        <v>1</v>
      </c>
      <c r="G250" s="15">
        <f>IF([2]道具信息!G250="","",[2]道具信息!G250)</f>
        <v>1</v>
      </c>
      <c r="H250" s="15">
        <f>IF([2]道具信息!H250="","",[2]道具信息!H250)</f>
        <v>1</v>
      </c>
      <c r="I250" s="15">
        <f>IF([2]道具信息!I250="","",[2]道具信息!I250)</f>
        <v>14400</v>
      </c>
      <c r="J250" s="15">
        <f>IF([2]道具信息!J250="","",[2]道具信息!J250)</f>
        <v>14400</v>
      </c>
      <c r="K250" s="15">
        <f>IF([2]道具信息!K250="","",[2]道具信息!K250)</f>
        <v>14400</v>
      </c>
      <c r="L250" s="15" t="str">
        <f>IF([2]道具信息!L250="","",[2]道具信息!L250)</f>
        <v>使用后选择获得一个红色骑将</v>
      </c>
    </row>
    <row r="251" spans="3:12" x14ac:dyDescent="0.15">
      <c r="C251" s="15">
        <f>IF([2]道具信息!C251="","",[2]道具信息!C251)</f>
        <v>23007</v>
      </c>
      <c r="D251" s="15" t="str">
        <f>IF([2]道具信息!D251="","",[2]道具信息!D251)</f>
        <v>紫色弓将自选宝箱</v>
      </c>
      <c r="E251" s="15">
        <f>IF([2]道具信息!E251="","",[2]道具信息!E251)</f>
        <v>600</v>
      </c>
      <c r="F251" s="15">
        <f>IF([2]道具信息!F251="","",[2]道具信息!F251)</f>
        <v>1</v>
      </c>
      <c r="G251" s="15">
        <f>IF([2]道具信息!G251="","",[2]道具信息!G251)</f>
        <v>1</v>
      </c>
      <c r="H251" s="15">
        <f>IF([2]道具信息!H251="","",[2]道具信息!H251)</f>
        <v>1</v>
      </c>
      <c r="I251" s="15">
        <f>IF([2]道具信息!I251="","",[2]道具信息!I251)</f>
        <v>600</v>
      </c>
      <c r="J251" s="15">
        <f>IF([2]道具信息!J251="","",[2]道具信息!J251)</f>
        <v>600</v>
      </c>
      <c r="K251" s="15">
        <f>IF([2]道具信息!K251="","",[2]道具信息!K251)</f>
        <v>600</v>
      </c>
      <c r="L251" s="15" t="str">
        <f>IF([2]道具信息!L251="","",[2]道具信息!L251)</f>
        <v>使用后选择获得一个紫色弓将</v>
      </c>
    </row>
    <row r="252" spans="3:12" x14ac:dyDescent="0.15">
      <c r="C252" s="15">
        <f>IF([2]道具信息!C252="","",[2]道具信息!C252)</f>
        <v>23008</v>
      </c>
      <c r="D252" s="15" t="str">
        <f>IF([2]道具信息!D252="","",[2]道具信息!D252)</f>
        <v>橙色弓将自选宝箱</v>
      </c>
      <c r="E252" s="15">
        <f>IF([2]道具信息!E252="","",[2]道具信息!E252)</f>
        <v>4800</v>
      </c>
      <c r="F252" s="15">
        <f>IF([2]道具信息!F252="","",[2]道具信息!F252)</f>
        <v>1</v>
      </c>
      <c r="G252" s="15">
        <f>IF([2]道具信息!G252="","",[2]道具信息!G252)</f>
        <v>1</v>
      </c>
      <c r="H252" s="15">
        <f>IF([2]道具信息!H252="","",[2]道具信息!H252)</f>
        <v>1</v>
      </c>
      <c r="I252" s="15">
        <f>IF([2]道具信息!I252="","",[2]道具信息!I252)</f>
        <v>4800</v>
      </c>
      <c r="J252" s="15">
        <f>IF([2]道具信息!J252="","",[2]道具信息!J252)</f>
        <v>4800</v>
      </c>
      <c r="K252" s="15">
        <f>IF([2]道具信息!K252="","",[2]道具信息!K252)</f>
        <v>4800</v>
      </c>
      <c r="L252" s="15" t="str">
        <f>IF([2]道具信息!L252="","",[2]道具信息!L252)</f>
        <v>使用后选择获得一个橙色弓将</v>
      </c>
    </row>
    <row r="253" spans="3:12" x14ac:dyDescent="0.15">
      <c r="C253" s="15">
        <f>IF([2]道具信息!C253="","",[2]道具信息!C253)</f>
        <v>23009</v>
      </c>
      <c r="D253" s="15" t="str">
        <f>IF([2]道具信息!D253="","",[2]道具信息!D253)</f>
        <v>红色弓将自选宝箱</v>
      </c>
      <c r="E253" s="15">
        <f>IF([2]道具信息!E253="","",[2]道具信息!E253)</f>
        <v>14400</v>
      </c>
      <c r="F253" s="15">
        <f>IF([2]道具信息!F253="","",[2]道具信息!F253)</f>
        <v>1</v>
      </c>
      <c r="G253" s="15">
        <f>IF([2]道具信息!G253="","",[2]道具信息!G253)</f>
        <v>1</v>
      </c>
      <c r="H253" s="15">
        <f>IF([2]道具信息!H253="","",[2]道具信息!H253)</f>
        <v>1</v>
      </c>
      <c r="I253" s="15">
        <f>IF([2]道具信息!I253="","",[2]道具信息!I253)</f>
        <v>14400</v>
      </c>
      <c r="J253" s="15">
        <f>IF([2]道具信息!J253="","",[2]道具信息!J253)</f>
        <v>14400</v>
      </c>
      <c r="K253" s="15">
        <f>IF([2]道具信息!K253="","",[2]道具信息!K253)</f>
        <v>14400</v>
      </c>
      <c r="L253" s="15" t="str">
        <f>IF([2]道具信息!L253="","",[2]道具信息!L253)</f>
        <v>使用后选择获得一个红色弓将</v>
      </c>
    </row>
    <row r="254" spans="3:12" x14ac:dyDescent="0.15">
      <c r="C254" s="15">
        <f>IF([2]道具信息!C254="","",[2]道具信息!C254)</f>
        <v>23010</v>
      </c>
      <c r="D254" s="15" t="str">
        <f>IF([2]道具信息!D254="","",[2]道具信息!D254)</f>
        <v>君主自选宝箱</v>
      </c>
      <c r="E254" s="15">
        <f>IF([2]道具信息!E254="","",[2]道具信息!E254)</f>
        <v>4800</v>
      </c>
      <c r="F254" s="15">
        <f>IF([2]道具信息!F254="","",[2]道具信息!F254)</f>
        <v>1</v>
      </c>
      <c r="G254" s="15">
        <f>IF([2]道具信息!G254="","",[2]道具信息!G254)</f>
        <v>1</v>
      </c>
      <c r="H254" s="15">
        <f>IF([2]道具信息!H254="","",[2]道具信息!H254)</f>
        <v>1</v>
      </c>
      <c r="I254" s="15">
        <f>IF([2]道具信息!I254="","",[2]道具信息!I254)</f>
        <v>4800</v>
      </c>
      <c r="J254" s="15">
        <f>IF([2]道具信息!J254="","",[2]道具信息!J254)</f>
        <v>4800</v>
      </c>
      <c r="K254" s="15">
        <f>IF([2]道具信息!K254="","",[2]道具信息!K254)</f>
        <v>4800</v>
      </c>
      <c r="L254" s="15" t="str">
        <f>IF([2]道具信息!L254="","",[2]道具信息!L254)</f>
        <v>使用后选择获得一个君主武将</v>
      </c>
    </row>
    <row r="255" spans="3:12" x14ac:dyDescent="0.15">
      <c r="C255" s="15">
        <f>IF([2]道具信息!C255="","",[2]道具信息!C255)</f>
        <v>23011</v>
      </c>
      <c r="D255" s="15" t="str">
        <f>IF([2]道具信息!D255="","",[2]道具信息!D255)</f>
        <v>紫色武将随机宝箱</v>
      </c>
      <c r="E255" s="15">
        <f>IF([2]道具信息!E255="","",[2]道具信息!E255)</f>
        <v>400</v>
      </c>
      <c r="F255" s="15">
        <f>IF([2]道具信息!F255="","",[2]道具信息!F255)</f>
        <v>1</v>
      </c>
      <c r="G255" s="15">
        <f>IF([2]道具信息!G255="","",[2]道具信息!G255)</f>
        <v>1</v>
      </c>
      <c r="H255" s="15">
        <f>IF([2]道具信息!H255="","",[2]道具信息!H255)</f>
        <v>1</v>
      </c>
      <c r="I255" s="15">
        <f>IF([2]道具信息!I255="","",[2]道具信息!I255)</f>
        <v>400</v>
      </c>
      <c r="J255" s="15">
        <f>IF([2]道具信息!J255="","",[2]道具信息!J255)</f>
        <v>400</v>
      </c>
      <c r="K255" s="15">
        <f>IF([2]道具信息!K255="","",[2]道具信息!K255)</f>
        <v>400</v>
      </c>
      <c r="L255" s="15" t="str">
        <f>IF([2]道具信息!L255="","",[2]道具信息!L255)</f>
        <v>使用后随机获得一个紫色武将</v>
      </c>
    </row>
    <row r="256" spans="3:12" x14ac:dyDescent="0.15">
      <c r="C256" s="15">
        <f>IF([2]道具信息!C256="","",[2]道具信息!C256)</f>
        <v>23012</v>
      </c>
      <c r="D256" s="15" t="str">
        <f>IF([2]道具信息!D256="","",[2]道具信息!D256)</f>
        <v>橙色武将随机宝箱</v>
      </c>
      <c r="E256" s="15">
        <f>IF([2]道具信息!E256="","",[2]道具信息!E256)</f>
        <v>1800</v>
      </c>
      <c r="F256" s="15">
        <f>IF([2]道具信息!F256="","",[2]道具信息!F256)</f>
        <v>1</v>
      </c>
      <c r="G256" s="15">
        <f>IF([2]道具信息!G256="","",[2]道具信息!G256)</f>
        <v>1</v>
      </c>
      <c r="H256" s="15">
        <f>IF([2]道具信息!H256="","",[2]道具信息!H256)</f>
        <v>1</v>
      </c>
      <c r="I256" s="15">
        <f>IF([2]道具信息!I256="","",[2]道具信息!I256)</f>
        <v>1800</v>
      </c>
      <c r="J256" s="15">
        <f>IF([2]道具信息!J256="","",[2]道具信息!J256)</f>
        <v>1800</v>
      </c>
      <c r="K256" s="15">
        <f>IF([2]道具信息!K256="","",[2]道具信息!K256)</f>
        <v>1800</v>
      </c>
      <c r="L256" s="15" t="str">
        <f>IF([2]道具信息!L256="","",[2]道具信息!L256)</f>
        <v>使用后随机获得一个橙色武将</v>
      </c>
    </row>
    <row r="257" spans="3:12" x14ac:dyDescent="0.15">
      <c r="C257" s="15">
        <f>IF([2]道具信息!C257="","",[2]道具信息!C257)</f>
        <v>23013</v>
      </c>
      <c r="D257" s="15" t="str">
        <f>IF([2]道具信息!D257="","",[2]道具信息!D257)</f>
        <v>红色武将随机宝箱</v>
      </c>
      <c r="E257" s="15" t="s">
        <v>150</v>
      </c>
      <c r="F257" s="15">
        <f>IF([2]道具信息!F257="","",[2]道具信息!F257)</f>
        <v>1</v>
      </c>
      <c r="G257" s="15">
        <f>IF([2]道具信息!G257="","",[2]道具信息!G257)</f>
        <v>1</v>
      </c>
      <c r="H257" s="15">
        <f>IF([2]道具信息!H257="","",[2]道具信息!H257)</f>
        <v>1</v>
      </c>
      <c r="I257" s="15">
        <f>IF([2]道具信息!I257="","",[2]道具信息!I257)</f>
        <v>14400</v>
      </c>
      <c r="J257" s="15">
        <f>IF([2]道具信息!J257="","",[2]道具信息!J257)</f>
        <v>14400</v>
      </c>
      <c r="K257" s="15">
        <f>IF([2]道具信息!K257="","",[2]道具信息!K257)</f>
        <v>14400</v>
      </c>
      <c r="L257" s="15" t="str">
        <f>IF([2]道具信息!L257="","",[2]道具信息!L257)</f>
        <v>使用后随机获得一个红色武将</v>
      </c>
    </row>
    <row r="258" spans="3:12" x14ac:dyDescent="0.15">
      <c r="C258" s="15" t="str">
        <f>IF([2]道具信息!C258="","",[2]道具信息!C258)</f>
        <v/>
      </c>
      <c r="D258" s="15" t="str">
        <f>IF([2]道具信息!D258="","",[2]道具信息!D258)</f>
        <v/>
      </c>
      <c r="E258" s="15" t="str">
        <f>IF([2]道具信息!E258="","",[2]道具信息!E258)</f>
        <v/>
      </c>
      <c r="F258" s="15">
        <f>IF([2]道具信息!F258="","",[2]道具信息!F258)</f>
        <v>1</v>
      </c>
      <c r="G258" s="15">
        <f>IF([2]道具信息!G258="","",[2]道具信息!G258)</f>
        <v>1</v>
      </c>
      <c r="H258" s="15">
        <f>IF([2]道具信息!H258="","",[2]道具信息!H258)</f>
        <v>1</v>
      </c>
      <c r="I258" s="15" t="str">
        <f>IF([2]道具信息!I258="","",[2]道具信息!I258)</f>
        <v/>
      </c>
      <c r="J258" s="15" t="str">
        <f>IF([2]道具信息!J258="","",[2]道具信息!J258)</f>
        <v/>
      </c>
      <c r="K258" s="15" t="str">
        <f>IF([2]道具信息!K258="","",[2]道具信息!K258)</f>
        <v/>
      </c>
      <c r="L258" s="15" t="str">
        <f>IF([2]道具信息!L258="","",[2]道具信息!L258)</f>
        <v/>
      </c>
    </row>
    <row r="259" spans="3:12" x14ac:dyDescent="0.15">
      <c r="C259" s="15">
        <f>IF([2]道具信息!C259="","",[2]道具信息!C259)</f>
        <v>23014</v>
      </c>
      <c r="D259" s="15" t="str">
        <f>IF([2]道具信息!D259="","",[2]道具信息!D259)</f>
        <v>橙色武将自选宝箱碎片</v>
      </c>
      <c r="E259" s="15">
        <f>IF([2]道具信息!E259="","",[2]道具信息!E259)</f>
        <v>160</v>
      </c>
      <c r="F259" s="15">
        <f>IF([2]道具信息!F259="","",[2]道具信息!F259)</f>
        <v>1</v>
      </c>
      <c r="G259" s="15">
        <f>IF([2]道具信息!G259="","",[2]道具信息!G259)</f>
        <v>1</v>
      </c>
      <c r="H259" s="15">
        <f>IF([2]道具信息!H259="","",[2]道具信息!H259)</f>
        <v>1</v>
      </c>
      <c r="I259" s="15">
        <f>IF([2]道具信息!I259="","",[2]道具信息!I259)</f>
        <v>160</v>
      </c>
      <c r="J259" s="15">
        <f>IF([2]道具信息!J259="","",[2]道具信息!J259)</f>
        <v>160</v>
      </c>
      <c r="K259" s="15">
        <f>IF([2]道具信息!K259="","",[2]道具信息!K259)</f>
        <v>160</v>
      </c>
      <c r="L259" s="15" t="str">
        <f>IF([2]道具信息!L259="","",[2]道具信息!L259)</f>
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</row>
    <row r="260" spans="3:12" x14ac:dyDescent="0.15">
      <c r="C260" s="15">
        <f>IF([2]道具信息!C260="","",[2]道具信息!C260)</f>
        <v>23015</v>
      </c>
      <c r="D260" s="15" t="str">
        <f>IF([2]道具信息!D260="","",[2]道具信息!D260)</f>
        <v>橙色武将随机宝箱碎片</v>
      </c>
      <c r="E260" s="15">
        <f>IF([2]道具信息!E260="","",[2]道具信息!E260)</f>
        <v>60</v>
      </c>
      <c r="F260" s="15">
        <f>IF([2]道具信息!F260="","",[2]道具信息!F260)</f>
        <v>1</v>
      </c>
      <c r="G260" s="15">
        <f>IF([2]道具信息!G260="","",[2]道具信息!G260)</f>
        <v>1</v>
      </c>
      <c r="H260" s="15">
        <f>IF([2]道具信息!H260="","",[2]道具信息!H260)</f>
        <v>1</v>
      </c>
      <c r="I260" s="15">
        <f>IF([2]道具信息!I260="","",[2]道具信息!I260)</f>
        <v>60</v>
      </c>
      <c r="J260" s="15">
        <f>IF([2]道具信息!J260="","",[2]道具信息!J260)</f>
        <v>60</v>
      </c>
      <c r="K260" s="15">
        <f>IF([2]道具信息!K260="","",[2]道具信息!K260)</f>
        <v>60</v>
      </c>
      <c r="L260" s="15" t="str">
        <f>IF([2]道具信息!L260="","",[2]道具信息!L260)</f>
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</row>
    <row r="261" spans="3:12" x14ac:dyDescent="0.15">
      <c r="C261" s="15">
        <f>IF([2]道具信息!C261="","",[2]道具信息!C261)</f>
        <v>23016</v>
      </c>
      <c r="D261" s="15" t="str">
        <f>IF([2]道具信息!D261="","",[2]道具信息!D261)</f>
        <v>紫色武将随机宝箱碎片</v>
      </c>
      <c r="E261" s="15">
        <f>IF([2]道具信息!E261="","",[2]道具信息!E261)</f>
        <v>36</v>
      </c>
      <c r="F261" s="15">
        <f>IF([2]道具信息!F261="","",[2]道具信息!F261)</f>
        <v>1</v>
      </c>
      <c r="G261" s="15">
        <f>IF([2]道具信息!G261="","",[2]道具信息!G261)</f>
        <v>1</v>
      </c>
      <c r="H261" s="15">
        <f>IF([2]道具信息!H261="","",[2]道具信息!H261)</f>
        <v>1</v>
      </c>
      <c r="I261" s="15">
        <f>IF([2]道具信息!I261="","",[2]道具信息!I261)</f>
        <v>36</v>
      </c>
      <c r="J261" s="15">
        <f>IF([2]道具信息!J261="","",[2]道具信息!J261)</f>
        <v>36</v>
      </c>
      <c r="K261" s="15">
        <f>IF([2]道具信息!K261="","",[2]道具信息!K261)</f>
        <v>36</v>
      </c>
      <c r="L261" s="15" t="str">
        <f>IF([2]道具信息!L261="","",[2]道具信息!L261)</f>
        <v>集齐10个碎片可以合成，随机获得下列武将中的一个：\n聂荌、专诸、钟无艳、田忌、春申君、莫邪、孙叔敖、西门豹、暴鸢、秦开</v>
      </c>
    </row>
    <row r="262" spans="3:12" x14ac:dyDescent="0.15">
      <c r="C262" s="15" t="str">
        <f>IF([2]道具信息!C262="","",[2]道具信息!C262)</f>
        <v/>
      </c>
      <c r="D262" s="15" t="str">
        <f>IF([2]道具信息!D262="","",[2]道具信息!D262)</f>
        <v/>
      </c>
      <c r="E262" s="15" t="str">
        <f>IF([2]道具信息!E262="","",[2]道具信息!E262)</f>
        <v/>
      </c>
      <c r="F262" s="15">
        <f>IF([2]道具信息!F262="","",[2]道具信息!F262)</f>
        <v>1</v>
      </c>
      <c r="G262" s="15">
        <f>IF([2]道具信息!G262="","",[2]道具信息!G262)</f>
        <v>1</v>
      </c>
      <c r="H262" s="15">
        <f>IF([2]道具信息!H262="","",[2]道具信息!H262)</f>
        <v>1</v>
      </c>
      <c r="I262" s="15" t="str">
        <f>IF([2]道具信息!I262="","",[2]道具信息!I262)</f>
        <v/>
      </c>
      <c r="J262" s="15" t="str">
        <f>IF([2]道具信息!J262="","",[2]道具信息!J262)</f>
        <v/>
      </c>
      <c r="K262" s="15" t="str">
        <f>IF([2]道具信息!K262="","",[2]道具信息!K262)</f>
        <v/>
      </c>
      <c r="L262" s="15" t="str">
        <f>IF([2]道具信息!L262="","",[2]道具信息!L262)</f>
        <v/>
      </c>
    </row>
    <row r="263" spans="3:12" x14ac:dyDescent="0.15">
      <c r="C263" s="15" t="str">
        <f>IF([2]道具信息!C263="","",[2]道具信息!C263)</f>
        <v/>
      </c>
      <c r="D263" s="15" t="str">
        <f>IF([2]道具信息!D263="","",[2]道具信息!D263)</f>
        <v>指定绿色装备</v>
      </c>
      <c r="E263" s="15">
        <f>IF([2]道具信息!E263="","",[2]道具信息!E263)</f>
        <v>35</v>
      </c>
      <c r="F263" s="15">
        <f>IF([2]道具信息!F263="","",[2]道具信息!F263)</f>
        <v>1</v>
      </c>
      <c r="G263" s="15">
        <f>IF([2]道具信息!G263="","",[2]道具信息!G263)</f>
        <v>1</v>
      </c>
      <c r="H263" s="15">
        <f>IF([2]道具信息!H263="","",[2]道具信息!H263)</f>
        <v>1</v>
      </c>
      <c r="I263" s="15">
        <f>IF([2]道具信息!I263="","",[2]道具信息!I263)</f>
        <v>35</v>
      </c>
      <c r="J263" s="15">
        <f>IF([2]道具信息!J263="","",[2]道具信息!J263)</f>
        <v>35</v>
      </c>
      <c r="K263" s="15">
        <f>IF([2]道具信息!K263="","",[2]道具信息!K263)</f>
        <v>35</v>
      </c>
      <c r="L263" s="15">
        <f>IF([2]道具信息!L263="","",[2]道具信息!L263)</f>
        <v>1</v>
      </c>
    </row>
    <row r="264" spans="3:12" x14ac:dyDescent="0.15">
      <c r="C264" s="15" t="str">
        <f>IF([2]道具信息!C264="","",[2]道具信息!C264)</f>
        <v/>
      </c>
      <c r="D264" s="15" t="str">
        <f>IF([2]道具信息!D264="","",[2]道具信息!D264)</f>
        <v>指定蓝色装备</v>
      </c>
      <c r="E264" s="15">
        <f>IF([2]道具信息!E264="","",[2]道具信息!E264)</f>
        <v>120</v>
      </c>
      <c r="F264" s="15">
        <f>IF([2]道具信息!F264="","",[2]道具信息!F264)</f>
        <v>1</v>
      </c>
      <c r="G264" s="15">
        <f>IF([2]道具信息!G264="","",[2]道具信息!G264)</f>
        <v>1</v>
      </c>
      <c r="H264" s="15">
        <f>IF([2]道具信息!H264="","",[2]道具信息!H264)</f>
        <v>1</v>
      </c>
      <c r="I264" s="15">
        <f>IF([2]道具信息!I264="","",[2]道具信息!I264)</f>
        <v>120</v>
      </c>
      <c r="J264" s="15">
        <f>IF([2]道具信息!J264="","",[2]道具信息!J264)</f>
        <v>120</v>
      </c>
      <c r="K264" s="15">
        <f>IF([2]道具信息!K264="","",[2]道具信息!K264)</f>
        <v>120</v>
      </c>
      <c r="L264" s="15">
        <f>IF([2]道具信息!L264="","",[2]道具信息!L264)</f>
        <v>1.5</v>
      </c>
    </row>
    <row r="265" spans="3:12" x14ac:dyDescent="0.15">
      <c r="C265" s="15" t="str">
        <f>IF([2]道具信息!C265="","",[2]道具信息!C265)</f>
        <v/>
      </c>
      <c r="D265" s="15" t="str">
        <f>IF([2]道具信息!D265="","",[2]道具信息!D265)</f>
        <v>指定紫色装备</v>
      </c>
      <c r="E265" s="15">
        <f>IF([2]道具信息!E265="","",[2]道具信息!E265)</f>
        <v>300</v>
      </c>
      <c r="F265" s="15">
        <f>IF([2]道具信息!F265="","",[2]道具信息!F265)</f>
        <v>1</v>
      </c>
      <c r="G265" s="15">
        <f>IF([2]道具信息!G265="","",[2]道具信息!G265)</f>
        <v>1</v>
      </c>
      <c r="H265" s="15">
        <f>IF([2]道具信息!H265="","",[2]道具信息!H265)</f>
        <v>1</v>
      </c>
      <c r="I265" s="15">
        <f>IF([2]道具信息!I265="","",[2]道具信息!I265)</f>
        <v>300</v>
      </c>
      <c r="J265" s="15">
        <f>IF([2]道具信息!J265="","",[2]道具信息!J265)</f>
        <v>300</v>
      </c>
      <c r="K265" s="15">
        <f>IF([2]道具信息!K265="","",[2]道具信息!K265)</f>
        <v>300</v>
      </c>
      <c r="L265" s="15">
        <f>IF([2]道具信息!L265="","",[2]道具信息!L265)</f>
        <v>2</v>
      </c>
    </row>
    <row r="266" spans="3:12" x14ac:dyDescent="0.15">
      <c r="C266" s="15" t="str">
        <f>IF([2]道具信息!C266="","",[2]道具信息!C266)</f>
        <v/>
      </c>
      <c r="D266" s="15" t="str">
        <f>IF([2]道具信息!D266="","",[2]道具信息!D266)</f>
        <v>指定橙色装备</v>
      </c>
      <c r="E266" s="15">
        <f>IF([2]道具信息!E266="","",[2]道具信息!E266)</f>
        <v>800</v>
      </c>
      <c r="F266" s="15">
        <f>IF([2]道具信息!F266="","",[2]道具信息!F266)</f>
        <v>1</v>
      </c>
      <c r="G266" s="15">
        <f>IF([2]道具信息!G266="","",[2]道具信息!G266)</f>
        <v>1</v>
      </c>
      <c r="H266" s="15">
        <f>IF([2]道具信息!H266="","",[2]道具信息!H266)</f>
        <v>1</v>
      </c>
      <c r="I266" s="15">
        <f>IF([2]道具信息!I266="","",[2]道具信息!I266)</f>
        <v>800</v>
      </c>
      <c r="J266" s="15">
        <f>IF([2]道具信息!J266="","",[2]道具信息!J266)</f>
        <v>800</v>
      </c>
      <c r="K266" s="15">
        <f>IF([2]道具信息!K266="","",[2]道具信息!K266)</f>
        <v>800</v>
      </c>
      <c r="L266" s="15">
        <f>IF([2]道具信息!L266="","",[2]道具信息!L266)</f>
        <v>2.5</v>
      </c>
    </row>
    <row r="267" spans="3:12" x14ac:dyDescent="0.15">
      <c r="C267" s="15" t="str">
        <f>IF([2]道具信息!C267="","",[2]道具信息!C267)</f>
        <v/>
      </c>
      <c r="D267" s="15" t="str">
        <f>IF([2]道具信息!D267="","",[2]道具信息!D267)</f>
        <v>指定红色装备</v>
      </c>
      <c r="E267" s="15">
        <f>IF([2]道具信息!E267="","",[2]道具信息!E267)</f>
        <v>7200</v>
      </c>
      <c r="F267" s="15">
        <f>IF([2]道具信息!F267="","",[2]道具信息!F267)</f>
        <v>1</v>
      </c>
      <c r="G267" s="15">
        <f>IF([2]道具信息!G267="","",[2]道具信息!G267)</f>
        <v>1</v>
      </c>
      <c r="H267" s="15">
        <f>IF([2]道具信息!H267="","",[2]道具信息!H267)</f>
        <v>1</v>
      </c>
      <c r="I267" s="15">
        <f>IF([2]道具信息!I267="","",[2]道具信息!I267)</f>
        <v>7200</v>
      </c>
      <c r="J267" s="15">
        <f>IF([2]道具信息!J267="","",[2]道具信息!J267)</f>
        <v>7200</v>
      </c>
      <c r="K267" s="15">
        <f>IF([2]道具信息!K267="","",[2]道具信息!K267)</f>
        <v>7200</v>
      </c>
      <c r="L267" s="15">
        <f>IF([2]道具信息!L267="","",[2]道具信息!L267)</f>
        <v>3</v>
      </c>
    </row>
    <row r="268" spans="3:12" x14ac:dyDescent="0.15">
      <c r="C268" s="15" t="str">
        <f>IF([2]道具信息!C268="","",[2]道具信息!C268)</f>
        <v/>
      </c>
      <c r="D268" s="15" t="str">
        <f>IF([2]道具信息!D268="","",[2]道具信息!D268)</f>
        <v>指定红+装备</v>
      </c>
      <c r="E268" s="15">
        <f>IF([2]道具信息!E268="","",[2]道具信息!E268)</f>
        <v>14400</v>
      </c>
      <c r="F268" s="15">
        <f>IF([2]道具信息!F268="","",[2]道具信息!F268)</f>
        <v>1.56</v>
      </c>
      <c r="G268" s="15">
        <f>IF([2]道具信息!G268="","",[2]道具信息!G268)</f>
        <v>1.56</v>
      </c>
      <c r="H268" s="15">
        <f>IF([2]道具信息!H268="","",[2]道具信息!H268)</f>
        <v>1.56</v>
      </c>
      <c r="I268" s="15">
        <f>IF([2]道具信息!I268="","",[2]道具信息!I268)</f>
        <v>22464</v>
      </c>
      <c r="J268" s="15">
        <f>IF([2]道具信息!J268="","",[2]道具信息!J268)</f>
        <v>22464</v>
      </c>
      <c r="K268" s="15">
        <f>IF([2]道具信息!K268="","",[2]道具信息!K268)</f>
        <v>22464</v>
      </c>
      <c r="L268" s="15" t="str">
        <f>IF([2]道具信息!L268="","",[2]道具信息!L268)</f>
        <v/>
      </c>
    </row>
    <row r="269" spans="3:12" x14ac:dyDescent="0.15">
      <c r="C269" s="15">
        <f>IF([2]道具信息!C269="","",[2]道具信息!C269)</f>
        <v>23215</v>
      </c>
      <c r="D269" s="15" t="str">
        <f>IF([2]道具信息!D269="","",[2]道具信息!D269)</f>
        <v>紫色武力装备礼包</v>
      </c>
      <c r="E269" s="15" t="str">
        <f>IF([2]道具信息!E269="","",[2]道具信息!E269)</f>
        <v/>
      </c>
      <c r="F269" s="15">
        <f>IF([2]道具信息!F269="","",[2]道具信息!F269)</f>
        <v>1</v>
      </c>
      <c r="G269" s="15">
        <f>IF([2]道具信息!G269="","",[2]道具信息!G269)</f>
        <v>1</v>
      </c>
      <c r="H269" s="15">
        <f>IF([2]道具信息!H269="","",[2]道具信息!H269)</f>
        <v>1</v>
      </c>
      <c r="I269" s="15" t="str">
        <f>IF([2]道具信息!I269="","",[2]道具信息!I269)</f>
        <v/>
      </c>
      <c r="J269" s="15" t="str">
        <f>IF([2]道具信息!J269="","",[2]道具信息!J269)</f>
        <v/>
      </c>
      <c r="K269" s="15" t="str">
        <f>IF([2]道具信息!K269="","",[2]道具信息!K269)</f>
        <v/>
      </c>
      <c r="L269" s="15" t="str">
        <f>IF([2]道具信息!L269="","",[2]道具信息!L269)</f>
        <v/>
      </c>
    </row>
    <row r="270" spans="3:12" x14ac:dyDescent="0.15">
      <c r="C270" s="15">
        <f>IF([2]道具信息!C270="","",[2]道具信息!C270)</f>
        <v>23216</v>
      </c>
      <c r="D270" s="15" t="str">
        <f>IF([2]道具信息!D270="","",[2]道具信息!D270)</f>
        <v>紫色智力装备礼包</v>
      </c>
      <c r="E270" s="15" t="str">
        <f>IF([2]道具信息!E270="","",[2]道具信息!E270)</f>
        <v/>
      </c>
      <c r="F270" s="15">
        <f>IF([2]道具信息!F270="","",[2]道具信息!F270)</f>
        <v>1</v>
      </c>
      <c r="G270" s="15">
        <f>IF([2]道具信息!G270="","",[2]道具信息!G270)</f>
        <v>1</v>
      </c>
      <c r="H270" s="15">
        <f>IF([2]道具信息!H270="","",[2]道具信息!H270)</f>
        <v>1</v>
      </c>
      <c r="I270" s="15" t="str">
        <f>IF([2]道具信息!I270="","",[2]道具信息!I270)</f>
        <v/>
      </c>
      <c r="J270" s="15" t="str">
        <f>IF([2]道具信息!J270="","",[2]道具信息!J270)</f>
        <v/>
      </c>
      <c r="K270" s="15" t="str">
        <f>IF([2]道具信息!K270="","",[2]道具信息!K270)</f>
        <v/>
      </c>
      <c r="L270" s="15" t="str">
        <f>IF([2]道具信息!L270="","",[2]道具信息!L270)</f>
        <v/>
      </c>
    </row>
    <row r="271" spans="3:12" x14ac:dyDescent="0.15">
      <c r="C271" s="15">
        <f>IF([2]道具信息!C271="","",[2]道具信息!C271)</f>
        <v>23217</v>
      </c>
      <c r="D271" s="15" t="str">
        <f>IF([2]道具信息!D271="","",[2]道具信息!D271)</f>
        <v>橙色统率装备礼包</v>
      </c>
      <c r="E271" s="15" t="str">
        <f>IF([2]道具信息!E271="","",[2]道具信息!E271)</f>
        <v/>
      </c>
      <c r="F271" s="15">
        <f>IF([2]道具信息!F271="","",[2]道具信息!F271)</f>
        <v>1</v>
      </c>
      <c r="G271" s="15">
        <f>IF([2]道具信息!G271="","",[2]道具信息!G271)</f>
        <v>1</v>
      </c>
      <c r="H271" s="15">
        <f>IF([2]道具信息!H271="","",[2]道具信息!H271)</f>
        <v>1</v>
      </c>
      <c r="I271" s="15" t="str">
        <f>IF([2]道具信息!I271="","",[2]道具信息!I271)</f>
        <v/>
      </c>
      <c r="J271" s="15" t="str">
        <f>IF([2]道具信息!J271="","",[2]道具信息!J271)</f>
        <v/>
      </c>
      <c r="K271" s="15" t="str">
        <f>IF([2]道具信息!K271="","",[2]道具信息!K271)</f>
        <v/>
      </c>
      <c r="L271" s="15" t="str">
        <f>IF([2]道具信息!L271="","",[2]道具信息!L271)</f>
        <v/>
      </c>
    </row>
    <row r="272" spans="3:12" x14ac:dyDescent="0.15">
      <c r="C272" s="15">
        <f>IF([2]道具信息!C272="","",[2]道具信息!C272)</f>
        <v>23218</v>
      </c>
      <c r="D272" s="15" t="str">
        <f>IF([2]道具信息!D272="","",[2]道具信息!D272)</f>
        <v>橙色智力装备礼包</v>
      </c>
      <c r="E272" s="15" t="str">
        <f>IF([2]道具信息!E272="","",[2]道具信息!E272)</f>
        <v/>
      </c>
      <c r="F272" s="15">
        <f>IF([2]道具信息!F272="","",[2]道具信息!F272)</f>
        <v>1</v>
      </c>
      <c r="G272" s="15">
        <f>IF([2]道具信息!G272="","",[2]道具信息!G272)</f>
        <v>1</v>
      </c>
      <c r="H272" s="15">
        <f>IF([2]道具信息!H272="","",[2]道具信息!H272)</f>
        <v>1</v>
      </c>
      <c r="I272" s="15" t="str">
        <f>IF([2]道具信息!I272="","",[2]道具信息!I272)</f>
        <v/>
      </c>
      <c r="J272" s="15" t="str">
        <f>IF([2]道具信息!J272="","",[2]道具信息!J272)</f>
        <v/>
      </c>
      <c r="K272" s="15" t="str">
        <f>IF([2]道具信息!K272="","",[2]道具信息!K272)</f>
        <v/>
      </c>
      <c r="L272" s="15" t="str">
        <f>IF([2]道具信息!L272="","",[2]道具信息!L272)</f>
        <v/>
      </c>
    </row>
    <row r="273" spans="3:12" x14ac:dyDescent="0.15">
      <c r="C273" s="15">
        <f>IF([2]道具信息!C273="","",[2]道具信息!C273)</f>
        <v>23219</v>
      </c>
      <c r="D273" s="15" t="str">
        <f>IF([2]道具信息!D273="","",[2]道具信息!D273)</f>
        <v>橙色武力装备礼包</v>
      </c>
      <c r="E273" s="15" t="str">
        <f>IF([2]道具信息!E273="","",[2]道具信息!E273)</f>
        <v/>
      </c>
      <c r="F273" s="15">
        <f>IF([2]道具信息!F273="","",[2]道具信息!F273)</f>
        <v>1</v>
      </c>
      <c r="G273" s="15">
        <f>IF([2]道具信息!G273="","",[2]道具信息!G273)</f>
        <v>1</v>
      </c>
      <c r="H273" s="15">
        <f>IF([2]道具信息!H273="","",[2]道具信息!H273)</f>
        <v>1</v>
      </c>
      <c r="I273" s="15" t="str">
        <f>IF([2]道具信息!I273="","",[2]道具信息!I273)</f>
        <v/>
      </c>
      <c r="J273" s="15" t="str">
        <f>IF([2]道具信息!J273="","",[2]道具信息!J273)</f>
        <v/>
      </c>
      <c r="K273" s="15" t="str">
        <f>IF([2]道具信息!K273="","",[2]道具信息!K273)</f>
        <v/>
      </c>
      <c r="L273" s="15" t="str">
        <f>IF([2]道具信息!L273="","",[2]道具信息!L273)</f>
        <v/>
      </c>
    </row>
    <row r="274" spans="3:12" x14ac:dyDescent="0.15">
      <c r="C274" s="15">
        <f>IF([2]道具信息!C274="","",[2]道具信息!C274)</f>
        <v>22118</v>
      </c>
      <c r="D274" s="15" t="str">
        <f>IF([2]道具信息!D274="","",[2]道具信息!D274)</f>
        <v>负荆请罪武魂</v>
      </c>
      <c r="E274" s="15" t="str">
        <f>IF([2]道具信息!E274="","",[2]道具信息!E274)</f>
        <v/>
      </c>
      <c r="F274" s="15">
        <f>IF([2]道具信息!F274="","",[2]道具信息!F274)</f>
        <v>1</v>
      </c>
      <c r="G274" s="15">
        <f>IF([2]道具信息!G274="","",[2]道具信息!G274)</f>
        <v>1</v>
      </c>
      <c r="H274" s="15">
        <f>IF([2]道具信息!H274="","",[2]道具信息!H274)</f>
        <v>1</v>
      </c>
      <c r="I274" s="15" t="str">
        <f>IF([2]道具信息!I274="","",[2]道具信息!I274)</f>
        <v/>
      </c>
      <c r="J274" s="15" t="str">
        <f>IF([2]道具信息!J274="","",[2]道具信息!J274)</f>
        <v/>
      </c>
      <c r="K274" s="15" t="str">
        <f>IF([2]道具信息!K274="","",[2]道具信息!K274)</f>
        <v/>
      </c>
      <c r="L274" s="15" t="str">
        <f>IF([2]道具信息!L274="","",[2]道具信息!L274)</f>
        <v/>
      </c>
    </row>
    <row r="275" spans="3:12" x14ac:dyDescent="0.15">
      <c r="C275" s="15" t="str">
        <f>IF([2]道具信息!C275="","",[2]道具信息!C275)</f>
        <v/>
      </c>
      <c r="D275" s="15" t="str">
        <f>IF([2]道具信息!D275="","",[2]道具信息!D275)</f>
        <v/>
      </c>
      <c r="E275" s="15" t="str">
        <f>IF([2]道具信息!E275="","",[2]道具信息!E275)</f>
        <v/>
      </c>
      <c r="F275" s="15">
        <f>IF([2]道具信息!F275="","",[2]道具信息!F275)</f>
        <v>1</v>
      </c>
      <c r="G275" s="15">
        <f>IF([2]道具信息!G275="","",[2]道具信息!G275)</f>
        <v>1</v>
      </c>
      <c r="H275" s="15">
        <f>IF([2]道具信息!H275="","",[2]道具信息!H275)</f>
        <v>1</v>
      </c>
      <c r="I275" s="15" t="str">
        <f>IF([2]道具信息!I275="","",[2]道具信息!I275)</f>
        <v/>
      </c>
      <c r="J275" s="15" t="str">
        <f>IF([2]道具信息!J275="","",[2]道具信息!J275)</f>
        <v/>
      </c>
      <c r="K275" s="15" t="str">
        <f>IF([2]道具信息!K275="","",[2]道具信息!K275)</f>
        <v/>
      </c>
      <c r="L275" s="15" t="str">
        <f>IF([2]道具信息!L275="","",[2]道具信息!L275)</f>
        <v/>
      </c>
    </row>
    <row r="276" spans="3:12" x14ac:dyDescent="0.15">
      <c r="C276" s="15">
        <f>IF([2]道具信息!C276="","",[2]道具信息!C276)</f>
        <v>23348</v>
      </c>
      <c r="D276" s="15" t="str">
        <f>IF([2]道具信息!D276="","",[2]道具信息!D276)</f>
        <v>清剿令</v>
      </c>
      <c r="E276" s="15" t="str">
        <f>IF([2]道具信息!E276="","",[2]道具信息!E276)</f>
        <v/>
      </c>
      <c r="F276" s="15">
        <f>IF([2]道具信息!F276="","",[2]道具信息!F276)</f>
        <v>1</v>
      </c>
      <c r="G276" s="15">
        <f>IF([2]道具信息!G276="","",[2]道具信息!G276)</f>
        <v>1</v>
      </c>
      <c r="H276" s="15">
        <f>IF([2]道具信息!H276="","",[2]道具信息!H276)</f>
        <v>1</v>
      </c>
      <c r="I276" s="15" t="str">
        <f>IF([2]道具信息!I276="","",[2]道具信息!I276)</f>
        <v/>
      </c>
      <c r="J276" s="15" t="str">
        <f>IF([2]道具信息!J276="","",[2]道具信息!J276)</f>
        <v/>
      </c>
      <c r="K276" s="15" t="str">
        <f>IF([2]道具信息!K276="","",[2]道具信息!K276)</f>
        <v/>
      </c>
      <c r="L276" s="15" t="str">
        <f>IF([2]道具信息!L276="","",[2]道具信息!L276)</f>
        <v/>
      </c>
    </row>
    <row r="277" spans="3:12" x14ac:dyDescent="0.15">
      <c r="C277" s="15" t="str">
        <f>IF([2]道具信息!C277="","",[2]道具信息!C277)</f>
        <v/>
      </c>
      <c r="D277" s="15" t="str">
        <f>IF([2]道具信息!D277="","",[2]道具信息!D277)</f>
        <v/>
      </c>
      <c r="E277" s="15" t="str">
        <f>IF([2]道具信息!E277="","",[2]道具信息!E277)</f>
        <v/>
      </c>
      <c r="F277" s="15">
        <f>IF([2]道具信息!F277="","",[2]道具信息!F277)</f>
        <v>1</v>
      </c>
      <c r="G277" s="15">
        <f>IF([2]道具信息!G277="","",[2]道具信息!G277)</f>
        <v>1</v>
      </c>
      <c r="H277" s="15">
        <f>IF([2]道具信息!H277="","",[2]道具信息!H277)</f>
        <v>1</v>
      </c>
      <c r="I277" s="15" t="str">
        <f>IF([2]道具信息!I277="","",[2]道具信息!I277)</f>
        <v/>
      </c>
      <c r="J277" s="15" t="str">
        <f>IF([2]道具信息!J277="","",[2]道具信息!J277)</f>
        <v/>
      </c>
      <c r="K277" s="15" t="str">
        <f>IF([2]道具信息!K277="","",[2]道具信息!K277)</f>
        <v/>
      </c>
      <c r="L277" s="15" t="str">
        <f>IF([2]道具信息!L277="","",[2]道具信息!L277)</f>
        <v/>
      </c>
    </row>
    <row r="278" spans="3:12" x14ac:dyDescent="0.15">
      <c r="C278" s="15" t="str">
        <f>IF([2]道具信息!C278="","",[2]道具信息!C278)</f>
        <v/>
      </c>
      <c r="D278" s="15" t="str">
        <f>IF([2]道具信息!D278="","",[2]道具信息!D278)</f>
        <v/>
      </c>
      <c r="E278" s="15" t="str">
        <f>IF([2]道具信息!E278="","",[2]道具信息!E278)</f>
        <v/>
      </c>
      <c r="F278" s="15">
        <f>IF([2]道具信息!F278="","",[2]道具信息!F278)</f>
        <v>1</v>
      </c>
      <c r="G278" s="15">
        <f>IF([2]道具信息!G278="","",[2]道具信息!G278)</f>
        <v>1</v>
      </c>
      <c r="H278" s="15">
        <f>IF([2]道具信息!H278="","",[2]道具信息!H278)</f>
        <v>1</v>
      </c>
      <c r="I278" s="15" t="str">
        <f>IF([2]道具信息!I278="","",[2]道具信息!I278)</f>
        <v/>
      </c>
      <c r="J278" s="15" t="str">
        <f>IF([2]道具信息!J278="","",[2]道具信息!J278)</f>
        <v/>
      </c>
      <c r="K278" s="15" t="str">
        <f>IF([2]道具信息!K278="","",[2]道具信息!K278)</f>
        <v/>
      </c>
      <c r="L278" s="15" t="str">
        <f>IF([2]道具信息!L278="","",[2]道具信息!L278)</f>
        <v/>
      </c>
    </row>
    <row r="279" spans="3:12" x14ac:dyDescent="0.15">
      <c r="C279" s="15" t="str">
        <f>IF([2]道具信息!C279="","",[2]道具信息!C279)</f>
        <v/>
      </c>
      <c r="D279" s="15" t="str">
        <f>IF([2]道具信息!D279="","",[2]道具信息!D279)</f>
        <v/>
      </c>
      <c r="E279" s="15" t="str">
        <f>IF([2]道具信息!E279="","",[2]道具信息!E279)</f>
        <v/>
      </c>
      <c r="F279" s="15">
        <f>IF([2]道具信息!F279="","",[2]道具信息!F279)</f>
        <v>1</v>
      </c>
      <c r="G279" s="15">
        <f>IF([2]道具信息!G279="","",[2]道具信息!G279)</f>
        <v>1</v>
      </c>
      <c r="H279" s="15">
        <f>IF([2]道具信息!H279="","",[2]道具信息!H279)</f>
        <v>1</v>
      </c>
      <c r="I279" s="15" t="str">
        <f>IF([2]道具信息!I279="","",[2]道具信息!I279)</f>
        <v/>
      </c>
      <c r="J279" s="15" t="str">
        <f>IF([2]道具信息!J279="","",[2]道具信息!J279)</f>
        <v/>
      </c>
      <c r="K279" s="15" t="str">
        <f>IF([2]道具信息!K279="","",[2]道具信息!K279)</f>
        <v/>
      </c>
      <c r="L279" s="15" t="str">
        <f>IF([2]道具信息!L279="","",[2]道具信息!L279)</f>
        <v/>
      </c>
    </row>
    <row r="280" spans="3:12" x14ac:dyDescent="0.15">
      <c r="C280" s="15">
        <f>IF([2]道具信息!C280="","",[2]道具信息!C280)</f>
        <v>22116</v>
      </c>
      <c r="D280" s="15" t="str">
        <f>IF([2]道具信息!D280="","",[2]道具信息!D280)</f>
        <v>倾国倾城武魂</v>
      </c>
      <c r="E280" s="15" t="str">
        <f>IF([2]道具信息!E280="","",[2]道具信息!E280)</f>
        <v/>
      </c>
      <c r="F280" s="15">
        <f>IF([2]道具信息!F280="","",[2]道具信息!F280)</f>
        <v>1</v>
      </c>
      <c r="G280" s="15">
        <f>IF([2]道具信息!G280="","",[2]道具信息!G280)</f>
        <v>1</v>
      </c>
      <c r="H280" s="15">
        <f>IF([2]道具信息!H280="","",[2]道具信息!H280)</f>
        <v>1</v>
      </c>
      <c r="I280" s="15" t="str">
        <f>IF([2]道具信息!I280="","",[2]道具信息!I280)</f>
        <v/>
      </c>
      <c r="J280" s="15" t="str">
        <f>IF([2]道具信息!J280="","",[2]道具信息!J280)</f>
        <v/>
      </c>
      <c r="K280" s="15" t="str">
        <f>IF([2]道具信息!K280="","",[2]道具信息!K280)</f>
        <v/>
      </c>
      <c r="L280" s="15" t="str">
        <f>IF([2]道具信息!L280="","",[2]道具信息!L280)</f>
        <v/>
      </c>
    </row>
    <row r="281" spans="3:12" x14ac:dyDescent="0.15">
      <c r="C281" s="15">
        <f>IF([2]道具信息!C281="","",[2]道具信息!C281)</f>
        <v>22117</v>
      </c>
      <c r="D281" s="15" t="str">
        <f>IF([2]道具信息!D281="","",[2]道具信息!D281)</f>
        <v>墨行天下武魂</v>
      </c>
      <c r="E281" s="15" t="str">
        <f>IF([2]道具信息!E281="","",[2]道具信息!E281)</f>
        <v/>
      </c>
      <c r="F281" s="15">
        <f>IF([2]道具信息!F281="","",[2]道具信息!F281)</f>
        <v>1</v>
      </c>
      <c r="G281" s="15">
        <f>IF([2]道具信息!G281="","",[2]道具信息!G281)</f>
        <v>1</v>
      </c>
      <c r="H281" s="15">
        <f>IF([2]道具信息!H281="","",[2]道具信息!H281)</f>
        <v>1</v>
      </c>
      <c r="I281" s="15" t="str">
        <f>IF([2]道具信息!I281="","",[2]道具信息!I281)</f>
        <v/>
      </c>
      <c r="J281" s="15" t="str">
        <f>IF([2]道具信息!J281="","",[2]道具信息!J281)</f>
        <v/>
      </c>
      <c r="K281" s="15" t="str">
        <f>IF([2]道具信息!K281="","",[2]道具信息!K281)</f>
        <v/>
      </c>
      <c r="L281" s="15" t="str">
        <f>IF([2]道具信息!L281="","",[2]道具信息!L281)</f>
        <v/>
      </c>
    </row>
    <row r="282" spans="3:12" x14ac:dyDescent="0.15">
      <c r="C282" s="15">
        <f>IF([2]道具信息!C282="","",[2]道具信息!C282)</f>
        <v>23220</v>
      </c>
      <c r="D282" s="15" t="str">
        <f>IF([2]道具信息!D282="","",[2]道具信息!D282)</f>
        <v>红色统智装备礼包</v>
      </c>
      <c r="E282" s="15" t="str">
        <f>IF([2]道具信息!E282="","",[2]道具信息!E282)</f>
        <v/>
      </c>
      <c r="F282" s="15">
        <f>IF([2]道具信息!F282="","",[2]道具信息!F282)</f>
        <v>1</v>
      </c>
      <c r="G282" s="15">
        <f>IF([2]道具信息!G282="","",[2]道具信息!G282)</f>
        <v>1</v>
      </c>
      <c r="H282" s="15">
        <f>IF([2]道具信息!H282="","",[2]道具信息!H282)</f>
        <v>1</v>
      </c>
      <c r="I282" s="15" t="str">
        <f>IF([2]道具信息!I282="","",[2]道具信息!I282)</f>
        <v/>
      </c>
      <c r="J282" s="15" t="str">
        <f>IF([2]道具信息!J282="","",[2]道具信息!J282)</f>
        <v/>
      </c>
      <c r="K282" s="15" t="str">
        <f>IF([2]道具信息!K282="","",[2]道具信息!K282)</f>
        <v/>
      </c>
      <c r="L282" s="15" t="str">
        <f>IF([2]道具信息!L282="","",[2]道具信息!L282)</f>
        <v/>
      </c>
    </row>
    <row r="283" spans="3:12" x14ac:dyDescent="0.15">
      <c r="C283" s="15">
        <f>IF([2]道具信息!C283="","",[2]道具信息!C283)</f>
        <v>23221</v>
      </c>
      <c r="D283" s="15" t="str">
        <f>IF([2]道具信息!D283="","",[2]道具信息!D283)</f>
        <v>紫色兵法自选宝箱</v>
      </c>
      <c r="E283" s="15" t="str">
        <f>IF([2]道具信息!E283="","",[2]道具信息!E283)</f>
        <v/>
      </c>
      <c r="F283" s="15">
        <f>IF([2]道具信息!F283="","",[2]道具信息!F283)</f>
        <v>1</v>
      </c>
      <c r="G283" s="15">
        <f>IF([2]道具信息!G283="","",[2]道具信息!G283)</f>
        <v>1</v>
      </c>
      <c r="H283" s="15">
        <f>IF([2]道具信息!H283="","",[2]道具信息!H283)</f>
        <v>1</v>
      </c>
      <c r="I283" s="15" t="str">
        <f>IF([2]道具信息!I283="","",[2]道具信息!I283)</f>
        <v/>
      </c>
      <c r="J283" s="15" t="str">
        <f>IF([2]道具信息!J283="","",[2]道具信息!J283)</f>
        <v/>
      </c>
      <c r="K283" s="15" t="str">
        <f>IF([2]道具信息!K283="","",[2]道具信息!K283)</f>
        <v/>
      </c>
      <c r="L283" s="15" t="str">
        <f>IF([2]道具信息!L283="","",[2]道具信息!L283)</f>
        <v/>
      </c>
    </row>
    <row r="284" spans="3:12" x14ac:dyDescent="0.15">
      <c r="C284" s="15">
        <f>IF([2]道具信息!C284="","",[2]道具信息!C284)</f>
        <v>23222</v>
      </c>
      <c r="D284" s="15" t="str">
        <f>IF([2]道具信息!D284="","",[2]道具信息!D284)</f>
        <v>橙色兵法自选宝箱</v>
      </c>
      <c r="E284" s="15" t="str">
        <f>IF([2]道具信息!E284="","",[2]道具信息!E284)</f>
        <v/>
      </c>
      <c r="F284" s="15">
        <f>IF([2]道具信息!F284="","",[2]道具信息!F284)</f>
        <v>1</v>
      </c>
      <c r="G284" s="15">
        <f>IF([2]道具信息!G284="","",[2]道具信息!G284)</f>
        <v>1</v>
      </c>
      <c r="H284" s="15">
        <f>IF([2]道具信息!H284="","",[2]道具信息!H284)</f>
        <v>1</v>
      </c>
      <c r="I284" s="15" t="str">
        <f>IF([2]道具信息!I284="","",[2]道具信息!I284)</f>
        <v/>
      </c>
      <c r="J284" s="15" t="str">
        <f>IF([2]道具信息!J284="","",[2]道具信息!J284)</f>
        <v/>
      </c>
      <c r="K284" s="15" t="str">
        <f>IF([2]道具信息!K284="","",[2]道具信息!K284)</f>
        <v/>
      </c>
      <c r="L284" s="15" t="str">
        <f>IF([2]道具信息!L284="","",[2]道具信息!L284)</f>
        <v/>
      </c>
    </row>
    <row r="285" spans="3:12" x14ac:dyDescent="0.15">
      <c r="C285" s="15">
        <f>IF([2]道具信息!C285="","",[2]道具信息!C285)</f>
        <v>23364</v>
      </c>
      <c r="D285" s="15" t="str">
        <f>IF([2]道具信息!D285="","",[2]道具信息!D285)</f>
        <v>自选橙色兵法碎片</v>
      </c>
      <c r="E285" s="15" t="str">
        <f>IF([2]道具信息!E285="","",[2]道具信息!E285)</f>
        <v/>
      </c>
      <c r="F285" s="15">
        <f>IF([2]道具信息!F285="","",[2]道具信息!F285)</f>
        <v>1</v>
      </c>
      <c r="G285" s="15">
        <f>IF([2]道具信息!G285="","",[2]道具信息!G285)</f>
        <v>1</v>
      </c>
      <c r="H285" s="15">
        <f>IF([2]道具信息!H285="","",[2]道具信息!H285)</f>
        <v>1</v>
      </c>
      <c r="I285" s="15" t="str">
        <f>IF([2]道具信息!I285="","",[2]道具信息!I285)</f>
        <v/>
      </c>
      <c r="J285" s="15" t="str">
        <f>IF([2]道具信息!J285="","",[2]道具信息!J285)</f>
        <v/>
      </c>
      <c r="K285" s="15" t="str">
        <f>IF([2]道具信息!K285="","",[2]道具信息!K285)</f>
        <v/>
      </c>
      <c r="L285" s="15" t="str">
        <f>IF([2]道具信息!L285="","",[2]道具信息!L285)</f>
        <v/>
      </c>
    </row>
    <row r="286" spans="3:12" x14ac:dyDescent="0.15">
      <c r="C286" s="15">
        <f>IF([2]道具信息!C286="","",[2]道具信息!C286)</f>
        <v>23365</v>
      </c>
      <c r="D286" s="15" t="str">
        <f>IF([2]道具信息!D286="","",[2]道具信息!D286)</f>
        <v>自选紫色兵法碎片</v>
      </c>
      <c r="E286" s="15" t="str">
        <f>IF([2]道具信息!E286="","",[2]道具信息!E286)</f>
        <v/>
      </c>
      <c r="F286" s="15">
        <f>IF([2]道具信息!F286="","",[2]道具信息!F286)</f>
        <v>1</v>
      </c>
      <c r="G286" s="15">
        <f>IF([2]道具信息!G286="","",[2]道具信息!G286)</f>
        <v>1</v>
      </c>
      <c r="H286" s="15">
        <f>IF([2]道具信息!H286="","",[2]道具信息!H286)</f>
        <v>1</v>
      </c>
      <c r="I286" s="15" t="str">
        <f>IF([2]道具信息!I286="","",[2]道具信息!I286)</f>
        <v/>
      </c>
      <c r="J286" s="15" t="str">
        <f>IF([2]道具信息!J286="","",[2]道具信息!J286)</f>
        <v/>
      </c>
      <c r="K286" s="15" t="str">
        <f>IF([2]道具信息!K286="","",[2]道具信息!K286)</f>
        <v/>
      </c>
      <c r="L286" s="15" t="str">
        <f>IF([2]道具信息!L286="","",[2]道具信息!L286)</f>
        <v/>
      </c>
    </row>
    <row r="287" spans="3:12" x14ac:dyDescent="0.15">
      <c r="C287" s="15" t="str">
        <f>IF([2]道具信息!C287="","",[2]道具信息!C287)</f>
        <v/>
      </c>
      <c r="D287" s="15" t="str">
        <f>IF([2]道具信息!D287="","",[2]道具信息!D287)</f>
        <v/>
      </c>
      <c r="E287" s="15" t="str">
        <f>IF([2]道具信息!E287="","",[2]道具信息!E287)</f>
        <v/>
      </c>
      <c r="F287" s="15">
        <f>IF([2]道具信息!F287="","",[2]道具信息!F287)</f>
        <v>1</v>
      </c>
      <c r="G287" s="15">
        <f>IF([2]道具信息!G287="","",[2]道具信息!G287)</f>
        <v>1</v>
      </c>
      <c r="H287" s="15">
        <f>IF([2]道具信息!H287="","",[2]道具信息!H287)</f>
        <v>1</v>
      </c>
      <c r="I287" s="15" t="str">
        <f>IF([2]道具信息!I287="","",[2]道具信息!I287)</f>
        <v/>
      </c>
      <c r="J287" s="15" t="str">
        <f>IF([2]道具信息!J287="","",[2]道具信息!J287)</f>
        <v/>
      </c>
      <c r="K287" s="15" t="str">
        <f>IF([2]道具信息!K287="","",[2]道具信息!K287)</f>
        <v/>
      </c>
      <c r="L287" s="15" t="str">
        <f>IF([2]道具信息!L287="","",[2]道具信息!L287)</f>
        <v/>
      </c>
    </row>
    <row r="288" spans="3:12" x14ac:dyDescent="0.15">
      <c r="C288" s="15">
        <f>IF([2]道具信息!C288="","",[2]道具信息!C288)</f>
        <v>21075</v>
      </c>
      <c r="D288" s="15" t="str">
        <f>IF([2]道具信息!D288="","",[2]道具信息!D288)</f>
        <v>中级免战牌</v>
      </c>
      <c r="E288" s="15">
        <f>IF([2]道具信息!E288="","",[2]道具信息!E288)</f>
        <v>200</v>
      </c>
      <c r="F288" s="15">
        <f>IF([2]道具信息!F288="","",[2]道具信息!F288)</f>
        <v>1</v>
      </c>
      <c r="G288" s="15">
        <f>IF([2]道具信息!G288="","",[2]道具信息!G288)</f>
        <v>1</v>
      </c>
      <c r="H288" s="15">
        <f>IF([2]道具信息!H288="","",[2]道具信息!H288)</f>
        <v>1</v>
      </c>
      <c r="I288" s="15">
        <f>IF([2]道具信息!I288="","",[2]道具信息!I288)</f>
        <v>200</v>
      </c>
      <c r="J288" s="15">
        <f>IF([2]道具信息!J288="","",[2]道具信息!J288)</f>
        <v>200</v>
      </c>
      <c r="K288" s="15">
        <f>IF([2]道具信息!K288="","",[2]道具信息!K288)</f>
        <v>200</v>
      </c>
      <c r="L288" s="15" t="str">
        <f>IF([2]道具信息!L288="","",[2]道具信息!L288)</f>
        <v>使用后城池不会遭受来自其他玩家的攻击，主动进攻其他玩家后失效，持续12小时</v>
      </c>
    </row>
    <row r="289" spans="3:12" x14ac:dyDescent="0.15">
      <c r="C289" s="15">
        <f>IF([2]道具信息!C289="","",[2]道具信息!C289)</f>
        <v>21071</v>
      </c>
      <c r="D289" s="15" t="str">
        <f>IF([2]道具信息!D289="","",[2]道具信息!D289)</f>
        <v>高级免战牌</v>
      </c>
      <c r="E289" s="15">
        <f>IF([2]道具信息!E289="","",[2]道具信息!E289)</f>
        <v>500</v>
      </c>
      <c r="F289" s="15">
        <f>IF([2]道具信息!F289="","",[2]道具信息!F289)</f>
        <v>1</v>
      </c>
      <c r="G289" s="15">
        <f>IF([2]道具信息!G289="","",[2]道具信息!G289)</f>
        <v>1</v>
      </c>
      <c r="H289" s="15">
        <f>IF([2]道具信息!H289="","",[2]道具信息!H289)</f>
        <v>1</v>
      </c>
      <c r="I289" s="15">
        <f>IF([2]道具信息!I289="","",[2]道具信息!I289)</f>
        <v>500</v>
      </c>
      <c r="J289" s="15">
        <f>IF([2]道具信息!J289="","",[2]道具信息!J289)</f>
        <v>500</v>
      </c>
      <c r="K289" s="15">
        <f>IF([2]道具信息!K289="","",[2]道具信息!K289)</f>
        <v>500</v>
      </c>
      <c r="L289" s="15" t="str">
        <f>IF([2]道具信息!L289="","",[2]道具信息!L289)</f>
        <v>使用后城池不会遭受来自其他玩家的攻击，主动进攻其他玩家后失效，持续24小时</v>
      </c>
    </row>
    <row r="290" spans="3:12" x14ac:dyDescent="0.15">
      <c r="C290" s="15">
        <f>IF([2]道具信息!C290="","",[2]道具信息!C290)</f>
        <v>21072</v>
      </c>
      <c r="D290" s="15" t="str">
        <f>IF([2]道具信息!D290="","",[2]道具信息!D290)</f>
        <v>特级免战牌</v>
      </c>
      <c r="E290" s="15">
        <f>IF([2]道具信息!E290="","",[2]道具信息!E290)</f>
        <v>1800</v>
      </c>
      <c r="F290" s="15">
        <f>IF([2]道具信息!F290="","",[2]道具信息!F290)</f>
        <v>1</v>
      </c>
      <c r="G290" s="15">
        <f>IF([2]道具信息!G290="","",[2]道具信息!G290)</f>
        <v>1</v>
      </c>
      <c r="H290" s="15">
        <f>IF([2]道具信息!H290="","",[2]道具信息!H290)</f>
        <v>1</v>
      </c>
      <c r="I290" s="15">
        <f>IF([2]道具信息!I290="","",[2]道具信息!I290)</f>
        <v>1800</v>
      </c>
      <c r="J290" s="15">
        <f>IF([2]道具信息!J290="","",[2]道具信息!J290)</f>
        <v>1800</v>
      </c>
      <c r="K290" s="15">
        <f>IF([2]道具信息!K290="","",[2]道具信息!K290)</f>
        <v>1800</v>
      </c>
      <c r="L290" s="15" t="str">
        <f>IF([2]道具信息!L290="","",[2]道具信息!L290)</f>
        <v>使用后城池不会遭受来自其他玩家的攻击，主动进攻其他玩家后失效，持续72小时</v>
      </c>
    </row>
    <row r="291" spans="3:12" x14ac:dyDescent="0.15">
      <c r="C291" s="15" t="str">
        <f>IF([2]道具信息!C291="","",[2]道具信息!C291)</f>
        <v/>
      </c>
      <c r="D291" s="15" t="str">
        <f>IF([2]道具信息!D291="","",[2]道具信息!D291)</f>
        <v/>
      </c>
      <c r="E291" s="15" t="str">
        <f>IF([2]道具信息!E291="","",[2]道具信息!E291)</f>
        <v/>
      </c>
      <c r="F291" s="15">
        <f>IF([2]道具信息!F291="","",[2]道具信息!F291)</f>
        <v>1</v>
      </c>
      <c r="G291" s="15">
        <f>IF([2]道具信息!G291="","",[2]道具信息!G291)</f>
        <v>1</v>
      </c>
      <c r="H291" s="15">
        <f>IF([2]道具信息!H291="","",[2]道具信息!H291)</f>
        <v>1</v>
      </c>
      <c r="I291" s="15" t="str">
        <f>IF([2]道具信息!I291="","",[2]道具信息!I291)</f>
        <v/>
      </c>
      <c r="J291" s="15" t="str">
        <f>IF([2]道具信息!J291="","",[2]道具信息!J291)</f>
        <v/>
      </c>
      <c r="K291" s="15" t="str">
        <f>IF([2]道具信息!K291="","",[2]道具信息!K291)</f>
        <v/>
      </c>
      <c r="L291" s="15" t="str">
        <f>IF([2]道具信息!L291="","",[2]道具信息!L291)</f>
        <v>消灭野怪获得，用于宝物温养。</v>
      </c>
    </row>
    <row r="292" spans="3:12" x14ac:dyDescent="0.15">
      <c r="C292" s="15">
        <f>IF([2]道具信息!C292="","",[2]道具信息!C292)</f>
        <v>23359</v>
      </c>
      <c r="D292" s="15" t="str">
        <f>IF([2]道具信息!D292="","",[2]道具信息!D292)</f>
        <v>宝鉴</v>
      </c>
      <c r="E292" s="15" t="str">
        <f>IF([2]道具信息!E292="","",[2]道具信息!E292)</f>
        <v/>
      </c>
      <c r="F292" s="15">
        <f>IF([2]道具信息!F292="","",[2]道具信息!F292)</f>
        <v>1</v>
      </c>
      <c r="G292" s="15">
        <f>IF([2]道具信息!G292="","",[2]道具信息!G292)</f>
        <v>1</v>
      </c>
      <c r="H292" s="15">
        <f>IF([2]道具信息!H292="","",[2]道具信息!H292)</f>
        <v>1</v>
      </c>
      <c r="I292" s="15" t="str">
        <f>IF([2]道具信息!I292="","",[2]道具信息!I292)</f>
        <v/>
      </c>
      <c r="J292" s="15" t="str">
        <f>IF([2]道具信息!J292="","",[2]道具信息!J292)</f>
        <v/>
      </c>
      <c r="K292" s="15" t="str">
        <f>IF([2]道具信息!K292="","",[2]道具信息!K292)</f>
        <v/>
      </c>
      <c r="L292" s="15" t="str">
        <f>IF([2]道具信息!L292="","",[2]道具信息!L292)</f>
        <v>持有宝鉴名册，可鉴天下珍宝</v>
      </c>
    </row>
    <row r="293" spans="3:12" x14ac:dyDescent="0.15">
      <c r="C293" s="15">
        <f>IF([2]道具信息!C293="","",[2]道具信息!C293)</f>
        <v>23526</v>
      </c>
      <c r="D293" s="15" t="str">
        <f>IF([2]道具信息!D293="","",[2]道具信息!D293)</f>
        <v>极品装备宝箱碎片</v>
      </c>
      <c r="E293" s="15" t="str">
        <f>IF([2]道具信息!E293="","",[2]道具信息!E293)</f>
        <v/>
      </c>
      <c r="F293" s="15">
        <f>IF([2]道具信息!F293="","",[2]道具信息!F293)</f>
        <v>1</v>
      </c>
      <c r="G293" s="15">
        <f>IF([2]道具信息!G293="","",[2]道具信息!G293)</f>
        <v>1</v>
      </c>
      <c r="H293" s="15">
        <f>IF([2]道具信息!H293="","",[2]道具信息!H293)</f>
        <v>1</v>
      </c>
      <c r="I293" s="15" t="str">
        <f>IF([2]道具信息!I293="","",[2]道具信息!I293)</f>
        <v/>
      </c>
      <c r="J293" s="15" t="str">
        <f>IF([2]道具信息!J293="","",[2]道具信息!J293)</f>
        <v/>
      </c>
      <c r="K293" s="15" t="str">
        <f>IF([2]道具信息!K293="","",[2]道具信息!K293)</f>
        <v/>
      </c>
      <c r="L293" s="15" t="str">
        <f>IF([2]道具信息!L293="","",[2]道具信息!L293)</f>
        <v>使用后可以获得一个极品红色装备宝箱</v>
      </c>
    </row>
    <row r="294" spans="3:12" x14ac:dyDescent="0.15">
      <c r="C294" s="15">
        <f>IF([2]道具信息!C294="","",[2]道具信息!C294)</f>
        <v>23527</v>
      </c>
      <c r="D294" s="15" t="str">
        <f>IF([2]道具信息!D294="","",[2]道具信息!D294)</f>
        <v>极品装备宝箱</v>
      </c>
      <c r="E294" s="15" t="str">
        <f>IF([2]道具信息!E294="","",[2]道具信息!E294)</f>
        <v/>
      </c>
      <c r="F294" s="15">
        <f>IF([2]道具信息!F294="","",[2]道具信息!F294)</f>
        <v>1</v>
      </c>
      <c r="G294" s="15">
        <f>IF([2]道具信息!G294="","",[2]道具信息!G294)</f>
        <v>1</v>
      </c>
      <c r="H294" s="15">
        <f>IF([2]道具信息!H294="","",[2]道具信息!H294)</f>
        <v>1</v>
      </c>
      <c r="I294" s="15" t="str">
        <f>IF([2]道具信息!I294="","",[2]道具信息!I294)</f>
        <v/>
      </c>
      <c r="J294" s="15" t="str">
        <f>IF([2]道具信息!J294="","",[2]道具信息!J294)</f>
        <v/>
      </c>
      <c r="K294" s="15" t="str">
        <f>IF([2]道具信息!K294="","",[2]道具信息!K294)</f>
        <v/>
      </c>
      <c r="L294" s="15" t="str">
        <f>IF([2]道具信息!L294="","",[2]道具信息!L294)</f>
        <v>使用后可以选择获得一件极品红色装备</v>
      </c>
    </row>
    <row r="295" spans="3:12" x14ac:dyDescent="0.15">
      <c r="C295" s="15">
        <f>IF([2]道具信息!C295="","",[2]道具信息!C295)</f>
        <v>23528</v>
      </c>
      <c r="D295" s="15" t="str">
        <f>IF([2]道具信息!D295="","",[2]道具信息!D295)</f>
        <v>极品统武装备宝箱</v>
      </c>
      <c r="E295" s="15" t="str">
        <f>IF([2]道具信息!E295="","",[2]道具信息!E295)</f>
        <v/>
      </c>
      <c r="F295" s="15">
        <f>IF([2]道具信息!F295="","",[2]道具信息!F295)</f>
        <v>1</v>
      </c>
      <c r="G295" s="15">
        <f>IF([2]道具信息!G295="","",[2]道具信息!G295)</f>
        <v>1</v>
      </c>
      <c r="H295" s="15">
        <f>IF([2]道具信息!H295="","",[2]道具信息!H295)</f>
        <v>1</v>
      </c>
      <c r="I295" s="15" t="str">
        <f>IF([2]道具信息!I295="","",[2]道具信息!I295)</f>
        <v/>
      </c>
      <c r="J295" s="15" t="str">
        <f>IF([2]道具信息!J295="","",[2]道具信息!J295)</f>
        <v/>
      </c>
      <c r="K295" s="15" t="str">
        <f>IF([2]道具信息!K295="","",[2]道具信息!K295)</f>
        <v/>
      </c>
      <c r="L295" s="15" t="str">
        <f>IF([2]道具信息!L295="","",[2]道具信息!L295)</f>
        <v>使用后获得十方古璃套装3件套装备</v>
      </c>
    </row>
    <row r="296" spans="3:12" x14ac:dyDescent="0.15">
      <c r="C296" s="15">
        <f>IF([2]道具信息!C296="","",[2]道具信息!C296)</f>
        <v>23529</v>
      </c>
      <c r="D296" s="15" t="str">
        <f>IF([2]道具信息!D296="","",[2]道具信息!D296)</f>
        <v>极品统智装备宝箱</v>
      </c>
      <c r="E296" s="15" t="str">
        <f>IF([2]道具信息!E296="","",[2]道具信息!E296)</f>
        <v/>
      </c>
      <c r="F296" s="15">
        <f>IF([2]道具信息!F296="","",[2]道具信息!F296)</f>
        <v>1</v>
      </c>
      <c r="G296" s="15">
        <f>IF([2]道具信息!G296="","",[2]道具信息!G296)</f>
        <v>1</v>
      </c>
      <c r="H296" s="15">
        <f>IF([2]道具信息!H296="","",[2]道具信息!H296)</f>
        <v>1</v>
      </c>
      <c r="I296" s="15" t="str">
        <f>IF([2]道具信息!I296="","",[2]道具信息!I296)</f>
        <v/>
      </c>
      <c r="J296" s="15" t="str">
        <f>IF([2]道具信息!J296="","",[2]道具信息!J296)</f>
        <v/>
      </c>
      <c r="K296" s="15" t="str">
        <f>IF([2]道具信息!K296="","",[2]道具信息!K296)</f>
        <v/>
      </c>
      <c r="L296" s="15" t="str">
        <f>IF([2]道具信息!L296="","",[2]道具信息!L296)</f>
        <v>使用后获得墨霜广焱3件套装备</v>
      </c>
    </row>
    <row r="297" spans="3:12" x14ac:dyDescent="0.15">
      <c r="C297" s="15">
        <f>IF([2]道具信息!C297="","",[2]道具信息!C297)</f>
        <v>23530</v>
      </c>
      <c r="D297" s="15" t="str">
        <f>IF([2]道具信息!D297="","",[2]道具信息!D297)</f>
        <v>红色装备宝箱碎片</v>
      </c>
      <c r="E297" s="15" t="str">
        <f>IF([2]道具信息!E297="","",[2]道具信息!E297)</f>
        <v/>
      </c>
      <c r="F297" s="15">
        <f>IF([2]道具信息!F297="","",[2]道具信息!F297)</f>
        <v>1</v>
      </c>
      <c r="G297" s="15">
        <f>IF([2]道具信息!G297="","",[2]道具信息!G297)</f>
        <v>1</v>
      </c>
      <c r="H297" s="15">
        <f>IF([2]道具信息!H297="","",[2]道具信息!H297)</f>
        <v>1</v>
      </c>
      <c r="I297" s="15" t="str">
        <f>IF([2]道具信息!I297="","",[2]道具信息!I297)</f>
        <v/>
      </c>
      <c r="J297" s="15" t="str">
        <f>IF([2]道具信息!J297="","",[2]道具信息!J297)</f>
        <v/>
      </c>
      <c r="K297" s="15" t="str">
        <f>IF([2]道具信息!K297="","",[2]道具信息!K297)</f>
        <v/>
      </c>
      <c r="L297" s="15" t="str">
        <f>IF([2]道具信息!L297="","",[2]道具信息!L297)</f>
        <v>使用后可以获得一个红色装备宝箱</v>
      </c>
    </row>
    <row r="298" spans="3:12" x14ac:dyDescent="0.15">
      <c r="C298" s="15">
        <f>IF([2]道具信息!C298="","",[2]道具信息!C298)</f>
        <v>23531</v>
      </c>
      <c r="D298" s="15" t="str">
        <f>IF([2]道具信息!D298="","",[2]道具信息!D298)</f>
        <v>红色装备宝箱</v>
      </c>
      <c r="E298" s="15" t="str">
        <f>IF([2]道具信息!E298="","",[2]道具信息!E298)</f>
        <v/>
      </c>
      <c r="F298" s="15">
        <f>IF([2]道具信息!F298="","",[2]道具信息!F298)</f>
        <v>1</v>
      </c>
      <c r="G298" s="15">
        <f>IF([2]道具信息!G298="","",[2]道具信息!G298)</f>
        <v>1</v>
      </c>
      <c r="H298" s="15">
        <f>IF([2]道具信息!H298="","",[2]道具信息!H298)</f>
        <v>1</v>
      </c>
      <c r="I298" s="15" t="str">
        <f>IF([2]道具信息!I298="","",[2]道具信息!I298)</f>
        <v/>
      </c>
      <c r="J298" s="15" t="str">
        <f>IF([2]道具信息!J298="","",[2]道具信息!J298)</f>
        <v/>
      </c>
      <c r="K298" s="15" t="str">
        <f>IF([2]道具信息!K298="","",[2]道具信息!K298)</f>
        <v/>
      </c>
      <c r="L298" s="15" t="str">
        <f>IF([2]道具信息!L298="","",[2]道具信息!L298)</f>
        <v>使用后可以选择获得一件红色装备</v>
      </c>
    </row>
    <row r="299" spans="3:12" x14ac:dyDescent="0.15">
      <c r="C299" s="15">
        <f>IF([2]道具信息!C299="","",[2]道具信息!C299)</f>
        <v>23532</v>
      </c>
      <c r="D299" s="15" t="str">
        <f>IF([2]道具信息!D299="","",[2]道具信息!D299)</f>
        <v>抛砖引玉·极-残片</v>
      </c>
      <c r="E299" s="15" t="str">
        <f>IF([2]道具信息!E299="","",[2]道具信息!E299)</f>
        <v/>
      </c>
      <c r="F299" s="15">
        <f>IF([2]道具信息!F299="","",[2]道具信息!F299)</f>
        <v>1</v>
      </c>
      <c r="G299" s="15">
        <f>IF([2]道具信息!G299="","",[2]道具信息!G299)</f>
        <v>1</v>
      </c>
      <c r="H299" s="15">
        <f>IF([2]道具信息!H299="","",[2]道具信息!H299)</f>
        <v>1</v>
      </c>
      <c r="I299" s="15" t="str">
        <f>IF([2]道具信息!I299="","",[2]道具信息!I299)</f>
        <v/>
      </c>
      <c r="J299" s="15" t="str">
        <f>IF([2]道具信息!J299="","",[2]道具信息!J299)</f>
        <v/>
      </c>
      <c r="K299" s="15" t="str">
        <f>IF([2]道具信息!K299="","",[2]道具信息!K299)</f>
        <v/>
      </c>
      <c r="L299" s="15" t="str">
        <f>IF([2]道具信息!L299="","",[2]道具信息!L299)</f>
        <v/>
      </c>
    </row>
    <row r="300" spans="3:12" x14ac:dyDescent="0.15">
      <c r="C300" s="15">
        <f>IF([2]道具信息!C300="","",[2]道具信息!C300)</f>
        <v>23389</v>
      </c>
      <c r="D300" s="15" t="str">
        <f>IF([2]道具信息!D300="","",[2]道具信息!D300)</f>
        <v>秦阳陵虎符碎片</v>
      </c>
      <c r="E300" s="15" t="str">
        <f>IF([2]道具信息!E300="","",[2]道具信息!E300)</f>
        <v/>
      </c>
      <c r="F300" s="15">
        <f>IF([2]道具信息!F300="","",[2]道具信息!F300)</f>
        <v>1</v>
      </c>
      <c r="G300" s="15">
        <f>IF([2]道具信息!G300="","",[2]道具信息!G300)</f>
        <v>1</v>
      </c>
      <c r="H300" s="15">
        <f>IF([2]道具信息!H300="","",[2]道具信息!H300)</f>
        <v>1</v>
      </c>
      <c r="I300" s="15" t="str">
        <f>IF([2]道具信息!I300="","",[2]道具信息!I300)</f>
        <v/>
      </c>
      <c r="J300" s="15" t="str">
        <f>IF([2]道具信息!J300="","",[2]道具信息!J300)</f>
        <v/>
      </c>
      <c r="K300" s="15" t="str">
        <f>IF([2]道具信息!K300="","",[2]道具信息!K300)</f>
        <v/>
      </c>
      <c r="L300" s="15" t="str">
        <f>IF([2]道具信息!L300="","",[2]道具信息!L300)</f>
        <v/>
      </c>
    </row>
    <row r="301" spans="3:12" x14ac:dyDescent="0.15">
      <c r="C301" s="15">
        <f>IF([2]道具信息!C301="","",[2]道具信息!C301)</f>
        <v>180024</v>
      </c>
      <c r="D301" s="15" t="str">
        <f>IF([2]道具信息!D301="","",[2]道具信息!D301)</f>
        <v>高级盗贼</v>
      </c>
      <c r="E301" s="15" t="str">
        <f>IF([2]道具信息!E301="","",[2]道具信息!E301)</f>
        <v/>
      </c>
      <c r="F301" s="15">
        <f>IF([2]道具信息!F301="","",[2]道具信息!F301)</f>
        <v>1</v>
      </c>
      <c r="G301" s="15">
        <f>IF([2]道具信息!G301="","",[2]道具信息!G301)</f>
        <v>1</v>
      </c>
      <c r="H301" s="15">
        <f>IF([2]道具信息!H301="","",[2]道具信息!H301)</f>
        <v>1</v>
      </c>
      <c r="I301" s="15" t="str">
        <f>IF([2]道具信息!I301="","",[2]道具信息!I301)</f>
        <v/>
      </c>
      <c r="J301" s="15" t="str">
        <f>IF([2]道具信息!J301="","",[2]道具信息!J301)</f>
        <v/>
      </c>
      <c r="K301" s="15" t="str">
        <f>IF([2]道具信息!K301="","",[2]道具信息!K301)</f>
        <v/>
      </c>
      <c r="L301" s="15" t="str">
        <f>IF([2]道具信息!L301="","",[2]道具信息!L301)</f>
        <v/>
      </c>
    </row>
    <row r="302" spans="3:12" x14ac:dyDescent="0.15">
      <c r="C302" s="15">
        <f>IF([2]道具信息!C302="","",[2]道具信息!C302)</f>
        <v>180023</v>
      </c>
      <c r="D302" s="15" t="str">
        <f>IF([2]道具信息!D302="","",[2]道具信息!D302)</f>
        <v>高级间谍</v>
      </c>
      <c r="E302" s="15" t="str">
        <f>IF([2]道具信息!E302="","",[2]道具信息!E302)</f>
        <v/>
      </c>
      <c r="F302" s="15">
        <f>IF([2]道具信息!F302="","",[2]道具信息!F302)</f>
        <v>1</v>
      </c>
      <c r="G302" s="15">
        <f>IF([2]道具信息!G302="","",[2]道具信息!G302)</f>
        <v>1</v>
      </c>
      <c r="H302" s="15">
        <f>IF([2]道具信息!H302="","",[2]道具信息!H302)</f>
        <v>1</v>
      </c>
      <c r="I302" s="15" t="str">
        <f>IF([2]道具信息!I302="","",[2]道具信息!I302)</f>
        <v/>
      </c>
      <c r="J302" s="15" t="str">
        <f>IF([2]道具信息!J302="","",[2]道具信息!J302)</f>
        <v/>
      </c>
      <c r="K302" s="15" t="str">
        <f>IF([2]道具信息!K302="","",[2]道具信息!K302)</f>
        <v/>
      </c>
      <c r="L302" s="15" t="str">
        <f>IF([2]道具信息!L302="","",[2]道具信息!L302)</f>
        <v/>
      </c>
    </row>
    <row r="303" spans="3:12" x14ac:dyDescent="0.15">
      <c r="C303" s="15">
        <f>IF([2]道具信息!C303="","",[2]道具信息!C303)</f>
        <v>180022</v>
      </c>
      <c r="D303" s="15" t="str">
        <f>IF([2]道具信息!D303="","",[2]道具信息!D303)</f>
        <v>高级刺客</v>
      </c>
      <c r="E303" s="15" t="str">
        <f>IF([2]道具信息!E303="","",[2]道具信息!E303)</f>
        <v/>
      </c>
      <c r="F303" s="15">
        <f>IF([2]道具信息!F303="","",[2]道具信息!F303)</f>
        <v>1</v>
      </c>
      <c r="G303" s="15">
        <f>IF([2]道具信息!G303="","",[2]道具信息!G303)</f>
        <v>1</v>
      </c>
      <c r="H303" s="15">
        <f>IF([2]道具信息!H303="","",[2]道具信息!H303)</f>
        <v>1</v>
      </c>
      <c r="I303" s="15" t="str">
        <f>IF([2]道具信息!I303="","",[2]道具信息!I303)</f>
        <v/>
      </c>
      <c r="J303" s="15" t="str">
        <f>IF([2]道具信息!J303="","",[2]道具信息!J303)</f>
        <v/>
      </c>
      <c r="K303" s="15" t="str">
        <f>IF([2]道具信息!K303="","",[2]道具信息!K303)</f>
        <v/>
      </c>
      <c r="L303" s="15" t="str">
        <f>IF([2]道具信息!L303="","",[2]道具信息!L303)</f>
        <v/>
      </c>
    </row>
    <row r="304" spans="3:12" x14ac:dyDescent="0.15">
      <c r="C304" s="15">
        <f>IF([2]道具信息!C304="","",[2]道具信息!C304)</f>
        <v>23521</v>
      </c>
      <c r="D304" s="15" t="str">
        <f>IF([2]道具信息!D304="","",[2]道具信息!D304)</f>
        <v>将军印碎片</v>
      </c>
      <c r="E304" s="15" t="str">
        <f>IF([2]道具信息!E304="","",[2]道具信息!E304)</f>
        <v/>
      </c>
      <c r="F304" s="15">
        <f>IF([2]道具信息!F304="","",[2]道具信息!F304)</f>
        <v>1</v>
      </c>
      <c r="G304" s="15">
        <f>IF([2]道具信息!G304="","",[2]道具信息!G304)</f>
        <v>1</v>
      </c>
      <c r="H304" s="15">
        <f>IF([2]道具信息!H304="","",[2]道具信息!H304)</f>
        <v>1</v>
      </c>
      <c r="I304" s="15" t="str">
        <f>IF([2]道具信息!I304="","",[2]道具信息!I304)</f>
        <v/>
      </c>
      <c r="J304" s="15" t="str">
        <f>IF([2]道具信息!J304="","",[2]道具信息!J304)</f>
        <v/>
      </c>
      <c r="K304" s="15" t="str">
        <f>IF([2]道具信息!K304="","",[2]道具信息!K304)</f>
        <v/>
      </c>
      <c r="L304" s="15" t="str">
        <f>IF([2]道具信息!L304="","",[2]道具信息!L304)</f>
        <v/>
      </c>
    </row>
    <row r="305" spans="3:12" x14ac:dyDescent="0.15">
      <c r="C305" s="15">
        <f>IF([2]道具信息!C305="","",[2]道具信息!C305)</f>
        <v>23542</v>
      </c>
      <c r="D305" s="15" t="str">
        <f>IF([2]道具信息!D305="","",[2]道具信息!D305)</f>
        <v>十方装备宝箱碎片</v>
      </c>
      <c r="E305" s="15" t="str">
        <f>IF([2]道具信息!E305="","",[2]道具信息!E305)</f>
        <v/>
      </c>
      <c r="F305" s="15">
        <f>IF([2]道具信息!F305="","",[2]道具信息!F305)</f>
        <v>1</v>
      </c>
      <c r="G305" s="15">
        <f>IF([2]道具信息!G305="","",[2]道具信息!G305)</f>
        <v>1</v>
      </c>
      <c r="H305" s="15">
        <f>IF([2]道具信息!H305="","",[2]道具信息!H305)</f>
        <v>1</v>
      </c>
      <c r="I305" s="15" t="str">
        <f>IF([2]道具信息!I305="","",[2]道具信息!I305)</f>
        <v/>
      </c>
      <c r="J305" s="15" t="str">
        <f>IF([2]道具信息!J305="","",[2]道具信息!J305)</f>
        <v/>
      </c>
      <c r="K305" s="15" t="str">
        <f>IF([2]道具信息!K305="","",[2]道具信息!K305)</f>
        <v/>
      </c>
      <c r="L305" s="15" t="str">
        <f>IF([2]道具信息!L305="","",[2]道具信息!L305)</f>
        <v/>
      </c>
    </row>
    <row r="306" spans="3:12" x14ac:dyDescent="0.15">
      <c r="C306" s="15">
        <f>IF([2]道具信息!C306="","",[2]道具信息!C306)</f>
        <v>23543</v>
      </c>
      <c r="D306" s="15" t="str">
        <f>IF([2]道具信息!D306="","",[2]道具信息!D306)</f>
        <v>墨霜装备宝箱碎片</v>
      </c>
      <c r="E306" s="15" t="str">
        <f>IF([2]道具信息!E306="","",[2]道具信息!E306)</f>
        <v/>
      </c>
      <c r="F306" s="15">
        <f>IF([2]道具信息!F306="","",[2]道具信息!F306)</f>
        <v>1</v>
      </c>
      <c r="G306" s="15">
        <f>IF([2]道具信息!G306="","",[2]道具信息!G306)</f>
        <v>1</v>
      </c>
      <c r="H306" s="15">
        <f>IF([2]道具信息!H306="","",[2]道具信息!H306)</f>
        <v>1</v>
      </c>
      <c r="I306" s="15" t="str">
        <f>IF([2]道具信息!I306="","",[2]道具信息!I306)</f>
        <v/>
      </c>
      <c r="J306" s="15" t="str">
        <f>IF([2]道具信息!J306="","",[2]道具信息!J306)</f>
        <v/>
      </c>
      <c r="K306" s="15" t="str">
        <f>IF([2]道具信息!K306="","",[2]道具信息!K306)</f>
        <v/>
      </c>
      <c r="L306" s="15" t="str">
        <f>IF([2]道具信息!L306="","",[2]道具信息!L306)</f>
        <v/>
      </c>
    </row>
    <row r="307" spans="3:12" x14ac:dyDescent="0.15">
      <c r="C307" s="15" t="str">
        <f>IF([2]道具信息!C307="","",[2]道具信息!C307)</f>
        <v/>
      </c>
      <c r="D307" s="15" t="str">
        <f>IF([2]道具信息!D307="","",[2]道具信息!D307)</f>
        <v/>
      </c>
      <c r="E307" s="15" t="str">
        <f>IF([2]道具信息!E307="","",[2]道具信息!E307)</f>
        <v/>
      </c>
      <c r="F307" s="15">
        <f>IF([2]道具信息!F307="","",[2]道具信息!F307)</f>
        <v>1</v>
      </c>
      <c r="G307" s="15">
        <f>IF([2]道具信息!G307="","",[2]道具信息!G307)</f>
        <v>1</v>
      </c>
      <c r="H307" s="15">
        <f>IF([2]道具信息!H307="","",[2]道具信息!H307)</f>
        <v>1</v>
      </c>
      <c r="I307" s="15" t="str">
        <f>IF([2]道具信息!I307="","",[2]道具信息!I307)</f>
        <v/>
      </c>
      <c r="J307" s="15" t="str">
        <f>IF([2]道具信息!J307="","",[2]道具信息!J307)</f>
        <v/>
      </c>
      <c r="K307" s="15" t="str">
        <f>IF([2]道具信息!K307="","",[2]道具信息!K307)</f>
        <v/>
      </c>
      <c r="L307" s="15" t="str">
        <f>IF([2]道具信息!L307="","",[2]道具信息!L307)</f>
        <v/>
      </c>
    </row>
    <row r="308" spans="3:12" x14ac:dyDescent="0.15">
      <c r="C308" s="15">
        <f>IF([2]道具信息!C308="","",[2]道具信息!C308)</f>
        <v>23356</v>
      </c>
      <c r="D308" s="15" t="str">
        <f>IF([2]道具信息!D308="","",[2]道具信息!D308)</f>
        <v>紫色藏宝图</v>
      </c>
      <c r="E308" s="15">
        <f>IF([2]道具信息!E308="","",[2]道具信息!E308)</f>
        <v>300</v>
      </c>
      <c r="F308" s="15">
        <f>IF([2]道具信息!F308="","",[2]道具信息!F308)</f>
        <v>1</v>
      </c>
      <c r="G308" s="15">
        <f>IF([2]道具信息!G308="","",[2]道具信息!G308)</f>
        <v>1</v>
      </c>
      <c r="H308" s="15">
        <f>IF([2]道具信息!H308="","",[2]道具信息!H308)</f>
        <v>1</v>
      </c>
      <c r="I308" s="15">
        <f>IF([2]道具信息!I308="","",[2]道具信息!I308)</f>
        <v>300</v>
      </c>
      <c r="J308" s="15">
        <f>IF([2]道具信息!J308="","",[2]道具信息!J308)</f>
        <v>300</v>
      </c>
      <c r="K308" s="15">
        <f>IF([2]道具信息!K308="","",[2]道具信息!K308)</f>
        <v>300</v>
      </c>
      <c r="L308" s="15" t="str">
        <f>IF([2]道具信息!L308="","",[2]道具信息!L308)</f>
        <v/>
      </c>
    </row>
    <row r="309" spans="3:12" x14ac:dyDescent="0.15">
      <c r="C309" s="15">
        <f>IF([2]道具信息!C309="","",[2]道具信息!C309)</f>
        <v>23541</v>
      </c>
      <c r="D309" s="15" t="str">
        <f>IF([2]道具信息!D309="","",[2]道具信息!D309)</f>
        <v>宝物精华小宝箱</v>
      </c>
      <c r="E309" s="15">
        <f>IF([2]道具信息!E309="","",[2]道具信息!E309)</f>
        <v>100</v>
      </c>
      <c r="F309" s="15">
        <f>IF([2]道具信息!F309="","",[2]道具信息!F309)</f>
        <v>1</v>
      </c>
      <c r="G309" s="15">
        <f>IF([2]道具信息!G309="","",[2]道具信息!G309)</f>
        <v>1</v>
      </c>
      <c r="H309" s="15">
        <f>IF([2]道具信息!H309="","",[2]道具信息!H309)</f>
        <v>1</v>
      </c>
      <c r="I309" s="15">
        <f>IF([2]道具信息!I309="","",[2]道具信息!I309)</f>
        <v>100</v>
      </c>
      <c r="J309" s="15">
        <f>IF([2]道具信息!J309="","",[2]道具信息!J309)</f>
        <v>100</v>
      </c>
      <c r="K309" s="15">
        <f>IF([2]道具信息!K309="","",[2]道具信息!K309)</f>
        <v>100</v>
      </c>
      <c r="L309" s="15" t="str">
        <f>IF([2]道具信息!L309="","",[2]道具信息!L309)</f>
        <v/>
      </c>
    </row>
    <row r="310" spans="3:12" x14ac:dyDescent="0.15">
      <c r="C310" s="15">
        <f>IF([2]道具信息!C310="","",[2]道具信息!C310)</f>
        <v>23537</v>
      </c>
      <c r="D310" s="15" t="str">
        <f>IF([2]道具信息!D310="","",[2]道具信息!D310)</f>
        <v>文心宝箱</v>
      </c>
      <c r="E310" s="15">
        <f>IF([2]道具信息!E310="","",[2]道具信息!E310)</f>
        <v>200</v>
      </c>
      <c r="F310" s="15">
        <f>IF([2]道具信息!F310="","",[2]道具信息!F310)</f>
        <v>1</v>
      </c>
      <c r="G310" s="15">
        <f>IF([2]道具信息!G310="","",[2]道具信息!G310)</f>
        <v>1</v>
      </c>
      <c r="H310" s="15">
        <f>IF([2]道具信息!H310="","",[2]道具信息!H310)</f>
        <v>1</v>
      </c>
      <c r="I310" s="15">
        <f>IF([2]道具信息!I310="","",[2]道具信息!I310)</f>
        <v>200</v>
      </c>
      <c r="J310" s="15">
        <f>IF([2]道具信息!J310="","",[2]道具信息!J310)</f>
        <v>200</v>
      </c>
      <c r="K310" s="15">
        <f>IF([2]道具信息!K310="","",[2]道具信息!K310)</f>
        <v>200</v>
      </c>
      <c r="L310" s="15" t="str">
        <f>IF([2]道具信息!L310="","",[2]道具信息!L310)</f>
        <v/>
      </c>
    </row>
    <row r="311" spans="3:12" x14ac:dyDescent="0.15">
      <c r="C311" s="15">
        <f>IF([2]道具信息!C311="","",[2]道具信息!C311)</f>
        <v>23540</v>
      </c>
      <c r="D311" s="15" t="str">
        <f>IF([2]道具信息!D311="","",[2]道具信息!D311)</f>
        <v>500偕作玉宝箱</v>
      </c>
      <c r="E311" s="15">
        <f>IF([2]道具信息!E311="","",[2]道具信息!E311)</f>
        <v>500</v>
      </c>
      <c r="F311" s="15">
        <f>IF([2]道具信息!F311="","",[2]道具信息!F311)</f>
        <v>1</v>
      </c>
      <c r="G311" s="15">
        <f>IF([2]道具信息!G311="","",[2]道具信息!G311)</f>
        <v>1</v>
      </c>
      <c r="H311" s="15">
        <f>IF([2]道具信息!H311="","",[2]道具信息!H311)</f>
        <v>1</v>
      </c>
      <c r="I311" s="15">
        <f>IF([2]道具信息!I311="","",[2]道具信息!I311)</f>
        <v>500</v>
      </c>
      <c r="J311" s="15">
        <f>IF([2]道具信息!J311="","",[2]道具信息!J311)</f>
        <v>500</v>
      </c>
      <c r="K311" s="15">
        <f>IF([2]道具信息!K311="","",[2]道具信息!K311)</f>
        <v>500</v>
      </c>
      <c r="L311" s="15" t="str">
        <f>IF([2]道具信息!L311="","",[2]道具信息!L311)</f>
        <v/>
      </c>
    </row>
    <row r="312" spans="3:12" x14ac:dyDescent="0.15">
      <c r="C312" s="15">
        <f>IF([2]道具信息!C312="","",[2]道具信息!C312)</f>
        <v>90510</v>
      </c>
      <c r="D312" s="15" t="str">
        <f>IF([2]道具信息!D312="","",[2]道具信息!D312)</f>
        <v>偕作玉</v>
      </c>
      <c r="E312" s="15">
        <f>IF([2]道具信息!E312="","",[2]道具信息!E312)</f>
        <v>0.5</v>
      </c>
      <c r="F312" s="15">
        <f>IF([2]道具信息!F312="","",[2]道具信息!F312)</f>
        <v>1</v>
      </c>
      <c r="G312" s="15">
        <f>IF([2]道具信息!G312="","",[2]道具信息!G312)</f>
        <v>1</v>
      </c>
      <c r="H312" s="15">
        <f>IF([2]道具信息!H312="","",[2]道具信息!H312)</f>
        <v>1</v>
      </c>
      <c r="I312" s="15">
        <f>IF([2]道具信息!I312="","",[2]道具信息!I312)</f>
        <v>0.5</v>
      </c>
      <c r="J312" s="15">
        <f>IF([2]道具信息!J312="","",[2]道具信息!J312)</f>
        <v>0.5</v>
      </c>
      <c r="K312" s="15">
        <f>IF([2]道具信息!K312="","",[2]道具信息!K312)</f>
        <v>0.5</v>
      </c>
      <c r="L312" s="15" t="str">
        <f>IF([2]道具信息!L312="","",[2]道具信息!L312)</f>
        <v/>
      </c>
    </row>
    <row r="313" spans="3:12" x14ac:dyDescent="0.15">
      <c r="C313" s="15">
        <f>IF([2]道具信息!C313="","",[2]道具信息!C313)</f>
        <v>90512</v>
      </c>
      <c r="D313" s="15" t="str">
        <f>IF([2]道具信息!D313="","",[2]道具信息!D313)</f>
        <v>文心</v>
      </c>
      <c r="E313" s="15">
        <f>IF([2]道具信息!E313="","",[2]道具信息!E313)</f>
        <v>0.33333333333333331</v>
      </c>
      <c r="F313" s="15">
        <f>IF([2]道具信息!F313="","",[2]道具信息!F313)</f>
        <v>1</v>
      </c>
      <c r="G313" s="15">
        <f>IF([2]道具信息!G313="","",[2]道具信息!G313)</f>
        <v>1</v>
      </c>
      <c r="H313" s="15">
        <f>IF([2]道具信息!H313="","",[2]道具信息!H313)</f>
        <v>1</v>
      </c>
      <c r="I313" s="15">
        <f>IF([2]道具信息!I313="","",[2]道具信息!I313)</f>
        <v>0.33333333333333331</v>
      </c>
      <c r="J313" s="15">
        <f>IF([2]道具信息!J313="","",[2]道具信息!J313)</f>
        <v>0.33333333333333331</v>
      </c>
      <c r="K313" s="15">
        <f>IF([2]道具信息!K313="","",[2]道具信息!K313)</f>
        <v>0.33333333333333331</v>
      </c>
      <c r="L313" s="15" t="str">
        <f>IF([2]道具信息!L313="","",[2]道具信息!L313)</f>
        <v/>
      </c>
    </row>
    <row r="314" spans="3:12" x14ac:dyDescent="0.15">
      <c r="C314" s="15">
        <f>IF([2]道具信息!C314="","",[2]道具信息!C314)</f>
        <v>90513</v>
      </c>
      <c r="D314" s="15" t="str">
        <f>IF([2]道具信息!D314="","",[2]道具信息!D314)</f>
        <v>宝物精华</v>
      </c>
      <c r="E314" s="15">
        <f>IF([2]道具信息!E314="","",[2]道具信息!E314)</f>
        <v>100</v>
      </c>
      <c r="F314" s="15">
        <f>IF([2]道具信息!F314="","",[2]道具信息!F314)</f>
        <v>1</v>
      </c>
      <c r="G314" s="15">
        <f>IF([2]道具信息!G314="","",[2]道具信息!G314)</f>
        <v>1</v>
      </c>
      <c r="H314" s="15">
        <f>IF([2]道具信息!H314="","",[2]道具信息!H314)</f>
        <v>1</v>
      </c>
      <c r="I314" s="15">
        <f>IF([2]道具信息!I314="","",[2]道具信息!I314)</f>
        <v>100</v>
      </c>
      <c r="J314" s="15">
        <f>IF([2]道具信息!J314="","",[2]道具信息!J314)</f>
        <v>100</v>
      </c>
      <c r="K314" s="15">
        <f>IF([2]道具信息!K314="","",[2]道具信息!K314)</f>
        <v>100</v>
      </c>
      <c r="L314" s="15" t="str">
        <f>IF([2]道具信息!L314="","",[2]道具信息!L314)</f>
        <v/>
      </c>
    </row>
    <row r="315" spans="3:12" x14ac:dyDescent="0.15">
      <c r="C315" s="15" t="str">
        <f>IF([2]道具信息!C315="","",[2]道具信息!C315)</f>
        <v/>
      </c>
      <c r="D315" s="15" t="str">
        <f>IF([2]道具信息!D315="","",[2]道具信息!D315)</f>
        <v/>
      </c>
      <c r="E315" s="15" t="str">
        <f>IF([2]道具信息!E315="","",[2]道具信息!E315)</f>
        <v/>
      </c>
      <c r="F315" s="15">
        <f>IF([2]道具信息!F315="","",[2]道具信息!F315)</f>
        <v>1</v>
      </c>
      <c r="G315" s="15">
        <f>IF([2]道具信息!G315="","",[2]道具信息!G315)</f>
        <v>1</v>
      </c>
      <c r="H315" s="15">
        <f>IF([2]道具信息!H315="","",[2]道具信息!H315)</f>
        <v>1</v>
      </c>
      <c r="I315" s="15" t="str">
        <f>IF([2]道具信息!I315="","",[2]道具信息!I315)</f>
        <v/>
      </c>
      <c r="J315" s="15" t="str">
        <f>IF([2]道具信息!J315="","",[2]道具信息!J315)</f>
        <v/>
      </c>
      <c r="K315" s="15" t="str">
        <f>IF([2]道具信息!K315="","",[2]道具信息!K315)</f>
        <v/>
      </c>
      <c r="L315" s="15" t="str">
        <f>IF([2]道具信息!L315="","",[2]道具信息!L315)</f>
        <v/>
      </c>
    </row>
    <row r="316" spans="3:12" x14ac:dyDescent="0.15">
      <c r="C316" s="15" t="str">
        <f>IF([2]道具信息!C316="","",[2]道具信息!C316)</f>
        <v/>
      </c>
      <c r="D316" s="15" t="str">
        <f>IF([2]道具信息!D316="","",[2]道具信息!D316)</f>
        <v/>
      </c>
      <c r="E316" s="15" t="str">
        <f>IF([2]道具信息!E316="","",[2]道具信息!E316)</f>
        <v/>
      </c>
      <c r="F316" s="15">
        <f>IF([2]道具信息!F316="","",[2]道具信息!F316)</f>
        <v>1</v>
      </c>
      <c r="G316" s="15">
        <f>IF([2]道具信息!G316="","",[2]道具信息!G316)</f>
        <v>1</v>
      </c>
      <c r="H316" s="15">
        <f>IF([2]道具信息!H316="","",[2]道具信息!H316)</f>
        <v>1</v>
      </c>
      <c r="I316" s="15" t="str">
        <f>IF([2]道具信息!I316="","",[2]道具信息!I316)</f>
        <v/>
      </c>
      <c r="J316" s="15" t="str">
        <f>IF([2]道具信息!J316="","",[2]道具信息!J316)</f>
        <v/>
      </c>
      <c r="K316" s="15" t="str">
        <f>IF([2]道具信息!K316="","",[2]道具信息!K316)</f>
        <v/>
      </c>
      <c r="L316" s="15" t="str">
        <f>IF([2]道具信息!L316="","",[2]道具信息!L316)</f>
        <v/>
      </c>
    </row>
    <row r="317" spans="3:12" x14ac:dyDescent="0.15">
      <c r="C317" s="15" t="str">
        <f>IF([2]道具信息!C317="","",[2]道具信息!C317)</f>
        <v/>
      </c>
      <c r="D317" s="15" t="str">
        <f>IF([2]道具信息!D317="","",[2]道具信息!D317)</f>
        <v/>
      </c>
      <c r="E317" s="15" t="str">
        <f>IF([2]道具信息!E317="","",[2]道具信息!E317)</f>
        <v/>
      </c>
      <c r="F317" s="15">
        <f>IF([2]道具信息!F317="","",[2]道具信息!F317)</f>
        <v>1</v>
      </c>
      <c r="G317" s="15">
        <f>IF([2]道具信息!G317="","",[2]道具信息!G317)</f>
        <v>1</v>
      </c>
      <c r="H317" s="15">
        <f>IF([2]道具信息!H317="","",[2]道具信息!H317)</f>
        <v>1</v>
      </c>
      <c r="I317" s="15" t="str">
        <f>IF([2]道具信息!I317="","",[2]道具信息!I317)</f>
        <v/>
      </c>
      <c r="J317" s="15" t="str">
        <f>IF([2]道具信息!J317="","",[2]道具信息!J317)</f>
        <v/>
      </c>
      <c r="K317" s="15" t="str">
        <f>IF([2]道具信息!K317="","",[2]道具信息!K317)</f>
        <v/>
      </c>
      <c r="L317" s="15" t="str">
        <f>IF([2]道具信息!L317="","",[2]道具信息!L317)</f>
        <v/>
      </c>
    </row>
    <row r="318" spans="3:12" x14ac:dyDescent="0.15">
      <c r="C318" s="15" t="str">
        <f>IF([2]道具信息!C318="","",[2]道具信息!C318)</f>
        <v/>
      </c>
      <c r="D318" s="15" t="str">
        <f>IF([2]道具信息!D318="","",[2]道具信息!D318)</f>
        <v/>
      </c>
      <c r="E318" s="15" t="str">
        <f>IF([2]道具信息!E318="","",[2]道具信息!E318)</f>
        <v/>
      </c>
      <c r="F318" s="15">
        <f>IF([2]道具信息!F318="","",[2]道具信息!F318)</f>
        <v>1</v>
      </c>
      <c r="G318" s="15">
        <f>IF([2]道具信息!G318="","",[2]道具信息!G318)</f>
        <v>1</v>
      </c>
      <c r="H318" s="15">
        <f>IF([2]道具信息!H318="","",[2]道具信息!H318)</f>
        <v>1</v>
      </c>
      <c r="I318" s="15" t="str">
        <f>IF([2]道具信息!I318="","",[2]道具信息!I318)</f>
        <v/>
      </c>
      <c r="J318" s="15" t="str">
        <f>IF([2]道具信息!J318="","",[2]道具信息!J318)</f>
        <v/>
      </c>
      <c r="K318" s="15" t="str">
        <f>IF([2]道具信息!K318="","",[2]道具信息!K318)</f>
        <v/>
      </c>
      <c r="L318" s="15" t="str">
        <f>IF([2]道具信息!L318="","",[2]道具信息!L318)</f>
        <v/>
      </c>
    </row>
    <row r="319" spans="3:12" x14ac:dyDescent="0.15">
      <c r="C319" s="15" t="str">
        <f>IF([2]道具信息!C319="","",[2]道具信息!C319)</f>
        <v/>
      </c>
      <c r="D319" s="15" t="str">
        <f>IF([2]道具信息!D319="","",[2]道具信息!D319)</f>
        <v/>
      </c>
      <c r="E319" s="15" t="str">
        <f>IF([2]道具信息!E319="","",[2]道具信息!E319)</f>
        <v/>
      </c>
      <c r="F319" s="15">
        <f>IF([2]道具信息!F319="","",[2]道具信息!F319)</f>
        <v>1</v>
      </c>
      <c r="G319" s="15">
        <f>IF([2]道具信息!G319="","",[2]道具信息!G319)</f>
        <v>1</v>
      </c>
      <c r="H319" s="15">
        <f>IF([2]道具信息!H319="","",[2]道具信息!H319)</f>
        <v>1</v>
      </c>
      <c r="I319" s="15" t="str">
        <f>IF([2]道具信息!I319="","",[2]道具信息!I319)</f>
        <v/>
      </c>
      <c r="J319" s="15" t="str">
        <f>IF([2]道具信息!J319="","",[2]道具信息!J319)</f>
        <v/>
      </c>
      <c r="K319" s="15" t="str">
        <f>IF([2]道具信息!K319="","",[2]道具信息!K319)</f>
        <v/>
      </c>
      <c r="L319" s="15" t="str">
        <f>IF([2]道具信息!L319="","",[2]道具信息!L319)</f>
        <v/>
      </c>
    </row>
    <row r="320" spans="3:12" x14ac:dyDescent="0.15">
      <c r="C320" s="15" t="str">
        <f>IF([2]道具信息!C320="","",[2]道具信息!C320)</f>
        <v/>
      </c>
      <c r="D320" s="15" t="str">
        <f>IF([2]道具信息!D320="","",[2]道具信息!D320)</f>
        <v/>
      </c>
      <c r="E320" s="15" t="str">
        <f>IF([2]道具信息!E320="","",[2]道具信息!E320)</f>
        <v/>
      </c>
      <c r="F320" s="15">
        <f>IF([2]道具信息!F320="","",[2]道具信息!F320)</f>
        <v>1</v>
      </c>
      <c r="G320" s="15">
        <f>IF([2]道具信息!G320="","",[2]道具信息!G320)</f>
        <v>1</v>
      </c>
      <c r="H320" s="15">
        <f>IF([2]道具信息!H320="","",[2]道具信息!H320)</f>
        <v>1</v>
      </c>
      <c r="I320" s="15" t="str">
        <f>IF([2]道具信息!I320="","",[2]道具信息!I320)</f>
        <v/>
      </c>
      <c r="J320" s="15" t="str">
        <f>IF([2]道具信息!J320="","",[2]道具信息!J320)</f>
        <v/>
      </c>
      <c r="K320" s="15" t="str">
        <f>IF([2]道具信息!K320="","",[2]道具信息!K320)</f>
        <v/>
      </c>
      <c r="L320" s="15" t="str">
        <f>IF([2]道具信息!L320="","",[2]道具信息!L320)</f>
        <v/>
      </c>
    </row>
    <row r="321" spans="3:12" x14ac:dyDescent="0.15">
      <c r="C321" s="15" t="str">
        <f>IF([2]道具信息!C321="","",[2]道具信息!C321)</f>
        <v/>
      </c>
      <c r="D321" s="15" t="str">
        <f>IF([2]道具信息!D321="","",[2]道具信息!D321)</f>
        <v/>
      </c>
      <c r="E321" s="15" t="str">
        <f>IF([2]道具信息!E321="","",[2]道具信息!E321)</f>
        <v/>
      </c>
      <c r="F321" s="15">
        <f>IF([2]道具信息!F321="","",[2]道具信息!F321)</f>
        <v>1</v>
      </c>
      <c r="G321" s="15">
        <f>IF([2]道具信息!G321="","",[2]道具信息!G321)</f>
        <v>1</v>
      </c>
      <c r="H321" s="15">
        <f>IF([2]道具信息!H321="","",[2]道具信息!H321)</f>
        <v>1</v>
      </c>
      <c r="I321" s="15" t="str">
        <f>IF([2]道具信息!I321="","",[2]道具信息!I321)</f>
        <v/>
      </c>
      <c r="J321" s="15" t="str">
        <f>IF([2]道具信息!J321="","",[2]道具信息!J321)</f>
        <v/>
      </c>
      <c r="K321" s="15" t="str">
        <f>IF([2]道具信息!K321="","",[2]道具信息!K321)</f>
        <v/>
      </c>
      <c r="L321" s="15" t="str">
        <f>IF([2]道具信息!L321="","",[2]道具信息!L321)</f>
        <v/>
      </c>
    </row>
    <row r="322" spans="3:12" x14ac:dyDescent="0.15">
      <c r="C322" s="15" t="str">
        <f>IF([2]道具信息!C322="","",[2]道具信息!C322)</f>
        <v/>
      </c>
      <c r="D322" s="15" t="str">
        <f>IF([2]道具信息!D322="","",[2]道具信息!D322)</f>
        <v/>
      </c>
      <c r="E322" s="15" t="str">
        <f>IF([2]道具信息!E322="","",[2]道具信息!E322)</f>
        <v/>
      </c>
      <c r="F322" s="15">
        <f>IF([2]道具信息!F322="","",[2]道具信息!F322)</f>
        <v>1</v>
      </c>
      <c r="G322" s="15">
        <f>IF([2]道具信息!G322="","",[2]道具信息!G322)</f>
        <v>1</v>
      </c>
      <c r="H322" s="15">
        <f>IF([2]道具信息!H322="","",[2]道具信息!H322)</f>
        <v>1</v>
      </c>
      <c r="I322" s="15" t="str">
        <f>IF([2]道具信息!I322="","",[2]道具信息!I322)</f>
        <v/>
      </c>
      <c r="J322" s="15" t="str">
        <f>IF([2]道具信息!J322="","",[2]道具信息!J322)</f>
        <v/>
      </c>
      <c r="K322" s="15" t="str">
        <f>IF([2]道具信息!K322="","",[2]道具信息!K322)</f>
        <v/>
      </c>
      <c r="L322" s="15" t="str">
        <f>IF([2]道具信息!L322="","",[2]道具信息!L322)</f>
        <v/>
      </c>
    </row>
    <row r="323" spans="3:12" x14ac:dyDescent="0.15">
      <c r="C323" s="15" t="str">
        <f>IF([2]道具信息!C323="","",[2]道具信息!C323)</f>
        <v/>
      </c>
      <c r="D323" s="15" t="str">
        <f>IF([2]道具信息!D323="","",[2]道具信息!D323)</f>
        <v/>
      </c>
      <c r="E323" s="15" t="str">
        <f>IF([2]道具信息!E323="","",[2]道具信息!E323)</f>
        <v/>
      </c>
      <c r="F323" s="15">
        <f>IF([2]道具信息!F323="","",[2]道具信息!F323)</f>
        <v>1</v>
      </c>
      <c r="G323" s="15">
        <f>IF([2]道具信息!G323="","",[2]道具信息!G323)</f>
        <v>1</v>
      </c>
      <c r="H323" s="15">
        <f>IF([2]道具信息!H323="","",[2]道具信息!H323)</f>
        <v>1</v>
      </c>
      <c r="I323" s="15" t="str">
        <f>IF([2]道具信息!I323="","",[2]道具信息!I323)</f>
        <v/>
      </c>
      <c r="J323" s="15" t="str">
        <f>IF([2]道具信息!J323="","",[2]道具信息!J323)</f>
        <v/>
      </c>
      <c r="K323" s="15" t="str">
        <f>IF([2]道具信息!K323="","",[2]道具信息!K323)</f>
        <v/>
      </c>
      <c r="L323" s="15" t="str">
        <f>IF([2]道具信息!L323="","",[2]道具信息!L323)</f>
        <v/>
      </c>
    </row>
    <row r="324" spans="3:12" x14ac:dyDescent="0.15">
      <c r="C324" s="15" t="str">
        <f>IF([2]道具信息!C324="","",[2]道具信息!C324)</f>
        <v/>
      </c>
      <c r="D324" s="15" t="str">
        <f>IF([2]道具信息!D324="","",[2]道具信息!D324)</f>
        <v/>
      </c>
      <c r="E324" s="15" t="str">
        <f>IF([2]道具信息!E324="","",[2]道具信息!E324)</f>
        <v/>
      </c>
      <c r="F324" s="15">
        <f>IF([2]道具信息!F324="","",[2]道具信息!F324)</f>
        <v>1</v>
      </c>
      <c r="G324" s="15">
        <f>IF([2]道具信息!G324="","",[2]道具信息!G324)</f>
        <v>1</v>
      </c>
      <c r="H324" s="15">
        <f>IF([2]道具信息!H324="","",[2]道具信息!H324)</f>
        <v>1</v>
      </c>
      <c r="I324" s="15" t="str">
        <f>IF([2]道具信息!I324="","",[2]道具信息!I324)</f>
        <v/>
      </c>
      <c r="J324" s="15" t="str">
        <f>IF([2]道具信息!J324="","",[2]道具信息!J324)</f>
        <v/>
      </c>
      <c r="K324" s="15" t="str">
        <f>IF([2]道具信息!K324="","",[2]道具信息!K324)</f>
        <v/>
      </c>
      <c r="L324" s="15" t="str">
        <f>IF([2]道具信息!L324="","",[2]道具信息!L324)</f>
        <v/>
      </c>
    </row>
    <row r="325" spans="3:12" x14ac:dyDescent="0.15">
      <c r="C325" s="15" t="str">
        <f>IF([2]道具信息!C325="","",[2]道具信息!C325)</f>
        <v/>
      </c>
      <c r="D325" s="15" t="str">
        <f>IF([2]道具信息!D325="","",[2]道具信息!D325)</f>
        <v/>
      </c>
      <c r="E325" s="15" t="str">
        <f>IF([2]道具信息!E325="","",[2]道具信息!E325)</f>
        <v/>
      </c>
      <c r="F325" s="15">
        <f>IF([2]道具信息!F325="","",[2]道具信息!F325)</f>
        <v>1</v>
      </c>
      <c r="G325" s="15">
        <f>IF([2]道具信息!G325="","",[2]道具信息!G325)</f>
        <v>1</v>
      </c>
      <c r="H325" s="15">
        <f>IF([2]道具信息!H325="","",[2]道具信息!H325)</f>
        <v>1</v>
      </c>
      <c r="I325" s="15" t="str">
        <f>IF([2]道具信息!I325="","",[2]道具信息!I325)</f>
        <v/>
      </c>
      <c r="J325" s="15" t="str">
        <f>IF([2]道具信息!J325="","",[2]道具信息!J325)</f>
        <v/>
      </c>
      <c r="K325" s="15" t="str">
        <f>IF([2]道具信息!K325="","",[2]道具信息!K325)</f>
        <v/>
      </c>
      <c r="L325" s="15" t="str">
        <f>IF([2]道具信息!L325="","",[2]道具信息!L325)</f>
        <v/>
      </c>
    </row>
    <row r="326" spans="3:12" x14ac:dyDescent="0.15">
      <c r="C326" s="15" t="str">
        <f>IF([2]道具信息!C326="","",[2]道具信息!C326)</f>
        <v/>
      </c>
      <c r="D326" s="15" t="str">
        <f>IF([2]道具信息!D326="","",[2]道具信息!D326)</f>
        <v/>
      </c>
      <c r="E326" s="15" t="str">
        <f>IF([2]道具信息!E326="","",[2]道具信息!E326)</f>
        <v/>
      </c>
      <c r="F326" s="15">
        <f>IF([2]道具信息!F326="","",[2]道具信息!F326)</f>
        <v>1</v>
      </c>
      <c r="G326" s="15">
        <f>IF([2]道具信息!G326="","",[2]道具信息!G326)</f>
        <v>1</v>
      </c>
      <c r="H326" s="15">
        <f>IF([2]道具信息!H326="","",[2]道具信息!H326)</f>
        <v>1</v>
      </c>
      <c r="I326" s="15" t="str">
        <f>IF([2]道具信息!I326="","",[2]道具信息!I326)</f>
        <v/>
      </c>
      <c r="J326" s="15" t="str">
        <f>IF([2]道具信息!J326="","",[2]道具信息!J326)</f>
        <v/>
      </c>
      <c r="K326" s="15" t="str">
        <f>IF([2]道具信息!K326="","",[2]道具信息!K326)</f>
        <v/>
      </c>
      <c r="L326" s="15" t="str">
        <f>IF([2]道具信息!L326="","",[2]道具信息!L326)</f>
        <v/>
      </c>
    </row>
    <row r="327" spans="3:12" x14ac:dyDescent="0.15">
      <c r="C327" s="15" t="str">
        <f>IF([2]道具信息!C327="","",[2]道具信息!C327)</f>
        <v/>
      </c>
      <c r="D327" s="15" t="str">
        <f>IF([2]道具信息!D327="","",[2]道具信息!D327)</f>
        <v/>
      </c>
      <c r="E327" s="15" t="str">
        <f>IF([2]道具信息!E327="","",[2]道具信息!E327)</f>
        <v/>
      </c>
      <c r="F327" s="15">
        <f>IF([2]道具信息!F327="","",[2]道具信息!F327)</f>
        <v>1</v>
      </c>
      <c r="G327" s="15">
        <f>IF([2]道具信息!G327="","",[2]道具信息!G327)</f>
        <v>1</v>
      </c>
      <c r="H327" s="15">
        <f>IF([2]道具信息!H327="","",[2]道具信息!H327)</f>
        <v>1</v>
      </c>
      <c r="I327" s="15" t="str">
        <f>IF([2]道具信息!I327="","",[2]道具信息!I327)</f>
        <v/>
      </c>
      <c r="J327" s="15" t="str">
        <f>IF([2]道具信息!J327="","",[2]道具信息!J327)</f>
        <v/>
      </c>
      <c r="K327" s="15" t="str">
        <f>IF([2]道具信息!K327="","",[2]道具信息!K327)</f>
        <v/>
      </c>
      <c r="L327" s="15" t="str">
        <f>IF([2]道具信息!L327="","",[2]道具信息!L327)</f>
        <v/>
      </c>
    </row>
    <row r="328" spans="3:12" x14ac:dyDescent="0.15">
      <c r="C328" s="15" t="str">
        <f>IF([2]道具信息!C328="","",[2]道具信息!C328)</f>
        <v/>
      </c>
      <c r="D328" s="15" t="str">
        <f>IF([2]道具信息!D328="","",[2]道具信息!D328)</f>
        <v/>
      </c>
      <c r="E328" s="15" t="str">
        <f>IF([2]道具信息!E328="","",[2]道具信息!E328)</f>
        <v/>
      </c>
      <c r="F328" s="15">
        <f>IF([2]道具信息!F328="","",[2]道具信息!F328)</f>
        <v>1</v>
      </c>
      <c r="G328" s="15">
        <f>IF([2]道具信息!G328="","",[2]道具信息!G328)</f>
        <v>1</v>
      </c>
      <c r="H328" s="15">
        <f>IF([2]道具信息!H328="","",[2]道具信息!H328)</f>
        <v>1</v>
      </c>
      <c r="I328" s="15" t="str">
        <f>IF([2]道具信息!I328="","",[2]道具信息!I328)</f>
        <v/>
      </c>
      <c r="J328" s="15" t="str">
        <f>IF([2]道具信息!J328="","",[2]道具信息!J328)</f>
        <v/>
      </c>
      <c r="K328" s="15" t="str">
        <f>IF([2]道具信息!K328="","",[2]道具信息!K328)</f>
        <v/>
      </c>
      <c r="L328" s="15" t="str">
        <f>IF([2]道具信息!L328="","",[2]道具信息!L328)</f>
        <v/>
      </c>
    </row>
    <row r="329" spans="3:12" x14ac:dyDescent="0.15">
      <c r="C329" s="15" t="str">
        <f>IF([2]道具信息!C329="","",[2]道具信息!C329)</f>
        <v/>
      </c>
      <c r="D329" s="15" t="str">
        <f>IF([2]道具信息!D329="","",[2]道具信息!D329)</f>
        <v/>
      </c>
      <c r="E329" s="15" t="str">
        <f>IF([2]道具信息!E329="","",[2]道具信息!E329)</f>
        <v/>
      </c>
      <c r="F329" s="15">
        <f>IF([2]道具信息!F329="","",[2]道具信息!F329)</f>
        <v>1</v>
      </c>
      <c r="G329" s="15">
        <f>IF([2]道具信息!G329="","",[2]道具信息!G329)</f>
        <v>1</v>
      </c>
      <c r="H329" s="15">
        <f>IF([2]道具信息!H329="","",[2]道具信息!H329)</f>
        <v>1</v>
      </c>
      <c r="I329" s="15" t="str">
        <f>IF([2]道具信息!I329="","",[2]道具信息!I329)</f>
        <v/>
      </c>
      <c r="J329" s="15" t="str">
        <f>IF([2]道具信息!J329="","",[2]道具信息!J329)</f>
        <v/>
      </c>
      <c r="K329" s="15" t="str">
        <f>IF([2]道具信息!K329="","",[2]道具信息!K329)</f>
        <v/>
      </c>
      <c r="L329" s="15" t="str">
        <f>IF([2]道具信息!L329="","",[2]道具信息!L329)</f>
        <v/>
      </c>
    </row>
    <row r="330" spans="3:12" x14ac:dyDescent="0.15">
      <c r="C330" s="15" t="str">
        <f>IF([2]道具信息!C330="","",[2]道具信息!C330)</f>
        <v/>
      </c>
      <c r="D330" s="15" t="str">
        <f>IF([2]道具信息!D330="","",[2]道具信息!D330)</f>
        <v/>
      </c>
      <c r="E330" s="15" t="str">
        <f>IF([2]道具信息!E330="","",[2]道具信息!E330)</f>
        <v/>
      </c>
      <c r="F330" s="15">
        <f>IF([2]道具信息!F330="","",[2]道具信息!F330)</f>
        <v>1</v>
      </c>
      <c r="G330" s="15">
        <f>IF([2]道具信息!G330="","",[2]道具信息!G330)</f>
        <v>1</v>
      </c>
      <c r="H330" s="15">
        <f>IF([2]道具信息!H330="","",[2]道具信息!H330)</f>
        <v>1</v>
      </c>
      <c r="I330" s="15" t="str">
        <f>IF([2]道具信息!I330="","",[2]道具信息!I330)</f>
        <v/>
      </c>
      <c r="J330" s="15" t="str">
        <f>IF([2]道具信息!J330="","",[2]道具信息!J330)</f>
        <v/>
      </c>
      <c r="K330" s="15" t="str">
        <f>IF([2]道具信息!K330="","",[2]道具信息!K330)</f>
        <v/>
      </c>
      <c r="L330" s="15" t="str">
        <f>IF([2]道具信息!L330="","",[2]道具信息!L330)</f>
        <v/>
      </c>
    </row>
    <row r="331" spans="3:12" x14ac:dyDescent="0.15">
      <c r="C331" s="15" t="str">
        <f>IF([2]道具信息!C331="","",[2]道具信息!C331)</f>
        <v/>
      </c>
      <c r="D331" s="15" t="str">
        <f>IF([2]道具信息!D331="","",[2]道具信息!D331)</f>
        <v/>
      </c>
      <c r="E331" s="15" t="str">
        <f>IF([2]道具信息!E331="","",[2]道具信息!E331)</f>
        <v/>
      </c>
      <c r="F331" s="15">
        <f>IF([2]道具信息!F331="","",[2]道具信息!F331)</f>
        <v>1</v>
      </c>
      <c r="G331" s="15">
        <f>IF([2]道具信息!G331="","",[2]道具信息!G331)</f>
        <v>1</v>
      </c>
      <c r="H331" s="15">
        <f>IF([2]道具信息!H331="","",[2]道具信息!H331)</f>
        <v>1</v>
      </c>
      <c r="I331" s="15" t="str">
        <f>IF([2]道具信息!I331="","",[2]道具信息!I331)</f>
        <v/>
      </c>
      <c r="J331" s="15" t="str">
        <f>IF([2]道具信息!J331="","",[2]道具信息!J331)</f>
        <v/>
      </c>
      <c r="K331" s="15" t="str">
        <f>IF([2]道具信息!K331="","",[2]道具信息!K331)</f>
        <v/>
      </c>
      <c r="L331" s="15" t="str">
        <f>IF([2]道具信息!L331="","",[2]道具信息!L331)</f>
        <v/>
      </c>
    </row>
    <row r="332" spans="3:12" x14ac:dyDescent="0.15">
      <c r="C332" s="15" t="str">
        <f>IF([2]道具信息!C332="","",[2]道具信息!C332)</f>
        <v/>
      </c>
      <c r="D332" s="15" t="str">
        <f>IF([2]道具信息!D332="","",[2]道具信息!D332)</f>
        <v/>
      </c>
      <c r="E332" s="15" t="str">
        <f>IF([2]道具信息!E332="","",[2]道具信息!E332)</f>
        <v/>
      </c>
      <c r="F332" s="15">
        <f>IF([2]道具信息!F332="","",[2]道具信息!F332)</f>
        <v>1</v>
      </c>
      <c r="G332" s="15">
        <f>IF([2]道具信息!G332="","",[2]道具信息!G332)</f>
        <v>1</v>
      </c>
      <c r="H332" s="15">
        <f>IF([2]道具信息!H332="","",[2]道具信息!H332)</f>
        <v>1</v>
      </c>
      <c r="I332" s="15" t="str">
        <f>IF([2]道具信息!I332="","",[2]道具信息!I332)</f>
        <v/>
      </c>
      <c r="J332" s="15" t="str">
        <f>IF([2]道具信息!J332="","",[2]道具信息!J332)</f>
        <v/>
      </c>
      <c r="K332" s="15" t="str">
        <f>IF([2]道具信息!K332="","",[2]道具信息!K332)</f>
        <v/>
      </c>
      <c r="L332" s="15" t="str">
        <f>IF([2]道具信息!L332="","",[2]道具信息!L332)</f>
        <v/>
      </c>
    </row>
    <row r="333" spans="3:12" x14ac:dyDescent="0.15">
      <c r="C333" s="15" t="str">
        <f>IF([2]道具信息!C333="","",[2]道具信息!C333)</f>
        <v/>
      </c>
      <c r="D333" s="15" t="str">
        <f>IF([2]道具信息!D333="","",[2]道具信息!D333)</f>
        <v/>
      </c>
      <c r="E333" s="15" t="str">
        <f>IF([2]道具信息!E333="","",[2]道具信息!E333)</f>
        <v/>
      </c>
      <c r="F333" s="15">
        <f>IF([2]道具信息!F333="","",[2]道具信息!F333)</f>
        <v>1</v>
      </c>
      <c r="G333" s="15">
        <f>IF([2]道具信息!G333="","",[2]道具信息!G333)</f>
        <v>1</v>
      </c>
      <c r="H333" s="15">
        <f>IF([2]道具信息!H333="","",[2]道具信息!H333)</f>
        <v>1</v>
      </c>
      <c r="I333" s="15" t="str">
        <f>IF([2]道具信息!I333="","",[2]道具信息!I333)</f>
        <v/>
      </c>
      <c r="J333" s="15" t="str">
        <f>IF([2]道具信息!J333="","",[2]道具信息!J333)</f>
        <v/>
      </c>
      <c r="K333" s="15" t="str">
        <f>IF([2]道具信息!K333="","",[2]道具信息!K333)</f>
        <v/>
      </c>
      <c r="L333" s="15" t="str">
        <f>IF([2]道具信息!L333="","",[2]道具信息!L333)</f>
        <v/>
      </c>
    </row>
    <row r="334" spans="3:12" x14ac:dyDescent="0.15">
      <c r="C334" s="15" t="str">
        <f>IF([2]道具信息!C334="","",[2]道具信息!C334)</f>
        <v/>
      </c>
      <c r="D334" s="15" t="str">
        <f>IF([2]道具信息!D334="","",[2]道具信息!D334)</f>
        <v/>
      </c>
      <c r="E334" s="15" t="str">
        <f>IF([2]道具信息!E334="","",[2]道具信息!E334)</f>
        <v/>
      </c>
      <c r="F334" s="15">
        <f>IF([2]道具信息!F334="","",[2]道具信息!F334)</f>
        <v>1</v>
      </c>
      <c r="G334" s="15">
        <f>IF([2]道具信息!G334="","",[2]道具信息!G334)</f>
        <v>1</v>
      </c>
      <c r="H334" s="15">
        <f>IF([2]道具信息!H334="","",[2]道具信息!H334)</f>
        <v>1</v>
      </c>
      <c r="I334" s="15" t="str">
        <f>IF([2]道具信息!I334="","",[2]道具信息!I334)</f>
        <v/>
      </c>
      <c r="J334" s="15" t="str">
        <f>IF([2]道具信息!J334="","",[2]道具信息!J334)</f>
        <v/>
      </c>
      <c r="K334" s="15" t="str">
        <f>IF([2]道具信息!K334="","",[2]道具信息!K334)</f>
        <v/>
      </c>
      <c r="L334" s="15" t="str">
        <f>IF([2]道具信息!L334="","",[2]道具信息!L334)</f>
        <v/>
      </c>
    </row>
    <row r="335" spans="3:12" x14ac:dyDescent="0.15">
      <c r="C335" s="15" t="str">
        <f>IF([2]道具信息!C335="","",[2]道具信息!C335)</f>
        <v/>
      </c>
      <c r="D335" s="15" t="str">
        <f>IF([2]道具信息!D335="","",[2]道具信息!D335)</f>
        <v/>
      </c>
      <c r="E335" s="15" t="str">
        <f>IF([2]道具信息!E335="","",[2]道具信息!E335)</f>
        <v/>
      </c>
      <c r="F335" s="15">
        <f>IF([2]道具信息!F335="","",[2]道具信息!F335)</f>
        <v>1</v>
      </c>
      <c r="G335" s="15">
        <f>IF([2]道具信息!G335="","",[2]道具信息!G335)</f>
        <v>1</v>
      </c>
      <c r="H335" s="15">
        <f>IF([2]道具信息!H335="","",[2]道具信息!H335)</f>
        <v>1</v>
      </c>
      <c r="I335" s="15" t="str">
        <f>IF([2]道具信息!I335="","",[2]道具信息!I335)</f>
        <v/>
      </c>
      <c r="J335" s="15" t="str">
        <f>IF([2]道具信息!J335="","",[2]道具信息!J335)</f>
        <v/>
      </c>
      <c r="K335" s="15" t="str">
        <f>IF([2]道具信息!K335="","",[2]道具信息!K335)</f>
        <v/>
      </c>
      <c r="L335" s="15" t="str">
        <f>IF([2]道具信息!L335="","",[2]道具信息!L335)</f>
        <v/>
      </c>
    </row>
    <row r="336" spans="3:12" x14ac:dyDescent="0.15">
      <c r="C336" s="15" t="str">
        <f>IF([2]道具信息!C336="","",[2]道具信息!C336)</f>
        <v/>
      </c>
      <c r="D336" s="15" t="str">
        <f>IF([2]道具信息!D336="","",[2]道具信息!D336)</f>
        <v/>
      </c>
      <c r="E336" s="15" t="str">
        <f>IF([2]道具信息!E336="","",[2]道具信息!E336)</f>
        <v/>
      </c>
      <c r="F336" s="15">
        <f>IF([2]道具信息!F336="","",[2]道具信息!F336)</f>
        <v>1</v>
      </c>
      <c r="G336" s="15">
        <f>IF([2]道具信息!G336="","",[2]道具信息!G336)</f>
        <v>1</v>
      </c>
      <c r="H336" s="15">
        <f>IF([2]道具信息!H336="","",[2]道具信息!H336)</f>
        <v>1</v>
      </c>
      <c r="I336" s="15" t="str">
        <f>IF([2]道具信息!I336="","",[2]道具信息!I336)</f>
        <v/>
      </c>
      <c r="J336" s="15" t="str">
        <f>IF([2]道具信息!J336="","",[2]道具信息!J336)</f>
        <v/>
      </c>
      <c r="K336" s="15" t="str">
        <f>IF([2]道具信息!K336="","",[2]道具信息!K336)</f>
        <v/>
      </c>
      <c r="L336" s="15" t="str">
        <f>IF([2]道具信息!L336="","",[2]道具信息!L336)</f>
        <v/>
      </c>
    </row>
    <row r="337" spans="3:12" x14ac:dyDescent="0.15">
      <c r="C337" s="15" t="str">
        <f>IF([2]道具信息!C337="","",[2]道具信息!C337)</f>
        <v/>
      </c>
      <c r="D337" s="15" t="str">
        <f>IF([2]道具信息!D337="","",[2]道具信息!D337)</f>
        <v/>
      </c>
      <c r="E337" s="15" t="str">
        <f>IF([2]道具信息!E337="","",[2]道具信息!E337)</f>
        <v/>
      </c>
      <c r="F337" s="15">
        <f>IF([2]道具信息!F337="","",[2]道具信息!F337)</f>
        <v>1</v>
      </c>
      <c r="G337" s="15">
        <f>IF([2]道具信息!G337="","",[2]道具信息!G337)</f>
        <v>1</v>
      </c>
      <c r="H337" s="15">
        <f>IF([2]道具信息!H337="","",[2]道具信息!H337)</f>
        <v>1</v>
      </c>
      <c r="I337" s="15" t="str">
        <f>IF([2]道具信息!I337="","",[2]道具信息!I337)</f>
        <v/>
      </c>
      <c r="J337" s="15" t="str">
        <f>IF([2]道具信息!J337="","",[2]道具信息!J337)</f>
        <v/>
      </c>
      <c r="K337" s="15" t="str">
        <f>IF([2]道具信息!K337="","",[2]道具信息!K337)</f>
        <v/>
      </c>
      <c r="L337" s="15" t="str">
        <f>IF([2]道具信息!L337="","",[2]道具信息!L337)</f>
        <v/>
      </c>
    </row>
    <row r="338" spans="3:12" x14ac:dyDescent="0.15">
      <c r="C338" s="15" t="str">
        <f>IF([2]道具信息!C338="","",[2]道具信息!C338)</f>
        <v/>
      </c>
      <c r="D338" s="15" t="str">
        <f>IF([2]道具信息!D338="","",[2]道具信息!D338)</f>
        <v/>
      </c>
      <c r="E338" s="15" t="str">
        <f>IF([2]道具信息!E338="","",[2]道具信息!E338)</f>
        <v/>
      </c>
      <c r="F338" s="15">
        <f>IF([2]道具信息!F338="","",[2]道具信息!F338)</f>
        <v>1</v>
      </c>
      <c r="G338" s="15">
        <f>IF([2]道具信息!G338="","",[2]道具信息!G338)</f>
        <v>1</v>
      </c>
      <c r="H338" s="15">
        <f>IF([2]道具信息!H338="","",[2]道具信息!H338)</f>
        <v>1</v>
      </c>
      <c r="I338" s="15" t="str">
        <f>IF([2]道具信息!I338="","",[2]道具信息!I338)</f>
        <v/>
      </c>
      <c r="J338" s="15" t="str">
        <f>IF([2]道具信息!J338="","",[2]道具信息!J338)</f>
        <v/>
      </c>
      <c r="K338" s="15" t="str">
        <f>IF([2]道具信息!K338="","",[2]道具信息!K338)</f>
        <v/>
      </c>
      <c r="L338" s="15" t="str">
        <f>IF([2]道具信息!L338="","",[2]道具信息!L338)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B7:AA108"/>
  <sheetViews>
    <sheetView topLeftCell="C1" workbookViewId="0">
      <selection activeCell="H9" sqref="H9"/>
    </sheetView>
  </sheetViews>
  <sheetFormatPr defaultRowHeight="11.25" x14ac:dyDescent="0.15"/>
  <cols>
    <col min="1" max="16384" width="9" style="3"/>
  </cols>
  <sheetData>
    <row r="7" spans="2:27" x14ac:dyDescent="0.15">
      <c r="B7" s="3" t="s">
        <v>42</v>
      </c>
      <c r="C7" s="3" t="s">
        <v>37</v>
      </c>
      <c r="D7" s="3" t="s">
        <v>50</v>
      </c>
      <c r="H7" s="49" t="s">
        <v>38</v>
      </c>
      <c r="I7" s="49"/>
      <c r="N7" s="49" t="s">
        <v>39</v>
      </c>
      <c r="O7" s="49"/>
      <c r="S7" s="49" t="s">
        <v>40</v>
      </c>
      <c r="T7" s="49"/>
      <c r="X7" s="49" t="s">
        <v>41</v>
      </c>
      <c r="Y7" s="49"/>
    </row>
    <row r="8" spans="2:27" x14ac:dyDescent="0.15">
      <c r="B8" s="3" t="s">
        <v>43</v>
      </c>
      <c r="C8" s="3">
        <f>[3]数据总览!CE10*1000/10</f>
        <v>6000</v>
      </c>
      <c r="D8" s="3">
        <f>[3]数据总览!CF10*500*3</f>
        <v>1417.4999999999998</v>
      </c>
      <c r="G8" s="3" t="s">
        <v>35</v>
      </c>
      <c r="H8" s="3" t="s">
        <v>36</v>
      </c>
      <c r="I8" s="3" t="s">
        <v>37</v>
      </c>
      <c r="J8" s="3" t="s">
        <v>47</v>
      </c>
      <c r="K8" s="3" t="s">
        <v>48</v>
      </c>
      <c r="L8" s="3" t="s">
        <v>49</v>
      </c>
      <c r="N8" s="3" t="s">
        <v>36</v>
      </c>
      <c r="O8" s="3" t="s">
        <v>37</v>
      </c>
      <c r="S8" s="3" t="s">
        <v>36</v>
      </c>
      <c r="T8" s="3" t="s">
        <v>37</v>
      </c>
      <c r="X8" s="3" t="s">
        <v>36</v>
      </c>
      <c r="Y8" s="3" t="s">
        <v>37</v>
      </c>
    </row>
    <row r="9" spans="2:27" x14ac:dyDescent="0.15">
      <c r="B9" s="3" t="s">
        <v>44</v>
      </c>
      <c r="C9" s="3">
        <f>[3]数据总览!CE11*1000/10</f>
        <v>6172.7141518136095</v>
      </c>
      <c r="D9" s="3">
        <f>[3]数据总览!CF11*500*3</f>
        <v>2932.0392221114639</v>
      </c>
      <c r="G9" s="3">
        <v>1</v>
      </c>
      <c r="H9" s="3" t="e">
        <f>#REF!*#REF!/2</f>
        <v>#REF!</v>
      </c>
      <c r="I9" s="3" t="e">
        <f>#REF!*#REF!</f>
        <v>#REF!</v>
      </c>
      <c r="J9" s="3" t="e">
        <f>I9/H9</f>
        <v>#REF!</v>
      </c>
      <c r="K9" s="3" t="e">
        <f>H9/$D$8</f>
        <v>#REF!</v>
      </c>
      <c r="L9" s="3" t="e">
        <f>I9/$C$8</f>
        <v>#REF!</v>
      </c>
      <c r="N9" s="3" t="e">
        <f>#REF!*#REF!/2</f>
        <v>#REF!</v>
      </c>
      <c r="O9" s="3" t="e">
        <f>#REF!*#REF!</f>
        <v>#REF!</v>
      </c>
      <c r="P9" s="3" t="e">
        <f>N9/$D$9</f>
        <v>#REF!</v>
      </c>
      <c r="Q9" s="3" t="e">
        <f>O9/$C$9</f>
        <v>#REF!</v>
      </c>
      <c r="S9" s="3" t="e">
        <f>#REF!*#REF!/2</f>
        <v>#REF!</v>
      </c>
      <c r="T9" s="3" t="e">
        <f>#REF!*#REF!</f>
        <v>#REF!</v>
      </c>
      <c r="U9" s="3" t="e">
        <f>S9/$D$10</f>
        <v>#REF!</v>
      </c>
      <c r="V9" s="3" t="e">
        <f>T9/$C$10</f>
        <v>#REF!</v>
      </c>
      <c r="X9" s="3" t="e">
        <f>#REF!*#REF!/2</f>
        <v>#REF!</v>
      </c>
      <c r="Y9" s="3" t="e">
        <f>#REF!*#REF!</f>
        <v>#REF!</v>
      </c>
      <c r="Z9" s="3" t="e">
        <f>X9/$D$11</f>
        <v>#REF!</v>
      </c>
      <c r="AA9" s="3" t="e">
        <f>Y9/$C$11</f>
        <v>#REF!</v>
      </c>
    </row>
    <row r="10" spans="2:27" x14ac:dyDescent="0.15">
      <c r="B10" s="3" t="s">
        <v>45</v>
      </c>
      <c r="C10" s="3">
        <f>[3]数据总览!CE12*1000/10</f>
        <v>6313.3512780976635</v>
      </c>
      <c r="D10" s="3">
        <f>[3]数据总览!CF12*500*3</f>
        <v>3482.3699856955577</v>
      </c>
      <c r="G10" s="3">
        <v>2</v>
      </c>
      <c r="H10" s="3" t="e">
        <f>#REF!*#REF!/2</f>
        <v>#REF!</v>
      </c>
      <c r="I10" s="3" t="e">
        <f>#REF!*#REF!</f>
        <v>#REF!</v>
      </c>
      <c r="J10" s="3" t="e">
        <f t="shared" ref="J10:J73" si="0">I10/H10</f>
        <v>#REF!</v>
      </c>
      <c r="K10" s="3" t="e">
        <f t="shared" ref="K10:K73" si="1">H10/$D$8</f>
        <v>#REF!</v>
      </c>
      <c r="L10" s="3" t="e">
        <f t="shared" ref="L10:L73" si="2">I10/$C$8</f>
        <v>#REF!</v>
      </c>
      <c r="N10" s="3" t="e">
        <f>#REF!*#REF!/2</f>
        <v>#REF!</v>
      </c>
      <c r="O10" s="3" t="e">
        <f>#REF!*#REF!</f>
        <v>#REF!</v>
      </c>
      <c r="P10" s="3" t="e">
        <f t="shared" ref="P10:P73" si="3">N10/$D$9</f>
        <v>#REF!</v>
      </c>
      <c r="Q10" s="3" t="e">
        <f t="shared" ref="Q10:Q73" si="4">O10/$C$9</f>
        <v>#REF!</v>
      </c>
      <c r="S10" s="3" t="e">
        <f>#REF!*#REF!/2</f>
        <v>#REF!</v>
      </c>
      <c r="T10" s="3" t="e">
        <f>#REF!*#REF!</f>
        <v>#REF!</v>
      </c>
      <c r="U10" s="3" t="e">
        <f t="shared" ref="U10:U73" si="5">S10/$D$10</f>
        <v>#REF!</v>
      </c>
      <c r="V10" s="3" t="e">
        <f t="shared" ref="V10:V73" si="6">T10/$C$10</f>
        <v>#REF!</v>
      </c>
      <c r="X10" s="3" t="e">
        <f>#REF!*#REF!/2</f>
        <v>#REF!</v>
      </c>
      <c r="Y10" s="3" t="e">
        <f>#REF!*#REF!</f>
        <v>#REF!</v>
      </c>
      <c r="Z10" s="3" t="e">
        <f t="shared" ref="Z10:Z73" si="7">X10/$D$11</f>
        <v>#REF!</v>
      </c>
      <c r="AA10" s="3" t="e">
        <f t="shared" ref="AA10:AA73" si="8">Y10/$C$11</f>
        <v>#REF!</v>
      </c>
    </row>
    <row r="11" spans="2:27" x14ac:dyDescent="0.15">
      <c r="B11" s="3" t="s">
        <v>46</v>
      </c>
      <c r="C11" s="3">
        <f>[3]数据总览!CE13*1000/10</f>
        <v>6313.1597855391037</v>
      </c>
      <c r="D11" s="3">
        <f>[3]数据总览!CF13*500*3</f>
        <v>3207.2046039035113</v>
      </c>
      <c r="G11" s="3">
        <v>3</v>
      </c>
      <c r="H11" s="3" t="e">
        <f>#REF!*#REF!/2</f>
        <v>#REF!</v>
      </c>
      <c r="I11" s="3" t="e">
        <f>#REF!*#REF!</f>
        <v>#REF!</v>
      </c>
      <c r="J11" s="3" t="e">
        <f t="shared" si="0"/>
        <v>#REF!</v>
      </c>
      <c r="K11" s="3" t="e">
        <f t="shared" si="1"/>
        <v>#REF!</v>
      </c>
      <c r="L11" s="3" t="e">
        <f t="shared" si="2"/>
        <v>#REF!</v>
      </c>
      <c r="N11" s="3" t="e">
        <f>#REF!*#REF!/2</f>
        <v>#REF!</v>
      </c>
      <c r="O11" s="3" t="e">
        <f>#REF!*#REF!</f>
        <v>#REF!</v>
      </c>
      <c r="P11" s="3" t="e">
        <f t="shared" si="3"/>
        <v>#REF!</v>
      </c>
      <c r="Q11" s="3" t="e">
        <f t="shared" si="4"/>
        <v>#REF!</v>
      </c>
      <c r="S11" s="3" t="e">
        <f>#REF!*#REF!/2</f>
        <v>#REF!</v>
      </c>
      <c r="T11" s="3" t="e">
        <f>#REF!*#REF!</f>
        <v>#REF!</v>
      </c>
      <c r="U11" s="3" t="e">
        <f t="shared" si="5"/>
        <v>#REF!</v>
      </c>
      <c r="V11" s="3" t="e">
        <f t="shared" si="6"/>
        <v>#REF!</v>
      </c>
      <c r="X11" s="3" t="e">
        <f>#REF!*#REF!/2</f>
        <v>#REF!</v>
      </c>
      <c r="Y11" s="3" t="e">
        <f>#REF!*#REF!</f>
        <v>#REF!</v>
      </c>
      <c r="Z11" s="3" t="e">
        <f t="shared" si="7"/>
        <v>#REF!</v>
      </c>
      <c r="AA11" s="3" t="e">
        <f t="shared" si="8"/>
        <v>#REF!</v>
      </c>
    </row>
    <row r="12" spans="2:27" x14ac:dyDescent="0.15">
      <c r="G12" s="3">
        <v>4</v>
      </c>
      <c r="H12" s="3" t="e">
        <f>#REF!*#REF!/2</f>
        <v>#REF!</v>
      </c>
      <c r="I12" s="3" t="e">
        <f>#REF!*#REF!</f>
        <v>#REF!</v>
      </c>
      <c r="J12" s="3" t="e">
        <f t="shared" si="0"/>
        <v>#REF!</v>
      </c>
      <c r="K12" s="3" t="e">
        <f t="shared" si="1"/>
        <v>#REF!</v>
      </c>
      <c r="L12" s="3" t="e">
        <f t="shared" si="2"/>
        <v>#REF!</v>
      </c>
      <c r="N12" s="3" t="e">
        <f>#REF!*#REF!/2</f>
        <v>#REF!</v>
      </c>
      <c r="O12" s="3" t="e">
        <f>#REF!*#REF!</f>
        <v>#REF!</v>
      </c>
      <c r="P12" s="3" t="e">
        <f t="shared" si="3"/>
        <v>#REF!</v>
      </c>
      <c r="Q12" s="3" t="e">
        <f t="shared" si="4"/>
        <v>#REF!</v>
      </c>
      <c r="S12" s="3" t="e">
        <f>#REF!*#REF!/2</f>
        <v>#REF!</v>
      </c>
      <c r="T12" s="3" t="e">
        <f>#REF!*#REF!</f>
        <v>#REF!</v>
      </c>
      <c r="U12" s="3" t="e">
        <f t="shared" si="5"/>
        <v>#REF!</v>
      </c>
      <c r="V12" s="3" t="e">
        <f t="shared" si="6"/>
        <v>#REF!</v>
      </c>
      <c r="X12" s="3" t="e">
        <f>#REF!*#REF!/2</f>
        <v>#REF!</v>
      </c>
      <c r="Y12" s="3" t="e">
        <f>#REF!*#REF!</f>
        <v>#REF!</v>
      </c>
      <c r="Z12" s="3" t="e">
        <f t="shared" si="7"/>
        <v>#REF!</v>
      </c>
      <c r="AA12" s="3" t="e">
        <f t="shared" si="8"/>
        <v>#REF!</v>
      </c>
    </row>
    <row r="13" spans="2:27" x14ac:dyDescent="0.15">
      <c r="G13" s="3">
        <v>5</v>
      </c>
      <c r="H13" s="3" t="e">
        <f>#REF!*#REF!/2</f>
        <v>#REF!</v>
      </c>
      <c r="I13" s="3" t="e">
        <f>#REF!*#REF!</f>
        <v>#REF!</v>
      </c>
      <c r="J13" s="3" t="e">
        <f t="shared" si="0"/>
        <v>#REF!</v>
      </c>
      <c r="K13" s="3" t="e">
        <f t="shared" si="1"/>
        <v>#REF!</v>
      </c>
      <c r="L13" s="3" t="e">
        <f t="shared" si="2"/>
        <v>#REF!</v>
      </c>
      <c r="N13" s="3" t="e">
        <f>#REF!*#REF!/2</f>
        <v>#REF!</v>
      </c>
      <c r="O13" s="3" t="e">
        <f>#REF!*#REF!</f>
        <v>#REF!</v>
      </c>
      <c r="P13" s="3" t="e">
        <f t="shared" si="3"/>
        <v>#REF!</v>
      </c>
      <c r="Q13" s="3" t="e">
        <f t="shared" si="4"/>
        <v>#REF!</v>
      </c>
      <c r="S13" s="3" t="e">
        <f>#REF!*#REF!/2</f>
        <v>#REF!</v>
      </c>
      <c r="T13" s="3" t="e">
        <f>#REF!*#REF!</f>
        <v>#REF!</v>
      </c>
      <c r="U13" s="3" t="e">
        <f t="shared" si="5"/>
        <v>#REF!</v>
      </c>
      <c r="V13" s="3" t="e">
        <f t="shared" si="6"/>
        <v>#REF!</v>
      </c>
      <c r="X13" s="3" t="e">
        <f>#REF!*#REF!/2</f>
        <v>#REF!</v>
      </c>
      <c r="Y13" s="3" t="e">
        <f>#REF!*#REF!</f>
        <v>#REF!</v>
      </c>
      <c r="Z13" s="3" t="e">
        <f t="shared" si="7"/>
        <v>#REF!</v>
      </c>
      <c r="AA13" s="3" t="e">
        <f t="shared" si="8"/>
        <v>#REF!</v>
      </c>
    </row>
    <row r="14" spans="2:27" x14ac:dyDescent="0.15">
      <c r="G14" s="3">
        <v>6</v>
      </c>
      <c r="H14" s="3" t="e">
        <f>#REF!*#REF!/2</f>
        <v>#REF!</v>
      </c>
      <c r="I14" s="3" t="e">
        <f>#REF!*#REF!</f>
        <v>#REF!</v>
      </c>
      <c r="J14" s="3" t="e">
        <f t="shared" si="0"/>
        <v>#REF!</v>
      </c>
      <c r="K14" s="3" t="e">
        <f t="shared" si="1"/>
        <v>#REF!</v>
      </c>
      <c r="L14" s="3" t="e">
        <f t="shared" si="2"/>
        <v>#REF!</v>
      </c>
      <c r="N14" s="3" t="e">
        <f>#REF!*#REF!/2</f>
        <v>#REF!</v>
      </c>
      <c r="O14" s="3" t="e">
        <f>#REF!*#REF!</f>
        <v>#REF!</v>
      </c>
      <c r="P14" s="3" t="e">
        <f t="shared" si="3"/>
        <v>#REF!</v>
      </c>
      <c r="Q14" s="3" t="e">
        <f t="shared" si="4"/>
        <v>#REF!</v>
      </c>
      <c r="S14" s="3" t="e">
        <f>#REF!*#REF!/2</f>
        <v>#REF!</v>
      </c>
      <c r="T14" s="3" t="e">
        <f>#REF!*#REF!</f>
        <v>#REF!</v>
      </c>
      <c r="U14" s="3" t="e">
        <f t="shared" si="5"/>
        <v>#REF!</v>
      </c>
      <c r="V14" s="3" t="e">
        <f t="shared" si="6"/>
        <v>#REF!</v>
      </c>
      <c r="X14" s="3" t="e">
        <f>#REF!*#REF!/2</f>
        <v>#REF!</v>
      </c>
      <c r="Y14" s="3" t="e">
        <f>#REF!*#REF!</f>
        <v>#REF!</v>
      </c>
      <c r="Z14" s="3" t="e">
        <f t="shared" si="7"/>
        <v>#REF!</v>
      </c>
      <c r="AA14" s="3" t="e">
        <f t="shared" si="8"/>
        <v>#REF!</v>
      </c>
    </row>
    <row r="15" spans="2:27" x14ac:dyDescent="0.15">
      <c r="G15" s="3">
        <v>7</v>
      </c>
      <c r="H15" s="3" t="e">
        <f>#REF!*#REF!/2</f>
        <v>#REF!</v>
      </c>
      <c r="I15" s="3" t="e">
        <f>#REF!*#REF!</f>
        <v>#REF!</v>
      </c>
      <c r="J15" s="3" t="e">
        <f t="shared" si="0"/>
        <v>#REF!</v>
      </c>
      <c r="K15" s="3" t="e">
        <f t="shared" si="1"/>
        <v>#REF!</v>
      </c>
      <c r="L15" s="3" t="e">
        <f t="shared" si="2"/>
        <v>#REF!</v>
      </c>
      <c r="N15" s="3" t="e">
        <f>#REF!*#REF!/2</f>
        <v>#REF!</v>
      </c>
      <c r="O15" s="3" t="e">
        <f>#REF!*#REF!</f>
        <v>#REF!</v>
      </c>
      <c r="P15" s="3" t="e">
        <f t="shared" si="3"/>
        <v>#REF!</v>
      </c>
      <c r="Q15" s="3" t="e">
        <f t="shared" si="4"/>
        <v>#REF!</v>
      </c>
      <c r="S15" s="3" t="e">
        <f>#REF!*#REF!/2</f>
        <v>#REF!</v>
      </c>
      <c r="T15" s="3" t="e">
        <f>#REF!*#REF!</f>
        <v>#REF!</v>
      </c>
      <c r="U15" s="3" t="e">
        <f t="shared" si="5"/>
        <v>#REF!</v>
      </c>
      <c r="V15" s="3" t="e">
        <f t="shared" si="6"/>
        <v>#REF!</v>
      </c>
      <c r="X15" s="3" t="e">
        <f>#REF!*#REF!/2</f>
        <v>#REF!</v>
      </c>
      <c r="Y15" s="3" t="e">
        <f>#REF!*#REF!</f>
        <v>#REF!</v>
      </c>
      <c r="Z15" s="3" t="e">
        <f t="shared" si="7"/>
        <v>#REF!</v>
      </c>
      <c r="AA15" s="3" t="e">
        <f t="shared" si="8"/>
        <v>#REF!</v>
      </c>
    </row>
    <row r="16" spans="2:27" x14ac:dyDescent="0.15">
      <c r="G16" s="3">
        <v>8</v>
      </c>
      <c r="H16" s="3" t="e">
        <f>#REF!*#REF!/2</f>
        <v>#REF!</v>
      </c>
      <c r="I16" s="3" t="e">
        <f>#REF!*#REF!</f>
        <v>#REF!</v>
      </c>
      <c r="J16" s="3" t="e">
        <f t="shared" si="0"/>
        <v>#REF!</v>
      </c>
      <c r="K16" s="3" t="e">
        <f t="shared" si="1"/>
        <v>#REF!</v>
      </c>
      <c r="L16" s="3" t="e">
        <f t="shared" si="2"/>
        <v>#REF!</v>
      </c>
      <c r="N16" s="3" t="e">
        <f>#REF!*#REF!/2</f>
        <v>#REF!</v>
      </c>
      <c r="O16" s="3" t="e">
        <f>#REF!*#REF!</f>
        <v>#REF!</v>
      </c>
      <c r="P16" s="3" t="e">
        <f t="shared" si="3"/>
        <v>#REF!</v>
      </c>
      <c r="Q16" s="3" t="e">
        <f t="shared" si="4"/>
        <v>#REF!</v>
      </c>
      <c r="S16" s="3" t="e">
        <f>#REF!*#REF!/2</f>
        <v>#REF!</v>
      </c>
      <c r="T16" s="3" t="e">
        <f>#REF!*#REF!</f>
        <v>#REF!</v>
      </c>
      <c r="U16" s="3" t="e">
        <f t="shared" si="5"/>
        <v>#REF!</v>
      </c>
      <c r="V16" s="3" t="e">
        <f t="shared" si="6"/>
        <v>#REF!</v>
      </c>
      <c r="X16" s="3" t="e">
        <f>#REF!*#REF!/2</f>
        <v>#REF!</v>
      </c>
      <c r="Y16" s="3" t="e">
        <f>#REF!*#REF!</f>
        <v>#REF!</v>
      </c>
      <c r="Z16" s="3" t="e">
        <f t="shared" si="7"/>
        <v>#REF!</v>
      </c>
      <c r="AA16" s="3" t="e">
        <f t="shared" si="8"/>
        <v>#REF!</v>
      </c>
    </row>
    <row r="17" spans="3:27" x14ac:dyDescent="0.15">
      <c r="G17" s="3">
        <v>9</v>
      </c>
      <c r="H17" s="3" t="e">
        <f>#REF!*#REF!/2</f>
        <v>#REF!</v>
      </c>
      <c r="I17" s="3" t="e">
        <f>#REF!*#REF!</f>
        <v>#REF!</v>
      </c>
      <c r="J17" s="3" t="e">
        <f t="shared" si="0"/>
        <v>#REF!</v>
      </c>
      <c r="K17" s="3" t="e">
        <f t="shared" si="1"/>
        <v>#REF!</v>
      </c>
      <c r="L17" s="3" t="e">
        <f t="shared" si="2"/>
        <v>#REF!</v>
      </c>
      <c r="N17" s="3" t="e">
        <f>#REF!*#REF!/2</f>
        <v>#REF!</v>
      </c>
      <c r="O17" s="3" t="e">
        <f>#REF!*#REF!</f>
        <v>#REF!</v>
      </c>
      <c r="P17" s="3" t="e">
        <f t="shared" si="3"/>
        <v>#REF!</v>
      </c>
      <c r="Q17" s="3" t="e">
        <f t="shared" si="4"/>
        <v>#REF!</v>
      </c>
      <c r="S17" s="3" t="e">
        <f>#REF!*#REF!/2</f>
        <v>#REF!</v>
      </c>
      <c r="T17" s="3" t="e">
        <f>#REF!*#REF!</f>
        <v>#REF!</v>
      </c>
      <c r="U17" s="3" t="e">
        <f t="shared" si="5"/>
        <v>#REF!</v>
      </c>
      <c r="V17" s="3" t="e">
        <f t="shared" si="6"/>
        <v>#REF!</v>
      </c>
      <c r="X17" s="3" t="e">
        <f>#REF!*#REF!/2</f>
        <v>#REF!</v>
      </c>
      <c r="Y17" s="3" t="e">
        <f>#REF!*#REF!</f>
        <v>#REF!</v>
      </c>
      <c r="Z17" s="3" t="e">
        <f t="shared" si="7"/>
        <v>#REF!</v>
      </c>
      <c r="AA17" s="3" t="e">
        <f t="shared" si="8"/>
        <v>#REF!</v>
      </c>
    </row>
    <row r="18" spans="3:27" x14ac:dyDescent="0.15">
      <c r="G18" s="3">
        <v>10</v>
      </c>
      <c r="H18" s="3" t="e">
        <f>#REF!*#REF!/2</f>
        <v>#REF!</v>
      </c>
      <c r="I18" s="3" t="e">
        <f>#REF!*#REF!</f>
        <v>#REF!</v>
      </c>
      <c r="J18" s="3" t="e">
        <f t="shared" si="0"/>
        <v>#REF!</v>
      </c>
      <c r="K18" s="3" t="e">
        <f t="shared" si="1"/>
        <v>#REF!</v>
      </c>
      <c r="L18" s="3" t="e">
        <f t="shared" si="2"/>
        <v>#REF!</v>
      </c>
      <c r="N18" s="3" t="e">
        <f>#REF!*#REF!/2</f>
        <v>#REF!</v>
      </c>
      <c r="O18" s="3" t="e">
        <f>#REF!*#REF!</f>
        <v>#REF!</v>
      </c>
      <c r="P18" s="3" t="e">
        <f t="shared" si="3"/>
        <v>#REF!</v>
      </c>
      <c r="Q18" s="3" t="e">
        <f t="shared" si="4"/>
        <v>#REF!</v>
      </c>
      <c r="S18" s="3" t="e">
        <f>#REF!*#REF!/2</f>
        <v>#REF!</v>
      </c>
      <c r="T18" s="3" t="e">
        <f>#REF!*#REF!</f>
        <v>#REF!</v>
      </c>
      <c r="U18" s="3" t="e">
        <f t="shared" si="5"/>
        <v>#REF!</v>
      </c>
      <c r="V18" s="3" t="e">
        <f t="shared" si="6"/>
        <v>#REF!</v>
      </c>
      <c r="X18" s="3" t="e">
        <f>#REF!*#REF!/2</f>
        <v>#REF!</v>
      </c>
      <c r="Y18" s="3" t="e">
        <f>#REF!*#REF!</f>
        <v>#REF!</v>
      </c>
      <c r="Z18" s="3" t="e">
        <f t="shared" si="7"/>
        <v>#REF!</v>
      </c>
      <c r="AA18" s="3" t="e">
        <f t="shared" si="8"/>
        <v>#REF!</v>
      </c>
    </row>
    <row r="19" spans="3:27" x14ac:dyDescent="0.15">
      <c r="G19" s="3">
        <v>11</v>
      </c>
      <c r="H19" s="3" t="e">
        <f>#REF!*#REF!/2</f>
        <v>#REF!</v>
      </c>
      <c r="I19" s="3" t="e">
        <f>#REF!*#REF!</f>
        <v>#REF!</v>
      </c>
      <c r="J19" s="3" t="e">
        <f t="shared" si="0"/>
        <v>#REF!</v>
      </c>
      <c r="K19" s="3" t="e">
        <f t="shared" si="1"/>
        <v>#REF!</v>
      </c>
      <c r="L19" s="3" t="e">
        <f t="shared" si="2"/>
        <v>#REF!</v>
      </c>
      <c r="N19" s="3" t="e">
        <f>#REF!*#REF!/2</f>
        <v>#REF!</v>
      </c>
      <c r="O19" s="3" t="e">
        <f>#REF!*#REF!</f>
        <v>#REF!</v>
      </c>
      <c r="P19" s="3" t="e">
        <f t="shared" si="3"/>
        <v>#REF!</v>
      </c>
      <c r="Q19" s="3" t="e">
        <f t="shared" si="4"/>
        <v>#REF!</v>
      </c>
      <c r="S19" s="3" t="e">
        <f>#REF!*#REF!/2</f>
        <v>#REF!</v>
      </c>
      <c r="T19" s="3" t="e">
        <f>#REF!*#REF!</f>
        <v>#REF!</v>
      </c>
      <c r="U19" s="3" t="e">
        <f t="shared" si="5"/>
        <v>#REF!</v>
      </c>
      <c r="V19" s="3" t="e">
        <f t="shared" si="6"/>
        <v>#REF!</v>
      </c>
      <c r="X19" s="3" t="e">
        <f>#REF!*#REF!/2</f>
        <v>#REF!</v>
      </c>
      <c r="Y19" s="3" t="e">
        <f>#REF!*#REF!</f>
        <v>#REF!</v>
      </c>
      <c r="Z19" s="3" t="e">
        <f t="shared" si="7"/>
        <v>#REF!</v>
      </c>
      <c r="AA19" s="3" t="e">
        <f t="shared" si="8"/>
        <v>#REF!</v>
      </c>
    </row>
    <row r="20" spans="3:27" x14ac:dyDescent="0.15">
      <c r="C20" s="3">
        <f>(1/2)/(1/4)</f>
        <v>2</v>
      </c>
      <c r="G20" s="3">
        <v>12</v>
      </c>
      <c r="H20" s="3" t="e">
        <f>#REF!*#REF!/2</f>
        <v>#REF!</v>
      </c>
      <c r="I20" s="3" t="e">
        <f>#REF!*#REF!</f>
        <v>#REF!</v>
      </c>
      <c r="J20" s="3" t="e">
        <f t="shared" si="0"/>
        <v>#REF!</v>
      </c>
      <c r="K20" s="3" t="e">
        <f t="shared" si="1"/>
        <v>#REF!</v>
      </c>
      <c r="L20" s="3" t="e">
        <f t="shared" si="2"/>
        <v>#REF!</v>
      </c>
      <c r="N20" s="3" t="e">
        <f>#REF!*#REF!/2</f>
        <v>#REF!</v>
      </c>
      <c r="O20" s="3" t="e">
        <f>#REF!*#REF!</f>
        <v>#REF!</v>
      </c>
      <c r="P20" s="3" t="e">
        <f t="shared" si="3"/>
        <v>#REF!</v>
      </c>
      <c r="Q20" s="3" t="e">
        <f t="shared" si="4"/>
        <v>#REF!</v>
      </c>
      <c r="S20" s="3" t="e">
        <f>#REF!*#REF!/2</f>
        <v>#REF!</v>
      </c>
      <c r="T20" s="3" t="e">
        <f>#REF!*#REF!</f>
        <v>#REF!</v>
      </c>
      <c r="U20" s="3" t="e">
        <f t="shared" si="5"/>
        <v>#REF!</v>
      </c>
      <c r="V20" s="3" t="e">
        <f t="shared" si="6"/>
        <v>#REF!</v>
      </c>
      <c r="X20" s="3" t="e">
        <f>#REF!*#REF!/2</f>
        <v>#REF!</v>
      </c>
      <c r="Y20" s="3" t="e">
        <f>#REF!*#REF!</f>
        <v>#REF!</v>
      </c>
      <c r="Z20" s="3" t="e">
        <f t="shared" si="7"/>
        <v>#REF!</v>
      </c>
      <c r="AA20" s="3" t="e">
        <f t="shared" si="8"/>
        <v>#REF!</v>
      </c>
    </row>
    <row r="21" spans="3:27" x14ac:dyDescent="0.15">
      <c r="G21" s="3">
        <v>13</v>
      </c>
      <c r="H21" s="3" t="e">
        <f>#REF!*#REF!/2</f>
        <v>#REF!</v>
      </c>
      <c r="I21" s="3" t="e">
        <f>#REF!*#REF!</f>
        <v>#REF!</v>
      </c>
      <c r="J21" s="3" t="e">
        <f t="shared" si="0"/>
        <v>#REF!</v>
      </c>
      <c r="K21" s="3" t="e">
        <f t="shared" si="1"/>
        <v>#REF!</v>
      </c>
      <c r="L21" s="3" t="e">
        <f t="shared" si="2"/>
        <v>#REF!</v>
      </c>
      <c r="N21" s="3" t="e">
        <f>#REF!*#REF!/2</f>
        <v>#REF!</v>
      </c>
      <c r="O21" s="3" t="e">
        <f>#REF!*#REF!</f>
        <v>#REF!</v>
      </c>
      <c r="P21" s="3" t="e">
        <f t="shared" si="3"/>
        <v>#REF!</v>
      </c>
      <c r="Q21" s="3" t="e">
        <f t="shared" si="4"/>
        <v>#REF!</v>
      </c>
      <c r="S21" s="3" t="e">
        <f>#REF!*#REF!/2</f>
        <v>#REF!</v>
      </c>
      <c r="T21" s="3" t="e">
        <f>#REF!*#REF!</f>
        <v>#REF!</v>
      </c>
      <c r="U21" s="3" t="e">
        <f t="shared" si="5"/>
        <v>#REF!</v>
      </c>
      <c r="V21" s="3" t="e">
        <f t="shared" si="6"/>
        <v>#REF!</v>
      </c>
      <c r="X21" s="3" t="e">
        <f>#REF!*#REF!/2</f>
        <v>#REF!</v>
      </c>
      <c r="Y21" s="3" t="e">
        <f>#REF!*#REF!</f>
        <v>#REF!</v>
      </c>
      <c r="Z21" s="3" t="e">
        <f t="shared" si="7"/>
        <v>#REF!</v>
      </c>
      <c r="AA21" s="3" t="e">
        <f t="shared" si="8"/>
        <v>#REF!</v>
      </c>
    </row>
    <row r="22" spans="3:27" x14ac:dyDescent="0.15">
      <c r="G22" s="3">
        <v>14</v>
      </c>
      <c r="H22" s="3" t="e">
        <f>#REF!*#REF!/2</f>
        <v>#REF!</v>
      </c>
      <c r="I22" s="3" t="e">
        <f>#REF!*#REF!</f>
        <v>#REF!</v>
      </c>
      <c r="J22" s="3" t="e">
        <f t="shared" si="0"/>
        <v>#REF!</v>
      </c>
      <c r="K22" s="3" t="e">
        <f t="shared" si="1"/>
        <v>#REF!</v>
      </c>
      <c r="L22" s="3" t="e">
        <f t="shared" si="2"/>
        <v>#REF!</v>
      </c>
      <c r="N22" s="3" t="e">
        <f>#REF!*#REF!/2</f>
        <v>#REF!</v>
      </c>
      <c r="O22" s="3" t="e">
        <f>#REF!*#REF!</f>
        <v>#REF!</v>
      </c>
      <c r="P22" s="3" t="e">
        <f t="shared" si="3"/>
        <v>#REF!</v>
      </c>
      <c r="Q22" s="3" t="e">
        <f t="shared" si="4"/>
        <v>#REF!</v>
      </c>
      <c r="S22" s="3" t="e">
        <f>#REF!*#REF!/2</f>
        <v>#REF!</v>
      </c>
      <c r="T22" s="3" t="e">
        <f>#REF!*#REF!</f>
        <v>#REF!</v>
      </c>
      <c r="U22" s="3" t="e">
        <f t="shared" si="5"/>
        <v>#REF!</v>
      </c>
      <c r="V22" s="3" t="e">
        <f t="shared" si="6"/>
        <v>#REF!</v>
      </c>
      <c r="X22" s="3" t="e">
        <f>#REF!*#REF!/2</f>
        <v>#REF!</v>
      </c>
      <c r="Y22" s="3" t="e">
        <f>#REF!*#REF!</f>
        <v>#REF!</v>
      </c>
      <c r="Z22" s="3" t="e">
        <f t="shared" si="7"/>
        <v>#REF!</v>
      </c>
      <c r="AA22" s="3" t="e">
        <f t="shared" si="8"/>
        <v>#REF!</v>
      </c>
    </row>
    <row r="23" spans="3:27" x14ac:dyDescent="0.15">
      <c r="G23" s="3">
        <v>15</v>
      </c>
      <c r="H23" s="3" t="e">
        <f>#REF!*#REF!/2</f>
        <v>#REF!</v>
      </c>
      <c r="I23" s="3" t="e">
        <f>#REF!*#REF!</f>
        <v>#REF!</v>
      </c>
      <c r="J23" s="3" t="e">
        <f t="shared" si="0"/>
        <v>#REF!</v>
      </c>
      <c r="K23" s="3" t="e">
        <f t="shared" si="1"/>
        <v>#REF!</v>
      </c>
      <c r="L23" s="3" t="e">
        <f t="shared" si="2"/>
        <v>#REF!</v>
      </c>
      <c r="N23" s="3" t="e">
        <f>#REF!*#REF!/2</f>
        <v>#REF!</v>
      </c>
      <c r="O23" s="3" t="e">
        <f>#REF!*#REF!</f>
        <v>#REF!</v>
      </c>
      <c r="P23" s="3" t="e">
        <f t="shared" si="3"/>
        <v>#REF!</v>
      </c>
      <c r="Q23" s="3" t="e">
        <f t="shared" si="4"/>
        <v>#REF!</v>
      </c>
      <c r="S23" s="3" t="e">
        <f>#REF!*#REF!/2</f>
        <v>#REF!</v>
      </c>
      <c r="T23" s="3" t="e">
        <f>#REF!*#REF!</f>
        <v>#REF!</v>
      </c>
      <c r="U23" s="3" t="e">
        <f t="shared" si="5"/>
        <v>#REF!</v>
      </c>
      <c r="V23" s="3" t="e">
        <f t="shared" si="6"/>
        <v>#REF!</v>
      </c>
      <c r="X23" s="3" t="e">
        <f>#REF!*#REF!/2</f>
        <v>#REF!</v>
      </c>
      <c r="Y23" s="3" t="e">
        <f>#REF!*#REF!</f>
        <v>#REF!</v>
      </c>
      <c r="Z23" s="3" t="e">
        <f t="shared" si="7"/>
        <v>#REF!</v>
      </c>
      <c r="AA23" s="3" t="e">
        <f t="shared" si="8"/>
        <v>#REF!</v>
      </c>
    </row>
    <row r="24" spans="3:27" x14ac:dyDescent="0.15">
      <c r="G24" s="3">
        <v>16</v>
      </c>
      <c r="H24" s="3" t="e">
        <f>#REF!*#REF!/2</f>
        <v>#REF!</v>
      </c>
      <c r="I24" s="3" t="e">
        <f>#REF!*#REF!</f>
        <v>#REF!</v>
      </c>
      <c r="J24" s="3" t="e">
        <f t="shared" si="0"/>
        <v>#REF!</v>
      </c>
      <c r="K24" s="3" t="e">
        <f t="shared" si="1"/>
        <v>#REF!</v>
      </c>
      <c r="L24" s="3" t="e">
        <f t="shared" si="2"/>
        <v>#REF!</v>
      </c>
      <c r="N24" s="3" t="e">
        <f>#REF!*#REF!/2</f>
        <v>#REF!</v>
      </c>
      <c r="O24" s="3" t="e">
        <f>#REF!*#REF!</f>
        <v>#REF!</v>
      </c>
      <c r="P24" s="3" t="e">
        <f t="shared" si="3"/>
        <v>#REF!</v>
      </c>
      <c r="Q24" s="3" t="e">
        <f t="shared" si="4"/>
        <v>#REF!</v>
      </c>
      <c r="S24" s="3" t="e">
        <f>#REF!*#REF!/2</f>
        <v>#REF!</v>
      </c>
      <c r="T24" s="3" t="e">
        <f>#REF!*#REF!</f>
        <v>#REF!</v>
      </c>
      <c r="U24" s="3" t="e">
        <f t="shared" si="5"/>
        <v>#REF!</v>
      </c>
      <c r="V24" s="3" t="e">
        <f t="shared" si="6"/>
        <v>#REF!</v>
      </c>
      <c r="X24" s="3" t="e">
        <f>#REF!*#REF!/2</f>
        <v>#REF!</v>
      </c>
      <c r="Y24" s="3" t="e">
        <f>#REF!*#REF!</f>
        <v>#REF!</v>
      </c>
      <c r="Z24" s="3" t="e">
        <f t="shared" si="7"/>
        <v>#REF!</v>
      </c>
      <c r="AA24" s="3" t="e">
        <f t="shared" si="8"/>
        <v>#REF!</v>
      </c>
    </row>
    <row r="25" spans="3:27" x14ac:dyDescent="0.15">
      <c r="G25" s="3">
        <v>17</v>
      </c>
      <c r="H25" s="3" t="e">
        <f>#REF!*#REF!/2</f>
        <v>#REF!</v>
      </c>
      <c r="I25" s="3" t="e">
        <f>#REF!*#REF!</f>
        <v>#REF!</v>
      </c>
      <c r="J25" s="3" t="e">
        <f t="shared" si="0"/>
        <v>#REF!</v>
      </c>
      <c r="K25" s="3" t="e">
        <f t="shared" si="1"/>
        <v>#REF!</v>
      </c>
      <c r="L25" s="3" t="e">
        <f t="shared" si="2"/>
        <v>#REF!</v>
      </c>
      <c r="N25" s="3" t="e">
        <f>#REF!*#REF!/2</f>
        <v>#REF!</v>
      </c>
      <c r="O25" s="3" t="e">
        <f>#REF!*#REF!</f>
        <v>#REF!</v>
      </c>
      <c r="P25" s="3" t="e">
        <f t="shared" si="3"/>
        <v>#REF!</v>
      </c>
      <c r="Q25" s="3" t="e">
        <f t="shared" si="4"/>
        <v>#REF!</v>
      </c>
      <c r="S25" s="3" t="e">
        <f>#REF!*#REF!/2</f>
        <v>#REF!</v>
      </c>
      <c r="T25" s="3" t="e">
        <f>#REF!*#REF!</f>
        <v>#REF!</v>
      </c>
      <c r="U25" s="3" t="e">
        <f t="shared" si="5"/>
        <v>#REF!</v>
      </c>
      <c r="V25" s="3" t="e">
        <f t="shared" si="6"/>
        <v>#REF!</v>
      </c>
      <c r="X25" s="3" t="e">
        <f>#REF!*#REF!/2</f>
        <v>#REF!</v>
      </c>
      <c r="Y25" s="3" t="e">
        <f>#REF!*#REF!</f>
        <v>#REF!</v>
      </c>
      <c r="Z25" s="3" t="e">
        <f t="shared" si="7"/>
        <v>#REF!</v>
      </c>
      <c r="AA25" s="3" t="e">
        <f t="shared" si="8"/>
        <v>#REF!</v>
      </c>
    </row>
    <row r="26" spans="3:27" x14ac:dyDescent="0.15">
      <c r="G26" s="3">
        <v>18</v>
      </c>
      <c r="H26" s="3" t="e">
        <f>#REF!*#REF!/2</f>
        <v>#REF!</v>
      </c>
      <c r="I26" s="3" t="e">
        <f>#REF!*#REF!</f>
        <v>#REF!</v>
      </c>
      <c r="J26" s="3" t="e">
        <f t="shared" si="0"/>
        <v>#REF!</v>
      </c>
      <c r="K26" s="3" t="e">
        <f t="shared" si="1"/>
        <v>#REF!</v>
      </c>
      <c r="L26" s="3" t="e">
        <f t="shared" si="2"/>
        <v>#REF!</v>
      </c>
      <c r="N26" s="3" t="e">
        <f>#REF!*#REF!/2</f>
        <v>#REF!</v>
      </c>
      <c r="O26" s="3" t="e">
        <f>#REF!*#REF!</f>
        <v>#REF!</v>
      </c>
      <c r="P26" s="3" t="e">
        <f t="shared" si="3"/>
        <v>#REF!</v>
      </c>
      <c r="Q26" s="3" t="e">
        <f t="shared" si="4"/>
        <v>#REF!</v>
      </c>
      <c r="S26" s="3" t="e">
        <f>#REF!*#REF!/2</f>
        <v>#REF!</v>
      </c>
      <c r="T26" s="3" t="e">
        <f>#REF!*#REF!</f>
        <v>#REF!</v>
      </c>
      <c r="U26" s="3" t="e">
        <f t="shared" si="5"/>
        <v>#REF!</v>
      </c>
      <c r="V26" s="3" t="e">
        <f t="shared" si="6"/>
        <v>#REF!</v>
      </c>
      <c r="X26" s="3" t="e">
        <f>#REF!*#REF!/2</f>
        <v>#REF!</v>
      </c>
      <c r="Y26" s="3" t="e">
        <f>#REF!*#REF!</f>
        <v>#REF!</v>
      </c>
      <c r="Z26" s="3" t="e">
        <f t="shared" si="7"/>
        <v>#REF!</v>
      </c>
      <c r="AA26" s="3" t="e">
        <f t="shared" si="8"/>
        <v>#REF!</v>
      </c>
    </row>
    <row r="27" spans="3:27" x14ac:dyDescent="0.15">
      <c r="G27" s="3">
        <v>19</v>
      </c>
      <c r="H27" s="3" t="e">
        <f>#REF!*#REF!/2</f>
        <v>#REF!</v>
      </c>
      <c r="I27" s="3" t="e">
        <f>#REF!*#REF!</f>
        <v>#REF!</v>
      </c>
      <c r="J27" s="3" t="e">
        <f t="shared" si="0"/>
        <v>#REF!</v>
      </c>
      <c r="K27" s="3" t="e">
        <f t="shared" si="1"/>
        <v>#REF!</v>
      </c>
      <c r="L27" s="3" t="e">
        <f t="shared" si="2"/>
        <v>#REF!</v>
      </c>
      <c r="N27" s="3" t="e">
        <f>#REF!*#REF!/2</f>
        <v>#REF!</v>
      </c>
      <c r="O27" s="3" t="e">
        <f>#REF!*#REF!</f>
        <v>#REF!</v>
      </c>
      <c r="P27" s="3" t="e">
        <f t="shared" si="3"/>
        <v>#REF!</v>
      </c>
      <c r="Q27" s="3" t="e">
        <f t="shared" si="4"/>
        <v>#REF!</v>
      </c>
      <c r="S27" s="3" t="e">
        <f>#REF!*#REF!/2</f>
        <v>#REF!</v>
      </c>
      <c r="T27" s="3" t="e">
        <f>#REF!*#REF!</f>
        <v>#REF!</v>
      </c>
      <c r="U27" s="3" t="e">
        <f t="shared" si="5"/>
        <v>#REF!</v>
      </c>
      <c r="V27" s="3" t="e">
        <f t="shared" si="6"/>
        <v>#REF!</v>
      </c>
      <c r="X27" s="3" t="e">
        <f>#REF!*#REF!/2</f>
        <v>#REF!</v>
      </c>
      <c r="Y27" s="3" t="e">
        <f>#REF!*#REF!</f>
        <v>#REF!</v>
      </c>
      <c r="Z27" s="3" t="e">
        <f t="shared" si="7"/>
        <v>#REF!</v>
      </c>
      <c r="AA27" s="3" t="e">
        <f t="shared" si="8"/>
        <v>#REF!</v>
      </c>
    </row>
    <row r="28" spans="3:27" x14ac:dyDescent="0.15">
      <c r="G28" s="3">
        <v>20</v>
      </c>
      <c r="H28" s="3" t="e">
        <f>#REF!*#REF!/2</f>
        <v>#REF!</v>
      </c>
      <c r="I28" s="3" t="e">
        <f>#REF!*#REF!</f>
        <v>#REF!</v>
      </c>
      <c r="J28" s="3" t="e">
        <f t="shared" si="0"/>
        <v>#REF!</v>
      </c>
      <c r="K28" s="3" t="e">
        <f t="shared" si="1"/>
        <v>#REF!</v>
      </c>
      <c r="L28" s="3" t="e">
        <f t="shared" si="2"/>
        <v>#REF!</v>
      </c>
      <c r="N28" s="3" t="e">
        <f>#REF!*#REF!/2</f>
        <v>#REF!</v>
      </c>
      <c r="O28" s="3" t="e">
        <f>#REF!*#REF!</f>
        <v>#REF!</v>
      </c>
      <c r="P28" s="3" t="e">
        <f t="shared" si="3"/>
        <v>#REF!</v>
      </c>
      <c r="Q28" s="3" t="e">
        <f t="shared" si="4"/>
        <v>#REF!</v>
      </c>
      <c r="S28" s="3" t="e">
        <f>#REF!*#REF!/2</f>
        <v>#REF!</v>
      </c>
      <c r="T28" s="3" t="e">
        <f>#REF!*#REF!</f>
        <v>#REF!</v>
      </c>
      <c r="U28" s="3" t="e">
        <f t="shared" si="5"/>
        <v>#REF!</v>
      </c>
      <c r="V28" s="3" t="e">
        <f t="shared" si="6"/>
        <v>#REF!</v>
      </c>
      <c r="X28" s="3" t="e">
        <f>#REF!*#REF!/2</f>
        <v>#REF!</v>
      </c>
      <c r="Y28" s="3" t="e">
        <f>#REF!*#REF!</f>
        <v>#REF!</v>
      </c>
      <c r="Z28" s="3" t="e">
        <f t="shared" si="7"/>
        <v>#REF!</v>
      </c>
      <c r="AA28" s="3" t="e">
        <f t="shared" si="8"/>
        <v>#REF!</v>
      </c>
    </row>
    <row r="29" spans="3:27" x14ac:dyDescent="0.15">
      <c r="G29" s="3">
        <v>21</v>
      </c>
      <c r="H29" s="3" t="e">
        <f>#REF!*#REF!/2</f>
        <v>#REF!</v>
      </c>
      <c r="I29" s="3" t="e">
        <f>#REF!*#REF!</f>
        <v>#REF!</v>
      </c>
      <c r="J29" s="3" t="e">
        <f t="shared" si="0"/>
        <v>#REF!</v>
      </c>
      <c r="K29" s="3" t="e">
        <f t="shared" si="1"/>
        <v>#REF!</v>
      </c>
      <c r="L29" s="3" t="e">
        <f t="shared" si="2"/>
        <v>#REF!</v>
      </c>
      <c r="N29" s="3" t="e">
        <f>#REF!*#REF!/2</f>
        <v>#REF!</v>
      </c>
      <c r="O29" s="3" t="e">
        <f>#REF!*#REF!</f>
        <v>#REF!</v>
      </c>
      <c r="P29" s="3" t="e">
        <f t="shared" si="3"/>
        <v>#REF!</v>
      </c>
      <c r="Q29" s="3" t="e">
        <f t="shared" si="4"/>
        <v>#REF!</v>
      </c>
      <c r="S29" s="3" t="e">
        <f>#REF!*#REF!/2</f>
        <v>#REF!</v>
      </c>
      <c r="T29" s="3" t="e">
        <f>#REF!*#REF!</f>
        <v>#REF!</v>
      </c>
      <c r="U29" s="3" t="e">
        <f t="shared" si="5"/>
        <v>#REF!</v>
      </c>
      <c r="V29" s="3" t="e">
        <f t="shared" si="6"/>
        <v>#REF!</v>
      </c>
      <c r="X29" s="3" t="e">
        <f>#REF!*#REF!/2</f>
        <v>#REF!</v>
      </c>
      <c r="Y29" s="3" t="e">
        <f>#REF!*#REF!</f>
        <v>#REF!</v>
      </c>
      <c r="Z29" s="3" t="e">
        <f t="shared" si="7"/>
        <v>#REF!</v>
      </c>
      <c r="AA29" s="3" t="e">
        <f t="shared" si="8"/>
        <v>#REF!</v>
      </c>
    </row>
    <row r="30" spans="3:27" x14ac:dyDescent="0.15">
      <c r="G30" s="3">
        <v>22</v>
      </c>
      <c r="H30" s="3" t="e">
        <f>#REF!*#REF!/2</f>
        <v>#REF!</v>
      </c>
      <c r="I30" s="3" t="e">
        <f>#REF!*#REF!</f>
        <v>#REF!</v>
      </c>
      <c r="J30" s="3" t="e">
        <f t="shared" si="0"/>
        <v>#REF!</v>
      </c>
      <c r="K30" s="3" t="e">
        <f t="shared" si="1"/>
        <v>#REF!</v>
      </c>
      <c r="L30" s="3" t="e">
        <f t="shared" si="2"/>
        <v>#REF!</v>
      </c>
      <c r="N30" s="3" t="e">
        <f>#REF!*#REF!/2</f>
        <v>#REF!</v>
      </c>
      <c r="O30" s="3" t="e">
        <f>#REF!*#REF!</f>
        <v>#REF!</v>
      </c>
      <c r="P30" s="3" t="e">
        <f t="shared" si="3"/>
        <v>#REF!</v>
      </c>
      <c r="Q30" s="3" t="e">
        <f t="shared" si="4"/>
        <v>#REF!</v>
      </c>
      <c r="S30" s="3" t="e">
        <f>#REF!*#REF!/2</f>
        <v>#REF!</v>
      </c>
      <c r="T30" s="3" t="e">
        <f>#REF!*#REF!</f>
        <v>#REF!</v>
      </c>
      <c r="U30" s="3" t="e">
        <f t="shared" si="5"/>
        <v>#REF!</v>
      </c>
      <c r="V30" s="3" t="e">
        <f t="shared" si="6"/>
        <v>#REF!</v>
      </c>
      <c r="X30" s="3" t="e">
        <f>#REF!*#REF!/2</f>
        <v>#REF!</v>
      </c>
      <c r="Y30" s="3" t="e">
        <f>#REF!*#REF!</f>
        <v>#REF!</v>
      </c>
      <c r="Z30" s="3" t="e">
        <f t="shared" si="7"/>
        <v>#REF!</v>
      </c>
      <c r="AA30" s="3" t="e">
        <f t="shared" si="8"/>
        <v>#REF!</v>
      </c>
    </row>
    <row r="31" spans="3:27" x14ac:dyDescent="0.15">
      <c r="G31" s="3">
        <v>23</v>
      </c>
      <c r="H31" s="3" t="e">
        <f>#REF!*#REF!/2</f>
        <v>#REF!</v>
      </c>
      <c r="I31" s="3" t="e">
        <f>#REF!*#REF!</f>
        <v>#REF!</v>
      </c>
      <c r="J31" s="3" t="e">
        <f t="shared" si="0"/>
        <v>#REF!</v>
      </c>
      <c r="K31" s="3" t="e">
        <f t="shared" si="1"/>
        <v>#REF!</v>
      </c>
      <c r="L31" s="3" t="e">
        <f t="shared" si="2"/>
        <v>#REF!</v>
      </c>
      <c r="N31" s="3" t="e">
        <f>#REF!*#REF!/2</f>
        <v>#REF!</v>
      </c>
      <c r="O31" s="3" t="e">
        <f>#REF!*#REF!</f>
        <v>#REF!</v>
      </c>
      <c r="P31" s="3" t="e">
        <f t="shared" si="3"/>
        <v>#REF!</v>
      </c>
      <c r="Q31" s="3" t="e">
        <f t="shared" si="4"/>
        <v>#REF!</v>
      </c>
      <c r="S31" s="3" t="e">
        <f>#REF!*#REF!/2</f>
        <v>#REF!</v>
      </c>
      <c r="T31" s="3" t="e">
        <f>#REF!*#REF!</f>
        <v>#REF!</v>
      </c>
      <c r="U31" s="3" t="e">
        <f t="shared" si="5"/>
        <v>#REF!</v>
      </c>
      <c r="V31" s="3" t="e">
        <f t="shared" si="6"/>
        <v>#REF!</v>
      </c>
      <c r="X31" s="3" t="e">
        <f>#REF!*#REF!/2</f>
        <v>#REF!</v>
      </c>
      <c r="Y31" s="3" t="e">
        <f>#REF!*#REF!</f>
        <v>#REF!</v>
      </c>
      <c r="Z31" s="3" t="e">
        <f t="shared" si="7"/>
        <v>#REF!</v>
      </c>
      <c r="AA31" s="3" t="e">
        <f t="shared" si="8"/>
        <v>#REF!</v>
      </c>
    </row>
    <row r="32" spans="3:27" x14ac:dyDescent="0.15">
      <c r="G32" s="3">
        <v>24</v>
      </c>
      <c r="H32" s="3" t="e">
        <f>#REF!*#REF!/2</f>
        <v>#REF!</v>
      </c>
      <c r="I32" s="3" t="e">
        <f>#REF!*#REF!</f>
        <v>#REF!</v>
      </c>
      <c r="J32" s="3" t="e">
        <f t="shared" si="0"/>
        <v>#REF!</v>
      </c>
      <c r="K32" s="3" t="e">
        <f t="shared" si="1"/>
        <v>#REF!</v>
      </c>
      <c r="L32" s="3" t="e">
        <f t="shared" si="2"/>
        <v>#REF!</v>
      </c>
      <c r="N32" s="3" t="e">
        <f>#REF!*#REF!/2</f>
        <v>#REF!</v>
      </c>
      <c r="O32" s="3" t="e">
        <f>#REF!*#REF!</f>
        <v>#REF!</v>
      </c>
      <c r="P32" s="3" t="e">
        <f t="shared" si="3"/>
        <v>#REF!</v>
      </c>
      <c r="Q32" s="3" t="e">
        <f t="shared" si="4"/>
        <v>#REF!</v>
      </c>
      <c r="S32" s="3" t="e">
        <f>#REF!*#REF!/2</f>
        <v>#REF!</v>
      </c>
      <c r="T32" s="3" t="e">
        <f>#REF!*#REF!</f>
        <v>#REF!</v>
      </c>
      <c r="U32" s="3" t="e">
        <f t="shared" si="5"/>
        <v>#REF!</v>
      </c>
      <c r="V32" s="3" t="e">
        <f t="shared" si="6"/>
        <v>#REF!</v>
      </c>
      <c r="X32" s="3" t="e">
        <f>#REF!*#REF!/2</f>
        <v>#REF!</v>
      </c>
      <c r="Y32" s="3" t="e">
        <f>#REF!*#REF!</f>
        <v>#REF!</v>
      </c>
      <c r="Z32" s="3" t="e">
        <f t="shared" si="7"/>
        <v>#REF!</v>
      </c>
      <c r="AA32" s="3" t="e">
        <f t="shared" si="8"/>
        <v>#REF!</v>
      </c>
    </row>
    <row r="33" spans="7:27" x14ac:dyDescent="0.15">
      <c r="G33" s="3">
        <v>25</v>
      </c>
      <c r="H33" s="3" t="e">
        <f>#REF!*#REF!/2</f>
        <v>#REF!</v>
      </c>
      <c r="I33" s="3" t="e">
        <f>#REF!*#REF!</f>
        <v>#REF!</v>
      </c>
      <c r="J33" s="3" t="e">
        <f t="shared" si="0"/>
        <v>#REF!</v>
      </c>
      <c r="K33" s="3" t="e">
        <f t="shared" si="1"/>
        <v>#REF!</v>
      </c>
      <c r="L33" s="3" t="e">
        <f t="shared" si="2"/>
        <v>#REF!</v>
      </c>
      <c r="N33" s="3" t="e">
        <f>#REF!*#REF!/2</f>
        <v>#REF!</v>
      </c>
      <c r="O33" s="3" t="e">
        <f>#REF!*#REF!</f>
        <v>#REF!</v>
      </c>
      <c r="P33" s="3" t="e">
        <f t="shared" si="3"/>
        <v>#REF!</v>
      </c>
      <c r="Q33" s="3" t="e">
        <f t="shared" si="4"/>
        <v>#REF!</v>
      </c>
      <c r="S33" s="3" t="e">
        <f>#REF!*#REF!/2</f>
        <v>#REF!</v>
      </c>
      <c r="T33" s="3" t="e">
        <f>#REF!*#REF!</f>
        <v>#REF!</v>
      </c>
      <c r="U33" s="3" t="e">
        <f t="shared" si="5"/>
        <v>#REF!</v>
      </c>
      <c r="V33" s="3" t="e">
        <f t="shared" si="6"/>
        <v>#REF!</v>
      </c>
      <c r="X33" s="3" t="e">
        <f>#REF!*#REF!/2</f>
        <v>#REF!</v>
      </c>
      <c r="Y33" s="3" t="e">
        <f>#REF!*#REF!</f>
        <v>#REF!</v>
      </c>
      <c r="Z33" s="3" t="e">
        <f t="shared" si="7"/>
        <v>#REF!</v>
      </c>
      <c r="AA33" s="3" t="e">
        <f t="shared" si="8"/>
        <v>#REF!</v>
      </c>
    </row>
    <row r="34" spans="7:27" x14ac:dyDescent="0.15">
      <c r="G34" s="3">
        <v>26</v>
      </c>
      <c r="H34" s="3" t="e">
        <f>#REF!*#REF!/2</f>
        <v>#REF!</v>
      </c>
      <c r="I34" s="3" t="e">
        <f>#REF!*#REF!</f>
        <v>#REF!</v>
      </c>
      <c r="J34" s="3" t="e">
        <f t="shared" si="0"/>
        <v>#REF!</v>
      </c>
      <c r="K34" s="3" t="e">
        <f t="shared" si="1"/>
        <v>#REF!</v>
      </c>
      <c r="L34" s="3" t="e">
        <f t="shared" si="2"/>
        <v>#REF!</v>
      </c>
      <c r="N34" s="3" t="e">
        <f>#REF!*#REF!/2</f>
        <v>#REF!</v>
      </c>
      <c r="O34" s="3" t="e">
        <f>#REF!*#REF!</f>
        <v>#REF!</v>
      </c>
      <c r="P34" s="3" t="e">
        <f t="shared" si="3"/>
        <v>#REF!</v>
      </c>
      <c r="Q34" s="3" t="e">
        <f t="shared" si="4"/>
        <v>#REF!</v>
      </c>
      <c r="S34" s="3" t="e">
        <f>#REF!*#REF!/2</f>
        <v>#REF!</v>
      </c>
      <c r="T34" s="3" t="e">
        <f>#REF!*#REF!</f>
        <v>#REF!</v>
      </c>
      <c r="U34" s="3" t="e">
        <f t="shared" si="5"/>
        <v>#REF!</v>
      </c>
      <c r="V34" s="3" t="e">
        <f t="shared" si="6"/>
        <v>#REF!</v>
      </c>
      <c r="X34" s="3" t="e">
        <f>#REF!*#REF!/2</f>
        <v>#REF!</v>
      </c>
      <c r="Y34" s="3" t="e">
        <f>#REF!*#REF!</f>
        <v>#REF!</v>
      </c>
      <c r="Z34" s="3" t="e">
        <f t="shared" si="7"/>
        <v>#REF!</v>
      </c>
      <c r="AA34" s="3" t="e">
        <f t="shared" si="8"/>
        <v>#REF!</v>
      </c>
    </row>
    <row r="35" spans="7:27" x14ac:dyDescent="0.15">
      <c r="G35" s="3">
        <v>27</v>
      </c>
      <c r="H35" s="3" t="e">
        <f>#REF!*#REF!/2</f>
        <v>#REF!</v>
      </c>
      <c r="I35" s="3" t="e">
        <f>#REF!*#REF!</f>
        <v>#REF!</v>
      </c>
      <c r="J35" s="3" t="e">
        <f t="shared" si="0"/>
        <v>#REF!</v>
      </c>
      <c r="K35" s="3" t="e">
        <f t="shared" si="1"/>
        <v>#REF!</v>
      </c>
      <c r="L35" s="3" t="e">
        <f t="shared" si="2"/>
        <v>#REF!</v>
      </c>
      <c r="N35" s="3" t="e">
        <f>#REF!*#REF!/2</f>
        <v>#REF!</v>
      </c>
      <c r="O35" s="3" t="e">
        <f>#REF!*#REF!</f>
        <v>#REF!</v>
      </c>
      <c r="P35" s="3" t="e">
        <f t="shared" si="3"/>
        <v>#REF!</v>
      </c>
      <c r="Q35" s="3" t="e">
        <f t="shared" si="4"/>
        <v>#REF!</v>
      </c>
      <c r="S35" s="3" t="e">
        <f>#REF!*#REF!/2</f>
        <v>#REF!</v>
      </c>
      <c r="T35" s="3" t="e">
        <f>#REF!*#REF!</f>
        <v>#REF!</v>
      </c>
      <c r="U35" s="3" t="e">
        <f t="shared" si="5"/>
        <v>#REF!</v>
      </c>
      <c r="V35" s="3" t="e">
        <f t="shared" si="6"/>
        <v>#REF!</v>
      </c>
      <c r="X35" s="3" t="e">
        <f>#REF!*#REF!/2</f>
        <v>#REF!</v>
      </c>
      <c r="Y35" s="3" t="e">
        <f>#REF!*#REF!</f>
        <v>#REF!</v>
      </c>
      <c r="Z35" s="3" t="e">
        <f t="shared" si="7"/>
        <v>#REF!</v>
      </c>
      <c r="AA35" s="3" t="e">
        <f t="shared" si="8"/>
        <v>#REF!</v>
      </c>
    </row>
    <row r="36" spans="7:27" x14ac:dyDescent="0.15">
      <c r="G36" s="3">
        <v>28</v>
      </c>
      <c r="H36" s="3" t="e">
        <f>#REF!*#REF!/2</f>
        <v>#REF!</v>
      </c>
      <c r="I36" s="3" t="e">
        <f>#REF!*#REF!</f>
        <v>#REF!</v>
      </c>
      <c r="J36" s="3" t="e">
        <f t="shared" si="0"/>
        <v>#REF!</v>
      </c>
      <c r="K36" s="3" t="e">
        <f t="shared" si="1"/>
        <v>#REF!</v>
      </c>
      <c r="L36" s="3" t="e">
        <f t="shared" si="2"/>
        <v>#REF!</v>
      </c>
      <c r="N36" s="3" t="e">
        <f>#REF!*#REF!/2</f>
        <v>#REF!</v>
      </c>
      <c r="O36" s="3" t="e">
        <f>#REF!*#REF!</f>
        <v>#REF!</v>
      </c>
      <c r="P36" s="3" t="e">
        <f t="shared" si="3"/>
        <v>#REF!</v>
      </c>
      <c r="Q36" s="3" t="e">
        <f t="shared" si="4"/>
        <v>#REF!</v>
      </c>
      <c r="S36" s="3" t="e">
        <f>#REF!*#REF!/2</f>
        <v>#REF!</v>
      </c>
      <c r="T36" s="3" t="e">
        <f>#REF!*#REF!</f>
        <v>#REF!</v>
      </c>
      <c r="U36" s="3" t="e">
        <f t="shared" si="5"/>
        <v>#REF!</v>
      </c>
      <c r="V36" s="3" t="e">
        <f t="shared" si="6"/>
        <v>#REF!</v>
      </c>
      <c r="X36" s="3" t="e">
        <f>#REF!*#REF!/2</f>
        <v>#REF!</v>
      </c>
      <c r="Y36" s="3" t="e">
        <f>#REF!*#REF!</f>
        <v>#REF!</v>
      </c>
      <c r="Z36" s="3" t="e">
        <f t="shared" si="7"/>
        <v>#REF!</v>
      </c>
      <c r="AA36" s="3" t="e">
        <f t="shared" si="8"/>
        <v>#REF!</v>
      </c>
    </row>
    <row r="37" spans="7:27" x14ac:dyDescent="0.15">
      <c r="G37" s="3">
        <v>29</v>
      </c>
      <c r="H37" s="3" t="e">
        <f>#REF!*#REF!/2</f>
        <v>#REF!</v>
      </c>
      <c r="I37" s="3" t="e">
        <f>#REF!*#REF!</f>
        <v>#REF!</v>
      </c>
      <c r="J37" s="3" t="e">
        <f t="shared" si="0"/>
        <v>#REF!</v>
      </c>
      <c r="K37" s="3" t="e">
        <f t="shared" si="1"/>
        <v>#REF!</v>
      </c>
      <c r="L37" s="3" t="e">
        <f t="shared" si="2"/>
        <v>#REF!</v>
      </c>
      <c r="N37" s="3" t="e">
        <f>#REF!*#REF!/2</f>
        <v>#REF!</v>
      </c>
      <c r="O37" s="3" t="e">
        <f>#REF!*#REF!</f>
        <v>#REF!</v>
      </c>
      <c r="P37" s="3" t="e">
        <f t="shared" si="3"/>
        <v>#REF!</v>
      </c>
      <c r="Q37" s="3" t="e">
        <f t="shared" si="4"/>
        <v>#REF!</v>
      </c>
      <c r="S37" s="3" t="e">
        <f>#REF!*#REF!/2</f>
        <v>#REF!</v>
      </c>
      <c r="T37" s="3" t="e">
        <f>#REF!*#REF!</f>
        <v>#REF!</v>
      </c>
      <c r="U37" s="3" t="e">
        <f t="shared" si="5"/>
        <v>#REF!</v>
      </c>
      <c r="V37" s="3" t="e">
        <f t="shared" si="6"/>
        <v>#REF!</v>
      </c>
      <c r="X37" s="3" t="e">
        <f>#REF!*#REF!/2</f>
        <v>#REF!</v>
      </c>
      <c r="Y37" s="3" t="e">
        <f>#REF!*#REF!</f>
        <v>#REF!</v>
      </c>
      <c r="Z37" s="3" t="e">
        <f t="shared" si="7"/>
        <v>#REF!</v>
      </c>
      <c r="AA37" s="3" t="e">
        <f t="shared" si="8"/>
        <v>#REF!</v>
      </c>
    </row>
    <row r="38" spans="7:27" x14ac:dyDescent="0.15">
      <c r="G38" s="3">
        <v>30</v>
      </c>
      <c r="H38" s="3" t="e">
        <f>#REF!*#REF!/2</f>
        <v>#REF!</v>
      </c>
      <c r="I38" s="3" t="e">
        <f>#REF!*#REF!</f>
        <v>#REF!</v>
      </c>
      <c r="J38" s="3" t="e">
        <f t="shared" si="0"/>
        <v>#REF!</v>
      </c>
      <c r="K38" s="3" t="e">
        <f t="shared" si="1"/>
        <v>#REF!</v>
      </c>
      <c r="L38" s="3" t="e">
        <f t="shared" si="2"/>
        <v>#REF!</v>
      </c>
      <c r="N38" s="3" t="e">
        <f>#REF!*#REF!/2</f>
        <v>#REF!</v>
      </c>
      <c r="O38" s="3" t="e">
        <f>#REF!*#REF!</f>
        <v>#REF!</v>
      </c>
      <c r="P38" s="3" t="e">
        <f t="shared" si="3"/>
        <v>#REF!</v>
      </c>
      <c r="Q38" s="3" t="e">
        <f t="shared" si="4"/>
        <v>#REF!</v>
      </c>
      <c r="S38" s="3" t="e">
        <f>#REF!*#REF!/2</f>
        <v>#REF!</v>
      </c>
      <c r="T38" s="3" t="e">
        <f>#REF!*#REF!</f>
        <v>#REF!</v>
      </c>
      <c r="U38" s="3" t="e">
        <f t="shared" si="5"/>
        <v>#REF!</v>
      </c>
      <c r="V38" s="3" t="e">
        <f t="shared" si="6"/>
        <v>#REF!</v>
      </c>
      <c r="X38" s="3" t="e">
        <f>#REF!*#REF!/2</f>
        <v>#REF!</v>
      </c>
      <c r="Y38" s="3" t="e">
        <f>#REF!*#REF!</f>
        <v>#REF!</v>
      </c>
      <c r="Z38" s="3" t="e">
        <f t="shared" si="7"/>
        <v>#REF!</v>
      </c>
      <c r="AA38" s="3" t="e">
        <f t="shared" si="8"/>
        <v>#REF!</v>
      </c>
    </row>
    <row r="39" spans="7:27" x14ac:dyDescent="0.15">
      <c r="G39" s="3">
        <v>31</v>
      </c>
      <c r="H39" s="3" t="e">
        <f>#REF!*#REF!/2</f>
        <v>#REF!</v>
      </c>
      <c r="I39" s="3" t="e">
        <f>#REF!*#REF!</f>
        <v>#REF!</v>
      </c>
      <c r="J39" s="3" t="e">
        <f t="shared" si="0"/>
        <v>#REF!</v>
      </c>
      <c r="K39" s="3" t="e">
        <f t="shared" si="1"/>
        <v>#REF!</v>
      </c>
      <c r="L39" s="3" t="e">
        <f t="shared" si="2"/>
        <v>#REF!</v>
      </c>
      <c r="N39" s="3" t="e">
        <f>#REF!*#REF!/2</f>
        <v>#REF!</v>
      </c>
      <c r="O39" s="3" t="e">
        <f>#REF!*#REF!</f>
        <v>#REF!</v>
      </c>
      <c r="P39" s="3" t="e">
        <f t="shared" si="3"/>
        <v>#REF!</v>
      </c>
      <c r="Q39" s="3" t="e">
        <f t="shared" si="4"/>
        <v>#REF!</v>
      </c>
      <c r="S39" s="3" t="e">
        <f>#REF!*#REF!/2</f>
        <v>#REF!</v>
      </c>
      <c r="T39" s="3" t="e">
        <f>#REF!*#REF!</f>
        <v>#REF!</v>
      </c>
      <c r="U39" s="3" t="e">
        <f t="shared" si="5"/>
        <v>#REF!</v>
      </c>
      <c r="V39" s="3" t="e">
        <f t="shared" si="6"/>
        <v>#REF!</v>
      </c>
      <c r="X39" s="3" t="e">
        <f>#REF!*#REF!/2</f>
        <v>#REF!</v>
      </c>
      <c r="Y39" s="3" t="e">
        <f>#REF!*#REF!</f>
        <v>#REF!</v>
      </c>
      <c r="Z39" s="3" t="e">
        <f t="shared" si="7"/>
        <v>#REF!</v>
      </c>
      <c r="AA39" s="3" t="e">
        <f t="shared" si="8"/>
        <v>#REF!</v>
      </c>
    </row>
    <row r="40" spans="7:27" x14ac:dyDescent="0.15">
      <c r="G40" s="3">
        <v>32</v>
      </c>
      <c r="H40" s="3" t="e">
        <f>#REF!*#REF!/2</f>
        <v>#REF!</v>
      </c>
      <c r="I40" s="3" t="e">
        <f>#REF!*#REF!</f>
        <v>#REF!</v>
      </c>
      <c r="J40" s="3" t="e">
        <f t="shared" si="0"/>
        <v>#REF!</v>
      </c>
      <c r="K40" s="3" t="e">
        <f t="shared" si="1"/>
        <v>#REF!</v>
      </c>
      <c r="L40" s="3" t="e">
        <f t="shared" si="2"/>
        <v>#REF!</v>
      </c>
      <c r="N40" s="3" t="e">
        <f>#REF!*#REF!/2</f>
        <v>#REF!</v>
      </c>
      <c r="O40" s="3" t="e">
        <f>#REF!*#REF!</f>
        <v>#REF!</v>
      </c>
      <c r="P40" s="3" t="e">
        <f t="shared" si="3"/>
        <v>#REF!</v>
      </c>
      <c r="Q40" s="3" t="e">
        <f t="shared" si="4"/>
        <v>#REF!</v>
      </c>
      <c r="S40" s="3" t="e">
        <f>#REF!*#REF!/2</f>
        <v>#REF!</v>
      </c>
      <c r="T40" s="3" t="e">
        <f>#REF!*#REF!</f>
        <v>#REF!</v>
      </c>
      <c r="U40" s="3" t="e">
        <f t="shared" si="5"/>
        <v>#REF!</v>
      </c>
      <c r="V40" s="3" t="e">
        <f t="shared" si="6"/>
        <v>#REF!</v>
      </c>
      <c r="X40" s="3" t="e">
        <f>#REF!*#REF!/2</f>
        <v>#REF!</v>
      </c>
      <c r="Y40" s="3" t="e">
        <f>#REF!*#REF!</f>
        <v>#REF!</v>
      </c>
      <c r="Z40" s="3" t="e">
        <f t="shared" si="7"/>
        <v>#REF!</v>
      </c>
      <c r="AA40" s="3" t="e">
        <f t="shared" si="8"/>
        <v>#REF!</v>
      </c>
    </row>
    <row r="41" spans="7:27" x14ac:dyDescent="0.15">
      <c r="G41" s="3">
        <v>33</v>
      </c>
      <c r="H41" s="3" t="e">
        <f>#REF!*#REF!/2</f>
        <v>#REF!</v>
      </c>
      <c r="I41" s="3" t="e">
        <f>#REF!*#REF!</f>
        <v>#REF!</v>
      </c>
      <c r="J41" s="3" t="e">
        <f t="shared" si="0"/>
        <v>#REF!</v>
      </c>
      <c r="K41" s="3" t="e">
        <f t="shared" si="1"/>
        <v>#REF!</v>
      </c>
      <c r="L41" s="3" t="e">
        <f t="shared" si="2"/>
        <v>#REF!</v>
      </c>
      <c r="N41" s="3" t="e">
        <f>#REF!*#REF!/2</f>
        <v>#REF!</v>
      </c>
      <c r="O41" s="3" t="e">
        <f>#REF!*#REF!</f>
        <v>#REF!</v>
      </c>
      <c r="P41" s="3" t="e">
        <f t="shared" si="3"/>
        <v>#REF!</v>
      </c>
      <c r="Q41" s="3" t="e">
        <f t="shared" si="4"/>
        <v>#REF!</v>
      </c>
      <c r="S41" s="3" t="e">
        <f>#REF!*#REF!/2</f>
        <v>#REF!</v>
      </c>
      <c r="T41" s="3" t="e">
        <f>#REF!*#REF!</f>
        <v>#REF!</v>
      </c>
      <c r="U41" s="3" t="e">
        <f t="shared" si="5"/>
        <v>#REF!</v>
      </c>
      <c r="V41" s="3" t="e">
        <f t="shared" si="6"/>
        <v>#REF!</v>
      </c>
      <c r="X41" s="3" t="e">
        <f>#REF!*#REF!/2</f>
        <v>#REF!</v>
      </c>
      <c r="Y41" s="3" t="e">
        <f>#REF!*#REF!</f>
        <v>#REF!</v>
      </c>
      <c r="Z41" s="3" t="e">
        <f t="shared" si="7"/>
        <v>#REF!</v>
      </c>
      <c r="AA41" s="3" t="e">
        <f t="shared" si="8"/>
        <v>#REF!</v>
      </c>
    </row>
    <row r="42" spans="7:27" x14ac:dyDescent="0.15">
      <c r="G42" s="3">
        <v>34</v>
      </c>
      <c r="H42" s="3" t="e">
        <f>#REF!*#REF!/2</f>
        <v>#REF!</v>
      </c>
      <c r="I42" s="3" t="e">
        <f>#REF!*#REF!</f>
        <v>#REF!</v>
      </c>
      <c r="J42" s="3" t="e">
        <f t="shared" si="0"/>
        <v>#REF!</v>
      </c>
      <c r="K42" s="3" t="e">
        <f t="shared" si="1"/>
        <v>#REF!</v>
      </c>
      <c r="L42" s="3" t="e">
        <f t="shared" si="2"/>
        <v>#REF!</v>
      </c>
      <c r="N42" s="3" t="e">
        <f>#REF!*#REF!/2</f>
        <v>#REF!</v>
      </c>
      <c r="O42" s="3" t="e">
        <f>#REF!*#REF!</f>
        <v>#REF!</v>
      </c>
      <c r="P42" s="3" t="e">
        <f t="shared" si="3"/>
        <v>#REF!</v>
      </c>
      <c r="Q42" s="3" t="e">
        <f t="shared" si="4"/>
        <v>#REF!</v>
      </c>
      <c r="S42" s="3" t="e">
        <f>#REF!*#REF!/2</f>
        <v>#REF!</v>
      </c>
      <c r="T42" s="3" t="e">
        <f>#REF!*#REF!</f>
        <v>#REF!</v>
      </c>
      <c r="U42" s="3" t="e">
        <f t="shared" si="5"/>
        <v>#REF!</v>
      </c>
      <c r="V42" s="3" t="e">
        <f t="shared" si="6"/>
        <v>#REF!</v>
      </c>
      <c r="X42" s="3" t="e">
        <f>#REF!*#REF!/2</f>
        <v>#REF!</v>
      </c>
      <c r="Y42" s="3" t="e">
        <f>#REF!*#REF!</f>
        <v>#REF!</v>
      </c>
      <c r="Z42" s="3" t="e">
        <f t="shared" si="7"/>
        <v>#REF!</v>
      </c>
      <c r="AA42" s="3" t="e">
        <f t="shared" si="8"/>
        <v>#REF!</v>
      </c>
    </row>
    <row r="43" spans="7:27" x14ac:dyDescent="0.15">
      <c r="G43" s="3">
        <v>35</v>
      </c>
      <c r="H43" s="3" t="e">
        <f>#REF!*#REF!/2</f>
        <v>#REF!</v>
      </c>
      <c r="I43" s="3" t="e">
        <f>#REF!*#REF!</f>
        <v>#REF!</v>
      </c>
      <c r="J43" s="3" t="e">
        <f t="shared" si="0"/>
        <v>#REF!</v>
      </c>
      <c r="K43" s="3" t="e">
        <f t="shared" si="1"/>
        <v>#REF!</v>
      </c>
      <c r="L43" s="3" t="e">
        <f t="shared" si="2"/>
        <v>#REF!</v>
      </c>
      <c r="N43" s="3" t="e">
        <f>#REF!*#REF!/2</f>
        <v>#REF!</v>
      </c>
      <c r="O43" s="3" t="e">
        <f>#REF!*#REF!</f>
        <v>#REF!</v>
      </c>
      <c r="P43" s="3" t="e">
        <f t="shared" si="3"/>
        <v>#REF!</v>
      </c>
      <c r="Q43" s="3" t="e">
        <f t="shared" si="4"/>
        <v>#REF!</v>
      </c>
      <c r="S43" s="3" t="e">
        <f>#REF!*#REF!/2</f>
        <v>#REF!</v>
      </c>
      <c r="T43" s="3" t="e">
        <f>#REF!*#REF!</f>
        <v>#REF!</v>
      </c>
      <c r="U43" s="3" t="e">
        <f t="shared" si="5"/>
        <v>#REF!</v>
      </c>
      <c r="V43" s="3" t="e">
        <f t="shared" si="6"/>
        <v>#REF!</v>
      </c>
      <c r="X43" s="3" t="e">
        <f>#REF!*#REF!/2</f>
        <v>#REF!</v>
      </c>
      <c r="Y43" s="3" t="e">
        <f>#REF!*#REF!</f>
        <v>#REF!</v>
      </c>
      <c r="Z43" s="3" t="e">
        <f t="shared" si="7"/>
        <v>#REF!</v>
      </c>
      <c r="AA43" s="3" t="e">
        <f t="shared" si="8"/>
        <v>#REF!</v>
      </c>
    </row>
    <row r="44" spans="7:27" x14ac:dyDescent="0.15">
      <c r="G44" s="3">
        <v>36</v>
      </c>
      <c r="H44" s="3" t="e">
        <f>#REF!*#REF!/2</f>
        <v>#REF!</v>
      </c>
      <c r="I44" s="3" t="e">
        <f>#REF!*#REF!</f>
        <v>#REF!</v>
      </c>
      <c r="J44" s="3" t="e">
        <f t="shared" si="0"/>
        <v>#REF!</v>
      </c>
      <c r="K44" s="3" t="e">
        <f t="shared" si="1"/>
        <v>#REF!</v>
      </c>
      <c r="L44" s="3" t="e">
        <f t="shared" si="2"/>
        <v>#REF!</v>
      </c>
      <c r="N44" s="3" t="e">
        <f>#REF!*#REF!/2</f>
        <v>#REF!</v>
      </c>
      <c r="O44" s="3" t="e">
        <f>#REF!*#REF!</f>
        <v>#REF!</v>
      </c>
      <c r="P44" s="3" t="e">
        <f t="shared" si="3"/>
        <v>#REF!</v>
      </c>
      <c r="Q44" s="3" t="e">
        <f t="shared" si="4"/>
        <v>#REF!</v>
      </c>
      <c r="S44" s="3" t="e">
        <f>#REF!*#REF!/2</f>
        <v>#REF!</v>
      </c>
      <c r="T44" s="3" t="e">
        <f>#REF!*#REF!</f>
        <v>#REF!</v>
      </c>
      <c r="U44" s="3" t="e">
        <f t="shared" si="5"/>
        <v>#REF!</v>
      </c>
      <c r="V44" s="3" t="e">
        <f t="shared" si="6"/>
        <v>#REF!</v>
      </c>
      <c r="X44" s="3" t="e">
        <f>#REF!*#REF!/2</f>
        <v>#REF!</v>
      </c>
      <c r="Y44" s="3" t="e">
        <f>#REF!*#REF!</f>
        <v>#REF!</v>
      </c>
      <c r="Z44" s="3" t="e">
        <f t="shared" si="7"/>
        <v>#REF!</v>
      </c>
      <c r="AA44" s="3" t="e">
        <f t="shared" si="8"/>
        <v>#REF!</v>
      </c>
    </row>
    <row r="45" spans="7:27" x14ac:dyDescent="0.15">
      <c r="G45" s="3">
        <v>37</v>
      </c>
      <c r="H45" s="3" t="e">
        <f>#REF!*#REF!/2</f>
        <v>#REF!</v>
      </c>
      <c r="I45" s="3" t="e">
        <f>#REF!*#REF!</f>
        <v>#REF!</v>
      </c>
      <c r="J45" s="3" t="e">
        <f t="shared" si="0"/>
        <v>#REF!</v>
      </c>
      <c r="K45" s="3" t="e">
        <f t="shared" si="1"/>
        <v>#REF!</v>
      </c>
      <c r="L45" s="3" t="e">
        <f t="shared" si="2"/>
        <v>#REF!</v>
      </c>
      <c r="N45" s="3" t="e">
        <f>#REF!*#REF!/2</f>
        <v>#REF!</v>
      </c>
      <c r="O45" s="3" t="e">
        <f>#REF!*#REF!</f>
        <v>#REF!</v>
      </c>
      <c r="P45" s="3" t="e">
        <f t="shared" si="3"/>
        <v>#REF!</v>
      </c>
      <c r="Q45" s="3" t="e">
        <f t="shared" si="4"/>
        <v>#REF!</v>
      </c>
      <c r="S45" s="3" t="e">
        <f>#REF!*#REF!/2</f>
        <v>#REF!</v>
      </c>
      <c r="T45" s="3" t="e">
        <f>#REF!*#REF!</f>
        <v>#REF!</v>
      </c>
      <c r="U45" s="3" t="e">
        <f t="shared" si="5"/>
        <v>#REF!</v>
      </c>
      <c r="V45" s="3" t="e">
        <f t="shared" si="6"/>
        <v>#REF!</v>
      </c>
      <c r="X45" s="3" t="e">
        <f>#REF!*#REF!/2</f>
        <v>#REF!</v>
      </c>
      <c r="Y45" s="3" t="e">
        <f>#REF!*#REF!</f>
        <v>#REF!</v>
      </c>
      <c r="Z45" s="3" t="e">
        <f t="shared" si="7"/>
        <v>#REF!</v>
      </c>
      <c r="AA45" s="3" t="e">
        <f t="shared" si="8"/>
        <v>#REF!</v>
      </c>
    </row>
    <row r="46" spans="7:27" x14ac:dyDescent="0.15">
      <c r="G46" s="3">
        <v>38</v>
      </c>
      <c r="H46" s="3" t="e">
        <f>#REF!*#REF!/2</f>
        <v>#REF!</v>
      </c>
      <c r="I46" s="3" t="e">
        <f>#REF!*#REF!</f>
        <v>#REF!</v>
      </c>
      <c r="J46" s="3" t="e">
        <f t="shared" si="0"/>
        <v>#REF!</v>
      </c>
      <c r="K46" s="3" t="e">
        <f t="shared" si="1"/>
        <v>#REF!</v>
      </c>
      <c r="L46" s="3" t="e">
        <f t="shared" si="2"/>
        <v>#REF!</v>
      </c>
      <c r="N46" s="3" t="e">
        <f>#REF!*#REF!/2</f>
        <v>#REF!</v>
      </c>
      <c r="O46" s="3" t="e">
        <f>#REF!*#REF!</f>
        <v>#REF!</v>
      </c>
      <c r="P46" s="3" t="e">
        <f t="shared" si="3"/>
        <v>#REF!</v>
      </c>
      <c r="Q46" s="3" t="e">
        <f t="shared" si="4"/>
        <v>#REF!</v>
      </c>
      <c r="S46" s="3" t="e">
        <f>#REF!*#REF!/2</f>
        <v>#REF!</v>
      </c>
      <c r="T46" s="3" t="e">
        <f>#REF!*#REF!</f>
        <v>#REF!</v>
      </c>
      <c r="U46" s="3" t="e">
        <f t="shared" si="5"/>
        <v>#REF!</v>
      </c>
      <c r="V46" s="3" t="e">
        <f t="shared" si="6"/>
        <v>#REF!</v>
      </c>
      <c r="X46" s="3" t="e">
        <f>#REF!*#REF!/2</f>
        <v>#REF!</v>
      </c>
      <c r="Y46" s="3" t="e">
        <f>#REF!*#REF!</f>
        <v>#REF!</v>
      </c>
      <c r="Z46" s="3" t="e">
        <f t="shared" si="7"/>
        <v>#REF!</v>
      </c>
      <c r="AA46" s="3" t="e">
        <f t="shared" si="8"/>
        <v>#REF!</v>
      </c>
    </row>
    <row r="47" spans="7:27" x14ac:dyDescent="0.15">
      <c r="G47" s="3">
        <v>39</v>
      </c>
      <c r="H47" s="3" t="e">
        <f>#REF!*#REF!/2</f>
        <v>#REF!</v>
      </c>
      <c r="I47" s="3" t="e">
        <f>#REF!*#REF!</f>
        <v>#REF!</v>
      </c>
      <c r="J47" s="3" t="e">
        <f t="shared" si="0"/>
        <v>#REF!</v>
      </c>
      <c r="K47" s="3" t="e">
        <f t="shared" si="1"/>
        <v>#REF!</v>
      </c>
      <c r="L47" s="3" t="e">
        <f t="shared" si="2"/>
        <v>#REF!</v>
      </c>
      <c r="N47" s="3" t="e">
        <f>#REF!*#REF!/2</f>
        <v>#REF!</v>
      </c>
      <c r="O47" s="3" t="e">
        <f>#REF!*#REF!</f>
        <v>#REF!</v>
      </c>
      <c r="P47" s="3" t="e">
        <f t="shared" si="3"/>
        <v>#REF!</v>
      </c>
      <c r="Q47" s="3" t="e">
        <f t="shared" si="4"/>
        <v>#REF!</v>
      </c>
      <c r="S47" s="3" t="e">
        <f>#REF!*#REF!/2</f>
        <v>#REF!</v>
      </c>
      <c r="T47" s="3" t="e">
        <f>#REF!*#REF!</f>
        <v>#REF!</v>
      </c>
      <c r="U47" s="3" t="e">
        <f t="shared" si="5"/>
        <v>#REF!</v>
      </c>
      <c r="V47" s="3" t="e">
        <f t="shared" si="6"/>
        <v>#REF!</v>
      </c>
      <c r="X47" s="3" t="e">
        <f>#REF!*#REF!/2</f>
        <v>#REF!</v>
      </c>
      <c r="Y47" s="3" t="e">
        <f>#REF!*#REF!</f>
        <v>#REF!</v>
      </c>
      <c r="Z47" s="3" t="e">
        <f t="shared" si="7"/>
        <v>#REF!</v>
      </c>
      <c r="AA47" s="3" t="e">
        <f t="shared" si="8"/>
        <v>#REF!</v>
      </c>
    </row>
    <row r="48" spans="7:27" x14ac:dyDescent="0.15">
      <c r="G48" s="3">
        <v>40</v>
      </c>
      <c r="H48" s="3" t="e">
        <f>#REF!*#REF!/2</f>
        <v>#REF!</v>
      </c>
      <c r="I48" s="3" t="e">
        <f>#REF!*#REF!</f>
        <v>#REF!</v>
      </c>
      <c r="J48" s="3" t="e">
        <f t="shared" si="0"/>
        <v>#REF!</v>
      </c>
      <c r="K48" s="3" t="e">
        <f t="shared" si="1"/>
        <v>#REF!</v>
      </c>
      <c r="L48" s="3" t="e">
        <f t="shared" si="2"/>
        <v>#REF!</v>
      </c>
      <c r="N48" s="3" t="e">
        <f>#REF!*#REF!/2</f>
        <v>#REF!</v>
      </c>
      <c r="O48" s="3" t="e">
        <f>#REF!*#REF!</f>
        <v>#REF!</v>
      </c>
      <c r="P48" s="3" t="e">
        <f t="shared" si="3"/>
        <v>#REF!</v>
      </c>
      <c r="Q48" s="3" t="e">
        <f t="shared" si="4"/>
        <v>#REF!</v>
      </c>
      <c r="S48" s="3" t="e">
        <f>#REF!*#REF!/2</f>
        <v>#REF!</v>
      </c>
      <c r="T48" s="3" t="e">
        <f>#REF!*#REF!</f>
        <v>#REF!</v>
      </c>
      <c r="U48" s="3" t="e">
        <f t="shared" si="5"/>
        <v>#REF!</v>
      </c>
      <c r="V48" s="3" t="e">
        <f t="shared" si="6"/>
        <v>#REF!</v>
      </c>
      <c r="X48" s="3" t="e">
        <f>#REF!*#REF!/2</f>
        <v>#REF!</v>
      </c>
      <c r="Y48" s="3" t="e">
        <f>#REF!*#REF!</f>
        <v>#REF!</v>
      </c>
      <c r="Z48" s="3" t="e">
        <f t="shared" si="7"/>
        <v>#REF!</v>
      </c>
      <c r="AA48" s="3" t="e">
        <f t="shared" si="8"/>
        <v>#REF!</v>
      </c>
    </row>
    <row r="49" spans="7:27" x14ac:dyDescent="0.15">
      <c r="G49" s="3">
        <v>41</v>
      </c>
      <c r="H49" s="3" t="e">
        <f>#REF!*#REF!/2</f>
        <v>#REF!</v>
      </c>
      <c r="I49" s="3" t="e">
        <f>#REF!*#REF!</f>
        <v>#REF!</v>
      </c>
      <c r="J49" s="3" t="e">
        <f t="shared" si="0"/>
        <v>#REF!</v>
      </c>
      <c r="K49" s="3" t="e">
        <f t="shared" si="1"/>
        <v>#REF!</v>
      </c>
      <c r="L49" s="3" t="e">
        <f t="shared" si="2"/>
        <v>#REF!</v>
      </c>
      <c r="N49" s="3" t="e">
        <f>#REF!*#REF!/2</f>
        <v>#REF!</v>
      </c>
      <c r="O49" s="3" t="e">
        <f>#REF!*#REF!</f>
        <v>#REF!</v>
      </c>
      <c r="P49" s="3" t="e">
        <f t="shared" si="3"/>
        <v>#REF!</v>
      </c>
      <c r="Q49" s="3" t="e">
        <f t="shared" si="4"/>
        <v>#REF!</v>
      </c>
      <c r="S49" s="3" t="e">
        <f>#REF!*#REF!/2</f>
        <v>#REF!</v>
      </c>
      <c r="T49" s="3" t="e">
        <f>#REF!*#REF!</f>
        <v>#REF!</v>
      </c>
      <c r="U49" s="3" t="e">
        <f t="shared" si="5"/>
        <v>#REF!</v>
      </c>
      <c r="V49" s="3" t="e">
        <f t="shared" si="6"/>
        <v>#REF!</v>
      </c>
      <c r="X49" s="3" t="e">
        <f>#REF!*#REF!/2</f>
        <v>#REF!</v>
      </c>
      <c r="Y49" s="3" t="e">
        <f>#REF!*#REF!</f>
        <v>#REF!</v>
      </c>
      <c r="Z49" s="3" t="e">
        <f t="shared" si="7"/>
        <v>#REF!</v>
      </c>
      <c r="AA49" s="3" t="e">
        <f t="shared" si="8"/>
        <v>#REF!</v>
      </c>
    </row>
    <row r="50" spans="7:27" x14ac:dyDescent="0.15">
      <c r="G50" s="3">
        <v>42</v>
      </c>
      <c r="H50" s="3" t="e">
        <f>#REF!*#REF!/2</f>
        <v>#REF!</v>
      </c>
      <c r="I50" s="3" t="e">
        <f>#REF!*#REF!</f>
        <v>#REF!</v>
      </c>
      <c r="J50" s="3" t="e">
        <f t="shared" si="0"/>
        <v>#REF!</v>
      </c>
      <c r="K50" s="3" t="e">
        <f t="shared" si="1"/>
        <v>#REF!</v>
      </c>
      <c r="L50" s="3" t="e">
        <f t="shared" si="2"/>
        <v>#REF!</v>
      </c>
      <c r="N50" s="3" t="e">
        <f>#REF!*#REF!/2</f>
        <v>#REF!</v>
      </c>
      <c r="O50" s="3" t="e">
        <f>#REF!*#REF!</f>
        <v>#REF!</v>
      </c>
      <c r="P50" s="3" t="e">
        <f t="shared" si="3"/>
        <v>#REF!</v>
      </c>
      <c r="Q50" s="3" t="e">
        <f t="shared" si="4"/>
        <v>#REF!</v>
      </c>
      <c r="S50" s="3" t="e">
        <f>#REF!*#REF!/2</f>
        <v>#REF!</v>
      </c>
      <c r="T50" s="3" t="e">
        <f>#REF!*#REF!</f>
        <v>#REF!</v>
      </c>
      <c r="U50" s="3" t="e">
        <f t="shared" si="5"/>
        <v>#REF!</v>
      </c>
      <c r="V50" s="3" t="e">
        <f t="shared" si="6"/>
        <v>#REF!</v>
      </c>
      <c r="X50" s="3" t="e">
        <f>#REF!*#REF!/2</f>
        <v>#REF!</v>
      </c>
      <c r="Y50" s="3" t="e">
        <f>#REF!*#REF!</f>
        <v>#REF!</v>
      </c>
      <c r="Z50" s="3" t="e">
        <f t="shared" si="7"/>
        <v>#REF!</v>
      </c>
      <c r="AA50" s="3" t="e">
        <f t="shared" si="8"/>
        <v>#REF!</v>
      </c>
    </row>
    <row r="51" spans="7:27" x14ac:dyDescent="0.15">
      <c r="G51" s="3">
        <v>43</v>
      </c>
      <c r="H51" s="3" t="e">
        <f>#REF!*#REF!/2</f>
        <v>#REF!</v>
      </c>
      <c r="I51" s="3" t="e">
        <f>#REF!*#REF!</f>
        <v>#REF!</v>
      </c>
      <c r="J51" s="3" t="e">
        <f t="shared" si="0"/>
        <v>#REF!</v>
      </c>
      <c r="K51" s="3" t="e">
        <f t="shared" si="1"/>
        <v>#REF!</v>
      </c>
      <c r="L51" s="3" t="e">
        <f t="shared" si="2"/>
        <v>#REF!</v>
      </c>
      <c r="N51" s="3" t="e">
        <f>#REF!*#REF!/2</f>
        <v>#REF!</v>
      </c>
      <c r="O51" s="3" t="e">
        <f>#REF!*#REF!</f>
        <v>#REF!</v>
      </c>
      <c r="P51" s="3" t="e">
        <f t="shared" si="3"/>
        <v>#REF!</v>
      </c>
      <c r="Q51" s="3" t="e">
        <f t="shared" si="4"/>
        <v>#REF!</v>
      </c>
      <c r="S51" s="3" t="e">
        <f>#REF!*#REF!/2</f>
        <v>#REF!</v>
      </c>
      <c r="T51" s="3" t="e">
        <f>#REF!*#REF!</f>
        <v>#REF!</v>
      </c>
      <c r="U51" s="3" t="e">
        <f t="shared" si="5"/>
        <v>#REF!</v>
      </c>
      <c r="V51" s="3" t="e">
        <f t="shared" si="6"/>
        <v>#REF!</v>
      </c>
      <c r="X51" s="3" t="e">
        <f>#REF!*#REF!/2</f>
        <v>#REF!</v>
      </c>
      <c r="Y51" s="3" t="e">
        <f>#REF!*#REF!</f>
        <v>#REF!</v>
      </c>
      <c r="Z51" s="3" t="e">
        <f t="shared" si="7"/>
        <v>#REF!</v>
      </c>
      <c r="AA51" s="3" t="e">
        <f t="shared" si="8"/>
        <v>#REF!</v>
      </c>
    </row>
    <row r="52" spans="7:27" x14ac:dyDescent="0.15">
      <c r="G52" s="3">
        <v>44</v>
      </c>
      <c r="H52" s="3" t="e">
        <f>#REF!*#REF!/2</f>
        <v>#REF!</v>
      </c>
      <c r="I52" s="3" t="e">
        <f>#REF!*#REF!</f>
        <v>#REF!</v>
      </c>
      <c r="J52" s="3" t="e">
        <f t="shared" si="0"/>
        <v>#REF!</v>
      </c>
      <c r="K52" s="3" t="e">
        <f t="shared" si="1"/>
        <v>#REF!</v>
      </c>
      <c r="L52" s="3" t="e">
        <f t="shared" si="2"/>
        <v>#REF!</v>
      </c>
      <c r="N52" s="3" t="e">
        <f>#REF!*#REF!/2</f>
        <v>#REF!</v>
      </c>
      <c r="O52" s="3" t="e">
        <f>#REF!*#REF!</f>
        <v>#REF!</v>
      </c>
      <c r="P52" s="3" t="e">
        <f t="shared" si="3"/>
        <v>#REF!</v>
      </c>
      <c r="Q52" s="3" t="e">
        <f t="shared" si="4"/>
        <v>#REF!</v>
      </c>
      <c r="S52" s="3" t="e">
        <f>#REF!*#REF!/2</f>
        <v>#REF!</v>
      </c>
      <c r="T52" s="3" t="e">
        <f>#REF!*#REF!</f>
        <v>#REF!</v>
      </c>
      <c r="U52" s="3" t="e">
        <f t="shared" si="5"/>
        <v>#REF!</v>
      </c>
      <c r="V52" s="3" t="e">
        <f t="shared" si="6"/>
        <v>#REF!</v>
      </c>
      <c r="X52" s="3" t="e">
        <f>#REF!*#REF!/2</f>
        <v>#REF!</v>
      </c>
      <c r="Y52" s="3" t="e">
        <f>#REF!*#REF!</f>
        <v>#REF!</v>
      </c>
      <c r="Z52" s="3" t="e">
        <f t="shared" si="7"/>
        <v>#REF!</v>
      </c>
      <c r="AA52" s="3" t="e">
        <f t="shared" si="8"/>
        <v>#REF!</v>
      </c>
    </row>
    <row r="53" spans="7:27" x14ac:dyDescent="0.15">
      <c r="G53" s="3">
        <v>45</v>
      </c>
      <c r="H53" s="3" t="e">
        <f>#REF!*#REF!/2</f>
        <v>#REF!</v>
      </c>
      <c r="I53" s="3" t="e">
        <f>#REF!*#REF!</f>
        <v>#REF!</v>
      </c>
      <c r="J53" s="3" t="e">
        <f t="shared" si="0"/>
        <v>#REF!</v>
      </c>
      <c r="K53" s="3" t="e">
        <f t="shared" si="1"/>
        <v>#REF!</v>
      </c>
      <c r="L53" s="3" t="e">
        <f t="shared" si="2"/>
        <v>#REF!</v>
      </c>
      <c r="N53" s="3" t="e">
        <f>#REF!*#REF!/2</f>
        <v>#REF!</v>
      </c>
      <c r="O53" s="3" t="e">
        <f>#REF!*#REF!</f>
        <v>#REF!</v>
      </c>
      <c r="P53" s="3" t="e">
        <f t="shared" si="3"/>
        <v>#REF!</v>
      </c>
      <c r="Q53" s="3" t="e">
        <f t="shared" si="4"/>
        <v>#REF!</v>
      </c>
      <c r="S53" s="3" t="e">
        <f>#REF!*#REF!/2</f>
        <v>#REF!</v>
      </c>
      <c r="T53" s="3" t="e">
        <f>#REF!*#REF!</f>
        <v>#REF!</v>
      </c>
      <c r="U53" s="3" t="e">
        <f t="shared" si="5"/>
        <v>#REF!</v>
      </c>
      <c r="V53" s="3" t="e">
        <f t="shared" si="6"/>
        <v>#REF!</v>
      </c>
      <c r="X53" s="3" t="e">
        <f>#REF!*#REF!/2</f>
        <v>#REF!</v>
      </c>
      <c r="Y53" s="3" t="e">
        <f>#REF!*#REF!</f>
        <v>#REF!</v>
      </c>
      <c r="Z53" s="3" t="e">
        <f t="shared" si="7"/>
        <v>#REF!</v>
      </c>
      <c r="AA53" s="3" t="e">
        <f t="shared" si="8"/>
        <v>#REF!</v>
      </c>
    </row>
    <row r="54" spans="7:27" x14ac:dyDescent="0.15">
      <c r="G54" s="3">
        <v>46</v>
      </c>
      <c r="H54" s="3" t="e">
        <f>#REF!*#REF!/2</f>
        <v>#REF!</v>
      </c>
      <c r="I54" s="3" t="e">
        <f>#REF!*#REF!</f>
        <v>#REF!</v>
      </c>
      <c r="J54" s="3" t="e">
        <f t="shared" si="0"/>
        <v>#REF!</v>
      </c>
      <c r="K54" s="3" t="e">
        <f t="shared" si="1"/>
        <v>#REF!</v>
      </c>
      <c r="L54" s="3" t="e">
        <f t="shared" si="2"/>
        <v>#REF!</v>
      </c>
      <c r="N54" s="3" t="e">
        <f>#REF!*#REF!/2</f>
        <v>#REF!</v>
      </c>
      <c r="O54" s="3" t="e">
        <f>#REF!*#REF!</f>
        <v>#REF!</v>
      </c>
      <c r="P54" s="3" t="e">
        <f t="shared" si="3"/>
        <v>#REF!</v>
      </c>
      <c r="Q54" s="3" t="e">
        <f t="shared" si="4"/>
        <v>#REF!</v>
      </c>
      <c r="S54" s="3" t="e">
        <f>#REF!*#REF!/2</f>
        <v>#REF!</v>
      </c>
      <c r="T54" s="3" t="e">
        <f>#REF!*#REF!</f>
        <v>#REF!</v>
      </c>
      <c r="U54" s="3" t="e">
        <f t="shared" si="5"/>
        <v>#REF!</v>
      </c>
      <c r="V54" s="3" t="e">
        <f t="shared" si="6"/>
        <v>#REF!</v>
      </c>
      <c r="X54" s="3" t="e">
        <f>#REF!*#REF!/2</f>
        <v>#REF!</v>
      </c>
      <c r="Y54" s="3" t="e">
        <f>#REF!*#REF!</f>
        <v>#REF!</v>
      </c>
      <c r="Z54" s="3" t="e">
        <f t="shared" si="7"/>
        <v>#REF!</v>
      </c>
      <c r="AA54" s="3" t="e">
        <f t="shared" si="8"/>
        <v>#REF!</v>
      </c>
    </row>
    <row r="55" spans="7:27" x14ac:dyDescent="0.15">
      <c r="G55" s="3">
        <v>47</v>
      </c>
      <c r="H55" s="3" t="e">
        <f>#REF!*#REF!/2</f>
        <v>#REF!</v>
      </c>
      <c r="I55" s="3" t="e">
        <f>#REF!*#REF!</f>
        <v>#REF!</v>
      </c>
      <c r="J55" s="3" t="e">
        <f t="shared" si="0"/>
        <v>#REF!</v>
      </c>
      <c r="K55" s="3" t="e">
        <f t="shared" si="1"/>
        <v>#REF!</v>
      </c>
      <c r="L55" s="3" t="e">
        <f t="shared" si="2"/>
        <v>#REF!</v>
      </c>
      <c r="N55" s="3" t="e">
        <f>#REF!*#REF!/2</f>
        <v>#REF!</v>
      </c>
      <c r="O55" s="3" t="e">
        <f>#REF!*#REF!</f>
        <v>#REF!</v>
      </c>
      <c r="P55" s="3" t="e">
        <f t="shared" si="3"/>
        <v>#REF!</v>
      </c>
      <c r="Q55" s="3" t="e">
        <f t="shared" si="4"/>
        <v>#REF!</v>
      </c>
      <c r="S55" s="3" t="e">
        <f>#REF!*#REF!/2</f>
        <v>#REF!</v>
      </c>
      <c r="T55" s="3" t="e">
        <f>#REF!*#REF!</f>
        <v>#REF!</v>
      </c>
      <c r="U55" s="3" t="e">
        <f t="shared" si="5"/>
        <v>#REF!</v>
      </c>
      <c r="V55" s="3" t="e">
        <f t="shared" si="6"/>
        <v>#REF!</v>
      </c>
      <c r="X55" s="3" t="e">
        <f>#REF!*#REF!/2</f>
        <v>#REF!</v>
      </c>
      <c r="Y55" s="3" t="e">
        <f>#REF!*#REF!</f>
        <v>#REF!</v>
      </c>
      <c r="Z55" s="3" t="e">
        <f t="shared" si="7"/>
        <v>#REF!</v>
      </c>
      <c r="AA55" s="3" t="e">
        <f t="shared" si="8"/>
        <v>#REF!</v>
      </c>
    </row>
    <row r="56" spans="7:27" x14ac:dyDescent="0.15">
      <c r="G56" s="3">
        <v>48</v>
      </c>
      <c r="H56" s="3" t="e">
        <f>#REF!*#REF!/2</f>
        <v>#REF!</v>
      </c>
      <c r="I56" s="3" t="e">
        <f>#REF!*#REF!</f>
        <v>#REF!</v>
      </c>
      <c r="J56" s="3" t="e">
        <f t="shared" si="0"/>
        <v>#REF!</v>
      </c>
      <c r="K56" s="3" t="e">
        <f t="shared" si="1"/>
        <v>#REF!</v>
      </c>
      <c r="L56" s="3" t="e">
        <f t="shared" si="2"/>
        <v>#REF!</v>
      </c>
      <c r="N56" s="3" t="e">
        <f>#REF!*#REF!/2</f>
        <v>#REF!</v>
      </c>
      <c r="O56" s="3" t="e">
        <f>#REF!*#REF!</f>
        <v>#REF!</v>
      </c>
      <c r="P56" s="3" t="e">
        <f t="shared" si="3"/>
        <v>#REF!</v>
      </c>
      <c r="Q56" s="3" t="e">
        <f t="shared" si="4"/>
        <v>#REF!</v>
      </c>
      <c r="S56" s="3" t="e">
        <f>#REF!*#REF!/2</f>
        <v>#REF!</v>
      </c>
      <c r="T56" s="3" t="e">
        <f>#REF!*#REF!</f>
        <v>#REF!</v>
      </c>
      <c r="U56" s="3" t="e">
        <f t="shared" si="5"/>
        <v>#REF!</v>
      </c>
      <c r="V56" s="3" t="e">
        <f t="shared" si="6"/>
        <v>#REF!</v>
      </c>
      <c r="X56" s="3" t="e">
        <f>#REF!*#REF!/2</f>
        <v>#REF!</v>
      </c>
      <c r="Y56" s="3" t="e">
        <f>#REF!*#REF!</f>
        <v>#REF!</v>
      </c>
      <c r="Z56" s="3" t="e">
        <f t="shared" si="7"/>
        <v>#REF!</v>
      </c>
      <c r="AA56" s="3" t="e">
        <f t="shared" si="8"/>
        <v>#REF!</v>
      </c>
    </row>
    <row r="57" spans="7:27" x14ac:dyDescent="0.15">
      <c r="G57" s="3">
        <v>49</v>
      </c>
      <c r="H57" s="3" t="e">
        <f>#REF!*#REF!/2</f>
        <v>#REF!</v>
      </c>
      <c r="I57" s="3" t="e">
        <f>#REF!*#REF!</f>
        <v>#REF!</v>
      </c>
      <c r="J57" s="3" t="e">
        <f t="shared" si="0"/>
        <v>#REF!</v>
      </c>
      <c r="K57" s="3" t="e">
        <f t="shared" si="1"/>
        <v>#REF!</v>
      </c>
      <c r="L57" s="3" t="e">
        <f t="shared" si="2"/>
        <v>#REF!</v>
      </c>
      <c r="N57" s="3" t="e">
        <f>#REF!*#REF!/2</f>
        <v>#REF!</v>
      </c>
      <c r="O57" s="3" t="e">
        <f>#REF!*#REF!</f>
        <v>#REF!</v>
      </c>
      <c r="P57" s="3" t="e">
        <f t="shared" si="3"/>
        <v>#REF!</v>
      </c>
      <c r="Q57" s="3" t="e">
        <f t="shared" si="4"/>
        <v>#REF!</v>
      </c>
      <c r="S57" s="3" t="e">
        <f>#REF!*#REF!/2</f>
        <v>#REF!</v>
      </c>
      <c r="T57" s="3" t="e">
        <f>#REF!*#REF!</f>
        <v>#REF!</v>
      </c>
      <c r="U57" s="3" t="e">
        <f t="shared" si="5"/>
        <v>#REF!</v>
      </c>
      <c r="V57" s="3" t="e">
        <f t="shared" si="6"/>
        <v>#REF!</v>
      </c>
      <c r="X57" s="3" t="e">
        <f>#REF!*#REF!/2</f>
        <v>#REF!</v>
      </c>
      <c r="Y57" s="3" t="e">
        <f>#REF!*#REF!</f>
        <v>#REF!</v>
      </c>
      <c r="Z57" s="3" t="e">
        <f t="shared" si="7"/>
        <v>#REF!</v>
      </c>
      <c r="AA57" s="3" t="e">
        <f t="shared" si="8"/>
        <v>#REF!</v>
      </c>
    </row>
    <row r="58" spans="7:27" x14ac:dyDescent="0.15">
      <c r="G58" s="3">
        <v>50</v>
      </c>
      <c r="H58" s="3" t="e">
        <f>#REF!*#REF!/2</f>
        <v>#REF!</v>
      </c>
      <c r="I58" s="3" t="e">
        <f>#REF!*#REF!</f>
        <v>#REF!</v>
      </c>
      <c r="J58" s="3" t="e">
        <f t="shared" si="0"/>
        <v>#REF!</v>
      </c>
      <c r="K58" s="3" t="e">
        <f t="shared" si="1"/>
        <v>#REF!</v>
      </c>
      <c r="L58" s="3" t="e">
        <f t="shared" si="2"/>
        <v>#REF!</v>
      </c>
      <c r="N58" s="3" t="e">
        <f>#REF!*#REF!/2</f>
        <v>#REF!</v>
      </c>
      <c r="O58" s="3" t="e">
        <f>#REF!*#REF!</f>
        <v>#REF!</v>
      </c>
      <c r="P58" s="3" t="e">
        <f t="shared" si="3"/>
        <v>#REF!</v>
      </c>
      <c r="Q58" s="3" t="e">
        <f t="shared" si="4"/>
        <v>#REF!</v>
      </c>
      <c r="S58" s="3" t="e">
        <f>#REF!*#REF!/2</f>
        <v>#REF!</v>
      </c>
      <c r="T58" s="3" t="e">
        <f>#REF!*#REF!</f>
        <v>#REF!</v>
      </c>
      <c r="U58" s="3" t="e">
        <f t="shared" si="5"/>
        <v>#REF!</v>
      </c>
      <c r="V58" s="3" t="e">
        <f t="shared" si="6"/>
        <v>#REF!</v>
      </c>
      <c r="X58" s="3" t="e">
        <f>#REF!*#REF!/2</f>
        <v>#REF!</v>
      </c>
      <c r="Y58" s="3" t="e">
        <f>#REF!*#REF!</f>
        <v>#REF!</v>
      </c>
      <c r="Z58" s="3" t="e">
        <f t="shared" si="7"/>
        <v>#REF!</v>
      </c>
      <c r="AA58" s="3" t="e">
        <f t="shared" si="8"/>
        <v>#REF!</v>
      </c>
    </row>
    <row r="59" spans="7:27" x14ac:dyDescent="0.15">
      <c r="G59" s="3">
        <v>51</v>
      </c>
      <c r="H59" s="3" t="e">
        <f>#REF!*#REF!/2</f>
        <v>#REF!</v>
      </c>
      <c r="I59" s="3" t="e">
        <f>#REF!*#REF!</f>
        <v>#REF!</v>
      </c>
      <c r="J59" s="3" t="e">
        <f t="shared" si="0"/>
        <v>#REF!</v>
      </c>
      <c r="K59" s="3" t="e">
        <f t="shared" si="1"/>
        <v>#REF!</v>
      </c>
      <c r="L59" s="3" t="e">
        <f t="shared" si="2"/>
        <v>#REF!</v>
      </c>
      <c r="N59" s="3" t="e">
        <f>#REF!*#REF!/2</f>
        <v>#REF!</v>
      </c>
      <c r="O59" s="3" t="e">
        <f>#REF!*#REF!</f>
        <v>#REF!</v>
      </c>
      <c r="P59" s="3" t="e">
        <f t="shared" si="3"/>
        <v>#REF!</v>
      </c>
      <c r="Q59" s="3" t="e">
        <f t="shared" si="4"/>
        <v>#REF!</v>
      </c>
      <c r="S59" s="3" t="e">
        <f>#REF!*#REF!/2</f>
        <v>#REF!</v>
      </c>
      <c r="T59" s="3" t="e">
        <f>#REF!*#REF!</f>
        <v>#REF!</v>
      </c>
      <c r="U59" s="3" t="e">
        <f t="shared" si="5"/>
        <v>#REF!</v>
      </c>
      <c r="V59" s="3" t="e">
        <f t="shared" si="6"/>
        <v>#REF!</v>
      </c>
      <c r="X59" s="3" t="e">
        <f>#REF!*#REF!/2</f>
        <v>#REF!</v>
      </c>
      <c r="Y59" s="3" t="e">
        <f>#REF!*#REF!</f>
        <v>#REF!</v>
      </c>
      <c r="Z59" s="3" t="e">
        <f t="shared" si="7"/>
        <v>#REF!</v>
      </c>
      <c r="AA59" s="3" t="e">
        <f t="shared" si="8"/>
        <v>#REF!</v>
      </c>
    </row>
    <row r="60" spans="7:27" x14ac:dyDescent="0.15">
      <c r="G60" s="3">
        <v>52</v>
      </c>
      <c r="H60" s="3" t="e">
        <f>#REF!*#REF!/2</f>
        <v>#REF!</v>
      </c>
      <c r="I60" s="3" t="e">
        <f>#REF!*#REF!</f>
        <v>#REF!</v>
      </c>
      <c r="J60" s="3" t="e">
        <f t="shared" si="0"/>
        <v>#REF!</v>
      </c>
      <c r="K60" s="3" t="e">
        <f t="shared" si="1"/>
        <v>#REF!</v>
      </c>
      <c r="L60" s="3" t="e">
        <f t="shared" si="2"/>
        <v>#REF!</v>
      </c>
      <c r="N60" s="3" t="e">
        <f>#REF!*#REF!/2</f>
        <v>#REF!</v>
      </c>
      <c r="O60" s="3" t="e">
        <f>#REF!*#REF!</f>
        <v>#REF!</v>
      </c>
      <c r="P60" s="3" t="e">
        <f t="shared" si="3"/>
        <v>#REF!</v>
      </c>
      <c r="Q60" s="3" t="e">
        <f t="shared" si="4"/>
        <v>#REF!</v>
      </c>
      <c r="S60" s="3" t="e">
        <f>#REF!*#REF!/2</f>
        <v>#REF!</v>
      </c>
      <c r="T60" s="3" t="e">
        <f>#REF!*#REF!</f>
        <v>#REF!</v>
      </c>
      <c r="U60" s="3" t="e">
        <f t="shared" si="5"/>
        <v>#REF!</v>
      </c>
      <c r="V60" s="3" t="e">
        <f t="shared" si="6"/>
        <v>#REF!</v>
      </c>
      <c r="X60" s="3" t="e">
        <f>#REF!*#REF!/2</f>
        <v>#REF!</v>
      </c>
      <c r="Y60" s="3" t="e">
        <f>#REF!*#REF!</f>
        <v>#REF!</v>
      </c>
      <c r="Z60" s="3" t="e">
        <f t="shared" si="7"/>
        <v>#REF!</v>
      </c>
      <c r="AA60" s="3" t="e">
        <f t="shared" si="8"/>
        <v>#REF!</v>
      </c>
    </row>
    <row r="61" spans="7:27" x14ac:dyDescent="0.15">
      <c r="G61" s="3">
        <v>53</v>
      </c>
      <c r="H61" s="3" t="e">
        <f>#REF!*#REF!/2</f>
        <v>#REF!</v>
      </c>
      <c r="I61" s="3" t="e">
        <f>#REF!*#REF!</f>
        <v>#REF!</v>
      </c>
      <c r="J61" s="3" t="e">
        <f t="shared" si="0"/>
        <v>#REF!</v>
      </c>
      <c r="K61" s="3" t="e">
        <f t="shared" si="1"/>
        <v>#REF!</v>
      </c>
      <c r="L61" s="3" t="e">
        <f t="shared" si="2"/>
        <v>#REF!</v>
      </c>
      <c r="N61" s="3" t="e">
        <f>#REF!*#REF!/2</f>
        <v>#REF!</v>
      </c>
      <c r="O61" s="3" t="e">
        <f>#REF!*#REF!</f>
        <v>#REF!</v>
      </c>
      <c r="P61" s="3" t="e">
        <f t="shared" si="3"/>
        <v>#REF!</v>
      </c>
      <c r="Q61" s="3" t="e">
        <f t="shared" si="4"/>
        <v>#REF!</v>
      </c>
      <c r="S61" s="3" t="e">
        <f>#REF!*#REF!/2</f>
        <v>#REF!</v>
      </c>
      <c r="T61" s="3" t="e">
        <f>#REF!*#REF!</f>
        <v>#REF!</v>
      </c>
      <c r="U61" s="3" t="e">
        <f t="shared" si="5"/>
        <v>#REF!</v>
      </c>
      <c r="V61" s="3" t="e">
        <f t="shared" si="6"/>
        <v>#REF!</v>
      </c>
      <c r="X61" s="3" t="e">
        <f>#REF!*#REF!/2</f>
        <v>#REF!</v>
      </c>
      <c r="Y61" s="3" t="e">
        <f>#REF!*#REF!</f>
        <v>#REF!</v>
      </c>
      <c r="Z61" s="3" t="e">
        <f t="shared" si="7"/>
        <v>#REF!</v>
      </c>
      <c r="AA61" s="3" t="e">
        <f t="shared" si="8"/>
        <v>#REF!</v>
      </c>
    </row>
    <row r="62" spans="7:27" x14ac:dyDescent="0.15">
      <c r="G62" s="3">
        <v>54</v>
      </c>
      <c r="H62" s="3" t="e">
        <f>#REF!*#REF!/2</f>
        <v>#REF!</v>
      </c>
      <c r="I62" s="3" t="e">
        <f>#REF!*#REF!</f>
        <v>#REF!</v>
      </c>
      <c r="J62" s="3" t="e">
        <f t="shared" si="0"/>
        <v>#REF!</v>
      </c>
      <c r="K62" s="3" t="e">
        <f t="shared" si="1"/>
        <v>#REF!</v>
      </c>
      <c r="L62" s="3" t="e">
        <f t="shared" si="2"/>
        <v>#REF!</v>
      </c>
      <c r="N62" s="3" t="e">
        <f>#REF!*#REF!/2</f>
        <v>#REF!</v>
      </c>
      <c r="O62" s="3" t="e">
        <f>#REF!*#REF!</f>
        <v>#REF!</v>
      </c>
      <c r="P62" s="3" t="e">
        <f t="shared" si="3"/>
        <v>#REF!</v>
      </c>
      <c r="Q62" s="3" t="e">
        <f t="shared" si="4"/>
        <v>#REF!</v>
      </c>
      <c r="S62" s="3" t="e">
        <f>#REF!*#REF!/2</f>
        <v>#REF!</v>
      </c>
      <c r="T62" s="3" t="e">
        <f>#REF!*#REF!</f>
        <v>#REF!</v>
      </c>
      <c r="U62" s="3" t="e">
        <f t="shared" si="5"/>
        <v>#REF!</v>
      </c>
      <c r="V62" s="3" t="e">
        <f t="shared" si="6"/>
        <v>#REF!</v>
      </c>
      <c r="X62" s="3" t="e">
        <f>#REF!*#REF!/2</f>
        <v>#REF!</v>
      </c>
      <c r="Y62" s="3" t="e">
        <f>#REF!*#REF!</f>
        <v>#REF!</v>
      </c>
      <c r="Z62" s="3" t="e">
        <f t="shared" si="7"/>
        <v>#REF!</v>
      </c>
      <c r="AA62" s="3" t="e">
        <f t="shared" si="8"/>
        <v>#REF!</v>
      </c>
    </row>
    <row r="63" spans="7:27" x14ac:dyDescent="0.15">
      <c r="G63" s="3">
        <v>55</v>
      </c>
      <c r="H63" s="3" t="e">
        <f>#REF!*#REF!/2</f>
        <v>#REF!</v>
      </c>
      <c r="I63" s="3" t="e">
        <f>#REF!*#REF!</f>
        <v>#REF!</v>
      </c>
      <c r="J63" s="3" t="e">
        <f t="shared" si="0"/>
        <v>#REF!</v>
      </c>
      <c r="K63" s="3" t="e">
        <f t="shared" si="1"/>
        <v>#REF!</v>
      </c>
      <c r="L63" s="3" t="e">
        <f t="shared" si="2"/>
        <v>#REF!</v>
      </c>
      <c r="N63" s="3" t="e">
        <f>#REF!*#REF!/2</f>
        <v>#REF!</v>
      </c>
      <c r="O63" s="3" t="e">
        <f>#REF!*#REF!</f>
        <v>#REF!</v>
      </c>
      <c r="P63" s="3" t="e">
        <f t="shared" si="3"/>
        <v>#REF!</v>
      </c>
      <c r="Q63" s="3" t="e">
        <f t="shared" si="4"/>
        <v>#REF!</v>
      </c>
      <c r="S63" s="3" t="e">
        <f>#REF!*#REF!/2</f>
        <v>#REF!</v>
      </c>
      <c r="T63" s="3" t="e">
        <f>#REF!*#REF!</f>
        <v>#REF!</v>
      </c>
      <c r="U63" s="3" t="e">
        <f t="shared" si="5"/>
        <v>#REF!</v>
      </c>
      <c r="V63" s="3" t="e">
        <f t="shared" si="6"/>
        <v>#REF!</v>
      </c>
      <c r="X63" s="3" t="e">
        <f>#REF!*#REF!/2</f>
        <v>#REF!</v>
      </c>
      <c r="Y63" s="3" t="e">
        <f>#REF!*#REF!</f>
        <v>#REF!</v>
      </c>
      <c r="Z63" s="3" t="e">
        <f t="shared" si="7"/>
        <v>#REF!</v>
      </c>
      <c r="AA63" s="3" t="e">
        <f t="shared" si="8"/>
        <v>#REF!</v>
      </c>
    </row>
    <row r="64" spans="7:27" x14ac:dyDescent="0.15">
      <c r="G64" s="3">
        <v>56</v>
      </c>
      <c r="H64" s="3" t="e">
        <f>#REF!*#REF!/2</f>
        <v>#REF!</v>
      </c>
      <c r="I64" s="3" t="e">
        <f>#REF!*#REF!</f>
        <v>#REF!</v>
      </c>
      <c r="J64" s="3" t="e">
        <f t="shared" si="0"/>
        <v>#REF!</v>
      </c>
      <c r="K64" s="3" t="e">
        <f t="shared" si="1"/>
        <v>#REF!</v>
      </c>
      <c r="L64" s="3" t="e">
        <f t="shared" si="2"/>
        <v>#REF!</v>
      </c>
      <c r="N64" s="3" t="e">
        <f>#REF!*#REF!/2</f>
        <v>#REF!</v>
      </c>
      <c r="O64" s="3" t="e">
        <f>#REF!*#REF!</f>
        <v>#REF!</v>
      </c>
      <c r="P64" s="3" t="e">
        <f t="shared" si="3"/>
        <v>#REF!</v>
      </c>
      <c r="Q64" s="3" t="e">
        <f t="shared" si="4"/>
        <v>#REF!</v>
      </c>
      <c r="S64" s="3" t="e">
        <f>#REF!*#REF!/2</f>
        <v>#REF!</v>
      </c>
      <c r="T64" s="3" t="e">
        <f>#REF!*#REF!</f>
        <v>#REF!</v>
      </c>
      <c r="U64" s="3" t="e">
        <f t="shared" si="5"/>
        <v>#REF!</v>
      </c>
      <c r="V64" s="3" t="e">
        <f t="shared" si="6"/>
        <v>#REF!</v>
      </c>
      <c r="X64" s="3" t="e">
        <f>#REF!*#REF!/2</f>
        <v>#REF!</v>
      </c>
      <c r="Y64" s="3" t="e">
        <f>#REF!*#REF!</f>
        <v>#REF!</v>
      </c>
      <c r="Z64" s="3" t="e">
        <f t="shared" si="7"/>
        <v>#REF!</v>
      </c>
      <c r="AA64" s="3" t="e">
        <f t="shared" si="8"/>
        <v>#REF!</v>
      </c>
    </row>
    <row r="65" spans="7:27" x14ac:dyDescent="0.15">
      <c r="G65" s="3">
        <v>57</v>
      </c>
      <c r="H65" s="3" t="e">
        <f>#REF!*#REF!/2</f>
        <v>#REF!</v>
      </c>
      <c r="I65" s="3" t="e">
        <f>#REF!*#REF!</f>
        <v>#REF!</v>
      </c>
      <c r="J65" s="3" t="e">
        <f t="shared" si="0"/>
        <v>#REF!</v>
      </c>
      <c r="K65" s="3" t="e">
        <f t="shared" si="1"/>
        <v>#REF!</v>
      </c>
      <c r="L65" s="3" t="e">
        <f t="shared" si="2"/>
        <v>#REF!</v>
      </c>
      <c r="N65" s="3" t="e">
        <f>#REF!*#REF!/2</f>
        <v>#REF!</v>
      </c>
      <c r="O65" s="3" t="e">
        <f>#REF!*#REF!</f>
        <v>#REF!</v>
      </c>
      <c r="P65" s="3" t="e">
        <f t="shared" si="3"/>
        <v>#REF!</v>
      </c>
      <c r="Q65" s="3" t="e">
        <f t="shared" si="4"/>
        <v>#REF!</v>
      </c>
      <c r="S65" s="3" t="e">
        <f>#REF!*#REF!/2</f>
        <v>#REF!</v>
      </c>
      <c r="T65" s="3" t="e">
        <f>#REF!*#REF!</f>
        <v>#REF!</v>
      </c>
      <c r="U65" s="3" t="e">
        <f t="shared" si="5"/>
        <v>#REF!</v>
      </c>
      <c r="V65" s="3" t="e">
        <f t="shared" si="6"/>
        <v>#REF!</v>
      </c>
      <c r="X65" s="3" t="e">
        <f>#REF!*#REF!/2</f>
        <v>#REF!</v>
      </c>
      <c r="Y65" s="3" t="e">
        <f>#REF!*#REF!</f>
        <v>#REF!</v>
      </c>
      <c r="Z65" s="3" t="e">
        <f t="shared" si="7"/>
        <v>#REF!</v>
      </c>
      <c r="AA65" s="3" t="e">
        <f t="shared" si="8"/>
        <v>#REF!</v>
      </c>
    </row>
    <row r="66" spans="7:27" x14ac:dyDescent="0.15">
      <c r="G66" s="3">
        <v>58</v>
      </c>
      <c r="H66" s="3" t="e">
        <f>#REF!*#REF!/2</f>
        <v>#REF!</v>
      </c>
      <c r="I66" s="3" t="e">
        <f>#REF!*#REF!</f>
        <v>#REF!</v>
      </c>
      <c r="J66" s="3" t="e">
        <f t="shared" si="0"/>
        <v>#REF!</v>
      </c>
      <c r="K66" s="3" t="e">
        <f t="shared" si="1"/>
        <v>#REF!</v>
      </c>
      <c r="L66" s="3" t="e">
        <f t="shared" si="2"/>
        <v>#REF!</v>
      </c>
      <c r="N66" s="3" t="e">
        <f>#REF!*#REF!/2</f>
        <v>#REF!</v>
      </c>
      <c r="O66" s="3" t="e">
        <f>#REF!*#REF!</f>
        <v>#REF!</v>
      </c>
      <c r="P66" s="3" t="e">
        <f t="shared" si="3"/>
        <v>#REF!</v>
      </c>
      <c r="Q66" s="3" t="e">
        <f t="shared" si="4"/>
        <v>#REF!</v>
      </c>
      <c r="S66" s="3" t="e">
        <f>#REF!*#REF!/2</f>
        <v>#REF!</v>
      </c>
      <c r="T66" s="3" t="e">
        <f>#REF!*#REF!</f>
        <v>#REF!</v>
      </c>
      <c r="U66" s="3" t="e">
        <f t="shared" si="5"/>
        <v>#REF!</v>
      </c>
      <c r="V66" s="3" t="e">
        <f t="shared" si="6"/>
        <v>#REF!</v>
      </c>
      <c r="X66" s="3" t="e">
        <f>#REF!*#REF!/2</f>
        <v>#REF!</v>
      </c>
      <c r="Y66" s="3" t="e">
        <f>#REF!*#REF!</f>
        <v>#REF!</v>
      </c>
      <c r="Z66" s="3" t="e">
        <f t="shared" si="7"/>
        <v>#REF!</v>
      </c>
      <c r="AA66" s="3" t="e">
        <f t="shared" si="8"/>
        <v>#REF!</v>
      </c>
    </row>
    <row r="67" spans="7:27" x14ac:dyDescent="0.15">
      <c r="G67" s="3">
        <v>59</v>
      </c>
      <c r="H67" s="3" t="e">
        <f>#REF!*#REF!/2</f>
        <v>#REF!</v>
      </c>
      <c r="I67" s="3" t="e">
        <f>#REF!*#REF!</f>
        <v>#REF!</v>
      </c>
      <c r="J67" s="3" t="e">
        <f t="shared" si="0"/>
        <v>#REF!</v>
      </c>
      <c r="K67" s="3" t="e">
        <f t="shared" si="1"/>
        <v>#REF!</v>
      </c>
      <c r="L67" s="3" t="e">
        <f t="shared" si="2"/>
        <v>#REF!</v>
      </c>
      <c r="N67" s="3" t="e">
        <f>#REF!*#REF!/2</f>
        <v>#REF!</v>
      </c>
      <c r="O67" s="3" t="e">
        <f>#REF!*#REF!</f>
        <v>#REF!</v>
      </c>
      <c r="P67" s="3" t="e">
        <f t="shared" si="3"/>
        <v>#REF!</v>
      </c>
      <c r="Q67" s="3" t="e">
        <f t="shared" si="4"/>
        <v>#REF!</v>
      </c>
      <c r="S67" s="3" t="e">
        <f>#REF!*#REF!/2</f>
        <v>#REF!</v>
      </c>
      <c r="T67" s="3" t="e">
        <f>#REF!*#REF!</f>
        <v>#REF!</v>
      </c>
      <c r="U67" s="3" t="e">
        <f t="shared" si="5"/>
        <v>#REF!</v>
      </c>
      <c r="V67" s="3" t="e">
        <f t="shared" si="6"/>
        <v>#REF!</v>
      </c>
      <c r="X67" s="3" t="e">
        <f>#REF!*#REF!/2</f>
        <v>#REF!</v>
      </c>
      <c r="Y67" s="3" t="e">
        <f>#REF!*#REF!</f>
        <v>#REF!</v>
      </c>
      <c r="Z67" s="3" t="e">
        <f t="shared" si="7"/>
        <v>#REF!</v>
      </c>
      <c r="AA67" s="3" t="e">
        <f t="shared" si="8"/>
        <v>#REF!</v>
      </c>
    </row>
    <row r="68" spans="7:27" x14ac:dyDescent="0.15">
      <c r="G68" s="3">
        <v>60</v>
      </c>
      <c r="H68" s="3" t="e">
        <f>#REF!*#REF!/2</f>
        <v>#REF!</v>
      </c>
      <c r="I68" s="3" t="e">
        <f>#REF!*#REF!</f>
        <v>#REF!</v>
      </c>
      <c r="J68" s="3" t="e">
        <f t="shared" si="0"/>
        <v>#REF!</v>
      </c>
      <c r="K68" s="3" t="e">
        <f t="shared" si="1"/>
        <v>#REF!</v>
      </c>
      <c r="L68" s="3" t="e">
        <f t="shared" si="2"/>
        <v>#REF!</v>
      </c>
      <c r="N68" s="3" t="e">
        <f>#REF!*#REF!/2</f>
        <v>#REF!</v>
      </c>
      <c r="O68" s="3" t="e">
        <f>#REF!*#REF!</f>
        <v>#REF!</v>
      </c>
      <c r="P68" s="3" t="e">
        <f t="shared" si="3"/>
        <v>#REF!</v>
      </c>
      <c r="Q68" s="3" t="e">
        <f t="shared" si="4"/>
        <v>#REF!</v>
      </c>
      <c r="S68" s="3" t="e">
        <f>#REF!*#REF!/2</f>
        <v>#REF!</v>
      </c>
      <c r="T68" s="3" t="e">
        <f>#REF!*#REF!</f>
        <v>#REF!</v>
      </c>
      <c r="U68" s="3" t="e">
        <f t="shared" si="5"/>
        <v>#REF!</v>
      </c>
      <c r="V68" s="3" t="e">
        <f t="shared" si="6"/>
        <v>#REF!</v>
      </c>
      <c r="X68" s="3" t="e">
        <f>#REF!*#REF!/2</f>
        <v>#REF!</v>
      </c>
      <c r="Y68" s="3" t="e">
        <f>#REF!*#REF!</f>
        <v>#REF!</v>
      </c>
      <c r="Z68" s="3" t="e">
        <f t="shared" si="7"/>
        <v>#REF!</v>
      </c>
      <c r="AA68" s="3" t="e">
        <f t="shared" si="8"/>
        <v>#REF!</v>
      </c>
    </row>
    <row r="69" spans="7:27" x14ac:dyDescent="0.15">
      <c r="G69" s="3">
        <v>61</v>
      </c>
      <c r="H69" s="3" t="e">
        <f>#REF!*#REF!/2</f>
        <v>#REF!</v>
      </c>
      <c r="I69" s="3" t="e">
        <f>#REF!*#REF!</f>
        <v>#REF!</v>
      </c>
      <c r="J69" s="3" t="e">
        <f t="shared" si="0"/>
        <v>#REF!</v>
      </c>
      <c r="K69" s="3" t="e">
        <f t="shared" si="1"/>
        <v>#REF!</v>
      </c>
      <c r="L69" s="3" t="e">
        <f t="shared" si="2"/>
        <v>#REF!</v>
      </c>
      <c r="N69" s="3" t="e">
        <f>#REF!*#REF!/2</f>
        <v>#REF!</v>
      </c>
      <c r="O69" s="3" t="e">
        <f>#REF!*#REF!</f>
        <v>#REF!</v>
      </c>
      <c r="P69" s="3" t="e">
        <f t="shared" si="3"/>
        <v>#REF!</v>
      </c>
      <c r="Q69" s="3" t="e">
        <f t="shared" si="4"/>
        <v>#REF!</v>
      </c>
      <c r="S69" s="3" t="e">
        <f>#REF!*#REF!/2</f>
        <v>#REF!</v>
      </c>
      <c r="T69" s="3" t="e">
        <f>#REF!*#REF!</f>
        <v>#REF!</v>
      </c>
      <c r="U69" s="3" t="e">
        <f t="shared" si="5"/>
        <v>#REF!</v>
      </c>
      <c r="V69" s="3" t="e">
        <f t="shared" si="6"/>
        <v>#REF!</v>
      </c>
      <c r="X69" s="3" t="e">
        <f>#REF!*#REF!/2</f>
        <v>#REF!</v>
      </c>
      <c r="Y69" s="3" t="e">
        <f>#REF!*#REF!</f>
        <v>#REF!</v>
      </c>
      <c r="Z69" s="3" t="e">
        <f t="shared" si="7"/>
        <v>#REF!</v>
      </c>
      <c r="AA69" s="3" t="e">
        <f t="shared" si="8"/>
        <v>#REF!</v>
      </c>
    </row>
    <row r="70" spans="7:27" x14ac:dyDescent="0.15">
      <c r="G70" s="3">
        <v>62</v>
      </c>
      <c r="H70" s="3" t="e">
        <f>#REF!*#REF!/2</f>
        <v>#REF!</v>
      </c>
      <c r="I70" s="3" t="e">
        <f>#REF!*#REF!</f>
        <v>#REF!</v>
      </c>
      <c r="J70" s="3" t="e">
        <f t="shared" si="0"/>
        <v>#REF!</v>
      </c>
      <c r="K70" s="3" t="e">
        <f t="shared" si="1"/>
        <v>#REF!</v>
      </c>
      <c r="L70" s="3" t="e">
        <f t="shared" si="2"/>
        <v>#REF!</v>
      </c>
      <c r="N70" s="3" t="e">
        <f>#REF!*#REF!/2</f>
        <v>#REF!</v>
      </c>
      <c r="O70" s="3" t="e">
        <f>#REF!*#REF!</f>
        <v>#REF!</v>
      </c>
      <c r="P70" s="3" t="e">
        <f t="shared" si="3"/>
        <v>#REF!</v>
      </c>
      <c r="Q70" s="3" t="e">
        <f t="shared" si="4"/>
        <v>#REF!</v>
      </c>
      <c r="S70" s="3" t="e">
        <f>#REF!*#REF!/2</f>
        <v>#REF!</v>
      </c>
      <c r="T70" s="3" t="e">
        <f>#REF!*#REF!</f>
        <v>#REF!</v>
      </c>
      <c r="U70" s="3" t="e">
        <f t="shared" si="5"/>
        <v>#REF!</v>
      </c>
      <c r="V70" s="3" t="e">
        <f t="shared" si="6"/>
        <v>#REF!</v>
      </c>
      <c r="X70" s="3" t="e">
        <f>#REF!*#REF!/2</f>
        <v>#REF!</v>
      </c>
      <c r="Y70" s="3" t="e">
        <f>#REF!*#REF!</f>
        <v>#REF!</v>
      </c>
      <c r="Z70" s="3" t="e">
        <f t="shared" si="7"/>
        <v>#REF!</v>
      </c>
      <c r="AA70" s="3" t="e">
        <f t="shared" si="8"/>
        <v>#REF!</v>
      </c>
    </row>
    <row r="71" spans="7:27" x14ac:dyDescent="0.15">
      <c r="G71" s="3">
        <v>63</v>
      </c>
      <c r="H71" s="3" t="e">
        <f>#REF!*#REF!/2</f>
        <v>#REF!</v>
      </c>
      <c r="I71" s="3" t="e">
        <f>#REF!*#REF!</f>
        <v>#REF!</v>
      </c>
      <c r="J71" s="3" t="e">
        <f t="shared" si="0"/>
        <v>#REF!</v>
      </c>
      <c r="K71" s="3" t="e">
        <f t="shared" si="1"/>
        <v>#REF!</v>
      </c>
      <c r="L71" s="3" t="e">
        <f t="shared" si="2"/>
        <v>#REF!</v>
      </c>
      <c r="N71" s="3" t="e">
        <f>#REF!*#REF!/2</f>
        <v>#REF!</v>
      </c>
      <c r="O71" s="3" t="e">
        <f>#REF!*#REF!</f>
        <v>#REF!</v>
      </c>
      <c r="P71" s="3" t="e">
        <f t="shared" si="3"/>
        <v>#REF!</v>
      </c>
      <c r="Q71" s="3" t="e">
        <f t="shared" si="4"/>
        <v>#REF!</v>
      </c>
      <c r="S71" s="3" t="e">
        <f>#REF!*#REF!/2</f>
        <v>#REF!</v>
      </c>
      <c r="T71" s="3" t="e">
        <f>#REF!*#REF!</f>
        <v>#REF!</v>
      </c>
      <c r="U71" s="3" t="e">
        <f t="shared" si="5"/>
        <v>#REF!</v>
      </c>
      <c r="V71" s="3" t="e">
        <f t="shared" si="6"/>
        <v>#REF!</v>
      </c>
      <c r="X71" s="3" t="e">
        <f>#REF!*#REF!/2</f>
        <v>#REF!</v>
      </c>
      <c r="Y71" s="3" t="e">
        <f>#REF!*#REF!</f>
        <v>#REF!</v>
      </c>
      <c r="Z71" s="3" t="e">
        <f t="shared" si="7"/>
        <v>#REF!</v>
      </c>
      <c r="AA71" s="3" t="e">
        <f t="shared" si="8"/>
        <v>#REF!</v>
      </c>
    </row>
    <row r="72" spans="7:27" x14ac:dyDescent="0.15">
      <c r="G72" s="3">
        <v>64</v>
      </c>
      <c r="H72" s="3" t="e">
        <f>#REF!*#REF!/2</f>
        <v>#REF!</v>
      </c>
      <c r="I72" s="3" t="e">
        <f>#REF!*#REF!</f>
        <v>#REF!</v>
      </c>
      <c r="J72" s="3" t="e">
        <f t="shared" si="0"/>
        <v>#REF!</v>
      </c>
      <c r="K72" s="3" t="e">
        <f t="shared" si="1"/>
        <v>#REF!</v>
      </c>
      <c r="L72" s="3" t="e">
        <f t="shared" si="2"/>
        <v>#REF!</v>
      </c>
      <c r="N72" s="3" t="e">
        <f>#REF!*#REF!/2</f>
        <v>#REF!</v>
      </c>
      <c r="O72" s="3" t="e">
        <f>#REF!*#REF!</f>
        <v>#REF!</v>
      </c>
      <c r="P72" s="3" t="e">
        <f t="shared" si="3"/>
        <v>#REF!</v>
      </c>
      <c r="Q72" s="3" t="e">
        <f t="shared" si="4"/>
        <v>#REF!</v>
      </c>
      <c r="S72" s="3" t="e">
        <f>#REF!*#REF!/2</f>
        <v>#REF!</v>
      </c>
      <c r="T72" s="3" t="e">
        <f>#REF!*#REF!</f>
        <v>#REF!</v>
      </c>
      <c r="U72" s="3" t="e">
        <f t="shared" si="5"/>
        <v>#REF!</v>
      </c>
      <c r="V72" s="3" t="e">
        <f t="shared" si="6"/>
        <v>#REF!</v>
      </c>
      <c r="X72" s="3" t="e">
        <f>#REF!*#REF!/2</f>
        <v>#REF!</v>
      </c>
      <c r="Y72" s="3" t="e">
        <f>#REF!*#REF!</f>
        <v>#REF!</v>
      </c>
      <c r="Z72" s="3" t="e">
        <f t="shared" si="7"/>
        <v>#REF!</v>
      </c>
      <c r="AA72" s="3" t="e">
        <f t="shared" si="8"/>
        <v>#REF!</v>
      </c>
    </row>
    <row r="73" spans="7:27" x14ac:dyDescent="0.15">
      <c r="G73" s="3">
        <v>65</v>
      </c>
      <c r="H73" s="3" t="e">
        <f>#REF!*#REF!/2</f>
        <v>#REF!</v>
      </c>
      <c r="I73" s="3" t="e">
        <f>#REF!*#REF!</f>
        <v>#REF!</v>
      </c>
      <c r="J73" s="3" t="e">
        <f t="shared" si="0"/>
        <v>#REF!</v>
      </c>
      <c r="K73" s="3" t="e">
        <f t="shared" si="1"/>
        <v>#REF!</v>
      </c>
      <c r="L73" s="3" t="e">
        <f t="shared" si="2"/>
        <v>#REF!</v>
      </c>
      <c r="N73" s="3" t="e">
        <f>#REF!*#REF!/2</f>
        <v>#REF!</v>
      </c>
      <c r="O73" s="3" t="e">
        <f>#REF!*#REF!</f>
        <v>#REF!</v>
      </c>
      <c r="P73" s="3" t="e">
        <f t="shared" si="3"/>
        <v>#REF!</v>
      </c>
      <c r="Q73" s="3" t="e">
        <f t="shared" si="4"/>
        <v>#REF!</v>
      </c>
      <c r="S73" s="3" t="e">
        <f>#REF!*#REF!/2</f>
        <v>#REF!</v>
      </c>
      <c r="T73" s="3" t="e">
        <f>#REF!*#REF!</f>
        <v>#REF!</v>
      </c>
      <c r="U73" s="3" t="e">
        <f t="shared" si="5"/>
        <v>#REF!</v>
      </c>
      <c r="V73" s="3" t="e">
        <f t="shared" si="6"/>
        <v>#REF!</v>
      </c>
      <c r="X73" s="3" t="e">
        <f>#REF!*#REF!/2</f>
        <v>#REF!</v>
      </c>
      <c r="Y73" s="3" t="e">
        <f>#REF!*#REF!</f>
        <v>#REF!</v>
      </c>
      <c r="Z73" s="3" t="e">
        <f t="shared" si="7"/>
        <v>#REF!</v>
      </c>
      <c r="AA73" s="3" t="e">
        <f t="shared" si="8"/>
        <v>#REF!</v>
      </c>
    </row>
    <row r="74" spans="7:27" x14ac:dyDescent="0.15">
      <c r="G74" s="3">
        <v>66</v>
      </c>
      <c r="H74" s="3" t="e">
        <f>#REF!*#REF!/2</f>
        <v>#REF!</v>
      </c>
      <c r="I74" s="3" t="e">
        <f>#REF!*#REF!</f>
        <v>#REF!</v>
      </c>
      <c r="J74" s="3" t="e">
        <f t="shared" ref="J74:J108" si="9">I74/H74</f>
        <v>#REF!</v>
      </c>
      <c r="K74" s="3" t="e">
        <f t="shared" ref="K74:K108" si="10">H74/$D$8</f>
        <v>#REF!</v>
      </c>
      <c r="L74" s="3" t="e">
        <f t="shared" ref="L74:L108" si="11">I74/$C$8</f>
        <v>#REF!</v>
      </c>
      <c r="N74" s="3" t="e">
        <f>#REF!*#REF!/2</f>
        <v>#REF!</v>
      </c>
      <c r="O74" s="3" t="e">
        <f>#REF!*#REF!</f>
        <v>#REF!</v>
      </c>
      <c r="P74" s="3" t="e">
        <f t="shared" ref="P74:P108" si="12">N74/$D$9</f>
        <v>#REF!</v>
      </c>
      <c r="Q74" s="3" t="e">
        <f t="shared" ref="Q74:Q108" si="13">O74/$C$9</f>
        <v>#REF!</v>
      </c>
      <c r="S74" s="3" t="e">
        <f>#REF!*#REF!/2</f>
        <v>#REF!</v>
      </c>
      <c r="T74" s="3" t="e">
        <f>#REF!*#REF!</f>
        <v>#REF!</v>
      </c>
      <c r="U74" s="3" t="e">
        <f t="shared" ref="U74:U108" si="14">S74/$D$10</f>
        <v>#REF!</v>
      </c>
      <c r="V74" s="3" t="e">
        <f t="shared" ref="V74:V108" si="15">T74/$C$10</f>
        <v>#REF!</v>
      </c>
      <c r="X74" s="3" t="e">
        <f>#REF!*#REF!/2</f>
        <v>#REF!</v>
      </c>
      <c r="Y74" s="3" t="e">
        <f>#REF!*#REF!</f>
        <v>#REF!</v>
      </c>
      <c r="Z74" s="3" t="e">
        <f t="shared" ref="Z74:Z108" si="16">X74/$D$11</f>
        <v>#REF!</v>
      </c>
      <c r="AA74" s="3" t="e">
        <f t="shared" ref="AA74:AA108" si="17">Y74/$C$11</f>
        <v>#REF!</v>
      </c>
    </row>
    <row r="75" spans="7:27" x14ac:dyDescent="0.15">
      <c r="G75" s="3">
        <v>67</v>
      </c>
      <c r="H75" s="3" t="e">
        <f>#REF!*#REF!/2</f>
        <v>#REF!</v>
      </c>
      <c r="I75" s="3" t="e">
        <f>#REF!*#REF!</f>
        <v>#REF!</v>
      </c>
      <c r="J75" s="3" t="e">
        <f t="shared" si="9"/>
        <v>#REF!</v>
      </c>
      <c r="K75" s="3" t="e">
        <f t="shared" si="10"/>
        <v>#REF!</v>
      </c>
      <c r="L75" s="3" t="e">
        <f t="shared" si="11"/>
        <v>#REF!</v>
      </c>
      <c r="N75" s="3" t="e">
        <f>#REF!*#REF!/2</f>
        <v>#REF!</v>
      </c>
      <c r="O75" s="3" t="e">
        <f>#REF!*#REF!</f>
        <v>#REF!</v>
      </c>
      <c r="P75" s="3" t="e">
        <f t="shared" si="12"/>
        <v>#REF!</v>
      </c>
      <c r="Q75" s="3" t="e">
        <f t="shared" si="13"/>
        <v>#REF!</v>
      </c>
      <c r="S75" s="3" t="e">
        <f>#REF!*#REF!/2</f>
        <v>#REF!</v>
      </c>
      <c r="T75" s="3" t="e">
        <f>#REF!*#REF!</f>
        <v>#REF!</v>
      </c>
      <c r="U75" s="3" t="e">
        <f t="shared" si="14"/>
        <v>#REF!</v>
      </c>
      <c r="V75" s="3" t="e">
        <f t="shared" si="15"/>
        <v>#REF!</v>
      </c>
      <c r="X75" s="3" t="e">
        <f>#REF!*#REF!/2</f>
        <v>#REF!</v>
      </c>
      <c r="Y75" s="3" t="e">
        <f>#REF!*#REF!</f>
        <v>#REF!</v>
      </c>
      <c r="Z75" s="3" t="e">
        <f t="shared" si="16"/>
        <v>#REF!</v>
      </c>
      <c r="AA75" s="3" t="e">
        <f t="shared" si="17"/>
        <v>#REF!</v>
      </c>
    </row>
    <row r="76" spans="7:27" x14ac:dyDescent="0.15">
      <c r="G76" s="3">
        <v>68</v>
      </c>
      <c r="H76" s="3" t="e">
        <f>#REF!*#REF!/2</f>
        <v>#REF!</v>
      </c>
      <c r="I76" s="3" t="e">
        <f>#REF!*#REF!</f>
        <v>#REF!</v>
      </c>
      <c r="J76" s="3" t="e">
        <f t="shared" si="9"/>
        <v>#REF!</v>
      </c>
      <c r="K76" s="3" t="e">
        <f t="shared" si="10"/>
        <v>#REF!</v>
      </c>
      <c r="L76" s="3" t="e">
        <f t="shared" si="11"/>
        <v>#REF!</v>
      </c>
      <c r="N76" s="3" t="e">
        <f>#REF!*#REF!/2</f>
        <v>#REF!</v>
      </c>
      <c r="O76" s="3" t="e">
        <f>#REF!*#REF!</f>
        <v>#REF!</v>
      </c>
      <c r="P76" s="3" t="e">
        <f t="shared" si="12"/>
        <v>#REF!</v>
      </c>
      <c r="Q76" s="3" t="e">
        <f t="shared" si="13"/>
        <v>#REF!</v>
      </c>
      <c r="S76" s="3" t="e">
        <f>#REF!*#REF!/2</f>
        <v>#REF!</v>
      </c>
      <c r="T76" s="3" t="e">
        <f>#REF!*#REF!</f>
        <v>#REF!</v>
      </c>
      <c r="U76" s="3" t="e">
        <f t="shared" si="14"/>
        <v>#REF!</v>
      </c>
      <c r="V76" s="3" t="e">
        <f t="shared" si="15"/>
        <v>#REF!</v>
      </c>
      <c r="X76" s="3" t="e">
        <f>#REF!*#REF!/2</f>
        <v>#REF!</v>
      </c>
      <c r="Y76" s="3" t="e">
        <f>#REF!*#REF!</f>
        <v>#REF!</v>
      </c>
      <c r="Z76" s="3" t="e">
        <f t="shared" si="16"/>
        <v>#REF!</v>
      </c>
      <c r="AA76" s="3" t="e">
        <f t="shared" si="17"/>
        <v>#REF!</v>
      </c>
    </row>
    <row r="77" spans="7:27" x14ac:dyDescent="0.15">
      <c r="G77" s="3">
        <v>69</v>
      </c>
      <c r="H77" s="3" t="e">
        <f>#REF!*#REF!/2</f>
        <v>#REF!</v>
      </c>
      <c r="I77" s="3" t="e">
        <f>#REF!*#REF!</f>
        <v>#REF!</v>
      </c>
      <c r="J77" s="3" t="e">
        <f t="shared" si="9"/>
        <v>#REF!</v>
      </c>
      <c r="K77" s="3" t="e">
        <f t="shared" si="10"/>
        <v>#REF!</v>
      </c>
      <c r="L77" s="3" t="e">
        <f t="shared" si="11"/>
        <v>#REF!</v>
      </c>
      <c r="N77" s="3" t="e">
        <f>#REF!*#REF!/2</f>
        <v>#REF!</v>
      </c>
      <c r="O77" s="3" t="e">
        <f>#REF!*#REF!</f>
        <v>#REF!</v>
      </c>
      <c r="P77" s="3" t="e">
        <f t="shared" si="12"/>
        <v>#REF!</v>
      </c>
      <c r="Q77" s="3" t="e">
        <f t="shared" si="13"/>
        <v>#REF!</v>
      </c>
      <c r="S77" s="3" t="e">
        <f>#REF!*#REF!/2</f>
        <v>#REF!</v>
      </c>
      <c r="T77" s="3" t="e">
        <f>#REF!*#REF!</f>
        <v>#REF!</v>
      </c>
      <c r="U77" s="3" t="e">
        <f t="shared" si="14"/>
        <v>#REF!</v>
      </c>
      <c r="V77" s="3" t="e">
        <f t="shared" si="15"/>
        <v>#REF!</v>
      </c>
      <c r="X77" s="3" t="e">
        <f>#REF!*#REF!/2</f>
        <v>#REF!</v>
      </c>
      <c r="Y77" s="3" t="e">
        <f>#REF!*#REF!</f>
        <v>#REF!</v>
      </c>
      <c r="Z77" s="3" t="e">
        <f t="shared" si="16"/>
        <v>#REF!</v>
      </c>
      <c r="AA77" s="3" t="e">
        <f t="shared" si="17"/>
        <v>#REF!</v>
      </c>
    </row>
    <row r="78" spans="7:27" x14ac:dyDescent="0.15">
      <c r="G78" s="3">
        <v>70</v>
      </c>
      <c r="H78" s="3" t="e">
        <f>#REF!*#REF!/2</f>
        <v>#REF!</v>
      </c>
      <c r="I78" s="3" t="e">
        <f>#REF!*#REF!</f>
        <v>#REF!</v>
      </c>
      <c r="J78" s="3" t="e">
        <f t="shared" si="9"/>
        <v>#REF!</v>
      </c>
      <c r="K78" s="3" t="e">
        <f t="shared" si="10"/>
        <v>#REF!</v>
      </c>
      <c r="L78" s="3" t="e">
        <f t="shared" si="11"/>
        <v>#REF!</v>
      </c>
      <c r="N78" s="3" t="e">
        <f>#REF!*#REF!/2</f>
        <v>#REF!</v>
      </c>
      <c r="O78" s="3" t="e">
        <f>#REF!*#REF!</f>
        <v>#REF!</v>
      </c>
      <c r="P78" s="3" t="e">
        <f t="shared" si="12"/>
        <v>#REF!</v>
      </c>
      <c r="Q78" s="3" t="e">
        <f t="shared" si="13"/>
        <v>#REF!</v>
      </c>
      <c r="S78" s="3" t="e">
        <f>#REF!*#REF!/2</f>
        <v>#REF!</v>
      </c>
      <c r="T78" s="3" t="e">
        <f>#REF!*#REF!</f>
        <v>#REF!</v>
      </c>
      <c r="U78" s="3" t="e">
        <f t="shared" si="14"/>
        <v>#REF!</v>
      </c>
      <c r="V78" s="3" t="e">
        <f t="shared" si="15"/>
        <v>#REF!</v>
      </c>
      <c r="X78" s="3" t="e">
        <f>#REF!*#REF!/2</f>
        <v>#REF!</v>
      </c>
      <c r="Y78" s="3" t="e">
        <f>#REF!*#REF!</f>
        <v>#REF!</v>
      </c>
      <c r="Z78" s="3" t="e">
        <f t="shared" si="16"/>
        <v>#REF!</v>
      </c>
      <c r="AA78" s="3" t="e">
        <f t="shared" si="17"/>
        <v>#REF!</v>
      </c>
    </row>
    <row r="79" spans="7:27" x14ac:dyDescent="0.15">
      <c r="G79" s="3">
        <v>71</v>
      </c>
      <c r="H79" s="3" t="e">
        <f>#REF!*#REF!/2</f>
        <v>#REF!</v>
      </c>
      <c r="I79" s="3" t="e">
        <f>#REF!*#REF!</f>
        <v>#REF!</v>
      </c>
      <c r="J79" s="3" t="e">
        <f t="shared" si="9"/>
        <v>#REF!</v>
      </c>
      <c r="K79" s="3" t="e">
        <f t="shared" si="10"/>
        <v>#REF!</v>
      </c>
      <c r="L79" s="3" t="e">
        <f t="shared" si="11"/>
        <v>#REF!</v>
      </c>
      <c r="N79" s="3" t="e">
        <f>#REF!*#REF!/2</f>
        <v>#REF!</v>
      </c>
      <c r="O79" s="3" t="e">
        <f>#REF!*#REF!</f>
        <v>#REF!</v>
      </c>
      <c r="P79" s="3" t="e">
        <f t="shared" si="12"/>
        <v>#REF!</v>
      </c>
      <c r="Q79" s="3" t="e">
        <f t="shared" si="13"/>
        <v>#REF!</v>
      </c>
      <c r="S79" s="3" t="e">
        <f>#REF!*#REF!/2</f>
        <v>#REF!</v>
      </c>
      <c r="T79" s="3" t="e">
        <f>#REF!*#REF!</f>
        <v>#REF!</v>
      </c>
      <c r="U79" s="3" t="e">
        <f t="shared" si="14"/>
        <v>#REF!</v>
      </c>
      <c r="V79" s="3" t="e">
        <f t="shared" si="15"/>
        <v>#REF!</v>
      </c>
      <c r="X79" s="3" t="e">
        <f>#REF!*#REF!/2</f>
        <v>#REF!</v>
      </c>
      <c r="Y79" s="3" t="e">
        <f>#REF!*#REF!</f>
        <v>#REF!</v>
      </c>
      <c r="Z79" s="3" t="e">
        <f t="shared" si="16"/>
        <v>#REF!</v>
      </c>
      <c r="AA79" s="3" t="e">
        <f t="shared" si="17"/>
        <v>#REF!</v>
      </c>
    </row>
    <row r="80" spans="7:27" x14ac:dyDescent="0.15">
      <c r="G80" s="3">
        <v>72</v>
      </c>
      <c r="H80" s="3" t="e">
        <f>#REF!*#REF!/2</f>
        <v>#REF!</v>
      </c>
      <c r="I80" s="3" t="e">
        <f>#REF!*#REF!</f>
        <v>#REF!</v>
      </c>
      <c r="J80" s="3" t="e">
        <f t="shared" si="9"/>
        <v>#REF!</v>
      </c>
      <c r="K80" s="3" t="e">
        <f t="shared" si="10"/>
        <v>#REF!</v>
      </c>
      <c r="L80" s="3" t="e">
        <f t="shared" si="11"/>
        <v>#REF!</v>
      </c>
      <c r="N80" s="3" t="e">
        <f>#REF!*#REF!/2</f>
        <v>#REF!</v>
      </c>
      <c r="O80" s="3" t="e">
        <f>#REF!*#REF!</f>
        <v>#REF!</v>
      </c>
      <c r="P80" s="3" t="e">
        <f t="shared" si="12"/>
        <v>#REF!</v>
      </c>
      <c r="Q80" s="3" t="e">
        <f t="shared" si="13"/>
        <v>#REF!</v>
      </c>
      <c r="S80" s="3" t="e">
        <f>#REF!*#REF!/2</f>
        <v>#REF!</v>
      </c>
      <c r="T80" s="3" t="e">
        <f>#REF!*#REF!</f>
        <v>#REF!</v>
      </c>
      <c r="U80" s="3" t="e">
        <f t="shared" si="14"/>
        <v>#REF!</v>
      </c>
      <c r="V80" s="3" t="e">
        <f t="shared" si="15"/>
        <v>#REF!</v>
      </c>
      <c r="X80" s="3" t="e">
        <f>#REF!*#REF!/2</f>
        <v>#REF!</v>
      </c>
      <c r="Y80" s="3" t="e">
        <f>#REF!*#REF!</f>
        <v>#REF!</v>
      </c>
      <c r="Z80" s="3" t="e">
        <f t="shared" si="16"/>
        <v>#REF!</v>
      </c>
      <c r="AA80" s="3" t="e">
        <f t="shared" si="17"/>
        <v>#REF!</v>
      </c>
    </row>
    <row r="81" spans="7:27" x14ac:dyDescent="0.15">
      <c r="G81" s="3">
        <v>73</v>
      </c>
      <c r="H81" s="3" t="e">
        <f>#REF!*#REF!/2</f>
        <v>#REF!</v>
      </c>
      <c r="I81" s="3" t="e">
        <f>#REF!*#REF!</f>
        <v>#REF!</v>
      </c>
      <c r="J81" s="3" t="e">
        <f t="shared" si="9"/>
        <v>#REF!</v>
      </c>
      <c r="K81" s="3" t="e">
        <f t="shared" si="10"/>
        <v>#REF!</v>
      </c>
      <c r="L81" s="3" t="e">
        <f t="shared" si="11"/>
        <v>#REF!</v>
      </c>
      <c r="N81" s="3" t="e">
        <f>#REF!*#REF!/2</f>
        <v>#REF!</v>
      </c>
      <c r="O81" s="3" t="e">
        <f>#REF!*#REF!</f>
        <v>#REF!</v>
      </c>
      <c r="P81" s="3" t="e">
        <f t="shared" si="12"/>
        <v>#REF!</v>
      </c>
      <c r="Q81" s="3" t="e">
        <f t="shared" si="13"/>
        <v>#REF!</v>
      </c>
      <c r="S81" s="3" t="e">
        <f>#REF!*#REF!/2</f>
        <v>#REF!</v>
      </c>
      <c r="T81" s="3" t="e">
        <f>#REF!*#REF!</f>
        <v>#REF!</v>
      </c>
      <c r="U81" s="3" t="e">
        <f t="shared" si="14"/>
        <v>#REF!</v>
      </c>
      <c r="V81" s="3" t="e">
        <f t="shared" si="15"/>
        <v>#REF!</v>
      </c>
      <c r="X81" s="3" t="e">
        <f>#REF!*#REF!/2</f>
        <v>#REF!</v>
      </c>
      <c r="Y81" s="3" t="e">
        <f>#REF!*#REF!</f>
        <v>#REF!</v>
      </c>
      <c r="Z81" s="3" t="e">
        <f t="shared" si="16"/>
        <v>#REF!</v>
      </c>
      <c r="AA81" s="3" t="e">
        <f t="shared" si="17"/>
        <v>#REF!</v>
      </c>
    </row>
    <row r="82" spans="7:27" x14ac:dyDescent="0.15">
      <c r="G82" s="3">
        <v>74</v>
      </c>
      <c r="H82" s="3" t="e">
        <f>#REF!*#REF!/2</f>
        <v>#REF!</v>
      </c>
      <c r="I82" s="3" t="e">
        <f>#REF!*#REF!</f>
        <v>#REF!</v>
      </c>
      <c r="J82" s="3" t="e">
        <f t="shared" si="9"/>
        <v>#REF!</v>
      </c>
      <c r="K82" s="3" t="e">
        <f t="shared" si="10"/>
        <v>#REF!</v>
      </c>
      <c r="L82" s="3" t="e">
        <f t="shared" si="11"/>
        <v>#REF!</v>
      </c>
      <c r="N82" s="3" t="e">
        <f>#REF!*#REF!/2</f>
        <v>#REF!</v>
      </c>
      <c r="O82" s="3" t="e">
        <f>#REF!*#REF!</f>
        <v>#REF!</v>
      </c>
      <c r="P82" s="3" t="e">
        <f t="shared" si="12"/>
        <v>#REF!</v>
      </c>
      <c r="Q82" s="3" t="e">
        <f t="shared" si="13"/>
        <v>#REF!</v>
      </c>
      <c r="S82" s="3" t="e">
        <f>#REF!*#REF!/2</f>
        <v>#REF!</v>
      </c>
      <c r="T82" s="3" t="e">
        <f>#REF!*#REF!</f>
        <v>#REF!</v>
      </c>
      <c r="U82" s="3" t="e">
        <f t="shared" si="14"/>
        <v>#REF!</v>
      </c>
      <c r="V82" s="3" t="e">
        <f t="shared" si="15"/>
        <v>#REF!</v>
      </c>
      <c r="X82" s="3" t="e">
        <f>#REF!*#REF!/2</f>
        <v>#REF!</v>
      </c>
      <c r="Y82" s="3" t="e">
        <f>#REF!*#REF!</f>
        <v>#REF!</v>
      </c>
      <c r="Z82" s="3" t="e">
        <f t="shared" si="16"/>
        <v>#REF!</v>
      </c>
      <c r="AA82" s="3" t="e">
        <f t="shared" si="17"/>
        <v>#REF!</v>
      </c>
    </row>
    <row r="83" spans="7:27" x14ac:dyDescent="0.15">
      <c r="G83" s="3">
        <v>75</v>
      </c>
      <c r="H83" s="3" t="e">
        <f>#REF!*#REF!/2</f>
        <v>#REF!</v>
      </c>
      <c r="I83" s="3" t="e">
        <f>#REF!*#REF!</f>
        <v>#REF!</v>
      </c>
      <c r="J83" s="3" t="e">
        <f t="shared" si="9"/>
        <v>#REF!</v>
      </c>
      <c r="K83" s="3" t="e">
        <f t="shared" si="10"/>
        <v>#REF!</v>
      </c>
      <c r="L83" s="3" t="e">
        <f t="shared" si="11"/>
        <v>#REF!</v>
      </c>
      <c r="N83" s="3" t="e">
        <f>#REF!*#REF!/2</f>
        <v>#REF!</v>
      </c>
      <c r="O83" s="3" t="e">
        <f>#REF!*#REF!</f>
        <v>#REF!</v>
      </c>
      <c r="P83" s="3" t="e">
        <f t="shared" si="12"/>
        <v>#REF!</v>
      </c>
      <c r="Q83" s="3" t="e">
        <f t="shared" si="13"/>
        <v>#REF!</v>
      </c>
      <c r="S83" s="3" t="e">
        <f>#REF!*#REF!/2</f>
        <v>#REF!</v>
      </c>
      <c r="T83" s="3" t="e">
        <f>#REF!*#REF!</f>
        <v>#REF!</v>
      </c>
      <c r="U83" s="3" t="e">
        <f t="shared" si="14"/>
        <v>#REF!</v>
      </c>
      <c r="V83" s="3" t="e">
        <f t="shared" si="15"/>
        <v>#REF!</v>
      </c>
      <c r="X83" s="3" t="e">
        <f>#REF!*#REF!/2</f>
        <v>#REF!</v>
      </c>
      <c r="Y83" s="3" t="e">
        <f>#REF!*#REF!</f>
        <v>#REF!</v>
      </c>
      <c r="Z83" s="3" t="e">
        <f t="shared" si="16"/>
        <v>#REF!</v>
      </c>
      <c r="AA83" s="3" t="e">
        <f t="shared" si="17"/>
        <v>#REF!</v>
      </c>
    </row>
    <row r="84" spans="7:27" x14ac:dyDescent="0.15">
      <c r="G84" s="3">
        <v>76</v>
      </c>
      <c r="H84" s="3" t="e">
        <f>#REF!*#REF!/2</f>
        <v>#REF!</v>
      </c>
      <c r="I84" s="3" t="e">
        <f>#REF!*#REF!</f>
        <v>#REF!</v>
      </c>
      <c r="J84" s="3" t="e">
        <f t="shared" si="9"/>
        <v>#REF!</v>
      </c>
      <c r="K84" s="3" t="e">
        <f t="shared" si="10"/>
        <v>#REF!</v>
      </c>
      <c r="L84" s="3" t="e">
        <f t="shared" si="11"/>
        <v>#REF!</v>
      </c>
      <c r="N84" s="3" t="e">
        <f>#REF!*#REF!/2</f>
        <v>#REF!</v>
      </c>
      <c r="O84" s="3" t="e">
        <f>#REF!*#REF!</f>
        <v>#REF!</v>
      </c>
      <c r="P84" s="3" t="e">
        <f t="shared" si="12"/>
        <v>#REF!</v>
      </c>
      <c r="Q84" s="3" t="e">
        <f t="shared" si="13"/>
        <v>#REF!</v>
      </c>
      <c r="S84" s="3" t="e">
        <f>#REF!*#REF!/2</f>
        <v>#REF!</v>
      </c>
      <c r="T84" s="3" t="e">
        <f>#REF!*#REF!</f>
        <v>#REF!</v>
      </c>
      <c r="U84" s="3" t="e">
        <f t="shared" si="14"/>
        <v>#REF!</v>
      </c>
      <c r="V84" s="3" t="e">
        <f t="shared" si="15"/>
        <v>#REF!</v>
      </c>
      <c r="X84" s="3" t="e">
        <f>#REF!*#REF!/2</f>
        <v>#REF!</v>
      </c>
      <c r="Y84" s="3" t="e">
        <f>#REF!*#REF!</f>
        <v>#REF!</v>
      </c>
      <c r="Z84" s="3" t="e">
        <f t="shared" si="16"/>
        <v>#REF!</v>
      </c>
      <c r="AA84" s="3" t="e">
        <f t="shared" si="17"/>
        <v>#REF!</v>
      </c>
    </row>
    <row r="85" spans="7:27" x14ac:dyDescent="0.15">
      <c r="G85" s="3">
        <v>77</v>
      </c>
      <c r="H85" s="3" t="e">
        <f>#REF!*#REF!/2</f>
        <v>#REF!</v>
      </c>
      <c r="I85" s="3" t="e">
        <f>#REF!*#REF!</f>
        <v>#REF!</v>
      </c>
      <c r="J85" s="3" t="e">
        <f t="shared" si="9"/>
        <v>#REF!</v>
      </c>
      <c r="K85" s="3" t="e">
        <f t="shared" si="10"/>
        <v>#REF!</v>
      </c>
      <c r="L85" s="3" t="e">
        <f t="shared" si="11"/>
        <v>#REF!</v>
      </c>
      <c r="N85" s="3" t="e">
        <f>#REF!*#REF!/2</f>
        <v>#REF!</v>
      </c>
      <c r="O85" s="3" t="e">
        <f>#REF!*#REF!</f>
        <v>#REF!</v>
      </c>
      <c r="P85" s="3" t="e">
        <f t="shared" si="12"/>
        <v>#REF!</v>
      </c>
      <c r="Q85" s="3" t="e">
        <f t="shared" si="13"/>
        <v>#REF!</v>
      </c>
      <c r="S85" s="3" t="e">
        <f>#REF!*#REF!/2</f>
        <v>#REF!</v>
      </c>
      <c r="T85" s="3" t="e">
        <f>#REF!*#REF!</f>
        <v>#REF!</v>
      </c>
      <c r="U85" s="3" t="e">
        <f t="shared" si="14"/>
        <v>#REF!</v>
      </c>
      <c r="V85" s="3" t="e">
        <f t="shared" si="15"/>
        <v>#REF!</v>
      </c>
      <c r="X85" s="3" t="e">
        <f>#REF!*#REF!/2</f>
        <v>#REF!</v>
      </c>
      <c r="Y85" s="3" t="e">
        <f>#REF!*#REF!</f>
        <v>#REF!</v>
      </c>
      <c r="Z85" s="3" t="e">
        <f t="shared" si="16"/>
        <v>#REF!</v>
      </c>
      <c r="AA85" s="3" t="e">
        <f t="shared" si="17"/>
        <v>#REF!</v>
      </c>
    </row>
    <row r="86" spans="7:27" x14ac:dyDescent="0.15">
      <c r="G86" s="3">
        <v>78</v>
      </c>
      <c r="H86" s="3" t="e">
        <f>#REF!*#REF!/2</f>
        <v>#REF!</v>
      </c>
      <c r="I86" s="3" t="e">
        <f>#REF!*#REF!</f>
        <v>#REF!</v>
      </c>
      <c r="J86" s="3" t="e">
        <f t="shared" si="9"/>
        <v>#REF!</v>
      </c>
      <c r="K86" s="3" t="e">
        <f t="shared" si="10"/>
        <v>#REF!</v>
      </c>
      <c r="L86" s="3" t="e">
        <f t="shared" si="11"/>
        <v>#REF!</v>
      </c>
      <c r="N86" s="3" t="e">
        <f>#REF!*#REF!/2</f>
        <v>#REF!</v>
      </c>
      <c r="O86" s="3" t="e">
        <f>#REF!*#REF!</f>
        <v>#REF!</v>
      </c>
      <c r="P86" s="3" t="e">
        <f t="shared" si="12"/>
        <v>#REF!</v>
      </c>
      <c r="Q86" s="3" t="e">
        <f t="shared" si="13"/>
        <v>#REF!</v>
      </c>
      <c r="S86" s="3" t="e">
        <f>#REF!*#REF!/2</f>
        <v>#REF!</v>
      </c>
      <c r="T86" s="3" t="e">
        <f>#REF!*#REF!</f>
        <v>#REF!</v>
      </c>
      <c r="U86" s="3" t="e">
        <f t="shared" si="14"/>
        <v>#REF!</v>
      </c>
      <c r="V86" s="3" t="e">
        <f t="shared" si="15"/>
        <v>#REF!</v>
      </c>
      <c r="X86" s="3" t="e">
        <f>#REF!*#REF!/2</f>
        <v>#REF!</v>
      </c>
      <c r="Y86" s="3" t="e">
        <f>#REF!*#REF!</f>
        <v>#REF!</v>
      </c>
      <c r="Z86" s="3" t="e">
        <f t="shared" si="16"/>
        <v>#REF!</v>
      </c>
      <c r="AA86" s="3" t="e">
        <f t="shared" si="17"/>
        <v>#REF!</v>
      </c>
    </row>
    <row r="87" spans="7:27" x14ac:dyDescent="0.15">
      <c r="G87" s="3">
        <v>79</v>
      </c>
      <c r="H87" s="3" t="e">
        <f>#REF!*#REF!/2</f>
        <v>#REF!</v>
      </c>
      <c r="I87" s="3" t="e">
        <f>#REF!*#REF!</f>
        <v>#REF!</v>
      </c>
      <c r="J87" s="3" t="e">
        <f t="shared" si="9"/>
        <v>#REF!</v>
      </c>
      <c r="K87" s="3" t="e">
        <f t="shared" si="10"/>
        <v>#REF!</v>
      </c>
      <c r="L87" s="3" t="e">
        <f t="shared" si="11"/>
        <v>#REF!</v>
      </c>
      <c r="N87" s="3" t="e">
        <f>#REF!*#REF!/2</f>
        <v>#REF!</v>
      </c>
      <c r="O87" s="3" t="e">
        <f>#REF!*#REF!</f>
        <v>#REF!</v>
      </c>
      <c r="P87" s="3" t="e">
        <f t="shared" si="12"/>
        <v>#REF!</v>
      </c>
      <c r="Q87" s="3" t="e">
        <f t="shared" si="13"/>
        <v>#REF!</v>
      </c>
      <c r="S87" s="3" t="e">
        <f>#REF!*#REF!/2</f>
        <v>#REF!</v>
      </c>
      <c r="T87" s="3" t="e">
        <f>#REF!*#REF!</f>
        <v>#REF!</v>
      </c>
      <c r="U87" s="3" t="e">
        <f t="shared" si="14"/>
        <v>#REF!</v>
      </c>
      <c r="V87" s="3" t="e">
        <f t="shared" si="15"/>
        <v>#REF!</v>
      </c>
      <c r="X87" s="3" t="e">
        <f>#REF!*#REF!/2</f>
        <v>#REF!</v>
      </c>
      <c r="Y87" s="3" t="e">
        <f>#REF!*#REF!</f>
        <v>#REF!</v>
      </c>
      <c r="Z87" s="3" t="e">
        <f t="shared" si="16"/>
        <v>#REF!</v>
      </c>
      <c r="AA87" s="3" t="e">
        <f t="shared" si="17"/>
        <v>#REF!</v>
      </c>
    </row>
    <row r="88" spans="7:27" x14ac:dyDescent="0.15">
      <c r="G88" s="3">
        <v>80</v>
      </c>
      <c r="H88" s="3" t="e">
        <f>#REF!*#REF!/2</f>
        <v>#REF!</v>
      </c>
      <c r="I88" s="3" t="e">
        <f>#REF!*#REF!</f>
        <v>#REF!</v>
      </c>
      <c r="J88" s="3" t="e">
        <f t="shared" si="9"/>
        <v>#REF!</v>
      </c>
      <c r="K88" s="3" t="e">
        <f t="shared" si="10"/>
        <v>#REF!</v>
      </c>
      <c r="L88" s="3" t="e">
        <f t="shared" si="11"/>
        <v>#REF!</v>
      </c>
      <c r="N88" s="3" t="e">
        <f>#REF!*#REF!/2</f>
        <v>#REF!</v>
      </c>
      <c r="O88" s="3" t="e">
        <f>#REF!*#REF!</f>
        <v>#REF!</v>
      </c>
      <c r="P88" s="3" t="e">
        <f t="shared" si="12"/>
        <v>#REF!</v>
      </c>
      <c r="Q88" s="3" t="e">
        <f t="shared" si="13"/>
        <v>#REF!</v>
      </c>
      <c r="S88" s="3" t="e">
        <f>#REF!*#REF!/2</f>
        <v>#REF!</v>
      </c>
      <c r="T88" s="3" t="e">
        <f>#REF!*#REF!</f>
        <v>#REF!</v>
      </c>
      <c r="U88" s="3" t="e">
        <f t="shared" si="14"/>
        <v>#REF!</v>
      </c>
      <c r="V88" s="3" t="e">
        <f t="shared" si="15"/>
        <v>#REF!</v>
      </c>
      <c r="X88" s="3" t="e">
        <f>#REF!*#REF!/2</f>
        <v>#REF!</v>
      </c>
      <c r="Y88" s="3" t="e">
        <f>#REF!*#REF!</f>
        <v>#REF!</v>
      </c>
      <c r="Z88" s="3" t="e">
        <f t="shared" si="16"/>
        <v>#REF!</v>
      </c>
      <c r="AA88" s="3" t="e">
        <f t="shared" si="17"/>
        <v>#REF!</v>
      </c>
    </row>
    <row r="89" spans="7:27" x14ac:dyDescent="0.15">
      <c r="G89" s="3">
        <v>81</v>
      </c>
      <c r="H89" s="3" t="e">
        <f>#REF!*#REF!/2</f>
        <v>#REF!</v>
      </c>
      <c r="I89" s="3" t="e">
        <f>#REF!*#REF!</f>
        <v>#REF!</v>
      </c>
      <c r="J89" s="3" t="e">
        <f t="shared" si="9"/>
        <v>#REF!</v>
      </c>
      <c r="K89" s="3" t="e">
        <f t="shared" si="10"/>
        <v>#REF!</v>
      </c>
      <c r="L89" s="3" t="e">
        <f t="shared" si="11"/>
        <v>#REF!</v>
      </c>
      <c r="N89" s="3" t="e">
        <f>#REF!*#REF!/2</f>
        <v>#REF!</v>
      </c>
      <c r="O89" s="3" t="e">
        <f>#REF!*#REF!</f>
        <v>#REF!</v>
      </c>
      <c r="P89" s="3" t="e">
        <f t="shared" si="12"/>
        <v>#REF!</v>
      </c>
      <c r="Q89" s="3" t="e">
        <f t="shared" si="13"/>
        <v>#REF!</v>
      </c>
      <c r="S89" s="3" t="e">
        <f>#REF!*#REF!/2</f>
        <v>#REF!</v>
      </c>
      <c r="T89" s="3" t="e">
        <f>#REF!*#REF!</f>
        <v>#REF!</v>
      </c>
      <c r="U89" s="3" t="e">
        <f t="shared" si="14"/>
        <v>#REF!</v>
      </c>
      <c r="V89" s="3" t="e">
        <f t="shared" si="15"/>
        <v>#REF!</v>
      </c>
      <c r="X89" s="3" t="e">
        <f>#REF!*#REF!/2</f>
        <v>#REF!</v>
      </c>
      <c r="Y89" s="3" t="e">
        <f>#REF!*#REF!</f>
        <v>#REF!</v>
      </c>
      <c r="Z89" s="3" t="e">
        <f t="shared" si="16"/>
        <v>#REF!</v>
      </c>
      <c r="AA89" s="3" t="e">
        <f t="shared" si="17"/>
        <v>#REF!</v>
      </c>
    </row>
    <row r="90" spans="7:27" x14ac:dyDescent="0.15">
      <c r="G90" s="3">
        <v>82</v>
      </c>
      <c r="H90" s="3" t="e">
        <f>#REF!*#REF!/2</f>
        <v>#REF!</v>
      </c>
      <c r="I90" s="3" t="e">
        <f>#REF!*#REF!</f>
        <v>#REF!</v>
      </c>
      <c r="J90" s="3" t="e">
        <f t="shared" si="9"/>
        <v>#REF!</v>
      </c>
      <c r="K90" s="3" t="e">
        <f t="shared" si="10"/>
        <v>#REF!</v>
      </c>
      <c r="L90" s="3" t="e">
        <f t="shared" si="11"/>
        <v>#REF!</v>
      </c>
      <c r="N90" s="3" t="e">
        <f>#REF!*#REF!/2</f>
        <v>#REF!</v>
      </c>
      <c r="O90" s="3" t="e">
        <f>#REF!*#REF!</f>
        <v>#REF!</v>
      </c>
      <c r="P90" s="3" t="e">
        <f t="shared" si="12"/>
        <v>#REF!</v>
      </c>
      <c r="Q90" s="3" t="e">
        <f t="shared" si="13"/>
        <v>#REF!</v>
      </c>
      <c r="S90" s="3" t="e">
        <f>#REF!*#REF!/2</f>
        <v>#REF!</v>
      </c>
      <c r="T90" s="3" t="e">
        <f>#REF!*#REF!</f>
        <v>#REF!</v>
      </c>
      <c r="U90" s="3" t="e">
        <f t="shared" si="14"/>
        <v>#REF!</v>
      </c>
      <c r="V90" s="3" t="e">
        <f t="shared" si="15"/>
        <v>#REF!</v>
      </c>
      <c r="X90" s="3" t="e">
        <f>#REF!*#REF!/2</f>
        <v>#REF!</v>
      </c>
      <c r="Y90" s="3" t="e">
        <f>#REF!*#REF!</f>
        <v>#REF!</v>
      </c>
      <c r="Z90" s="3" t="e">
        <f t="shared" si="16"/>
        <v>#REF!</v>
      </c>
      <c r="AA90" s="3" t="e">
        <f t="shared" si="17"/>
        <v>#REF!</v>
      </c>
    </row>
    <row r="91" spans="7:27" x14ac:dyDescent="0.15">
      <c r="G91" s="3">
        <v>83</v>
      </c>
      <c r="H91" s="3" t="e">
        <f>#REF!*#REF!/2</f>
        <v>#REF!</v>
      </c>
      <c r="I91" s="3" t="e">
        <f>#REF!*#REF!</f>
        <v>#REF!</v>
      </c>
      <c r="J91" s="3" t="e">
        <f t="shared" si="9"/>
        <v>#REF!</v>
      </c>
      <c r="K91" s="3" t="e">
        <f t="shared" si="10"/>
        <v>#REF!</v>
      </c>
      <c r="L91" s="3" t="e">
        <f t="shared" si="11"/>
        <v>#REF!</v>
      </c>
      <c r="N91" s="3" t="e">
        <f>#REF!*#REF!/2</f>
        <v>#REF!</v>
      </c>
      <c r="O91" s="3" t="e">
        <f>#REF!*#REF!</f>
        <v>#REF!</v>
      </c>
      <c r="P91" s="3" t="e">
        <f t="shared" si="12"/>
        <v>#REF!</v>
      </c>
      <c r="Q91" s="3" t="e">
        <f t="shared" si="13"/>
        <v>#REF!</v>
      </c>
      <c r="S91" s="3" t="e">
        <f>#REF!*#REF!/2</f>
        <v>#REF!</v>
      </c>
      <c r="T91" s="3" t="e">
        <f>#REF!*#REF!</f>
        <v>#REF!</v>
      </c>
      <c r="U91" s="3" t="e">
        <f t="shared" si="14"/>
        <v>#REF!</v>
      </c>
      <c r="V91" s="3" t="e">
        <f t="shared" si="15"/>
        <v>#REF!</v>
      </c>
      <c r="X91" s="3" t="e">
        <f>#REF!*#REF!/2</f>
        <v>#REF!</v>
      </c>
      <c r="Y91" s="3" t="e">
        <f>#REF!*#REF!</f>
        <v>#REF!</v>
      </c>
      <c r="Z91" s="3" t="e">
        <f t="shared" si="16"/>
        <v>#REF!</v>
      </c>
      <c r="AA91" s="3" t="e">
        <f t="shared" si="17"/>
        <v>#REF!</v>
      </c>
    </row>
    <row r="92" spans="7:27" x14ac:dyDescent="0.15">
      <c r="G92" s="3">
        <v>84</v>
      </c>
      <c r="H92" s="3" t="e">
        <f>#REF!*#REF!/2</f>
        <v>#REF!</v>
      </c>
      <c r="I92" s="3" t="e">
        <f>#REF!*#REF!</f>
        <v>#REF!</v>
      </c>
      <c r="J92" s="3" t="e">
        <f t="shared" si="9"/>
        <v>#REF!</v>
      </c>
      <c r="K92" s="3" t="e">
        <f t="shared" si="10"/>
        <v>#REF!</v>
      </c>
      <c r="L92" s="3" t="e">
        <f t="shared" si="11"/>
        <v>#REF!</v>
      </c>
      <c r="N92" s="3" t="e">
        <f>#REF!*#REF!/2</f>
        <v>#REF!</v>
      </c>
      <c r="O92" s="3" t="e">
        <f>#REF!*#REF!</f>
        <v>#REF!</v>
      </c>
      <c r="P92" s="3" t="e">
        <f t="shared" si="12"/>
        <v>#REF!</v>
      </c>
      <c r="Q92" s="3" t="e">
        <f t="shared" si="13"/>
        <v>#REF!</v>
      </c>
      <c r="S92" s="3" t="e">
        <f>#REF!*#REF!/2</f>
        <v>#REF!</v>
      </c>
      <c r="T92" s="3" t="e">
        <f>#REF!*#REF!</f>
        <v>#REF!</v>
      </c>
      <c r="U92" s="3" t="e">
        <f t="shared" si="14"/>
        <v>#REF!</v>
      </c>
      <c r="V92" s="3" t="e">
        <f t="shared" si="15"/>
        <v>#REF!</v>
      </c>
      <c r="X92" s="3" t="e">
        <f>#REF!*#REF!/2</f>
        <v>#REF!</v>
      </c>
      <c r="Y92" s="3" t="e">
        <f>#REF!*#REF!</f>
        <v>#REF!</v>
      </c>
      <c r="Z92" s="3" t="e">
        <f t="shared" si="16"/>
        <v>#REF!</v>
      </c>
      <c r="AA92" s="3" t="e">
        <f t="shared" si="17"/>
        <v>#REF!</v>
      </c>
    </row>
    <row r="93" spans="7:27" x14ac:dyDescent="0.15">
      <c r="G93" s="3">
        <v>85</v>
      </c>
      <c r="H93" s="3" t="e">
        <f>#REF!*#REF!/2</f>
        <v>#REF!</v>
      </c>
      <c r="I93" s="3" t="e">
        <f>#REF!*#REF!</f>
        <v>#REF!</v>
      </c>
      <c r="J93" s="3" t="e">
        <f t="shared" si="9"/>
        <v>#REF!</v>
      </c>
      <c r="K93" s="3" t="e">
        <f t="shared" si="10"/>
        <v>#REF!</v>
      </c>
      <c r="L93" s="3" t="e">
        <f t="shared" si="11"/>
        <v>#REF!</v>
      </c>
      <c r="N93" s="3" t="e">
        <f>#REF!*#REF!/2</f>
        <v>#REF!</v>
      </c>
      <c r="O93" s="3" t="e">
        <f>#REF!*#REF!</f>
        <v>#REF!</v>
      </c>
      <c r="P93" s="3" t="e">
        <f t="shared" si="12"/>
        <v>#REF!</v>
      </c>
      <c r="Q93" s="3" t="e">
        <f t="shared" si="13"/>
        <v>#REF!</v>
      </c>
      <c r="S93" s="3" t="e">
        <f>#REF!*#REF!/2</f>
        <v>#REF!</v>
      </c>
      <c r="T93" s="3" t="e">
        <f>#REF!*#REF!</f>
        <v>#REF!</v>
      </c>
      <c r="U93" s="3" t="e">
        <f t="shared" si="14"/>
        <v>#REF!</v>
      </c>
      <c r="V93" s="3" t="e">
        <f t="shared" si="15"/>
        <v>#REF!</v>
      </c>
      <c r="X93" s="3" t="e">
        <f>#REF!*#REF!/2</f>
        <v>#REF!</v>
      </c>
      <c r="Y93" s="3" t="e">
        <f>#REF!*#REF!</f>
        <v>#REF!</v>
      </c>
      <c r="Z93" s="3" t="e">
        <f t="shared" si="16"/>
        <v>#REF!</v>
      </c>
      <c r="AA93" s="3" t="e">
        <f t="shared" si="17"/>
        <v>#REF!</v>
      </c>
    </row>
    <row r="94" spans="7:27" x14ac:dyDescent="0.15">
      <c r="G94" s="3">
        <v>86</v>
      </c>
      <c r="H94" s="3" t="e">
        <f>#REF!*#REF!/2</f>
        <v>#REF!</v>
      </c>
      <c r="I94" s="3" t="e">
        <f>#REF!*#REF!</f>
        <v>#REF!</v>
      </c>
      <c r="J94" s="3" t="e">
        <f t="shared" si="9"/>
        <v>#REF!</v>
      </c>
      <c r="K94" s="3" t="e">
        <f t="shared" si="10"/>
        <v>#REF!</v>
      </c>
      <c r="L94" s="3" t="e">
        <f t="shared" si="11"/>
        <v>#REF!</v>
      </c>
      <c r="N94" s="3" t="e">
        <f>#REF!*#REF!/2</f>
        <v>#REF!</v>
      </c>
      <c r="O94" s="3" t="e">
        <f>#REF!*#REF!</f>
        <v>#REF!</v>
      </c>
      <c r="P94" s="3" t="e">
        <f t="shared" si="12"/>
        <v>#REF!</v>
      </c>
      <c r="Q94" s="3" t="e">
        <f t="shared" si="13"/>
        <v>#REF!</v>
      </c>
      <c r="S94" s="3" t="e">
        <f>#REF!*#REF!/2</f>
        <v>#REF!</v>
      </c>
      <c r="T94" s="3" t="e">
        <f>#REF!*#REF!</f>
        <v>#REF!</v>
      </c>
      <c r="U94" s="3" t="e">
        <f t="shared" si="14"/>
        <v>#REF!</v>
      </c>
      <c r="V94" s="3" t="e">
        <f t="shared" si="15"/>
        <v>#REF!</v>
      </c>
      <c r="X94" s="3" t="e">
        <f>#REF!*#REF!/2</f>
        <v>#REF!</v>
      </c>
      <c r="Y94" s="3" t="e">
        <f>#REF!*#REF!</f>
        <v>#REF!</v>
      </c>
      <c r="Z94" s="3" t="e">
        <f t="shared" si="16"/>
        <v>#REF!</v>
      </c>
      <c r="AA94" s="3" t="e">
        <f t="shared" si="17"/>
        <v>#REF!</v>
      </c>
    </row>
    <row r="95" spans="7:27" x14ac:dyDescent="0.15">
      <c r="G95" s="3">
        <v>87</v>
      </c>
      <c r="H95" s="3" t="e">
        <f>#REF!*#REF!/2</f>
        <v>#REF!</v>
      </c>
      <c r="I95" s="3" t="e">
        <f>#REF!*#REF!</f>
        <v>#REF!</v>
      </c>
      <c r="J95" s="3" t="e">
        <f t="shared" si="9"/>
        <v>#REF!</v>
      </c>
      <c r="K95" s="3" t="e">
        <f t="shared" si="10"/>
        <v>#REF!</v>
      </c>
      <c r="L95" s="3" t="e">
        <f t="shared" si="11"/>
        <v>#REF!</v>
      </c>
      <c r="N95" s="3" t="e">
        <f>#REF!*#REF!/2</f>
        <v>#REF!</v>
      </c>
      <c r="O95" s="3" t="e">
        <f>#REF!*#REF!</f>
        <v>#REF!</v>
      </c>
      <c r="P95" s="3" t="e">
        <f t="shared" si="12"/>
        <v>#REF!</v>
      </c>
      <c r="Q95" s="3" t="e">
        <f t="shared" si="13"/>
        <v>#REF!</v>
      </c>
      <c r="S95" s="3" t="e">
        <f>#REF!*#REF!/2</f>
        <v>#REF!</v>
      </c>
      <c r="T95" s="3" t="e">
        <f>#REF!*#REF!</f>
        <v>#REF!</v>
      </c>
      <c r="U95" s="3" t="e">
        <f t="shared" si="14"/>
        <v>#REF!</v>
      </c>
      <c r="V95" s="3" t="e">
        <f t="shared" si="15"/>
        <v>#REF!</v>
      </c>
      <c r="X95" s="3" t="e">
        <f>#REF!*#REF!/2</f>
        <v>#REF!</v>
      </c>
      <c r="Y95" s="3" t="e">
        <f>#REF!*#REF!</f>
        <v>#REF!</v>
      </c>
      <c r="Z95" s="3" t="e">
        <f t="shared" si="16"/>
        <v>#REF!</v>
      </c>
      <c r="AA95" s="3" t="e">
        <f t="shared" si="17"/>
        <v>#REF!</v>
      </c>
    </row>
    <row r="96" spans="7:27" x14ac:dyDescent="0.15">
      <c r="G96" s="3">
        <v>88</v>
      </c>
      <c r="H96" s="3" t="e">
        <f>#REF!*#REF!/2</f>
        <v>#REF!</v>
      </c>
      <c r="I96" s="3" t="e">
        <f>#REF!*#REF!</f>
        <v>#REF!</v>
      </c>
      <c r="J96" s="3" t="e">
        <f t="shared" si="9"/>
        <v>#REF!</v>
      </c>
      <c r="K96" s="3" t="e">
        <f t="shared" si="10"/>
        <v>#REF!</v>
      </c>
      <c r="L96" s="3" t="e">
        <f t="shared" si="11"/>
        <v>#REF!</v>
      </c>
      <c r="N96" s="3" t="e">
        <f>#REF!*#REF!/2</f>
        <v>#REF!</v>
      </c>
      <c r="O96" s="3" t="e">
        <f>#REF!*#REF!</f>
        <v>#REF!</v>
      </c>
      <c r="P96" s="3" t="e">
        <f t="shared" si="12"/>
        <v>#REF!</v>
      </c>
      <c r="Q96" s="3" t="e">
        <f t="shared" si="13"/>
        <v>#REF!</v>
      </c>
      <c r="S96" s="3" t="e">
        <f>#REF!*#REF!/2</f>
        <v>#REF!</v>
      </c>
      <c r="T96" s="3" t="e">
        <f>#REF!*#REF!</f>
        <v>#REF!</v>
      </c>
      <c r="U96" s="3" t="e">
        <f t="shared" si="14"/>
        <v>#REF!</v>
      </c>
      <c r="V96" s="3" t="e">
        <f t="shared" si="15"/>
        <v>#REF!</v>
      </c>
      <c r="X96" s="3" t="e">
        <f>#REF!*#REF!/2</f>
        <v>#REF!</v>
      </c>
      <c r="Y96" s="3" t="e">
        <f>#REF!*#REF!</f>
        <v>#REF!</v>
      </c>
      <c r="Z96" s="3" t="e">
        <f t="shared" si="16"/>
        <v>#REF!</v>
      </c>
      <c r="AA96" s="3" t="e">
        <f t="shared" si="17"/>
        <v>#REF!</v>
      </c>
    </row>
    <row r="97" spans="7:27" x14ac:dyDescent="0.15">
      <c r="G97" s="3">
        <v>89</v>
      </c>
      <c r="H97" s="3" t="e">
        <f>#REF!*#REF!/2</f>
        <v>#REF!</v>
      </c>
      <c r="I97" s="3" t="e">
        <f>#REF!*#REF!</f>
        <v>#REF!</v>
      </c>
      <c r="J97" s="3" t="e">
        <f t="shared" si="9"/>
        <v>#REF!</v>
      </c>
      <c r="K97" s="3" t="e">
        <f t="shared" si="10"/>
        <v>#REF!</v>
      </c>
      <c r="L97" s="3" t="e">
        <f t="shared" si="11"/>
        <v>#REF!</v>
      </c>
      <c r="N97" s="3" t="e">
        <f>#REF!*#REF!/2</f>
        <v>#REF!</v>
      </c>
      <c r="O97" s="3" t="e">
        <f>#REF!*#REF!</f>
        <v>#REF!</v>
      </c>
      <c r="P97" s="3" t="e">
        <f t="shared" si="12"/>
        <v>#REF!</v>
      </c>
      <c r="Q97" s="3" t="e">
        <f t="shared" si="13"/>
        <v>#REF!</v>
      </c>
      <c r="S97" s="3" t="e">
        <f>#REF!*#REF!/2</f>
        <v>#REF!</v>
      </c>
      <c r="T97" s="3" t="e">
        <f>#REF!*#REF!</f>
        <v>#REF!</v>
      </c>
      <c r="U97" s="3" t="e">
        <f t="shared" si="14"/>
        <v>#REF!</v>
      </c>
      <c r="V97" s="3" t="e">
        <f t="shared" si="15"/>
        <v>#REF!</v>
      </c>
      <c r="X97" s="3" t="e">
        <f>#REF!*#REF!/2</f>
        <v>#REF!</v>
      </c>
      <c r="Y97" s="3" t="e">
        <f>#REF!*#REF!</f>
        <v>#REF!</v>
      </c>
      <c r="Z97" s="3" t="e">
        <f t="shared" si="16"/>
        <v>#REF!</v>
      </c>
      <c r="AA97" s="3" t="e">
        <f t="shared" si="17"/>
        <v>#REF!</v>
      </c>
    </row>
    <row r="98" spans="7:27" x14ac:dyDescent="0.15">
      <c r="G98" s="3">
        <v>90</v>
      </c>
      <c r="H98" s="3" t="e">
        <f>#REF!*#REF!/2</f>
        <v>#REF!</v>
      </c>
      <c r="I98" s="3" t="e">
        <f>#REF!*#REF!</f>
        <v>#REF!</v>
      </c>
      <c r="J98" s="3" t="e">
        <f t="shared" si="9"/>
        <v>#REF!</v>
      </c>
      <c r="K98" s="3" t="e">
        <f t="shared" si="10"/>
        <v>#REF!</v>
      </c>
      <c r="L98" s="3" t="e">
        <f t="shared" si="11"/>
        <v>#REF!</v>
      </c>
      <c r="N98" s="3" t="e">
        <f>#REF!*#REF!/2</f>
        <v>#REF!</v>
      </c>
      <c r="O98" s="3" t="e">
        <f>#REF!*#REF!</f>
        <v>#REF!</v>
      </c>
      <c r="P98" s="3" t="e">
        <f t="shared" si="12"/>
        <v>#REF!</v>
      </c>
      <c r="Q98" s="3" t="e">
        <f t="shared" si="13"/>
        <v>#REF!</v>
      </c>
      <c r="S98" s="3" t="e">
        <f>#REF!*#REF!/2</f>
        <v>#REF!</v>
      </c>
      <c r="T98" s="3" t="e">
        <f>#REF!*#REF!</f>
        <v>#REF!</v>
      </c>
      <c r="U98" s="3" t="e">
        <f t="shared" si="14"/>
        <v>#REF!</v>
      </c>
      <c r="V98" s="3" t="e">
        <f t="shared" si="15"/>
        <v>#REF!</v>
      </c>
      <c r="X98" s="3" t="e">
        <f>#REF!*#REF!/2</f>
        <v>#REF!</v>
      </c>
      <c r="Y98" s="3" t="e">
        <f>#REF!*#REF!</f>
        <v>#REF!</v>
      </c>
      <c r="Z98" s="3" t="e">
        <f t="shared" si="16"/>
        <v>#REF!</v>
      </c>
      <c r="AA98" s="3" t="e">
        <f t="shared" si="17"/>
        <v>#REF!</v>
      </c>
    </row>
    <row r="99" spans="7:27" x14ac:dyDescent="0.15">
      <c r="G99" s="3">
        <v>91</v>
      </c>
      <c r="H99" s="3" t="e">
        <f>#REF!*#REF!/2</f>
        <v>#REF!</v>
      </c>
      <c r="I99" s="3" t="e">
        <f>#REF!*#REF!</f>
        <v>#REF!</v>
      </c>
      <c r="J99" s="3" t="e">
        <f t="shared" si="9"/>
        <v>#REF!</v>
      </c>
      <c r="K99" s="3" t="e">
        <f t="shared" si="10"/>
        <v>#REF!</v>
      </c>
      <c r="L99" s="3" t="e">
        <f t="shared" si="11"/>
        <v>#REF!</v>
      </c>
      <c r="N99" s="3" t="e">
        <f>#REF!*#REF!/2</f>
        <v>#REF!</v>
      </c>
      <c r="O99" s="3" t="e">
        <f>#REF!*#REF!</f>
        <v>#REF!</v>
      </c>
      <c r="P99" s="3" t="e">
        <f t="shared" si="12"/>
        <v>#REF!</v>
      </c>
      <c r="Q99" s="3" t="e">
        <f t="shared" si="13"/>
        <v>#REF!</v>
      </c>
      <c r="S99" s="3" t="e">
        <f>#REF!*#REF!/2</f>
        <v>#REF!</v>
      </c>
      <c r="T99" s="3" t="e">
        <f>#REF!*#REF!</f>
        <v>#REF!</v>
      </c>
      <c r="U99" s="3" t="e">
        <f t="shared" si="14"/>
        <v>#REF!</v>
      </c>
      <c r="V99" s="3" t="e">
        <f t="shared" si="15"/>
        <v>#REF!</v>
      </c>
      <c r="X99" s="3" t="e">
        <f>#REF!*#REF!/2</f>
        <v>#REF!</v>
      </c>
      <c r="Y99" s="3" t="e">
        <f>#REF!*#REF!</f>
        <v>#REF!</v>
      </c>
      <c r="Z99" s="3" t="e">
        <f t="shared" si="16"/>
        <v>#REF!</v>
      </c>
      <c r="AA99" s="3" t="e">
        <f t="shared" si="17"/>
        <v>#REF!</v>
      </c>
    </row>
    <row r="100" spans="7:27" x14ac:dyDescent="0.15">
      <c r="G100" s="3">
        <v>92</v>
      </c>
      <c r="H100" s="3" t="e">
        <f>#REF!*#REF!/2</f>
        <v>#REF!</v>
      </c>
      <c r="I100" s="3" t="e">
        <f>#REF!*#REF!</f>
        <v>#REF!</v>
      </c>
      <c r="J100" s="3" t="e">
        <f t="shared" si="9"/>
        <v>#REF!</v>
      </c>
      <c r="K100" s="3" t="e">
        <f t="shared" si="10"/>
        <v>#REF!</v>
      </c>
      <c r="L100" s="3" t="e">
        <f t="shared" si="11"/>
        <v>#REF!</v>
      </c>
      <c r="N100" s="3" t="e">
        <f>#REF!*#REF!/2</f>
        <v>#REF!</v>
      </c>
      <c r="O100" s="3" t="e">
        <f>#REF!*#REF!</f>
        <v>#REF!</v>
      </c>
      <c r="P100" s="3" t="e">
        <f t="shared" si="12"/>
        <v>#REF!</v>
      </c>
      <c r="Q100" s="3" t="e">
        <f t="shared" si="13"/>
        <v>#REF!</v>
      </c>
      <c r="S100" s="3" t="e">
        <f>#REF!*#REF!/2</f>
        <v>#REF!</v>
      </c>
      <c r="T100" s="3" t="e">
        <f>#REF!*#REF!</f>
        <v>#REF!</v>
      </c>
      <c r="U100" s="3" t="e">
        <f t="shared" si="14"/>
        <v>#REF!</v>
      </c>
      <c r="V100" s="3" t="e">
        <f t="shared" si="15"/>
        <v>#REF!</v>
      </c>
      <c r="X100" s="3" t="e">
        <f>#REF!*#REF!/2</f>
        <v>#REF!</v>
      </c>
      <c r="Y100" s="3" t="e">
        <f>#REF!*#REF!</f>
        <v>#REF!</v>
      </c>
      <c r="Z100" s="3" t="e">
        <f t="shared" si="16"/>
        <v>#REF!</v>
      </c>
      <c r="AA100" s="3" t="e">
        <f t="shared" si="17"/>
        <v>#REF!</v>
      </c>
    </row>
    <row r="101" spans="7:27" x14ac:dyDescent="0.15">
      <c r="G101" s="3">
        <v>93</v>
      </c>
      <c r="H101" s="3" t="e">
        <f>#REF!*#REF!/2</f>
        <v>#REF!</v>
      </c>
      <c r="I101" s="3" t="e">
        <f>#REF!*#REF!</f>
        <v>#REF!</v>
      </c>
      <c r="J101" s="3" t="e">
        <f t="shared" si="9"/>
        <v>#REF!</v>
      </c>
      <c r="K101" s="3" t="e">
        <f t="shared" si="10"/>
        <v>#REF!</v>
      </c>
      <c r="L101" s="3" t="e">
        <f t="shared" si="11"/>
        <v>#REF!</v>
      </c>
      <c r="N101" s="3" t="e">
        <f>#REF!*#REF!/2</f>
        <v>#REF!</v>
      </c>
      <c r="O101" s="3" t="e">
        <f>#REF!*#REF!</f>
        <v>#REF!</v>
      </c>
      <c r="P101" s="3" t="e">
        <f t="shared" si="12"/>
        <v>#REF!</v>
      </c>
      <c r="Q101" s="3" t="e">
        <f t="shared" si="13"/>
        <v>#REF!</v>
      </c>
      <c r="S101" s="3" t="e">
        <f>#REF!*#REF!/2</f>
        <v>#REF!</v>
      </c>
      <c r="T101" s="3" t="e">
        <f>#REF!*#REF!</f>
        <v>#REF!</v>
      </c>
      <c r="U101" s="3" t="e">
        <f t="shared" si="14"/>
        <v>#REF!</v>
      </c>
      <c r="V101" s="3" t="e">
        <f t="shared" si="15"/>
        <v>#REF!</v>
      </c>
      <c r="X101" s="3" t="e">
        <f>#REF!*#REF!/2</f>
        <v>#REF!</v>
      </c>
      <c r="Y101" s="3" t="e">
        <f>#REF!*#REF!</f>
        <v>#REF!</v>
      </c>
      <c r="Z101" s="3" t="e">
        <f t="shared" si="16"/>
        <v>#REF!</v>
      </c>
      <c r="AA101" s="3" t="e">
        <f t="shared" si="17"/>
        <v>#REF!</v>
      </c>
    </row>
    <row r="102" spans="7:27" x14ac:dyDescent="0.15">
      <c r="G102" s="3">
        <v>94</v>
      </c>
      <c r="H102" s="3" t="e">
        <f>#REF!*#REF!/2</f>
        <v>#REF!</v>
      </c>
      <c r="I102" s="3" t="e">
        <f>#REF!*#REF!</f>
        <v>#REF!</v>
      </c>
      <c r="J102" s="3" t="e">
        <f t="shared" si="9"/>
        <v>#REF!</v>
      </c>
      <c r="K102" s="3" t="e">
        <f t="shared" si="10"/>
        <v>#REF!</v>
      </c>
      <c r="L102" s="3" t="e">
        <f t="shared" si="11"/>
        <v>#REF!</v>
      </c>
      <c r="N102" s="3" t="e">
        <f>#REF!*#REF!/2</f>
        <v>#REF!</v>
      </c>
      <c r="O102" s="3" t="e">
        <f>#REF!*#REF!</f>
        <v>#REF!</v>
      </c>
      <c r="P102" s="3" t="e">
        <f t="shared" si="12"/>
        <v>#REF!</v>
      </c>
      <c r="Q102" s="3" t="e">
        <f t="shared" si="13"/>
        <v>#REF!</v>
      </c>
      <c r="S102" s="3" t="e">
        <f>#REF!*#REF!/2</f>
        <v>#REF!</v>
      </c>
      <c r="T102" s="3" t="e">
        <f>#REF!*#REF!</f>
        <v>#REF!</v>
      </c>
      <c r="U102" s="3" t="e">
        <f t="shared" si="14"/>
        <v>#REF!</v>
      </c>
      <c r="V102" s="3" t="e">
        <f t="shared" si="15"/>
        <v>#REF!</v>
      </c>
      <c r="X102" s="3" t="e">
        <f>#REF!*#REF!/2</f>
        <v>#REF!</v>
      </c>
      <c r="Y102" s="3" t="e">
        <f>#REF!*#REF!</f>
        <v>#REF!</v>
      </c>
      <c r="Z102" s="3" t="e">
        <f t="shared" si="16"/>
        <v>#REF!</v>
      </c>
      <c r="AA102" s="3" t="e">
        <f t="shared" si="17"/>
        <v>#REF!</v>
      </c>
    </row>
    <row r="103" spans="7:27" x14ac:dyDescent="0.15">
      <c r="G103" s="3">
        <v>95</v>
      </c>
      <c r="H103" s="3" t="e">
        <f>#REF!*#REF!/2</f>
        <v>#REF!</v>
      </c>
      <c r="I103" s="3" t="e">
        <f>#REF!*#REF!</f>
        <v>#REF!</v>
      </c>
      <c r="J103" s="3" t="e">
        <f t="shared" si="9"/>
        <v>#REF!</v>
      </c>
      <c r="K103" s="3" t="e">
        <f t="shared" si="10"/>
        <v>#REF!</v>
      </c>
      <c r="L103" s="3" t="e">
        <f t="shared" si="11"/>
        <v>#REF!</v>
      </c>
      <c r="N103" s="3" t="e">
        <f>#REF!*#REF!/2</f>
        <v>#REF!</v>
      </c>
      <c r="O103" s="3" t="e">
        <f>#REF!*#REF!</f>
        <v>#REF!</v>
      </c>
      <c r="P103" s="3" t="e">
        <f t="shared" si="12"/>
        <v>#REF!</v>
      </c>
      <c r="Q103" s="3" t="e">
        <f t="shared" si="13"/>
        <v>#REF!</v>
      </c>
      <c r="S103" s="3" t="e">
        <f>#REF!*#REF!/2</f>
        <v>#REF!</v>
      </c>
      <c r="T103" s="3" t="e">
        <f>#REF!*#REF!</f>
        <v>#REF!</v>
      </c>
      <c r="U103" s="3" t="e">
        <f t="shared" si="14"/>
        <v>#REF!</v>
      </c>
      <c r="V103" s="3" t="e">
        <f t="shared" si="15"/>
        <v>#REF!</v>
      </c>
      <c r="X103" s="3" t="e">
        <f>#REF!*#REF!/2</f>
        <v>#REF!</v>
      </c>
      <c r="Y103" s="3" t="e">
        <f>#REF!*#REF!</f>
        <v>#REF!</v>
      </c>
      <c r="Z103" s="3" t="e">
        <f t="shared" si="16"/>
        <v>#REF!</v>
      </c>
      <c r="AA103" s="3" t="e">
        <f t="shared" si="17"/>
        <v>#REF!</v>
      </c>
    </row>
    <row r="104" spans="7:27" x14ac:dyDescent="0.15">
      <c r="G104" s="3">
        <v>96</v>
      </c>
      <c r="H104" s="3" t="e">
        <f>#REF!*#REF!/2</f>
        <v>#REF!</v>
      </c>
      <c r="I104" s="3" t="e">
        <f>#REF!*#REF!</f>
        <v>#REF!</v>
      </c>
      <c r="J104" s="3" t="e">
        <f t="shared" si="9"/>
        <v>#REF!</v>
      </c>
      <c r="K104" s="3" t="e">
        <f t="shared" si="10"/>
        <v>#REF!</v>
      </c>
      <c r="L104" s="3" t="e">
        <f t="shared" si="11"/>
        <v>#REF!</v>
      </c>
      <c r="N104" s="3" t="e">
        <f>#REF!*#REF!/2</f>
        <v>#REF!</v>
      </c>
      <c r="O104" s="3" t="e">
        <f>#REF!*#REF!</f>
        <v>#REF!</v>
      </c>
      <c r="P104" s="3" t="e">
        <f t="shared" si="12"/>
        <v>#REF!</v>
      </c>
      <c r="Q104" s="3" t="e">
        <f t="shared" si="13"/>
        <v>#REF!</v>
      </c>
      <c r="S104" s="3" t="e">
        <f>#REF!*#REF!/2</f>
        <v>#REF!</v>
      </c>
      <c r="T104" s="3" t="e">
        <f>#REF!*#REF!</f>
        <v>#REF!</v>
      </c>
      <c r="U104" s="3" t="e">
        <f t="shared" si="14"/>
        <v>#REF!</v>
      </c>
      <c r="V104" s="3" t="e">
        <f t="shared" si="15"/>
        <v>#REF!</v>
      </c>
      <c r="X104" s="3" t="e">
        <f>#REF!*#REF!/2</f>
        <v>#REF!</v>
      </c>
      <c r="Y104" s="3" t="e">
        <f>#REF!*#REF!</f>
        <v>#REF!</v>
      </c>
      <c r="Z104" s="3" t="e">
        <f t="shared" si="16"/>
        <v>#REF!</v>
      </c>
      <c r="AA104" s="3" t="e">
        <f t="shared" si="17"/>
        <v>#REF!</v>
      </c>
    </row>
    <row r="105" spans="7:27" x14ac:dyDescent="0.15">
      <c r="G105" s="3">
        <v>97</v>
      </c>
      <c r="H105" s="3" t="e">
        <f>#REF!*#REF!/2</f>
        <v>#REF!</v>
      </c>
      <c r="I105" s="3" t="e">
        <f>#REF!*#REF!</f>
        <v>#REF!</v>
      </c>
      <c r="J105" s="3" t="e">
        <f t="shared" si="9"/>
        <v>#REF!</v>
      </c>
      <c r="K105" s="3" t="e">
        <f t="shared" si="10"/>
        <v>#REF!</v>
      </c>
      <c r="L105" s="3" t="e">
        <f t="shared" si="11"/>
        <v>#REF!</v>
      </c>
      <c r="N105" s="3" t="e">
        <f>#REF!*#REF!/2</f>
        <v>#REF!</v>
      </c>
      <c r="O105" s="3" t="e">
        <f>#REF!*#REF!</f>
        <v>#REF!</v>
      </c>
      <c r="P105" s="3" t="e">
        <f t="shared" si="12"/>
        <v>#REF!</v>
      </c>
      <c r="Q105" s="3" t="e">
        <f t="shared" si="13"/>
        <v>#REF!</v>
      </c>
      <c r="S105" s="3" t="e">
        <f>#REF!*#REF!/2</f>
        <v>#REF!</v>
      </c>
      <c r="T105" s="3" t="e">
        <f>#REF!*#REF!</f>
        <v>#REF!</v>
      </c>
      <c r="U105" s="3" t="e">
        <f t="shared" si="14"/>
        <v>#REF!</v>
      </c>
      <c r="V105" s="3" t="e">
        <f t="shared" si="15"/>
        <v>#REF!</v>
      </c>
      <c r="X105" s="3" t="e">
        <f>#REF!*#REF!/2</f>
        <v>#REF!</v>
      </c>
      <c r="Y105" s="3" t="e">
        <f>#REF!*#REF!</f>
        <v>#REF!</v>
      </c>
      <c r="Z105" s="3" t="e">
        <f t="shared" si="16"/>
        <v>#REF!</v>
      </c>
      <c r="AA105" s="3" t="e">
        <f t="shared" si="17"/>
        <v>#REF!</v>
      </c>
    </row>
    <row r="106" spans="7:27" x14ac:dyDescent="0.15">
      <c r="G106" s="3">
        <v>98</v>
      </c>
      <c r="H106" s="3" t="e">
        <f>#REF!*#REF!/2</f>
        <v>#REF!</v>
      </c>
      <c r="I106" s="3" t="e">
        <f>#REF!*#REF!</f>
        <v>#REF!</v>
      </c>
      <c r="J106" s="3" t="e">
        <f t="shared" si="9"/>
        <v>#REF!</v>
      </c>
      <c r="K106" s="3" t="e">
        <f t="shared" si="10"/>
        <v>#REF!</v>
      </c>
      <c r="L106" s="3" t="e">
        <f t="shared" si="11"/>
        <v>#REF!</v>
      </c>
      <c r="N106" s="3" t="e">
        <f>#REF!*#REF!/2</f>
        <v>#REF!</v>
      </c>
      <c r="O106" s="3" t="e">
        <f>#REF!*#REF!</f>
        <v>#REF!</v>
      </c>
      <c r="P106" s="3" t="e">
        <f t="shared" si="12"/>
        <v>#REF!</v>
      </c>
      <c r="Q106" s="3" t="e">
        <f t="shared" si="13"/>
        <v>#REF!</v>
      </c>
      <c r="S106" s="3" t="e">
        <f>#REF!*#REF!/2</f>
        <v>#REF!</v>
      </c>
      <c r="T106" s="3" t="e">
        <f>#REF!*#REF!</f>
        <v>#REF!</v>
      </c>
      <c r="U106" s="3" t="e">
        <f t="shared" si="14"/>
        <v>#REF!</v>
      </c>
      <c r="V106" s="3" t="e">
        <f t="shared" si="15"/>
        <v>#REF!</v>
      </c>
      <c r="X106" s="3" t="e">
        <f>#REF!*#REF!/2</f>
        <v>#REF!</v>
      </c>
      <c r="Y106" s="3" t="e">
        <f>#REF!*#REF!</f>
        <v>#REF!</v>
      </c>
      <c r="Z106" s="3" t="e">
        <f t="shared" si="16"/>
        <v>#REF!</v>
      </c>
      <c r="AA106" s="3" t="e">
        <f t="shared" si="17"/>
        <v>#REF!</v>
      </c>
    </row>
    <row r="107" spans="7:27" x14ac:dyDescent="0.15">
      <c r="G107" s="3">
        <v>99</v>
      </c>
      <c r="H107" s="3" t="e">
        <f>#REF!*#REF!/2</f>
        <v>#REF!</v>
      </c>
      <c r="I107" s="3" t="e">
        <f>#REF!*#REF!</f>
        <v>#REF!</v>
      </c>
      <c r="J107" s="3" t="e">
        <f t="shared" si="9"/>
        <v>#REF!</v>
      </c>
      <c r="K107" s="3" t="e">
        <f t="shared" si="10"/>
        <v>#REF!</v>
      </c>
      <c r="L107" s="3" t="e">
        <f t="shared" si="11"/>
        <v>#REF!</v>
      </c>
      <c r="N107" s="3" t="e">
        <f>#REF!*#REF!/2</f>
        <v>#REF!</v>
      </c>
      <c r="O107" s="3" t="e">
        <f>#REF!*#REF!</f>
        <v>#REF!</v>
      </c>
      <c r="P107" s="3" t="e">
        <f t="shared" si="12"/>
        <v>#REF!</v>
      </c>
      <c r="Q107" s="3" t="e">
        <f t="shared" si="13"/>
        <v>#REF!</v>
      </c>
      <c r="S107" s="3" t="e">
        <f>#REF!*#REF!/2</f>
        <v>#REF!</v>
      </c>
      <c r="T107" s="3" t="e">
        <f>#REF!*#REF!</f>
        <v>#REF!</v>
      </c>
      <c r="U107" s="3" t="e">
        <f t="shared" si="14"/>
        <v>#REF!</v>
      </c>
      <c r="V107" s="3" t="e">
        <f t="shared" si="15"/>
        <v>#REF!</v>
      </c>
      <c r="X107" s="3" t="e">
        <f>#REF!*#REF!/2</f>
        <v>#REF!</v>
      </c>
      <c r="Y107" s="3" t="e">
        <f>#REF!*#REF!</f>
        <v>#REF!</v>
      </c>
      <c r="Z107" s="3" t="e">
        <f t="shared" si="16"/>
        <v>#REF!</v>
      </c>
      <c r="AA107" s="3" t="e">
        <f t="shared" si="17"/>
        <v>#REF!</v>
      </c>
    </row>
    <row r="108" spans="7:27" x14ac:dyDescent="0.15">
      <c r="G108" s="3">
        <v>100</v>
      </c>
      <c r="H108" s="3" t="e">
        <f>#REF!*#REF!/2</f>
        <v>#REF!</v>
      </c>
      <c r="I108" s="3" t="e">
        <f>#REF!*#REF!</f>
        <v>#REF!</v>
      </c>
      <c r="J108" s="3" t="e">
        <f t="shared" si="9"/>
        <v>#REF!</v>
      </c>
      <c r="K108" s="3" t="e">
        <f t="shared" si="10"/>
        <v>#REF!</v>
      </c>
      <c r="L108" s="3" t="e">
        <f t="shared" si="11"/>
        <v>#REF!</v>
      </c>
      <c r="N108" s="3" t="e">
        <f>#REF!*#REF!/2</f>
        <v>#REF!</v>
      </c>
      <c r="O108" s="3" t="e">
        <f>#REF!*#REF!</f>
        <v>#REF!</v>
      </c>
      <c r="P108" s="3" t="e">
        <f t="shared" si="12"/>
        <v>#REF!</v>
      </c>
      <c r="Q108" s="3" t="e">
        <f t="shared" si="13"/>
        <v>#REF!</v>
      </c>
      <c r="S108" s="3" t="e">
        <f>#REF!*#REF!/2</f>
        <v>#REF!</v>
      </c>
      <c r="T108" s="3" t="e">
        <f>#REF!*#REF!</f>
        <v>#REF!</v>
      </c>
      <c r="U108" s="3" t="e">
        <f t="shared" si="14"/>
        <v>#REF!</v>
      </c>
      <c r="V108" s="3" t="e">
        <f t="shared" si="15"/>
        <v>#REF!</v>
      </c>
      <c r="X108" s="3" t="e">
        <f>#REF!*#REF!/2</f>
        <v>#REF!</v>
      </c>
      <c r="Y108" s="3" t="e">
        <f>#REF!*#REF!</f>
        <v>#REF!</v>
      </c>
      <c r="Z108" s="3" t="e">
        <f t="shared" si="16"/>
        <v>#REF!</v>
      </c>
      <c r="AA108" s="3" t="e">
        <f t="shared" si="17"/>
        <v>#REF!</v>
      </c>
    </row>
  </sheetData>
  <mergeCells count="4">
    <mergeCell ref="H7:I7"/>
    <mergeCell ref="N7:O7"/>
    <mergeCell ref="S7:T7"/>
    <mergeCell ref="X7:Y7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Sheet2</vt:lpstr>
      <vt:lpstr>节奏总纲</vt:lpstr>
      <vt:lpstr>基础数据设定</vt:lpstr>
      <vt:lpstr>关卡设定</vt:lpstr>
      <vt:lpstr>初级难度关卡验证</vt:lpstr>
      <vt:lpstr>中级难度关卡验证</vt:lpstr>
      <vt:lpstr>高级难度关卡验证</vt:lpstr>
      <vt:lpstr>关卡奖励设定（常规）</vt:lpstr>
      <vt:lpstr>道具信息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2021-12-11T09:04:30Z</dcterms:modified>
</cp:coreProperties>
</file>